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13-07-2026" sheetId="1" r:id="rId4"/>
  </sheets>
  <definedNames/>
  <calcPr calcId="999999" calcMode="auto" calcCompleted="0" fullCalcOnLoad="1"/>
</workbook>
</file>

<file path=xl/sharedStrings.xml><?xml version="1.0" encoding="utf-8"?>
<sst xmlns="http://schemas.openxmlformats.org/spreadsheetml/2006/main" uniqueCount="3745">
  <si>
    <t>BIÊN BẢN ĐỐI SOÁT NGÀY 13-07-2026</t>
  </si>
  <si>
    <t>Shop</t>
  </si>
  <si>
    <t>ELMICH ESHOP</t>
  </si>
  <si>
    <t>Mã shop</t>
  </si>
  <si>
    <t>S22693229</t>
  </si>
  <si>
    <t>Ngày</t>
  </si>
  <si>
    <t>13-07-2026</t>
  </si>
  <si>
    <t xml:space="preserve">Tổng tiền CoD: </t>
  </si>
  <si>
    <t>Tổng phí dịch vụ phát sinh:</t>
  </si>
  <si>
    <t>Tổng phí dịch vụ đã thanh toán:</t>
  </si>
  <si>
    <t>Tổng phí dịch vụ cấn trừ:</t>
  </si>
  <si>
    <t>Tổng phí dịch vụ hoàn lại:</t>
  </si>
  <si>
    <t>Nợ tồn:</t>
  </si>
  <si>
    <t>Bồi hoàn:</t>
  </si>
  <si>
    <t>Đã thanh toán qua ví/SDC:</t>
  </si>
  <si>
    <t>Tiền chuyển khoản còn thừa:</t>
  </si>
  <si>
    <t>Phí chuyển khoản:</t>
  </si>
  <si>
    <t>Số tiền GHTK chuyển cho Shop:</t>
  </si>
  <si>
    <t>(Tiền CoD - Phí khai giá - Phí giao hàng - Phí dễ vỡ - Phí gia cố  - Phí thực phẩm khô - Phí hàng nguyên hộp - Phí thử hàng / đồng kiểm - Phí giao tận cửa - Phí kiểm tra tình trạng ĐH - Phí biên bản bàn giao có chữ ký - Phí thư tín, tài liệu - Phí HSD ngắn - Phí cây cối - Phí xác nhận OTP - Phí chuyển hoàn - Phí thay đổi địa chỉ giao - Phí lưu kho - Phí nguyên vật liệu - Phí giao lại - Phí trả lại hàng - Phí đổi địa chỉ trả hàng - Phí GAM - Tiền tip + Khuyến mãi - Phí dịch vụ cấn trừ + Phí dịch vụ hoàn lại + Phí dịch vụ đã thanh toán - Đã thanh toán qua ví/SDC - Nợ tồn + Bồi hoàn -  Phí chuyển khoản)</t>
  </si>
  <si>
    <t>CHI TIẾT</t>
  </si>
  <si>
    <t>STT</t>
  </si>
  <si>
    <t>Mã đơn hàng</t>
  </si>
  <si>
    <t>Mã đơn hàng shop</t>
  </si>
  <si>
    <t>Trạng thái đơn hàng</t>
  </si>
  <si>
    <t>Ngày tạo</t>
  </si>
  <si>
    <t>Ngày hoàn thành</t>
  </si>
  <si>
    <t>Khối lượng (Kg)</t>
  </si>
  <si>
    <t>Thông tin khách hàng</t>
  </si>
  <si>
    <t>Tiền CoD</t>
  </si>
  <si>
    <t>Phí khai giá</t>
  </si>
  <si>
    <t>Phí giao hàng</t>
  </si>
  <si>
    <t>Phí dễ vỡ</t>
  </si>
  <si>
    <t xml:space="preserve">Phí gia cố </t>
  </si>
  <si>
    <t>Phí thực phẩm khô</t>
  </si>
  <si>
    <t>Phí hàng nguyên hộp</t>
  </si>
  <si>
    <t>Phí thử hàng / đồng kiểm</t>
  </si>
  <si>
    <t>Phí giao tận cửa</t>
  </si>
  <si>
    <t>Phí kiểm tra tình trạng ĐH</t>
  </si>
  <si>
    <t>Phí biên bản bàn giao có chữ ký</t>
  </si>
  <si>
    <t>Phí thư tín, tài liệu</t>
  </si>
  <si>
    <t>Phí HSD ngắn</t>
  </si>
  <si>
    <t>Phí cây cối</t>
  </si>
  <si>
    <t>Phí xác nhận OTP</t>
  </si>
  <si>
    <t>Phí đồng kiểm lấy</t>
  </si>
  <si>
    <t>Phí chuyển hoàn</t>
  </si>
  <si>
    <t>Phí thay đổi địa chỉ giao</t>
  </si>
  <si>
    <t>Phí lưu kho</t>
  </si>
  <si>
    <t>Tiền tip COD</t>
  </si>
  <si>
    <t>Phí nguyên vật liệu</t>
  </si>
  <si>
    <t>Phí giao lại</t>
  </si>
  <si>
    <t>Phí trả lại hàng</t>
  </si>
  <si>
    <t>Phí đổi địa chỉ trả hàng</t>
  </si>
  <si>
    <t>Phí GAM</t>
  </si>
  <si>
    <t>Khuyến mãi</t>
  </si>
  <si>
    <t>Phí dịch vụ cấn trừ (1)</t>
  </si>
  <si>
    <t>Phí dịch vụ hoàn lại (2)</t>
  </si>
  <si>
    <t>Phí dịch vụ đã thanh toán (3)</t>
  </si>
  <si>
    <t>Đã thanh toán qua ví/SDC</t>
  </si>
  <si>
    <t>Thanh toán</t>
  </si>
  <si>
    <t>Ghi Chú</t>
  </si>
  <si>
    <t>S22693229.BO.MT19-01-T03.1617280376</t>
  </si>
  <si>
    <t>SAPO162787175_603550</t>
  </si>
  <si>
    <t>Đã đối soát công nợ trả hàng</t>
  </si>
  <si>
    <t>05:24, 25-06-2026</t>
  </si>
  <si>
    <t>15:32, 10-07-2026</t>
  </si>
  <si>
    <t xml:space="preserve">PHẠM SƠN DŨNG
 25/21 Chung cư Đặng Thái Thân, Phường Xuân Hương - Đà Lạt, Phường Xuân Hương - Đà Lạt, Lâm Đồng
 0982779159
 </t>
  </si>
  <si>
    <t>S22693229.MB10-12-L14.1286072852</t>
  </si>
  <si>
    <t>SAPO163164045_603550</t>
  </si>
  <si>
    <t>13:42, 25-06-2026</t>
  </si>
  <si>
    <t>23:09, 08-07-2026</t>
  </si>
  <si>
    <t xml:space="preserve">Ngô Thu Hà
 Tổ 4 khu 5 - số nhà 58, Phường Việt Hưng, Phường Việt Hưng, Quảng Ninh
 0987986081
 </t>
  </si>
  <si>
    <t>S22693229.BO.SGP15-H13.1573591712</t>
  </si>
  <si>
    <t>SAPO163639672_603550</t>
  </si>
  <si>
    <t>Đã đối soát</t>
  </si>
  <si>
    <t>09:29, 26-06-2026</t>
  </si>
  <si>
    <t>14:37, 11-07-2026</t>
  </si>
  <si>
    <t xml:space="preserve">quynh hoang
 2, Phường Thạnh Mỹ Tây, Phường Thạnh Mỹ Tây, TP Hồ Chí Minh
 0981992070
 </t>
  </si>
  <si>
    <t>S22693229.HNP139-V72.1220334019</t>
  </si>
  <si>
    <t>SAPO163769648_603550</t>
  </si>
  <si>
    <t>13:26, 26-06-2026</t>
  </si>
  <si>
    <t>17:10, 10-07-2026</t>
  </si>
  <si>
    <t xml:space="preserve">Hủyn
 xóm chùa mới Xã Đỗ Động, Xã Thanh Oai, Xã Thanh Oai, Hà Nội, Xã Thanh Oai, Xã Thanh Oai, Hà Nội
 0372359386
 </t>
  </si>
  <si>
    <t>S22693229.MB25-27-X5.1287300454</t>
  </si>
  <si>
    <t>SAPO163987194_603550</t>
  </si>
  <si>
    <t>21:53, 26-06-2026</t>
  </si>
  <si>
    <t>20:41, 08-07-2026</t>
  </si>
  <si>
    <t xml:space="preserve">Ngọc Nam
 Thôn Hưng Sơn  Minh Sơn, Xã Minh Sơn, Xã Minh Sơn, Thanh Hóa
 0328733828
 </t>
  </si>
  <si>
    <t>S22693229.BO.SGP15-H13.1727758791</t>
  </si>
  <si>
    <t>SAPO164181349_603550</t>
  </si>
  <si>
    <t>09:10, 27-06-2026</t>
  </si>
  <si>
    <t>10:28, 08-07-2026</t>
  </si>
  <si>
    <t xml:space="preserve">chị Hồng
 Villa Vinhomes Golden River Tôn Đức Thắng, Phường Sài Gòn, Phường Sài Gòn, TP Hồ Chí Minh, Phường Sài Gòn, Phường Sài Gòn, TP Hồ Chí Minh
 0903713579
 </t>
  </si>
  <si>
    <t>S22693229.BO.MN9-02-E11.1436492541</t>
  </si>
  <si>
    <t>SAPO164182511_603550</t>
  </si>
  <si>
    <t>09:12, 27-06-2026</t>
  </si>
  <si>
    <t>18:02, 08-07-2026</t>
  </si>
  <si>
    <t xml:space="preserve">Cao Quốc Minh
 Công Ty Tỷ Bách, Khu công nghiệp Bình Minh, Phường Cái Vồn, Phường Cái Vồn, Vĩnh Long
 0795423257
 </t>
  </si>
  <si>
    <t>S22693229.BO.DN8-E23.1196500656</t>
  </si>
  <si>
    <t>SAPO164185381_603550</t>
  </si>
  <si>
    <t>09:16, 27-06-2026</t>
  </si>
  <si>
    <t>14:54, 08-07-2026</t>
  </si>
  <si>
    <t xml:space="preserve">Nguyễn Thị Hồng Thu
 79 Bùi Xương Trạch, Phường Cẩm Lệ, Phường Cẩm Lệ, Đà Nẵng
 0906441695
 </t>
  </si>
  <si>
    <t>S22693229.HNP74-G1.1862522874</t>
  </si>
  <si>
    <t>SAPO165132730_603550</t>
  </si>
  <si>
    <t>08:28, 29-06-2026</t>
  </si>
  <si>
    <t>10:10, 08-07-2026</t>
  </si>
  <si>
    <t xml:space="preserve">Dung Nguyễn
 Tòa nhà vietinbank 25 Tân Mai, Phường Tương Mai, Phường Tương Mai, Hà Nội
 0912645075
 </t>
  </si>
  <si>
    <t>S22693229.BO.MN2-05-E13.1700995298</t>
  </si>
  <si>
    <t>SAPO165231778_603550</t>
  </si>
  <si>
    <t>09:36, 29-06-2026</t>
  </si>
  <si>
    <t>21:45, 09-07-2026</t>
  </si>
  <si>
    <t xml:space="preserve">Trần Vân
 Số 58, D5, kp Tân Thắng, Phường Tân Đông Hiệp, Phường Tân Đông Hiệp, TP Hồ Chí Minh
 0977176139
 </t>
  </si>
  <si>
    <t>S22693229.BO.MN13-05-E02.1471062359</t>
  </si>
  <si>
    <t>SAPO165237420_603550</t>
  </si>
  <si>
    <t>09:42, 29-06-2026</t>
  </si>
  <si>
    <t>20:34, 09-07-2026</t>
  </si>
  <si>
    <t xml:space="preserve">Châu thị bích lành
 Ấp hòa thới, Xã Định Mỹ, Xã Định Mỹ, An Giang
 0918198287
 </t>
  </si>
  <si>
    <t>S22693229.MB20-01-B2.1646642418</t>
  </si>
  <si>
    <t>SAPO165240255_603550</t>
  </si>
  <si>
    <t>09:45, 29-06-2026</t>
  </si>
  <si>
    <t>08:26, 10-07-2026</t>
  </si>
  <si>
    <t xml:space="preserve">Lê Thị Phương Hảo
 Thôn tin đồn, xã thượng giáo, huyện ba bể, tỉnh bắc kạn, Xã Chợ Rã, Xã Chợ Rã, Thái Nguyên
 0372600531
 </t>
  </si>
  <si>
    <t>S22693229.HNP23-A83.1860631510</t>
  </si>
  <si>
    <t>SAPO165739422_603550</t>
  </si>
  <si>
    <t>08:24, 30-06-2026</t>
  </si>
  <si>
    <t>17:46, 11-07-2026</t>
  </si>
  <si>
    <t xml:space="preserve">Ngân Nguyễn Hoàng
 28c vạn bảo, Phường Ngọc Hà, Phường Ngọc Hà, Hà Nội
 0906829696
 </t>
  </si>
  <si>
    <t>S22693229.BO.MT4-02-B2.1737815457</t>
  </si>
  <si>
    <t>SAPO165780380_603550</t>
  </si>
  <si>
    <t>09:01, 30-06-2026</t>
  </si>
  <si>
    <t>16:12, 08-07-2026</t>
  </si>
  <si>
    <t xml:space="preserve">Phan hương
 368 quang trung, Phường Ba Đồn, Phường Ba Đồn, Quảng Trị
 0912549711
 </t>
  </si>
  <si>
    <t>S22693229.BO.SGP105-N39.1631933857</t>
  </si>
  <si>
    <t>SAPO165780388_603550</t>
  </si>
  <si>
    <t>15:52, 08-07-2026</t>
  </si>
  <si>
    <t xml:space="preserve">Chúc Phước
 292/21 CMT8 P. Nhiêu Lộc TPHCM, Phường Nhiêu Lộc, Phường Nhiêu Lộc, TP Hồ Chí Minh
 0935702914
 </t>
  </si>
  <si>
    <t>S22693229.MB10-06-F9.1858840278</t>
  </si>
  <si>
    <t>SAPO165781076_603550</t>
  </si>
  <si>
    <t>09:02, 30-06-2026</t>
  </si>
  <si>
    <t>22:58, 11-07-2026</t>
  </si>
  <si>
    <t xml:space="preserve">Trung Hoàng xuân
 Ga Cáp Treo / Am Ngọa Vân/ Thôn Trại Lốc/ Xã An Sinh / Đông Triều/ Quảng Ninh, Phường An Sinh, Phường An Sinh, Quảng Ninh
 0335156768
 </t>
  </si>
  <si>
    <t>S22693229.BO.MT10-04-D16.1769573664</t>
  </si>
  <si>
    <t>SAPO165781796_603550</t>
  </si>
  <si>
    <t>09:03, 30-06-2026</t>
  </si>
  <si>
    <t>16:00, 09-07-2026</t>
  </si>
  <si>
    <t xml:space="preserve">Tuyết
 Chung cư An Phú Thịnh Block C, Phường Quy Nhơn Đông, Phường Quy Nhơn Đông, Gia Lai
 0967516516
 </t>
  </si>
  <si>
    <t>S22693229.BO.DN7-M15.1570972887</t>
  </si>
  <si>
    <t>SAPO165783416_603550</t>
  </si>
  <si>
    <t>09:05, 30-06-2026</t>
  </si>
  <si>
    <t>18:03, 08-07-2026</t>
  </si>
  <si>
    <t xml:space="preserve">Đỗ toàn tài
 K18/13 Nguyễn Văn thoại,phường Mỹ an, quận ngũ hành Sơn,tp đà nẵng, Phường Ngũ Hành Sơn, Phường Ngũ Hành Sơn, Đà Nẵng
 0905333834
 </t>
  </si>
  <si>
    <t>S22693229.HNP45-C183.1397855353</t>
  </si>
  <si>
    <t>ESO3149860 - đổi 8723</t>
  </si>
  <si>
    <t>15:30, 30-06-2026</t>
  </si>
  <si>
    <t>13:01, 11-07-2026</t>
  </si>
  <si>
    <t xml:space="preserve">Đào văn sỹ
 Ct13a, khu đô thị Nam thăng long, đường võ chí công, Phường Phú Thượng, Quận Tây Hồ, Hà Nội, Vietnam, Phường Phú Thượng, Phường Phú Thượng, Hà Nội
 0976434539
 </t>
  </si>
  <si>
    <t>S22693229.BO.SGP76-V44.1523977653</t>
  </si>
  <si>
    <t>SAPO166403843_603550</t>
  </si>
  <si>
    <t>09:07, 01-07-2026</t>
  </si>
  <si>
    <t>17:45, 08-07-2026</t>
  </si>
  <si>
    <t xml:space="preserve">Ngat Nguyen
 85/17 Trần Kế Xương, P. Cầu Kiệu, Tp.HCM, Phường Cầu Kiệu, Phường Cầu Kiệu, TP Hồ Chí Minh
 0909204783
 </t>
  </si>
  <si>
    <t>S22693229.MB6-10-E7.1830559003</t>
  </si>
  <si>
    <t>SAPO166405275_603550</t>
  </si>
  <si>
    <t>09:09, 01-07-2026</t>
  </si>
  <si>
    <t>19:18, 10-07-2026</t>
  </si>
  <si>
    <t xml:space="preserve">Phạm Thị Thanh Tú
 Thôn Nam Cầu, Xã Trường Tân, Xã Trường Tân, Hải Phòng
 0983089567
 </t>
  </si>
  <si>
    <t>S22693229.MB26-16-B12.1348626414</t>
  </si>
  <si>
    <t>SAPO166409859_603550</t>
  </si>
  <si>
    <t>09:15, 01-07-2026</t>
  </si>
  <si>
    <t>07:30, 08-07-2026</t>
  </si>
  <si>
    <t xml:space="preserve">Lý
 Xóm hưng nghĩa 6, xã Lam Thanh , nghệ an, Xã Lam Thành, Xã Lam Thành, Nghệ An
 0356777848
 </t>
  </si>
  <si>
    <t>S22693229.BO.DN17-I9.1766380248</t>
  </si>
  <si>
    <t>SAPO166409856_603550</t>
  </si>
  <si>
    <t>16:52, 08-07-2026</t>
  </si>
  <si>
    <t xml:space="preserve">Linh
 100 châu thượng văn, Phường Hải Châu, Phường Hải Châu, Đà Nẵng
 0971323227
 </t>
  </si>
  <si>
    <t>S22693229.BO.DN8-E14.1787395164</t>
  </si>
  <si>
    <t>SAPO166410914_603550</t>
  </si>
  <si>
    <t>09:17, 01-07-2026</t>
  </si>
  <si>
    <t>16:33, 08-07-2026</t>
  </si>
  <si>
    <t xml:space="preserve">Thắng Trần V
 24 nguyễn phước lan, Phường Hòa Xuân, Phường Hòa Xuân, Đà Nẵng
 0915853333
 </t>
  </si>
  <si>
    <t>S22693229.BO.MN7-10-O5.1070401941</t>
  </si>
  <si>
    <t>SAPO166412653_603550</t>
  </si>
  <si>
    <t>09:19, 01-07-2026</t>
  </si>
  <si>
    <t>07:02, 08-07-2026</t>
  </si>
  <si>
    <t xml:space="preserve">Nguyễn Văn Oanh
 Thiền viện Trúc Lâm Chánh Giác, Xã Tân Phước 2, Xã Tân Phước 2, Đồng Tháp
 0982502557
 </t>
  </si>
  <si>
    <t>S22693229.BO.SGP45-V09.1455441179</t>
  </si>
  <si>
    <t>SAPO166416417_603550</t>
  </si>
  <si>
    <t>09:24, 01-07-2026</t>
  </si>
  <si>
    <t>14:06, 10-07-2026</t>
  </si>
  <si>
    <t xml:space="preserve">Vũ trang nhung
 A2.12.04 Chung cư Centum Wealth, 2A Phan Chu Trinh, Phường Tăng Nhơn Phú, Phường Tăng Nhơn Phú, TP Hồ Chí Minh
 0903331221
 </t>
  </si>
  <si>
    <t>S22693229.MB1-07-G10.1544641801</t>
  </si>
  <si>
    <t>SAPO167109404_603550</t>
  </si>
  <si>
    <t>09:03, 02-07-2026</t>
  </si>
  <si>
    <t>17:43, 08-07-2026</t>
  </si>
  <si>
    <t xml:space="preserve">Tran Nga
 nhân hà ninh bình, Xã Nhân Hà, Xã Nhân Hà, Ninh Bình
 0889609777
 </t>
  </si>
  <si>
    <t>S22693229.MB13-01-F8.1313138892</t>
  </si>
  <si>
    <t>SAPO167110280_603550</t>
  </si>
  <si>
    <t>18:35, 11-07-2026</t>
  </si>
  <si>
    <t xml:space="preserve">Nguyễn Minh Tân
 Tổ Dân Phố Giếng Tanh, Phường Mỹ Lâm, Phường Mỹ Lâm, Tuyên Quang
 0369113847
 </t>
  </si>
  <si>
    <t>S22693229.BO.MN2-13-F81.1892492522</t>
  </si>
  <si>
    <t>SAPO167118122_603550</t>
  </si>
  <si>
    <t>09:10, 02-07-2026</t>
  </si>
  <si>
    <t xml:space="preserve">KHÁCH LẺ
 KCN Việt Hương 2 đường số 6 công ty Chungxiang AN TÂY BẾN CÁT, Phường Bình Dương, Phường Bình Dương, TP Hồ Chí Minh
 0374074644
 </t>
  </si>
  <si>
    <t>S22693229.HNP05-G48.1133479255</t>
  </si>
  <si>
    <t>SAPO167119747_603550</t>
  </si>
  <si>
    <t>09:12, 02-07-2026</t>
  </si>
  <si>
    <t xml:space="preserve">Lê Đình Đăng
 Số 20 Nhà B Tập thể Quân đội C30- Cục vật tư, Phường Khương Đình, Phường Khương Đình, Hà Nội
 0975888977
 </t>
  </si>
  <si>
    <t>S22693229.BO.MT8-02-B24.1408097221</t>
  </si>
  <si>
    <t>SAPO167124127_603550</t>
  </si>
  <si>
    <t>09:18, 02-07-2026</t>
  </si>
  <si>
    <t>15:27, 08-07-2026</t>
  </si>
  <si>
    <t xml:space="preserve">Phan viết tín
 Đường Dũng sĩ điện Ngọc, Phường Điện Bàn Đông, Phường Điện Bàn Đông, Đà Nẵng
 0935029218
 </t>
  </si>
  <si>
    <t>S22693229.BO.MT4-06-F9.1270525950</t>
  </si>
  <si>
    <t>SAPO167128656_603550</t>
  </si>
  <si>
    <t>09:23, 02-07-2026</t>
  </si>
  <si>
    <t>14:35, 08-07-2026</t>
  </si>
  <si>
    <t xml:space="preserve">Võ thị hồng
 UBND xã An Ninh, Xã Trường Ninh, Xã Trường Ninh, Quảng Trị
 0975852702
 </t>
  </si>
  <si>
    <t>S22693229.BO.MN2-07-TK32.1135714762</t>
  </si>
  <si>
    <t>SAPO167137707_603550</t>
  </si>
  <si>
    <t>09:33, 02-07-2026</t>
  </si>
  <si>
    <t>20:21, 08-07-2026</t>
  </si>
  <si>
    <t xml:space="preserve">Duyên
 76 An Bình, Phường Dĩ An, Phường Dĩ An, TP Hồ Chí Minh
 0923391868
 </t>
  </si>
  <si>
    <t>S22693229.BO.SG12-04-B16.1521179865</t>
  </si>
  <si>
    <t>SAPO167137801_603550</t>
  </si>
  <si>
    <t>14:48, 09-07-2026</t>
  </si>
  <si>
    <t xml:space="preserve">Diệp Thị Sô Đa
 Ấp 15, Xã Xuân Thới Sơn, Xã Xuân Thới Sơn, TP Hồ Chí Minh
 0335629598
 </t>
  </si>
  <si>
    <t>S22693229.HNP39-C17.1461084044</t>
  </si>
  <si>
    <t>SAPO167246204_603550</t>
  </si>
  <si>
    <t>13:21, 02-07-2026</t>
  </si>
  <si>
    <t>19:26, 09-07-2026</t>
  </si>
  <si>
    <t xml:space="preserve">Ngô Trung Kiên
 SA5 Vinmart Tây Mỗ, Phường Tây Mỗ, Phường Tây Mỗ, Hà Nội
 0977466439
 </t>
  </si>
  <si>
    <t>S22693229.BO.DN9-O10.1991942046</t>
  </si>
  <si>
    <t>SAPO167261001_603550</t>
  </si>
  <si>
    <t>13:35, 02-07-2026</t>
  </si>
  <si>
    <t>17:33, 08-07-2026</t>
  </si>
  <si>
    <t xml:space="preserve">Vũ Trung Tấn Hưng
 K85/12, Nguyễn Như Hạnh, Liên Chiểu, Đà Nẵng, Phường Hòa Khánh, Phường Hòa Khánh, Đà Nẵng
 0365300051
 </t>
  </si>
  <si>
    <t>S22693229.MN2-05-E13.1985161492</t>
  </si>
  <si>
    <t>SAPO167660621_603550</t>
  </si>
  <si>
    <t>08:56, 03-07-2026</t>
  </si>
  <si>
    <t>20:11, 09-07-2026</t>
  </si>
  <si>
    <t xml:space="preserve">Trần hường
 Số nhà 700 , kp đông chiêu , Tân đông hiệp , Dĩ An , Bình Dương, Phường Tân Đông Hiệp, Phường Tân Đông Hiệp, TP Hồ Chí Minh
 0978267609
 </t>
  </si>
  <si>
    <t>S22693229.MN4-01-A52.1556209517</t>
  </si>
  <si>
    <t>SAPO167661741_603550</t>
  </si>
  <si>
    <t>08:57, 03-07-2026</t>
  </si>
  <si>
    <t>11:15, 10-07-2026</t>
  </si>
  <si>
    <t xml:space="preserve">Trần tuấn
 1187, cmt8, hiệp nghĩa, hiệp ninh, thành phố tây ninh, tỉnh tây ninh., Phường Tân Ninh, Phường Tân Ninh, Tây Ninh
 0858842245
 </t>
  </si>
  <si>
    <t>S22693229.MB8-04-D11.1800994716</t>
  </si>
  <si>
    <t>SAPO167672197_603550</t>
  </si>
  <si>
    <t>09:08, 03-07-2026</t>
  </si>
  <si>
    <t>22:07, 08-07-2026</t>
  </si>
  <si>
    <t xml:space="preserve">Vàng mì de
 Cầu Sắt, Khu Đa Cấu, P Nam Sơn, Bắc Ninh, Phường Nam Sơn, Phường Nam Sơn, Bắc Ninh
 0352413644
 </t>
  </si>
  <si>
    <t>S22693229.BO.MT10-05-E52.1295817633</t>
  </si>
  <si>
    <t>SAPO167672735_603550</t>
  </si>
  <si>
    <t>17:58, 08-07-2026</t>
  </si>
  <si>
    <t xml:space="preserve">Nguyễn thị phượng
 156 lê quý đôn phường nhơn hòa thị xã an nhơn bình định, Phường An Nhơn Nam, Phường An Nhơn Nam, Gia Lai
 0979842591
 </t>
  </si>
  <si>
    <t>S22693229.BO.MT9-15-P27.1149984285</t>
  </si>
  <si>
    <t>SAPO167672699_603550</t>
  </si>
  <si>
    <t>16:23, 10-07-2026</t>
  </si>
  <si>
    <t xml:space="preserve">Nguyễn Thị Nhi
 Trường mầm non Đức Thắng, mộ đức, quảng ngãi, Xã Long Phụng, Xã Long Phụng, Quảng Ngãi
 0819911122
 </t>
  </si>
  <si>
    <t>S22693229.MB6-05-A3.1970290744</t>
  </si>
  <si>
    <t>SAPO167672725_603550</t>
  </si>
  <si>
    <t>12:40, 08-07-2026</t>
  </si>
  <si>
    <t xml:space="preserve">KẾ TOÁN SANGSHIN
 CÔNG TY TNHH SANGSHIN VIETNAM ELECTRONICS, KCN ĐẠI AN MỞ RỘNG, Phường Tứ Minh, Phường Tứ Minh, Hải Phòng
 0906127943
 </t>
  </si>
  <si>
    <t>S22693229.BO.HNP141-T31.1836381042</t>
  </si>
  <si>
    <t>SAPO167673582_603550</t>
  </si>
  <si>
    <t>09:09, 03-07-2026</t>
  </si>
  <si>
    <t>16:27, 08-07-2026</t>
  </si>
  <si>
    <t xml:space="preserve">Phạm văn Hiếu
 Nhà số 5 ngõ 50 xóm Phạm, Xã Hồng Vân, Xã Hồng Vân, Hà Nội
 0389436191
 </t>
  </si>
  <si>
    <t>S22693229.BO.MT17-04-E07.1360795574</t>
  </si>
  <si>
    <t>SAPO167673762_603550</t>
  </si>
  <si>
    <t>17:55, 08-07-2026</t>
  </si>
  <si>
    <t xml:space="preserve">Trịnh Thảo
 42 Phạm Hùng, Phường Tân An, Phường Tân An, Đắk Lắk
 0935095278
 </t>
  </si>
  <si>
    <t>S22693229.MB5-05-E15.1202615195</t>
  </si>
  <si>
    <t>SAPO167674294_603550</t>
  </si>
  <si>
    <t>21:01, 08-07-2026</t>
  </si>
  <si>
    <t xml:space="preserve">Đoàn Hường
 CH điện nước Trường Sơn, Xã Nghĩa Trụ, Xã Nghĩa Trụ, Hưng Yên
 0985170972
 </t>
  </si>
  <si>
    <t>S22693229.BO.MB10-24-N21.1569253750</t>
  </si>
  <si>
    <t>SAPO167675567_603550</t>
  </si>
  <si>
    <t>09:11, 03-07-2026</t>
  </si>
  <si>
    <t>07:33, 09-07-2026</t>
  </si>
  <si>
    <t xml:space="preserve">Thu hà
 Phường Hạ long, Phường Hồng Gai, Phường Hồng Gai, Quảng Ninh
 0868088973
 </t>
  </si>
  <si>
    <t>S22693229.BO.SGP34-K66.1191627160</t>
  </si>
  <si>
    <t>SAPO167677049_603550</t>
  </si>
  <si>
    <t>09:13, 03-07-2026</t>
  </si>
  <si>
    <t>09:32, 10-07-2026</t>
  </si>
  <si>
    <t xml:space="preserve">Kim Anh
 568/153a lê văn khương, Hẻm 572 Lê Văn Khương, Phường Thới An, Phường Thới An, TP Hồ Chí Minh
 0938075492
 </t>
  </si>
  <si>
    <t>S22693229.BO.MN4-05-H131.1457218623</t>
  </si>
  <si>
    <t>SAPO167678190_603550</t>
  </si>
  <si>
    <t>16:18, 10-07-2026</t>
  </si>
  <si>
    <t xml:space="preserve">Trẩn thùy mỵ
 Ấp tua ha, Xã Châu Thành, Xã Châu Thành, Tây Ninh
 0988385538
 </t>
  </si>
  <si>
    <t>S22693229.MB22-03-D1.1383152763</t>
  </si>
  <si>
    <t>SAPO167679169_603550</t>
  </si>
  <si>
    <t>09:14, 03-07-2026</t>
  </si>
  <si>
    <t>19:34, 10-07-2026</t>
  </si>
  <si>
    <t xml:space="preserve">Thuỷ
 Thôn Độc lập, xã Khánh Yên Hạ, huyện Văn Bàn, tỉnh Lào Cai, Xã Khánh Yên, Xã Khánh Yên, Lào Cai
 0915822536
 </t>
  </si>
  <si>
    <t>S22693229.MB8-01-A8.1120596322</t>
  </si>
  <si>
    <t>SAPO167679307_603550</t>
  </si>
  <si>
    <t>09:15, 03-07-2026</t>
  </si>
  <si>
    <t>22:06, 10-07-2026</t>
  </si>
  <si>
    <t xml:space="preserve">Thai Ha
 Trường Phổ thông quốc tế Kinh Bắc, Phường Võ Cường, Phường Võ Cường, Bắc Ninh
 0977621311
 </t>
  </si>
  <si>
    <t>S22693229.MB23-01-A2.1437949567</t>
  </si>
  <si>
    <t>SAPO167679909_603550</t>
  </si>
  <si>
    <t>09:07, 11-07-2026</t>
  </si>
  <si>
    <t xml:space="preserve">Vũ Huyền
 Tổ 10 Tân Phong, Phường Tân Phong, Phường Tân Phong, Lai Châu
 0911563999
 </t>
  </si>
  <si>
    <t>S22693229.MB26-09-N16.1249077366</t>
  </si>
  <si>
    <t>SAPO167693106_603550</t>
  </si>
  <si>
    <t>09:32, 03-07-2026</t>
  </si>
  <si>
    <t>11:11, 08-07-2026</t>
  </si>
  <si>
    <t xml:space="preserve">Tuyen Tran
 Cty cổ phần tập đoàn Thanh Chương, Xóm 4 Xã Đại Đồng, Nghệ An, Xã Đại Đồng, Xã Đại Đồng, Nghệ An
 0912349786
 </t>
  </si>
  <si>
    <t>S22693229.BO.MN4-05-H131.1893240981</t>
  </si>
  <si>
    <t>SAPO167693327_603550</t>
  </si>
  <si>
    <t>16:21, 10-07-2026</t>
  </si>
  <si>
    <t>S22693229.BO.SGP34-K62.1626985478</t>
  </si>
  <si>
    <t>SAPO167693359_603550</t>
  </si>
  <si>
    <t>18:17, 10-07-2026</t>
  </si>
  <si>
    <t xml:space="preserve">Thư Phan
 Số 1 Đường Tx22, Phường Thới An, Phường Thới An, TP Hồ Chí Minh
 0947644802
 </t>
  </si>
  <si>
    <t>S22693229.BO.MT12-07-D24.1701669991</t>
  </si>
  <si>
    <t>SAPO167693868_603550</t>
  </si>
  <si>
    <t>09:33, 03-07-2026</t>
  </si>
  <si>
    <t>12:18, 10-07-2026</t>
  </si>
  <si>
    <t xml:space="preserve">Vũ Cao
 Quán Phở Ngon,Cây Số 3 Đại Lộ Nguyễn Tất Thành Tdp Phước Thủy, Phường Nam Nha Trang, Phường Nam Nha Trang, Khánh Hòa
 0976373579
 </t>
  </si>
  <si>
    <t>S22693229.BO.SGP05-N22.1162947069</t>
  </si>
  <si>
    <t>SAPO167693962_603550</t>
  </si>
  <si>
    <t>16:37, 08-07-2026</t>
  </si>
  <si>
    <t xml:space="preserve">Lê Văn Thành
 60 Đường Nguyễn Tư Giản, Phường An Hội Tây, Phường An Hội Tây, TP Hồ Chí Minh
 0937690341
 </t>
  </si>
  <si>
    <t>S22693229.BO.MT19-07-I56.1152061094</t>
  </si>
  <si>
    <t>SAPO167694289_603550</t>
  </si>
  <si>
    <t>20:33, 10-07-2026</t>
  </si>
  <si>
    <t xml:space="preserve">Hanh Ha
 Nhà vườn Kim Tân, thôn 8, Bà Gia, Dahuoai, Lâm đồng, Xã Bà Gia, Huyện Đạ Huoai, Lâm Đồng, Xã Đạ Huoai, Xã Đạ Huoai, Lâm Đồng
 0947451602
 </t>
  </si>
  <si>
    <t>S22693229.BO.SGP34-K68.1729615083</t>
  </si>
  <si>
    <t>SAPO167694319_603550</t>
  </si>
  <si>
    <t>14:20, 09-07-2026</t>
  </si>
  <si>
    <t xml:space="preserve">Ph Snoppy
 Tx13  Thạnh Xuân  12, Phường Thới An, Phường Thới An, TP Hồ Chí Minh
 0930150785
 </t>
  </si>
  <si>
    <t>S22693229.BO.HNP03-Y55.1094813423</t>
  </si>
  <si>
    <t>SAPO167813006_603550</t>
  </si>
  <si>
    <t>13:16, 03-07-2026</t>
  </si>
  <si>
    <t>16:21, 09-07-2026</t>
  </si>
  <si>
    <t xml:space="preserve">Đoàn Văn Dương
 XRJ7+JVR, Phường Định Công, Phường Định Công, Hà Nội
 0913100476
 </t>
  </si>
  <si>
    <t>S22693229.HNP23-A83.1086790169</t>
  </si>
  <si>
    <t>SAPO167813288_603550</t>
  </si>
  <si>
    <t>13:17, 03-07-2026</t>
  </si>
  <si>
    <t>20:32, 08-07-2026</t>
  </si>
  <si>
    <t xml:space="preserve">Dương
 G1 khu 7.2ha vĩnh phúc, Phường Ngọc Hà, Phường Ngọc Hà, Hà Nội
 0336564094
 </t>
  </si>
  <si>
    <t>S22693229.BO.MT8-02-B24.1444408605</t>
  </si>
  <si>
    <t>Giao 1p thu 1p 584782665148499830</t>
  </si>
  <si>
    <t>13:24, 03-07-2026</t>
  </si>
  <si>
    <t>15:44, 08-07-2026</t>
  </si>
  <si>
    <t xml:space="preserve">Thuý Kiều
 Số 4 phạm như xương, Duyên Beauty , điện bàn đông, thành phố đà nẵng 
Phường Điện Bàn Đông,Phường Điện Bàn Đông,Đà Nẵng,Việt Nam, Phường Điện Bàn Đông, Phường Điện Bàn Đông, Đà Nẵng
 0905623155
 </t>
  </si>
  <si>
    <t>S22693229.BO.SGP39-Q21.1084247827</t>
  </si>
  <si>
    <t>SAPO167841573_603550</t>
  </si>
  <si>
    <t>13:45, 03-07-2026</t>
  </si>
  <si>
    <t>17:38, 09-07-2026</t>
  </si>
  <si>
    <t xml:space="preserve">Trần Anh Đào
 1 Nam Kỳ Khởi Nghĩa, Phường Bến Thành, Phường Bến Thành, TP Hồ Chí Minh
 0908460609
 </t>
  </si>
  <si>
    <t>S22693229.BO.MT17-12-A11.1089283433</t>
  </si>
  <si>
    <t>SAPO167841599_603550</t>
  </si>
  <si>
    <t>16:44, 09-07-2026</t>
  </si>
  <si>
    <t xml:space="preserve">Trương Thị lựu
 Thôn 6 xã easup, Xã Ea Súp, Xã Ea Súp, Đắk Lắk
 0865139567
 </t>
  </si>
  <si>
    <t>S22693229.MB24-08-H2.1860696584</t>
  </si>
  <si>
    <t>SAPO167841609_603550</t>
  </si>
  <si>
    <t>07:58, 10-07-2026</t>
  </si>
  <si>
    <t xml:space="preserve">Trần thu thủy
 Sín Sủ 1 xá nhè tủa chùa, Xã Sáng Nhè, Xã Sáng Nhè, Điện Biên
 0962291860
 </t>
  </si>
  <si>
    <t>S22693229.BO.SGP59-P73.1022070207</t>
  </si>
  <si>
    <t>SAPO167843575_603550</t>
  </si>
  <si>
    <t>13:47, 03-07-2026</t>
  </si>
  <si>
    <t>17:59, 08-07-2026</t>
  </si>
  <si>
    <t xml:space="preserve">Đinh Cao Đức
 19/1/19 Kinh Dương Vương, Phường Phú Lâm, Phường Phú Lâm, TP Hồ Chí Minh
 0903889510
 </t>
  </si>
  <si>
    <t>S22693229.MB7-17-A39.1147608919</t>
  </si>
  <si>
    <t>SAPO167845525_603550</t>
  </si>
  <si>
    <t>13:50, 03-07-2026</t>
  </si>
  <si>
    <t>19:41, 11-07-2026</t>
  </si>
  <si>
    <t xml:space="preserve">Trần Thanh Minh
 21/204 Tô Hiệu, Phường Lê Chân, Phường Lê Chân, Hải Phòng
 0975763795
 </t>
  </si>
  <si>
    <t>S22693229.MB27-04-D3.1799495324</t>
  </si>
  <si>
    <t>SAPO167848973_603550</t>
  </si>
  <si>
    <t>13:54, 03-07-2026</t>
  </si>
  <si>
    <t>16:03, 10-07-2026</t>
  </si>
  <si>
    <t xml:space="preserve">Lê thị tuyết
 Tdp4 thị trấn phố châu, Xã Hương Sơn, Xã Hương Sơn, Hà Tĩnh
 0917334488
 </t>
  </si>
  <si>
    <t>S22693229.HNP23-A83.1829512067</t>
  </si>
  <si>
    <t>SAPO168179156_603550</t>
  </si>
  <si>
    <t>08:17, 04-07-2026</t>
  </si>
  <si>
    <t>18:43, 08-07-2026</t>
  </si>
  <si>
    <t xml:space="preserve">Hồ Phương Thảo
 Ngõ 343 Đội Cấn, Phường Ngọc Hà, Phường Ngọc Hà, Hà Nội
 0988020711
 </t>
  </si>
  <si>
    <t>S22693229.BO.HNP44-J128.1791264986</t>
  </si>
  <si>
    <t>SAPO168179741_603550</t>
  </si>
  <si>
    <t>16:43, 08-07-2026</t>
  </si>
  <si>
    <t xml:space="preserve">Hoa Nguyễn
 22 phố Huế, Phường Cửa Nam, Phường Cửa Nam, Hà Nội
 0904889915
 </t>
  </si>
  <si>
    <t>S22693229.HNP44-J39.1561753371</t>
  </si>
  <si>
    <t>SAPO168181636_603550</t>
  </si>
  <si>
    <t>08:18, 04-07-2026</t>
  </si>
  <si>
    <t>16:29, 10-07-2026</t>
  </si>
  <si>
    <t xml:space="preserve">Nguyen Oanh
 505 minh khai, Phường Vĩnh Tuy, Phường Vĩnh Tuy, Hà Nội
 0983610968
 </t>
  </si>
  <si>
    <t>S22693229.HNP117-M10.1375103345</t>
  </si>
  <si>
    <t>SAPO168225318_603550</t>
  </si>
  <si>
    <t>08:51, 04-07-2026</t>
  </si>
  <si>
    <t>20:53, 09-07-2026</t>
  </si>
  <si>
    <t xml:space="preserve">Huyen Nguyen
 99 Phố Tây Sơn  Phùng, Xã Đan Phượng, Xã Đan Phượng, Hà Nội
 0979079970
 </t>
  </si>
  <si>
    <t>S22693229.BO.MN4-05-H131.1936991020</t>
  </si>
  <si>
    <t>SAPO168226225_603550</t>
  </si>
  <si>
    <t>17:24, 10-07-2026</t>
  </si>
  <si>
    <t xml:space="preserve">Thanh Vân
 Lô 8, Cầy Xieng, Châu Thành,, Xã Châu Thành, Xã Châu Thành, Tây Ninh
 0909084308
 </t>
  </si>
  <si>
    <t>S22693229.BO.MT18-01-G1.1812783825</t>
  </si>
  <si>
    <t>SAPO168239521_603550</t>
  </si>
  <si>
    <t>09:05, 04-07-2026</t>
  </si>
  <si>
    <t>20:47, 10-07-2026</t>
  </si>
  <si>
    <t xml:space="preserve">Lê Thị Lựu
 Trường tiểu học Lê Lợi, Xã Tà Đùng, Xã Tà Đùng, Lâm Đồng
 0397795356
 </t>
  </si>
  <si>
    <t>S22693229.BO.MN1-09-TS87.1664680966</t>
  </si>
  <si>
    <t>SAPO168259865_603550</t>
  </si>
  <si>
    <t>09:31, 04-07-2026</t>
  </si>
  <si>
    <t>20:32, 09-07-2026</t>
  </si>
  <si>
    <t xml:space="preserve">Nguyễn phạm Anh thư
 Cty công nghệ changshin việt nam, Phường Tân Triều, Phường Tân Triều, Đồng Nai
 0964606046
 </t>
  </si>
  <si>
    <t>S22693229.MB7-31-H12.1161020981</t>
  </si>
  <si>
    <t>SAPO168259918_603550</t>
  </si>
  <si>
    <t>19:24, 10-07-2026</t>
  </si>
  <si>
    <t xml:space="preserve">Hiền
 Chợ hôm - tân dương- thuỷ nguyên- hải phòng, Phường Thủy Nguyên, Phường Thủy Nguyên, Hải Phòng
 0968052668
 </t>
  </si>
  <si>
    <t>S22693229.MB7-14-TP21.1433479973</t>
  </si>
  <si>
    <t>SAPO168259897_603550</t>
  </si>
  <si>
    <t>20:22, 08-07-2026</t>
  </si>
  <si>
    <t xml:space="preserve">Hoàng Nga
 57 Tây Khê, Phường Hải An, Phường Hải An, Hải Phòng
 0825858998
 </t>
  </si>
  <si>
    <t>S22693229.BO.MT6-12-M36.1156573365</t>
  </si>
  <si>
    <t>SAPO168259899_603550</t>
  </si>
  <si>
    <t>15:10, 09-07-2026</t>
  </si>
  <si>
    <t xml:space="preserve">Nguyễn Kim Oanh
 5 Hà Nội, Phường Thuận Hóa, Phường Thuận Hóa, Thành phố Huế
 0906567172
 </t>
  </si>
  <si>
    <t>S22693229.HNP48-F30.1602057668</t>
  </si>
  <si>
    <t>SAPO168259871_603550</t>
  </si>
  <si>
    <t>18:37, 10-07-2026</t>
  </si>
  <si>
    <t xml:space="preserve">Truong
 19T9 Chung Cư Kiến Hưng, Phường Hà Đông, Phường Hà Đông, Hà Nội
 0979138831
 </t>
  </si>
  <si>
    <t>S22693229.BO.SG13-08-D32.1556072038</t>
  </si>
  <si>
    <t>SAPO168259878_603550</t>
  </si>
  <si>
    <t>14:42, 09-07-2026</t>
  </si>
  <si>
    <t xml:space="preserve">Thu hà
 Số nhà 46A, Xã Củ Chi, Xã Củ Chi, TP Hồ Chí Minh
 0984640648
 </t>
  </si>
  <si>
    <t>S22693229.BO.SGP76-V46.1420128418</t>
  </si>
  <si>
    <t>SAPO168259867_603550</t>
  </si>
  <si>
    <t>15:56, 10-07-2026</t>
  </si>
  <si>
    <t xml:space="preserve">vo thi man
 chung cư Miếu Nổi 18 tầng, 54 Vũ Huy Tấn, Phường Gia Định, Phường Gia Định, TP Hồ Chí Minh
 0909865891
 </t>
  </si>
  <si>
    <t>S22693229.BO.MT17-06-G12.1662939608</t>
  </si>
  <si>
    <t>SAPO168259895_603550</t>
  </si>
  <si>
    <t>19:48, 10-07-2026</t>
  </si>
  <si>
    <t xml:space="preserve">Lê Thuận
 Số 6b đường bà triệu, Xã Quảng Phú, Xã Quảng Phú, Đắk Lắk
 0832600708
 </t>
  </si>
  <si>
    <t>S22693229.MB14-03-N12.1927324358</t>
  </si>
  <si>
    <t>SAPO168259898_603550</t>
  </si>
  <si>
    <t>18:25, 10-07-2026</t>
  </si>
  <si>
    <t xml:space="preserve">Ngát Nguyễn
 Tổ 13 đường Nguyễn Du, Phường Hà Giang 1, Phường Hà Giang 1, Tuyên Quang
 0977856469
 </t>
  </si>
  <si>
    <t>S22693229.HNP71-P5.1113982863</t>
  </si>
  <si>
    <t>SAPO168260012_603550</t>
  </si>
  <si>
    <t>09:32, 04-07-2026</t>
  </si>
  <si>
    <t>09:03, 10-07-2026</t>
  </si>
  <si>
    <t xml:space="preserve">Nguyễn Hữu Dụng
 Số 7 ngõ 9 Nguyễn tri phương, Ba đình, Phường Ba Đình, Phường Ba Đình, Hà Nội
 0984852619
 </t>
  </si>
  <si>
    <t>S22693229.BO.MN6-05-D82.1080570783</t>
  </si>
  <si>
    <t>SAPO168260168_603550</t>
  </si>
  <si>
    <t>14:56, 10-07-2026</t>
  </si>
  <si>
    <t xml:space="preserve">Thanh Thuý
 Số 3 Nguyễn Huệ, Xã Cần Đước, Xã Cần Đước, Tây Ninh
 0349907895
 </t>
  </si>
  <si>
    <t>S22693229.BO.SGP12-H59.1746916544</t>
  </si>
  <si>
    <t>SAPO168260538_603550</t>
  </si>
  <si>
    <t>09:33, 04-07-2026</t>
  </si>
  <si>
    <t>12:59, 10-07-2026</t>
  </si>
  <si>
    <t xml:space="preserve">Doan Huy Phuong
 89/6 Nguyễn Thượng Hiền, Phường Bình Lợi Trung, Phường Bình Lợi Trung, TP Hồ Chí Minh
 0364200726
 </t>
  </si>
  <si>
    <t>S22693229.HNP98-E4.1749398981</t>
  </si>
  <si>
    <t>SAPO168260614_603550</t>
  </si>
  <si>
    <t>20:42, 09-07-2026</t>
  </si>
  <si>
    <t xml:space="preserve">Lê thị thu Ngân
 P814 Ct9c Khu đô thị Việt Hưng, Phường Việt Hưng, Phường Việt Hưng, Hà Nội
 0934404956
 </t>
  </si>
  <si>
    <t>S22693229.MB1-03-C13.1707388671</t>
  </si>
  <si>
    <t>SAPO168262129_603550</t>
  </si>
  <si>
    <t>09:35, 04-07-2026</t>
  </si>
  <si>
    <t>20:37, 08-07-2026</t>
  </si>
  <si>
    <t xml:space="preserve">Tống Thị Ba
 Số 30 ngách 38/100 TDP Văn Bút, Phường Duy Tiên, Phường Duy Tiên, Ninh Bình
 0979793387
 </t>
  </si>
  <si>
    <t>S22693229.MB3-02-B14.1882460561</t>
  </si>
  <si>
    <t>SAPO168262394_603550</t>
  </si>
  <si>
    <t>15:12, 08-07-2026</t>
  </si>
  <si>
    <t xml:space="preserve">Hà Nguyễn
 Khu thị lý thị trấn cồn hải hậu nam định, Xã Hải Tiến, Xã Hải Tiến, Ninh Bình
 0919298365
 </t>
  </si>
  <si>
    <t>S22693229.BO.MT4-02-B13.1109536546</t>
  </si>
  <si>
    <t>SAPO168263203_603550</t>
  </si>
  <si>
    <t>09:37, 04-07-2026</t>
  </si>
  <si>
    <t>16:53, 09-07-2026</t>
  </si>
  <si>
    <t xml:space="preserve">Nguyễn Thị Hồng Nguyêt
 Xuân Lộc, Phường Bắc Gianh, Phường Bắc Gianh, Quảng Trị
 0963748240
 </t>
  </si>
  <si>
    <t>S22693229.MB26-31-F14.1256743717</t>
  </si>
  <si>
    <t>SAPO168264473_603550</t>
  </si>
  <si>
    <t>09:39, 04-07-2026</t>
  </si>
  <si>
    <t>12:32, 09-07-2026</t>
  </si>
  <si>
    <t xml:space="preserve">Nguyễn thị quyên
 Tổ dân cư số 16 Xóm 2 xã minh châu nghệ an, Xã Minh Châu, Xã Minh Châu, Nghệ An
 0971997137
 </t>
  </si>
  <si>
    <t>S22693229.BO.MN11-07-V44.1290910570</t>
  </si>
  <si>
    <t>SAPO168264614_603550</t>
  </si>
  <si>
    <t>13:54, 09-07-2026</t>
  </si>
  <si>
    <t xml:space="preserve">Lê Thị Lan Hương
 379H12/9 hẻm 9 đường Trần Nam Phú, Phường Ninh Kiều, Phường Ninh Kiều, Cần Thơ
 0902565014
 </t>
  </si>
  <si>
    <t>S22693229.MB22-01-G6.1649331704</t>
  </si>
  <si>
    <t>SAPO168264888_603550</t>
  </si>
  <si>
    <t>09:40, 04-07-2026</t>
  </si>
  <si>
    <t>19:59, 10-07-2026</t>
  </si>
  <si>
    <t xml:space="preserve">Hoàng Thị Nhinh
 Tổ 13 phường Xuân tăng TP lào cai, Phường Cam Đường, Phường Cam Đường, Lào Cai
 0983761235
 </t>
  </si>
  <si>
    <t>S22693229.MB16-05-I9.1605141782</t>
  </si>
  <si>
    <t>SAPO168272838_603550</t>
  </si>
  <si>
    <t>09:53, 04-07-2026</t>
  </si>
  <si>
    <t>18:23, 10-07-2026</t>
  </si>
  <si>
    <t xml:space="preserve">Hương
 Trung tâm bản Chiềng Lề- xã Mường Giôn -tỉnh Sơn La, Xã Mường Giôn, Xã Mường Giôn, Sơn La
 0979696985
 </t>
  </si>
  <si>
    <t>S22693229.BO.MN5-10-A73.1617319278</t>
  </si>
  <si>
    <t>SAPO168272844_603550</t>
  </si>
  <si>
    <t>19:11, 10-07-2026</t>
  </si>
  <si>
    <t xml:space="preserve">Phạm Thị Hằng
 UBND phường Minh Long, Phường Minh Hưng, Phường Minh Hưng, Đồng Nai
 0977797271
 </t>
  </si>
  <si>
    <t>S22693229.BO.MT8-02-B6.1089015322</t>
  </si>
  <si>
    <t>SAPO168272979_603550</t>
  </si>
  <si>
    <t>09:54, 04-07-2026</t>
  </si>
  <si>
    <t>16:15, 08-07-2026</t>
  </si>
  <si>
    <t xml:space="preserve">Hưng
 Lô 8 kcn điện ngọc, Phường Điện Bàn Đông, Phường Điện Bàn Đông, Đà Nẵng
 0935555195
 </t>
  </si>
  <si>
    <t>S22693229.HNP62-Y34.1354252401</t>
  </si>
  <si>
    <t>SAPO168612522_603550</t>
  </si>
  <si>
    <t>22:31, 04-07-2026</t>
  </si>
  <si>
    <t>20:20, 08-07-2026</t>
  </si>
  <si>
    <t xml:space="preserve">TRẦN VIỆT HÀ
 SN 10 NGÕ 1277/134/17 ĐƯỜNG GIẢI PHÓNG, Phường Hoàng Mai, Phường Hoàng Mai, Hà Nội
 0988828646
 </t>
  </si>
  <si>
    <t>S22693229.BO.SGP12-H50.1562345839</t>
  </si>
  <si>
    <t>SAPO169260473_603550</t>
  </si>
  <si>
    <t>08:27, 06-07-2026</t>
  </si>
  <si>
    <t>16:46, 10-07-2026</t>
  </si>
  <si>
    <t xml:space="preserve">Thanh Nhan
 46/10/13 Nguyen Cuu Van, Phường Gia Định, Phường Gia Định, TP Hồ Chí Minh
 0866553584
 </t>
  </si>
  <si>
    <t>S22693229.HNP46-F108.1747982995</t>
  </si>
  <si>
    <t>SAPO169279762_603550</t>
  </si>
  <si>
    <t>08:36, 06-07-2026</t>
  </si>
  <si>
    <t>15:18, 08-07-2026</t>
  </si>
  <si>
    <t xml:space="preserve">C thu
 22 trần đăng ninh, Phường Cầu Giấy, Phường Cầu Giấy, Hà Nội
 0981037881
 </t>
  </si>
  <si>
    <t>S22693229.HNP98-E12.1430245349</t>
  </si>
  <si>
    <t>SAPO169279751_603550</t>
  </si>
  <si>
    <t xml:space="preserve">Hoa
 Số 2B ngách 47/38 Lâm Du, Bồ Đề, Long Biên, Phường Bồ Đề, Phường Bồ Đề, Hà Nội
 0913307509
 </t>
  </si>
  <si>
    <t>S22693229.HNP71-P2.1021092204</t>
  </si>
  <si>
    <t>SAPO169279755_603550</t>
  </si>
  <si>
    <t>14:17, 08-07-2026</t>
  </si>
  <si>
    <t xml:space="preserve">Quyen
 02 Đinh lễ, Phường Hoàn Kiếm, Phường Hoàn Kiếm, Hà Nội
 0899311984
 </t>
  </si>
  <si>
    <t>S22693229.HNP44-P120.1573352446</t>
  </si>
  <si>
    <t>SAPO169279763_603550</t>
  </si>
  <si>
    <t>15:49, 08-07-2026</t>
  </si>
  <si>
    <t xml:space="preserve">Đỗ Hà
 995 bạch đằng, Phường Hai Bà Trưng, Phường Hai Bà Trưng, Hà Nội
 0922919678
 </t>
  </si>
  <si>
    <t>S22693229.HNP71-P6.1726446226</t>
  </si>
  <si>
    <t>SAPO169282405_603550</t>
  </si>
  <si>
    <t>08:37, 06-07-2026</t>
  </si>
  <si>
    <t>08:00, 10-07-2026</t>
  </si>
  <si>
    <t xml:space="preserve">Lê Thu Hà
 1A ngách 7 ngõ 76 An Dương, phường Hồng Hà, Phường Tây Hồ, Phường Tây Hồ, Hà Nội
 0984386838
 </t>
  </si>
  <si>
    <t>S22693229.HNP98-E11.1336298125</t>
  </si>
  <si>
    <t>SAPO169284356_603550</t>
  </si>
  <si>
    <t>08:38, 06-07-2026</t>
  </si>
  <si>
    <t>18:34, 09-07-2026</t>
  </si>
  <si>
    <t xml:space="preserve">Trần Quốc Chung
 CT2B Homeland Thượng Thanh, Phường Việt Hưng, Phường Việt Hưng, Hà Nội
 0936086082
 </t>
  </si>
  <si>
    <t>S22693229.HNP75-D34.1426261015</t>
  </si>
  <si>
    <t>SAPO169288503_603550</t>
  </si>
  <si>
    <t>08:40, 06-07-2026</t>
  </si>
  <si>
    <t>19:26, 11-07-2026</t>
  </si>
  <si>
    <t xml:space="preserve">Ngọc
 140 đường Cầu Diễn, Phường Từ Liêm, Phường Từ Liêm, Hà Nội
 0979822866
 </t>
  </si>
  <si>
    <t>S22693229.HNP107-C85.1052763219</t>
  </si>
  <si>
    <t>SAPO169291258_603550</t>
  </si>
  <si>
    <t>08:41, 06-07-2026</t>
  </si>
  <si>
    <t>19:30, 09-07-2026</t>
  </si>
  <si>
    <t xml:space="preserve">Trần Minh Thư
 No1 T3 Ngoại Giao Đoàn- xuân Tảo- Bắc từ Liêm- Hà Nội, Phường Nghĩa Đô, Phường Nghĩa Đô, Hà Nội
 0984885711
 </t>
  </si>
  <si>
    <t>S22693229.HNP92-K5.1699806201</t>
  </si>
  <si>
    <t>SAPO169294726_603550</t>
  </si>
  <si>
    <t>08:43, 06-07-2026</t>
  </si>
  <si>
    <t>16:23, 08-07-2026</t>
  </si>
  <si>
    <t xml:space="preserve">Ha Hao
 Sảnh B, Chung cư Golden Palace, Số 99, Đường Mễ Trì, Phường Cầu Giấy, Phường Cầu Giấy, Hà Nội
 0978959596
 </t>
  </si>
  <si>
    <t>S22693229.HNP44-J34.1254091460</t>
  </si>
  <si>
    <t>SAPO169295174_603550</t>
  </si>
  <si>
    <t>16:35, 08-07-2026</t>
  </si>
  <si>
    <t xml:space="preserve">Đỗ Thị Diệu Thuý
 Chung cư Handico 5, ngõ 622 Mimh Khai, Phường Vĩnh Tuy, Phường Vĩnh Tuy, Hà Nội
 0902284422
 </t>
  </si>
  <si>
    <t>S22693229.HNP75-D34.1577797678</t>
  </si>
  <si>
    <t>SAPO169297199_603550</t>
  </si>
  <si>
    <t>08:45, 06-07-2026</t>
  </si>
  <si>
    <t>13:57, 11-07-2026</t>
  </si>
  <si>
    <t xml:space="preserve">Biên Nguyễn Thị
 Số 3, ngách 189/1A, ngõ 195, đường Cầu Diễn, Phường Xuân Phương, Phường Xuân Phương, Hà Nội
 0983657471
 </t>
  </si>
  <si>
    <t>S22693229.SGP101-I101.1035598490</t>
  </si>
  <si>
    <t>SAPO169360922_603550</t>
  </si>
  <si>
    <t>09:25, 06-07-2026</t>
  </si>
  <si>
    <t>17:23, 09-07-2026</t>
  </si>
  <si>
    <t xml:space="preserve">HUYNH NGOC NHUNG
 Cty Unimax saigon, Phường Tân Thuận, Phường Tân Thuận, TP Hồ Chí Minh
 0914705142
 </t>
  </si>
  <si>
    <t>S22693229.SGP76-S88.1431521150</t>
  </si>
  <si>
    <t>SAPO169360903_603550</t>
  </si>
  <si>
    <t>19:41, 09-07-2026</t>
  </si>
  <si>
    <t xml:space="preserve">Thanh Tuyền
 51 trường sơn, Phường Tân Sơn Hòa, Phường Tân Sơn Hòa, TP Hồ Chí Minh
 0909501848
 </t>
  </si>
  <si>
    <t>S22693229.BO.SGP113-X71.1208865102</t>
  </si>
  <si>
    <t>SAPO169363680_603550</t>
  </si>
  <si>
    <t>09:27, 06-07-2026</t>
  </si>
  <si>
    <t>17:25, 11-07-2026</t>
  </si>
  <si>
    <t xml:space="preserve">Chị Phong
 280/59/24/1b Trịnh Quang Nghị, Phường Bình Đông, Phường Bình Đông, TP Hồ Chí Minh
 0989678536
 </t>
  </si>
  <si>
    <t>S22693229.BO.SGP05-N33.1957500605</t>
  </si>
  <si>
    <t>Bù hàng260630D39YUTDU</t>
  </si>
  <si>
    <t>10:20, 06-07-2026</t>
  </si>
  <si>
    <t>15:18, 10-07-2026</t>
  </si>
  <si>
    <t xml:space="preserve">Khách hàng
 Nga 362/50/1B phan huy bích,an hội tây,thành phố HCM, Phường An Hội Tây, Phường An Hội Tây, TP Hồ Chí Minh
 0971152895
 </t>
  </si>
  <si>
    <t>S22693229.HNP71-P19.1945098358</t>
  </si>
  <si>
    <t>đổi hàng260529NH7154XP</t>
  </si>
  <si>
    <t xml:space="preserve">Khách hàng
 số 3A nguyễn khắc cần, tràng tiền, hoàn kiếm, hà nội, Phường Cửa Nam, Phường Cửa Nam, Hà Nội
 0963638616
 </t>
  </si>
  <si>
    <t>S22693229.BO.SGP105-N37.1903076453</t>
  </si>
  <si>
    <t>đổi hàng260701HER8JKWV</t>
  </si>
  <si>
    <t>16:41, 10-07-2026</t>
  </si>
  <si>
    <t xml:space="preserve">Khách hàng
 493/79/7L CMTT,Phường Hòa Hưng TPHCM, Phường Hòa Hưng, Phường Hòa Hưng, TP Hồ Chí Minh
 0981807707
 </t>
  </si>
  <si>
    <t>S22693229.MB6-17-D8.1347516860</t>
  </si>
  <si>
    <t>đổi hàng260701HWEKEEY7</t>
  </si>
  <si>
    <t>10:21, 06-07-2026</t>
  </si>
  <si>
    <t>19:16, 10-07-2026</t>
  </si>
  <si>
    <t xml:space="preserve">Khách hàng
 33/173 vũ khâm lân, hải tân, hải dương, Phường Hải Dương, Phường Hải Dương, Hải Phòng
 0971100442
 </t>
  </si>
  <si>
    <t>S22693229.BO.MN6-02-L41.1860829716</t>
  </si>
  <si>
    <t>SAPO169413366_603550</t>
  </si>
  <si>
    <t>10:24, 06-07-2026</t>
  </si>
  <si>
    <t>15:23, 10-07-2026</t>
  </si>
  <si>
    <t xml:space="preserve">Nguyễn Thị Thu Hà
 A2-05 KDC Trần Anh Riverside kp6 tt bến lức huyện bến lức tỉnh Long An, Xã Bến Lức, Xã Bến Lức, Tây Ninh
 0939502585
 </t>
  </si>
  <si>
    <t>S22693229.BO.MN18-01-A91.1690340269</t>
  </si>
  <si>
    <t>SAPO169413360_603550</t>
  </si>
  <si>
    <t>15:40, 10-07-2026</t>
  </si>
  <si>
    <t xml:space="preserve">Lý Mỹ Linh
 579. Tạ Uyên, Phường An Xuyên, Phường An Xuyên, Cà Mau
 0919444737
 </t>
  </si>
  <si>
    <t>S22693229.BO.SG11-03-B2.1529202182</t>
  </si>
  <si>
    <t>SAPO169413386_603550</t>
  </si>
  <si>
    <t>12:58, 10-07-2026</t>
  </si>
  <si>
    <t xml:space="preserve">Danh Thành Lâm
 B10/22H xa tan vinh loc B, Xã Tân Vĩnh Lộc, Xã Tân Vĩnh Lộc, TP Hồ Chí Minh
 0898928693
 </t>
  </si>
  <si>
    <t>S22693229.MB6-03-X4.1512775480</t>
  </si>
  <si>
    <t>SAPO169413372_603550</t>
  </si>
  <si>
    <t>15:26, 11-07-2026</t>
  </si>
  <si>
    <t xml:space="preserve">Oanh Hà
 Thôn bồ dương, Xã Khúc Thừa Dụ, Xã Khúc Thừa Dụ, Hải Phòng
 0963865256
 </t>
  </si>
  <si>
    <t>S22693229.BO.SGP107-S29.1383316296</t>
  </si>
  <si>
    <t>SAPO169413370_603550</t>
  </si>
  <si>
    <t>14:22, 10-07-2026</t>
  </si>
  <si>
    <t xml:space="preserve">Nguyễn Thị Ngọc Hiền
 194/6, Lạc Long Quân, Phường Bình Thới, Phường Bình Thới, TP Hồ Chí Minh
 0849468631
 </t>
  </si>
  <si>
    <t>S22693229.BO.DN9-O31.1864275625</t>
  </si>
  <si>
    <t>SAPO169413373_603550</t>
  </si>
  <si>
    <t>16:48, 10-07-2026</t>
  </si>
  <si>
    <t xml:space="preserve">Nguyễn thị kim Anh
 72/4 Lý Tự Trọng, Phường Hải Châu, Phường Hải Châu, Đà Nẵng, Phường Hải Châu, Phường Hải Châu, Đà Nẵng
 0905950705
 </t>
  </si>
  <si>
    <t>S22693229.BO.MN12-17-C15.1364177513</t>
  </si>
  <si>
    <t>SAPO169413378_603550</t>
  </si>
  <si>
    <t>15:35, 10-07-2026</t>
  </si>
  <si>
    <t xml:space="preserve">Nguyễn Thanh Phương
 Số 12. Nguyễn Tất Thành . Phường Hồng Ngự. Đồng Tháp, Phường Hồng Ngự, Phường Hồng Ngự, Đồng Tháp
 0942708777
 </t>
  </si>
  <si>
    <t>S22693229.BO.MT14-01-A04.1357403011</t>
  </si>
  <si>
    <t>SAPO169413361_603550</t>
  </si>
  <si>
    <t>13:58, 10-07-2026</t>
  </si>
  <si>
    <t xml:space="preserve">Nguyễn thị minh nghĩa
 67 đặng văn ngữ, Phường Phan Thiết, Phường Phan Thiết, Lâm Đồng
 0395942893
 </t>
  </si>
  <si>
    <t>S22693229.BO.MN3-02-T21.1974340260</t>
  </si>
  <si>
    <t>SAPO169413369_603550</t>
  </si>
  <si>
    <t>14:26, 10-07-2026</t>
  </si>
  <si>
    <t xml:space="preserve">Nguyễn Thị bích vân
 kp. Hải sơn, Phường Tân Phước, Phường Tân Phước, TP Hồ Chí Minh
 0378797682
 </t>
  </si>
  <si>
    <t>S22693229.MB25-28-Q13.1508855806</t>
  </si>
  <si>
    <t>SAPO169413377_603550</t>
  </si>
  <si>
    <t>18:21, 11-07-2026</t>
  </si>
  <si>
    <t xml:space="preserve">Nguyễn thị xuân
 Thôn 9 nga trung, Xã Nga Sơn, Xã Nga Sơn, Thanh Hóa
 0337786580
 </t>
  </si>
  <si>
    <t>S22693229.BO.MN13-03-Y51.1063386923</t>
  </si>
  <si>
    <t>SAPO169413381_603550</t>
  </si>
  <si>
    <t>12:44, 10-07-2026</t>
  </si>
  <si>
    <t xml:space="preserve">Thanh
 29E1, Phường Long Xuyên, Phường Long Xuyên, An Giang
 0933999915
 </t>
  </si>
  <si>
    <t>S22693229.BO.MT14-01-A04.1592379017</t>
  </si>
  <si>
    <t>SAPO169413380_603550</t>
  </si>
  <si>
    <t>S22693229.HNP142-O18.1178268804</t>
  </si>
  <si>
    <t>SAPO169413483_603550</t>
  </si>
  <si>
    <t>19:19, 10-07-2026</t>
  </si>
  <si>
    <t xml:space="preserve">Lương Trường Sơn
 Số 5 vũ lăng Thanh Trì Hà Nội, Xã Thanh Trì, Xã Thanh Trì, Hà Nội
 0979441736
 </t>
  </si>
  <si>
    <t>S22693229.BO.SGP101-I81.1498170233</t>
  </si>
  <si>
    <t>SAPO169413869_603550</t>
  </si>
  <si>
    <t>14:23, 10-07-2026</t>
  </si>
  <si>
    <t xml:space="preserve">Hồng Thuỷ
 Block B4 chung cư Era Town, Phường Tân Mỹ, Phường Tân Mỹ, TP Hồ Chí Minh
 0372959505
 </t>
  </si>
  <si>
    <t>S22693229.MB26-16-E9.1469439319</t>
  </si>
  <si>
    <t>SAPO169413998_603550</t>
  </si>
  <si>
    <t>10:25, 06-07-2026</t>
  </si>
  <si>
    <t>17:49, 10-07-2026</t>
  </si>
  <si>
    <t xml:space="preserve">Ngô Thị Thanh Huyền
 178 Trần Phú, Phường Trường Vinh, Phường Trường Vinh, Nghệ An
 0398089687
 </t>
  </si>
  <si>
    <t>S22693229.BO.MN8-04-C64.1368433879</t>
  </si>
  <si>
    <t>SAPO169414127_603550</t>
  </si>
  <si>
    <t>15:10, 10-07-2026</t>
  </si>
  <si>
    <t xml:space="preserve">Hân
 547e phú thành phú hưng, Phường Phú Khương, Phường Phú Khương, Vĩnh Long
 0971017093
 </t>
  </si>
  <si>
    <t>S22693229.BO.SGP47-V16.1163357929</t>
  </si>
  <si>
    <t>SAPO169414151_603550</t>
  </si>
  <si>
    <t>19:21, 10-07-2026</t>
  </si>
  <si>
    <t xml:space="preserve">Lê Thị Thuỳ An
 Tòa BS12 - The Oasis - Vinhomes Grand Park, phường Long Bình, Tphcm, Phường Long Bình, Phường Long Bình, TP Hồ Chí Minh
 0868360948
 </t>
  </si>
  <si>
    <t>S22693229.BO.MT17-01-N34.1940592720</t>
  </si>
  <si>
    <t>SAPO169414190_603550</t>
  </si>
  <si>
    <t>14:01, 10-07-2026</t>
  </si>
  <si>
    <t xml:space="preserve">Lê Thanh Thảo
 120 Mạc Đỉnh Chi, Phường Thành Nhất, Phường Thành Nhất, Đắk Lắk
 0913848160
 </t>
  </si>
  <si>
    <t>S22693229.BO.MN2-13-M35.1619752861</t>
  </si>
  <si>
    <t>giao 1p thu 1p584819493732386591</t>
  </si>
  <si>
    <t>10:42, 06-07-2026</t>
  </si>
  <si>
    <t>18:13, 10-07-2026</t>
  </si>
  <si>
    <t xml:space="preserve">Nguyễn Chí Khang
 hẻm 916 số 914/43 Tổ 41 khu 3 đường Lê Hồng Phong 
Phú Thọ,Thủ Dầu Một,Bình Dương,Việt Nam, Phường Thủ Dầu Một, Phường Thủ Dầu Một, TP Hồ Chí Minh
 0943485763
 </t>
  </si>
  <si>
    <t>S22693229.BO.MN5-01-A241.1220488445</t>
  </si>
  <si>
    <t>giao 1p thu 1p584828011486217420</t>
  </si>
  <si>
    <t>15:52, 10-07-2026</t>
  </si>
  <si>
    <t xml:space="preserve">Nguyễn Thị Thu Hiền
 520 quốc lộ 14, Phường Bình Phước, Tỉnh Đồng Nai 
Phường Bình Phước,Phường Bình Phước,Đồng Nai,Việt Nam, Phường Bình Phước, Phường Bình Phước, Đồng Nai
 0964847575
 </t>
  </si>
  <si>
    <t>S22693229.HNP144-T77.1141013145</t>
  </si>
  <si>
    <t>giao 1p thu 1p584716995341616532</t>
  </si>
  <si>
    <t>18:50, 10-07-2026</t>
  </si>
  <si>
    <t xml:space="preserve">tiệp
 nhân trai,đông lỗ, ứng hòa, hà nội 
Dong Lo,Ứng Hòa,Thanh pho Ha Noi,Việt Nam, Xã Ứng Hòa, Xã Ứng Hòa, Hà Nội
 0966615202
 </t>
  </si>
  <si>
    <t>S22693229.MB7-31-H17.1933339687</t>
  </si>
  <si>
    <t>SAPO169431944_603550</t>
  </si>
  <si>
    <t>10:52, 06-07-2026</t>
  </si>
  <si>
    <t xml:space="preserve">Lê Hiền
 Toà A, Trung tâm Chính trị Hành chính thành phố, Thuỷ Nguyên, Hải Phòng, Phường Thủy Nguyên, Phường Thủy Nguyên, Hải Phòng
 0962057169
 </t>
  </si>
  <si>
    <t>S22693229.MB1-01-A12.1539286534</t>
  </si>
  <si>
    <t>SAPO169431978_603550</t>
  </si>
  <si>
    <t>17:41, 10-07-2026</t>
  </si>
  <si>
    <t xml:space="preserve">Lại thị tám
 Tổ 5 phường hà nam tỉnh bình, Phường Phủ Lý, Phường Phủ Lý, Ninh Bình
 0988122288
 </t>
  </si>
  <si>
    <t>S22693229.MB13-01-A1.1985288450</t>
  </si>
  <si>
    <t>SAPO169431974_603550</t>
  </si>
  <si>
    <t>18:05, 10-07-2026</t>
  </si>
  <si>
    <t xml:space="preserve">Trọng Lương
 Tổ 4 tân hà, Phường Minh Xuân, Phường Minh Xuân, Tuyên Quang
 0946368622
 </t>
  </si>
  <si>
    <t>S22693229.BO.MN4-03-C131.1482082522</t>
  </si>
  <si>
    <t>SAPO169431945_603550</t>
  </si>
  <si>
    <t>16:38, 10-07-2026</t>
  </si>
  <si>
    <t xml:space="preserve">Trần thị thắm
 Số 5 khu phố 2 thị trấn tân biên, Xã Tân Biên, Xã Tân Biên, Tây Ninh
 0977447448
 </t>
  </si>
  <si>
    <t>S22693229.BO.SGP76-S94.1132321152</t>
  </si>
  <si>
    <t>SAPO169431960_603550</t>
  </si>
  <si>
    <t>14:24, 10-07-2026</t>
  </si>
  <si>
    <t xml:space="preserve">Huỳnh Trung Hiếu
 253 Hoàng Văn Thụ, Phường Tân Sơn Hòa, Phường Tân Sơn Hòa, TP Hồ Chí Minh
 0932350525
 </t>
  </si>
  <si>
    <t>S22693229.BO.MN4-07-M32.1051207825</t>
  </si>
  <si>
    <t>SAPO169431967_603550</t>
  </si>
  <si>
    <t>15:15, 11-07-2026</t>
  </si>
  <si>
    <t xml:space="preserve">anh lý
 Cuối 37 ngô quyền,ấp trường an ,phường long hoa, tây ninh, Phường Long Hoa, Phường Long Hoa, Tây Ninh
 0372732477
 </t>
  </si>
  <si>
    <t>S22693229.BO.MN1-04-C10.1611135136</t>
  </si>
  <si>
    <t>SAPO169431964_603550</t>
  </si>
  <si>
    <t xml:space="preserve">Thuỳ Nguyễn
 ngã 4 nhà dưỡng lão Hoà Xuân, ấp Lộ Đức, Phường Hố Nai, Phường Hố Nai, Đồng Nai
 0373464624
 </t>
  </si>
  <si>
    <t>S22693229.BO.MT14-06-Y04.1402579761</t>
  </si>
  <si>
    <t>SAPO169431975_603550</t>
  </si>
  <si>
    <t>12:40, 10-07-2026</t>
  </si>
  <si>
    <t xml:space="preserve">Duy Canh Ha
 09 QL 1A, Thái Hoà, Xã Hồng Thái, Xã Hồng Thái, Lâm Đồng
 0368204607
 </t>
  </si>
  <si>
    <t>S22693229.BO.MT17-26-L07.1656407965</t>
  </si>
  <si>
    <t>SAPO169432138_603550</t>
  </si>
  <si>
    <t>13:12, 10-07-2026</t>
  </si>
  <si>
    <t xml:space="preserve">Trần kim ánh
 64 quang trungQuang Trung, Phường Buôn Ma Thuột, Phường Buôn Ma Thuột, Đắk Lắk, Phường Buôn Ma Thuột, Phường Buôn Ma Thuột, Đắk Lắk
 0944759498
 </t>
  </si>
  <si>
    <t>S22693229.BO.SGP25-Q49.1845863232</t>
  </si>
  <si>
    <t>SAPO169432164_603550</t>
  </si>
  <si>
    <t>20:14, 10-07-2026</t>
  </si>
  <si>
    <t xml:space="preserve">Kim Luyến
 31 đường 20, khu dân cư Hồng Long, Phường Hiệp Bình, Phường Hiệp Bình, TP Hồ Chí Minh
 0984711011
 </t>
  </si>
  <si>
    <t>S22693229.BO.MT19-02-B21.1166959462</t>
  </si>
  <si>
    <t>SAPO169432270_603550</t>
  </si>
  <si>
    <t>15:57, 10-07-2026</t>
  </si>
  <si>
    <t xml:space="preserve">Lê Đông
 70 Mạc Đỉnh Chi, Phường 2 Bảo Lộc, Phường 2 Bảo Lộc, Lâm Đồng
 0865831986
 </t>
  </si>
  <si>
    <t>S22693229.MB10-11-H1.1710076744</t>
  </si>
  <si>
    <t>SAPO169432350_603550</t>
  </si>
  <si>
    <t>10:53, 06-07-2026</t>
  </si>
  <si>
    <t>16:02, 10-07-2026</t>
  </si>
  <si>
    <t xml:space="preserve">Nguyễn Lan Anh
 Khu 5, Thị Trấn Cái Rồng, Vân Đồn, Quảng Ninh, Đặc Khu Vân Đồn, Đặc Khu Vân Đồn, Quảng Ninh
 0356277320
 </t>
  </si>
  <si>
    <t>S22693229.MB19-08-A12.1339659397</t>
  </si>
  <si>
    <t>SAPO169432429_603550</t>
  </si>
  <si>
    <t>14:11, 11-07-2026</t>
  </si>
  <si>
    <t xml:space="preserve">lý hạnh
 sn 15 đuong phung chi kiên, Phường Phan Đình Phùng, Phường Phan Đình Phùng, Thái Nguyên
 0912216262
 </t>
  </si>
  <si>
    <t>S22693229.MB19-08-A4.1776141796</t>
  </si>
  <si>
    <t>SAPO169432436_603550</t>
  </si>
  <si>
    <t xml:space="preserve">lý hông hạnh
 sn15 đương phung chi kien phuong phan đinh phung tp thái nguyên, Phường Phan Đình Phùng, Phường Phan Đình Phùng, Thái Nguyên
 0912216262
 </t>
  </si>
  <si>
    <t>S22693229.BO.MT18-04-D14.1857616189</t>
  </si>
  <si>
    <t>SAPO169432504_603550</t>
  </si>
  <si>
    <t>18:40, 10-07-2026</t>
  </si>
  <si>
    <t xml:space="preserve">Phạm Thị Gấm
 Quảng Trung, Xã Kiến Đức, Xã Kiến Đức, Lâm Đồng
 0907851268
 </t>
  </si>
  <si>
    <t>S22693229.BO.MT12-21-X31.1547600779</t>
  </si>
  <si>
    <t>SAPO169432705_603550</t>
  </si>
  <si>
    <t>15:34, 10-07-2026</t>
  </si>
  <si>
    <t xml:space="preserve">Phương
 9 Phan Chu Trinh, Phường Nha Trang, Phường Nha Trang, Khánh Hòa
 0937727470
 </t>
  </si>
  <si>
    <t>S22693229.BO.SGP78-S49.1350334989</t>
  </si>
  <si>
    <t>SAPO169432740_603550</t>
  </si>
  <si>
    <t>10:54, 06-07-2026</t>
  </si>
  <si>
    <t>18:04, 10-07-2026</t>
  </si>
  <si>
    <t xml:space="preserve">pham thi kim ngan
 405/34 truong chinh p14 tb, Phường Tân Bình, Phường Tân Bình, TP Hồ Chí Minh
 0936000936
 </t>
  </si>
  <si>
    <t>S22693229.MB4-02-B13.1747069590</t>
  </si>
  <si>
    <t>SAPO169432916_603550</t>
  </si>
  <si>
    <t>12:55, 10-07-2026</t>
  </si>
  <si>
    <t xml:space="preserve">LINH CHI
 UBND xã Quỳnh Khê, Xã Nguyễn Du, Xã Nguyễn Du, Hưng Yên
 0383245315
 </t>
  </si>
  <si>
    <t>S22693229.MB6-03-X6.1120347662</t>
  </si>
  <si>
    <t>SAPO169432943_603550</t>
  </si>
  <si>
    <t>14:34, 10-07-2026</t>
  </si>
  <si>
    <t xml:space="preserve">Bùi thúy
 Thôn ăn Quý Nguyễn giáp hd, Xã Nguyên Giáp, Xã Nguyên Giáp, Hải Phòng
 0382557105
 </t>
  </si>
  <si>
    <t>S22693229.BO.MT12-21-X32.1646353967</t>
  </si>
  <si>
    <t>SAPO169433027_603550</t>
  </si>
  <si>
    <t>14:49, 10-07-2026</t>
  </si>
  <si>
    <t xml:space="preserve">Vo tu phuong
 8 cô bắc, Nha Trang, Khánh Hoà, Phường Nha Trang, Phường Nha Trang, Khánh Hòa
 0366631871
 </t>
  </si>
  <si>
    <t>S22693229.MB26-28-C24.1427310023</t>
  </si>
  <si>
    <t>SAPO169433105_603550</t>
  </si>
  <si>
    <t>21:33, 10-07-2026</t>
  </si>
  <si>
    <t xml:space="preserve">TRẦN THỊ LAN
 31 lương thế vinh phường trường thi, Phường Trường Vinh, Phường Trường Vinh, Nghệ An
 0918035968
 </t>
  </si>
  <si>
    <t>S22693229.BO.MT17-12-A23.1289473904</t>
  </si>
  <si>
    <t>SAPO169433142_603550</t>
  </si>
  <si>
    <t>19:01, 11-07-2026</t>
  </si>
  <si>
    <t xml:space="preserve">đặng thị bé
 95a nguyễn du, Xã Ea Súp, Xã Ea Súp, Đắk Lắk
 0378937583
 </t>
  </si>
  <si>
    <t>S22693229.MB15-06-F4.1492232801</t>
  </si>
  <si>
    <t>SAPO169433168_603550</t>
  </si>
  <si>
    <t>10:55, 06-07-2026</t>
  </si>
  <si>
    <t>14:18, 10-07-2026</t>
  </si>
  <si>
    <t xml:space="preserve">Đặng thị thu hồng
 Trung tâm y tế huyện lạc thủy,tỉnh hòa bình, Xã Lạc Thủy, Xã Lạc Thủy, Phú Thọ
 0356253782
 </t>
  </si>
  <si>
    <t>S22693229.BO.MT17-26-L09.1011888487</t>
  </si>
  <si>
    <t>SAPO169433262_603550</t>
  </si>
  <si>
    <t>18:03, 10-07-2026</t>
  </si>
  <si>
    <t xml:space="preserve">Lương Thị Hạnh
 286 Phan Bội ChâuĐường Phan Bội Châu, Phường Buôn Ma Thuột, Phường Buôn Ma Thuột, Đắk Lắk, Phường Buôn Ma Thuột, Phường Buôn Ma Thuột, Đắk Lắk
 0913553575
 </t>
  </si>
  <si>
    <t>S22693229.BO.MN3-08-K01.1279440657</t>
  </si>
  <si>
    <t>SAPO169433284_603550</t>
  </si>
  <si>
    <t>17:45, 11-07-2026</t>
  </si>
  <si>
    <t xml:space="preserve">Đồng thi hương
 203Nguyen tất Thành long hải thành phố Hồ Chí Minh, Xã Long Hải, Xã Long Hải, TP Hồ Chí Minh
 0399064310
 </t>
  </si>
  <si>
    <t>S22693229.BO.MT10-07-H65.1199619626</t>
  </si>
  <si>
    <t>SAPO169433298_603550</t>
  </si>
  <si>
    <t>18:01, 10-07-2026</t>
  </si>
  <si>
    <t xml:space="preserve">Phan Hằng
 Sau lưng nhà văn hoá thôn cảnh an 1, Xã Tuy Phước Tây, Xã Tuy Phước Tây, Gia Lai
 0366229158
 </t>
  </si>
  <si>
    <t>S22693229.BO.MT18-05-E51.1578126364</t>
  </si>
  <si>
    <t>SAPO169433352_603550</t>
  </si>
  <si>
    <t>18:54, 10-07-2026</t>
  </si>
  <si>
    <t xml:space="preserve">Huyền Trâm
 Tiệm phô tô Minh Khang (Thầy Hùng)Thôn Thuận Thành, Xã Thuận Hạnh, Xã Thuận Hạnh, Lâm Đồng
 0982508284
 </t>
  </si>
  <si>
    <t>S22693229.BO.SGP101-I102.1807716778</t>
  </si>
  <si>
    <t>SAPO169433491_603550</t>
  </si>
  <si>
    <t>10:56, 06-07-2026</t>
  </si>
  <si>
    <t xml:space="preserve">Lê Linh
 Chung cư An Hoà 2 đường số 14, Phường Tân Thuận, Phường Tân Thuận, TP Hồ Chí Minh
 0983368733
 </t>
  </si>
  <si>
    <t>S22693229.BO.MT16-13-M11.1721522587</t>
  </si>
  <si>
    <t>SAPO169433505_603550</t>
  </si>
  <si>
    <t>18:42, 11-07-2026</t>
  </si>
  <si>
    <t xml:space="preserve">phan nhi
 598 quang trung, ttchưty-huyện đức cơ-gia lai, Xã Đức Cơ, Xã Đức Cơ, Gia Lai
 0935276599
 </t>
  </si>
  <si>
    <t>S22693229.BO.MN2-28-TB13.1715793410</t>
  </si>
  <si>
    <t>SAPO169433536_603550</t>
  </si>
  <si>
    <t>13:19, 10-07-2026</t>
  </si>
  <si>
    <t xml:space="preserve">Nguyễn Thái Thu
 Đường số 4, Thái Bình Dương, Tổ 5, KP Khánh Hội, Phường Tân Khánh, Phường Tân Khánh, TP Hồ Chí Minh
 0974666869
 </t>
  </si>
  <si>
    <t>S22693229.BO.MN1-08-H53.1957706682</t>
  </si>
  <si>
    <t>SAPO169433737_603550</t>
  </si>
  <si>
    <t>19:30, 10-07-2026</t>
  </si>
  <si>
    <t xml:space="preserve">Hân Hân
 Sở Tài chính , số 42 CMT8, Phường Trấn Biên, Phường Trấn Biên, Đồng Nai
 0946410079
 </t>
  </si>
  <si>
    <t>S22693229.BO.MT10-04-D54.1314526236</t>
  </si>
  <si>
    <t>SAPO169433836_603550</t>
  </si>
  <si>
    <t>14:36, 10-07-2026</t>
  </si>
  <si>
    <t xml:space="preserve">Nguyễn Thị Minh Ngân
 01 Trần Phú, thành phố  Quy Nhơn, tỉnh Bình Định, Phường Quy Nhơn, Phường Quy Nhơn, Gia Lai
 0979865077
 </t>
  </si>
  <si>
    <t>S22693229.BO.MN19-01-T42.1542146039</t>
  </si>
  <si>
    <t>SAPO169433924_603550</t>
  </si>
  <si>
    <t>13:27, 10-07-2026</t>
  </si>
  <si>
    <t xml:space="preserve">Nguyễn Thị Mỵ
 Nhà thùng nước mắm Anh Duyệt, suối đá, Đặc Khu Phú Quốc, Đặc Khu Phú Quốc, An Giang
 0964624312
 </t>
  </si>
  <si>
    <t>S22693229.MB9-02-M16.1066744998</t>
  </si>
  <si>
    <t>SAPO169433931_603550</t>
  </si>
  <si>
    <t>19:43, 10-07-2026</t>
  </si>
  <si>
    <t xml:space="preserve">Nguyễn Thị Hằng
 TDP Làng Chũ, Thị trấn Chũ, Huyện Lục Ngạn, Bắc Giang, Vietnam, Phường Chũ, Phường Chũ, Bắc Ninh
 0913782857
 </t>
  </si>
  <si>
    <t>S22693229.MB25-03-D09.1835997739</t>
  </si>
  <si>
    <t>SAPO169433930_603550</t>
  </si>
  <si>
    <t xml:space="preserve">Lê Loan
 Thôn Quang Trung, Xã Cẩm Thủy, Xã Cẩm Thủy, Thanh Hóa
 0364780240
 </t>
  </si>
  <si>
    <t>S22693229.BO.SGP113-X27.1776947650</t>
  </si>
  <si>
    <t>SAPO169434028_603550</t>
  </si>
  <si>
    <t>10:57, 06-07-2026</t>
  </si>
  <si>
    <t>16:26, 10-07-2026</t>
  </si>
  <si>
    <t xml:space="preserve">Bích Thuỷ
 154/51/27 Âu Dương Lan, Phường Chánh Hưng, Phường Chánh Hưng, TP Hồ Chí Minh
 0862179767
 </t>
  </si>
  <si>
    <t>S22693229.BO.MN16-01-A45.1307319671</t>
  </si>
  <si>
    <t>SAPO169434042_603550</t>
  </si>
  <si>
    <t>16:14, 11-07-2026</t>
  </si>
  <si>
    <t xml:space="preserve">Nhu nguyen
 151 đường 9a kđt 5a, Phường Phú Lợi, Phường Phú Lợi, Cần Thơ
 0934008890
 </t>
  </si>
  <si>
    <t>S22693229.BO.MN1-04-C10.1554085199</t>
  </si>
  <si>
    <t>SAPO169434157_603550</t>
  </si>
  <si>
    <t>S22693229.BO.SGP47-V13.1028096862</t>
  </si>
  <si>
    <t>SAPO169434322_603550</t>
  </si>
  <si>
    <t>13:07, 10-07-2026</t>
  </si>
  <si>
    <t xml:space="preserve">Trần Thị Thanh Nhung
 60, Đường 1A, phường Long Thạnh Mỹ, TP Thủ Đức, TP HCM, Phường Long Bình, Phường Long Bình, TP Hồ Chí Minh
 0933908190
 </t>
  </si>
  <si>
    <t>S22693229.BO.MN2-16-P01.1837626332</t>
  </si>
  <si>
    <t>SAPO169434377_603550</t>
  </si>
  <si>
    <t>10:58, 06-07-2026</t>
  </si>
  <si>
    <t>18:00, 10-07-2026</t>
  </si>
  <si>
    <t xml:space="preserve">loan
 280 trần phú, Xã Dầu Tiếng, Xã Dầu Tiếng, TP Hồ Chí Minh
 0964999436
 </t>
  </si>
  <si>
    <t>S22693229.BO.MT6-04-B6.1767725877</t>
  </si>
  <si>
    <t>SAPO169434396_603550</t>
  </si>
  <si>
    <t>16:00, 11-07-2026</t>
  </si>
  <si>
    <t xml:space="preserve">Đặng thị phượng
 Thôn bát sơn lộc điền huế, Xã Lộc An, Xã Lộc An, Thành phố Huế
 0964337497
 </t>
  </si>
  <si>
    <t>S22693229.BO.MN3-05-H61.1769184336</t>
  </si>
  <si>
    <t>SAPO169434421_603550</t>
  </si>
  <si>
    <t>13:49, 10-07-2026</t>
  </si>
  <si>
    <t xml:space="preserve">Nguyễn Mười
 1589 đường 30/4, Phường Phước Thắng, Phường Phước Thắng, TP Hồ Chí Minh
 0986102727
 </t>
  </si>
  <si>
    <t>S22693229.BO.SGP01-M19.1570026019</t>
  </si>
  <si>
    <t>SAPO169434438_603550</t>
  </si>
  <si>
    <t>17:23, 10-07-2026</t>
  </si>
  <si>
    <t xml:space="preserve">Vũ Trần
 160/26 đs 4, Phường An Hội Đông, Phường An Hội Đông, TP Hồ Chí Minh
 0988445779
 </t>
  </si>
  <si>
    <t>S22693229.MB26-06-H8.1224661312</t>
  </si>
  <si>
    <t>SAPO169434492_603550</t>
  </si>
  <si>
    <t>20:29, 10-07-2026</t>
  </si>
  <si>
    <t xml:space="preserve">Đinh thị thuỳ
 Xóm thành đô, Xã Nam Đàn, Xã Nam Đàn, Nghệ An
 0397163866
 </t>
  </si>
  <si>
    <t>S22693229.BO.DN10-G03.1077245068</t>
  </si>
  <si>
    <t>SAPO169434767_603550</t>
  </si>
  <si>
    <t xml:space="preserve">Lan
 234 Nguyễn Công Trứ, An Hải, Đà Nẵng, Phường An Hải, Phường An Hải, Đà Nẵng
 0935474595
 </t>
  </si>
  <si>
    <t>S22693229.BO.HNP144-T81.1582143159</t>
  </si>
  <si>
    <t>SAPO169434847_603550</t>
  </si>
  <si>
    <t>10:59, 06-07-2026</t>
  </si>
  <si>
    <t xml:space="preserve">Nguyễn Thị Hương
 Đội 1 Thôn Bài Lâm Thượng Hồng Quang Ứng Hòa Hà Nội, Xã Hòa Xá, Xã Hòa Xá, Hà Nội
 0379553913
 </t>
  </si>
  <si>
    <t>S22693229.BO.MT8-06-F12.1693397282</t>
  </si>
  <si>
    <t>SAPO169434924_603550</t>
  </si>
  <si>
    <t xml:space="preserve">Nguyễn thị hạnh
 Thôn Đông Yên Xã Tam nghĩa huyện núi thành tỉnh Quảng Nam, Xã Núi Thành, Xã Núi Thành, Đà Nẵng
 0352758035
 </t>
  </si>
  <si>
    <t>S22693229.BO.SGP47-V11.1794678894</t>
  </si>
  <si>
    <t>SAPO169434965_603550</t>
  </si>
  <si>
    <t>12:15, 10-07-2026</t>
  </si>
  <si>
    <t xml:space="preserve">Hồng Độ
 Toà S2 O5 Vinhomes grand park Q9 đường Nguyễn xiển TP Thủ Đức, , Phường Long Bình, Phường Long Bình, TP Hồ Chí Minh
 0945959758
 </t>
  </si>
  <si>
    <t>S22693229.BO.SGP43-M78.1526502722</t>
  </si>
  <si>
    <t>SAPO169435311_603550</t>
  </si>
  <si>
    <t>16:11, 10-07-2026</t>
  </si>
  <si>
    <t xml:space="preserve">Tracy Tran
 37Nguyễn Văn Hưởng, Phường An Khánh, Phường An Khánh, TP Hồ Chí Minh
 0913793389
 </t>
  </si>
  <si>
    <t>S22693229.BO.MN3-05-H22.1751406881</t>
  </si>
  <si>
    <t>SAPO169435381_603550</t>
  </si>
  <si>
    <t>17:26, 10-07-2026</t>
  </si>
  <si>
    <t xml:space="preserve">Trần Thị Kim Liên
 2309 Chung cư Gateway B, Phường Tam Thắng, Phường Tam Thắng, TP Hồ Chí Minh
 0394884588
 </t>
  </si>
  <si>
    <t>S22693229.BO.MN1-46-V75.1763272659</t>
  </si>
  <si>
    <t>SAPO169435825_603550</t>
  </si>
  <si>
    <t>11:01, 06-07-2026</t>
  </si>
  <si>
    <t>19:02, 10-07-2026</t>
  </si>
  <si>
    <t xml:space="preserve">Dương Thư
 Tổ 7 ấp 6 xã Bàu Cạn ( cũ) xã Long Phước ( mới ) huyện Long Thành Tỉnh Đồng Nai, Xã Long Phước, Xã Long Phước, Đồng Nai
 0909429288
 </t>
  </si>
  <si>
    <t>S22693229.MB6-10-E7.1520742407</t>
  </si>
  <si>
    <t>SAPO169435842_603550</t>
  </si>
  <si>
    <t xml:space="preserve">Minh Nguyễn
 thôn Nam Cầu, xã Trường Tân, TP Hải Phòng, Xã Trường Tân, Xã Trường Tân, Hải Phòng
 0976151186
 </t>
  </si>
  <si>
    <t>S22693229.BO.MN1-04-Q5.1557645225</t>
  </si>
  <si>
    <t>SAPO169435890_603550</t>
  </si>
  <si>
    <t>14:45, 11-07-2026</t>
  </si>
  <si>
    <t xml:space="preserve">Miến Ngô Thị
 Khu phố Sông Trầu 2 Phường Trảng Bom Thành phố Đồng Nai, Xã Trảng Bom, Xã Trảng Bom, Đồng Nai
 0938910182
 </t>
  </si>
  <si>
    <t>S22693229.BO.MT19-01-A14.1392426104</t>
  </si>
  <si>
    <t>SAPO169436695_603550</t>
  </si>
  <si>
    <t>11:02, 06-07-2026</t>
  </si>
  <si>
    <t>18:29, 10-07-2026</t>
  </si>
  <si>
    <t xml:space="preserve">Bach An
 , phường Cam ly Đà Lạt, tỉnh Lâm đồng, Phường Cam Ly - Đà Lạt, Phường Cam Ly - Đà Lạt, Lâm Đồng
 0982394693
 </t>
  </si>
  <si>
    <t>S22693229.BO.SGP65-W50.1632072118</t>
  </si>
  <si>
    <t>SAPO169437112_603550</t>
  </si>
  <si>
    <t>13:13, 10-07-2026</t>
  </si>
  <si>
    <t xml:space="preserve">A Hùng Ngan Le
 325/8 Kênh Tân Hóa, Phường Tân Phú, Phường Tân Phú, TP Hồ Chí Minh
 0908277457
 </t>
  </si>
  <si>
    <t>S22693229.MB7-02-B12.1454061789</t>
  </si>
  <si>
    <t>SAPO169437198_603550</t>
  </si>
  <si>
    <t>16:56, 09-07-2026</t>
  </si>
  <si>
    <t xml:space="preserve">Lâm Ngọc
 Số 2C4 Đường Đỏ 3, Phường Phù Liễn, Phường Phù Liễn, Hải Phòng
 0799071676
 </t>
  </si>
  <si>
    <t>S22693229.HNP55-C48.1476555750</t>
  </si>
  <si>
    <t>SAPO169437534_603550</t>
  </si>
  <si>
    <t>11:03, 06-07-2026</t>
  </si>
  <si>
    <t>09:01, 10-07-2026</t>
  </si>
  <si>
    <t xml:space="preserve">Nguyễn Thị Khánh Ly
 Số 6 Hẻm 6 Ngõ 207/103 Đường Xuân Đỉnh, Phường Nghĩa Đô, Phường Nghĩa Đô, Hà Nội
 0905348709
 </t>
  </si>
  <si>
    <t>S22693229.MB27-06-F9.1480793435</t>
  </si>
  <si>
    <t>SAPO169437685_603550</t>
  </si>
  <si>
    <t>20:09, 10-07-2026</t>
  </si>
  <si>
    <t xml:space="preserve">Trần Thị Nghĩa
 .thôn bình thọ .xã yên hòa .tĩnh hà tĩnh, Xã Yên Hòa, Xã Yên Hòa, Hà Tĩnh
 0338665296
 </t>
  </si>
  <si>
    <t>S22693229.BO.MN6-06-E91.1085480574</t>
  </si>
  <si>
    <t>SAPO169438466_603550</t>
  </si>
  <si>
    <t>11:05, 06-07-2026</t>
  </si>
  <si>
    <t>14:44, 11-07-2026</t>
  </si>
  <si>
    <t xml:space="preserve">Huê Kim
 218/6 Ấp 4, Xã Cần Giuộc, Xã Cần Giuộc, Tây Ninh
 0906867089
 </t>
  </si>
  <si>
    <t>S22693229.BO.MN7-01-D41.1717977556</t>
  </si>
  <si>
    <t>SAPO169438680_603550</t>
  </si>
  <si>
    <t>18:29, 11-07-2026</t>
  </si>
  <si>
    <t xml:space="preserve">Văn Lý
 Ấp Tây Hoà, Xã Kim Sơn, Xã Kim Sơn, Đồng Tháp
 0938234238
 </t>
  </si>
  <si>
    <t>S22693229.BO.SGP76-S88.1527216312</t>
  </si>
  <si>
    <t>SAPO169438690_603550</t>
  </si>
  <si>
    <t xml:space="preserve">Pho thị ai chau
 49 Trường Sơn, Tân Sơn Hòa, Tp HCM, Phường Tân Sơn Hòa, Phường Tân Sơn Hòa, TP Hồ Chí Minh
 0903886069
 </t>
  </si>
  <si>
    <t>S22693229.BO.SGP55-P45.1146386323</t>
  </si>
  <si>
    <t>SAPO169438702_603550</t>
  </si>
  <si>
    <t>13:45, 10-07-2026</t>
  </si>
  <si>
    <t xml:space="preserve">Tien Nguyen
 169 Đường Bình Trị Đông, Phường Bình Trị Đông, Phường Bình Trị Đông, TP Hồ Chí Minh
 0888887114
 </t>
  </si>
  <si>
    <t>S22693229.BO.MN1-08-H63.1982270578</t>
  </si>
  <si>
    <t>SAPO169438735_603550</t>
  </si>
  <si>
    <t>19:40, 10-07-2026</t>
  </si>
  <si>
    <t xml:space="preserve">Thắng Ngô
 Số 12 Đường Huỳnh Văn Nghệ  Bửu Long  Biên Hòa, Phường Trấn Biên, Phường Trấn Biên, Đồng Nai
 0915239399
 </t>
  </si>
  <si>
    <t>S22693229.BO.MT18-06-G52.1738316823</t>
  </si>
  <si>
    <t>SAPO169438814_603550</t>
  </si>
  <si>
    <t>19:06, 10-07-2026</t>
  </si>
  <si>
    <t xml:space="preserve">Kim Huế
 Tổ 3, Xã Krông Nô, Xã Krông Nô, Lâm Đồng
 0339222833
 </t>
  </si>
  <si>
    <t>S22693229.BO.MT14-03-C19.1616913841</t>
  </si>
  <si>
    <t>SAPO169438837_603550</t>
  </si>
  <si>
    <t>15:55, 11-07-2026</t>
  </si>
  <si>
    <t xml:space="preserve">Hồng Đặng
 206 Nguyễn Thị Định, thôn 6 xã Đức Linh, tỉnh Lâm Đồng., Xã Đức Linh, Xã Đức Linh, Lâm Đồng
 0917830567
 </t>
  </si>
  <si>
    <t>S22693229.BO.MT5-02-B4.1584292384</t>
  </si>
  <si>
    <t>SAPO169438881_603550</t>
  </si>
  <si>
    <t>18:58, 10-07-2026</t>
  </si>
  <si>
    <t xml:space="preserve">Trần Phụng Trần Phụng
 100 Hà Huy Tập, Xã Khe Sanh, Xã Khe Sanh, Quảng Trị
 0325660545
 </t>
  </si>
  <si>
    <t>S22693229.BO.MN1-08-H23.1089241894</t>
  </si>
  <si>
    <t>SAPO169439142_603550</t>
  </si>
  <si>
    <t>11:06, 06-07-2026</t>
  </si>
  <si>
    <t xml:space="preserve">Thu Lan
 30/1 Tổ 11 Khu Phố Nhất Hòa  Hiệp Hòa  Biên Hòa, Phường Trấn Biên, Phường Trấn Biên, Đồng Nai
 0938317384
 </t>
  </si>
  <si>
    <t>S22693229.BO.MN10-09-T21.1893889379</t>
  </si>
  <si>
    <t>SAPO169439158_603550</t>
  </si>
  <si>
    <t xml:space="preserve">Hong Chung
 73 Khóm 3, Xã Tân Hòa, Xã Tân Hòa, Vĩnh Long
 0907022888
 </t>
  </si>
  <si>
    <t>S22693229.BO.MN1-46-V75.1814332220</t>
  </si>
  <si>
    <t>SAPO169439378_603550</t>
  </si>
  <si>
    <t>11:07, 06-07-2026</t>
  </si>
  <si>
    <t xml:space="preserve">Hoàng Thư
 Tổ 7 Ấp 6, Xã Long Phước, Xã Long Phước, Đồng Nai
 0909429288
 </t>
  </si>
  <si>
    <t>S22693229.BO.MN2-17-Q13.1534359156</t>
  </si>
  <si>
    <t>SAPO169439526_603550</t>
  </si>
  <si>
    <t xml:space="preserve">Lê Nụ
 221/08 Tổ 8 Khu Phố 5  Mỹ Phước, Phường Bến Cát, Phường Bến Cát, TP Hồ Chí Minh
 0985066729
 </t>
  </si>
  <si>
    <t>S22693229.BO.SG11-05-F17.1099818843</t>
  </si>
  <si>
    <t>SAPO169439631_603550</t>
  </si>
  <si>
    <t>15:13, 10-07-2026</t>
  </si>
  <si>
    <t xml:space="preserve">Hiền
 chung cư westgate, Xã Tân Nhựt, Xã Tân Nhựt, TP Hồ Chí Minh
 0763732915
 </t>
  </si>
  <si>
    <t>S22693229.BO.MN3-11-T82.1846625292</t>
  </si>
  <si>
    <t>SAPO169439839_603550</t>
  </si>
  <si>
    <t>11:08, 06-07-2026</t>
  </si>
  <si>
    <t>13:29, 11-07-2026</t>
  </si>
  <si>
    <t xml:space="preserve">Tham Pham
 42 Lưu Hữu Phước Lưu Hữu Phước, Phường Rạch Dừa, Phường Rạch Dừa, TP Hồ Chí Minh, Phường Rạch Dừa, Phường Rạch Dừa, TP Hồ Chí Minh
 0764227288
 </t>
  </si>
  <si>
    <t>S22693229.BO.MN3-09-M23.1822402946</t>
  </si>
  <si>
    <t>SAPO169440038_603550</t>
  </si>
  <si>
    <t>16:42, 10-07-2026</t>
  </si>
  <si>
    <t xml:space="preserve">Phuong Pham
 Tổ 2 Ấp Bà Rịa, Xã Hồ Tràm, Xã Hồ Tràm, TP Hồ Chí Minh
 0373905339
 </t>
  </si>
  <si>
    <t>S22693229.HNP98-E6.1148996060</t>
  </si>
  <si>
    <t>SAPO169440338_603550</t>
  </si>
  <si>
    <t>17:14, 09-07-2026</t>
  </si>
  <si>
    <t xml:space="preserve">Vũ Hồng Ngân
 Số 4 Ngách 58 Ngõ 66 Ngọc Thuỵ - Phường Bồ Đề - Thành Phố Hà Nội, Phường Bồ Đề, Phường Bồ Đề, Hà Nội
 0903469809
 </t>
  </si>
  <si>
    <t>S22693229.BO.SGP107-S28.1712452894</t>
  </si>
  <si>
    <t>SAPO169440416_603550</t>
  </si>
  <si>
    <t>11:09, 06-07-2026</t>
  </si>
  <si>
    <t>11:31, 10-07-2026</t>
  </si>
  <si>
    <t xml:space="preserve">Hân Vũ
 613 Phạm Văn Chí  Đường Phạm Văn Chí, Phường Bình Tiên, Phường Bình Tiên, TP Hồ Chí Minh, Phường Bình Tiên, Phường Bình Tiên, TP Hồ Chí Minh
 0902550311
 </t>
  </si>
  <si>
    <t>S22693229.BO.SGP43-M91.1386097928</t>
  </si>
  <si>
    <t>SAPO169440442_603550</t>
  </si>
  <si>
    <t>11:33, 10-07-2026</t>
  </si>
  <si>
    <t xml:space="preserve">Nguyễn Châu Bích Trâm
 A3-0302 Imperia An Phú Đường Đông Tây 1  Bình Trưng Đông  Thủ Đức, , Phường An Khánh, Phường An Khánh, TP Hồ Chí Minh
 0931491939
 </t>
  </si>
  <si>
    <t>S22693229.BO.MT12-21-X84.1637456579</t>
  </si>
  <si>
    <t>SAPO169441553_603550</t>
  </si>
  <si>
    <t>11:11, 06-07-2026</t>
  </si>
  <si>
    <t xml:space="preserve">Phong
 77 ngô gia tự, Phường Nha Trang, Phường Nha Trang, Khánh Hòa
 0973111727
 </t>
  </si>
  <si>
    <t>S22693229.BO.SGP89-I17.1289894724</t>
  </si>
  <si>
    <t>SAPO169441558_603550</t>
  </si>
  <si>
    <t>16:57, 10-07-2026</t>
  </si>
  <si>
    <t xml:space="preserve">Ngân
 40 bà huyện thanh quan phường Xuân hòa, Phường Xuân Hòa, Phường Xuân Hòa, TP Hồ Chí Minh
 0909779500
 </t>
  </si>
  <si>
    <t>S22693229.BO.SGP59-P77.1300535224</t>
  </si>
  <si>
    <t>SAPO169441537_603550</t>
  </si>
  <si>
    <t>15:51, 10-07-2026</t>
  </si>
  <si>
    <t xml:space="preserve">Bình
 628/15 đường Hậu Giang, Phường Phú Lâm, Phường Phú Lâm, TP Hồ Chí Minh
 0981664146
 </t>
  </si>
  <si>
    <t>S22693229.BO.MN1-09-TS94.1456446986</t>
  </si>
  <si>
    <t>SAPO169441569_603550</t>
  </si>
  <si>
    <t>14:04, 10-07-2026</t>
  </si>
  <si>
    <t xml:space="preserve">Vũ linh
 Khu dân cư lavender , ấp bình ý,, Phường Tân Triều, Phường Tân Triều, Đồng Nai
 0767008353
 </t>
  </si>
  <si>
    <t>S22693229.BO.SGP02-M19.1422990082</t>
  </si>
  <si>
    <t>SAPO169441547_603550</t>
  </si>
  <si>
    <t>16:35, 11-07-2026</t>
  </si>
  <si>
    <t xml:space="preserve">Trần Ngoc Dinh
 128 đường số 4, Phường An Hội Đông, Phường An Hội Đông, TP Hồ Chí Minh
 0909388616
 </t>
  </si>
  <si>
    <t>S22693229.BO.MN2-13-M54.1081803417</t>
  </si>
  <si>
    <t>SAPO169441563_603550</t>
  </si>
  <si>
    <t>14:35, 10-07-2026</t>
  </si>
  <si>
    <t xml:space="preserve">Đặng thị Thanh Hồng
 BIDV Bình Dương - 549 Đại lộ Bình Dương, Phường Phú Lợi, Phường Phú Lợi, TP Hồ Chí Minh
 0983337966
 </t>
  </si>
  <si>
    <t>S22693229.BO.SGP76-V60.1948361406</t>
  </si>
  <si>
    <t>SAPO169441561_603550</t>
  </si>
  <si>
    <t>16:27, 10-07-2026</t>
  </si>
  <si>
    <t xml:space="preserve">Vũ Hạnh
 671/16 Nguyễn Kiệm, Phường Đức Nhuận, Phường Đức Nhuận, TP Hồ Chí Minh
 0942135135
 </t>
  </si>
  <si>
    <t>S22693229.BO.MN2-17-Q800.1099451284</t>
  </si>
  <si>
    <t>SAPO169441583_603550</t>
  </si>
  <si>
    <t>17:16, 10-07-2026</t>
  </si>
  <si>
    <t xml:space="preserve">Tinhg
 Đường lai Uyên 95, Xã Trừ Văn Thố, Xã Trừ Văn Thố, TP Hồ Chí Minh
 0986592121
 </t>
  </si>
  <si>
    <t>S22693229.BO.MN1-09-TS77.1505620640</t>
  </si>
  <si>
    <t>SAPO169441555_603550</t>
  </si>
  <si>
    <t>18:27, 11-07-2026</t>
  </si>
  <si>
    <t xml:space="preserve">Trần thị thanh tuyền
 405 chung cư D2- khu phố Bình Đa-phường Trấn Biên, Phường Tam Hiệp, Phường Tam Hiệp, Đồng Nai
 0906561721
 </t>
  </si>
  <si>
    <t>S22693229.BO.SGP107-S45.1497567193</t>
  </si>
  <si>
    <t>SAPO169441544_603550</t>
  </si>
  <si>
    <t>12:07, 10-07-2026</t>
  </si>
  <si>
    <t xml:space="preserve">lapdu chau
 93b Lê Quang Sung, Phường Bình Tây, Phường Bình Tây, TP Hồ Chí Minh
 0907212922
 </t>
  </si>
  <si>
    <t>S22693229.BO.MN2-13-M35.1507603328</t>
  </si>
  <si>
    <t>SAPO169441545_603550</t>
  </si>
  <si>
    <t xml:space="preserve">Phuong Tu
 478/31 Nguyễn Tri Phương, Phường Thủ Dầu Một, Phường Thủ Dầu Một, TP Hồ Chí Minh
 0909449656
 </t>
  </si>
  <si>
    <t>S22693229.MB18-03-L3.1920193392</t>
  </si>
  <si>
    <t>SAPO169441590_603550</t>
  </si>
  <si>
    <t>19:23, 10-07-2026</t>
  </si>
  <si>
    <t xml:space="preserve">Đàm Thị hèn
 Xóm lủng mủm,xã thượng thôn,Hà Quảng,Cao Bằng, Xã Lũng Nặm, Xã Lũng Nặm, Cao Bằng
 0345928889
 </t>
  </si>
  <si>
    <t>S22693229.BO.SG13-03-C33.1547135000</t>
  </si>
  <si>
    <t>SAPO169441586_603550</t>
  </si>
  <si>
    <t>16:12, 11-07-2026</t>
  </si>
  <si>
    <t xml:space="preserve">Nguyễn Ngọc Phượng
 149 đường Cây Gõ, ấp Xóm Chùa, Xã An Nhơn Tây, Xã An Nhơn Tây, TP Hồ Chí Minh
 0902807123
 </t>
  </si>
  <si>
    <t>S22693229.BO.MN1-46-V74.1272115129</t>
  </si>
  <si>
    <t>SAPO169441541_603550</t>
  </si>
  <si>
    <t>21:30, 10-07-2026</t>
  </si>
  <si>
    <t xml:space="preserve">HỒNG OẠN
 Ấp 2 đường D15 xã long an huyện long thành -đồng nai, Xã Long Thành, Xã Long Thành, Đồng Nai
 0849662566
 </t>
  </si>
  <si>
    <t>S22693229.BO.MT9-01-A9.1732011167</t>
  </si>
  <si>
    <t>SAPO169441548_603550</t>
  </si>
  <si>
    <t>17:58, 10-07-2026</t>
  </si>
  <si>
    <t xml:space="preserve">Lê Yến
 An hội Bắc 1, Xã Nghĩa Giang, Xã Nghĩa Giang, Quảng Ngãi
 0945045096
 </t>
  </si>
  <si>
    <t>S22693229.BO.SGP27-Q77.1507609770</t>
  </si>
  <si>
    <t>SAPO169441578_603550</t>
  </si>
  <si>
    <t xml:space="preserve">Lee Ân
 51/46, đường 10, Phường Thủ Đức, Phường Thủ Đức, TP Hồ Chí Minh
 0903063575
 </t>
  </si>
  <si>
    <t>S22693229.BO.MT17-04-E07.1910169404</t>
  </si>
  <si>
    <t>SAPO169441560_603550</t>
  </si>
  <si>
    <t xml:space="preserve">Nguyễn thị tình
 294/8 Nguyễn chí Thanh, Phường Tân An, Phường Tân An, Đắk Lắk
 0984515069
 </t>
  </si>
  <si>
    <t>S22693229.BO.MT13-06-M21.1126925558</t>
  </si>
  <si>
    <t>SAPO169441543_603550</t>
  </si>
  <si>
    <t>16:12, 10-07-2026</t>
  </si>
  <si>
    <t xml:space="preserve">An Nguyễn
 05 Lê Lai, Phường Đông Hải, Phường Đông Hải, Khánh Hòa
 0918824288
 </t>
  </si>
  <si>
    <t>S22693229.BO.MN2-13-M812.1930431645</t>
  </si>
  <si>
    <t>SAPO169441584_603550</t>
  </si>
  <si>
    <t>21:33, 11-07-2026</t>
  </si>
  <si>
    <t xml:space="preserve">Mami Phan
 478 Huỳnh Văn Luỹ, Phường Bình Dương, Phường Bình Dương, TP Hồ Chí Minh
 0908377084
 </t>
  </si>
  <si>
    <t>S22693229.BO.SGP65-W45.1006499124</t>
  </si>
  <si>
    <t>SAPO169441581_603550</t>
  </si>
  <si>
    <t>12:46, 10-07-2026</t>
  </si>
  <si>
    <t xml:space="preserve">Huỳnh kỳ nga
 74 tạ Uyên P12 Q5, Phường Chợ Lớn, Phường Chợ Lớn, TP Hồ Chí Minh
 0903737453
 </t>
  </si>
  <si>
    <t>S22693229.BO.MN1-06-TW72.1805947880</t>
  </si>
  <si>
    <t>SAPO169441589_603550</t>
  </si>
  <si>
    <t>18:33, 11-07-2026</t>
  </si>
  <si>
    <t xml:space="preserve">Nguyen lan Anh
 Ấp Xuân Tâm 5, Xã Xuân Hòa, Xã Xuân Hòa, Đồng Nai, Xã Xuân Hòa, Xã Xuân Hòa, Đồng Nai
 0933451645
 </t>
  </si>
  <si>
    <t>S22693229.BO.MN3-01-A18.1520140511</t>
  </si>
  <si>
    <t>SAPO169441575_603550</t>
  </si>
  <si>
    <t>13:30, 11-07-2026</t>
  </si>
  <si>
    <t xml:space="preserve">Anh Phi
 60/1 Lê Hồng Phong, Phường Vũng Tàu, Phường Vũng Tàu, TP Hồ Chí Minh
 0909823366
 </t>
  </si>
  <si>
    <t>S22693229.BO.MN7-10-B67.1981646502</t>
  </si>
  <si>
    <t>SAPO169441688_603550</t>
  </si>
  <si>
    <t>11:12, 06-07-2026</t>
  </si>
  <si>
    <t xml:space="preserve">Huỳnh nhã tuấn
 Nhà thuốc Thanh Nhã, Xã Ngũ Hiệp, Xã Ngũ Hiệp, Đồng Tháp
 0373663973
 </t>
  </si>
  <si>
    <t>S22693229.BO.MT16-02-D77.1748976852</t>
  </si>
  <si>
    <t>SAPO169441768_603550</t>
  </si>
  <si>
    <t>14:19, 11-07-2026</t>
  </si>
  <si>
    <t xml:space="preserve">Thi
 49/5 phù đổng, Phường Pleiku, Phường Pleiku, Gia Lai
 0943070989
 </t>
  </si>
  <si>
    <t>S22693229.BO.MN2-05-H13.1975026416</t>
  </si>
  <si>
    <t>SAPO169442111_603550</t>
  </si>
  <si>
    <t xml:space="preserve">Lộc Xuân
 Lô 84, đường số 5, kcn sóng thần 1, Phường Dĩ An, Phường Dĩ An, TP Hồ Chí Minh
 0974297074
 </t>
  </si>
  <si>
    <t>S22693229.BO.MT9-01-O5.1213305902</t>
  </si>
  <si>
    <t>SAPO169442693_603550</t>
  </si>
  <si>
    <t>11:13, 06-07-2026</t>
  </si>
  <si>
    <t>15:19, 10-07-2026</t>
  </si>
  <si>
    <t xml:space="preserve">Quách Tiên
 314 Hoàng Văn Thụ, Phường Nghĩa Lộ, Phường Nghĩa Lộ, Quảng Ngãi
 0944159333
 </t>
  </si>
  <si>
    <t>S22693229.MB25-16-H11.1416198381</t>
  </si>
  <si>
    <t>SAPO169442754_603550</t>
  </si>
  <si>
    <t>20:41, 10-07-2026</t>
  </si>
  <si>
    <t xml:space="preserve">Nguyễn Mai
 Trại Tạm Giam Cầu Cao, Phường Đông Quang, Phường Đông Quang, Thanh Hóa
 0948781567
 </t>
  </si>
  <si>
    <t>S22693229.BO.MN12-11-M61.1567678902</t>
  </si>
  <si>
    <t>SAPO169443126_603550</t>
  </si>
  <si>
    <t>11:14, 06-07-2026</t>
  </si>
  <si>
    <t>17:03, 10-07-2026</t>
  </si>
  <si>
    <t xml:space="preserve">Ly nguyễn
 12 hoà an,tân nhuận đông, Xã Tân Nhuận Đông, Xã Tân Nhuận Đông, Đồng Tháp
 0349147868
 </t>
  </si>
  <si>
    <t>S22693229.MB27-01-A22.1612210732</t>
  </si>
  <si>
    <t>SAPO169443161_603550</t>
  </si>
  <si>
    <t>14:14, 10-07-2026</t>
  </si>
  <si>
    <t xml:space="preserve">An Phượng
 Thôn Cao Thắng - Xã Thạch Lạc - Tỉnh Hà Tĩnh, Xã Thạch Lạc, Xã Thạch Lạc, Hà Tĩnh
 0349639153
 </t>
  </si>
  <si>
    <t>S22693229.BO.SGP100-I45.1029473204</t>
  </si>
  <si>
    <t>SAPO169443185_603550</t>
  </si>
  <si>
    <t>13:42, 10-07-2026</t>
  </si>
  <si>
    <t xml:space="preserve">Bui thanh sang
 50 lê văn lương, tân hưng q7, hcm, Phường Tân Hưng, Phường Tân Hưng, TP Hồ Chí Minh
 0903993547
 </t>
  </si>
  <si>
    <t>S22693229.BO.MN3-03-C51.1751066865</t>
  </si>
  <si>
    <t>SAPO169443279_603550</t>
  </si>
  <si>
    <t>11:15, 06-07-2026</t>
  </si>
  <si>
    <t>14:39, 11-07-2026</t>
  </si>
  <si>
    <t xml:space="preserve">phạm Trần Thanh Tâm
 102/18 Nguyễn Thanh Đằng, Phường Bà Rịa, Phường Bà Rịa, TP Hồ Chí Minh
 0966119986
 </t>
  </si>
  <si>
    <t>S22693229.BO.SGP100-I27.1416056164</t>
  </si>
  <si>
    <t>SAPO169443390_603550</t>
  </si>
  <si>
    <t>12:06, 10-07-2026</t>
  </si>
  <si>
    <t xml:space="preserve">Đặng Mi Ni
 Cc Florita, Lô C 6-02, Đường D1, Phường Tân Hưng, Thành phố Hồ Chí Minh, Phường Tân Hưng, Phường Tân Hưng, TP Hồ Chí Minh
 0908410913
 </t>
  </si>
  <si>
    <t>S22693229.MB10-24-N9.1866200627</t>
  </si>
  <si>
    <t>SAPO169443429_603550</t>
  </si>
  <si>
    <t>21:22, 10-07-2026</t>
  </si>
  <si>
    <t xml:space="preserve">Vân Nguyễn
 A11-01 Monbay  Hồng Gai  Hạ Long, Phường Hồng Gai, Phường Hồng Gai, Quảng Ninh
 0931634444
 </t>
  </si>
  <si>
    <t>S22693229.BO.MN2-03-A45.1635043852</t>
  </si>
  <si>
    <t>SAPO169443422_603550</t>
  </si>
  <si>
    <t>11:16, 10-07-2026</t>
  </si>
  <si>
    <t xml:space="preserve">Tran Xuan Vinh
 Số 8 đại lộ hữu nghị, KCN việt nam Singapore, phường Bình Hòa, tp HCM, Phường Bình Hòa, Phường Bình Hòa, TP Hồ Chí Minh
 0982450645
 </t>
  </si>
  <si>
    <t>S22693229.MB4-04-D11.1728800561</t>
  </si>
  <si>
    <t>SAPO169443444_603550</t>
  </si>
  <si>
    <t xml:space="preserve">Nguyet Do
 Thôn Hải Nhuận Đông Quí, Xã Đông Tiền Hải, Xã Đông Tiền Hải, Hưng Yên
 0988070631
 </t>
  </si>
  <si>
    <t>S22693229.HNP47-B173.1358896574</t>
  </si>
  <si>
    <t>SAPO169443442_603550</t>
  </si>
  <si>
    <t>13:05, 10-07-2026</t>
  </si>
  <si>
    <t xml:space="preserve">Chử Cường
 cầu thang 1, nhà a6a thành công, giảng võ, hà nội, Phường Giảng Võ, Phường Giảng Võ, Hà Nội
 0903479777
 </t>
  </si>
  <si>
    <t>S22693229.BO.DN9-O30.1092681879</t>
  </si>
  <si>
    <t>SAPO169443427_603550</t>
  </si>
  <si>
    <t>14:27, 10-07-2026</t>
  </si>
  <si>
    <t xml:space="preserve">Bảo King
 30/29/18 Trần Phú, Phường Hải Châu, Phường Hải Châu, Đà Nẵng, Phường Hải Châu, Phường Hải Châu, Đà Nẵng
 0905099951
 </t>
  </si>
  <si>
    <t>S22693229.MB17-01-E16.1910053811</t>
  </si>
  <si>
    <t>SAPO169443432_603550</t>
  </si>
  <si>
    <t>20:36, 11-07-2026</t>
  </si>
  <si>
    <t xml:space="preserve">Linh Ngoc
 Quyết Thắng  Hoàng Văn Thụ Khác, Xã Hoàng Văn Thụ, Xã Hoàng Văn Thụ, Lạng Sơn, Xã Hoàng Văn Thụ, Xã Hoàng Văn Thụ, Lạng Sơn
 0966773356
 </t>
  </si>
  <si>
    <t>S22693229.BO.MT16-15-E62.1831424675</t>
  </si>
  <si>
    <t>SAPO169443420_603550</t>
  </si>
  <si>
    <t>18:38, 10-07-2026</t>
  </si>
  <si>
    <t xml:space="preserve">Vu Hong Hanh
 Thôn Phạmkla, Xã Bờ Ngoong, Xã Bờ Ngoong, Gia Lai
 0989716269
 </t>
  </si>
  <si>
    <t>S22693229.HNP132-A19.1732558364</t>
  </si>
  <si>
    <t>SAPO169443453_603550</t>
  </si>
  <si>
    <t xml:space="preserve">Huyền
 Nhà số 5- dãy A6- nhà máy gạch Xuân Hoà, Xã Kim Anh, Xã Kim Anh, Hà Nội
 0987307772
 </t>
  </si>
  <si>
    <t>S22693229.BO.MN3-09-M23.1094365824</t>
  </si>
  <si>
    <t>SAPO169443423_603550</t>
  </si>
  <si>
    <t>S22693229.HNP48-L32.1885037107</t>
  </si>
  <si>
    <t>SAPO169443473_603550</t>
  </si>
  <si>
    <t>19:05, 11-07-2026</t>
  </si>
  <si>
    <t xml:space="preserve">phan thị linh
 số nhà 26, ngách 19 ngõ 68 triều khúc, Phường Thanh Liệt, Phường Thanh Liệt, Hà Nội
 0975440570
 </t>
  </si>
  <si>
    <t>S22693229.BO.SGP66-W25.1231444081</t>
  </si>
  <si>
    <t>SAPO169443553_603550</t>
  </si>
  <si>
    <t>12:39, 10-07-2026</t>
  </si>
  <si>
    <t xml:space="preserve">Bach le my my
 48 đường a khu adc, Phường Phú Thạnh, Phường Phú Thạnh, TP Hồ Chí Minh
 0899994899
 </t>
  </si>
  <si>
    <t>S22693229.HNP126-H8.1224320729</t>
  </si>
  <si>
    <t>SAPO169443749_603550</t>
  </si>
  <si>
    <t>11:16, 06-07-2026</t>
  </si>
  <si>
    <t>18:49, 10-07-2026</t>
  </si>
  <si>
    <t xml:space="preserve">le thi thanh ha
 vĩnh phát ninh hiệp gia lâm hà nội, Xã Phù Đổng, Xã Phù Đổng, Hà Nội
 0985935286
 </t>
  </si>
  <si>
    <t>S22693229.BO.MN6-20-N31.1683650435</t>
  </si>
  <si>
    <t>SAPO169443886_603550</t>
  </si>
  <si>
    <t>16:06, 11-07-2026</t>
  </si>
  <si>
    <t xml:space="preserve">Minh Thùy
 0899940722 d5-12 đường số 3, kdc trần anh, ấp mới 2, xã mỹ hạnh nam, đức hoà, long an, Xã Mỹ Hạnh, Xã Mỹ Hạnh, Tây Ninh
 0968424250
 </t>
  </si>
  <si>
    <t>S22693229.BO.SGP54-X97.1698431366</t>
  </si>
  <si>
    <t>SAPO169443971_603550</t>
  </si>
  <si>
    <t>17:21, 10-07-2026</t>
  </si>
  <si>
    <t xml:space="preserve">Chi Lien
 65/22/2 đường số 5, Phường Bình Hưng Hòa, Phường Bình Hưng Hòa, TP Hồ Chí Minh
 0908868970
 </t>
  </si>
  <si>
    <t>S22693229.BO.MN3-01-W61.1722707831</t>
  </si>
  <si>
    <t>SAPO169444000_603550</t>
  </si>
  <si>
    <t>19:17, 10-07-2026</t>
  </si>
  <si>
    <t xml:space="preserve">Ha phuong
 62 binh quý, Phường Tam Thắng, Phường Tam Thắng, TP Hồ Chí Minh
 0906627222
 </t>
  </si>
  <si>
    <t>S22693229.BO.MT12-07-D41.1408524319</t>
  </si>
  <si>
    <t>SAPO169444011_603550</t>
  </si>
  <si>
    <t xml:space="preserve">Phạm thị Lan
 Chung cư ct6 Vĩnh điềm trung- Tây Nha trang- Khánh Hoà, Phường Tây Nha Trang, Phường Tây Nha Trang, Khánh Hòa
 0977427500
 </t>
  </si>
  <si>
    <t>S22693229.BO.MT9-02-B6.1138174080</t>
  </si>
  <si>
    <t>SAPO169444035_603550</t>
  </si>
  <si>
    <t>20:00, 10-07-2026</t>
  </si>
  <si>
    <t xml:space="preserve">Nguyễn Hà
 29/13 Nguyễn Tự Tân, Xã Bình Sơn, Xã Bình Sơn, Quảng Ngãi
 0977229336
 </t>
  </si>
  <si>
    <t>S22693229.BO.SGP47-V13.1336602891</t>
  </si>
  <si>
    <t>SAPO169444073_603550</t>
  </si>
  <si>
    <t xml:space="preserve">Nguyễn Cẩm Tú
 Sảnh GH3B KĐT Vinhomes Grand Park, Phường Long Bình, Phường Long Bình, TP Hồ Chí Minh
 0908836335
 </t>
  </si>
  <si>
    <t>S22693229.BO.MT10-10-O73.1101857456</t>
  </si>
  <si>
    <t>SAPO169444089_603550</t>
  </si>
  <si>
    <t xml:space="preserve">Nguyễn thị lý
 Kim giao trung, Phường Hoài Nhơn Đông, Phường Hoài Nhơn Đông, Gia Lai
 0344665113
 </t>
  </si>
  <si>
    <t>S22693229.BO.SGP101-I98.1023794929</t>
  </si>
  <si>
    <t>SAPO169444129_603550</t>
  </si>
  <si>
    <t xml:space="preserve">Nguyễn Hoàng Luân
 79 Hoàng Văn Thái, Phường Tân Mỹ, Phường Tân Mỹ, TP Hồ Chí Minh
 0907623772
 </t>
  </si>
  <si>
    <t>S22693229.SGP69-W62.1152957726</t>
  </si>
  <si>
    <t>SAPO169444141_603550</t>
  </si>
  <si>
    <t>13:18, 10-07-2026</t>
  </si>
  <si>
    <t xml:space="preserve">Pham thi anh thuan
 Số 2 duong n4 chung cư Emerald phuong tan son nhì, Phường Tân Sơn Nhì, Phường Tân Sơn Nhì, TP Hồ Chí Minh
 0904789118
 </t>
  </si>
  <si>
    <t>S22693229.BO.MN18-01-A31.1104385451</t>
  </si>
  <si>
    <t>SAPO169444170_603550</t>
  </si>
  <si>
    <t>11:17, 06-07-2026</t>
  </si>
  <si>
    <t xml:space="preserve">Lê Bích Ngân
 Ấp Xóm Lớn, Phường Lý Văn Lâm, Phường Lý Văn Lâm, Cà Mau
 0919445550
 </t>
  </si>
  <si>
    <t>S22693229.MB25-25-L5.1827743898</t>
  </si>
  <si>
    <t>SAPO169444337_603550</t>
  </si>
  <si>
    <t>15:36, 11-07-2026</t>
  </si>
  <si>
    <t xml:space="preserve">Linh Trịnh
 Thôn Cổ Điệp xã Vĩnh Phúc huyện Vĩnh Lộc tỉnh Thanh Hoá, Xã Vĩnh Lộc, Xã Vĩnh Lộc, Thanh Hóa
 0988303968
 </t>
  </si>
  <si>
    <t>S22693229.MB14-02-B3.1674571078</t>
  </si>
  <si>
    <t>SAPO169444390_603550</t>
  </si>
  <si>
    <t>22:05, 10-07-2026</t>
  </si>
  <si>
    <t xml:space="preserve">Vũ Thu Trang
 Số nhà 1317, tổ 10, Xã Bắc Quang, Xã Bắc Quang, Tuyên Quang
 0833983889
 </t>
  </si>
  <si>
    <t>S22693229.BO.SGP37-K28.1003580866</t>
  </si>
  <si>
    <t>SAPO169444423_603550</t>
  </si>
  <si>
    <t>15:27, 10-07-2026</t>
  </si>
  <si>
    <t xml:space="preserve">Hanh
 Cc prosper,22/14 phan văn hớn,đông hưng thuận,tphcm, Phường Đông Hưng Thuận, Phường Đông Hưng Thuận, TP Hồ Chí Minh
 0903877917
 </t>
  </si>
  <si>
    <t>S22693229.BO.SGP113-X33.1785468943</t>
  </si>
  <si>
    <t>SAPO169444459_603550</t>
  </si>
  <si>
    <t>18:11, 10-07-2026</t>
  </si>
  <si>
    <t xml:space="preserve">Tuyet Nhi
 Chung cư topaz elite phoenix 1B, Phường Chánh Hưng, Phường Chánh Hưng, TP Hồ Chí Minh
 0941320632
 </t>
  </si>
  <si>
    <t>S22693229.BO.MN7-10-B21.1063358148</t>
  </si>
  <si>
    <t>SAPO169444659_603550</t>
  </si>
  <si>
    <t>11:18, 06-07-2026</t>
  </si>
  <si>
    <t>14:59, 10-07-2026</t>
  </si>
  <si>
    <t xml:space="preserve">Dương tất thắng
 21/3 đoàn thị nghiệp, Phường Mỹ Phước Tây, Phường Mỹ Phước Tây, Đồng Tháp
 0901063815
 </t>
  </si>
  <si>
    <t>S22693229.BO.HNP121-D10.1883328917</t>
  </si>
  <si>
    <t>SAPO169444706_603550</t>
  </si>
  <si>
    <t xml:space="preserve">Mr Ben
 Bồng mạc, Xã Yên Lãng, Xã Yên Lãng, Hà Nội
 0943828698
 </t>
  </si>
  <si>
    <t>S22693229.BO.MN5-10-A92.1737662722</t>
  </si>
  <si>
    <t>SAPO169444750_603550</t>
  </si>
  <si>
    <t>15:58, 10-07-2026</t>
  </si>
  <si>
    <t xml:space="preserve">Ngô thị kim miên
 Tổ 1 kp 3a, Phường Minh Hưng, Phường Minh Hưng, Đồng Nai
 0988914221
 </t>
  </si>
  <si>
    <t>S22693229.MB10-13-M24.1513163415</t>
  </si>
  <si>
    <t>SAPO169445068_603550</t>
  </si>
  <si>
    <t>11:19, 06-07-2026</t>
  </si>
  <si>
    <t xml:space="preserve">Pham van
 Tổ 1 khu cẩm sơn 2.phường cửa ông, Phường Cửa Ông, Phường Cửa Ông, Quảng Ninh
 0334470019
 </t>
  </si>
  <si>
    <t>S22693229.BO.SG11-05-F12.1170844586</t>
  </si>
  <si>
    <t>SAPO169445301_603550</t>
  </si>
  <si>
    <t>14:50, 10-07-2026</t>
  </si>
  <si>
    <t xml:space="preserve">Lê Phương
 15 Võ Trần Chí, Xã Tân Nhựt, Xã Tân Nhựt, TP Hồ Chí Minh
 0903832708
 </t>
  </si>
  <si>
    <t>S22693229.BO.MT12-10-Q19.1871888009</t>
  </si>
  <si>
    <t>SAPO169445363_603550</t>
  </si>
  <si>
    <t>15:17, 10-07-2026</t>
  </si>
  <si>
    <t xml:space="preserve">Phạm Lê Thanh Huyền
 UBND xã Tân Định, Xã Tân Định, Xã Tân Định, Khánh Hòa
 0909199500
 </t>
  </si>
  <si>
    <t>S22693229.BO.MN3-05-H22.1939901512</t>
  </si>
  <si>
    <t>SAPO169445617_603550</t>
  </si>
  <si>
    <t>14:34, 11-07-2026</t>
  </si>
  <si>
    <t xml:space="preserve">Đào Thuỷ
 A1110 chung cư Dic phoenix , Phường Tam Thắng , tp HCM, Phường Tam Thắng, Phường Tam Thắng, TP Hồ Chí Minh
 0949521315
 </t>
  </si>
  <si>
    <t>S22693229.BO.MN1-04-N7.1654390350</t>
  </si>
  <si>
    <t>SAPO169445840_603550</t>
  </si>
  <si>
    <t>11:20, 06-07-2026</t>
  </si>
  <si>
    <t>12:42, 10-07-2026</t>
  </si>
  <si>
    <t xml:space="preserve">Ngân
 Km03 đường 19/5-Cây Gáo, Xã Bàu Hàm, Xã Bàu Hàm, Đồng Nai
 0961168039
 </t>
  </si>
  <si>
    <t>S22693229.MB7-31-H17.1045526339</t>
  </si>
  <si>
    <t>SAPO169445881_603550</t>
  </si>
  <si>
    <t xml:space="preserve">Bùi Loan
 thôn 5 xã Hợp Thành huyện Thủy Nguyên, Hải Phòng, Phường Thủy Nguyên, Phường Thủy Nguyên, Hải Phòng
 0355387469
 </t>
  </si>
  <si>
    <t>S22693229.BO.MN1-08-H62.1408008762</t>
  </si>
  <si>
    <t>SAPO169445907_603550</t>
  </si>
  <si>
    <t>18:28, 10-07-2026</t>
  </si>
  <si>
    <t xml:space="preserve">Nguyễn Thị Thanh Hồng
 Ngân hàng phát triển VN chi nhánh Đồng Nai. Số 1892 đường Nguyễn Ái Quốc , phường Trấn Biên,  Đồng Nai, Đường Nguyễn Ái Quốc, Phường Trấn Biên, Phường Trấn Biên, Đồng Nai
 0918742407
 </t>
  </si>
  <si>
    <t>S22693229.BO.SGP101-I102.1728625424</t>
  </si>
  <si>
    <t>SAPO169445934_603550</t>
  </si>
  <si>
    <t xml:space="preserve">Văn Xuân Thắng
 Phòng khám Tim mạch tiểu đường 315 số 605 Huỳnh Tấn Phát P.Tân Thuận TpHCM, Phường Tân Thuận, Phường Tân Thuận, TP Hồ Chí Minh
 0703198314
 </t>
  </si>
  <si>
    <t>S22693229.BO.MN3-11-T82.1943858183</t>
  </si>
  <si>
    <t>SAPO169445979_603550</t>
  </si>
  <si>
    <t>15:41, 11-07-2026</t>
  </si>
  <si>
    <t xml:space="preserve">Nguyễn nương
 524/2b đường 30/4 phường rạch dừa, Phường Rạch Dừa, Phường Rạch Dừa, TP Hồ Chí Minh
 0931204578
 </t>
  </si>
  <si>
    <t>S22693229.BO.MN1-08-H61.1466673311</t>
  </si>
  <si>
    <t>SAPO169446296_603550</t>
  </si>
  <si>
    <t>11:21, 06-07-2026</t>
  </si>
  <si>
    <t xml:space="preserve">Lan Phương Tô
 Khoa Dược - Trường ĐH Lạc Hồng (gần KDL Bửu Long), Phường Trấn Biên, Phường Trấn Biên, Đồng Nai
 0987096373
 </t>
  </si>
  <si>
    <t>S22693229.MB4-03-C3.1107980020</t>
  </si>
  <si>
    <t>SAPO169446452_603550</t>
  </si>
  <si>
    <t>13:51, 11-07-2026</t>
  </si>
  <si>
    <t xml:space="preserve">Lê Thị Loan
 Thôn Trung _ Thái Giang_ Thái Thụy_ Thái Bình, Xã Tây Thái Ninh, Xã Tây Thái Ninh, Hưng Yên
 0986842683
 </t>
  </si>
  <si>
    <t>S22693229.BO.SGP91-W79.1843068545</t>
  </si>
  <si>
    <t>SAPO169446494_603550</t>
  </si>
  <si>
    <t>12:50, 10-07-2026</t>
  </si>
  <si>
    <t xml:space="preserve">Huệ
 Cao ốc Vạn Đô, 348 Bến Vân Đồn, Phường Vĩnh Hội, Phường Vĩnh Hội, TP Hồ Chí Minh
 0979230731
 </t>
  </si>
  <si>
    <t>S22693229.MB10-24-N9.1855574637</t>
  </si>
  <si>
    <t>SAPO169446581_603550</t>
  </si>
  <si>
    <t>08:03, 09-07-2026</t>
  </si>
  <si>
    <t xml:space="preserve">Ngô Thu Hằng
 136 ngõ 18 Ba đèo, Phường Hồng Gai, Phường Hồng Gai, Quảng Ninh
 0981308689
 </t>
  </si>
  <si>
    <t>S22693229.BO.SGP54-P62.1787405740</t>
  </si>
  <si>
    <t>SAPO169446843_603550</t>
  </si>
  <si>
    <t>11:22, 06-07-2026</t>
  </si>
  <si>
    <t>16:50, 10-07-2026</t>
  </si>
  <si>
    <t xml:space="preserve">Phuong bich
 25 đường số 10A, khu dân cư Vĩnh Lộc, Phường Bình Tân, Phường Bình Tân, TP Hồ Chí Minh
 0938655143
 </t>
  </si>
  <si>
    <t>S22693229.BO.MN6-02-S41.1971760229</t>
  </si>
  <si>
    <t>SAPO169446877_603550</t>
  </si>
  <si>
    <t>17:00, 11-07-2026</t>
  </si>
  <si>
    <t xml:space="preserve">Nguyễn thị kim thảo
 Ấp 4 Thạnh lợi bến lức Long An, Xã Thạnh Lợi, Xã Thạnh Lợi, Tây Ninh
 0969422026
 </t>
  </si>
  <si>
    <t>S22693229.BO.MN1-20-TP33.1244021398</t>
  </si>
  <si>
    <t>SAPO169446905_603550</t>
  </si>
  <si>
    <t>20:21, 10-07-2026</t>
  </si>
  <si>
    <t xml:space="preserve">Nhi Hoàng
 41, tổ 11, kp Tân Mai 2, phường Phước Tân, Biên Hoà, Đồng Nai, Phường Phước Tân, Phường Phước Tân, Đồng Nai
 0395471210
 </t>
  </si>
  <si>
    <t>S22693229.BO.MN10-01-A31.1337696201</t>
  </si>
  <si>
    <t>SAPO169447167_603550</t>
  </si>
  <si>
    <t>14:17, 10-07-2026</t>
  </si>
  <si>
    <t xml:space="preserve">My Linh Ong
 117 Quang Trung, Phường Trà Vinh, Phường Trà Vinh, Vĩnh Long
 0908074888
 </t>
  </si>
  <si>
    <t>S22693229.BO.SGP02-N18.1240862391</t>
  </si>
  <si>
    <t>SAPO169447220_603550</t>
  </si>
  <si>
    <t>15:43, 10-07-2026</t>
  </si>
  <si>
    <t xml:space="preserve">Nham
 350/35D72 le Đức tho, Phường An Nhơn, Phường An Nhơn, TP Hồ Chí Minh
 0964100977
 </t>
  </si>
  <si>
    <t>S22693229.BO.MT14-06-K81.1901881303</t>
  </si>
  <si>
    <t>SAPO169447345_603550</t>
  </si>
  <si>
    <t>11:23, 06-07-2026</t>
  </si>
  <si>
    <t>17:47, 10-07-2026</t>
  </si>
  <si>
    <t xml:space="preserve">Hương Thảo
 333B, Nguyễn Tất Thành, Xã Bắc Bình, Xã Bắc Bình, Lâm Đồng
 0937547073
 </t>
  </si>
  <si>
    <t>S22693229.MB8-02-B24.1956420985</t>
  </si>
  <si>
    <t>SAPO169447392_603550</t>
  </si>
  <si>
    <t>19:51, 09-07-2026</t>
  </si>
  <si>
    <t xml:space="preserve">Bùi Thế Thái
 Đồng Xép- Đại Đồng, Xã Đại Đồng, Xã Đại Đồng, Bắc Ninh
 0977957576
 </t>
  </si>
  <si>
    <t>S22693229.MB5-05-E6.1311226742</t>
  </si>
  <si>
    <t>SAPO169447422_603550</t>
  </si>
  <si>
    <t>20:40, 09-07-2026</t>
  </si>
  <si>
    <t xml:space="preserve">Trần thu hương
 Toà SF2- toà Skyforest, ecopark, Hưng yên, Xã Phụng Công, Xã Phụng Công, Hưng Yên
 0989207779
 </t>
  </si>
  <si>
    <t>S22693229.MB9-07-U4.1321687574</t>
  </si>
  <si>
    <t>SAPO169447515_603550</t>
  </si>
  <si>
    <t xml:space="preserve">Huyền
 Thôn Đồng Nhân, Xã Đồng Việt, Xã Đồng Việt, Bắc Ninh
 0985160285
 </t>
  </si>
  <si>
    <t>S22693229.MB9-07-U4.1413690348</t>
  </si>
  <si>
    <t>SAPO169447583_603550</t>
  </si>
  <si>
    <t>S22693229.BO.MN1-08-H55.1211864715</t>
  </si>
  <si>
    <t>SAPO169447668_603550</t>
  </si>
  <si>
    <t>11:24, 06-07-2026</t>
  </si>
  <si>
    <t>20:17, 10-07-2026</t>
  </si>
  <si>
    <t xml:space="preserve">Nguyễn Hoàng Quyên
 Số 2 đường Nguyễn Văn Trị, Phường Trấn Biên, Phường Trấn Biên, Đồng Nai
 0902980038
 </t>
  </si>
  <si>
    <t>S22693229.HNP75-D33.1277781374</t>
  </si>
  <si>
    <t>SAPO169490550_603550</t>
  </si>
  <si>
    <t>13:04, 06-07-2026</t>
  </si>
  <si>
    <t>19:03, 11-07-2026</t>
  </si>
  <si>
    <t xml:space="preserve">Nguyễn Văn Vụ
 Binh đoàn 12, Km 6+500 Đại Lộ Thăng Long, Phường Xuân Phương, HN, Phường Xuân Phương, Phường Xuân Phương, Hà Nội
 0983645234
 </t>
  </si>
  <si>
    <t>S22693229.MN11-07-V64.1479730872</t>
  </si>
  <si>
    <t>SAPO169504038_603550</t>
  </si>
  <si>
    <t>13:17, 06-07-2026</t>
  </si>
  <si>
    <t>12:36, 10-07-2026</t>
  </si>
  <si>
    <t xml:space="preserve">Lê Thị Mỹ Tiên
 Số 20, Đường số 7, Khu tái định cư Đại học Y Dược, KV 11, Phường Tân An, Phường Tân An, Cần Thơ
 0939769939
 </t>
  </si>
  <si>
    <t>S22693229.MN2-05-H42.1419208123</t>
  </si>
  <si>
    <t>SAPO169504127_603550</t>
  </si>
  <si>
    <t>12:44, 11-07-2026</t>
  </si>
  <si>
    <t xml:space="preserve">Giang Thị Thu Hoà
 Số 2, đường 7, khu phố Bình đường 2, Phường Dĩ An, Phường Dĩ An, TP Hồ Chí Minh
 0908022480
 </t>
  </si>
  <si>
    <t>S22693229.BO.MT11-07-M22.1164039049</t>
  </si>
  <si>
    <t>SAPO169504567_603550</t>
  </si>
  <si>
    <t>13:18, 06-07-2026</t>
  </si>
  <si>
    <t xml:space="preserve">Nguyễn Hải
 Thôn 3, Xã Xuân Lãnh, Xã Xuân Lãnh, Đắk Lắk
 0347417249
 </t>
  </si>
  <si>
    <t>S22693229.MN3-02-T37.1741760721</t>
  </si>
  <si>
    <t>SAPO169528343_603550</t>
  </si>
  <si>
    <t>13:41, 06-07-2026</t>
  </si>
  <si>
    <t>15:45, 09-07-2026</t>
  </si>
  <si>
    <t xml:space="preserve">Thuy
 Chung cư 18 tầng, Phường Phú Mỹ, Phường Phú Mỹ, TP Hồ Chí Minh
 0932677108
 </t>
  </si>
  <si>
    <t>S22693229.BO.SGP47-V16.1989683566</t>
  </si>
  <si>
    <t>SAPO169542403_603550</t>
  </si>
  <si>
    <t>13:55, 06-07-2026</t>
  </si>
  <si>
    <t>10:57, 10-07-2026</t>
  </si>
  <si>
    <t xml:space="preserve">TRẦN QUỐC GIÀU
 Nam, Phường Long Bình, Phường Long Bình, TP Hồ Chí Minh
 0948114499
 </t>
  </si>
  <si>
    <t>S22693229.BO.MN4-07-M92.1015677935</t>
  </si>
  <si>
    <t>SAPO169542402_603550</t>
  </si>
  <si>
    <t>18:30, 10-07-2026</t>
  </si>
  <si>
    <t xml:space="preserve">Nguyệt Thu
 Số 980 ĐT 784 UBND xã Cầu Khởi, ấp Khởi Hà, Xã Cầu Khởi, Xã Cầu Khởi, Tây Ninh
 0903939694
 </t>
  </si>
  <si>
    <t>S22693229.BO.MN2-03-C51.1489523101</t>
  </si>
  <si>
    <t>SAPO169542392_603550</t>
  </si>
  <si>
    <t>18:53, 10-07-2026</t>
  </si>
  <si>
    <t xml:space="preserve">Hiệp Nguyễn
 19/2 khu phố Hoà Long Lái Thiêu Thuận An Bình Dương, Phường Lái Thiêu, Phường Lái Thiêu, TP Hồ Chí Minh
 0944723880
 </t>
  </si>
  <si>
    <t>S22693229.MB10-09-Z15.1373422525</t>
  </si>
  <si>
    <t>SAPO169542428_603550</t>
  </si>
  <si>
    <t>19:34, 09-07-2026</t>
  </si>
  <si>
    <t xml:space="preserve">Quyet nhung
 48 đinh tiên hoàng, Phường Quảng Yên, Phường Quảng Yên, Quảng Ninh
 0356912999
 </t>
  </si>
  <si>
    <t>S22693229.BO.MT12-07-D36.1678711485</t>
  </si>
  <si>
    <t>SAPO169542397_603550</t>
  </si>
  <si>
    <t>13:39, 10-07-2026</t>
  </si>
  <si>
    <t xml:space="preserve">Nguyễn Anh Tuấn
 Chung cư SSH07, khu đô thị Hà Quang, phường Nam Nha Trang, tỉnh Khánh Hòa, Phường Nam Nha Trang, Phường Nam Nha Trang, Khánh Hòa
 0867977377
 </t>
  </si>
  <si>
    <t>S22693229.MB9-05-D5.1242949984</t>
  </si>
  <si>
    <t>SAPO169542451_603550</t>
  </si>
  <si>
    <t>22:22, 10-07-2026</t>
  </si>
  <si>
    <t xml:space="preserve">Lê Thị Hà
 Cổng Xanh Lá Cây, Số 314, Đường Nguyễn Công Hãng Phường Trần Nguyên Hãn, Thành Phố Bắc Giang, Bắc Giang, Phường Bắc Giang, Phường Bắc Giang, Bắc Ninh
 0866967319
 </t>
  </si>
  <si>
    <t>S22693229.BO.SGP45-V22.1657048008</t>
  </si>
  <si>
    <t>SAPO169542396_603550</t>
  </si>
  <si>
    <t>13:02, 11-07-2026</t>
  </si>
  <si>
    <t xml:space="preserve">Nguyễn Thị Lương
 9/10 đường 22, Phường Phước Long, Phường Phước Long, TP Hồ Chí Minh
 0937845493
 </t>
  </si>
  <si>
    <t>S22693229.MB21-05-E1.1381323540</t>
  </si>
  <si>
    <t>SAPO169542439_603550</t>
  </si>
  <si>
    <t xml:space="preserve">Phạm Thị Thuý
 Thôn quyết thắng xã bảo ái tỉnh lào cai, Xã Bảo Ái, Xã Bảo Ái, Lào Cai
 0356686936
 </t>
  </si>
  <si>
    <t>S22693229.MB8-01-A15.1841475168</t>
  </si>
  <si>
    <t>SAPO169542404_603550</t>
  </si>
  <si>
    <t xml:space="preserve">Quản Ngọc Thắng
 Chung cư cát tường thống nhất phường võ cường thành phố bắc ninh tình bắc ninh, Phường Võ Cường, Phường Võ Cường, Bắc Ninh
 0965068885
 </t>
  </si>
  <si>
    <t>S22693229.MB25-30-R4.1396940699</t>
  </si>
  <si>
    <t>SAPO169542393_603550</t>
  </si>
  <si>
    <t>15:42, 10-07-2026</t>
  </si>
  <si>
    <t xml:space="preserve">Cuong Do
 Phường hải bình, Phường Hải Bình, Phường Hải Bình, Thanh Hóa
 0978486105
 </t>
  </si>
  <si>
    <t>S22693229.BO.MN3-06-D501.1783778377</t>
  </si>
  <si>
    <t>SAPO169542445_603550</t>
  </si>
  <si>
    <t>18:43, 10-07-2026</t>
  </si>
  <si>
    <t xml:space="preserve">Doanh
 Ấp Đồng Tiến, Xã Châu Đức, Xã Châu Đức, TP Hồ Chí Minh
 0901780139
 </t>
  </si>
  <si>
    <t>S22693229.MB10-06-F10.1089401118</t>
  </si>
  <si>
    <t>SAPO169542432_603550</t>
  </si>
  <si>
    <t xml:space="preserve">Trần Thị Phượng
 136 Nguyễn Bình, Đông Triều , Quảng Ninh, Phường Đông Triều, Phường Đông Triều, Quảng Ninh
 0989361703
 </t>
  </si>
  <si>
    <t>S22693229.BO.MT19-15-N04.1741722353</t>
  </si>
  <si>
    <t>SAPO169542429_603550</t>
  </si>
  <si>
    <t xml:space="preserve">Hoàng Ngọc Huyền
 33 Phan Chu Trinh, Xã Đức Trọng, Xã Đức Trọng, Lâm Đồng
 0966859618
 </t>
  </si>
  <si>
    <t>S22693229.BO.MN2-13-M54.1710234793</t>
  </si>
  <si>
    <t>SAPO169542454_603550</t>
  </si>
  <si>
    <t xml:space="preserve">Vương Bá Linh
 62 Phạm Ngọc Thạch, Kp Hiệp Thành 7, Phường Phú Lợi, Phường Phú Lợi, TP Hồ Chí Minh
 0896666820
 </t>
  </si>
  <si>
    <t>S22693229.MB23-06-F1.1599539712</t>
  </si>
  <si>
    <t>SAPO169542382_603550</t>
  </si>
  <si>
    <t>18:48, 11-07-2026</t>
  </si>
  <si>
    <t xml:space="preserve">Anh Pham
 Số nhà 60, đường 7/3, thôn 15, xã Tân Uyên, tỉnh Lai Châu, Xã Tân Uyên, Xã Tân Uyên, Lai Châu
 0978421834
 </t>
  </si>
  <si>
    <t>S22693229.MB26-18-S13.1241475468</t>
  </si>
  <si>
    <t>SAPO169542435_603550</t>
  </si>
  <si>
    <t>18:52, 10-07-2026</t>
  </si>
  <si>
    <t xml:space="preserve">phan lâm
 xóm tân văn xã nghĩa dũng huyện tân kỳ tỉnh nghệ an, Xã Tân Kỳ, Xã Tân Kỳ, Nghệ An
 0358159838
 </t>
  </si>
  <si>
    <t>S22693229.BO.MT12-21-X32.1290659591</t>
  </si>
  <si>
    <t>SAPO169542452_603550</t>
  </si>
  <si>
    <t>14:05, 10-07-2026</t>
  </si>
  <si>
    <t xml:space="preserve">Vũ Thuỷ
 Lô 185 TT8 K98, Phường Nha Trang, Phường Nha Trang, Khánh Hòa
 0915784195
 </t>
  </si>
  <si>
    <t>S22693229.BO.MT8-05-E10.1415467463</t>
  </si>
  <si>
    <t>SAPO169542416_603550</t>
  </si>
  <si>
    <t>16:54, 10-07-2026</t>
  </si>
  <si>
    <t xml:space="preserve">Nhung Trần
 38 Xuân Diệu, Phường Hội An Tây, Phường Hội An Tây, Đà Nẵng
 0906177182
 </t>
  </si>
  <si>
    <t>S22693229.BO.MN1-20-TP82.1453351596</t>
  </si>
  <si>
    <t>SAPO169542469_603550</t>
  </si>
  <si>
    <t>19:07, 10-07-2026</t>
  </si>
  <si>
    <t xml:space="preserve">Dương Nhàn
 Tổ 22, khu phố Hương Phước, Phường Phước Tân, Phường Phước Tân, Đồng Nai
 0973195808
 </t>
  </si>
  <si>
    <t>S22693229.BO.MT19-01-A19.1889171404</t>
  </si>
  <si>
    <t>SAPO169542471_603550</t>
  </si>
  <si>
    <t xml:space="preserve">Nguyễn Văn Bảo
 450 Nguyên Tử Lực, Phường Lâm Viên - Đà Lạt, Phường Lâm Viên - Đà Lạt, Lâm Đồng
 0918116263
 </t>
  </si>
  <si>
    <t>S22693229.BO.MN10-01-H51.1059971369</t>
  </si>
  <si>
    <t>SAPO169542799_603550</t>
  </si>
  <si>
    <t>13:56, 06-07-2026</t>
  </si>
  <si>
    <t>14:20, 10-07-2026</t>
  </si>
  <si>
    <t xml:space="preserve">Nguyễn Thị Mai Thảo
 Số 12 ấp Chăng Mật, Xã Hưng Mỹ, Xã Hưng Mỹ, Vĩnh Long
 0938423698
 </t>
  </si>
  <si>
    <t>S22693229.BO.MT17-07-H25.1779235166</t>
  </si>
  <si>
    <t>SAPO169543240_603550</t>
  </si>
  <si>
    <t>20:16, 10-07-2026</t>
  </si>
  <si>
    <t xml:space="preserve">Trình thị vân hương
 48 Hà Huy Tập, Xã Ea Drăng, Xã Ea Drăng, Đắk Lắk
 0963990584
 </t>
  </si>
  <si>
    <t>S22693229.BO.SGP02-N02.1704122847</t>
  </si>
  <si>
    <t>SAPO169543404_603550</t>
  </si>
  <si>
    <t xml:space="preserve">Hieu Thien Lotsawa
 110 A Pham van Dong chung cu Sunny Plaza, Phường Hạnh Thông, Phường Hạnh Thông, TP Hồ Chí Minh
 0912275266
 </t>
  </si>
  <si>
    <t>S22693229.BO.MN18-01-A81.1871739334</t>
  </si>
  <si>
    <t>SAPO169543814_603550</t>
  </si>
  <si>
    <t>14:01, 11-07-2026</t>
  </si>
  <si>
    <t xml:space="preserve">Nguyễn Kiều Tuyên
 Số 2, Lê Hồng Phong, khosm7, phường 8, Tp Cà Mau., Phường Lý Văn Lâm, Phường Lý Văn Lâm, Cà Mau
 0834299499
 </t>
  </si>
  <si>
    <t>S22693229.MB26-31-F7.1803462596</t>
  </si>
  <si>
    <t>SAPO169544104_603550</t>
  </si>
  <si>
    <t>12:29, 10-07-2026</t>
  </si>
  <si>
    <t xml:space="preserve">Lê Hằng
 Xóm Xuân Nho, Xã Tân Châu, Xã Tân Châu, Nghệ An
 0946041465
 </t>
  </si>
  <si>
    <t>S22693229.HNP117-M16.1835855087</t>
  </si>
  <si>
    <t>SAPO169544286_603550</t>
  </si>
  <si>
    <t>13:57, 06-07-2026</t>
  </si>
  <si>
    <t>21:53, 10-07-2026</t>
  </si>
  <si>
    <t xml:space="preserve">Trần Nam Ngọc
 Số nhà 3 đường đạc nhất đạc lão, thôn Đông Hải xã Liên Minh Hà Nội, Xã Liên Minh, Xã Liên Minh, Hà Nội
 0904088987
 </t>
  </si>
  <si>
    <t>S22693229.BO.MN10-01-A72.1238809056</t>
  </si>
  <si>
    <t>SAPO169544582_603550</t>
  </si>
  <si>
    <t>11:23, 10-07-2026</t>
  </si>
  <si>
    <t xml:space="preserve">Ngô Đình Bảo Lộc
 46 Vũ Đình Liệu , Ấp Vĩnh Yên, Xã Long Đức, Phường Long Đức, Phường Long Đức, Vĩnh Long
 0979064072
 </t>
  </si>
  <si>
    <t>S22693229.BO.MN11-09-P62.1623625008</t>
  </si>
  <si>
    <t>SAPO169544594_603550</t>
  </si>
  <si>
    <t>16:07, 10-07-2026</t>
  </si>
  <si>
    <t xml:space="preserve">Phạm Nguyễn Kim Tuyền
 209E/L0, Bình Phó B, Phường Long Tuyền, Phường Long Tuyền, Cần Thơ
 0906553693
 </t>
  </si>
  <si>
    <t>S22693229.BO.MN5-07-D13.1881572614</t>
  </si>
  <si>
    <t>SAPO169545211_603550</t>
  </si>
  <si>
    <t>13:58, 06-07-2026</t>
  </si>
  <si>
    <t xml:space="preserve">Võ Thanh Lý
 Thôn Vĩnh Thiện ( Thôn 5, xã Đoàn Kết cũ), Xã Bù Đăng, Xã Bù Đăng, Đồng Nai
 0917437739
 </t>
  </si>
  <si>
    <t>S22693229.BO.MN1-20-TP82.1058737982</t>
  </si>
  <si>
    <t>SAPO169545282_603550</t>
  </si>
  <si>
    <t xml:space="preserve">Vũ thị Hồng
 564, Phùng Hưng, Long Đức 3, Tam Phước,Thành phố Đồng Nai, Phường Tam Phước, Phường Tam Phước, Đồng Nai
 0975993538
 </t>
  </si>
  <si>
    <t>S22693229.BO.SGP105-N41.1711317973</t>
  </si>
  <si>
    <t>SAPO169545433_603550</t>
  </si>
  <si>
    <t>13:31, 10-07-2026</t>
  </si>
  <si>
    <t xml:space="preserve">Đặng Kỳ Nam
 283/97 Cách Mạng Tháng Tám, Phường Hòa Hưng, Phường Hòa Hưng, TP Hồ Chí Minh
 0944908090
 </t>
  </si>
  <si>
    <t>S22693229.BO.SGP100-I33.1409738015</t>
  </si>
  <si>
    <t>SAPO169545550_603550</t>
  </si>
  <si>
    <t>15:07, 10-07-2026</t>
  </si>
  <si>
    <t xml:space="preserve">Lương thị Thuý
 42 d. 11, ksc him lam, p. Tân Hưng, Phường Tân Hưng, Phường Tân Hưng, TP Hồ Chí Minh
 0908313142
 </t>
  </si>
  <si>
    <t>S22693229.BO.SGP43-M97.1767676302</t>
  </si>
  <si>
    <t>SAPO169545608_603550</t>
  </si>
  <si>
    <t>12:24, 11-07-2026</t>
  </si>
  <si>
    <t xml:space="preserve">Huỳnh Thị Quang Huy
 Dự án Metropole 1-14, Phường An Khánh, Phường An Khánh, TP Hồ Chí Minh
 0938043679
 </t>
  </si>
  <si>
    <t>S22693229.BO.SGP89-V64.1363839668</t>
  </si>
  <si>
    <t>SAPO169545628_603550</t>
  </si>
  <si>
    <t>14:31, 10-07-2026</t>
  </si>
  <si>
    <t xml:space="preserve">Ha Thi Kim Thoa
 90 Nguyễn Đình Chiểu, Phường Sài Gòn, Phường Sài Gòn, TP Hồ Chí Minh
 0932758870
 </t>
  </si>
  <si>
    <t>S22693229.BO.SGP27-V66.1202434395</t>
  </si>
  <si>
    <t>SAPO169545730_603550</t>
  </si>
  <si>
    <t>12:33, 10-07-2026</t>
  </si>
  <si>
    <t xml:space="preserve">Đinh Vương
 317 Tô Ngọc Vân khu phố 2 phường Linh Đông quận Thủ Đức, Phường Hiệp Bình, Phường Hiệp Bình, TP Hồ Chí Minh
 0903169937
 </t>
  </si>
  <si>
    <t>S22693229.BO.MT19-28-E31.1814125989</t>
  </si>
  <si>
    <t>SAPO169545778_603550</t>
  </si>
  <si>
    <t>19:57, 10-07-2026</t>
  </si>
  <si>
    <t xml:space="preserve">Van le
 221/1 lam sơn, Phường B’Lao, Phường B’Lao, Lâm Đồng
 0909819102
 </t>
  </si>
  <si>
    <t>S22693229.MB13-01-M7.1564773848</t>
  </si>
  <si>
    <t>SAPO169546007_603550</t>
  </si>
  <si>
    <t xml:space="preserve">Phạm thị vân
 Sn 147, đường tống duy tân, tổ 1 nông tiến, tp tuyên quang, Phường Nông Tiến, Phường Nông Tiến, Tuyên Quang
 0356104236
 </t>
  </si>
  <si>
    <t>S22693229.BO.SG14-06-A1.1479843670</t>
  </si>
  <si>
    <t>SAPO169546699_603550</t>
  </si>
  <si>
    <t>13:59, 06-07-2026</t>
  </si>
  <si>
    <t>16:13, 10-07-2026</t>
  </si>
  <si>
    <t xml:space="preserve">Linh
 Nhà 14 đường 11 khu ninesouth, Xã Nhà Bè, Xã Nhà Bè, TP Hồ Chí Minh
 0938428236
 </t>
  </si>
  <si>
    <t>S22693229.BO.MT4-04-D8.1633963132</t>
  </si>
  <si>
    <t>SAPO169546843_603550</t>
  </si>
  <si>
    <t>18:56, 11-07-2026</t>
  </si>
  <si>
    <t xml:space="preserve">Tuyết
 Nhà máy xi măng sông gianh, Xã Tuyên Hóa, Xã Tuyên Hóa, Quảng Trị
 0975237161
 </t>
  </si>
  <si>
    <t>S22693229.MB7-40-I10.1016443863</t>
  </si>
  <si>
    <t>SAPO169547128_603550</t>
  </si>
  <si>
    <t>21:49, 12-07-2026</t>
  </si>
  <si>
    <t xml:space="preserve">Trần Thị Chính
 Nhà số 10TDP Đông Lương quy phường An Dương TP Hải Phòng, Phường An Dương, Phường An Dương, Hải Phòng
 0985166961
 </t>
  </si>
  <si>
    <t>S22693229.BO.MT19-01-A06.1182940168</t>
  </si>
  <si>
    <t>SAPO169547207_603550</t>
  </si>
  <si>
    <t xml:space="preserve">Vũ Thị nhàn
 142 Hai bà trưng, Phường Cam Ly - Đà Lạt, Phường Cam Ly - Đà Lạt, Lâm Đồng
 0908995648
 </t>
  </si>
  <si>
    <t>S22693229.MB23-01-A5.1313586906</t>
  </si>
  <si>
    <t>SAPO169547269_603550</t>
  </si>
  <si>
    <t>20:57, 10-07-2026</t>
  </si>
  <si>
    <t xml:space="preserve">pham thi hong lam
 số 73 trần duy hưng, Phường Tân Phong, Phường Tân Phong, Lai Châu
 0915615195
 </t>
  </si>
  <si>
    <t>S22693229.MB21-05-E1.1921733021</t>
  </si>
  <si>
    <t>SAPO169547392_603550</t>
  </si>
  <si>
    <t xml:space="preserve">Phạm Thị Thuý
 Thôn Quyết Thắng Xã Bảo Ái Tỉnh Lào Cai, Xã Bảo Ái, Xã Bảo Ái, Lào Cai
 0356686939
 </t>
  </si>
  <si>
    <t>S22693229.BO.MT15-05-D12.1910365225</t>
  </si>
  <si>
    <t>SAPO169547491_603550</t>
  </si>
  <si>
    <t xml:space="preserve">Ngô Nở
 Khối 9, Xã Đăk Tô, Xã Đăk Tô, Quảng Ngãi
 0383112777
 </t>
  </si>
  <si>
    <t>S22693229.BO.MT19-01-T31.1439920848</t>
  </si>
  <si>
    <t>SAPO169547738_603550</t>
  </si>
  <si>
    <t>14:00, 06-07-2026</t>
  </si>
  <si>
    <t>18:05, 11-07-2026</t>
  </si>
  <si>
    <t xml:space="preserve">Võ Thị Đông
 15 Hồ Xuân Hương, Phường Lâm Viên - Đà Lạt, Phường Lâm Viên - Đà Lạt, Lâm Đồng
 0988032706
 </t>
  </si>
  <si>
    <t>S22693229.MB20-01-A4.1613247268</t>
  </si>
  <si>
    <t>SAPO169547846_603550</t>
  </si>
  <si>
    <t>20:18, 10-07-2026</t>
  </si>
  <si>
    <t xml:space="preserve">Ngọc Thị Kim Quy
 Ngõ 639 Kon Tum, Phường Bắc Kạn, Phường Bắc Kạn, Thái Nguyên
 0984422117
 </t>
  </si>
  <si>
    <t>S22693229.BO.MN3-02-T52.1448316233</t>
  </si>
  <si>
    <t>SAPO169547969_603550</t>
  </si>
  <si>
    <t>17:56, 10-07-2026</t>
  </si>
  <si>
    <t xml:space="preserve">Thiện
 Song xoài phú Mỹ bà Rịa vũng tàu, Phường Tân Thành, Phường Tân Thành, TP Hồ Chí Minh
 0967226109
 </t>
  </si>
  <si>
    <t>S22693229.HNP129-S41.1266164607</t>
  </si>
  <si>
    <t>SAPO169548006_603550</t>
  </si>
  <si>
    <t>16:19, 09-07-2026</t>
  </si>
  <si>
    <t xml:space="preserve">Nguyễn đăng mạnh
 Thanh đa hát môn hà nội, Xã Hát Môn, Xã Hát Môn, Hà Nội
 0975513332
 </t>
  </si>
  <si>
    <t>S22693229.BO.MN9-02-E41.1036969623</t>
  </si>
  <si>
    <t>SAPO169548711_603550</t>
  </si>
  <si>
    <t>13:28, 10-07-2026</t>
  </si>
  <si>
    <t xml:space="preserve">Nguyễn Bảo Châu
 Số 8A đường Ngô Quyền tổ 1 khóm 5, Phường Bình Minh, Phường Bình Minh, Vĩnh Long
 0986764463
 </t>
  </si>
  <si>
    <t>S22693229.BO.SGP05-N32.1943161628</t>
  </si>
  <si>
    <t>SAPO169549121_603550</t>
  </si>
  <si>
    <t>14:01, 06-07-2026</t>
  </si>
  <si>
    <t>13:10, 10-07-2026</t>
  </si>
  <si>
    <t xml:space="preserve">Chị chiến
 50/38/1B đường 59, An Hội Tây, Phường An Hội Tây, Phường An Hội Tây, TP Hồ Chí Minh
 0986876909
 </t>
  </si>
  <si>
    <t>S22693229.MB10-09-Z15.1005796310</t>
  </si>
  <si>
    <t>SAPO169549617_603550</t>
  </si>
  <si>
    <t>S22693229.BO.MB10-24-N21.1344731395</t>
  </si>
  <si>
    <t>SAPO169549706_603550</t>
  </si>
  <si>
    <t>10:22, 10-07-2026</t>
  </si>
  <si>
    <t xml:space="preserve">chi lieu
 chung cư ramada, Phường Hồng Gai, Phường Hồng Gai, Quảng Ninh
 0916359007
 </t>
  </si>
  <si>
    <t>S22693229.BO.MB10-24-N21.1374360995</t>
  </si>
  <si>
    <t>SAPO169549773_603550</t>
  </si>
  <si>
    <t>20:39, 10-07-2026</t>
  </si>
  <si>
    <t xml:space="preserve">chi lieu
 chung cu ramada, Phường Hồng Gai, Phường Hồng Gai, Quảng Ninh
 0916359007
 </t>
  </si>
  <si>
    <t>S22693229.BO.MN2-09-I111.1954136753</t>
  </si>
  <si>
    <t>SAPO169549890_603550</t>
  </si>
  <si>
    <t>16:54, 11-07-2026</t>
  </si>
  <si>
    <t xml:space="preserve">Lê Thắng
 cty big star Đường Bình mỹ 29, Phường Bình Cơ, Phường Bình Cơ, TP Hồ Chí Minh
 0877406625
 </t>
  </si>
  <si>
    <t>S22693229.BO.MN8-03-D15.1865320227</t>
  </si>
  <si>
    <t>SAPO169550109_603550</t>
  </si>
  <si>
    <t>14:02, 06-07-2026</t>
  </si>
  <si>
    <t xml:space="preserve">Phan Thị Tho
 Số 11 Nguyễn Đình Chiểu, Xã Ba Tri, Xã Ba Tri, Vĩnh Long
 0987491231
 </t>
  </si>
  <si>
    <t>S22693229.BO.SG11-10-K10.1437025099</t>
  </si>
  <si>
    <t>SAPO169550662_603550</t>
  </si>
  <si>
    <t xml:space="preserve">Tuấn Nguyên
 Conic riverside, Chung cư Conic Riverside, Xã Bình Hưng, Xã Bình Hưng, TP Hồ Chí Minh
 0974347080
 </t>
  </si>
  <si>
    <t>S22693229.BO.SGP78-S52.1050080946</t>
  </si>
  <si>
    <t>SAPO169550979_603550</t>
  </si>
  <si>
    <t>15:26, 10-07-2026</t>
  </si>
  <si>
    <t xml:space="preserve">Lưu Ly
 121 Hoàng Hoa Thám, Phường Tân Bình, Phường Tân Bình, TP Hồ Chí Minh
 0983945208
 </t>
  </si>
  <si>
    <t>S22693229.BO.MN5-04-C11.1856682913</t>
  </si>
  <si>
    <t>SAPO169551203_603550</t>
  </si>
  <si>
    <t>15:11, 11-07-2026</t>
  </si>
  <si>
    <t xml:space="preserve">Nguyễn Ngân
 Khu 4, Phường Phước Long, Phường Phước Long, Đồng Nai
 0327701166
 </t>
  </si>
  <si>
    <t>S22693229.BO.SGP78-S46.1617802866</t>
  </si>
  <si>
    <t>SAPO169551477_603550</t>
  </si>
  <si>
    <t>14:03, 06-07-2026</t>
  </si>
  <si>
    <t>15:21, 10-07-2026</t>
  </si>
  <si>
    <t xml:space="preserve">Mai
 116 bàu cát 2.tân bình. TP hcm, Phường Tân Bình, Phường Tân Bình, TP Hồ Chí Minh
 0906848019
 </t>
  </si>
  <si>
    <t>S22693229.BO.MN1-46-V21.1207378816</t>
  </si>
  <si>
    <t>SAPO169552056_603550</t>
  </si>
  <si>
    <t xml:space="preserve">Ngọc tình
 Hẻm 280, tổ 21, Xã Long Thành, Xã Long Thành, Đồng Nai
 0917211384
 </t>
  </si>
  <si>
    <t>S22693229.BO.MN5-10-A92.1387009101</t>
  </si>
  <si>
    <t>SAPO169552186_603550</t>
  </si>
  <si>
    <t xml:space="preserve">Phước nghĩa
 Tổ 7, ấp 2,, Phường Minh Hưng, Phường Minh Hưng, Đồng Nai
 0792030898
 </t>
  </si>
  <si>
    <t>S22693229.BO.MN1-08-H64.1498691135</t>
  </si>
  <si>
    <t>SAPO169552344_603550</t>
  </si>
  <si>
    <t xml:space="preserve">Thu Hồng
 Kho bạc Đồng Nai 1890 đường Nguyễn Ái Quốc, phường Trấn Biên, thành phố Dồng Nai, Phường Trấn Biên, Phường Trấn Biên, Đồng Nai
 0915993058
 </t>
  </si>
  <si>
    <t>S22693229.MB9-17-G01.1360916686</t>
  </si>
  <si>
    <t>SAPO169553088_603550</t>
  </si>
  <si>
    <t>14:04, 06-07-2026</t>
  </si>
  <si>
    <t>19:47, 11-07-2026</t>
  </si>
  <si>
    <t xml:space="preserve">Đỗ Hường
 326 phố Nếnh, Phường Nếnh, Phường Nếnh, Bắc Ninh
 0989326938
 </t>
  </si>
  <si>
    <t>S22693229.MB3-06-G14.1011718974</t>
  </si>
  <si>
    <t>SAPO169553184_603550</t>
  </si>
  <si>
    <t>19:50, 11-07-2026</t>
  </si>
  <si>
    <t xml:space="preserve">Duy Kỳ
 129 máy tơ, Phường Nam Định, Phường Nam Định, Ninh Bình
 0949300758
 </t>
  </si>
  <si>
    <t>S22693229.BO.SGP47-V15.1160050949</t>
  </si>
  <si>
    <t>SAPO169553449_603550</t>
  </si>
  <si>
    <t xml:space="preserve">Nguyễn Thị Quyên
 S501.A VinHomes Grand Park, đường Nguyễn Xiển, Phường Long Bình, Phường Long Bình, TP Hồ Chí Minh
 0335781333
 </t>
  </si>
  <si>
    <t>S22693229.BO.MT9-01-O2.1193719267</t>
  </si>
  <si>
    <t>SAPO169554318_603550</t>
  </si>
  <si>
    <t xml:space="preserve">HÀ HỮU LƯỢNG
 05 trương quang luật ( số cũ 122/4 chu văn an), Phường Nghĩa Lộ, Phường Nghĩa Lộ, Quảng Ngãi
 0977269436
 </t>
  </si>
  <si>
    <t>S22693229.MB7-15-Y7.1912234084</t>
  </si>
  <si>
    <t>SAPO169556663_603550</t>
  </si>
  <si>
    <t>14:06, 06-07-2026</t>
  </si>
  <si>
    <t>17:53, 11-07-2026</t>
  </si>
  <si>
    <t xml:space="preserve">Nguyễn Mai Phương
 117 Máy Tơ, Phường Ngô Quyền, Phường Ngô Quyền, Hải Phòng
 0974121281
 </t>
  </si>
  <si>
    <t>S22693229.BO.DN8-E2.1567311661</t>
  </si>
  <si>
    <t>SAPO169556907_603550</t>
  </si>
  <si>
    <t>14:19, 12-07-2026</t>
  </si>
  <si>
    <t xml:space="preserve">Chu Hường
 H54/29/07 K815 Trường Chinh, Phường Cẩm Lệ, Phường Cẩm Lệ, Đà Nẵng
 0974800234
 </t>
  </si>
  <si>
    <t>S22693229.BO.HNP142-O24.1498913976</t>
  </si>
  <si>
    <t>THU HỒI ĐƠN HÀNG ESO3186636 NHẬP LẠI</t>
  </si>
  <si>
    <t>15:46, 06-07-2026</t>
  </si>
  <si>
    <t>15:20, 10-07-2026</t>
  </si>
  <si>
    <t xml:space="preserve">C Hiền Kho Elmich
 Kho TMDT Elmich 2025, Khu Đồng Gộc, Đại Thanh, Hà Nội, Việt Nam, Xã Đại Thanh, Xã Đại Thanh, Hà Nội
 0936299976
 </t>
  </si>
  <si>
    <t>S22693229.HNP71-P15.1025121382</t>
  </si>
  <si>
    <t>SAPO170006680_603550</t>
  </si>
  <si>
    <t>08:25, 07-07-2026</t>
  </si>
  <si>
    <t>19:25, 09-07-2026</t>
  </si>
  <si>
    <t xml:space="preserve">lê phụng
 33 Phạm Ngũ Lão, Phường Cửa Nam, Phường Cửa Nam, Hà Nội
 0912713536
 </t>
  </si>
  <si>
    <t>S22693229.HNP25-F104.1955684396</t>
  </si>
  <si>
    <t>SAPO170006672_603550</t>
  </si>
  <si>
    <t>17:07, 10-07-2026</t>
  </si>
  <si>
    <t xml:space="preserve">Nguyễn Phan Nhật Linh
 40A ngõ 61 Yên hoà, Cầu Giấy, Phường Yên Hòa, Phường Yên Hòa, Hà Nội
 0367612388
 </t>
  </si>
  <si>
    <t>S22693229.HNP44-J36.1530930608</t>
  </si>
  <si>
    <t>SAPO170006674_603550</t>
  </si>
  <si>
    <t>14:58, 10-07-2026</t>
  </si>
  <si>
    <t xml:space="preserve">Chị Hà
 Park 6, Times City, Phường Vĩnh Tuy, Phường Vĩnh Tuy, Hà Nội
 0943750988
 </t>
  </si>
  <si>
    <t>S22693229.HNP55-D2.1456839086</t>
  </si>
  <si>
    <t>SAPO170006682_603550</t>
  </si>
  <si>
    <t>23:27, 10-07-2026</t>
  </si>
  <si>
    <t xml:space="preserve">Nguyệt
 Số 55 đường yên nội,, Phường Thượng Cát, Phường Thượng Cát, Hà Nội
 0912245669
 </t>
  </si>
  <si>
    <t>S22693229.HNP55-D10.1590139731</t>
  </si>
  <si>
    <t>SAPO170007482_603550</t>
  </si>
  <si>
    <t>08:26, 07-07-2026</t>
  </si>
  <si>
    <t>20:19, 10-07-2026</t>
  </si>
  <si>
    <t xml:space="preserve">au bac ninh
 số 7 ngõ 3 cục đo lường, Phường Đông Ngạc, Phường Đông Ngạc, Hà Nội
 0983311694
 </t>
  </si>
  <si>
    <t>S22693229.BO.SGP105-V36.1623750964</t>
  </si>
  <si>
    <t>SAPO170016791_603550</t>
  </si>
  <si>
    <t>08:30, 07-07-2026</t>
  </si>
  <si>
    <t>18:47, 10-07-2026</t>
  </si>
  <si>
    <t xml:space="preserve">hien vo
 402 Huỳnh Văn Bánh, Phường Phú Nhuận, Phường Phú Nhuận, TP Hồ Chí Minh
 0968226807
 </t>
  </si>
  <si>
    <t>S22693229.BO.MN2-13-M54.1423748122</t>
  </si>
  <si>
    <t>SAPO170017247_603550</t>
  </si>
  <si>
    <t>20:31, 10-07-2026</t>
  </si>
  <si>
    <t xml:space="preserve">Nguyễn Thị hằng
 131/30 đường Lê Hồng Phong,tổ 49,khu phố 5, Phường Phú Lợi, Phường Phú Lợi, TP Hồ Chí Minh
 0976542278
 </t>
  </si>
  <si>
    <t>S22693229.MN17-03-E12.1386505949</t>
  </si>
  <si>
    <t>SAPO170017561_603550</t>
  </si>
  <si>
    <t>08:31, 07-07-2026</t>
  </si>
  <si>
    <t>15:33, 10-07-2026</t>
  </si>
  <si>
    <t xml:space="preserve">Sơn
 Hhh, Xã Châu Thới, Xã Châu Thới, Cà Mau
 0393048555
 </t>
  </si>
  <si>
    <t>S22693229.SGP12-H66.1118155488</t>
  </si>
  <si>
    <t>SAPO170017981_603550</t>
  </si>
  <si>
    <t>14:19, 08-07-2026</t>
  </si>
  <si>
    <t xml:space="preserve">Tran Thi Hoai Tho
 Bệnh viện Đa Khoa Gia Định, 425 Nơ Trang Long, Phường Bình Lợi Trung, Phường Bình Lợi Trung, TP Hồ Chí Minh
 0913591118
 </t>
  </si>
  <si>
    <t>S22693229.SGP01-M24.1221551643</t>
  </si>
  <si>
    <t>SAPO170018047_603550</t>
  </si>
  <si>
    <t>17:38, 10-07-2026</t>
  </si>
  <si>
    <t xml:space="preserve">Yến Nguyễn
 373/1/94B Thống Nhất,, Phường Thông Tây Hội, Phường Thông Tây Hội, TP Hồ Chí Minh
 0909131511
 </t>
  </si>
  <si>
    <t>S22693229.BO.SGP89-I14.1594883978</t>
  </si>
  <si>
    <t>SAPO170018402_603550</t>
  </si>
  <si>
    <t>14:28, 10-07-2026</t>
  </si>
  <si>
    <t xml:space="preserve">Giang Nguyễn
 58 nguyễn đình chiểu, Đường Nguyễn Đình Chiểu, Phường Bàn Cờ, Phường Bàn Cờ, TP Hồ Chí Minh
 0865845167
 </t>
  </si>
  <si>
    <t>S22693229.MN2-05-E13.1918086282</t>
  </si>
  <si>
    <t>SAPO170020079_603550</t>
  </si>
  <si>
    <t>08:32, 07-07-2026</t>
  </si>
  <si>
    <t xml:space="preserve">Phan Thị Ngọc Trâm
 Tổ 14A, Phường Tân Đông Hiệp, Phường Tân Đông Hiệp, TP Hồ Chí Minh
 0396922630
 </t>
  </si>
  <si>
    <t>S22693229.BO.SGP65-W37.1161518822</t>
  </si>
  <si>
    <t>SAPO170092178_603550</t>
  </si>
  <si>
    <t>09:15, 07-07-2026</t>
  </si>
  <si>
    <t>17:13, 10-07-2026</t>
  </si>
  <si>
    <t xml:space="preserve">Thủy
 22 Trần văn cẩn phường Tân thới hoà q Tân Phú, Phường Phú Thạnh, Phường Phú Thạnh, TP Hồ Chí Minh
 0906872818
 </t>
  </si>
  <si>
    <t>S22693229.BO.SG14-06-A7.1726111397</t>
  </si>
  <si>
    <t>SAPO170092197_603550</t>
  </si>
  <si>
    <t>17:03, 11-07-2026</t>
  </si>
  <si>
    <t xml:space="preserve">Huỳnh Nghĩa
 Chung cư HAGL An Tiến. 187 A Lê Văn Lương, Block A2, Xã Nhà Bè, Xã Nhà Bè, TP Hồ Chí Minh
 0988898279
 </t>
  </si>
  <si>
    <t>S22693229.BO.SG11-10-K1.1207636649</t>
  </si>
  <si>
    <t>SAPO170092196_603550</t>
  </si>
  <si>
    <t>16:59, 10-07-2026</t>
  </si>
  <si>
    <t xml:space="preserve">Yến
 33 đường 4A- KDC 6B bình Hưng bình Chánh (đối diện cổng B trường Quốc tế Anh Việt), Xã Bình Hưng, Xã Bình Hưng, TP Hồ Chí Minh
 0932099899
 </t>
  </si>
  <si>
    <t>S22693229.BO.SGP54-X79.1143090536</t>
  </si>
  <si>
    <t>SAPO170092200_603550</t>
  </si>
  <si>
    <t>15:45, 12-07-2026</t>
  </si>
  <si>
    <t xml:space="preserve">Diu khanh
 Hẻm 152 đường go xoai, Phường Bình Hưng Hòa, Phường Bình Hưng Hòa, TP Hồ Chí Minh
 0909398084
 </t>
  </si>
  <si>
    <t>S22693229.BO.MN5-05-T12.1556109370</t>
  </si>
  <si>
    <t>SAPO170092185_603550</t>
  </si>
  <si>
    <t>17:04, 10-07-2026</t>
  </si>
  <si>
    <t xml:space="preserve">Vũ Văn Niêm
 Tổ 7, Bình An, An Lộc, Bình Long, Bình Phước, Phường Bình Long, Phường Bình Long, Đồng Nai
 0948680274
 </t>
  </si>
  <si>
    <t>S22693229.BO.MN6-06-E99.1112716809</t>
  </si>
  <si>
    <t>SAPO170092202_603550</t>
  </si>
  <si>
    <t xml:space="preserve">Đỗ Oanh
 Cty Cp Katsura Việt Nam-Lô 3C-5 đường số 12 Kcn Long Hậu 3 gđ 1, Xã Cần Giuộc, Xã Cần Giuộc, Tây Ninh
 0948136145
 </t>
  </si>
  <si>
    <t>S22693229.BO.SGP89-I05.1276084178</t>
  </si>
  <si>
    <t>SAPO170092187_603550</t>
  </si>
  <si>
    <t>12:13, 10-07-2026</t>
  </si>
  <si>
    <t xml:space="preserve">Phạm Huỳnh Thu Uyên
 Đại học Kinh tế TP.HCM, 59C Nguyễn Đình Chiểu, Phường Xuân Hòa, Phường Xuân Hòa, TP Hồ Chí Minh
 0919976557
 </t>
  </si>
  <si>
    <t>S22693229.BO.SGP104-S11.1258499524</t>
  </si>
  <si>
    <t>SAPO170092190_603550</t>
  </si>
  <si>
    <t>13:33, 10-07-2026</t>
  </si>
  <si>
    <t xml:space="preserve">TRACY LE
 388 Phan Văn Trị, Phường Chợ Quán, Phường Chợ Quán, TP Hồ Chí Minh
 0902772955
 </t>
  </si>
  <si>
    <t>S22693229.BO.MN1-10-I54.1238734606</t>
  </si>
  <si>
    <t>SAPO170092192_603550</t>
  </si>
  <si>
    <t>11:36, 10-07-2026</t>
  </si>
  <si>
    <t xml:space="preserve">Phan Trần Như Nguyện
 115H đường Huỳnh Văn Minh, tổ 3, ấp Suối Quýt, Xã Xuân Đường, Xã Xuân Đường, Đồng Nai
 0933059013
 </t>
  </si>
  <si>
    <t>S22693229.MB21-04-D7.1684785767</t>
  </si>
  <si>
    <t>SAPO170092188_603550</t>
  </si>
  <si>
    <t>21:27, 11-07-2026</t>
  </si>
  <si>
    <t xml:space="preserve">Trần Thị Dung
 Sn 38 Lý Tự Trọng - Yên Thế - Lục Yên - Yên Bái, Xã Lục Yên, Xã Lục Yên, Lào Cai
 0915399969
 </t>
  </si>
  <si>
    <t>S22693229.BO.MT9-01-A4.1450134245</t>
  </si>
  <si>
    <t>SAPO170092175_603550</t>
  </si>
  <si>
    <t>17:02, 10-07-2026</t>
  </si>
  <si>
    <t xml:space="preserve">Quốc Toàn
 301/17 Phan Bội Châu, phường Cẩm Thành, Phường Cẩm Thành, Phường Cẩm Thành, Quảng Ngãi
 0916555576
 </t>
  </si>
  <si>
    <t>S22693229.BO.MT14-01-A74.1738522165</t>
  </si>
  <si>
    <t>SAPO170092169_603550</t>
  </si>
  <si>
    <t>14:02, 11-07-2026</t>
  </si>
  <si>
    <t xml:space="preserve">ngọc bích
 27 nguyễn thông, Phường Phú Thủy, Phường Phú Thủy, Lâm Đồng
 0389834691
 </t>
  </si>
  <si>
    <t>S22693229.BO.SGP69-W63.1477269136</t>
  </si>
  <si>
    <t>SAPO170092534_603550</t>
  </si>
  <si>
    <t>16:17, 10-07-2026</t>
  </si>
  <si>
    <t xml:space="preserve">huỳnh thị thương
 23/80/39 Nguyễn Hữu Tiến, Phường Tây Thạnh, Phường Tây Thạnh, TP Hồ Chí Minh
 0918918759
 </t>
  </si>
  <si>
    <t>S22693229.BO.MN1-46-V61.1763960755</t>
  </si>
  <si>
    <t>SAPO170092705_603550</t>
  </si>
  <si>
    <t>19:54, 10-07-2026</t>
  </si>
  <si>
    <t xml:space="preserve">quyet
 Nhà máy bê tông Hùng Vương-Long Thành, Ấp 1B, Xã Phước Thái, Xã Phước Thái, Đồng Nai
 0869217180
 </t>
  </si>
  <si>
    <t>S22693229.MB7-14-TP27.1387995089</t>
  </si>
  <si>
    <t>SAPO170092727_603550</t>
  </si>
  <si>
    <t xml:space="preserve">Nguyễn thị Ngọc chinh
 190 trung lực, Phường Hải An, Phường Hải An, Hải Phòng
 0936533299
 </t>
  </si>
  <si>
    <t>S22693229.MB8-02-B30.1789707148</t>
  </si>
  <si>
    <t>SAPO170092906_603550</t>
  </si>
  <si>
    <t>20:56, 10-07-2026</t>
  </si>
  <si>
    <t xml:space="preserve">Trịnh Thị Liên
 Xóm 4 - Thôn Lương, Xã Đại Đồng, Xã Đại Đồng, Bắc Ninh
 0976686548
 </t>
  </si>
  <si>
    <t>S22693229.MB11-09-G1.1309831352</t>
  </si>
  <si>
    <t>SAPO170092982_603550</t>
  </si>
  <si>
    <t xml:space="preserve">Hồ Thị Thoan
 CTY Kwangseoring pủngryk vina kcn Bình xuyênKhác, Xã Xuân Lãng, Xã Xuân Lãng, Phú Thọ, Xã Xuân Lãng, Xã Xuân Lãng, Phú Thọ
 0915340678
 </t>
  </si>
  <si>
    <t>S22693229.HNP118-A14.1808267680</t>
  </si>
  <si>
    <t>SAPO170093142_603550</t>
  </si>
  <si>
    <t>09:16, 07-07-2026</t>
  </si>
  <si>
    <t>16:34, 11-07-2026</t>
  </si>
  <si>
    <t xml:space="preserve">Vũ hường
 Ngõ 110 xóm trong uy nỗ đông anh hà nội, Xã Đông Anh, Xã Đông Anh, Hà Nội
 0968412332
 </t>
  </si>
  <si>
    <t>S22693229.MB6-14-C18.1919620665</t>
  </si>
  <si>
    <t>SAPO170093611_603550</t>
  </si>
  <si>
    <t>14:12, 10-07-2026</t>
  </si>
  <si>
    <t xml:space="preserve">Trần hằng
 Xóm 2. Thôn quỳnh khê, xã kim xuyên. Huyện kim thành. Tỉnh hải dương, Xã Phú Thái, Xã Phú Thái, Hải Phòng
 0772370021
 </t>
  </si>
  <si>
    <t>S22693229.BO.SGP105-S66.1740936260</t>
  </si>
  <si>
    <t>SAPO170093662_603550</t>
  </si>
  <si>
    <t>16:20, 10-07-2026</t>
  </si>
  <si>
    <t xml:space="preserve">Đặng Đào Thành Hiển
 958/102 Lạc Long Quân, Phường Tân Hòa, Phường Tân Hòa, TP Hồ Chí Minh
 0983617223
 </t>
  </si>
  <si>
    <t>S22693229.MB27-14-O3.1010363817</t>
  </si>
  <si>
    <t>SAPO170093718_603550</t>
  </si>
  <si>
    <t xml:space="preserve">cao Thị Thuỷ
 Số nhà 68 Lê Hữu Trác, Xã Hương Khê, Xã Hương Khê, Hà Tĩnh
 0912364988
 </t>
  </si>
  <si>
    <t>S22693229.HNP137-S21.1816396812</t>
  </si>
  <si>
    <t>SAPO170093768_603550</t>
  </si>
  <si>
    <t>17:08, 10-07-2026</t>
  </si>
  <si>
    <t xml:space="preserve">Nguyễn Đức Kiên
 Ngũ Sơn, Lại Thượng, Thạch Thất, Hà Nội, Xã Thạch Thất, Xã Thạch Thất, Hà Nội
 0968315168
 </t>
  </si>
  <si>
    <t>S22693229.BO.MT6-11-L26.1790707090</t>
  </si>
  <si>
    <t>SAPO170093915_603550</t>
  </si>
  <si>
    <t xml:space="preserve">Minh Trần
 Xóm 5 TDP Ngọc Anh- công ty HRT, Phường Mỹ Thượng, Phường Mỹ Thượng, Thành phố Huế
 0905939401
 </t>
  </si>
  <si>
    <t>S22693229.MB11-02-B1.1258855922</t>
  </si>
  <si>
    <t>SAPO170094309_603550</t>
  </si>
  <si>
    <t>16:37, 10-07-2026</t>
  </si>
  <si>
    <t xml:space="preserve">Nguyễn Thị Nhung
 TDP Văn Sơn, Xã Lập Thạch, Xã Lập Thạch, Phú Thọ
 0987483683
 </t>
  </si>
  <si>
    <t>S22693229.MB5-12-L14.1822290518</t>
  </si>
  <si>
    <t>SAPO170094830_603550</t>
  </si>
  <si>
    <t>14:47, 10-07-2026</t>
  </si>
  <si>
    <t xml:space="preserve">Lê thị lan hương
 Khu B tái định cư, Xã Tân Hưng, Xã Tân Hưng, Hưng Yên
 0915407999
 </t>
  </si>
  <si>
    <t>S22693229.BO.MB7-14-TP25.1661743738</t>
  </si>
  <si>
    <t>SAPO170095318_603550</t>
  </si>
  <si>
    <t>09:17, 07-07-2026</t>
  </si>
  <si>
    <t>18:30, 11-07-2026</t>
  </si>
  <si>
    <t xml:space="preserve">Nguyễn Thị Huyền
 22h/105 Trung Hành, Phường Hải An, Phường Hải An, Hải Phòng
 0975390783
 </t>
  </si>
  <si>
    <t>S22693229.MB7-29-C5.1868923515</t>
  </si>
  <si>
    <t>SAPO170095369_603550</t>
  </si>
  <si>
    <t xml:space="preserve">Lan
 Ký túc xá Vinfast Hải Phòng, Đặc Khu Cát Hải, Đặc Khu Cát Hải, Hải Phòng
 0912953169
 </t>
  </si>
  <si>
    <t>S22693229.MB5-04-D1.1361534651</t>
  </si>
  <si>
    <t>SAPO170095868_603550</t>
  </si>
  <si>
    <t>19:25, 10-07-2026</t>
  </si>
  <si>
    <t xml:space="preserve">Thanh Thúy
 Xuân Trúc- Ân Thi- Hưng Yên, Xã Xuân Trúc, Xã Xuân Trúc, Hưng Yên
 0382297598
 </t>
  </si>
  <si>
    <t>S22693229.BO.MN1-18-TL55.1556333214</t>
  </si>
  <si>
    <t>SAPO170096107_603550</t>
  </si>
  <si>
    <t xml:space="preserve">võ ngọc út
 124b/5 Khu phố 4 phường Hố Nai !"Địa chỉ cũ: 124b/5 KP4 phường Tân Hòa. Shipper giao theo khu vực Tân Hòa cũ giúp mình.", Khu phố 4 - Phường Tân Hòa, Phường Hố Nai, Phường Hố Nai, Đồng Nai
 0921518900
 </t>
  </si>
  <si>
    <t>S22693229.BO.MT9-01-A19.1595384008</t>
  </si>
  <si>
    <t>SAPO170096739_603550</t>
  </si>
  <si>
    <t>09:18, 07-07-2026</t>
  </si>
  <si>
    <t>18:09, 10-07-2026</t>
  </si>
  <si>
    <t xml:space="preserve">dai le
 29 lê khiết, Phường Cẩm Thành, Phường Cẩm Thành, Quảng Ngãi
 0903575239
 </t>
  </si>
  <si>
    <t>S22693229.BO.MN2-29-TN49.1229410146</t>
  </si>
  <si>
    <t>SAPO170096820_603550</t>
  </si>
  <si>
    <t>15:30, 11-07-2026</t>
  </si>
  <si>
    <t xml:space="preserve">Nhu Anh
 245/3 An phú 6 thuận an bình dương, Phường An Phú, Phường An Phú, TP Hồ Chí Minh
 0976726158
 </t>
  </si>
  <si>
    <t>S22693229.BO.SG13-03-C17.1876828689</t>
  </si>
  <si>
    <t>SAPO170096891_603550</t>
  </si>
  <si>
    <t xml:space="preserve">Ngọc tài
 261 đường bà thiên ấp xóm bưng xã Nhuận Đức TP HCM, Xã Nhuận Đức, Xã Nhuận Đức, TP Hồ Chí Minh
 0983166915
 </t>
  </si>
  <si>
    <t>S22693229.MB6-02-B12.1402868045</t>
  </si>
  <si>
    <t>SAPO170096969_603550</t>
  </si>
  <si>
    <t xml:space="preserve">Nguyễn Thị Nga
 Trường THCS Sao Đỏ, Phường Chu Văn An, Phường Chu Văn An, Hải Phòng
 0977547083
 </t>
  </si>
  <si>
    <t>S22693229.MB11-03-C13.1859175260</t>
  </si>
  <si>
    <t>SAPO170097683_603550</t>
  </si>
  <si>
    <t>20:13, 10-07-2026</t>
  </si>
  <si>
    <t xml:space="preserve">Kiều Thuỷ
 Tổ dân phố Đạm Nội, Phường Phúc Yên, Phường Phúc Yên, Phú Thọ
 0985577479
 </t>
  </si>
  <si>
    <t>S22693229.BO.MN2-13-M54.1529730184</t>
  </si>
  <si>
    <t>SAPO170097787_603550</t>
  </si>
  <si>
    <t>18:55, 10-07-2026</t>
  </si>
  <si>
    <t xml:space="preserve">Bảo Như
 Số 21 Đường N3 , KDC nhà ở xã hội hiệp pháp , phường hiệp thành , tp thủ dầu một , bình dương, Phường Phú Lợi, Phường Phú Lợi, TP Hồ Chí Minh
 0347884539
 </t>
  </si>
  <si>
    <t>S22693229.MB6-11-M5.1622166386</t>
  </si>
  <si>
    <t>SAPO170098221_603550</t>
  </si>
  <si>
    <t>09:19, 07-07-2026</t>
  </si>
  <si>
    <t>13:36, 11-07-2026</t>
  </si>
  <si>
    <t xml:space="preserve">Duan
 Phượng hoàng, Xã Cẩm Giang, Xã Cẩm Giang, Hải Phòng
 0961919366
 </t>
  </si>
  <si>
    <t>S22693229.BO.MT4-07-G2.1034900817</t>
  </si>
  <si>
    <t>SAPO170098333_603550</t>
  </si>
  <si>
    <t xml:space="preserve">Hoài Na
 thôn Minh Tiến, xã Minh Hoá, tỉnh Quảng Trị, Xã Minh Hóa, Xã Minh Hóa, Quảng Trị
 0949234987
 </t>
  </si>
  <si>
    <t>S22693229.HNP125-T115.1227216150</t>
  </si>
  <si>
    <t>SAPO170098386_603550</t>
  </si>
  <si>
    <t xml:space="preserve">Vân Đàm
 Đội 9 Đồng tâm mỹ đức hà nội, Xã Phúc Sơn, Xã Phúc Sơn, Hà Nội
 0973442486
 </t>
  </si>
  <si>
    <t>S22693229.BO.MT16-19-B13.1699058454</t>
  </si>
  <si>
    <t>SAPO170098747_603550</t>
  </si>
  <si>
    <t xml:space="preserve">Huệ
 14 hẽm Kpaklong, Phường Ayun Pa, Phường Ayun Pa, Gia Lai
 0987262189
 </t>
  </si>
  <si>
    <t>S22693229.MB26-31-F4.1560512372</t>
  </si>
  <si>
    <t>SAPO170098998_603550</t>
  </si>
  <si>
    <t xml:space="preserve">Nguyễn Thị Thủy
 Tân đoài. Diễn Phúc- Diễn Châu- Nghệ An, Xã Diễn Châu, Xã Diễn Châu, Nghệ An
 0969066603
 </t>
  </si>
  <si>
    <t>S22693229.HNP140-T10.1733001995</t>
  </si>
  <si>
    <t>SAPO170099234_603550</t>
  </si>
  <si>
    <t>18:39, 10-07-2026</t>
  </si>
  <si>
    <t xml:space="preserve">pham van kach
 88 QL 1A phố nguộn ,nguyên hanh, Xã Phú Xuyên, Xã Phú Xuyên, Hà Nội
 0904016222
 </t>
  </si>
  <si>
    <t>S22693229.BO.MN18-01-A91.1300728115</t>
  </si>
  <si>
    <t>SAPO170099852_603550</t>
  </si>
  <si>
    <t>09:20, 07-07-2026</t>
  </si>
  <si>
    <t xml:space="preserve">Thao
 69 Hoa Lư, Phường An Xuyên, Phường An Xuyên, Cà Mau
 0918836956
 </t>
  </si>
  <si>
    <t>S22693229.BO.MT6-02-C16.1627760901</t>
  </si>
  <si>
    <t>SAPO170100011_603550</t>
  </si>
  <si>
    <t>18:02, 11-07-2026</t>
  </si>
  <si>
    <t xml:space="preserve">Vandat1772005 Nguyen
 Kiệt 13 vân dương, Phường Vỹ Dạ, Phường Vỹ Dạ, Thành phố Huế
 0399727000
 </t>
  </si>
  <si>
    <t>S22693229.BO.MN1-46-V7.1246875836</t>
  </si>
  <si>
    <t>SAPO170105539_603550</t>
  </si>
  <si>
    <t>09:25, 07-07-2026</t>
  </si>
  <si>
    <t>19:04, 10-07-2026</t>
  </si>
  <si>
    <t xml:space="preserve">Le hong hao
 233/31 phường Long thành thành phố đồng nai, Xã Long Thành, Xã Long Thành, Đồng Nai
 0916014639
 </t>
  </si>
  <si>
    <t>S22693229.MB5-05-E7.1209060313</t>
  </si>
  <si>
    <t>SAPO170105538_603550</t>
  </si>
  <si>
    <t xml:space="preserve">Hương
 D3 rừng cọ, ecopark, Xã Phụng Công, Xã Phụng Công, Hưng Yên
 0961182251
 </t>
  </si>
  <si>
    <t>S22693229.BO.MN17-09-K41.1764724288</t>
  </si>
  <si>
    <t>SAPO170154582_603550</t>
  </si>
  <si>
    <t>10:16, 07-07-2026</t>
  </si>
  <si>
    <t>14:46, 11-07-2026</t>
  </si>
  <si>
    <t xml:space="preserve">Mary Nguyễn
 Trường Ninh Quới, Xã Ninh Quới, Xã Ninh Quới, Cà Mau
 0818792070
 </t>
  </si>
  <si>
    <t>S22693229.BO.SGP69-W67.1058020829</t>
  </si>
  <si>
    <t>SAPO170154600_603550</t>
  </si>
  <si>
    <t>16:05, 10-07-2026</t>
  </si>
  <si>
    <t xml:space="preserve">Thuý Tuyên
 Chung cư Sơn kỳ 2 , đường Dc 13, tây thạnh, hcm, Phường Tây Thạnh, Phường Tây Thạnh, TP Hồ Chí Minh
 0902652609
 </t>
  </si>
  <si>
    <t>S22693229.BO.MT15-06-G63.1224623490</t>
  </si>
  <si>
    <t>SAPO170154592_603550</t>
  </si>
  <si>
    <t>15:59, 10-07-2026</t>
  </si>
  <si>
    <t xml:space="preserve">Trần Thị Thu Hà
 Phương quí 1, Xã Ngọk Bay, Xã Ngọk Bay, Quảng Ngãi
 0986029571
 </t>
  </si>
  <si>
    <t>S22693229.HNP118-A2.1928588302</t>
  </si>
  <si>
    <t>SAPO170154590_603550</t>
  </si>
  <si>
    <t xml:space="preserve">Ngân Hà
 Ngã Ba Chợ Kim, Xã Thư Lâm, Xã Thư Lâm, Hà Nội
 0962546285
 </t>
  </si>
  <si>
    <t>S22693229.HNP98-E9.1100604235</t>
  </si>
  <si>
    <t>SAPO170154597_603550</t>
  </si>
  <si>
    <t xml:space="preserve">Chinh
 40 Đường Ngọc Thụy, Phường Bồ Đề, Phường Bồ Đề, Hà Nội
 0913574645
 </t>
  </si>
  <si>
    <t>S22693229.MB26-29-W16.1559449561</t>
  </si>
  <si>
    <t>SAPO170154607_603550</t>
  </si>
  <si>
    <t>19:41, 10-07-2026</t>
  </si>
  <si>
    <t xml:space="preserve">Đinh Vân
 cty kiến trúc kavaco, thôn minh sơn, Xã Quỳnh Phú, Xã Quỳnh Phú, Nghệ An
 0772353680
 </t>
  </si>
  <si>
    <t>S22693229.BO.MT19-01-A04.1947117716</t>
  </si>
  <si>
    <t>SAPO170154584_603550</t>
  </si>
  <si>
    <t xml:space="preserve">Sư cô Hạnh Quả
 Chùa Linh Phong 137 Hoàng Hoa Thám  10  Đà Lạt, Phường Xuân Hương - Đà Lạt, Phường Xuân Hương - Đà Lạt, Lâm Đồng
 0931762548
 </t>
  </si>
  <si>
    <t>S22693229.MB25-11-TA1.1058447916</t>
  </si>
  <si>
    <t>SAPO170154587_603550</t>
  </si>
  <si>
    <t>07:18, 10-07-2026</t>
  </si>
  <si>
    <t xml:space="preserve">Mai Hà
 Hà thị mai khu 3 thị trấn Mường lát thanh hoá, Xã Mường Lát, Xã Mường Lát, Thanh Hóa
 0368368113
 </t>
  </si>
  <si>
    <t>S22693229.BO.MN2-13-M71.1221683019</t>
  </si>
  <si>
    <t>SAPO170154620_603550</t>
  </si>
  <si>
    <t>21:44, 10-07-2026</t>
  </si>
  <si>
    <t xml:space="preserve">CHU VĂN NHIỆM
 3/12 Đường ĐX 19, Kp.7, P.Phú Mỹ, TP.Thủ Dầu Một, Bình Dương, Phường Bình Dương, Phường Bình Dương, TP Hồ Chí Minh
 0976205096
 </t>
  </si>
  <si>
    <t>S22693229.HNP117-M10.1318398343</t>
  </si>
  <si>
    <t>SAPO170154599_603550</t>
  </si>
  <si>
    <t>18:24, 10-07-2026</t>
  </si>
  <si>
    <t xml:space="preserve">Đức Mạnh
 Toà nhà MBbank Đan Phượng,155 Tây Sơn, Xã Đan Phượng, Xã Đan Phượng, Hà Nội
 0987309393
 </t>
  </si>
  <si>
    <t>S22693229.BO.SGP57-P23.1198341001</t>
  </si>
  <si>
    <t>SAPO170154586_603550</t>
  </si>
  <si>
    <t>13:37, 10-07-2026</t>
  </si>
  <si>
    <t xml:space="preserve">Tuyet Chau
 26a bia truyền thống, phường Tân tạo, TP HCM, Phường Tân Tạo, Phường Tân Tạo, TP Hồ Chí Minh
 0838958553
 </t>
  </si>
  <si>
    <t>S22693229.BO.MN2-27-TA08.1843603555</t>
  </si>
  <si>
    <t>SAPO170154669_603550</t>
  </si>
  <si>
    <t>15:44, 11-07-2026</t>
  </si>
  <si>
    <t xml:space="preserve">Nguyễn Thùy Trang
 123 Bến Sạn  Kp3   Phước Vĩnh, Xã Phú Giáo, Xã Phú Giáo, TP Hồ Chí Minh
 0972897770
 </t>
  </si>
  <si>
    <t>S22693229.HNP03-G30.1123357697</t>
  </si>
  <si>
    <t>SAPO170154866_603550</t>
  </si>
  <si>
    <t>10:17, 07-07-2026</t>
  </si>
  <si>
    <t xml:space="preserve">Thieu Long
 Toà nhà Toyota, 315 Trường Chinh, Phường Thanh Xuân, Phường Thanh Xuân, Hà Nội
 0966996293
 </t>
  </si>
  <si>
    <t>S22693229.BO.MN3-09-M23.1388281056</t>
  </si>
  <si>
    <t>SAPO170155063_603550</t>
  </si>
  <si>
    <t>S22693229.BO.MT10-10-O51.1293144285</t>
  </si>
  <si>
    <t>SAPO170155157_603550</t>
  </si>
  <si>
    <t>16:14, 10-07-2026</t>
  </si>
  <si>
    <t xml:space="preserve">Phan Mai Lộc
 472 Quang Trung Kp5  Tam Quan, Phường Tam Quan, Phường Tam Quan, Gia Lai
 0935001469
 </t>
  </si>
  <si>
    <t>S22693229.MB25-14-E4.1186207299</t>
  </si>
  <si>
    <t>SAPO170155170_603550</t>
  </si>
  <si>
    <t>21:09, 10-07-2026</t>
  </si>
  <si>
    <t xml:space="preserve">Quang Hoa
 thôn yên nẫm xã công chính tỉnh thanh hoá, Xã Nông Cống, Xã Nông Cống, Thanh Hóa
 0984296063
 </t>
  </si>
  <si>
    <t>S22693229.BO.MT17-11-T11.1944295680</t>
  </si>
  <si>
    <t>SAPO170155315_603550</t>
  </si>
  <si>
    <t>19:01, 10-07-2026</t>
  </si>
  <si>
    <t xml:space="preserve">Trần Công An
 thôn nam hoà xã đraybhăng-cư kuin đak Lắk, Xã Dray Bhăng, Xã Dray Bhăng, Đắk Lắk
 0944383637
 </t>
  </si>
  <si>
    <t>S22693229.BO.DN10-G33.1423830301</t>
  </si>
  <si>
    <t>SAPO170155365_603550</t>
  </si>
  <si>
    <t>13:34, 10-07-2026</t>
  </si>
  <si>
    <t xml:space="preserve">Hoang Nhi
 121 Thanh Thuỷ, Phường Hải Châu, Đà Nẵng, Phường Hải Châu, Phường Hải Châu, Đà Nẵng
 0935662526
 </t>
  </si>
  <si>
    <t>S22693229.MB25-23-Z06.1212386175</t>
  </si>
  <si>
    <t>SAPO170155648_603550</t>
  </si>
  <si>
    <t>10:18, 07-07-2026</t>
  </si>
  <si>
    <t xml:space="preserve">Nguyễn thị thảo
 Lk 1.7 khu đô thị centralriveside thanh hoá, Phường Hạc Thành, Phường Hạc Thành, Thanh Hóa
 0378161900
 </t>
  </si>
  <si>
    <t>S22693229.MB26-10-M14.1887534226</t>
  </si>
  <si>
    <t>SAPO170155703_603550</t>
  </si>
  <si>
    <t>15:22, 10-07-2026</t>
  </si>
  <si>
    <t xml:space="preserve">Thanh Thanh
 Số nhà 3, Ngõ 10, đường Trần Văn Cung, khối Vĩnh Tân, phường Cửa lò,tỉnh Nghệ An, Phường Cửa Lò, Phường Cửa Lò, Nghệ An
 0984805255
 </t>
  </si>
  <si>
    <t>S22693229.BO.MT18-03-C1.1521830420</t>
  </si>
  <si>
    <t>SAPO170155750_603550</t>
  </si>
  <si>
    <t>18:36, 10-07-2026</t>
  </si>
  <si>
    <t xml:space="preserve">Hieu Thu
 Trạm y tế xã đắk wil, Xã Đắk Wil, Xã Đắk Wil, Lâm Đồng
 0987925406
 </t>
  </si>
  <si>
    <t>S22693229.BO.HNP47-M83.1273284067</t>
  </si>
  <si>
    <t>SAPO170266495_603550</t>
  </si>
  <si>
    <t>13:01, 07-07-2026</t>
  </si>
  <si>
    <t xml:space="preserve">Minh
 Tòa nhà The Nelson, ngõ 29 Láng Hạ, Tòa nhà 14 Láng Hạ, Phường Láng, Phường Láng, Hà Nội
 0904977579
 </t>
  </si>
  <si>
    <t>S22693229.BO.MT17-01-M04.1763617351</t>
  </si>
  <si>
    <t>SAPO170346561_603550</t>
  </si>
  <si>
    <t>13:54, 07-07-2026</t>
  </si>
  <si>
    <t xml:space="preserve">Nguyễn Việt Dũng
 124 trần nhật Duật, Phường Buôn Ma Thuột, Phường Buôn Ma Thuột, Đắk Lắk
 0913435577
 </t>
  </si>
  <si>
    <t>S22693229.BO.MN6-14-W35.1118380594</t>
  </si>
  <si>
    <t>SAPO170350897_603550</t>
  </si>
  <si>
    <t>13:56, 07-07-2026</t>
  </si>
  <si>
    <t>19:02, 11-07-2026</t>
  </si>
  <si>
    <t xml:space="preserve">Võ Hoàng Trà My
 Trường Tiểu Học Thị Trấn Tân Thạnh, huyện Tân Thạnh, tỉnh Long An, Xã Tân Thạnh, Xã Tân Thạnh, Tây Ninh
 0988505377
 </t>
  </si>
  <si>
    <t>S22693229.BO.MT12-07-D88.1970628382</t>
  </si>
  <si>
    <t>SAPO170350906_603550</t>
  </si>
  <si>
    <t>14:26, 11-07-2026</t>
  </si>
  <si>
    <t xml:space="preserve">Trúc Chi
 185 Xuân Lạc,Phường Tây Nha Trang,Khánh Hòa, Phường Tây Nha Trang, Phường Tây Nha Trang, Khánh Hòa
 0942085653
 </t>
  </si>
  <si>
    <t>S22693229.BO.SGP27-V81.1876277315</t>
  </si>
  <si>
    <t>SAPO170350907_603550</t>
  </si>
  <si>
    <t>11:46, 11-07-2026</t>
  </si>
  <si>
    <t xml:space="preserve">Giang
 34 đường 12, Phường Thủ Đức, Phường Thủ Đức, TP Hồ Chí Minh
 0902224689
 </t>
  </si>
  <si>
    <t>S22693229.BO.MT12-21-X32.1702296255</t>
  </si>
  <si>
    <t>SAPO170350896_603550</t>
  </si>
  <si>
    <t xml:space="preserve">Thanh Binh
 16, Phường Nha Trang, Phường Nha Trang, Khánh Hòa
 0949232366
 </t>
  </si>
  <si>
    <t>S22693229.BO.MN4-06-G101.1668532904</t>
  </si>
  <si>
    <t>SAPO170350900_603550</t>
  </si>
  <si>
    <t>14:50, 11-07-2026</t>
  </si>
  <si>
    <t xml:space="preserve">Phạm Thanh Hương
 Nhà số 8 đường vào công ty cao su Tây Ninh, Xã Phước Thạnh, Xã Phước Thạnh, Tây Ninh
 0837333943
 </t>
  </si>
  <si>
    <t>S22693229.HNP117-M16.1753196681</t>
  </si>
  <si>
    <t>SAPO170350904_603550</t>
  </si>
  <si>
    <t xml:space="preserve">Bùi Thị Phượng
 Trụ sở UBND xã Yên Lãng (Địa chỉ mới sau sáp nhập: Trụ sở UBND xã Yên Lãng, thôn Thạch Đà 1, xã Yên Lãng, TP Hà Nội), Xã Yên Lãng, Xã Yên Lãng, Hà Nội
 0989231897
 </t>
  </si>
  <si>
    <t>S22693229.BO.MT8-22-X8.1252680148</t>
  </si>
  <si>
    <t>SAPO170350903_603550</t>
  </si>
  <si>
    <t xml:space="preserve">Phạm thị vân anh
 3, Xã Thăng Bình, Xã Thăng Bình, Đà Nẵng
 0332184154
 </t>
  </si>
  <si>
    <t>S22693229.BO.MT9-15-P23.1764555538</t>
  </si>
  <si>
    <t>SAPO170350912_603550</t>
  </si>
  <si>
    <t>16:22, 10-07-2026</t>
  </si>
  <si>
    <t xml:space="preserve">Ngô Phương Thảo
 Thôn Lương Nông bắc, xã mỏ cày, Xã Mỏ Cày, Xã Mỏ Cày, Quảng Ngãi
 0974664881
 </t>
  </si>
  <si>
    <t>S22693229.MB21-09-A13.1128783238</t>
  </si>
  <si>
    <t>SAPO170350890_603550</t>
  </si>
  <si>
    <t>17:43, 09-07-2026</t>
  </si>
  <si>
    <t xml:space="preserve">Thanh Hường
 Đường Khe Trám, Phường Văn Phú, Phường Văn Phú, Lào Cai, Phường Văn Phú, Phường Văn Phú, Lào Cai
 0968988484
 </t>
  </si>
  <si>
    <t>S22693229.MB26-28-K10.1752189073</t>
  </si>
  <si>
    <t>SAPO170350899_603550</t>
  </si>
  <si>
    <t>15:45, 11-07-2026</t>
  </si>
  <si>
    <t xml:space="preserve">Nguyễn Thị Hồng
 Chung cư tecco Bến Thuỷ, Phường Trường Vinh, Phường Trường Vinh, Nghệ An
 0984047599
 </t>
  </si>
  <si>
    <t>S22693229.BO.SGP89-Y102.1595891756</t>
  </si>
  <si>
    <t>SAPO170351238_603550</t>
  </si>
  <si>
    <t>17:18, 10-07-2026</t>
  </si>
  <si>
    <t xml:space="preserve">Nhân
 16/41/75 Nguyễn Thiện Thuật, Phường Bàn Cờ, Phường Bàn Cờ, TP Hồ Chí Minh
 0918988271
 </t>
  </si>
  <si>
    <t>S22693229.MB22-03-D2.1074812589</t>
  </si>
  <si>
    <t>SAPO170351405_603550</t>
  </si>
  <si>
    <t>13:57, 07-07-2026</t>
  </si>
  <si>
    <t xml:space="preserve">La Chinh
 Thôn 2, Xã Văn Bàn, Xã Văn Bàn, Lào Cai
 0986531266
 </t>
  </si>
  <si>
    <t>S22693229.BO.MT4-02-B21.1984551036</t>
  </si>
  <si>
    <t>SAPO170351764_603550</t>
  </si>
  <si>
    <t>19:06, 11-07-2026</t>
  </si>
  <si>
    <t xml:space="preserve">Ngô thị Thùy dương
 Nội trú cấp 1 cảnh dương, Xã Hòa Trạch, Xã Hòa Trạch, Quảng Trị
 0778562642
 </t>
  </si>
  <si>
    <t>S22693229.BO.MN6-20-H70.1274143235</t>
  </si>
  <si>
    <t>SAPO170351882_603550</t>
  </si>
  <si>
    <t xml:space="preserve">Linh Phi
 ấp 3, Xã Mỹ Hạnh, Xã Mỹ Hạnh, Tây Ninh
 0908833184
 </t>
  </si>
  <si>
    <t>S22693229.BO.SGP39-Q01.1341692896</t>
  </si>
  <si>
    <t>SAPO170351950_603550</t>
  </si>
  <si>
    <t>15:38, 10-07-2026</t>
  </si>
  <si>
    <t xml:space="preserve">Đăng Kiên
 Central Plaza, 17 Lê Duẩn, Bến Nghé, Q1, HCM, Phường Sài Gòn, Phường Sài Gòn, TP Hồ Chí Minh
 0931640167
 </t>
  </si>
  <si>
    <t>S22693229.HNP117-M16.1632868185</t>
  </si>
  <si>
    <t>SAPO170352103_603550</t>
  </si>
  <si>
    <t>S22693229.BO.MN14-10-U41.1841084778</t>
  </si>
  <si>
    <t>SAPO170352256_603550</t>
  </si>
  <si>
    <t>15:08, 10-07-2026</t>
  </si>
  <si>
    <t xml:space="preserve">Son trang
 112 phạm văn ky, Phường Hà Tiên, Phường Hà Tiên, An Giang
 0902252117
 </t>
  </si>
  <si>
    <t>S22693229.BO.SGP35-K05.1798490050</t>
  </si>
  <si>
    <t>SAPO170352427_603550</t>
  </si>
  <si>
    <t>13:58, 07-07-2026</t>
  </si>
  <si>
    <t>07:14, 10-07-2026</t>
  </si>
  <si>
    <t xml:space="preserve">Hương Trà
 885/9/24/41 Nguyễn Ảnh Thủ, Phường Trung Mỹ Tây, Phường Trung Mỹ Tây, TP Hồ Chí Minh
 0913638523
 </t>
  </si>
  <si>
    <t>S22693229.BO.DN7-M11.1503667453</t>
  </si>
  <si>
    <t>SAPO170352500_603550</t>
  </si>
  <si>
    <t>12:36, 11-07-2026</t>
  </si>
  <si>
    <t xml:space="preserve">Tran Hoa
 38 Hói Kiểng 26, Phường Ngũ Hành Sơn, Phường Ngũ Hành Sơn, Đà Nẵng
 0905437288
 </t>
  </si>
  <si>
    <t>S22693229.BO.MT13-06-M92.1386695578</t>
  </si>
  <si>
    <t>SAPO170352575_603550</t>
  </si>
  <si>
    <t xml:space="preserve">Pha
 Khu phố 1, Phường Đông Hải, Phường Đông Hải, Khánh Hòa
 0978170700
 </t>
  </si>
  <si>
    <t>S22693229.MB10-12-L17.1120025205</t>
  </si>
  <si>
    <t>'giao 1p thu 1p584685432535942314</t>
  </si>
  <si>
    <t>14:04, 07-07-2026</t>
  </si>
  <si>
    <t>00:13, 12-07-2026</t>
  </si>
  <si>
    <t xml:space="preserve">phượng
 Việt Hưng(Tổ 3 khu 4 việt hưng hạ long Quảng Ninh) 
Việt Hưng,Hạ Long,Quảng Ninh,Việt Nam, Phường Việt Hưng, Phường Việt Hưng, Quảng Ninh
 0338014223
 </t>
  </si>
  <si>
    <t>S22693229.BO.MN1-46-V7.1353103218</t>
  </si>
  <si>
    <t>giao 1p thu 1p584825162270475621</t>
  </si>
  <si>
    <t>18:10, 11-07-2026</t>
  </si>
  <si>
    <t xml:space="preserve">Xíu Mại CHÉNN
 Long Thành, Đồng Nai, Việt Nam(Gần sân banh văn hải) 
Long Thành,Long Thành,Đồng Nai,Việt Nam, Xã Long Thành, Xã Long Thành, Đồng Nai
 0931207202
 </t>
  </si>
  <si>
    <t>S22693229.BO.SG13-08-D3.1969171868</t>
  </si>
  <si>
    <t>giao 1p thu 1p584846333430105636</t>
  </si>
  <si>
    <t>17:16, 11-07-2026</t>
  </si>
  <si>
    <t xml:space="preserve">bùi thị hương
 tổ 2. số nhà 1. đường 456. ấp hội thạnh. bình mỹ. huyện củ chi. tphcm
Xã Bình Mỹ,Xã Bình Mỹ,Hồ Chí Minh,Việt Nam, Xã Bình Mỹ, Xã Bình Mỹ, TP Hồ Chí Minh
 0378537041
 </t>
  </si>
  <si>
    <t>S22693229.MB25-16-H10.1344906638</t>
  </si>
  <si>
    <t>giao 1p thu 1p584393830706218825</t>
  </si>
  <si>
    <t>14:43, 10-07-2026</t>
  </si>
  <si>
    <t xml:space="preserve">hin_151094
 08c/36 Lê Hưng, phường Đông Quang, tỉnh Thanh Hoá, Phường Đông Quang, Phường Đông Quang, Thanh Hóa
 0378356999
 </t>
  </si>
  <si>
    <t>S22693229.BO.SGP01-M21.1248422043</t>
  </si>
  <si>
    <t>SAPO170369105_603550</t>
  </si>
  <si>
    <t>14:07, 07-07-2026</t>
  </si>
  <si>
    <t xml:space="preserve">Phan Linh
 27/70/109 đường số 9 phường An Hội Đông (p16 cũ), Phường An Hội Đông, Phường An Hội Đông, TP Hồ Chí Minh
 0903753434
 </t>
  </si>
  <si>
    <t>S22693229.HNP99-K26.1028277508</t>
  </si>
  <si>
    <t>SAPO170369931_603550</t>
  </si>
  <si>
    <t xml:space="preserve">C Lan
 Phòng 510, tòa nhà CT9C Nguyễn Cao Luyện, Phường Việt Hưng, Phường Việt Hưng, Hà Nội
 0346701666
 </t>
  </si>
  <si>
    <t>S22693229.MB26-32-P18.1722335066</t>
  </si>
  <si>
    <t>SAPO170369933_603550</t>
  </si>
  <si>
    <t xml:space="preserve">Nguyễn Thị Thuý
 Trung tâm phục vụ hành chính công phường Thái Hoà, tỉnh Nghệ An, Phường Thái Hòa, Phường Thái Hòa, Nghệ An
 0979196728
 </t>
  </si>
  <si>
    <t>S22693229.BO.DN17-I2.1432800533</t>
  </si>
  <si>
    <t>SAPO170434156_603550</t>
  </si>
  <si>
    <t>15:05, 07-07-2026</t>
  </si>
  <si>
    <t>15:03, 11-07-2026</t>
  </si>
  <si>
    <t xml:space="preserve">GIANG VO
 124 Duy Tân, Hải Châu, Đà Nẵng, Phường Hòa Cường, Phường Hòa Cường, Đà Nẵng
 0967708769
 </t>
  </si>
  <si>
    <t>S22693229.HNP62-Y128.1566865387</t>
  </si>
  <si>
    <t>ESO3198152 - đổi vung Milano 16cm</t>
  </si>
  <si>
    <t>16:14, 07-07-2026</t>
  </si>
  <si>
    <t>17:31, 10-07-2026</t>
  </si>
  <si>
    <t xml:space="preserve">Nguyễn Viết Toàn
 Phòng 718, nơ 5, bán đảo linh đàm, Phường Hoàng Liệt, Quận Hoàng Mai, Hà Nội, Vietnam, Phường Hoàng Mai, Phường Hoàng Mai, Hà Nội
 0983982426
 </t>
  </si>
  <si>
    <t>S22693229.BO.DN9-O10.1280820432</t>
  </si>
  <si>
    <t>ESO3178474- đổi 5989PT26</t>
  </si>
  <si>
    <t>16:34, 10-07-2026</t>
  </si>
  <si>
    <t xml:space="preserve">Ánh
 Chung cư bệnh viện ung bướu, đường hoàng trung thông, Phường Hòa Minh, Quận Liên Chiểu, Đà Nẵng, Vietnam, Phường Hòa Khánh, Phường Hòa Khánh, Đà Nẵng
 0974604437
 </t>
  </si>
  <si>
    <t>S22693229.BO.SGP15-H07.1030874161</t>
  </si>
  <si>
    <t>ESO3188843- đổi 9215DB</t>
  </si>
  <si>
    <t>16:15, 07-07-2026</t>
  </si>
  <si>
    <t>14:58, 11-07-2026</t>
  </si>
  <si>
    <t xml:space="preserve">Nguyễn Văn Hoàng
 71/3 Nguyễn Văn Thương, Phường 25, Quận Bình Thạnh, Phường 25, Quận Bình Thạnh, TP Hồ Chí Minh,, Phường Thạnh Mỹ Tây, Phường Thạnh Mỹ Tây, TP Hồ Chí Minh
 0915846854
 </t>
  </si>
  <si>
    <t>S22693229.BO.MN3-01-A18.1393352865</t>
  </si>
  <si>
    <t>ESO3189350 - đổi 4710OL28</t>
  </si>
  <si>
    <t>13:59, 11-07-2026</t>
  </si>
  <si>
    <t xml:space="preserve">Bùi Chi
 7 Nguyễn Bĩnh Khiêm, Phường 3, Thành phố Vũng Tàu, Bà Rịa-Vũng Tàu, Vietnam, Phường Vũng Tàu, Phường Vũng Tàu, TP Hồ Chí Minh
 0918498098
 </t>
  </si>
  <si>
    <t>S22693229.BO.MT14-01-A13.1352145354</t>
  </si>
  <si>
    <t>ESO3187351 - đổi 9184</t>
  </si>
  <si>
    <t>12:35, 11-07-2026</t>
  </si>
  <si>
    <t xml:space="preserve">Xuân Thu
 số 284, Phường Xuân An, Thành phố Phan Thiết, Bình Thuận, Vietnam, Phường Hàm Thắng, Phường Hàm Thắng, Lâm Đồng
 0932155731
 </t>
  </si>
  <si>
    <t>S22693229.HNP134-P53.1332358417</t>
  </si>
  <si>
    <t>ESO3186027 - đổi nồi 24cm</t>
  </si>
  <si>
    <t>18:51, 10-07-2026</t>
  </si>
  <si>
    <t xml:space="preserve">La thuý hằng
 Số 30, thanh vỵ, sơn lộc, Phường Sơn Lộc, Thị xã Sơn Tây, Hà Nội, Vietnam, Phường Sơn Tây, Phường Sơn Tây, Hà Nội
 0842715555
 </t>
  </si>
  <si>
    <t>S22693229.BO.MT19-01-T12.1892162877</t>
  </si>
  <si>
    <t>ESO3190276 - gửi bù thanh 9166</t>
  </si>
  <si>
    <t>17:54, 11-07-2026</t>
  </si>
  <si>
    <t xml:space="preserve">Tony Truong
 117B Nguyễn Văn Trỗi, Phường 2, Thành phố Đà Lạt, Lâm Đồng, Vietnam, Phường Xuân Hương - Đà Lạt, Phường Xuân Hương - Đà Lạt, Lâm Đồng
 0908099079
 </t>
  </si>
  <si>
    <t>S22693229.BO.MN3-05-H09.1879444524</t>
  </si>
  <si>
    <t>ESO3190683 - đổi 5972GY24</t>
  </si>
  <si>
    <t>13:05, 11-07-2026</t>
  </si>
  <si>
    <t xml:space="preserve">Tạ Thêm
 899/70 đường 30/4, Phường 11, Thành phố Vũng Tàu, Bà Rịa-Vũng Tàu, Vietnam, Phường Phước Thắng, Phường Phước Thắng, TP Hồ Chí Minh
 0933022068
 </t>
  </si>
  <si>
    <t>S22693229.BO.MN2-03-C41.1487154348</t>
  </si>
  <si>
    <t>ESO3187389 - gửi bù 3846OL16</t>
  </si>
  <si>
    <t>18:28, 11-07-2026</t>
  </si>
  <si>
    <t xml:space="preserve">Kim Xuyến
 D26/9 Bình Đức 2, Lái Thiêu, Thuận An, Phường Lái Thiêu, Thành phố Thuận An, Bình Dương,, Phường Lái Thiêu, Phường Lái Thiêu, TP Hồ Chí Minh
 0936666367
 </t>
  </si>
  <si>
    <t>S22693229.HNP98-E14.1768223000</t>
  </si>
  <si>
    <t>ESO3212509 gửi bù thanh 9166</t>
  </si>
  <si>
    <t>21:56, 11-07-2026</t>
  </si>
  <si>
    <t xml:space="preserve">Vũ Phúc Nghiệp
 Số 26 ngách 135/48 Nguyễn Văn Cừ Ngọc Lâm Long Biên Hà Nội, Phường Bồ Đề, Quận Long Biên, Hà Nội, Vietnam, Phường Bồ Đề, Phường Bồ Đề, Hà Nội
 0979707981
 </t>
  </si>
  <si>
    <t>S22693229.BO.MN6-02-C51.1208975637</t>
  </si>
  <si>
    <t>ESO3086244 - đổi hàng 0756</t>
  </si>
  <si>
    <t>16:31, 07-07-2026</t>
  </si>
  <si>
    <t>20:05, 11-07-2026</t>
  </si>
  <si>
    <t xml:space="preserve">Thu Hồng
 Km 1929 quốc lộ 1, Xã Long Hiệp, Huyện Bến Lức, Long An, Vietnam, Xã Mỹ Yên, Xã Mỹ Yên, Tây Ninh
 0903628214
 </t>
  </si>
  <si>
    <t>S22693229.HNP92-F101.1564710801</t>
  </si>
  <si>
    <t>SAPO170886434_603550</t>
  </si>
  <si>
    <t>08:30, 08-07-2026</t>
  </si>
  <si>
    <t>16:06, 10-07-2026</t>
  </si>
  <si>
    <t xml:space="preserve">Nguyen my
 A6a nam trung yên, Phường Thanh Xuân, Phường Thanh Xuân, Hà Nội
 0904255886
 </t>
  </si>
  <si>
    <t>S22693229.HNP39-H16.1095747574</t>
  </si>
  <si>
    <t>SAPO170888084_603550</t>
  </si>
  <si>
    <t>08:31, 08-07-2026</t>
  </si>
  <si>
    <t>18:56, 10-07-2026</t>
  </si>
  <si>
    <t xml:space="preserve">Lã Thanh Nga
 Trường mầm non Nắng Xuân, Phường Xuân Phương, Phường Xuân Phương, Hà Nội
 0982057583
 </t>
  </si>
  <si>
    <t>S22693229.HNP03-K57.1426690638</t>
  </si>
  <si>
    <t>SAPO170889113_603550</t>
  </si>
  <si>
    <t>18:31, 10-07-2026</t>
  </si>
  <si>
    <t xml:space="preserve">C Hà
 Bệnh viện đại học y dược, phố Nguyễn Quý Đức, Phường Thanh Xuân, Phường Thanh Xuân, Hà Nội
 0984272755
 </t>
  </si>
  <si>
    <t>S22693229.MN3-02-T32.1577168313</t>
  </si>
  <si>
    <t>SAPO170892673_603550</t>
  </si>
  <si>
    <t>08:33, 08-07-2026</t>
  </si>
  <si>
    <t>15:35, 11-07-2026</t>
  </si>
  <si>
    <t xml:space="preserve">Nguyễn Thị Ngà
 Chung cư Đạm Phú Mỹ, Phường Phú Mỹ, TP.HCM (Phường Phú Mỹ, TX Phú Mỹ, Tỉnh BRVT cũ), Phường Phú Mỹ, Phường Phú Mỹ, TP Hồ Chí Minh
 0364189090
 </t>
  </si>
  <si>
    <t>S22693229.BO.MT12-07-D85.1887572472</t>
  </si>
  <si>
    <t>SAPO170892672_603550</t>
  </si>
  <si>
    <t>15:18, 11-07-2026</t>
  </si>
  <si>
    <t xml:space="preserve">Nguyễn Thị Bảo Ngọc
 58/53/42 Lương Định Của Nha Trang Khánh Hoà, Phường Tây Nha Trang, Phường Tây Nha Trang, Khánh Hòa
 0988495883
 </t>
  </si>
  <si>
    <t>S22693229.BO.MT10-08-M13.1513358076</t>
  </si>
  <si>
    <t>SAPO170946687_603550</t>
  </si>
  <si>
    <t>09:05, 08-07-2026</t>
  </si>
  <si>
    <t>14:07, 10-07-2026</t>
  </si>
  <si>
    <t xml:space="preserve">Hồ Thị Lệ Châu
 Phú Hưng, Bình Tân, Tây Sơn, Bình Định, Xã Bình Hiệp, Xã Bình Hiệp, Gia Lai
 0364204200
 </t>
  </si>
  <si>
    <t>S22693229.BO.MT16-02-D63.1579701595</t>
  </si>
  <si>
    <t>SAPO170946684_603550</t>
  </si>
  <si>
    <t>14:09, 10-07-2026</t>
  </si>
  <si>
    <t xml:space="preserve">Trang Thu
 25/1 Hai Bà Trưng, Phường Pleiku, Phường Pleiku, Gia Lai
 0914150303
 </t>
  </si>
  <si>
    <t>S22693229.BO.MT17-26-U13.1261605245</t>
  </si>
  <si>
    <t>SAPO170946676_603550</t>
  </si>
  <si>
    <t>19:49, 10-07-2026</t>
  </si>
  <si>
    <t xml:space="preserve">Hiếu
 Thôn 3 xã pơng drang krong buk đăk lăk, Xã Pơng Drang, Xã Pơng Drang, Đắk Lắk
 0973011114
 </t>
  </si>
  <si>
    <t>S22693229.BO.MT11-04-D32.1891345255</t>
  </si>
  <si>
    <t>SAPO170946674_603550</t>
  </si>
  <si>
    <t xml:space="preserve">Huỳnh thị như hảo
 Phước bình nam, Phường Phú Yên, Phường Phú Yên, Đắk Lắk
 0392414759
 </t>
  </si>
  <si>
    <t>S22693229.BO.MT17-25-G03.1312537598</t>
  </si>
  <si>
    <t>SAPO170946688_603550</t>
  </si>
  <si>
    <t>13:54, 10-07-2026</t>
  </si>
  <si>
    <t xml:space="preserve">Minh Hai Nguyen
 53/2 trần quý cáp, Phường Buôn Ma Thuột, Phường Buôn Ma Thuột, Đắk Lắk
 0968625151
 </t>
  </si>
  <si>
    <t>S22693229.BO.MT17-01-M04.1131422048</t>
  </si>
  <si>
    <t>SAPO170946689_603550</t>
  </si>
  <si>
    <t>19:31, 12-07-2026</t>
  </si>
  <si>
    <t xml:space="preserve">Mai
 25 Nguyễn Thông, Phường Buôn Ma Thuột, Phường Buôn Ma Thuột, Đắk Lắk
 0932585866
 </t>
  </si>
  <si>
    <t>S22693229.MN13-05-E53.1325978531</t>
  </si>
  <si>
    <t>SAPO170946672_603550</t>
  </si>
  <si>
    <t>16:39, 10-07-2026</t>
  </si>
  <si>
    <t xml:space="preserve">Phạm Thị Diệu Chinh
 ấp Trung Bình, Xã Thoại Sơn, Xã Thoại Sơn, An Giang
 0398633746
 </t>
  </si>
  <si>
    <t>S22693229.BO.MT16-18-Y02.1781599210</t>
  </si>
  <si>
    <t>SAPO170946675_603550</t>
  </si>
  <si>
    <t xml:space="preserve">Hà Thị Tú
 35. Trường Chinh, Xã Phú Thiện, Xã Phú Thiện, Gia Lai
 0972057779
 </t>
  </si>
  <si>
    <t>S22693229.MT14-17-E13.1012591905</t>
  </si>
  <si>
    <t>SAPO170946673_603550</t>
  </si>
  <si>
    <t xml:space="preserve">Lê Đinh Như Bình
 Hẻm 92 Nguyễn Công Trứ, Tân Thiện, La Gi, Bình Thuận, Phường La Gi, Phường La Gi, Lâm Đồng
 0933731699
 </t>
  </si>
  <si>
    <t>S22693229.MN4-06-G101.1428369101</t>
  </si>
  <si>
    <t>SAPO170946670_603550</t>
  </si>
  <si>
    <t>14:02, 10-07-2026</t>
  </si>
  <si>
    <t xml:space="preserve">Nguyễn Thị Trang Thanh
 số 49, tổ 35, ấp Đá Hàng, Xã Phước Thạnh, Xã Phước Thạnh, Tây Ninh
 0936348893
 </t>
  </si>
  <si>
    <t>S22693229.MT18-01-N61.1349299632</t>
  </si>
  <si>
    <t>SAPO170946678_603550</t>
  </si>
  <si>
    <t xml:space="preserve">Nguyễn Thị Bích Phượng
 06 lý thái tổ nghĩa đức gia nghĩa đăk nông (lâm đồng), Phường Bắc Gia Nghĩa, Phường Bắc Gia Nghĩa, Lâm Đồng
 0905616656
 </t>
  </si>
  <si>
    <t>S22693229.BO.MT12-10-Q19.1746889982</t>
  </si>
  <si>
    <t>SAPO170946691_603550</t>
  </si>
  <si>
    <t xml:space="preserve">Hồng thu
 413, Phường Đông Ninh Hòa, Phường Đông Ninh Hòa, Khánh Hòa
 0903175696
 </t>
  </si>
  <si>
    <t>S22693229.MT14-03-C23.1506446727</t>
  </si>
  <si>
    <t>SAPO170947077_603550</t>
  </si>
  <si>
    <t>09:06, 08-07-2026</t>
  </si>
  <si>
    <t>16:19, 10-07-2026</t>
  </si>
  <si>
    <t xml:space="preserve">Hai Nguyen
 Nha so 8, duong so 14, Xã Hoài Đức, Xã Hoài Đức, Lâm Đồng
 0949191333
 </t>
  </si>
  <si>
    <t>S22693229.MT19-02-B81.1309702164</t>
  </si>
  <si>
    <t>SAPO170947125_603550</t>
  </si>
  <si>
    <t>15:53, 11-07-2026</t>
  </si>
  <si>
    <t xml:space="preserve">Hà
 1113, Phường 3 Bảo Lộc, Phường 3 Bảo Lộc, Lâm Đồng
 0369233436
 </t>
  </si>
  <si>
    <t>S22693229.MN2-05-E13.1841656371</t>
  </si>
  <si>
    <t>SAPO170947778_603550</t>
  </si>
  <si>
    <t>18:20, 10-07-2026</t>
  </si>
  <si>
    <t xml:space="preserve">nguyễn hà dung
 tổ 7 kp chiêu liêu, Phường Tân Đông Hiệp, Phường Tân Đông Hiệp, TP Hồ Chí Minh
 0385267632
 </t>
  </si>
  <si>
    <t>S22693229.MT19-15-N09.1152088425</t>
  </si>
  <si>
    <t>SAPO170947937_603550</t>
  </si>
  <si>
    <t>15:28, 10-07-2026</t>
  </si>
  <si>
    <t xml:space="preserve">Nhật Linh Sú
 755/4/1 Thống Nhất, Xã Đức Trọng, Xã Đức Trọng, Lâm Đồng
 0984419208
 </t>
  </si>
  <si>
    <t>S22693229.MT19-06-H11.1774125039</t>
  </si>
  <si>
    <t>SAPO170948145_603550</t>
  </si>
  <si>
    <t>18:08, 11-07-2026</t>
  </si>
  <si>
    <t xml:space="preserve">Bích Hợp
 131 Thôn Phú Hiệp 1, Xã Gia Hiệp, Xã Gia Hiệp, Lâm Đồng
 0915657595
 </t>
  </si>
  <si>
    <t>S22693229.SGP05-N17.1644059858</t>
  </si>
  <si>
    <t>SAPO170948215_603550</t>
  </si>
  <si>
    <t>09:07, 08-07-2026</t>
  </si>
  <si>
    <t>13:34, 11-07-2026</t>
  </si>
  <si>
    <t xml:space="preserve">Huỳnh Toàn
 154/4/47/11b Nguyễn Phúc Chu, Phường Tân Sơn, Phường Tân Sơn, TP Hồ Chí Minh
 0908470152
 </t>
  </si>
  <si>
    <t>S22693229.BO.MT10-04-D45.1053941928</t>
  </si>
  <si>
    <t>SAPO170948337_603550</t>
  </si>
  <si>
    <t xml:space="preserve">sơn
 08 Lê Thánh Tôn, Phường Quy Nhơn, Phường Quy Nhơn, Gia Lai
 0965330333
 </t>
  </si>
  <si>
    <t>S22693229.BO.MN5-01-A215.1763868705</t>
  </si>
  <si>
    <t>SAPO170957984_603550</t>
  </si>
  <si>
    <t>09:15, 08-07-2026</t>
  </si>
  <si>
    <t>15:00, 11-07-2026</t>
  </si>
  <si>
    <t xml:space="preserve">Nguyễn Thị Hân
 CÔNG TY CỔ PHẦN CHĂN NUÔI C.P. VIỆT NAM- CHI NHÁNH TẠI BÌNH PHƯỚC  N12 Số Lô 7-8 Đường Tôn Đức Thắng Khu Phố 2, Phường Đồng Xoài, Phường Đồng Xoài, Đồng Nai
 0983276429
 </t>
  </si>
  <si>
    <t>S22693229.BO.MN7-01-D03.1206879456</t>
  </si>
  <si>
    <t>SAPO170957992_603550</t>
  </si>
  <si>
    <t>18:50, 11-07-2026</t>
  </si>
  <si>
    <t xml:space="preserve">Ngọc Huệ
 .ấp long lợi .long hưng.Đồng tháp (, Xã Long Hưng, Xã Long Hưng, Đồng Tháp
 0345327284
 </t>
  </si>
  <si>
    <t>S22693229.BO.SG11-10-K17.1304974925</t>
  </si>
  <si>
    <t>SAPO170957973_603550</t>
  </si>
  <si>
    <t>16:02, 11-07-2026</t>
  </si>
  <si>
    <t xml:space="preserve">An Duy
 C2/26 Phạm Hùng, Xã Bình Hưng, Xã Bình Hưng, TP Hồ Chí Minh
 0903996133
 </t>
  </si>
  <si>
    <t>S22693229.MB26-31-F3.1504203895</t>
  </si>
  <si>
    <t>SAPO170957976_603550</t>
  </si>
  <si>
    <t>19:28, 10-07-2026</t>
  </si>
  <si>
    <t xml:space="preserve">Vương Phat
 Thôn 3 xuân khánh, Xã Đức Châu, Xã Đức Châu, Nghệ An
 0817962999
 </t>
  </si>
  <si>
    <t>S22693229.BO.MN7-01-D07.1406587966</t>
  </si>
  <si>
    <t>SAPO170957980_603550</t>
  </si>
  <si>
    <t>18:40, 11-07-2026</t>
  </si>
  <si>
    <t xml:space="preserve">Nguyễn Khải
 ty cnhh free view khu cn tân hương, Xã Tân Hương, Xã Tân Hương, Đồng Tháp
 0393203486
 </t>
  </si>
  <si>
    <t>S22693229.BO.MT6-05-E43.1625832467</t>
  </si>
  <si>
    <t>SAPO170957985_603550</t>
  </si>
  <si>
    <t xml:space="preserve">Ngọc Trang
 101 trần quý khoáng phường hương an. Thành phố huế., Phường Hương An, Phường Hương An, Thành phố Huế
 0898482263
 </t>
  </si>
  <si>
    <t>S22693229.BO.MN2-05-H13.1523324225</t>
  </si>
  <si>
    <t>SAPO170957993_603550</t>
  </si>
  <si>
    <t>19:25, 11-07-2026</t>
  </si>
  <si>
    <t xml:space="preserve">Phương Thảo
 CTY esprinta đường số 12 kcn sóng thần 2, Phường Dĩ An, Phường Dĩ An, TP Hồ Chí Minh
 0347851310
 </t>
  </si>
  <si>
    <t>S22693229.HNP105-A69.1180180479</t>
  </si>
  <si>
    <t>SAPO170957981_603550</t>
  </si>
  <si>
    <t>13:33, 11-07-2026</t>
  </si>
  <si>
    <t xml:space="preserve">Bùi Bằng Giang
 SHB Bank, 25p Nguyễn Văn Lộc, Phường Hà Đông, Phường Hà Đông, Hà Nội
 0336151496
 </t>
  </si>
  <si>
    <t>S22693229.MB12-06-F11.1599229260</t>
  </si>
  <si>
    <t>SAPO170957994_603550</t>
  </si>
  <si>
    <t>12:34, 11-07-2026</t>
  </si>
  <si>
    <t xml:space="preserve">Nguyễn Tuấn Tâm
 Trường THCS Tây Cốc  Tây Cốc, Xã Đoan Hùng, Xã Đoan Hùng, Phú Thọ
 0988427968
 </t>
  </si>
  <si>
    <t>S22693229.MB6-05-A10.1753198475</t>
  </si>
  <si>
    <t>SAPO170957975_603550</t>
  </si>
  <si>
    <t xml:space="preserve">Lý Lý Nguyễn
 17 trương mỹ, Phường Lê Thanh Nghị, Phường Lê Thanh Nghị, Hải Phòng
 0936662006
 </t>
  </si>
  <si>
    <t>S22693229.MB12-02-B7.1168419036</t>
  </si>
  <si>
    <t>SAPO170957987_603550</t>
  </si>
  <si>
    <t>18:32, 10-07-2026</t>
  </si>
  <si>
    <t xml:space="preserve">Hải Nguyễn
 Cty TNHH Yida Việt Nam  Cụm Công Nghiệp  Sông Thao, Xã Cẩm Khê, Xã Cẩm Khê, Phú Thọ
 0963579663
 </t>
  </si>
  <si>
    <t>S22693229.BO.MT14-12-S82.1746368170</t>
  </si>
  <si>
    <t>SAPO170957991_603550</t>
  </si>
  <si>
    <t>16:23, 11-07-2026</t>
  </si>
  <si>
    <t xml:space="preserve">Bùi Diệu Thúy
 Xóm 7, Xã Vĩnh Hảo, Xã Vĩnh Hảo, Lâm Đồng
 0374382197
 </t>
  </si>
  <si>
    <t>S22693229.BO.SGP34-K37.1781711138</t>
  </si>
  <si>
    <t>SAPO170957989_603550</t>
  </si>
  <si>
    <t>15:37, 11-07-2026</t>
  </si>
  <si>
    <t xml:space="preserve">Nguyễn Thị Ngọc Dung
 481/10 HT17, Phường Tân Thới Hiệp, Phường Tân Thới Hiệp, TP Hồ Chí Minh
 0906570300
 </t>
  </si>
  <si>
    <t>S22693229.MB7-17-A48.1016869364</t>
  </si>
  <si>
    <t>SAPO170958132_603550</t>
  </si>
  <si>
    <t>20:43, 10-07-2026</t>
  </si>
  <si>
    <t xml:space="preserve">Phạm Việt Đức
 315 trần nguyên hãn nghĩa xá lê chân hải phòng., Phường Lê Chân, Phường Lê Chân, Hải Phòng
 0986267242
 </t>
  </si>
  <si>
    <t>S22693229.MB21-02-B6.1234642478</t>
  </si>
  <si>
    <t>SAPO170958160_603550</t>
  </si>
  <si>
    <t>20:45, 10-07-2026</t>
  </si>
  <si>
    <t xml:space="preserve">Phạm Hiển
 Thôn 1, Xã Liên Sơn, Xã Liên Sơn, Lào Cai
 0972166919
 </t>
  </si>
  <si>
    <t>S22693229.BO.SGP05-N19.1179130063</t>
  </si>
  <si>
    <t>SAPO170958211_603550</t>
  </si>
  <si>
    <t>16:40, 11-07-2026</t>
  </si>
  <si>
    <t xml:space="preserve">Yen Tran
 533/1 phạm văn bạch,p. Tân sơn,tp. Hcm, Phường Tân Sơn, Phường Tân Sơn, TP Hồ Chí Minh
 0938006669
 </t>
  </si>
  <si>
    <t>S22693229.MB25-34-M7.1128585521</t>
  </si>
  <si>
    <t>SAPO170958305_603550</t>
  </si>
  <si>
    <t>18:24, 11-07-2026</t>
  </si>
  <si>
    <t xml:space="preserve">Sytuhongtham Le
 Quầy thuốc Đức minh , Ba Chè, Xã Thiệu Hóa, Xã Thiệu Hóa, Thanh Hóa
 0966510919
 </t>
  </si>
  <si>
    <t>S22693229.BO.MT13-06-D62.1056817935</t>
  </si>
  <si>
    <t>SAPO170958590_603550</t>
  </si>
  <si>
    <t>09:16, 08-07-2026</t>
  </si>
  <si>
    <t>17:12, 11-07-2026</t>
  </si>
  <si>
    <t xml:space="preserve">Hải Bình
 41/5 Lương văn Can, Phường Bảo An, Phường Bảo An, Khánh Hòa
 0768230779
 </t>
  </si>
  <si>
    <t>S22693229.BO.SGP105-N61.1306717031</t>
  </si>
  <si>
    <t>SAPO170958659_603550</t>
  </si>
  <si>
    <t>13:22, 11-07-2026</t>
  </si>
  <si>
    <t xml:space="preserve">Đào Hương Giang
 662/1K Sư Vạn Hạnh, Phường Hòa Hưng, Phường Hòa Hưng, TP Hồ Chí Minh
 0772999393
 </t>
  </si>
  <si>
    <t>S22693229.BO.SGP34-K73.1203387606</t>
  </si>
  <si>
    <t>SAPO170958678_603550</t>
  </si>
  <si>
    <t>15:05, 11-07-2026</t>
  </si>
  <si>
    <t xml:space="preserve">Lê Hảo
 142/24/5R Đường TTH21, KP17, Phường Tân Thới Hiệp, Phường Tân Thới Hiệp, TP Hồ Chí Minh
 0392731416
 </t>
  </si>
  <si>
    <t>S22693229.BO.MN6-02-C23.1540276037</t>
  </si>
  <si>
    <t>SAPO170958689_603550</t>
  </si>
  <si>
    <t>14:33, 11-07-2026</t>
  </si>
  <si>
    <t xml:space="preserve">Hằng Việt Lê
 TRUNG TÂM CUNG ỨNG DỊCH VỤ SỰ NGHIỆP CÔNG Đường tỉnh 835, ấp 5 Phước Lợi, xã Mỹ Yên, tỉnh Tây Ninh, Xã Mỹ Yên, Xã Mỹ Yên, Tây Ninh
 0988321580
 </t>
  </si>
  <si>
    <t>S22693229.BO.MT4-08-H3.1509416083</t>
  </si>
  <si>
    <t>SAPO170958788_603550</t>
  </si>
  <si>
    <t xml:space="preserve">Thúy Vinh Nguyễn
 Bưu điện phong nha, Xã Phong Nha, Xã Phong Nha, Quảng Trị
 0913295832
 </t>
  </si>
  <si>
    <t>S22693229.BO.MN12-17-W11.1620934659</t>
  </si>
  <si>
    <t>SAPO170958878_603550</t>
  </si>
  <si>
    <t>15:24, 11-07-2026</t>
  </si>
  <si>
    <t xml:space="preserve">Huỳnh Vy
 918 Thoai Ngọc Hầu, khu phố Trà Đư, Phường Thường Lạc, Phường Thường Lạc, Đồng Tháp
 0987970525
 </t>
  </si>
  <si>
    <t>S22693229.BO.MN3-11-T82.1281452280</t>
  </si>
  <si>
    <t>SAPO170958963_603550</t>
  </si>
  <si>
    <t>13:58, 11-07-2026</t>
  </si>
  <si>
    <t xml:space="preserve">Lê Thường
 304/10 Bùi Thiện Ngộ, Phường Rạch Dừa, Phường Rạch Dừa, TP Hồ Chí Minh
 0932026952
 </t>
  </si>
  <si>
    <t>S22693229.HNP83-D15.1133365235</t>
  </si>
  <si>
    <t>SAPO170959135_603550</t>
  </si>
  <si>
    <t xml:space="preserve">Huong Lan Nguyen
  101 Trần Hưng Đạo, hoàn kiếm, hà nội Hưng Đạo, Hai Bà Trưng, Phường Cửa Nam, Phường Cửa Nam, Hà Nội, Phường Cửa Nam, Phường Cửa Nam, Hà Nội
 0912064489
 </t>
  </si>
  <si>
    <t>S22693229.BO.MT15-06-G14.1396848847</t>
  </si>
  <si>
    <t>SAPO170959193_603550</t>
  </si>
  <si>
    <t xml:space="preserve">Mai Hòa
 79 Ngô Quyền, Phường Kon Tum, Phường Kon Tum, Quảng Ngãi
 0983574908
 </t>
  </si>
  <si>
    <t>S22693229.HNP124-T97.1108556836</t>
  </si>
  <si>
    <t>SAPO170959474_603550</t>
  </si>
  <si>
    <t>09:17, 08-07-2026</t>
  </si>
  <si>
    <t>10:45, 10-07-2026</t>
  </si>
  <si>
    <t xml:space="preserve">đồng mai lý
 ngõ 88 nhà 7 đục khê, Xã Hương Sơn, Xã Hương Sơn, Hà Nội
 0973501620
 </t>
  </si>
  <si>
    <t>S22693229.BO.MT16-24-Z32.1298211173</t>
  </si>
  <si>
    <t>SAPO170959769_603550</t>
  </si>
  <si>
    <t>20:22, 10-07-2026</t>
  </si>
  <si>
    <t xml:space="preserve">Thanh Thư Thanh Thư
 Làng kon lanh xã đăk rong huyện kbang tỉnh gia lai., Xã Đak Rong, Xã Đak Rong, Gia Lai
 0367071065
 </t>
  </si>
  <si>
    <t>S22693229.BO.HNP129-S36.1765146730</t>
  </si>
  <si>
    <t>SAPO170971055_603550</t>
  </si>
  <si>
    <t>09:27, 08-07-2026</t>
  </si>
  <si>
    <t>16:36, 10-07-2026</t>
  </si>
  <si>
    <t xml:space="preserve">Dung
 Số nhà 52, xóm 6, yên đình, Xã Phúc Lộc, Xã Phúc Lộc, Hà Nội
 0976248648
 </t>
  </si>
  <si>
    <t>S22693229.BO.MT5-01-A2.1638571897</t>
  </si>
  <si>
    <t>SAPO170971084_603550</t>
  </si>
  <si>
    <t>18:06, 10-07-2026</t>
  </si>
  <si>
    <t xml:space="preserve">Hồ Thị Hải Thanh
 26 Trương Định, khu phố 6, Phường Đông Hà, Phường Đông Hà, Quảng Trị
 0833827827
 </t>
  </si>
  <si>
    <t>S22693229.BO.MN3-05-H10.1896896764</t>
  </si>
  <si>
    <t>SAPO170971086_603550</t>
  </si>
  <si>
    <t>12:40, 11-07-2026</t>
  </si>
  <si>
    <t xml:space="preserve">Hạnh
 159/13, Phường Phước Thắng, Phường Phước Thắng, TP Hồ Chí Minh
 0974601554
 </t>
  </si>
  <si>
    <t>S22693229.MB15-01-A3.1382387361</t>
  </si>
  <si>
    <t>SAPO170971096_603550</t>
  </si>
  <si>
    <t>22:08, 11-07-2026</t>
  </si>
  <si>
    <t xml:space="preserve">lê quang hiệp
 51 Nguyễn Trung Trực Tổ 13, Phường Hòa Bình, Phường Hòa Bình, Phú Thọ
 0352662041
 </t>
  </si>
  <si>
    <t>S22693229.MB9-17-G10.1457077879</t>
  </si>
  <si>
    <t>SAPO170971090_603550</t>
  </si>
  <si>
    <t xml:space="preserve">Thân văn kiên
 Thôn phúc long, Phường Nếnh, Phường Nếnh, Bắc Ninh
 0932868444
 </t>
  </si>
  <si>
    <t>S22693229.MB26-29-W4.1422811500</t>
  </si>
  <si>
    <t>SAPO170971069_603550</t>
  </si>
  <si>
    <t>15:42, 11-07-2026</t>
  </si>
  <si>
    <t xml:space="preserve">Ngọc Thuần
 Xóm 10 - quỳnh thạch, Xã Quỳnh Văn, Xã Quỳnh Văn, Nghệ An
 0987936110
 </t>
  </si>
  <si>
    <t>S22693229.MB26-31-F4.1484462237</t>
  </si>
  <si>
    <t>SAPO170971074_603550</t>
  </si>
  <si>
    <t>13:50, 10-07-2026</t>
  </si>
  <si>
    <t xml:space="preserve">Nguyễn Thị Thu Nguyệt
 Ngân hàng OCB Diễn Châu, Xã Diễn Châu, Xã Diễn Châu, Nghệ An
 0989726804
 </t>
  </si>
  <si>
    <t>S22693229.MB7-17-A2.1809860007</t>
  </si>
  <si>
    <t>SAPO170971076_603550</t>
  </si>
  <si>
    <t>19:53, 10-07-2026</t>
  </si>
  <si>
    <t xml:space="preserve">Đỗ Thị Huệ
 9/34 Tản Viên, Phường Hồng Bàng, Phường Hồng Bàng, Hải Phòng
 0936619909
 </t>
  </si>
  <si>
    <t>S22693229.MB10-02-B5.1219899275</t>
  </si>
  <si>
    <t>SAPO170971066_603550</t>
  </si>
  <si>
    <t>19:27, 11-07-2026</t>
  </si>
  <si>
    <t xml:space="preserve">Tiến
 Số 6 khu phổ thanh sơn 2, Phường Uông Bí, Phường Uông Bí, Quảng Ninh
 0938932666
 </t>
  </si>
  <si>
    <t>S22693229.BO.MN2-03-C41.1328745562</t>
  </si>
  <si>
    <t>SAPO170971065_603550</t>
  </si>
  <si>
    <t xml:space="preserve">Liêu Phượng
 B105, khu phố Bình Đức 2, Phường Lái Thiêu, Phường Lái Thiêu, TP Hồ Chí Minh
 0909394054
 </t>
  </si>
  <si>
    <t>S22693229.BO.MT5-03-C7.1790978173</t>
  </si>
  <si>
    <t>SAPO170971104_603550</t>
  </si>
  <si>
    <t>14:10, 10-07-2026</t>
  </si>
  <si>
    <t xml:space="preserve">Nguyễn Thị Thảo Tiên ( nhà Ông Tuý Hiền)
 Đội 3. Lương Điền, Hải Sơn, Hải Lăng,, Xã Nam Hải Lăng, Xã Nam Hải Lăng, Quảng Trị
 0987549188
 </t>
  </si>
  <si>
    <t>S22693229.MB10-02-B5.1272341829</t>
  </si>
  <si>
    <t>SAPO170971067_603550</t>
  </si>
  <si>
    <t xml:space="preserve">Tiến
 Số 6 khu phố thanh sơn 2 , phường Uông Bí, Phường Uông Bí, Phường Uông Bí, Quảng Ninh
 0938932666
 </t>
  </si>
  <si>
    <t>S22693229.BO.MT8-05-E17.1880090468</t>
  </si>
  <si>
    <t>SAPO170971082_603550</t>
  </si>
  <si>
    <t>13:08, 11-07-2026</t>
  </si>
  <si>
    <t xml:space="preserve">Hằng
 02 Nguyễn Huệ, Phường Hội An, Phường Hội An, Đà Nẵng
 0913609689
 </t>
  </si>
  <si>
    <t>S22693229.HNP144-T80.1678296897</t>
  </si>
  <si>
    <t>SAPO170971099_603550</t>
  </si>
  <si>
    <t>20:07, 11-07-2026</t>
  </si>
  <si>
    <t xml:space="preserve">Đăng Đoàn
 Số nhà 1 ngõ 15 thôn đặng giang, Xã Hòa Xá, Xã Hòa Xá, Hà Nội
 0988658095
 </t>
  </si>
  <si>
    <t>S22693229.MB7-02-B3.1675705882</t>
  </si>
  <si>
    <t>SAPO170971075_603550</t>
  </si>
  <si>
    <t>21:02, 11-07-2026</t>
  </si>
  <si>
    <t xml:space="preserve">Vũ thị loan
 7/3, Phường Phù Liễn, Phường Phù Liễn, Hải Phòng
 0973614062
 </t>
  </si>
  <si>
    <t>S22693229.BO.SG12-02-B24.1461088545</t>
  </si>
  <si>
    <t>SAPO170971091_603550</t>
  </si>
  <si>
    <t xml:space="preserve">Lương
 340 lê lợi, Xã Hóc Môn, Xã Hóc Môn, TP Hồ Chí Minh
 0938019834
 </t>
  </si>
  <si>
    <t>S22693229.BO.MT9-01-A25.1882981718</t>
  </si>
  <si>
    <t>SAPO170971054_603550</t>
  </si>
  <si>
    <t>17:07, 11-07-2026</t>
  </si>
  <si>
    <t xml:space="preserve">Vương Thị Thục Loan
 68 Nguyễn Thanh Nghị, Phường Cẩm Thành, Phường Cẩm Thành, Quảng Ngãi
 0908626600
 </t>
  </si>
  <si>
    <t>S22693229.MB7-04-E3.1398455578</t>
  </si>
  <si>
    <t>SAPO170971057_603550</t>
  </si>
  <si>
    <t>18:49, 11-07-2026</t>
  </si>
  <si>
    <t xml:space="preserve">Bùi Đức Thái
 Trạm bơm Duyên Hải Hùng Thắng Hải Phòng, Xã Hùng Thắng, Xã Hùng Thắng, Hải Phòng
 0982811104
 </t>
  </si>
  <si>
    <t>S22693229.BO.SGP59-P80.1467019687</t>
  </si>
  <si>
    <t>SAPO170971228_603550</t>
  </si>
  <si>
    <t>14:23, 11-07-2026</t>
  </si>
  <si>
    <t xml:space="preserve">Hương Nguyễn
 504/58C, Kinh Dương Vương, An Lạc A, Bình Tân, tp hcm, Phường An Lạc, Phường An Lạc, TP Hồ Chí Minh
 0974399672
 </t>
  </si>
  <si>
    <t>S22693229.BO.MT6-05-E54.1352844779</t>
  </si>
  <si>
    <t>SAPO170971422_603550</t>
  </si>
  <si>
    <t>16:33, 10-07-2026</t>
  </si>
  <si>
    <t xml:space="preserve">Nguyễn Thị Vĩnh Tú
 3/6 Kiệt 33 Đào Duy Anh, Phường Phú Xuân, Phường Phú Xuân, Thành phố Huế
 0905444136
 </t>
  </si>
  <si>
    <t>S22693229.BO.MT10-04-D62.1862738182</t>
  </si>
  <si>
    <t>SAPO170971729_603550</t>
  </si>
  <si>
    <t xml:space="preserve">Trương Quốc Niệm
 281 Nguyễn Thị Minh Khai, Phường Quy Nhơn Nam, Phường Quy Nhơn Nam, Gia Lai
 0914231384
 </t>
  </si>
  <si>
    <t>S22693229.HNP27-N73.1434501335</t>
  </si>
  <si>
    <t>SAPO170971756_603550</t>
  </si>
  <si>
    <t>13:56, 11-07-2026</t>
  </si>
  <si>
    <t xml:space="preserve">Bùi văn Dũng
 Sn 2, ngách 6/309, đường Nguyễn Đức Thuận, Xã Gia Lâm, Xã Gia Lâm, Hà Nội
 0986291278
 </t>
  </si>
  <si>
    <t>S22693229.MB24-10-G12.1818979226</t>
  </si>
  <si>
    <t>SAPO170971783_603550</t>
  </si>
  <si>
    <t>20:35, 11-07-2026</t>
  </si>
  <si>
    <t xml:space="preserve">Bùi Thị Phương
 Bệnh viện phổi điện biên, tổ 2, phường noong bua, thành phố điện biên phủ, tỉnh điện biên, Phường Mường Thanh, Phường Mường Thanh, Điện Biên
 0949859137
 </t>
  </si>
  <si>
    <t>S22693229.MB13-01-A5.1963128310</t>
  </si>
  <si>
    <t>SAPO170971922_603550</t>
  </si>
  <si>
    <t>09:28, 08-07-2026</t>
  </si>
  <si>
    <t>19:15, 10-07-2026</t>
  </si>
  <si>
    <t xml:space="preserve">TRANG CHU
 Tổ 11, Phường Minh Xuân, Phường Minh Xuân, Tuyên Quang
 0978150984
 </t>
  </si>
  <si>
    <t>S22693229.MB10-02-B5.1167664253</t>
  </si>
  <si>
    <t>SAPO170972239_603550</t>
  </si>
  <si>
    <t xml:space="preserve">Tiến
 Số 6 khu phố thanh sơn 2, Phường Uông Bí, Phường Uông Bí, Quảng Ninh
 0938932666
 </t>
  </si>
  <si>
    <t>S22693229.BO.DN7-M11.1122044730</t>
  </si>
  <si>
    <t>SAPO170972530_603550</t>
  </si>
  <si>
    <t xml:space="preserve">Võ Thị Huệ
 Bờ Quan 14, Phường Ngũ Hành Sơn, Phường Ngũ Hành Sơn, Đà Nẵng
 0934885529
 </t>
  </si>
  <si>
    <t>S22693229.BO.MT6-12-M33.1839809126</t>
  </si>
  <si>
    <t>SAPO170972828_603550</t>
  </si>
  <si>
    <t>18:07, 10-07-2026</t>
  </si>
  <si>
    <t xml:space="preserve">Thị Trà Mi Nguyễn
 7/134 Nguyễn Huệ, Phường Thuận Hóa, Phường Thuận Hóa, Thành phố Huế
 0905216838
 </t>
  </si>
  <si>
    <t>S22693229.BO.SGP54-X95.1007104184</t>
  </si>
  <si>
    <t>SAPO170972938_603550</t>
  </si>
  <si>
    <t>18:16, 11-07-2026</t>
  </si>
  <si>
    <t xml:space="preserve">Xuân Đào
 67/2/13 đường số 6, Phường Bình Hưng Hòa, Phường Bình Hưng Hòa, TP Hồ Chí Minh
 0919788811
 </t>
  </si>
  <si>
    <t>S22693229.MB26-09-N15.1863293935</t>
  </si>
  <si>
    <t>SAPO170973026_603550</t>
  </si>
  <si>
    <t>17:32, 11-07-2026</t>
  </si>
  <si>
    <t xml:space="preserve">Thêu Đoàn
 Xóm 5, Xã Hạnh Lâm, Xã Hạnh Lâm, Nghệ An
 0335384353
 </t>
  </si>
  <si>
    <t>S22693229.BO.MB9-05-D12.1802884499</t>
  </si>
  <si>
    <t>SAPO170973123_603550</t>
  </si>
  <si>
    <t>20:04, 12-07-2026</t>
  </si>
  <si>
    <t xml:space="preserve">Cô Lan
 30 Lê Hồng Phong 2, Thôn Phúc Bé, Phường Đa Mai, Phường Đa Mai, Bắc Ninh
 0982588189
 </t>
  </si>
  <si>
    <t>S22693229.MB17-01-E16.1342890652</t>
  </si>
  <si>
    <t>SAPO170973226_603550</t>
  </si>
  <si>
    <t>16:35, 10-07-2026</t>
  </si>
  <si>
    <t xml:space="preserve">Đồng Bảo Nhi
 Số 10, phố Nguyễn Hữu Cảnh, Phường Tam Thanh, Phường Tam Thanh, Lạng Sơn
 0833822666
 </t>
  </si>
  <si>
    <t>S22693229.MB15-01-A13.1482550529</t>
  </si>
  <si>
    <t>SAPO170973265_603550</t>
  </si>
  <si>
    <t>12:25, 10-07-2026</t>
  </si>
  <si>
    <t xml:space="preserve">Hương
 Số nhà 40 tổ 9 phường dân chủ thành phố hoà bình, Phường Thống Nhất, Phường Thống Nhất, Phú Thọ
 0394733623
 </t>
  </si>
  <si>
    <t>S22693229.MB12-15-N17.1653915747</t>
  </si>
  <si>
    <t>SAPO170973591_603550</t>
  </si>
  <si>
    <t>09:29, 08-07-2026</t>
  </si>
  <si>
    <t xml:space="preserve">Nguyễn Hường
 Spa linh thuỳ :sn :04 tiên sơn -tiên cát -việt trì -ptho, Phường Thanh Miếu, Phường Thanh Miếu, Phú Thọ
 0974075668
 </t>
  </si>
  <si>
    <t>S22693229.BO.DN8-E17.1545158352</t>
  </si>
  <si>
    <t>SAPO170973734_603550</t>
  </si>
  <si>
    <t>14:04, 12-07-2026</t>
  </si>
  <si>
    <t xml:space="preserve">Trần thị kiều
 87 trần lê phường hòa xuân, Phường Hòa Xuân, Phường Hòa Xuân, Đà Nẵng
 0338753044
 </t>
  </si>
  <si>
    <t>S22693229.BO.MN1-13-TP2.1126586501</t>
  </si>
  <si>
    <t>SAPO170973817_603550</t>
  </si>
  <si>
    <t xml:space="preserve">Vu Vuong
 149/6, Xã Gia Kiệm, Xã Gia Kiệm, Đồng Nai
 0987027504
 </t>
  </si>
  <si>
    <t>S22693229.BO.MT10-04-D45.1962630724</t>
  </si>
  <si>
    <t>SAPO170973896_603550</t>
  </si>
  <si>
    <t xml:space="preserve">Thu Hà
 271/2 Tăng Bạt Hổ, Phường Quy Nhơn, Phường Quy Nhơn, Gia Lai
 0944052211
 </t>
  </si>
  <si>
    <t>S22693229.MB5-14-B17.1483067615</t>
  </si>
  <si>
    <t>SAPO170974056_603550</t>
  </si>
  <si>
    <t>15:20, 11-07-2026</t>
  </si>
  <si>
    <t xml:space="preserve">Đặng Thị Huyền
 TDP Lường, Phường Thượng Hồng, Phường Thượng Hồng, Hưng Yên
 0356236727
 </t>
  </si>
  <si>
    <t>S22693229.BO.MT19-01-A11.1928740734</t>
  </si>
  <si>
    <t>SAPO170974402_603550</t>
  </si>
  <si>
    <t xml:space="preserve">Trương Bảo KHuê
 30/1 Trần Nhật Duật, Phường Cam Ly - Đà Lạt, Phường Cam Ly - Đà Lạt, Lâm Đồng
 0399930015
 </t>
  </si>
  <si>
    <t>S22693229.BO.SGP65-W47.1279883967</t>
  </si>
  <si>
    <t>SAPO170974475_603550</t>
  </si>
  <si>
    <t>16:56, 10-07-2026</t>
  </si>
  <si>
    <t xml:space="preserve">Ngoc
 76 Ngô nhân tịnh, Phường Chợ Lớn, Phường Chợ Lớn, TP Hồ Chí Minh
 0936077077
 </t>
  </si>
  <si>
    <t>S22693229.BO.MT5-03-C1.1864812384</t>
  </si>
  <si>
    <t>SAPO170974520_603550</t>
  </si>
  <si>
    <t xml:space="preserve">Hoàng Thị Diệu Hương
 Khối phố 1, Phường Quảng Trị, Phường Quảng Trị, Quảng Trị
 0914246595
 </t>
  </si>
  <si>
    <t>S22693229.BO.MT17-25-G03.1063347531</t>
  </si>
  <si>
    <t>SAPO170974555_603550</t>
  </si>
  <si>
    <t xml:space="preserve">Đỗ Thị Thanh Nga
 379 Lê Duẩn, Phường Ea Kao, Phường Ea Kao, Đắk Lắk
 0942087387
 </t>
  </si>
  <si>
    <t>S22693229.MB26-28-K15.1553309858</t>
  </si>
  <si>
    <t>SAPO170974674_603550</t>
  </si>
  <si>
    <t>09:30, 08-07-2026</t>
  </si>
  <si>
    <t xml:space="preserve">C hoa
 26 nguueenx thái học, Phường Thành Vinh, Phường Thành Vinh, Nghệ An
 0945544688
 </t>
  </si>
  <si>
    <t>S22693229.MB9-02-M10.1247500421</t>
  </si>
  <si>
    <t>SAPO170975385_603550</t>
  </si>
  <si>
    <t xml:space="preserve">nguyễn thị huệ
 tdp kim 1, Xã Phượng Sơn, Huyện Lục Ngạn, Bắc Giang, Vietnam, Xã Lục Ngạn, Xã Lục Ngạn, Bắc Ninh
 0983938069
 </t>
  </si>
  <si>
    <t>S22693229.MB7-31-H17.1042783522</t>
  </si>
  <si>
    <t>SAPO170975695_603550</t>
  </si>
  <si>
    <t>09:31, 08-07-2026</t>
  </si>
  <si>
    <t>21:23, 11-07-2026</t>
  </si>
  <si>
    <t xml:space="preserve">Vũ Tuấn
 Thôn 2, Xã Đông Sơn, Huyện Thủy Nguyên, Hải Phòng, Vietnam, Phường Thủy Nguyên, Phường Thủy Nguyên, Hải Phòng
 0982774612
 </t>
  </si>
  <si>
    <t>S22693229.HNP132-A6.1260965556</t>
  </si>
  <si>
    <t>SAPO170978463_603550</t>
  </si>
  <si>
    <t>09:34, 08-07-2026</t>
  </si>
  <si>
    <t>18:19, 12-07-2026</t>
  </si>
  <si>
    <t xml:space="preserve">Trần Thị Đức
 Số nhà 6xóm 18 cổng hạ,Thôn Tiên Tảo, Xã Đa Phúc, Xã Đa Phúc, Hà Nội
 0904944880
 </t>
  </si>
  <si>
    <t>S22693229.MB10-02-B2.1673410662</t>
  </si>
  <si>
    <t>SAPO170978464_603550</t>
  </si>
  <si>
    <t>11:54, 12-07-2026</t>
  </si>
  <si>
    <t xml:space="preserve">Trần Sơn
 Đại đội 6 Yên Tử, Phường Yên Tử, Phường Yên Tử, Quảng Ninh
 0819591949
 </t>
  </si>
  <si>
    <t>S22693229.MB9-03-C16.1963845076</t>
  </si>
  <si>
    <t>SAPO170978461_603550</t>
  </si>
  <si>
    <t xml:space="preserve">Nguyễn Thị Hà
 Tam sơn thường thắng, Xã Hợp Thịnh, Xã Hợp Thịnh, Bắc Ninh
 0987863651
 </t>
  </si>
  <si>
    <t>S22693229.BO.DN7-M8.1721471054</t>
  </si>
  <si>
    <t>SAPO170992526_603550</t>
  </si>
  <si>
    <t>09:50, 08-07-2026</t>
  </si>
  <si>
    <t>16:46, 11-07-2026</t>
  </si>
  <si>
    <t xml:space="preserve">Trang
 trường CNTT .470 Đường Trần Đại Nghĩa, Phường Ngũ Hành Sơn, Phường Ngũ Hành Sơn, Đà Nẵng, Phường Ngũ Hành Sơn, Phường Ngũ Hành Sơn, Đà Nẵng
 0835795868
 </t>
  </si>
  <si>
    <t>S22693229.BO.SG11-03-C38.1781672882</t>
  </si>
  <si>
    <t>SAPO171010202_603550</t>
  </si>
  <si>
    <t>10:14, 08-07-2026</t>
  </si>
  <si>
    <t>11:31, 12-07-2026</t>
  </si>
  <si>
    <t xml:space="preserve">Bùi Thùy Trang
 A2/4H, ấp 1, Xã Vĩnh Lộc, Xã Vĩnh Lộc, TP Hồ Chí Minh
 0906321595
 </t>
  </si>
  <si>
    <t>S22693229.HNP137-S5.1949230569</t>
  </si>
  <si>
    <t>SAPO171010707_603550</t>
  </si>
  <si>
    <t>17:15, 11-07-2026</t>
  </si>
  <si>
    <t xml:space="preserve">Mẹ của Tít đâyy !!!
 Số 30 Xóm Giếng, Tam Nông 2, Dị Nậu, Thạch Thất, Hà Nội, Xã Tây Phương, Xã Tây Phương, Hà Nội
 0362157087
 </t>
  </si>
  <si>
    <t>S22693229.MB8-04-D14.1703978332</t>
  </si>
  <si>
    <t>SAPO171010800_603550</t>
  </si>
  <si>
    <t xml:space="preserve">Kim Thích Review
 Số 599, Khu Phố Sau, Phường Quế Võ, Phường Quế Võ, Bắc Ninh
 0888568228
 </t>
  </si>
  <si>
    <t>S22693229.MB25-18-K02.1497760478</t>
  </si>
  <si>
    <t>SAPO171011240_603550</t>
  </si>
  <si>
    <t>10:15, 08-07-2026</t>
  </si>
  <si>
    <t>17:34, 10-07-2026</t>
  </si>
  <si>
    <t xml:space="preserve">Mẹ có em Cam
 Số 10 Chu Đạt, Ước Ngoại, Xã Lưu Vệ, Xã Lưu Vệ, Thanh Hóa
 0337373782
 </t>
  </si>
  <si>
    <t>S22693229.BO.MT5-01-A8.1072451843</t>
  </si>
  <si>
    <t>SAPO171011259_603550</t>
  </si>
  <si>
    <t>14:13, 11-07-2026</t>
  </si>
  <si>
    <t xml:space="preserve">Kênh của Dịu
 89 Tôn Thất Thuyết, Phường Nam Đông Hà, Phường Nam Đông Hà, Quảng Trị
 0935027222
 </t>
  </si>
  <si>
    <t>S22693229.HNP47-M83.1070932541</t>
  </si>
  <si>
    <t>SAPO171011393_603550</t>
  </si>
  <si>
    <t>19:14, 10-07-2026</t>
  </si>
  <si>
    <t xml:space="preserve">Quỳnh Bếp Thơm
 97 Láng Hạ, Phường Đống Đa, Phường Đống Đa, Hà Nội
 0936339051
 </t>
  </si>
  <si>
    <t>S22693229.MB12-04-D4.1206293152</t>
  </si>
  <si>
    <t>SAPO171011528_603550</t>
  </si>
  <si>
    <t>16:04, 10-07-2026</t>
  </si>
  <si>
    <t xml:space="preserve">Mẹ Su vào bếp
 676, đường Chi Lăng, Xã Phù Ninh, Xã Phù Ninh, Phú Thọ
 0987040799
 </t>
  </si>
  <si>
    <t>S22693229.BO.HNP27-N64.1299959328</t>
  </si>
  <si>
    <t>SAPO171011552_603550</t>
  </si>
  <si>
    <t>16:09, 11-07-2026</t>
  </si>
  <si>
    <t xml:space="preserve">Trà Vào Bếp
 Toà S2.05 Vinhome Ocean Park, Xã Gia Lâm, Xã Gia Lâm, Hà Nội
 0965269996
 </t>
  </si>
  <si>
    <t>S22693229.HNP39-H21.1022400753</t>
  </si>
  <si>
    <t>SAPO171011601_603550</t>
  </si>
  <si>
    <t>10:16, 08-07-2026</t>
  </si>
  <si>
    <t>18:54, 11-07-2026</t>
  </si>
  <si>
    <t xml:space="preserve">Tít fam
 Tòa A, Masterise West Height, Vinhome Smart City, Phường Đại Mỗ, Phường Đại Mỗ, Hà Nội
 0375596002
 </t>
  </si>
  <si>
    <t>S22693229.MB13-04-C1.1462130385</t>
  </si>
  <si>
    <t>SAPO171011813_603550</t>
  </si>
  <si>
    <t>19:33, 11-07-2026</t>
  </si>
  <si>
    <t xml:space="preserve">Mẹ Nhím Gạo
 Ngõ 220 đường Khánh Thiện, Tổ Vĩnh Lim, Xã Chiêm Hóa, Xã Chiêm Hóa, Tuyên Quang
 0396382725
 </t>
  </si>
  <si>
    <t>S22693229.HNP48-L33-TRUONG.1715719785</t>
  </si>
  <si>
    <t>SAPO171012419_603550</t>
  </si>
  <si>
    <t xml:space="preserve">Chiếc bụng nước
 Lô 5D-16 Cụm làm nghề Triều khúc (in tuấn dung), Phường Thanh Liệt, Phường Thanh Liệt, Hà Nội
 0379838664
 </t>
  </si>
  <si>
    <t>S22693229.BO.HNP39-C20.1683036873</t>
  </si>
  <si>
    <t>SAPO171012442_603550</t>
  </si>
  <si>
    <t>12:41, 10-07-2026</t>
  </si>
  <si>
    <t xml:space="preserve">Mẹ đậu phộng đây
 Số 245 La Phù, Xã An Khánh, Xã An Khánh, Hà Nội
 0705259807
 </t>
  </si>
  <si>
    <t>S22693229.BO.SGP02-N09.1057244283</t>
  </si>
  <si>
    <t>SAPO171012477_603550</t>
  </si>
  <si>
    <t>15:01, 12-07-2026</t>
  </si>
  <si>
    <t xml:space="preserve">Mĩ Ziên
 206/20 đường số 20, Phường An Nhơn, Phường An Nhơn, TP Hồ Chí Minh
 0397332281
 </t>
  </si>
  <si>
    <t>S22693229.HNP46-C78.1909590697</t>
  </si>
  <si>
    <t>SAPO171120968_603550</t>
  </si>
  <si>
    <t>13:12, 08-07-2026</t>
  </si>
  <si>
    <t>17:51, 10-07-2026</t>
  </si>
  <si>
    <t xml:space="preserve">Đinh Hà
 Nhà số 3 khu cc 7 tầng, ngõ 198 Trần Cung, Cổ Nhuế 1, Bắc Từ Liêm, Phường Nghĩa Đô, Phường Nghĩa Đô, Hà Nội
 0966776826
 </t>
  </si>
  <si>
    <t>S22693229.HNP83-D3.1640223410</t>
  </si>
  <si>
    <t>SAPO171120967_603550</t>
  </si>
  <si>
    <t>16:44, 10-07-2026</t>
  </si>
  <si>
    <t xml:space="preserve">Nguyễn Thị Hải Yến
 Tầng 7 tòa nhà Hapro 11B Bích Câu - Ô Chợ Dừa - Hà Nội, Phường Văn Miếu - Quốc Tử Giám, Phường Văn Miếu - Quốc Tử Giám, Hà Nội
 0906262998
 </t>
  </si>
  <si>
    <t>S22693229.HNP74-G180.1649675315</t>
  </si>
  <si>
    <t>SAPO171120969_603550</t>
  </si>
  <si>
    <t>12:28, 10-07-2026</t>
  </si>
  <si>
    <t xml:space="preserve">Mai Thanh Huyền
 38 ngõ 433 kim ngưu, Phường Vĩnh Tuy, Phường Vĩnh Tuy, Hà Nội
 0983270987
 </t>
  </si>
  <si>
    <t>S22693229.HNP107-I34.1444927242</t>
  </si>
  <si>
    <t>SAPO171120966_603550</t>
  </si>
  <si>
    <t>18:04, 11-07-2026</t>
  </si>
  <si>
    <t xml:space="preserve">Kim anh
 165 Mai dịch nhà công vụ, Phường Nghĩa Đô, Phường Nghĩa Đô, Hà Nội
 0387101978
 </t>
  </si>
  <si>
    <t>S22693229.BO.MN17-03-D33.1535843344</t>
  </si>
  <si>
    <t>SAPO171124367_603550</t>
  </si>
  <si>
    <t>13:16, 08-07-2026</t>
  </si>
  <si>
    <t>16:10, 11-07-2026</t>
  </si>
  <si>
    <t xml:space="preserve">Thuý Hồng
 Cty Việt Úc, Xã Vĩnh Hậu, Xã Vĩnh Hậu, Cà Mau
 0972998636
 </t>
  </si>
  <si>
    <t>S22693229.MN5-04-C22.1770507437</t>
  </si>
  <si>
    <t>SAPO171124468_603550</t>
  </si>
  <si>
    <t>15:55, 10-07-2026</t>
  </si>
  <si>
    <t xml:space="preserve">Nguyễn Thanh Thuỷ
 chợ Phước long, Phường Phước Long, Phường Phước Long, Đồng Nai
 0918604646
 </t>
  </si>
  <si>
    <t>S22693229.BO.MT17-25-G02.1192161743</t>
  </si>
  <si>
    <t>SAPO171143861_603550</t>
  </si>
  <si>
    <t>13:33, 08-07-2026</t>
  </si>
  <si>
    <t>12:15, 12-07-2026</t>
  </si>
  <si>
    <t xml:space="preserve">Lệ Huyền
 271/35 Lê Duẫn, Phường Ea Kao, Phường Ea Kao, Đắk Lắk
 0981121840
 </t>
  </si>
  <si>
    <t>S22693229.BO.MT12-09-O72.1489934724</t>
  </si>
  <si>
    <t>SAPO171143856_603550</t>
  </si>
  <si>
    <t>16:51, 11-07-2026</t>
  </si>
  <si>
    <t xml:space="preserve">Phạm Doan
 Cty may mặc đồ bơi thống nhất khu công nghiệp suối dầu huyện cam lâm tỉnh khánh Hòa, Xã Suối Dầu, Xã Suối Dầu, Khánh Hòa
 0978092241
 </t>
  </si>
  <si>
    <t>S22693229.BO.MT12-21-X83.1489055181</t>
  </si>
  <si>
    <t>SAPO171144115_603550</t>
  </si>
  <si>
    <t>12:14, 10-07-2026</t>
  </si>
  <si>
    <t xml:space="preserve">Lê Thị Hồng Thắm
 51/19/7 Tuệ Tĩnh, Phường Nha Trang, Phường Nha Trang, Khánh Hòa
 0983240988
 </t>
  </si>
  <si>
    <t>S22693229.BO.MN3-05-H72.1665156863</t>
  </si>
  <si>
    <t>SAPO171144418_603550</t>
  </si>
  <si>
    <t>11:46, 10-07-2026</t>
  </si>
  <si>
    <t xml:space="preserve">Ngọc Trí
 1151/45 đường 30/4 Đường 30 Tháng 4, Phường Phước Thắng, Phường Phước Thắng, TP Hồ Chí Minh, Phường Phước Thắng, Phường Phước Thắng, TP Hồ Chí Minh
 0908217464
 </t>
  </si>
  <si>
    <t>S22693229.MB6-14-C7.1004017918</t>
  </si>
  <si>
    <t>SAPO171150935_603550</t>
  </si>
  <si>
    <t>13:36, 08-07-2026</t>
  </si>
  <si>
    <t xml:space="preserve">Nguyễn Văn Toàn
 Thị Tứ Xã Kim Thành Hải Phòng, Xã Kim Thành, Xã Kim Thành, Hải Phòng
 0981494986
 </t>
  </si>
  <si>
    <t>S22693229.BO.SGP34-K71.1642874038</t>
  </si>
  <si>
    <t>SAPO171150931_603550</t>
  </si>
  <si>
    <t>13:44, 11-07-2026</t>
  </si>
  <si>
    <t xml:space="preserve">Le Tuan
 HCMC, Phường Tân Thới Hiệp, Phường Tân Thới Hiệp, TP Hồ Chí Minh
 0902357956
 </t>
  </si>
  <si>
    <t>S22693229.MB3-02-B17.1982738862</t>
  </si>
  <si>
    <t>SAPO171150922_603550</t>
  </si>
  <si>
    <t>15:39, 11-07-2026</t>
  </si>
  <si>
    <t xml:space="preserve">Trần Chí Nguyện
 Khu 19, Xã Hải Thịnh, Xã Hải Thịnh, Ninh Bình
 0855733266
 </t>
  </si>
  <si>
    <t>S22693229.MB7-18-S2.1881564924</t>
  </si>
  <si>
    <t>SAPO171150917_603550</t>
  </si>
  <si>
    <t>21:03, 11-07-2026</t>
  </si>
  <si>
    <t xml:space="preserve">Nguyễn Thị Nga
 Chợ cầu vồng, Phường Đồ Sơn, Phường Đồ Sơn, Hải Phòng
 0362478488
 </t>
  </si>
  <si>
    <t>S22693229.BO.MT17-10-S11.1695103294</t>
  </si>
  <si>
    <t>SAPO171150936_603550</t>
  </si>
  <si>
    <t>20:04, 10-07-2026</t>
  </si>
  <si>
    <t xml:space="preserve">Phạm Thị Luyên
 Thôn 15 xã M'Đrắk tỉnh Daklak, Xã M’Drắk, Xã M’Drắk, Đắk Lắk
 0392789889
 </t>
  </si>
  <si>
    <t>S22693229.MB19-05-S7.1437726880</t>
  </si>
  <si>
    <t>SAPO171150927_603550</t>
  </si>
  <si>
    <t>14:19, 10-07-2026</t>
  </si>
  <si>
    <t xml:space="preserve">Nguyễn Duy Nhất
 Số nhà 192 đường Hoàng Quốc Viêt, tổ dân phố Trại, Phường Vạn Xuân, Phường Vạn Xuân, Thái Nguyên
 0915398145
 </t>
  </si>
  <si>
    <t>S22693229.MB10-24-N9.1327119913</t>
  </si>
  <si>
    <t>SAPO171150930_603550</t>
  </si>
  <si>
    <t>22:02, 10-07-2026</t>
  </si>
  <si>
    <t xml:space="preserve">Trần Trung
 Nam, Phường Hạ Long, Phường Hạ Long, Quảng Ninh
 0393901666
 </t>
  </si>
  <si>
    <t>S22693229.BO.MT18-06-G1.1919706459</t>
  </si>
  <si>
    <t>SAPO171150933_603550</t>
  </si>
  <si>
    <t>21:05, 11-07-2026</t>
  </si>
  <si>
    <t xml:space="preserve">phạm trường dũng
 nam phú - nam đà - krông nô - đak nông, Xã Nam Đà, Xã Nam Đà, Lâm Đồng
 0968299039
 </t>
  </si>
  <si>
    <t>S22693229.MB11-05-H9.1998039966</t>
  </si>
  <si>
    <t>SAPO171151503_603550</t>
  </si>
  <si>
    <t>15:27, 11-07-2026</t>
  </si>
  <si>
    <t xml:space="preserve">Phùng Thị Bích
 Lạc ý, đồng tâm, vĩnh yên, vĩnh phúc, Phường Vĩnh Yên, Phường Vĩnh Yên, Phú Thọ
 0989541774
 </t>
  </si>
  <si>
    <t>S22693229.BO.SGP39-Q28.1876256565</t>
  </si>
  <si>
    <t>SAPO171151991_603550</t>
  </si>
  <si>
    <t>13:37, 08-07-2026</t>
  </si>
  <si>
    <t>13:43, 11-07-2026</t>
  </si>
  <si>
    <t xml:space="preserve">Nguyễn Thị Minh Nguyệt
 52 Mạc Thị Bưởi, Phường Sài Gòn, Phường Sài Gòn, TP Hồ Chí Minh
 0965591692
 </t>
  </si>
  <si>
    <t>S22693229.BO.DN17-I18.1895664140</t>
  </si>
  <si>
    <t>SAPO171152243_603550</t>
  </si>
  <si>
    <t xml:space="preserve">giang nguyen
 323 nguyễn văn linh, Phường Thanh Khê, Phường Thanh Khê, Đà Nẵng
 0906140887
 </t>
  </si>
  <si>
    <t>S22693229.BO.DN8-E4.1796260310</t>
  </si>
  <si>
    <t>SAPO171152353_603550</t>
  </si>
  <si>
    <t xml:space="preserve">Thanh Hin
 CN Cty Cp vận tải và TM Vitranimex tại Tp Đà Nẵng, QL 1A, thôn Nhơn Thọ 2, Phường Hòa Xuân, Phường Hòa Xuân, Đà Nẵng
 0983372455
 </t>
  </si>
  <si>
    <t>S22693229.BO.SG11-03-A6.1651198539</t>
  </si>
  <si>
    <t>SAPO171168582_603550</t>
  </si>
  <si>
    <t>13:50, 08-07-2026</t>
  </si>
  <si>
    <t>15:29, 11-07-2026</t>
  </si>
  <si>
    <t xml:space="preserve">Nguyễn Thị Thảo Nguyên
 E15/32/1F, ấp 5, xã Vĩnh Lộc B, huyện Bình Chánh, TPHCM, Xã Tân Vĩnh Lộc, Xã Tân Vĩnh Lộc, TP Hồ Chí Minh
 0369549449
 </t>
  </si>
  <si>
    <t>S22693229.MB5-13-M2.1298636357</t>
  </si>
  <si>
    <t>giao 1p thu 1p584873594066208305</t>
  </si>
  <si>
    <t>13:51, 08-07-2026</t>
  </si>
  <si>
    <t xml:space="preserve">Hoàng Minh Tuynh
 Đồng Tiến, Khoái Châu 
Đồng Tiến,Khoái Châu,Hưng Yên,Việt Nam, Xã Việt Tiến, Xã Việt Tiến, Hưng Yên
 0922767766
 </t>
  </si>
  <si>
    <t>S22693229.BO.MT16-02-A23.1744730128</t>
  </si>
  <si>
    <t>giao 1p thu 1p584864730622232249</t>
  </si>
  <si>
    <t>14:36, 12-07-2026</t>
  </si>
  <si>
    <t xml:space="preserve">Nhi Pham
 240 Đ. Hùng Vương, Thành phố Pleiku 
Hội Thương,Pleiku,Gia Lai,Việt Nam, Phường Pleiku, Phường Pleiku, Gia Lai
 0979571278
 </t>
  </si>
  <si>
    <t>S22693229.BO.HNP27-N70.1726409497</t>
  </si>
  <si>
    <t>giao 1p thu 1p584868833108985666</t>
  </si>
  <si>
    <t xml:space="preserve">thảo
 số 15.ngõ 90.đường Ỷ Lan 
Phu Thi,Gia Lâm,Hà Nội,Việt Nam, Xã Gia Lâm, Xã Gia Lâm, Hà Nội
 0377996557
 </t>
  </si>
  <si>
    <t>S22693229.MB8-02-B10.1347176394</t>
  </si>
  <si>
    <t>giao 1p thu 1p584379683419555153</t>
  </si>
  <si>
    <t xml:space="preserve">chymxjnh
 Rích gạo-phù chẩn-từ sơn-bắc ninh, Phường Từ Sơn, Phường Từ Sơn, Bắc Ninh
 0396770897
 </t>
  </si>
  <si>
    <t>S22693229.BO.MT10-04-D71.1972164678</t>
  </si>
  <si>
    <t>SAPO171242547_603550</t>
  </si>
  <si>
    <t>14:45, 08-07-2026</t>
  </si>
  <si>
    <t xml:space="preserve">Hồ Văn Ban
 25/54B Nguyễn Văn Trỗi, phường Quy Nhơn Nam, Phường Quy Nhơn Nam, Phường Quy Nhơn Nam, Gia Lai
 0983170390
 </t>
  </si>
  <si>
    <t>S22693229.MB3-01-A11.1615798321</t>
  </si>
  <si>
    <t>ĐƠN ĐỔI THU HỒI BÀN LÀ 9166 ESO3183062</t>
  </si>
  <si>
    <t>15:24, 08-07-2026</t>
  </si>
  <si>
    <t xml:space="preserve">Bui Dieu Huyen
 22/75 Đường Văn Cao, Phường Nam Định, Phường Nam Định, Ninh Bình, Phường Nam Định, Phường Nam Định, Ninh Bình
 0912349819
 </t>
  </si>
  <si>
    <t>S22693229.MB26-06-H2.1462329509</t>
  </si>
  <si>
    <t>SAPO171279418_603550</t>
  </si>
  <si>
    <t>15:30, 08-07-2026</t>
  </si>
  <si>
    <t>14:00, 11-07-2026</t>
  </si>
  <si>
    <t xml:space="preserve">Nguyễn Thị THương
 Trường Tiểu Học Trung Phúc Cường 2, Xã Thiên Nhẫn, Xã Thiên Nhẫn, Nghệ An
 0396970521
 </t>
  </si>
  <si>
    <t>S22693229.HNP118-A6.1184017305</t>
  </si>
  <si>
    <t>SAPO171279420_603550</t>
  </si>
  <si>
    <t xml:space="preserve">Hoàng Thị Luyến
 Tổ 28 thị trấn đông anh ( Nhà máy in sách giáo khoa), Xã Phúc Thịnh, Xã Phúc Thịnh, Hà Nội
 0989778532
 </t>
  </si>
  <si>
    <t>S22693229.BO.HNP118-A6.1859942442</t>
  </si>
  <si>
    <t>SAPO171279417_603550</t>
  </si>
  <si>
    <t>S22693229.MB25-14-E4.1099460986</t>
  </si>
  <si>
    <t>ĐƠN ĐỔI THU HỒI MÁY XAY 9215PG ESO3124698</t>
  </si>
  <si>
    <t>17:07, 08-07-2026</t>
  </si>
  <si>
    <t xml:space="preserve">Hướng Dương
 đường số 7 Phu Huệ, Xã Trung Chính, Xã Trung Chính, Thanh Hóa, Xã Trung Chính, Xã Trung Chính, Thanh Hóa
 0984172686
 </t>
  </si>
  <si>
    <t>S22693229.BO.DN17-I3.1400868180</t>
  </si>
  <si>
    <t>SAPO171674114_603550</t>
  </si>
  <si>
    <t>08:28, 09-07-2026</t>
  </si>
  <si>
    <t>17:47, 11-07-2026</t>
  </si>
  <si>
    <t xml:space="preserve">Võ Bảo Yên
 K503/12 Trưng Nữ Vương, Phường Hòa Cường, Phường Hòa Cường, Đà Nẵng
 0826539597
 </t>
  </si>
  <si>
    <t>S22693229.HNP05-Y81.1236013899</t>
  </si>
  <si>
    <t>SAPO171678234_603550</t>
  </si>
  <si>
    <t>08:30, 09-07-2026</t>
  </si>
  <si>
    <t>19:49, 11-07-2026</t>
  </si>
  <si>
    <t xml:space="preserve">Phạm lan phương
 84/211 Khương trung, Phường Khương Đình, Phường Khương Đình, Hà Nội
 0916558186
 </t>
  </si>
  <si>
    <t>S22693229.HNP25-F104.1769245163</t>
  </si>
  <si>
    <t>SAPO171691418_603550</t>
  </si>
  <si>
    <t>08:40, 09-07-2026</t>
  </si>
  <si>
    <t xml:space="preserve">Hạnh bùi
 Số 47 ngõ 105 phố yên hoà, Phường Yên Hòa, Phường Yên Hòa, Hà Nội
 0915653880
 </t>
  </si>
  <si>
    <t>S22693229.HNP47-M128.1496614667</t>
  </si>
  <si>
    <t>SAPO171691424_603550</t>
  </si>
  <si>
    <t xml:space="preserve">Vũ Phương Thảo
 Cầu thang 2 khu tập thể B3 phố Trần Huy Liệu, Phường Giảng Võ, Phường Giảng Võ, Hà Nội
 0975052793
 </t>
  </si>
  <si>
    <t>S22693229.HNP05-G33.1798119701</t>
  </si>
  <si>
    <t>SAPO171692998_603550</t>
  </si>
  <si>
    <t>08:41, 09-07-2026</t>
  </si>
  <si>
    <t>16:44, 11-07-2026</t>
  </si>
  <si>
    <t xml:space="preserve">Đặng Ngọc Bình
 Số 13 Ngõ 72/136 Nguyễn Trãi - Thanh Xuân - Hà Nội, Phường Khương Đình, Phường Khương Đình, Hà Nội
 0913234522
 </t>
  </si>
  <si>
    <t>S22693229.MN1-11-F12.1643564807</t>
  </si>
  <si>
    <t>SAPO171695404_603550</t>
  </si>
  <si>
    <t>08:43, 09-07-2026</t>
  </si>
  <si>
    <t>17:30, 10-07-2026</t>
  </si>
  <si>
    <t xml:space="preserve">Dũng Trương
 130 khu phố 114, Xã Định Quán, Xã Định Quán, Đồng Nai
 0918354502
 </t>
  </si>
  <si>
    <t>S22693229.SGP01-M19.1746414175</t>
  </si>
  <si>
    <t>SAPO171695419_603550</t>
  </si>
  <si>
    <t>18:48, 10-07-2026</t>
  </si>
  <si>
    <t xml:space="preserve">Lê Đức Khôi
 1264/49a phường An Hội Đông, TPHCM, Phường An Hội Đông, Phường An Hội Đông, TP Hồ Chí Minh
 0964677275
 </t>
  </si>
  <si>
    <t>S22693229.MN1-14-T4.1901730319</t>
  </si>
  <si>
    <t>SAPO171695427_603550</t>
  </si>
  <si>
    <t xml:space="preserve">Lý Mục cú
 Tổ 2, khu phố 7, thi trân Vinh An, Xã Trị An, Xã Trị An, Đồng Nai
 0977896339
 </t>
  </si>
  <si>
    <t>S22693229.BO.SGP76-V57.1504157721</t>
  </si>
  <si>
    <t>SAPO171695405_603550</t>
  </si>
  <si>
    <t>14:25, 10-07-2026</t>
  </si>
  <si>
    <t xml:space="preserve">Hồng Phạm
 120/59 Thích Quảng Đức p4 Q phú nhuận, Phường Đức Nhuận, Phường Đức Nhuận, TP Hồ Chí Minh
 0909595213
 </t>
  </si>
  <si>
    <t>S22693229.MN16-05-N22.1984529069</t>
  </si>
  <si>
    <t>SAPO171695426_603550</t>
  </si>
  <si>
    <t xml:space="preserve">Nguyễn Ngọc Ngân
 Địa chỉ 100/3 ấp hòa an, Xã An Lạc Thôn, Xã An Lạc Thôn, Cần Thơ
 0939910970
 </t>
  </si>
  <si>
    <t>S22693229.BO.SG11-10-K18.1319788957</t>
  </si>
  <si>
    <t>SAPO171695415_603550</t>
  </si>
  <si>
    <t xml:space="preserve">Gia Khiem
 8.05 Citizen TS, đường 9A, Xã Bình Hưng, Xã Bình Hưng, TP Hồ Chí Minh
 0918411438
 </t>
  </si>
  <si>
    <t>S22693229.MN17-03-D41.1268948307</t>
  </si>
  <si>
    <t>SAPO171695416_603550</t>
  </si>
  <si>
    <t xml:space="preserve">yen
 ấp vĩnh lạc, Xã Vĩnh Hậu, Xã Vĩnh Hậu, Cà Mau
 0912716168
 </t>
  </si>
  <si>
    <t>S22693229.MT19-01-A05.1626592969</t>
  </si>
  <si>
    <t>SAPO171695401_603550</t>
  </si>
  <si>
    <t>18:43, 11-07-2026</t>
  </si>
  <si>
    <t xml:space="preserve">Nguyên Ngân
 chung cư yersin A, p404, Phường Xuân Hương - Đà Lạt, Phường Xuân Hương - Đà Lạt, Lâm Đồng
 0949564848
 </t>
  </si>
  <si>
    <t>S22693229.BO.MN1-08-H34.1441555021</t>
  </si>
  <si>
    <t>SAPO171695422_603550</t>
  </si>
  <si>
    <t xml:space="preserve">Nguyễn Thị Ngọc Linh
 22B Đường 3A Khu công nghiệp Biên Hòa 2, Phường Trấn Biên, Phường Trấn Biên, Đồng Nai
 0912206200
 </t>
  </si>
  <si>
    <t>S22693229.MT14-02-B91.1828056094</t>
  </si>
  <si>
    <t>SAPO171695410_603550</t>
  </si>
  <si>
    <t>14:04, 11-07-2026</t>
  </si>
  <si>
    <t xml:space="preserve">Đinh thị châm
 Thôn Thạnh Mỹ, Xã Tân Thành, Xã Tân Thành, Lâm Đồng
 0981901008
 </t>
  </si>
  <si>
    <t>S22693229.SG12-02-B24.1845986776</t>
  </si>
  <si>
    <t>SAPO171695402_603550</t>
  </si>
  <si>
    <t>14:41, 10-07-2026</t>
  </si>
  <si>
    <t xml:space="preserve">Thu
 1/144Q, Xã Hóc Môn, Xã Hóc Môn, TP Hồ Chí Minh
 0989431797
 </t>
  </si>
  <si>
    <t>S22693229.SGP47-V13.1695974877</t>
  </si>
  <si>
    <t>SAPO171695423_603550</t>
  </si>
  <si>
    <t>S22693229.SGP107-S39.1012062038</t>
  </si>
  <si>
    <t>SAPO171695418_603550</t>
  </si>
  <si>
    <t>15:15, 10-07-2026</t>
  </si>
  <si>
    <t xml:space="preserve">Hai Anh
 Cao ốc Thuận việt, 319 lý thường kiệt, Phường Phú Thọ, Phường Phú Thọ, TP Hồ Chí Minh
 0903303084
 </t>
  </si>
  <si>
    <t>S22693229.MN3-06-D15.1880355272</t>
  </si>
  <si>
    <t>SAPO171695406_603550</t>
  </si>
  <si>
    <t xml:space="preserve">Lê Thị Ánh Nguyệt
 15A Đinh Tiên Hoàng, Xã Ngãi Giao, Xã Ngãi Giao, TP Hồ Chí Minh
 0902979707
 </t>
  </si>
  <si>
    <t>S22693229.BO.DN10-G39.1966127690</t>
  </si>
  <si>
    <t>SAPO171695400_603550</t>
  </si>
  <si>
    <t>17:02, 11-07-2026</t>
  </si>
  <si>
    <t xml:space="preserve">Nguyễn Mai Thảo Ly
 119A Nguyễn Chí Thanh, Phường Hải Châu, Phường Hải Châu, Đà Nẵng
 0905022377
 </t>
  </si>
  <si>
    <t>S22693229.BO.MT19-01-A11.1931904359</t>
  </si>
  <si>
    <t>SAPO171695411_603550</t>
  </si>
  <si>
    <t xml:space="preserve">Nguyên
 04 Thánh Tâm phường 5 Dalat, Phường Cam Ly - Đà Lạt, Phường Cam Ly - Đà Lạt, Lâm Đồng
 0919233408
 </t>
  </si>
  <si>
    <t>S22693229.MN2-16-P10.1306365057</t>
  </si>
  <si>
    <t>SAPO171695424_603550</t>
  </si>
  <si>
    <t xml:space="preserve">Trang
 74a ấp Hoà Cường, Xã Minh Thạnh, Xã Minh Thạnh, TP Hồ Chí Minh
 0377362620
 </t>
  </si>
  <si>
    <t>S22693229.SGP15-H22.1619780783</t>
  </si>
  <si>
    <t>SAPO171695488_603550</t>
  </si>
  <si>
    <t>14:11, 10-07-2026</t>
  </si>
  <si>
    <t xml:space="preserve">Trịnh tuấn nghĩa
 Lô c chung cư mỹ phước 280/29 bùi hữu nghĩa p. Gia định hcm, Phường Gia Định, Phường Gia Định, TP Hồ Chí Minh
 0963871984
 </t>
  </si>
  <si>
    <t>S22693229.MN6-05-D41.1054900799</t>
  </si>
  <si>
    <t>SAPO171695541_603550</t>
  </si>
  <si>
    <t>18:35, 10-07-2026</t>
  </si>
  <si>
    <t xml:space="preserve">Nguyễn Huỳnh Mơ
 72 ấp chợ xã Long hựu đông huyện cần đước tỉnh Long An, Xã Long Hựu, Xã Long Hựu, Tây Ninh
 0911676645
 </t>
  </si>
  <si>
    <t>S22693229.SGP12-H61.1747543884</t>
  </si>
  <si>
    <t>SAPO171695635_603550</t>
  </si>
  <si>
    <t>19:09, 10-07-2026</t>
  </si>
  <si>
    <t xml:space="preserve">SƠN THỊ NGỌC ĐIỆP
 31/5 Ngô Đức Kế, Phường Bình Thạnh, Phường Bình Thạnh, TP Hồ Chí Minh
 0907887389
 </t>
  </si>
  <si>
    <t>S22693229.SGP43-M53.1316835347</t>
  </si>
  <si>
    <t>SAPO171696120_603550</t>
  </si>
  <si>
    <t xml:space="preserve">Duyên
 51 đường 30 p Cát Lái, Phường Cát Lái, Phường Cát Lái, TP Hồ Chí Minh
 0983525052
 </t>
  </si>
  <si>
    <t>S22693229.BO.SG11-03-C7.1052681170</t>
  </si>
  <si>
    <t>SAPO171696224_603550</t>
  </si>
  <si>
    <t xml:space="preserve">Hoa Đặng
 D8/27h hẻm Vật liệu Quang Phát -Đình Xuân Hòa đường Nữ Dân Công, Xã Vĩnh Lộc, Xã Vĩnh Lộc, TP Hồ Chí Minh
 0987244523
 </t>
  </si>
  <si>
    <t>S22693229.SGP45-V09.1058757852</t>
  </si>
  <si>
    <t>SAPO171696252_603550</t>
  </si>
  <si>
    <t xml:space="preserve">Chii Hoa
 22 phan đình phùng, Phường Tăng Nhơn Phú, Phường Tăng Nhơn Phú, TP Hồ Chí Minh
 0949269888
 </t>
  </si>
  <si>
    <t>S22693229.MN2-07-G31.1422877595</t>
  </si>
  <si>
    <t>SAPO171696413_603550</t>
  </si>
  <si>
    <t xml:space="preserve">Nguyễn Ngọc Tâm
 150/2 Quốc lộ 1K, chung cư Bcon Green View, Phường Đông Hòa, Phường Đông Hòa, TP Hồ Chí Minh
 0976239008
 </t>
  </si>
  <si>
    <t>S22693229.SGP12-H50.1434679411</t>
  </si>
  <si>
    <t>SAPO171696490_603550</t>
  </si>
  <si>
    <t>14:32, 10-07-2026</t>
  </si>
  <si>
    <t xml:space="preserve">Khang
 8Hoàng Hoa Thám, Phường 7, quận Bình Thạnh, Phường Gia Định, Phường Gia Định, TP Hồ Chí Minh
 0362464382
 </t>
  </si>
  <si>
    <t>S22693229.MN11-11-X12.1597599959</t>
  </si>
  <si>
    <t>SAPO171696594_603550</t>
  </si>
  <si>
    <t xml:space="preserve">Trang
 39 Xuân Hồng, Phường An Bình, Phường An Bình, Cần Thơ
 0969166200
 </t>
  </si>
  <si>
    <t>S22693229.MN5-05-T14.1203413083</t>
  </si>
  <si>
    <t>SAPO171696660_603550</t>
  </si>
  <si>
    <t>16:09, 10-07-2026</t>
  </si>
  <si>
    <t xml:space="preserve">CHUẨN NGUYỄN
 Tổ 5, Hưng Thịnh, Hưng Chiến, Bình Long, Bình Phước (nay là Hưng Chiến, Bình Long, Đồng Nai), Phường Bình Long, Phường Bình Long, Đồng Nai
 0349636645
 </t>
  </si>
  <si>
    <t>S22693229.BO.MT6-05-E06.1066585851</t>
  </si>
  <si>
    <t>SAPO171732019_603550</t>
  </si>
  <si>
    <t>09:18, 09-07-2026</t>
  </si>
  <si>
    <t xml:space="preserve">Mẫn
 123A Nguyễn Chí Thanh, Phường Phú Xuân, Phường Phú Xuân, Thành phố Huế
 0911394874
 </t>
  </si>
  <si>
    <t>S22693229.MB25-30-R1.1119550981</t>
  </si>
  <si>
    <t>SAPO171732029_603550</t>
  </si>
  <si>
    <t xml:space="preserve">Nguyễn Thị Là
 Khu cư xá Nhiệt điện Nghi Sơn 1, Phường Trúc Lâm, Phường Trúc Lâm, Thanh Hóa
 0982401723
 </t>
  </si>
  <si>
    <t>S22693229.MB5-04-D9.1919177905</t>
  </si>
  <si>
    <t>SAPO171732025_603550</t>
  </si>
  <si>
    <t>19:11, 11-07-2026</t>
  </si>
  <si>
    <t xml:space="preserve">Lê Đồng
 Sa Lung -Phù Ủng -Ân Thi-Hưng Yên, Xã Phạm Ngũ Lão, Xã Phạm Ngũ Lão, Hưng Yên
 0988473313
 </t>
  </si>
  <si>
    <t>S22693229.MB26-06-H5.1231870736</t>
  </si>
  <si>
    <t>SAPO171731992_603550</t>
  </si>
  <si>
    <t xml:space="preserve">Lê Thị Luyến
 Xóm 2 Đa Lộc, Xã Thiên Nhẫn, Xã Thiên Nhẫn, Nghệ An
 0338875103
 </t>
  </si>
  <si>
    <t>S22693229.MB16-01-A14.1546333758</t>
  </si>
  <si>
    <t>SAPO171732031_603550</t>
  </si>
  <si>
    <t xml:space="preserve">Lê Hà
 Tổ 5, Phường Tô Hiệu, Phường Tô Hiệu, Sơn La
 0983724929
 </t>
  </si>
  <si>
    <t>S22693229.MB25-16-U05.1691005500</t>
  </si>
  <si>
    <t>SAPO171732023_603550</t>
  </si>
  <si>
    <t>19:44, 10-07-2026</t>
  </si>
  <si>
    <t xml:space="preserve">Thuỳ dương
 Ct1 chung cư xuân mai, phường đông hải thành phố thanh hoá, Phường Hạc Thành, Phường Hạc Thành, Thanh Hóa
 0869684616
 </t>
  </si>
  <si>
    <t>S22693229.MB25-15-G9.1850074308</t>
  </si>
  <si>
    <t>SAPO171732024_603550</t>
  </si>
  <si>
    <t>07:26, 11-07-2026</t>
  </si>
  <si>
    <t xml:space="preserve">Hoàng Thị Thu
 Ubnd xã nông trường, triệu Sơn, Thanh Hoá, Xã An Nông, Xã An Nông, Thanh Hóa
 0936375667
 </t>
  </si>
  <si>
    <t>S22693229.HNP129-S49.1682736547</t>
  </si>
  <si>
    <t>SAPO171732038_603550</t>
  </si>
  <si>
    <t>21:24, 10-07-2026</t>
  </si>
  <si>
    <t xml:space="preserve">Hoàng Thị Duyên
 Thôn 7 - xóm Ngõ giữa- số nhà 30, Xã Hát Môn, Xã Hát Môn, Hà Nội
 0378467192
 </t>
  </si>
  <si>
    <t>S22693229.HNP27-N53.1734645255</t>
  </si>
  <si>
    <t>SAPO171732026_603550</t>
  </si>
  <si>
    <t>10:52, 11-07-2026</t>
  </si>
  <si>
    <t xml:space="preserve">Lan anh
 Kim lan - gia lâm- hà nội, Xã Bát Tràng, Xã Bát Tràng, Hà Nội
 0973654489
 </t>
  </si>
  <si>
    <t>S22693229.MB4-08-H13.1531789163</t>
  </si>
  <si>
    <t>SAPO171732008_603550</t>
  </si>
  <si>
    <t xml:space="preserve">Tung Vu
 Xóm 2 thôn vô ngại xã tam Quang huyện vũ thư tỉnh Thái Bình, Xã Vũ Thư, Xã Vũ Thư, Hưng Yên
 0976222926
 </t>
  </si>
  <si>
    <t>S22693229.MB25-15-G5.1941821717</t>
  </si>
  <si>
    <t>SAPO171732041_603550</t>
  </si>
  <si>
    <t>20:18, 11-07-2026</t>
  </si>
  <si>
    <t xml:space="preserve">Hà Ninh
 Trung tâm xã Vân Sơn, Triệu Sơn, Thanh Hoá, Xã Tân Ninh, Xã Tân Ninh, Thanh Hóa
 0902627323
 </t>
  </si>
  <si>
    <t>S22693229.HNP39-C28.1906935085</t>
  </si>
  <si>
    <t>SAPO171732006_603550</t>
  </si>
  <si>
    <t>18:42, 10-07-2026</t>
  </si>
  <si>
    <t xml:space="preserve">Nguyễn Nhàn
 Số 9 Nam Yên Lũng An Khánh Hà Nội, Xã An Khánh, Xã An Khánh, Hà Nội
 0967258365
 </t>
  </si>
  <si>
    <t>S22693229.HNP130-M67.1348151350</t>
  </si>
  <si>
    <t>SAPO171732035_603550</t>
  </si>
  <si>
    <t xml:space="preserve">Nguyễn Phú Thành
 Cạnh hiệu thuốc Ngọc Anh, dốc đê chợ Gồ, thôn Sơn Trung, Xã Quốc Oai, Xã Quốc Oai, Hà Nội
 0978181951
 </t>
  </si>
  <si>
    <t>S22693229.HNP124-T95.1589270002</t>
  </si>
  <si>
    <t>SAPO171731998_603550</t>
  </si>
  <si>
    <t>14:45, 10-07-2026</t>
  </si>
  <si>
    <t xml:space="preserve">LÊ HÀ THU
 42 NGÕ 377 ĐƯỜNG ĐẠI NGHĨA, Xã Mỹ Đức, Xã Mỹ Đức, Hà Nội
 0387371979
 </t>
  </si>
  <si>
    <t>S22693229.HNP119-E7.1384627136</t>
  </si>
  <si>
    <t>SAPO171732020_603550</t>
  </si>
  <si>
    <t xml:space="preserve">Nguyễn Đức Văn
 Chung cư CT1A Thôn Bầu Kim Chung Đông Anh HN, Xã Thiên Lộc, Xã Thiên Lộc, Hà Nội
 0973629196
 </t>
  </si>
  <si>
    <t>S22693229.BO.SGP104-S08.1149243016</t>
  </si>
  <si>
    <t>SAPO171732012_603550</t>
  </si>
  <si>
    <t>13:00, 12-07-2026</t>
  </si>
  <si>
    <t xml:space="preserve">Nguyễn trung Hiếu
 227/197 Nguyễn biểu, Phường Chợ Quán, Phường Chợ Quán, TP Hồ Chí Minh
 0934088955
 </t>
  </si>
  <si>
    <t>S22693229.MB25-21-K06.1915696520</t>
  </si>
  <si>
    <t>SAPO171732001_603550</t>
  </si>
  <si>
    <t>17:01, 10-07-2026</t>
  </si>
  <si>
    <t xml:space="preserve">Đinh tuyết nhung
 Thôn 1 Tân Sơn thị trấn kim Tân huyện thạch thành tỉnh thanh hoá, Xã Kim Tân, Xã Kim Tân, Thanh Hóa
 0373362356
 </t>
  </si>
  <si>
    <t>S22693229.MB25-27-S4.1784368889</t>
  </si>
  <si>
    <t>SAPO171731996_603550</t>
  </si>
  <si>
    <t>15:05, 10-07-2026</t>
  </si>
  <si>
    <t xml:space="preserve">Đỗ Thị Dung
 Khu 4 Thị trấn Lam Sơn Thọ Xuân, Xã Lam Sơn, Xã Lam Sơn, Thanh Hóa
 0918831676
 </t>
  </si>
  <si>
    <t>S22693229.HNP118-A16.1256570614</t>
  </si>
  <si>
    <t>SAPO171732021_603550</t>
  </si>
  <si>
    <t xml:space="preserve">Nguyễn Thị Mến
 Nhà sau cấp 1, Xã Thư Lâm, Xã Thư Lâm, Hà Nội
 0399480346
 </t>
  </si>
  <si>
    <t>S22693229.MB15-01-A3.1937877238</t>
  </si>
  <si>
    <t>SAPO171732039_603550</t>
  </si>
  <si>
    <t>19:27, 10-07-2026</t>
  </si>
  <si>
    <t xml:space="preserve">Thảo
 Số nhà 50, tổ 7, phường Quỳnh Lâm, thành phố Hòa Bình, tỉnh Hòa Bình, Phường Hòa Bình, Phường Hòa Bình, Phú Thọ
 0965177563
 </t>
  </si>
  <si>
    <t>S22693229.MB25-27-M9.1668831618</t>
  </si>
  <si>
    <t>SAPO171732034_603550</t>
  </si>
  <si>
    <t>11:47, 10-07-2026</t>
  </si>
  <si>
    <t xml:space="preserve">Cẩm Nhung
 Số 34, đinh liệt, Xã Thường Xuân, Xã Thường Xuân, Thanh Hóa
 0949322821
 </t>
  </si>
  <si>
    <t>S22693229.MB6-05-A20.1882936500</t>
  </si>
  <si>
    <t>SAPO171732004_603550</t>
  </si>
  <si>
    <t xml:space="preserve">Phạm minh thắng
 144 an thái, Phường Thành Đông, Phường Thành Đông, Hải Phòng
 0978222393
 </t>
  </si>
  <si>
    <t>S22693229.MB7-17-A39.1834674338</t>
  </si>
  <si>
    <t>SAPO171732022_603550</t>
  </si>
  <si>
    <t>21:02, 10-07-2026</t>
  </si>
  <si>
    <t xml:space="preserve">Trần Tuấn Dũng
 10/104 Tô Hiệu, Phường Lê Chân, Phường Lê Chân, Hải Phòng
 0962875109
 </t>
  </si>
  <si>
    <t>S22693229.BO.DN7-M11.1985247915</t>
  </si>
  <si>
    <t>SAPO171731997_603550</t>
  </si>
  <si>
    <t xml:space="preserve">hậu nguyễn
 37 Khái Tây 1, Ngũ Hành Sơn, Phường Ngũ Hành Sơn, Phường Ngũ Hành Sơn, Đà Nẵng
 0905771992
 </t>
  </si>
  <si>
    <t>S22693229.MB11-05-A1.1169938340</t>
  </si>
  <si>
    <t>SAPO171732033_603550</t>
  </si>
  <si>
    <t xml:space="preserve">Lê Chung
 số 392 Mê Linh, Phường Vĩnh Phúc, Phường Vĩnh Phúc, Phú Thọ
 0967661981
 </t>
  </si>
  <si>
    <t>S22693229.MB26-31-F3.1221347140</t>
  </si>
  <si>
    <t>SAPO171732009_603550</t>
  </si>
  <si>
    <t xml:space="preserve">Vo thi thu ha
 Xóm 2 tây diễn thọ diễn châu nghệ an, Xã Tân Châu, Xã Tân Châu, Nghệ An
 0969709537
 </t>
  </si>
  <si>
    <t>S22693229.MB25-18-S05.1879307309</t>
  </si>
  <si>
    <t>SAPO171732037_603550</t>
  </si>
  <si>
    <t>15:31, 11-07-2026</t>
  </si>
  <si>
    <t xml:space="preserve">Dương văn Triều
 Số nhà 120 .Đường 4A. Xã Tiên Trang, Xã Quảng Ninh, Xã Quảng Ninh, Thanh Hóa
 0965434309
 </t>
  </si>
  <si>
    <t>S22693229.BO.MT16-02-D15.1625714238</t>
  </si>
  <si>
    <t>SAPO171732481_603550</t>
  </si>
  <si>
    <t>19:07, 11-07-2026</t>
  </si>
  <si>
    <t xml:space="preserve">Dương Như Ánh
 18/11 Lương Ngọc Quyến, Phường Hội Phú, Phường Hội Phú, Gia Lai
 0988400007
 </t>
  </si>
  <si>
    <t>S22693229.MB10-24-N9.1362075483</t>
  </si>
  <si>
    <t>SAPO171732505_603550</t>
  </si>
  <si>
    <t>21:20, 11-07-2026</t>
  </si>
  <si>
    <t xml:space="preserve">Phạm Thị bích
 120 Minh Hà, Phường Hà Tu, Phường Hà Tu, Quảng Ninh
 0966688282
 </t>
  </si>
  <si>
    <t>S22693229.MB10-12-L2.1726452437</t>
  </si>
  <si>
    <t>SAPO171732547_603550</t>
  </si>
  <si>
    <t>09:19, 09-07-2026</t>
  </si>
  <si>
    <t>22:23, 12-07-2026</t>
  </si>
  <si>
    <t xml:space="preserve">đồng mai phương
 tổ 9 khu 6 phường giếng đáy, tỉnh quảng ninh, Phường Việt Hưng, Phường Việt Hưng, Quảng Ninh
 0989222113
 </t>
  </si>
  <si>
    <t>S22693229.MB8-04-D9.1508166238</t>
  </si>
  <si>
    <t>SAPO171732733_603550</t>
  </si>
  <si>
    <t>15:16, 11-07-2026</t>
  </si>
  <si>
    <t xml:space="preserve">Nguyễn Thị Hương Giang
 Xóm đông 5, Phường Bồng Lai, Phường Bồng Lai, Bắc Ninh
 0979078101
 </t>
  </si>
  <si>
    <t>S22693229.MB10-24-N3.1436246090</t>
  </si>
  <si>
    <t>SAPO171732902_603550</t>
  </si>
  <si>
    <t>22:16, 10-07-2026</t>
  </si>
  <si>
    <t xml:space="preserve">Trần thu trang
 Cửa hàng sắt Hưng pháp gần nhà nghỉ Mỹ nga Tổ 10 khu yết kiêu 5 ,, Phường Hồng Gai, Phường Hồng Gai, Quảng Ninh
 0984481896
 </t>
  </si>
  <si>
    <t>S22693229.MB6-10-E7.1730492323</t>
  </si>
  <si>
    <t>SAPO171732974_603550</t>
  </si>
  <si>
    <t xml:space="preserve">Phạm Thị Ái
 Đội 6- phúc tân - gia tân - gia lộc - Hải Dương, Xã Gia Lộc, Xã Gia Lộc, Hải Phòng
 0989393460
 </t>
  </si>
  <si>
    <t>S22693229.MB12-03-C15.1539227683</t>
  </si>
  <si>
    <t>SAPO171733031_603550</t>
  </si>
  <si>
    <t xml:space="preserve">Nguyễn Hoài
 Sn 156, Khu Phú Gia, Xã Thanh Sơn, Xã Thanh Sơn, Phú Thọ
 0977681771
 </t>
  </si>
  <si>
    <t>S22693229.HNP142-O15.1666440915</t>
  </si>
  <si>
    <t>SAPO171733128_603550</t>
  </si>
  <si>
    <t>17:44, 11-07-2026</t>
  </si>
  <si>
    <t xml:space="preserve">Đặng Thị Hồng Xoan
 KCN Ngọc Hồi xã Ngọc Hồi, Xã Ngọc Hồi, Xã Ngọc Hồi, Hà Nội
 0987815136
 </t>
  </si>
  <si>
    <t>S22693229.MB27-01-A37.1711458224</t>
  </si>
  <si>
    <t>SAPO171733562_603550</t>
  </si>
  <si>
    <t>14:55, 11-07-2026</t>
  </si>
  <si>
    <t xml:space="preserve">Nguyễn thị oanh
 Thôn 2, Xã Lộc Hà, Xã Lộc Hà, Hà Tĩnh
 0919897456
 </t>
  </si>
  <si>
    <t>S22693229.BO.MB7-14-TP9.1204705949</t>
  </si>
  <si>
    <t>SAPO171733645_603550</t>
  </si>
  <si>
    <t>17:11, 10-07-2026</t>
  </si>
  <si>
    <t xml:space="preserve">Hồng
 5A/100/229 Mieu Hai Xa, Phường Lê Chân, Phường Lê Chân, Hải Phòng
 0934572332
 </t>
  </si>
  <si>
    <t>S22693229.MB4-08-H13.1486604104</t>
  </si>
  <si>
    <t>SAPO171734059_603550</t>
  </si>
  <si>
    <t>09:20, 09-07-2026</t>
  </si>
  <si>
    <t xml:space="preserve">Hoa
 Xóm an lạc thôn an để xã thư trì tỉnh Hưng Yên, Xã Thư Trì, Xã Thư Trì, Hưng Yên
 0359901628
 </t>
  </si>
  <si>
    <t>S22693229.BO.DN10-G16.1902802694</t>
  </si>
  <si>
    <t>SAPO171734074_603550</t>
  </si>
  <si>
    <t>15:04, 11-07-2026</t>
  </si>
  <si>
    <t xml:space="preserve">Nguyễn Hữu Cường
 40 Thế Lữ, Phường An Hải, Phường An Hải, Đà Nẵng
 0905223886
 </t>
  </si>
  <si>
    <t>S22693229.HNP78-H5.1210117443</t>
  </si>
  <si>
    <t>SAPO171734970_603550</t>
  </si>
  <si>
    <t>09:21, 09-07-2026</t>
  </si>
  <si>
    <t xml:space="preserve">Lê đạt
 Chung cư CT1 Vân Canh, Sơn Đồng, Hà Nội, Xã Sơn Đồng, Xã Sơn Đồng, Hà Nội
 0366049804
 </t>
  </si>
  <si>
    <t>S22693229.HNP117-M4.1377269435</t>
  </si>
  <si>
    <t>SAPO171735003_603550</t>
  </si>
  <si>
    <t xml:space="preserve">Nguyễn Thị Oanh
 Lối thông khu 15 sang khu 17 thôn 9 cát quế hoài đức hn, Xã Dương Hòa, Xã Dương Hòa, Hà Nội
 0977824283
 </t>
  </si>
  <si>
    <t>S22693229.BO.HNP119-E5.1816548967</t>
  </si>
  <si>
    <t>SAPO171735012_603550</t>
  </si>
  <si>
    <t xml:space="preserve">Trần thị Bich
 Số nhà 1 ngách 11/3 xóm Đông thôn vệ xã Nam Hồng Đông Anh Hà Nội, Xã Phúc Thịnh, Xã Phúc Thịnh, Hà Nội
 0976644891
 </t>
  </si>
  <si>
    <t>S22693229.MB7-04-E10.1580393654</t>
  </si>
  <si>
    <t>SAPO171735059_603550</t>
  </si>
  <si>
    <t xml:space="preserve">Phạm Thị Thúy
 Số nhà 38 ngõ 34 khu3, Xã Tiên Lãng, Xã Tiên Lãng, Hải Phòng
 0989190156
 </t>
  </si>
  <si>
    <t>S22693229.BO.MT15-02-B41.1115987890</t>
  </si>
  <si>
    <t>SAPO171735120_603550</t>
  </si>
  <si>
    <t>20:28, 11-07-2026</t>
  </si>
  <si>
    <t xml:space="preserve">Mai Hoàng
 07, Nguyễn Văn Hoàng, Xã Bờ Y, Xã Bờ Y, Quảng Ngãi
 0383644890
 </t>
  </si>
  <si>
    <t>S22693229.MB7-15-Y23.1186836365</t>
  </si>
  <si>
    <t>SAPO171735326_603550</t>
  </si>
  <si>
    <t>09:22, 09-07-2026</t>
  </si>
  <si>
    <t>13:34, 12-07-2026</t>
  </si>
  <si>
    <t xml:space="preserve">Vũ Minh Thảo
 Số 50C/48/299- Bùi Thị, Phường Đông Hải, Phường Đông Hải, Hải Phòng
 0977341659
 </t>
  </si>
  <si>
    <t>S22693229.MB19-05-S7.1067330777</t>
  </si>
  <si>
    <t>SAPO171735553_603550</t>
  </si>
  <si>
    <t xml:space="preserve">Nguyễn Duy Nhất
 Số nhà 192, đường Hoàng Quốc Việt, Tân Hương, Phổ Yên, Thái Nguyên, Phường Vạn Xuân, Phường Vạn Xuân, Thái Nguyên
 0915398145
 </t>
  </si>
  <si>
    <t>S22693229.MB7-15-Y1.1258409881</t>
  </si>
  <si>
    <t>SAPO171736102_603550</t>
  </si>
  <si>
    <t>14:35, 11-07-2026</t>
  </si>
  <si>
    <t xml:space="preserve">Hương
 59/81 Nguyễn Trãi, Phường Gia Viên, Phường Gia Viên, Hải Phòng
 0904255012
 </t>
  </si>
  <si>
    <t>S22693229.MB7-15-Y14.1281359868</t>
  </si>
  <si>
    <t>SAPO171736236_603550</t>
  </si>
  <si>
    <t>13:46, 10-07-2026</t>
  </si>
  <si>
    <t xml:space="preserve">dương nguyễn
 số 9 lương khánh thiện, Phường Gia Viên, Phường Gia Viên, Hải Phòng
 0936518283
 </t>
  </si>
  <si>
    <t>S22693229.MB19-13-E8.1145510088</t>
  </si>
  <si>
    <t>SAPO171737373_603550</t>
  </si>
  <si>
    <t>09:23, 09-07-2026</t>
  </si>
  <si>
    <t>22:53, 10-07-2026</t>
  </si>
  <si>
    <t xml:space="preserve">Đào  Thị Kim Anb
 CÔNG TY TNHH THÉP NGỌC TUẤN SC, Phường Bách Quang, Phường Bách Quang, Thái Nguyên
 0988385669
 </t>
  </si>
  <si>
    <t>S22693229.MB4-02-B6.1060496034</t>
  </si>
  <si>
    <t>SAPO171737608_603550</t>
  </si>
  <si>
    <t>16:27, 11-07-2026</t>
  </si>
  <si>
    <t xml:space="preserve">Bùi thị diệu linh
 Trạm biến áp thôn đồng kỷ đông hải quỳnh phụ thái bình, Xã Quỳnh An, Xã Quỳnh An, Hưng Yên
 0352257482
 </t>
  </si>
  <si>
    <t>S22693229.MB16-01-A19.1458760933</t>
  </si>
  <si>
    <t>SAPO171737621_603550</t>
  </si>
  <si>
    <t>17:57, 10-07-2026</t>
  </si>
  <si>
    <t xml:space="preserve">Nguyễn Ngọc Sáng
 Tổ 4, Phường Chiềng Sinh, Phường Chiềng Sinh, Sơn La
 0356361808
 </t>
  </si>
  <si>
    <t>S22693229.MB2-03-C12.1000852843</t>
  </si>
  <si>
    <t>SAPO171737710_603550</t>
  </si>
  <si>
    <t>09:24, 09-07-2026</t>
  </si>
  <si>
    <t>18:27, 10-07-2026</t>
  </si>
  <si>
    <t xml:space="preserve">Trần thị ngọc hiên
 Xóm đồi bục thôn xuân long, Xã Gia Lâm, Xã Gia Lâm, Ninh Bình
 0329116220
 </t>
  </si>
  <si>
    <t>S22693229.BO.DN8-E14.1210595506</t>
  </si>
  <si>
    <t>SAPO171737775_603550</t>
  </si>
  <si>
    <t xml:space="preserve">Nguyễn Thị Mỹ Nhung
 153 Hoàng Hiệp, Phường Hòa Xuân, Phường Hòa Xuân, Đà Nẵng
 0935983334
 </t>
  </si>
  <si>
    <t>S22693229.HNP39-C16.1450913321</t>
  </si>
  <si>
    <t>SAPO171737856_603550</t>
  </si>
  <si>
    <t xml:space="preserve">Nguyễn Cường
 Tòa The Golden, Xã An Khánh, Xã An Khánh, Hà Nội
 0984672139
 </t>
  </si>
  <si>
    <t>S22693229.MB2-10-L8.1207524680</t>
  </si>
  <si>
    <t>SAPO171738241_603550</t>
  </si>
  <si>
    <t xml:space="preserve">CONG
 Sn:17 ngõ 345 đường phạm thận duật phố thiện tân phường nam hoa lư tỉnh ninh bình, Phường Nam Hoa Lư, Phường Nam Hoa Lư, Ninh Bình
 0916968566
 </t>
  </si>
  <si>
    <t>S22693229.MB13-01-A4.1368007406</t>
  </si>
  <si>
    <t>SAPO171738255_603550</t>
  </si>
  <si>
    <t xml:space="preserve">phạm thị thùy linh
 sn55, ngõ 217, đường trường chinh, Phường Minh Xuân, Phường Minh Xuân, Tuyên Quang
 0986085139
 </t>
  </si>
  <si>
    <t>S22693229.MB5-05-E2.1144847709</t>
  </si>
  <si>
    <t>SAPO171738381_603550</t>
  </si>
  <si>
    <t xml:space="preserve">Lê thị thơm
 Thôn 7, Xã Phụng Công, Xã Phụng Công, Hưng Yên
 0973189311
 </t>
  </si>
  <si>
    <t>S22693229.MB25-16-H10.1257174604</t>
  </si>
  <si>
    <t>SAPO171738548_603550</t>
  </si>
  <si>
    <t>09:25, 09-07-2026</t>
  </si>
  <si>
    <t>16:22, 11-07-2026</t>
  </si>
  <si>
    <t xml:space="preserve">Hồ Thị Hạnh
 Ngõ 63 vệ yên phường quảng thắng tp Thanh Hóa, Phường Đông Quang, Phường Đông Quang, Thanh Hóa
 0978443679
 </t>
  </si>
  <si>
    <t>S22693229.MB19-05-F2.1159002327</t>
  </si>
  <si>
    <t>SAPO171738577_603550</t>
  </si>
  <si>
    <t>14:52, 10-07-2026</t>
  </si>
  <si>
    <t xml:space="preserve">Nguyễn Thị Mai
 Tdp5, phường Vạn Xuân, Thái Nguyên, Phường Phổ Yên, Phường Phổ Yên, Thái Nguyên
 0912261181
 </t>
  </si>
  <si>
    <t>S22693229.MB11-03-C4.1626845983</t>
  </si>
  <si>
    <t>SAPO171738610_603550</t>
  </si>
  <si>
    <t xml:space="preserve">Nguyễn Thị Hương
 Số nhà 3 ngõ 4 đường Trần Hưng Đạo tổ 7 phường Trưng Trắc Phúc Yên Vĩnh Phúc, Phường Phúc Yên, Phường Phúc Yên, Phú Thọ
 0978785248
 </t>
  </si>
  <si>
    <t>S22693229.MB25-34-T16.1431646186</t>
  </si>
  <si>
    <t>SAPO171738629_603550</t>
  </si>
  <si>
    <t>18:21, 10-07-2026</t>
  </si>
  <si>
    <t xml:space="preserve">HOÀNG TÚ
 46 Triệu Quang Phục, phường Hạc Thành, tỉnh Thanh Hoá, Phường Hạc Thành, Phường Hạc Thành, Thanh Hóa
 0923878899
 </t>
  </si>
  <si>
    <t>S22693229.BO.MT4-04-D8.1965007294</t>
  </si>
  <si>
    <t>SAPO171738662_603550</t>
  </si>
  <si>
    <t xml:space="preserve">Nguyễn thị Hằng
 Thôn hoà thuận, xã tuyên bình, tỉnh quảng trị, Xã Tuyên Bình, Xã Tuyên Bình, Quảng Trị
 0888920506
 </t>
  </si>
  <si>
    <t>S22693229.MB6-02-B5.1737294691</t>
  </si>
  <si>
    <t>SAPO171738727_603550</t>
  </si>
  <si>
    <t>11:34, 10-07-2026</t>
  </si>
  <si>
    <t xml:space="preserve">Nguyễn Văn Lý
 KDC An Lĩnh, Phường Trần Hưng Đạo, Phường Trần Hưng Đạo, Hải Phòng
 0984366004
 </t>
  </si>
  <si>
    <t>S22693229.BO.MN3-01-A18.1274838374</t>
  </si>
  <si>
    <t>SAPO171738759_603550</t>
  </si>
  <si>
    <t>13:26, 12-07-2026</t>
  </si>
  <si>
    <t xml:space="preserve">Quốc Anh Nguyễn
 190/21/4 Bacu, Phường Vũng Tàu, Phường Vũng Tàu, TP Hồ Chí Minh
 0913863751
 </t>
  </si>
  <si>
    <t>S22693229.MB7-17-A13.1023285310</t>
  </si>
  <si>
    <t>SAPO171738771_603550</t>
  </si>
  <si>
    <t xml:space="preserve">Trần Hồng Nhung
 88 Đào Đô phường Thượng Lý quận Hồng Bàng Tp Hải Ôhngf, Phường Hồng Bàng, Phường Hồng Bàng, Hải Phòng
 0898685966
 </t>
  </si>
  <si>
    <t>S22693229.HNP141-T34.1197037189</t>
  </si>
  <si>
    <t>SAPO171738789_603550</t>
  </si>
  <si>
    <t xml:space="preserve">Oanh
 Số 6 đường hoà bình, dương tảo, vân tảo, thường tín, hà nội, Xã Hồng Vân, Xã Hồng Vân, Hà Nội
 0987476911
 </t>
  </si>
  <si>
    <t>S22693229.MB2-10-L37.1306501205</t>
  </si>
  <si>
    <t>SAPO171740161_603550</t>
  </si>
  <si>
    <t>09:27, 09-07-2026</t>
  </si>
  <si>
    <t>13:42, 11-07-2026</t>
  </si>
  <si>
    <t xml:space="preserve">Hoàng Văn Thủy
 Tòa nhà VNPT Ninh Bình (đường 30 tháng 6), Phường Hoa Lư, Phường Hoa Lư, Ninh Bình
 0913292086
 </t>
  </si>
  <si>
    <t>S22693229.MB23-01-B1.1312671252</t>
  </si>
  <si>
    <t>SAPO171740159_603550</t>
  </si>
  <si>
    <t>20:55, 12-07-2026</t>
  </si>
  <si>
    <t xml:space="preserve">Đao Bằng
 Khu 8, thị trấn Mường Tè, khuyện Mường Tè, tỉnh Lai Châu, Xã Mường Tè, Xã Mường Tè, Lai Châu
 0338262616
 </t>
  </si>
  <si>
    <t>S22693229.BO.DN10-G03.1532739332</t>
  </si>
  <si>
    <t>SAPO171740158_603550</t>
  </si>
  <si>
    <t>14:28, 11-07-2026</t>
  </si>
  <si>
    <t xml:space="preserve">Phạm Thủy Tiên
 91 Nguyễn Bỉnh Khiêm, Phường An Hải, Phường An Hải, Đà Nẵng
 0899102366
 </t>
  </si>
  <si>
    <t>S22693229.MB26-31-F4.1996015233</t>
  </si>
  <si>
    <t>SAPO171740154_603550</t>
  </si>
  <si>
    <t xml:space="preserve">Nguyễn thị huế
 Xóm yên xuân, Xã Diễn Châu, Xã Diễn Châu, Nghệ An
 0964466236
 </t>
  </si>
  <si>
    <t>S22693229.BO.DN10-G10.1473086103</t>
  </si>
  <si>
    <t>SAPO171740156_603550</t>
  </si>
  <si>
    <t>13:31, 11-07-2026</t>
  </si>
  <si>
    <t xml:space="preserve">Dương Thị Hồng Sen
 40/15/10 đặng vũ hỷ, Phường An Hải, Phường An Hải, Đà Nẵng
 0935015323
 </t>
  </si>
  <si>
    <t>S22693229.BO.MT5-03-C10.1977679367</t>
  </si>
  <si>
    <t>SAPO171744309_603550</t>
  </si>
  <si>
    <t>09:32, 09-07-2026</t>
  </si>
  <si>
    <t>14:30, 11-07-2026</t>
  </si>
  <si>
    <t xml:space="preserve">Trang Lê
 Cfe trang lê 61 ngô quyền, Phường Quảng Trị, Phường Quảng Trị, Quảng Trị
 0988998357
 </t>
  </si>
  <si>
    <t>S22693229.BO.MT4-01-A5.1488872372</t>
  </si>
  <si>
    <t>SAPO171744312_603550</t>
  </si>
  <si>
    <t>14:38, 11-07-2026</t>
  </si>
  <si>
    <t xml:space="preserve">Thanh Huyền Nguyễn
 01 Nguyễn thị Định TDP Mỹ Cảnh - Phường Đồng Hới -Tỉnh Quảng trị, Phường Đồng Hới, Phường Đồng Hới, Quảng Trị
 0914072396
 </t>
  </si>
  <si>
    <t>S22693229.MB26-09-N3.1390128310</t>
  </si>
  <si>
    <t>SAPO171744313_603550</t>
  </si>
  <si>
    <t>09:31, 10-07-2026</t>
  </si>
  <si>
    <t xml:space="preserve">Nguyễn Hải
 Xóm trường lĩnh (xóm 2 cũ) xã xuân lâm tỉnh Nghệ An, Xã Xuân Lâm, Xã Xuân Lâm, Nghệ An
 0394168830
 </t>
  </si>
  <si>
    <t>S22693229.HNP78-H8.1773341774</t>
  </si>
  <si>
    <t>SAPO171744320_603550</t>
  </si>
  <si>
    <t>17:11, 11-07-2026</t>
  </si>
  <si>
    <t xml:space="preserve">thương
 số nhà 45, Hậu Ái, Xã Sơn Đồng, Xã Sơn Đồng, Hà Nội
 0348307152
 </t>
  </si>
  <si>
    <t>S22693229.MB22-01-A6.1017685459</t>
  </si>
  <si>
    <t>SAPO171744322_603550</t>
  </si>
  <si>
    <t>17:41, 11-07-2026</t>
  </si>
  <si>
    <t xml:space="preserve">Minh Minh
 216. Lê đại hành. Kim Tân. Phường Lào Cai.tỉnh Lào Cai, Phường Lào Cai, Phường Lào Cai, Lào Cai
 0987167863
 </t>
  </si>
  <si>
    <t>S22693229.MB7-05-L1.1440992122</t>
  </si>
  <si>
    <t>SAPO171744319_603550</t>
  </si>
  <si>
    <t>18:53, 11-07-2026</t>
  </si>
  <si>
    <t xml:space="preserve">Thằng Cu Li
 Thôn 6 tân hưng xã vĩnh bảo hải phòng, Xã Vĩnh Bảo, Xã Vĩnh Bảo, Hải Phòng
 0962712220
 </t>
  </si>
  <si>
    <t>S22693229.HNP47-M73.1908986585</t>
  </si>
  <si>
    <t>SAPO171744310_603550</t>
  </si>
  <si>
    <t>18:15, 10-07-2026</t>
  </si>
  <si>
    <t xml:space="preserve">Bristish
 Chung cư CT3 Hoàng Cầu, Phường Ô Chợ Dừa, Phường Ô Chợ Dừa, Hà Nội
 0988006888
 </t>
  </si>
  <si>
    <t>S22693229.MB17-01-A10.1048797083</t>
  </si>
  <si>
    <t>SAPO171745017_603550</t>
  </si>
  <si>
    <t xml:space="preserve">Lã Đoàn
 87 Văn Vỉ  Vĩnh Trại, Phường Lương Văn Tri, Phường Lương Văn Tri, Lạng Sơn
 0389988228
 </t>
  </si>
  <si>
    <t>S22693229.MB5-04-D1.1925416318</t>
  </si>
  <si>
    <t>SAPO171745223_603550</t>
  </si>
  <si>
    <t xml:space="preserve">Nguyễn Luận
 Bình Cầu, Xuân Trúc, Hưng Yên, Xã Xuân Trúc, Xã Xuân Trúc, Hưng Yên
 0973949205
 </t>
  </si>
  <si>
    <t>S22693229.HNP83-D166.1408492330</t>
  </si>
  <si>
    <t>SAPO171745480_603550</t>
  </si>
  <si>
    <t>09:33, 09-07-2026</t>
  </si>
  <si>
    <t xml:space="preserve">Ngô Bao Tử
 Số 78 Ngõ 28 Đê La Thành Nhỏ, Phường Văn Miếu - Quốc Tử Giám, Phường Văn Miếu - Quốc Tử Giám, Hà Nội
 0904320133
 </t>
  </si>
  <si>
    <t>S22693229.MB19-15-L4.1748113200</t>
  </si>
  <si>
    <t>SAPO171745666_603550</t>
  </si>
  <si>
    <t>21:50, 10-07-2026</t>
  </si>
  <si>
    <t xml:space="preserve">Ha Thu Nguyen
 Bệnh viện Y học cổ truyền Thái Nguyên. Đường Quang Trung, phường Quyết Thắng, Thái Nguyên., Phường Quyết Thắng, Phường Quyết Thắng, Thái Nguyên
 0982248785
 </t>
  </si>
  <si>
    <t>S22693229.MB17-01-D10.1626282948</t>
  </si>
  <si>
    <t>SAPO171745745_603550</t>
  </si>
  <si>
    <t xml:space="preserve">Lý Phượng
 22 thôn 1 xã na sầm tỉnh Lạng Sơn, Xã Na Sầm, Xã Na Sầm, Lạng Sơn
 0382439026
 </t>
  </si>
  <si>
    <t>S22693229.BO.SGP02-N09.1274638564</t>
  </si>
  <si>
    <t>SAPO171745956_603550</t>
  </si>
  <si>
    <t xml:space="preserve">La Oanh
 304 lô A chung cư Ba son số 2 Lê Đức thọ, Phường Hạnh Thông, Phường Hạnh Thông, TP Hồ Chí Minh
 0973228819
 </t>
  </si>
  <si>
    <t>S22693229.HNP98-E10.1515264534</t>
  </si>
  <si>
    <t>SAPO171746059_603550</t>
  </si>
  <si>
    <t>09:34, 09-07-2026</t>
  </si>
  <si>
    <t xml:space="preserve">Phạm Thế Quảng
 396 Ngọc Thuỵ, Phường Bồ Đề, Phường Bồ Đề, Hà Nội
 0912881204
 </t>
  </si>
  <si>
    <t>S22693229.MB16-05-F3.1572875565</t>
  </si>
  <si>
    <t>SAPO171746375_603550</t>
  </si>
  <si>
    <t xml:space="preserve">Nguyễn Trọng Chinh
 Cửa hàng chinh huệ bản kiến xương, Xã Bình Thuận, Xã Bình Thuận, Sơn La
 0346871111
 </t>
  </si>
  <si>
    <t>S22693229.BO.MT15-06-G73.1816249398</t>
  </si>
  <si>
    <t>SAPO171746405_603550</t>
  </si>
  <si>
    <t xml:space="preserve">Nguyễn Hải Tiên
 D1/17 Vila Trần Phú, Phường Kon Tum, Phường Kon Tum, Quảng Ngãi
 0397087707
 </t>
  </si>
  <si>
    <t>S22693229.MB5-08-H8.1443859649</t>
  </si>
  <si>
    <t>SAPO171746601_603550</t>
  </si>
  <si>
    <t xml:space="preserve">Phạm Thị Hà
 Công ty may nam việt , thôn Dung, Xã Hoàng Hoa Thám, Xã Hoàng Hoa Thám, Hưng Yên
 0399062823
 </t>
  </si>
  <si>
    <t>S22693229.MB5-14-B4.1437815982</t>
  </si>
  <si>
    <t>đổi hàng 260703PCXJJ1TW</t>
  </si>
  <si>
    <t>10:13, 09-07-2026</t>
  </si>
  <si>
    <t>14:43, 11-07-2026</t>
  </si>
  <si>
    <t xml:space="preserve">vũ thị ngọc,
 TDP nguyễn xá, phường mỹ hảo, hưng yên, Phường Mỹ Hào, Phường Mỹ Hào, Hưng Yên
 0394302372
 </t>
  </si>
  <si>
    <t>S22693229.MB2-03-C7.1288969020</t>
  </si>
  <si>
    <t>đổi hàng260704S3427G32</t>
  </si>
  <si>
    <t>10:14, 09-07-2026</t>
  </si>
  <si>
    <t>19:22, 11-07-2026</t>
  </si>
  <si>
    <t xml:space="preserve">Khách hàng
 só 80 Đường lương văn tuỵ Xã nho quan Ninh bình, Xã Nho Quan, Xã Nho Quan, Ninh Bình
 0941966382
 </t>
  </si>
  <si>
    <t>S22693229.MB10-24-N9.1132520299</t>
  </si>
  <si>
    <t>đổi hàng 2607071MS2MSR8</t>
  </si>
  <si>
    <t>15:56, 12-07-2026</t>
  </si>
  <si>
    <t xml:space="preserve">Khách hàng
 sn 89 Khu Hồng Hà sáu , Hạ long, quảng ninh, Phường Hạ Long, Phường Hạ Long, Quảng Ninh
 0358669609
 </t>
  </si>
  <si>
    <t>S22693229.HNP134-P56.1639069235</t>
  </si>
  <si>
    <t>đổi hàng 260701GSP7C0NQ</t>
  </si>
  <si>
    <t>20:55, 11-07-2026</t>
  </si>
  <si>
    <t xml:space="preserve">Khách hàng
 Số 158 Đường xuân khanh Phường tùng thiện hà nội, Phường Tùng Thiện, Phường Tùng Thiện, Hà Nội
 0865423690
 </t>
  </si>
  <si>
    <t>S22693229.MB8-02-B24.1803221242</t>
  </si>
  <si>
    <t>đổi hàng 2606021YFHAAQU</t>
  </si>
  <si>
    <t>16:48, 11-07-2026</t>
  </si>
  <si>
    <t xml:space="preserve">Khách hàng
 Công ty mai phương tnhh - khu công nghiệp đại đồng - đại đồng - bắc ninh, Xã Đại Đồng, Xã Đại Đồng, Bắc Ninh
 0911872882
 </t>
  </si>
  <si>
    <t>S22693229.MB25-16-U04.1160339863</t>
  </si>
  <si>
    <t>bù hàng 26070722AUC7X8</t>
  </si>
  <si>
    <t xml:space="preserve">Khách hàng
 22 mai hắc đế, P. Hạc thành, tỉnh thanh hóa, Phường Hạc Thành, Phường Hạc Thành, Thanh Hóa
 0913245338
 </t>
  </si>
  <si>
    <t>S22693229.MB8-03-C1.1255763131</t>
  </si>
  <si>
    <t>đổi hàng 2607061H42HKQK</t>
  </si>
  <si>
    <t>10:15, 09-07-2026</t>
  </si>
  <si>
    <t>13:48, 11-07-2026</t>
  </si>
  <si>
    <t xml:space="preserve">Khách hàng
 thôn tú tháp, phường thuận thành, tỉnh bắc ninh, Phường Thuận Thành, Phường Thuận Thành, Bắc Ninh
 0868031306
 </t>
  </si>
  <si>
    <t>S22693229.HNP47-B173.1755169243</t>
  </si>
  <si>
    <t>đổi hàng 26070735NUBY4C</t>
  </si>
  <si>
    <t>14:57, 11-07-2026</t>
  </si>
  <si>
    <t xml:space="preserve">Khách hàng
 huyền phan sô nhà 26 ngõ 6a thành công phường giảng võ hà nội, Phường Giảng Võ, Phường Giảng Võ, Hà Nội
 0988746880
 </t>
  </si>
  <si>
    <t>S22693229.MB5-05-E15.1642420389</t>
  </si>
  <si>
    <t>bù hàng2606252WDG9UEH</t>
  </si>
  <si>
    <t>14:06, 11-07-2026</t>
  </si>
  <si>
    <t xml:space="preserve">Linh kiều
 ,14 san hô 2, vinhomes ocean park 2, xã nghĩa trụ, hưng yên, Xã Nghĩa Trụ, Xã Nghĩa Trụ, Hưng Yên
 0386956955
 </t>
  </si>
  <si>
    <t>S22693229.HNP107-C85.1865832459</t>
  </si>
  <si>
    <t>SAPO171852909_603550</t>
  </si>
  <si>
    <t>13:13, 09-07-2026</t>
  </si>
  <si>
    <t>23:12, 10-07-2026</t>
  </si>
  <si>
    <t xml:space="preserve">Hà trần
 N01T7 khu ngoại giao đoàn, Phường Xuân Đỉnh, Phường Xuân Đỉnh, Hà Nội
 0913033738
 </t>
  </si>
  <si>
    <t>S22693229.HNP23-A83.1837918049</t>
  </si>
  <si>
    <t>SAPO171852907_603550</t>
  </si>
  <si>
    <t>12:58, 11-07-2026</t>
  </si>
  <si>
    <t xml:space="preserve">Thùy Dương
 Nhà 106, ngõ 409/2 Kim Mã, Phường Ngọc Hà, Phường Ngọc Hà, Hà Nội
 0977490037
 </t>
  </si>
  <si>
    <t>S22693229.HNP98-E11.1854519876</t>
  </si>
  <si>
    <t>SAPO171852911_603550</t>
  </si>
  <si>
    <t>19:00, 10-07-2026</t>
  </si>
  <si>
    <t xml:space="preserve">Thạch chiến
 18a ngõ 298/26/59 ngọc Lâm Long Biên Hà Nội, Phường Bồ Đề, Phường Bồ Đề, Hà Nội
 0976561982
 </t>
  </si>
  <si>
    <t>S22693229.HNP92-F131.1103899915</t>
  </si>
  <si>
    <t>SAPO171853308_603550</t>
  </si>
  <si>
    <t xml:space="preserve">Ngô Hường
 Tòa nhà CT4 Vimeco, Đ. Tú Mỡ, Phường Yên Hòa, Phường Yên Hòa, Hà Nội
 0985066616
 </t>
  </si>
  <si>
    <t>S22693229.HNP107-C85.1713974244</t>
  </si>
  <si>
    <t>SAPO171853376_603550</t>
  </si>
  <si>
    <t>19:32, 11-07-2026</t>
  </si>
  <si>
    <t xml:space="preserve">Thao
 phòng 604, No1-T4 ngoại giao đoàn, Phường Nghĩa Đô, Phường Nghĩa Đô, Hà Nội
 0915183191
 </t>
  </si>
  <si>
    <t>S22693229.HNP99-K25.1863913839</t>
  </si>
  <si>
    <t>SAPO171853495_603550</t>
  </si>
  <si>
    <t>20:01, 10-07-2026</t>
  </si>
  <si>
    <t xml:space="preserve">Huyền
 Tòa k1 khu đô thị Việt Hưng, Phường Việt Hưng, Phường Việt Hưng, Hà Nội
 0788660666
 </t>
  </si>
  <si>
    <t>S22693229.MN1-04-Q2.1097128754</t>
  </si>
  <si>
    <t>SAPO171858131_603550</t>
  </si>
  <si>
    <t>13:18, 09-07-2026</t>
  </si>
  <si>
    <t>15:11, 10-07-2026</t>
  </si>
  <si>
    <t xml:space="preserve">Hoàng Thị Hồng
 Điện lực Trảng Bom, Số 2, Đường Ngô Quyền, Ấp 3, xã Trảng Bom, tỉnh Đồng Nai, Xã Trảng Bom, Xã Trảng Bom, Đồng Nai
 0938465597
 </t>
  </si>
  <si>
    <t>S22693229.MN11-11-S31.1187606283</t>
  </si>
  <si>
    <t>SAPO171858129_603550</t>
  </si>
  <si>
    <t>11:56, 11-07-2026</t>
  </si>
  <si>
    <t xml:space="preserve">Nguyễn Thị Kiều
 Z5, đường Lê Tấn Quốc, công ty 8, phường Hưng Phú, tp. Cần Thơ, Phường Hưng Phú, Phường Hưng Phú, Cần Thơ
 0946400955
 </t>
  </si>
  <si>
    <t>S22693229.MN6-02-C81.1153559916</t>
  </si>
  <si>
    <t>SAPO171858126_603550</t>
  </si>
  <si>
    <t xml:space="preserve">Chị Mỹ
 Khu dân cư ấp 6, D6 đường D10 ấp 6 xã thạnh đức, bến lức, long an, Xã Bình Đức, Xã Bình Đức, Tây Ninh
 0903702283
 </t>
  </si>
  <si>
    <t>S22693229.BO.DN16-H5.1125047495</t>
  </si>
  <si>
    <t>SAPO171858125_603550</t>
  </si>
  <si>
    <t xml:space="preserve">Phạm Thị Bình
 Lô 7 Trần Bích San,  (đối diện chợ Nam Ô), P. Hải Vân, TP Đà Nẵng, Phường Hải Vân, Phường Hải Vân, Đà Nẵng
 0931930177
 </t>
  </si>
  <si>
    <t>S22693229.BO.MT12-21-X74.1477275540</t>
  </si>
  <si>
    <t>SAPO171858130_603550</t>
  </si>
  <si>
    <t>16:01, 12-07-2026</t>
  </si>
  <si>
    <t xml:space="preserve">Phạm Ngọc Anh
 38/4 Hùng Vương, Phường Nha Trang, Phường Nha Trang, Khánh Hòa
 0976017003
 </t>
  </si>
  <si>
    <t>S22693229.SGP75-S71.1037591951</t>
  </si>
  <si>
    <t>SAPO171858136_603550</t>
  </si>
  <si>
    <t xml:space="preserve">Diễm Ly
 536/43/23/11E Âu Cơ, phường Bảy Hiền, Phường Bảy Hiền, Phường Bảy Hiền, TP Hồ Chí Minh
 0973712261
 </t>
  </si>
  <si>
    <t>S22693229.MN2-32-F71.1855956492</t>
  </si>
  <si>
    <t>SAPO171858135_603550</t>
  </si>
  <si>
    <t xml:space="preserve">Quỳnh Chi
 b8 , đường 24 visip2a , vĩnh tân , tân uyên , bình đương, Phường Vĩnh Tân, Phường Vĩnh Tân, TP Hồ Chí Minh
 0356019461
 </t>
  </si>
  <si>
    <t>S22693229.SGP15-H06.1595067319</t>
  </si>
  <si>
    <t>SAPO171858133_603550</t>
  </si>
  <si>
    <t>13:19, 09-07-2026</t>
  </si>
  <si>
    <t xml:space="preserve">Lê Anh Tuấn
 24/5/12 võ oanh, Phường Thạnh Mỹ Tây, Phường Thạnh Mỹ Tây, TP Hồ Chí Minh
 0909222448
 </t>
  </si>
  <si>
    <t>S22693229.MN1-08-H34.1691764612</t>
  </si>
  <si>
    <t>SAPO171858127_603550</t>
  </si>
  <si>
    <t>S22693229.BO.MT16-05-P11.1794452622</t>
  </si>
  <si>
    <t>SAPO171858285_603550</t>
  </si>
  <si>
    <t>18:14, 11-07-2026</t>
  </si>
  <si>
    <t xml:space="preserve">Hiệp Nguyễn
 23/6 Võ Duy Dương, Phường Thống Nhất, Phường Thống Nhất, Gia Lai
 0914731123
 </t>
  </si>
  <si>
    <t>S22693229.MN13-10-U12.1087209119</t>
  </si>
  <si>
    <t>SAPO171858321_603550</t>
  </si>
  <si>
    <t xml:space="preserve">Nguyễn Thị Thanh Tuyến
 KDC Nam Thủ Khoa Huân, Phường Châu Đốc, Phường Châu Đốc, An Giang
 0919926775
 </t>
  </si>
  <si>
    <t>S22693229.BO.DN17-I4.1242971359</t>
  </si>
  <si>
    <t>SAPO171858378_603550</t>
  </si>
  <si>
    <t>13:37, 12-07-2026</t>
  </si>
  <si>
    <t xml:space="preserve">Lôc trần
 25 nguyễn Phẩm, Phường Hòa Cường, Phường Hòa Cường, Đà Nẵng
 0905653579
 </t>
  </si>
  <si>
    <t>S22693229.SGP45-V22.1708678604</t>
  </si>
  <si>
    <t>SAPO171858445_603550</t>
  </si>
  <si>
    <t>18:19, 10-07-2026</t>
  </si>
  <si>
    <t xml:space="preserve">Thuy
 36 đường 14 kdc khang điền, Phường Phước Long, Phường Phước Long, TP Hồ Chí Minh
 0966464091
 </t>
  </si>
  <si>
    <t>S22693229.BO.SG14-06-A2.1855971330</t>
  </si>
  <si>
    <t>SAPO171862637_603550</t>
  </si>
  <si>
    <t>13:24, 09-07-2026</t>
  </si>
  <si>
    <t xml:space="preserve">Nguyễn Phúc
 1806/127/2/16 Xã Nhà Bè TP HCM, Xã Nhà Bè, Xã Nhà Bè, TP Hồ Chí Minh
 0938454841
 </t>
  </si>
  <si>
    <t>S22693229.BO.MT15-06-G14.1771097863</t>
  </si>
  <si>
    <t>SAPO171864278_603550</t>
  </si>
  <si>
    <t>13:26, 09-07-2026</t>
  </si>
  <si>
    <t>17:10, 11-07-2026</t>
  </si>
  <si>
    <t xml:space="preserve">Vũ Thị Giang
 05 nguyễn công trứ, Phường Kon Tum, Phường Kon Tum, Quảng Ngãi
 0989035777
 </t>
  </si>
  <si>
    <t>S22693229.BO.SGP47-V15.1134239833</t>
  </si>
  <si>
    <t>SAPO171864596_603550</t>
  </si>
  <si>
    <t>13:27, 09-07-2026</t>
  </si>
  <si>
    <t xml:space="preserve">Thao Vuong
 Toà A (Angelica), Lumier Boulevard, Số 9, đường D1, phường Long Bình, TPHCM. Nằm trong khu đô thị VINHOMES GRAND PARK, Phường Long Bình, Phường Long Bình, TP Hồ Chí Minh
 0985590007
 </t>
  </si>
  <si>
    <t>S22693229.HNP25-B174.1521804516</t>
  </si>
  <si>
    <t>SAPO171865118_603550</t>
  </si>
  <si>
    <t>00:29, 12-07-2026</t>
  </si>
  <si>
    <t xml:space="preserve">Trinh Hoa Minh
 Số 7 ngõ 1096 đường Láng, Phường Láng, Phường Láng, Hà Nội
 0358658099
 </t>
  </si>
  <si>
    <t>S22693229.MB8-06-F8.1444912971</t>
  </si>
  <si>
    <t>SAPO171865119_603550</t>
  </si>
  <si>
    <t>22:18, 10-07-2026</t>
  </si>
  <si>
    <t xml:space="preserve">Nguyễn Ngọc Hương
 KCN Yên Phong 1 (Công ty TNHH Samsung SDI Việt Nam), Xã Yên Trung, Xã Yên Trung, Bắc Ninh
 0985863118
 </t>
  </si>
  <si>
    <t>S22693229.BO.SGP15-H04.1745017727</t>
  </si>
  <si>
    <t>SAPO171866997_603550</t>
  </si>
  <si>
    <t>13:29, 09-07-2026</t>
  </si>
  <si>
    <t xml:space="preserve">Nguyễn Thụy Thanh Xuân
 Trường Mầm Non Vinschool Landmark Plus - Tòa nhà Landmark Plus, KĐT Vinhomes Central Park - Tân Cảng, số 722 Điện Biên Phủ, Phường Thạnh Mỹ Tây, Phường Thạnh Mỹ Tây, TP Hồ Chí Minh
 0704057791
 </t>
  </si>
  <si>
    <t>S22693229.SGP37-K24.1079483456</t>
  </si>
  <si>
    <t>SAPO171868368_603550</t>
  </si>
  <si>
    <t>13:31, 09-07-2026</t>
  </si>
  <si>
    <t xml:space="preserve">Huỳnh thị Kim
 28/10 ĐHT 19, P.ĐÔNG HƯNG THUẬN, Q.12, Phường Đông Hưng Thuận, Phường Đông Hưng Thuận, TP Hồ Chí Minh
 0967355357
 </t>
  </si>
  <si>
    <t>S22693229.MB13-02-L7.1487361526</t>
  </si>
  <si>
    <t>SAPO171872577_603550</t>
  </si>
  <si>
    <t>13:34, 09-07-2026</t>
  </si>
  <si>
    <t>09:02, 11-07-2026</t>
  </si>
  <si>
    <t xml:space="preserve">Quang hậu
 Nà khà lăng can lâm bình tuyên quang, Xã Thượng Lâm, Xã Thượng Lâm, Tuyên Quang
 0978603777
 </t>
  </si>
  <si>
    <t>S22693229.MB13-01-F12.1440244797</t>
  </si>
  <si>
    <t>SAPO171872572_603550</t>
  </si>
  <si>
    <t>17:38, 11-07-2026</t>
  </si>
  <si>
    <t xml:space="preserve">Trần Mỹ Hạnh
 Số nhà 51 ngõ 446 đường Trường Chinh tổ dân phố Tân Hà 36, Phường Minh Xuân, Phường Minh Xuân, Tuyên Quang
 0962609342
 </t>
  </si>
  <si>
    <t>S22693229.BO.MB10-13-M3.1242039670</t>
  </si>
  <si>
    <t>SAPO171872571_603550</t>
  </si>
  <si>
    <t>21:18, 10-07-2026</t>
  </si>
  <si>
    <t xml:space="preserve">Trần Hằng
 sn 24 ngõ 800, Phường Quang Hanh, Phường Quang Hanh, Quảng Ninh
 0943851688
 </t>
  </si>
  <si>
    <t>S22693229.MB16-01-A2.1958766294</t>
  </si>
  <si>
    <t>SAPO171872587_603550</t>
  </si>
  <si>
    <t>19:39, 10-07-2026</t>
  </si>
  <si>
    <t xml:space="preserve">Hường Vũ
 Khu đô thị Hồ Sanh, tổ 4, phường Tô Hiệu, tp Sơn La, tỉnh Sơn La, Phường Tô Hiệu, Phường Tô Hiệu, Sơn La
 0945487685
 </t>
  </si>
  <si>
    <t>S22693229.BO.MT8-01-A28.1393348172</t>
  </si>
  <si>
    <t>SAPO171872575_603550</t>
  </si>
  <si>
    <t>12:33, 11-07-2026</t>
  </si>
  <si>
    <t xml:space="preserve">Htm Tuyết
 Đường Cảng Cá, Phường Quảng Phú, Phường Quảng Phú, Đà Nẵng
 0986153123
 </t>
  </si>
  <si>
    <t>S22693229.BO.DN7-M7.1562637408</t>
  </si>
  <si>
    <t>SAPO171872578_603550</t>
  </si>
  <si>
    <t>15:46, 12-07-2026</t>
  </si>
  <si>
    <t xml:space="preserve">Vương Thị Thu
 Đà Nẵng, Phường Ngũ Hành Sơn, Phường Ngũ Hành Sơn, Đà Nẵng
 0905888556
 </t>
  </si>
  <si>
    <t>S22693229.MB7-20-D13.1187248745</t>
  </si>
  <si>
    <t>SAPO171872583_603550</t>
  </si>
  <si>
    <t>18:44, 10-07-2026</t>
  </si>
  <si>
    <t xml:space="preserve">Mr Đức
 Số nhà 275 Tổ dân phố 1, Phường An Dương, Phường An Dương, Hải Phòng
 0356106810
 </t>
  </si>
  <si>
    <t>S22693229.BO.DN16-H15.1015672097</t>
  </si>
  <si>
    <t>SAPO171872904_603550</t>
  </si>
  <si>
    <t>13:35, 09-07-2026</t>
  </si>
  <si>
    <t>16:13, 11-07-2026</t>
  </si>
  <si>
    <t xml:space="preserve">Vo Ngọc Quang
 40/20 B Nguyễn Huy Tưởng, Phường Hòa Khánh, Phường Hòa Khánh, Đà Nẵng
 0905124223
 </t>
  </si>
  <si>
    <t>S22693229.MB6-14-C3.1684540949</t>
  </si>
  <si>
    <t>SAPO171872977_603550</t>
  </si>
  <si>
    <t>20:58, 11-07-2026</t>
  </si>
  <si>
    <t xml:space="preserve">Đoàn Thị Hồng
 UBND xã Kim Đính, Xã An Thành, Xã An Thành, Hải Phòng
 0989412592
 </t>
  </si>
  <si>
    <t>S22693229.MB7-02-V1.1854788212</t>
  </si>
  <si>
    <t>SAPO171873093_603550</t>
  </si>
  <si>
    <t>21:01, 11-07-2026</t>
  </si>
  <si>
    <t xml:space="preserve">Phan thị quyên
 Số 16 phố hoà bình, Phường Phù Liễn, Phường Phù Liễn, Hải Phòng
 0934338358
 </t>
  </si>
  <si>
    <t>S22693229.BO.MB10-13-M24.1634112390</t>
  </si>
  <si>
    <t>SAPO171873671_603550</t>
  </si>
  <si>
    <t>21:26, 11-07-2026</t>
  </si>
  <si>
    <t xml:space="preserve">Bùi Thị Mến
 Số 588A lý thường kiệt, Phường Cửa Ông, Phường Cửa Ông, Quảng Ninh
 0981988180
 </t>
  </si>
  <si>
    <t>S22693229.BO.MB11-05-A4.1224821829</t>
  </si>
  <si>
    <t>SAPO171874067_603550</t>
  </si>
  <si>
    <t>13:36, 09-07-2026</t>
  </si>
  <si>
    <t xml:space="preserve">Nguyễn Văn Phú
 Thôn Quang Trung, Xã Hội Thịnh, Xã Hội Thịnh, Phú Thọ
 0963141386
 </t>
  </si>
  <si>
    <t>S22693229.MB26-28-T6.1688800454</t>
  </si>
  <si>
    <t>SAPO171874226_603550</t>
  </si>
  <si>
    <t>20:41, 11-07-2026</t>
  </si>
  <si>
    <t xml:space="preserve">Vũ Kim Anh
 Nhà số 8, ngõ 101, đường Lê Việt Thuật, Phường Vinh Lộc, Phường Vinh Lộc, Nghệ An
 0941442831
 </t>
  </si>
  <si>
    <t>S22693229.MB11-13-N3.1982937975</t>
  </si>
  <si>
    <t>SAPO171874299_603550</t>
  </si>
  <si>
    <t xml:space="preserve">Linh kute
 Thôn đồng tâm, Xã Sông Lô, Xã Sông Lô, Phú Thọ
 0968135825
 </t>
  </si>
  <si>
    <t>S22693229.MB11-03-C4.1123023389</t>
  </si>
  <si>
    <t>SAPO171890769_603550</t>
  </si>
  <si>
    <t>13:51, 09-07-2026</t>
  </si>
  <si>
    <t>15:49, 11-07-2026</t>
  </si>
  <si>
    <t xml:space="preserve">Trương Ngọc Tiện
 Số 10B, ngõ 10 Nguyễn Trãi,, Phường Phúc Yên, Phường Phúc Yên, Phú Thọ
 0912785148
 </t>
  </si>
  <si>
    <t>S22693229.MB20-01-D15.1236588389</t>
  </si>
  <si>
    <t>SAPO171894418_603550</t>
  </si>
  <si>
    <t>13:56, 09-07-2026</t>
  </si>
  <si>
    <t>10:15, 11-07-2026</t>
  </si>
  <si>
    <t xml:space="preserve">Thoa
 Quán Photo Hồng dung, thôn 5, xã chợ mới, tỉnh Thái nguyên,, Xã Chợ Mới, Xã Chợ Mới, Thái Nguyên
 0374425709
 </t>
  </si>
  <si>
    <t>S22693229.BO.MT16-02-D71.1670208121</t>
  </si>
  <si>
    <t>584863012009510777</t>
  </si>
  <si>
    <t>13:58, 09-07-2026</t>
  </si>
  <si>
    <t>18:07, 12-07-2026</t>
  </si>
  <si>
    <t xml:space="preserve">Phạm Thanh Thuý
 434 Lê Duẩn, Thành phố Pleiku Thắng Lợi,Pleiku,Tỉnh Gia Lai,Việt Nam, Phường An Phú, Phường An Phú, Gia Lai
 0972302227
 </t>
  </si>
  <si>
    <t>S22693229.HNP75-D56.1936243653</t>
  </si>
  <si>
    <t>SAPO172285313_603550</t>
  </si>
  <si>
    <t>08:28, 10-07-2026</t>
  </si>
  <si>
    <t xml:space="preserve">Bình
 Số 29 Ngoạ Long Minh Khai, Từ Liêm Hà Nội, Phường Tây Tựu, Phường Tây Tựu, Hà Nội
 0973552358
 </t>
  </si>
  <si>
    <t>S22693229.HNP146-G411.1690087555</t>
  </si>
  <si>
    <t>SAPO172285315_603550</t>
  </si>
  <si>
    <t xml:space="preserve">Trần Trâm Anb
 19 ngách 169/161 Hoàng Mai, Phường Tương Mai, Phường Tương Mai, Hà Nội
 0813315868
 </t>
  </si>
  <si>
    <t>S22693229.HNP92-K24.1168378531</t>
  </si>
  <si>
    <t>SAPO172285304_603550</t>
  </si>
  <si>
    <t xml:space="preserve">Đang Dinh Don
 Chung cư c3 đường nguyễn cơ thạch, Phường Từ Liêm, Phường Từ Liêm, Hà Nội
 0983118896
 </t>
  </si>
  <si>
    <t>S22693229.HNP107-I31.1202955903</t>
  </si>
  <si>
    <t>SAPO172285311_603550</t>
  </si>
  <si>
    <t>17:40, 10-07-2026</t>
  </si>
  <si>
    <t xml:space="preserve">Bùi Huyền
 Số 4 ngách 20/20 Hồ Tùng Mậu - Mai Dịch - Cầu Giấy, Phường Nghĩa Đô, Phường Nghĩa Đô, Hà Nội
 0968579968
 </t>
  </si>
  <si>
    <t>S22693229.HNP105-A44.1046990056</t>
  </si>
  <si>
    <t>SAPO172285319_603550</t>
  </si>
  <si>
    <t xml:space="preserve">Dao Kien
 10 Đ. Trần Phú, Phường Hà Đông, Phường Hà Đông, Hà Nội
 0912264327
 </t>
  </si>
  <si>
    <t>S22693229.HNP83-D9.1492386474</t>
  </si>
  <si>
    <t>SAPO172285309_603550</t>
  </si>
  <si>
    <t>19:03, 10-07-2026</t>
  </si>
  <si>
    <t xml:space="preserve">Đặng đức hào
 C1/72b ngõ thông phong, tôn đức thắng, đống đa, Phường Văn Miếu - Quốc Tử Giám, Phường Văn Miếu - Quốc Tử Giám, Hà Nội
 0963083443
 </t>
  </si>
  <si>
    <t>S22693229.HNP03-D175.1618393956</t>
  </si>
  <si>
    <t>SAPO172285314_603550</t>
  </si>
  <si>
    <t xml:space="preserve">LyLy
 1/167 Tây Sơn, Phường Kim Liên, Phường Kim Liên, Hà Nội
 0912333502
 </t>
  </si>
  <si>
    <t>S22693229.HNP105-V8.1392569867</t>
  </si>
  <si>
    <t>SAPO172285306_603550</t>
  </si>
  <si>
    <t>18:59, 10-07-2026</t>
  </si>
  <si>
    <t xml:space="preserve">Lương Tiến Nam
 Bt3.6 khu biệt thự viglecra, tây mỗ, Phường Đại Mỗ, Phường Đại Mỗ, Hà Nội
 0789068999
 </t>
  </si>
  <si>
    <t>S22693229.HNP46-F108.1309879343</t>
  </si>
  <si>
    <t>SAPO172285318_603550</t>
  </si>
  <si>
    <t xml:space="preserve">Dung Huu
 Số 302 Phố Cầu Giấy (Tháp A), Phường Cầu Giấy, Phường Cầu Giấy, Hà Nội
 0915633636
 </t>
  </si>
  <si>
    <t>S22693229.HNP25-B179.1973055852</t>
  </si>
  <si>
    <t>SAPO172285316_603550</t>
  </si>
  <si>
    <t xml:space="preserve">Lâm
 Số 19 ngách 106/1 Chùa Láng, Phường Láng, Phường Láng, Hà Nội
 0912532728
 </t>
  </si>
  <si>
    <t>S22693229.HNP146-G40.1084319537</t>
  </si>
  <si>
    <t>SAPO172285307_603550</t>
  </si>
  <si>
    <t xml:space="preserve">Thu
 1A ngõ 190/8 đường Hoàng Mai, Hà Nội, Phường Tương Mai, Phường Tương Mai, Hà Nội
 0944549026
 </t>
  </si>
  <si>
    <t>S22693229.HNP03-G30.1424425166</t>
  </si>
  <si>
    <t>SAPO172285586_603550</t>
  </si>
  <si>
    <t>08:29, 10-07-2026</t>
  </si>
  <si>
    <t xml:space="preserve">Lê Hằng Nga
 1E Trường Chinh, Phương Liệt, Thanh Xuân, Phường Bạch Mai, Phường Bạch Mai, Hà Nội
 0978698579
 </t>
  </si>
  <si>
    <t>S22693229.HNP75-D33.1764619938</t>
  </si>
  <si>
    <t>SAPO172285766_603550</t>
  </si>
  <si>
    <t xml:space="preserve">Thanh Hai
 Trường ĐH tài nguyên và môi trường hà nội, Phường Phú Diễn, Phường Phú Diễn, Hà Nội
 0986346632
 </t>
  </si>
  <si>
    <t>S22693229.HNP92-K5.1711553507</t>
  </si>
  <si>
    <t>SAPO172285939_603550</t>
  </si>
  <si>
    <t xml:space="preserve">Lương
 Matrix one số 1 lê quang đạo, Phường Từ Liêm, Phường Từ Liêm, Hà Nội
 0984546666
 </t>
  </si>
  <si>
    <t>S22693229.HNP92-K24.1242927727</t>
  </si>
  <si>
    <t>SAPO172286048_603550</t>
  </si>
  <si>
    <t xml:space="preserve">Hà
 Sảnh B chung cư Golden Palace Mễ Trò, Phường Từ Liêm, Phường Từ Liêm, Hà Nội
 0917888411
 </t>
  </si>
  <si>
    <t>S22693229.HNP62-P37.1361243671</t>
  </si>
  <si>
    <t>SAPO172286159_603550</t>
  </si>
  <si>
    <t xml:space="preserve">Thu Hương
 CT4AX2 Linh Đàm, Phường Hoàng Mai, Phường Hoàng Mai, Hà Nội
 0989800168
 </t>
  </si>
  <si>
    <t>S22693229.HNP47-M83.1989491246</t>
  </si>
  <si>
    <t>SAPO172286262_603550</t>
  </si>
  <si>
    <t xml:space="preserve">Tạ Thạch Anh
 Số nhà 24, ngõ 104 Nguyễn Phúc Lai,, Phường Ô Chợ Dừa, Phường Ô Chợ Dừa, Hà Nội
 0934532991
 </t>
  </si>
  <si>
    <t>S22693229.HNP105-V7.1608673658</t>
  </si>
  <si>
    <t>SAPO172286359_603550</t>
  </si>
  <si>
    <t xml:space="preserve">Hà
 235 Khuất Duy Tiến, Phường Đại Mỗ, Phường Đại Mỗ, Hà Nội
 0962017625
 </t>
  </si>
  <si>
    <t>S22693229.HNP25-F35.1323183286</t>
  </si>
  <si>
    <t>SAPO172286413_603550</t>
  </si>
  <si>
    <t xml:space="preserve">Vũ Xuân Nhị
 Toà nhà S2 chung cư 47 Nguyễn Tuân, Phường Thanh Xuân, Phường Thanh Xuân, Hà Nội
 0975364998
 </t>
  </si>
  <si>
    <t>S22693229.HNP11-F68.1631358888</t>
  </si>
  <si>
    <t>SAPO172290415_603550</t>
  </si>
  <si>
    <t>08:32, 10-07-2026</t>
  </si>
  <si>
    <t xml:space="preserve">Trịnh Tuấn Việt
 V6D25 KĐT Văn Phú, Phường Kiến Hưng, Phường Kiến Hưng, Hà Nội
 0913340280
 </t>
  </si>
  <si>
    <t>S22693229.SGP54-X79.1009448004</t>
  </si>
  <si>
    <t>SAPO172296756_603550</t>
  </si>
  <si>
    <t>08:37, 10-07-2026</t>
  </si>
  <si>
    <t xml:space="preserve">Nguyễn Thị Mỹ Nga
 45/7 miếu bình đông, Phường Bình Trị Đông, Phường Bình Trị Đông, TP Hồ Chí Minh
 0906264948
 </t>
  </si>
  <si>
    <t>S22693229.SGP89-I12.1264613040</t>
  </si>
  <si>
    <t>SAPO172296758_603550</t>
  </si>
  <si>
    <t>14:09, 11-07-2026</t>
  </si>
  <si>
    <t xml:space="preserve">Hương Trần
 6a Phạm Ngọc Thạch, Phường Xuân Hòa, Phường Xuân Hòa, TP Hồ Chí Minh
 0908501519
 </t>
  </si>
  <si>
    <t>S22693229.SGP27-Q81.1475365208</t>
  </si>
  <si>
    <t>SAPO172296746_603550</t>
  </si>
  <si>
    <t>13:15, 11-07-2026</t>
  </si>
  <si>
    <t xml:space="preserve">Chị hiền
 83-85 đường D2. Kp1, Phường Thủ Đức, Phường Thủ Đức, TP Hồ Chí Minh
 0827386186
 </t>
  </si>
  <si>
    <t>S22693229.MN6-07-O31.1936501710</t>
  </si>
  <si>
    <t>SAPO172296760_603550</t>
  </si>
  <si>
    <t xml:space="preserve">Anh thi
 Trường thcs vĩnh hưng huyện vĩnh hưng tỉnh Long An, Xã Vĩnh Hưng, Xã Vĩnh Hưng, Tây Ninh
 0367319250
 </t>
  </si>
  <si>
    <t>S22693229.SGP02-N15.1939770507</t>
  </si>
  <si>
    <t>SAPO172296757_603550</t>
  </si>
  <si>
    <t>12:25, 11-07-2026</t>
  </si>
  <si>
    <t xml:space="preserve">Hồng Nhung
 Tp Hồ Chí Minh, Phường Hạnh Thông, Phường Hạnh Thông, TP Hồ Chí Minh
 0906847368
 </t>
  </si>
  <si>
    <t>S22693229.MT19-01-A02.1358843001</t>
  </si>
  <si>
    <t>SAPO172296751_603550</t>
  </si>
  <si>
    <t>19:18, 12-07-2026</t>
  </si>
  <si>
    <t xml:space="preserve">Nguyễn Hoa
 55/1 bạch đằng, Phường Lang Biang - Đà Lạt, Phường Lang Biang - Đà Lạt, Lâm Đồng
 0967135126
 </t>
  </si>
  <si>
    <t>S22693229.BO.MN1-08-H34.1775753254</t>
  </si>
  <si>
    <t>SAPO172296759_603550</t>
  </si>
  <si>
    <t>19:19, 11-07-2026</t>
  </si>
  <si>
    <t>S22693229.SGP65-W43.1539017300</t>
  </si>
  <si>
    <t>SAPO172296850_603550</t>
  </si>
  <si>
    <t xml:space="preserve">Nguyễn Thị Mỹ Hạnh
 120 Hồng bàng f12 q5 (cổng 2), Phường Chợ Lớn, Phường Chợ Lớn, TP Hồ Chí Minh
 0973642535
 </t>
  </si>
  <si>
    <t>S22693229.SGP43-M77.1275220609</t>
  </si>
  <si>
    <t>SAPO172296933_603550</t>
  </si>
  <si>
    <t>12:41, 11-07-2026</t>
  </si>
  <si>
    <t xml:space="preserve">Phan thị Thơ
 36 nguyễn duy hiệu, Phường An Khánh, Phường An Khánh, TP Hồ Chí Minh
 0983707712
 </t>
  </si>
  <si>
    <t>S22693229.SG11-05-F24.1744642368</t>
  </si>
  <si>
    <t>SAPO172297295_603550</t>
  </si>
  <si>
    <t>14:25, 11-07-2026</t>
  </si>
  <si>
    <t xml:space="preserve">Nguyễn Thị Thu Ngân
 Số 5 Huỳnh Thị Bảy, Xã Tân Nhựt, Xã Tân Nhựt, TP Hồ Chí Minh
 0967994733
 </t>
  </si>
  <si>
    <t>S22693229.BO.MT17-01-L03.1526168331</t>
  </si>
  <si>
    <t>SAPO172297672_603550</t>
  </si>
  <si>
    <t>13:51, 12-07-2026</t>
  </si>
  <si>
    <t xml:space="preserve">Minh Tuyền
 33 nguyễn công trú, Phường Buôn Ma Thuột, Phường Buôn Ma Thuột, Đắk Lắk
 0905427777
 </t>
  </si>
  <si>
    <t>S22693229.MN6-02-S41.1241587511</t>
  </si>
  <si>
    <t>SAPO172297814_603550</t>
  </si>
  <si>
    <t>08:38, 10-07-2026</t>
  </si>
  <si>
    <t>20:27, 11-07-2026</t>
  </si>
  <si>
    <t xml:space="preserve">Nguyễn Thị Ngọc Hoà
 Ấp 4, Xã Thạnh Lợi, Xã Thạnh Lợi, Tây Ninh
 0919161234
 </t>
  </si>
  <si>
    <t>S22693229.BO.SGP02-N14.1788834367</t>
  </si>
  <si>
    <t>SAPO172298018_603550</t>
  </si>
  <si>
    <t xml:space="preserve">Nguyễn Xuân Nhật
 340/40 Quang Trung, Phường Gò Vấp, Phường Gò Vấp, TP Hồ Chí Minh
 0903930930
 </t>
  </si>
  <si>
    <t>S22693229.MN3-11-T11.1115331748</t>
  </si>
  <si>
    <t>SAPO172298086_603550</t>
  </si>
  <si>
    <t>17:23, 12-07-2026</t>
  </si>
  <si>
    <t xml:space="preserve">Vo Thi Thuy Linh
 33a đường 30/4, p9, Vũng Tàu, Phường Tam Thắng, Phường Tam Thắng, TP Hồ Chí Minh
 0905913597
 </t>
  </si>
  <si>
    <t>S22693229.BO.MN2-17-Q52.1941092528</t>
  </si>
  <si>
    <t>SAPO172298299_603550</t>
  </si>
  <si>
    <t>16:53, 11-07-2026</t>
  </si>
  <si>
    <t xml:space="preserve">Trần Thị Trà My
 Địa chỉ (Address): Lô số 17-3, Đường số 2B, Khu công nghiệp quốc tế Protrade, Phường Tây Nam, Phường Tây Nam, TP Hồ Chí Minh
 0938223300
 </t>
  </si>
  <si>
    <t>S22693229.MT19-01-T31.1561854003</t>
  </si>
  <si>
    <t>SAPO172298333_603550</t>
  </si>
  <si>
    <t>17:20, 12-07-2026</t>
  </si>
  <si>
    <t xml:space="preserve">nguyễn ngọc huyền
 49/15 nguyễn đình chiểu, Phường Lâm Viên - Đà Lạt, Phường Lâm Viên - Đà Lạt, Lâm Đồng
 0943577268
 </t>
  </si>
  <si>
    <t>S22693229.SGP25-Q49.1436386700</t>
  </si>
  <si>
    <t>SAPO172298387_603550</t>
  </si>
  <si>
    <t>18:57, 11-07-2026</t>
  </si>
  <si>
    <t xml:space="preserve">Phạm Anh Thư
 Công ty sắt thép Minh Tiến, 62 QL1A, Hiệp Bình Phước, Thủ Đức, Tp. HCM, Phường Hiệp Bình, Phường Hiệp Bình, TP Hồ Chí Minh
 0937956318
 </t>
  </si>
  <si>
    <t>S22693229.BO.SGP12-H50.1436488138</t>
  </si>
  <si>
    <t>SAPO172298476_603550</t>
  </si>
  <si>
    <t>16:59, 11-07-2026</t>
  </si>
  <si>
    <t xml:space="preserve">Tu Nguyen
 9-9A Nơ Trang Long, Phường Gia Định, Phường Gia Định, TP Hồ Chí Minh
 0989547780
 </t>
  </si>
  <si>
    <t>S22693229.MB11-09-G2.1106158104</t>
  </si>
  <si>
    <t>SAPO172315083_603550</t>
  </si>
  <si>
    <t>08:52, 10-07-2026</t>
  </si>
  <si>
    <t>20:02, 11-07-2026</t>
  </si>
  <si>
    <t xml:space="preserve">Dương Diu
 Cầu Các, Xã Bình Nguyên, Xã Bình Nguyên, Phú Thọ
 0917629402
 </t>
  </si>
  <si>
    <t>S22693229.MB4-07-G2.1908534569</t>
  </si>
  <si>
    <t>SAPO172315092_603550</t>
  </si>
  <si>
    <t xml:space="preserve">nguyễn thị hiên
 thôn kim thịnh xã kiến xương tỉnh Hưng Yên, Xã Kiến Xương, Xã Kiến Xương, Hưng Yên
 0988307205
 </t>
  </si>
  <si>
    <t>S22693229.HNP83-D11.1219016892</t>
  </si>
  <si>
    <t>SAPO172315096_603550</t>
  </si>
  <si>
    <t xml:space="preserve">Hương Lan Lê
 52 Quán Sứ, Phường Hoàn Kiếm, Phường Hoàn Kiếm, Hà Nội
 0914803172
 </t>
  </si>
  <si>
    <t>S22693229.HNP46-F89.1678610977</t>
  </si>
  <si>
    <t>SAPO172315087_603550</t>
  </si>
  <si>
    <t xml:space="preserve">Oanh
 Toà nhà Lotus. Số 2 Duy Tân, Phường Cầu Giấy, Phường Cầu Giấy, Hà Nội
 0935979889
 </t>
  </si>
  <si>
    <t>S22693229.MB6-05-A20.1896337365</t>
  </si>
  <si>
    <t>SAPO172315084_603550</t>
  </si>
  <si>
    <t>19:59, 11-07-2026</t>
  </si>
  <si>
    <t xml:space="preserve">Đinh Thị Thúy
 16A/36 Nguyễn Chí Thanh, Phường Lê Thanh Nghị, Phường Lê Thanh Nghị, Hải Phòng
 0913255925
 </t>
  </si>
  <si>
    <t>S22693229.MB6-14-C3.1486343449</t>
  </si>
  <si>
    <t>SAPO172315176_603550</t>
  </si>
  <si>
    <t>08:53, 10-07-2026</t>
  </si>
  <si>
    <t>19:57, 11-07-2026</t>
  </si>
  <si>
    <t xml:space="preserve">Bích Phương
 57 trần hưng đạo xã phú thái tp hải phòng, Xã Phú Thái, Xã Phú Thái, Hải Phòng
 0363052464
 </t>
  </si>
  <si>
    <t>S22693229.MB7-15-Y23.1314924865</t>
  </si>
  <si>
    <t>SAPO172315479_603550</t>
  </si>
  <si>
    <t>12:48, 11-07-2026</t>
  </si>
  <si>
    <t xml:space="preserve">Minhkhanh Huong
 52 Kiều Hạ  Đông Hải, Phường Đông Hải, Phường Đông Hải, Hải Phòng
 0985225968
 </t>
  </si>
  <si>
    <t>S22693229.HNP23-A83.1862423631</t>
  </si>
  <si>
    <t>SAPO172315615_603550</t>
  </si>
  <si>
    <t xml:space="preserve">Hồ Hoa Smart
 50 phố đội cấn phường ba đình hà nội, Phường Ba Đình, Phường Ba Đình, Hà Nội
 0987512150
 </t>
  </si>
  <si>
    <t>S22693229.MB3-06-G10.1461279853</t>
  </si>
  <si>
    <t>SAPO172315656_603550</t>
  </si>
  <si>
    <t xml:space="preserve">Bùi Thị Ngọc Diệp
 96/314 Đường Trường Chinh, Phường Nam Định, Phường Nam Định, Ninh Bình
 0936757635
 </t>
  </si>
  <si>
    <t>S22693229.MB8-16-P1.1887095364</t>
  </si>
  <si>
    <t>SAPO172315787_603550</t>
  </si>
  <si>
    <t>18:32, 11-07-2026</t>
  </si>
  <si>
    <t xml:space="preserve">Nguyễn thị Lan hiên
 58 Lê Văn Duyệt, Phường Vũ Ninh, Phường Vũ Ninh, Bắc Ninh
 0918923989
 </t>
  </si>
  <si>
    <t>S22693229.HNP48-H9-HVC.1081539128</t>
  </si>
  <si>
    <t>SAPO172315861_603550</t>
  </si>
  <si>
    <t xml:space="preserve">Lucky Phạm
 Số 1 Mậu Lương- Kiến Hưng- Hà nội, Phường Kiến Hưng, Phường Kiến Hưng, Hà Nội
 0981292288
 </t>
  </si>
  <si>
    <t>S22693229.MB2-10-L37.1990133139</t>
  </si>
  <si>
    <t>SAPO172315992_603550</t>
  </si>
  <si>
    <t>18:00, 11-07-2026</t>
  </si>
  <si>
    <t xml:space="preserve">Hoa Nguyen
 Khu đô thị Xuân Thành, Phường Hoa Lư, Phường Hoa Lư, Ninh Bình
 0986403028
 </t>
  </si>
  <si>
    <t>S22693229.MB22-01-A10.1857107715</t>
  </si>
  <si>
    <t>SAPO172316213_603550</t>
  </si>
  <si>
    <t xml:space="preserve">Nguyễn Cường Quyền
 SN 102, nguyễn minh châu, Phường Lào Cai, Phường Lào Cai, Lào Cai
 0978452569
 </t>
  </si>
  <si>
    <t>S22693229.HNP92-K24.1867952585</t>
  </si>
  <si>
    <t>SAPO172317046_603550</t>
  </si>
  <si>
    <t>08:54, 10-07-2026</t>
  </si>
  <si>
    <t xml:space="preserve">Thu Thuy Khong Thi
 Tháp B chung cư Golden Palace, phường Từ Liêm, Hà Nội, Phường Từ Liêm, Phường Từ Liêm, Hà Nội
 0906091268
 </t>
  </si>
  <si>
    <t>S22693229.MB19-05-F4.1790603348</t>
  </si>
  <si>
    <t>SAPO172409863_603550</t>
  </si>
  <si>
    <t>10:59, 10-07-2026</t>
  </si>
  <si>
    <t xml:space="preserve">Nguyễn thị Lượng
 Tổ dân phố Giữa, phường Đồng Tiến, Phổ Yên, thái nguyên (nay là tổ dân phố thanh quang, phường Vạn Xuân, tỉnh Thái Nguyên, Phường Vạn Xuân, Phường Vạn Xuân, Thái Nguyên
 0987344919
 </t>
  </si>
  <si>
    <t>S22693229.MB7-17-A3.1523132528</t>
  </si>
  <si>
    <t>SAPO172410127_603550</t>
  </si>
  <si>
    <t>11:00, 10-07-2026</t>
  </si>
  <si>
    <t xml:space="preserve">Lê Ánh Tuyết
 11a/1/933 Tôn Đức Thắng, Phường Sở Dầu, Quận Hồng Bàng, Hải Phòng, Phường Hồng Bàng, Phường Hồng Bàng, Hải Phòng
 0985452666
 </t>
  </si>
  <si>
    <t>S22693229.HNP119-E7.1819120751</t>
  </si>
  <si>
    <t>SAPO172410244_603550</t>
  </si>
  <si>
    <t xml:space="preserve">Hà Lê
 Đông Bầu, Xã Thiên Lộc, Xã Thiên Lộc, Hà Nội
 0977879440
 </t>
  </si>
  <si>
    <t>S22693229.BO.MB2-10-L7.1133906794</t>
  </si>
  <si>
    <t>SAPO172410596_603550</t>
  </si>
  <si>
    <t>11:01, 10-07-2026</t>
  </si>
  <si>
    <t>21:59, 11-07-2026</t>
  </si>
  <si>
    <t xml:space="preserve">Nguyễn Trung Hương
 Tam Coc Guest House One, Thôn Đồng Đốt, Phường Nam Hoa Lư, Phường Nam Hoa Lư, Ninh Bình
 0983188863
 </t>
  </si>
  <si>
    <t>S22693229.HNP103-J129.1212106575</t>
  </si>
  <si>
    <t>giao 1p thu 1p584873026940601458</t>
  </si>
  <si>
    <t>13:20, 10-07-2026</t>
  </si>
  <si>
    <t>14:16, 11-07-2026</t>
  </si>
  <si>
    <t xml:space="preserve">Mr H
 135 Phố Nguyễn Đình Chiểu 
Nguyễn Du,Hai Bà Trưng,Hà Nội,Việt Nam, Phường Hai Bà Trưng, Phường Hai Bà Trưng, Hà Nội
 0982311280
 </t>
  </si>
  <si>
    <t>S22693229.SGP02-M30.1912885230</t>
  </si>
  <si>
    <t>SAPO172495764_603550</t>
  </si>
  <si>
    <t>13:40, 10-07-2026</t>
  </si>
  <si>
    <t>15:51, 11-07-2026</t>
  </si>
  <si>
    <t xml:space="preserve">Lữ thành Hải
 1414/28. Phường 13 quận gò vấp TP HCM, Phường An Hội Đông, Phường An Hội Đông, TP Hồ Chí Minh
 0707400050
 </t>
  </si>
  <si>
    <t>S22693229.MT19-02-B31.1900853713</t>
  </si>
  <si>
    <t>SAPO172495772_603550</t>
  </si>
  <si>
    <t>16:10, 12-07-2026</t>
  </si>
  <si>
    <t xml:space="preserve">Phạm Thị Phước
 14 Trần Quốc Toản,phường Blao, tỉnh Lâm Đồng, Phường B’Lao, Phường B’Lao, Lâm Đồng
 0352060407
 </t>
  </si>
  <si>
    <t>S22693229.BO.MN7-01-D123.1476435496</t>
  </si>
  <si>
    <t>SAPO172495768_603550</t>
  </si>
  <si>
    <t>18:17, 11-07-2026</t>
  </si>
  <si>
    <t xml:space="preserve">đức
 193/1, Xã Châu Thành, Xã Châu Thành, Đồng Tháp
 0829707879
 </t>
  </si>
  <si>
    <t>S22693229.SGP05-N104.1576540525</t>
  </si>
  <si>
    <t>SAPO172495769_603550</t>
  </si>
  <si>
    <t>17:04, 11-07-2026</t>
  </si>
  <si>
    <t xml:space="preserve">Yến
 Hẻm 576, Phường Thông Tây Hội, Phường Thông Tây Hội, TP Hồ Chí Minh
 0966717302
 </t>
  </si>
  <si>
    <t>S22693229.BO.SGP59-P95.1930625421</t>
  </si>
  <si>
    <t>SAPO172495767_603550</t>
  </si>
  <si>
    <t>13:19, 11-07-2026</t>
  </si>
  <si>
    <t xml:space="preserve">Ngọc Hân
 Số 5 đường 2C KDC Nam Hùng Vương, Phường An Lạc, Phường An Lạc, TP Hồ Chí Minh
 0983874577
 </t>
  </si>
  <si>
    <t>S22693229.SGP76-V39.1964035419</t>
  </si>
  <si>
    <t>SAPO172495765_603550</t>
  </si>
  <si>
    <t xml:space="preserve">Thien Thien
 36 Hoa Phượng, Phường Cầu Kiệu, Phường Cầu Kiệu, TP Hồ Chí Minh
 0902885339
 </t>
  </si>
  <si>
    <t>S22693229.MN10-01-A72.1717210246</t>
  </si>
  <si>
    <t>SAPO172495963_603550</t>
  </si>
  <si>
    <t xml:space="preserve">vũ
 Trường THPT chuyên Nguyễn Thiện Thành p4tp Trà Vinh tỉnh Trà Vinh, Phường Long Đức, Phường Long Đức, Vĩnh Long
 0913880693
 </t>
  </si>
  <si>
    <t>S22693229.SGP65-W49.1029798935</t>
  </si>
  <si>
    <t>SAPO172496235_603550</t>
  </si>
  <si>
    <t xml:space="preserve">Mr. Ninh
 04 Trịnh ĐìnhThảo - Chung cư Topaz Garden, Phường Tân Phú, Phường Tân Phú, TP Hồ Chí Minh
 0906348755
 </t>
  </si>
  <si>
    <t>S22693229.MB11-03-C4.1813528838</t>
  </si>
  <si>
    <t>SAPO172501681_603550</t>
  </si>
  <si>
    <t>16:31, 11-07-2026</t>
  </si>
  <si>
    <t xml:space="preserve">Dong thu ha
 4 tran hung dao, Phường Phúc Yên, Phường Phúc Yên, Phú Thọ
 0986822182
 </t>
  </si>
  <si>
    <t>S22693229.MB1-07-G3.1243218879</t>
  </si>
  <si>
    <t>SAPO172501697_603550</t>
  </si>
  <si>
    <t>14:08, 11-07-2026</t>
  </si>
  <si>
    <t xml:space="preserve">Nguyễn Đức Linh
 Ngân hàng chính sách xã hội Lý Nhân, Xã Vĩnh Trụ, Xã Vĩnh Trụ, Ninh Bình
 0943538162
 </t>
  </si>
  <si>
    <t>S22693229.MB3-06-G10.1370594116</t>
  </si>
  <si>
    <t>SAPO172501698_603550</t>
  </si>
  <si>
    <t>12:51, 11-07-2026</t>
  </si>
  <si>
    <t xml:space="preserve">lâm
 1 chu văn an,phường lộc vượng,tp nam định,tỉnh nam định, Phường Nam Định, Phường Nam Định, Ninh Bình
 0924286898
 </t>
  </si>
  <si>
    <t>S22693229.MB7-02-B8.1279837060</t>
  </si>
  <si>
    <t>SAPO172501690_603550</t>
  </si>
  <si>
    <t>21:32, 12-07-2026</t>
  </si>
  <si>
    <t xml:space="preserve">Nguyễn Kiều Hưng
 Thửa 269, ngách 11/78 Cựu Viên, Phường Kiến An, Phường Kiến An, Hải Phòng
 0983258688
 </t>
  </si>
  <si>
    <t>S22693229.MB19-05-S7.1832882596</t>
  </si>
  <si>
    <t>SAPO172501704_603550</t>
  </si>
  <si>
    <t xml:space="preserve">Lượng
 Tổvdân phố Giữa,, Phường Vạn Xuân, Phường Vạn Xuân, Thái Nguyên
 0987344919
 </t>
  </si>
  <si>
    <t>S22693229.HNP132-A14.1424792450</t>
  </si>
  <si>
    <t>SAPO172501712_603550</t>
  </si>
  <si>
    <t xml:space="preserve">Hùng
 71 tổ 4 thị trấn Sóc Sơn huyện Sóc Sơn Hà Nội, Xã Sóc Sơn, Xã Sóc Sơn, Hà Nội
 0983354292
 </t>
  </si>
  <si>
    <t>S22693229.MB27-05-E11.1058762482</t>
  </si>
  <si>
    <t>SAPO172501710_603550</t>
  </si>
  <si>
    <t>19:05, 12-07-2026</t>
  </si>
  <si>
    <t xml:space="preserve">Linh
 xe điện ngân hà, nhà liền kề 2/03, đường nguyễn khản. thôn xuân an 7, khu đô thị xuân an green park,, Xã Nghi Xuân, Xã Nghi Xuân, Hà Tĩnh
 0918029975
 </t>
  </si>
  <si>
    <t>S22693229.MB8-04-D12.1395180522</t>
  </si>
  <si>
    <t>SAPO172501711_603550</t>
  </si>
  <si>
    <t xml:space="preserve">Dương
 Khu lãm trại , phường nam Sơn TP Bắc Ninh, Phường Phương Liễu, Phường Phương Liễu, Bắc Ninh
 0968083321
 </t>
  </si>
  <si>
    <t>S22693229.HNP140-T5.1546004169</t>
  </si>
  <si>
    <t>SAPO172501699_603550</t>
  </si>
  <si>
    <t>20:37, 11-07-2026</t>
  </si>
  <si>
    <t xml:space="preserve">Thao
 Xóm 2, Xã Chương Dương, Xã Chương Dương, Hà Nội
 0338578306
 </t>
  </si>
  <si>
    <t>S22693229.MB3-05-F10.1958331584</t>
  </si>
  <si>
    <t>SAPO172501691_603550</t>
  </si>
  <si>
    <t>16:47, 11-07-2026</t>
  </si>
  <si>
    <t xml:space="preserve">lương
 Máy Tính Thanh Bình, Đường dây nhất, Quần Phương 1, xã Nghĩa Bình, Nghĩa Hưng, Nam Định, Xã Quỹ Nhất, Xã Quỹ Nhất, Ninh Bình
 0917618219
 </t>
  </si>
  <si>
    <t>S22693229.MB25-14-R10.1189415737</t>
  </si>
  <si>
    <t>SAPO172501837_603550</t>
  </si>
  <si>
    <t>18:59, 11-07-2026</t>
  </si>
  <si>
    <t xml:space="preserve">Quỳnh Nga
 Thôn Thăng Bình thị trấn Yên Cát huyện Như Xuân tỉnh Thanh Hóa, Xã Như Xuân, Xã Như Xuân, Thanh Hóa
 0982572044
 </t>
  </si>
  <si>
    <t>S22693229.MB19-05-F2.1394808385</t>
  </si>
  <si>
    <t>SAPO172502105_603550</t>
  </si>
  <si>
    <t>21:57, 11-07-2026</t>
  </si>
  <si>
    <t xml:space="preserve">Trinh thi phuong
 213 ly nam de ba hang pho yen thai nguyen, Phường Phổ Yên, Phường Phổ Yên, Thái Nguyên
 0964866383
 </t>
  </si>
  <si>
    <t>S22693229.MB19-05-F2.1028941242</t>
  </si>
  <si>
    <t>SAPO172502256_603550</t>
  </si>
  <si>
    <t xml:space="preserve">Trịnh Thị Phượng
 2, Phường Phổ Yên, Phường Phổ Yên, Thái Nguyên
 0964866383
 </t>
  </si>
  <si>
    <t>S22693229.MB7-17-A3.1469041064</t>
  </si>
  <si>
    <t>SAPO172503055_603550</t>
  </si>
  <si>
    <t>13:47, 10-07-2026</t>
  </si>
  <si>
    <t xml:space="preserve">Nguyễn Thu Hương
 Paris 17-10 Vinhomes Imperia, Phường Hồng Bàng, Phường Hồng Bàng, Hải Phòng
 0982755860
 </t>
  </si>
  <si>
    <t>S22693229.MB7-17-A3.1679795555</t>
  </si>
  <si>
    <t>SAPO172503398_603550</t>
  </si>
  <si>
    <t>13:48, 10-07-2026</t>
  </si>
  <si>
    <t>19:54, 11-07-2026</t>
  </si>
  <si>
    <t xml:space="preserve">Tuyết
 11A/1/933 Tôn Đức Thắng, Phường Hồng Bàng, Phường Hồng Bàng, Hải Phòng
 0985452666
 </t>
  </si>
  <si>
    <t>S22693229.MB7-05-L1.1823435637</t>
  </si>
  <si>
    <t>SAPO172503954_603550</t>
  </si>
  <si>
    <t xml:space="preserve">Tuyết
 Thôn Lam Sơn, Xã Vĩnh Bảo, Xã Vĩnh Bảo, Hải Phòng
 0906156844
 </t>
  </si>
  <si>
    <t>S22693229.MB10-24-N17.1091800045</t>
  </si>
  <si>
    <t>SAPO172503995_603550</t>
  </si>
  <si>
    <t>15:14, 12-07-2026</t>
  </si>
  <si>
    <t xml:space="preserve">nga
 Số 3 phố Hồng ngọc, Phường Hồng Gai, Phường Hồng Gai, Quảng Ninh
 0913391456
 </t>
  </si>
  <si>
    <t>S22693229.MB7-02-B3.1504718970</t>
  </si>
  <si>
    <t>SAPO172504282_603550</t>
  </si>
  <si>
    <t>21:19, 11-07-2026</t>
  </si>
  <si>
    <t xml:space="preserve">Phương
 4/20/165 Đồng Hoà, Kiến An, Hải Phòng, Phường Kiến An, Phường Kiến An, Hải Phòng
 0986106327
 </t>
  </si>
  <si>
    <t>S22693229.MB9-07-U4.1782841836</t>
  </si>
  <si>
    <t>SAPO172505101_603550</t>
  </si>
  <si>
    <t>21:43, 11-07-2026</t>
  </si>
  <si>
    <t xml:space="preserve">Yến
 Cựu Tân, Đồng Phúc, Yên Dũng, Bắc Giang, Xã Đồng Việt, Xã Đồng Việt, Bắc Ninh
 0972230283
 </t>
  </si>
  <si>
    <t>S22693229.HNP118-A4.1212447256</t>
  </si>
  <si>
    <t>SAPO172505273_603550</t>
  </si>
  <si>
    <t xml:space="preserve">Liêm
 Ngách 265/55. Đông trù, Xã Đông Anh, Xã Đông Anh, Hà Nội
 0978415884
 </t>
  </si>
  <si>
    <t>S22693229.MB25-19-B15.1073595400</t>
  </si>
  <si>
    <t>SAPO172505425_603550</t>
  </si>
  <si>
    <t>15:22, 11-07-2026</t>
  </si>
  <si>
    <t xml:space="preserve">minh
 187-thị thư-yên phong-yên định-thanh hoá, Xã Yên Trường, Xã Yên Trường, Thanh Hóa
 0943091462
 </t>
  </si>
  <si>
    <t>S22693229.MB7-20-D8.1535733328</t>
  </si>
  <si>
    <t>SAPO172506359_603550</t>
  </si>
  <si>
    <t>13:51, 10-07-2026</t>
  </si>
  <si>
    <t xml:space="preserve">anh
 tự lập, Phường An Hải, Phường An Hải, Hải Phòng
 0974321659
 </t>
  </si>
  <si>
    <t>S22693229.MB16-02-B12.1347430672</t>
  </si>
  <si>
    <t>SAPO172506466_603550</t>
  </si>
  <si>
    <t>14:21, 11-07-2026</t>
  </si>
  <si>
    <t xml:space="preserve">Loan
 Số 173,đường Nguyễn Lương Bằng,Tiểu khu 13, Phường Mộc Châu, Phường Mộc Châu, Sơn La
 0816273999
 </t>
  </si>
  <si>
    <t>S22693229.MB12-02-B17.1440736718</t>
  </si>
  <si>
    <t>SAPO172506524_603550</t>
  </si>
  <si>
    <t xml:space="preserve">Liêm
 Số nhà 4 phố Thành Công, xã Yên Lập, tỉnh Phú Thọ, Xã Yên Lập, Xã Yên Lập, Phú Thọ
 0968584567
 </t>
  </si>
  <si>
    <t>S22693229.MB20-01-A4.1845856096</t>
  </si>
  <si>
    <t>SAPO172506786_603550</t>
  </si>
  <si>
    <t xml:space="preserve">Thuỳ
 Sn 2B ngõ 25 Quang Sơn, ngã 4 cấp 3, Phường Bắc Kạn, Phường Bắc Kạn, Thái Nguyên
 0868189678
 </t>
  </si>
  <si>
    <t>S22693229.HNP118-A14.1103500473</t>
  </si>
  <si>
    <t>SAPO172506862_603550</t>
  </si>
  <si>
    <t xml:space="preserve">linh
 Ngõ 160 đường đản dị, tổ 45 thị trấn đông anh, Xã Đông Anh, Xã Đông Anh, Hà Nội
 0963696060
 </t>
  </si>
  <si>
    <t>S22693229.MB8-02-B9.1421283267</t>
  </si>
  <si>
    <t>SAPO172506977_603550</t>
  </si>
  <si>
    <t>14:53, 11-07-2026</t>
  </si>
  <si>
    <t xml:space="preserve">Hà
 Số 45 Belhomes Vsip, Phường Từ Sơn, Phường Từ Sơn, Bắc Ninh
 0979088929
 </t>
  </si>
  <si>
    <t>S22693229.MB7-02-V15.1740443305</t>
  </si>
  <si>
    <t>SAPO172507249_603550</t>
  </si>
  <si>
    <t>13:52, 10-07-2026</t>
  </si>
  <si>
    <t>16:55, 11-07-2026</t>
  </si>
  <si>
    <t xml:space="preserve">Tươi
 Nhà số 3 Ngách 4 Ngõ 32 Tổ dân phố Phú Hải, Phường Hưng Đạo, Phường Hưng Đạo, Hải Phòng
 0987864826
 </t>
  </si>
  <si>
    <t>S22693229.MB16-01-A2.1336479943</t>
  </si>
  <si>
    <t>SAPO172508186_603550</t>
  </si>
  <si>
    <t>16:01, 11-07-2026</t>
  </si>
  <si>
    <t xml:space="preserve">vân
 94b nguyễn lương bằng, Phường Tô Hiệu, Phường Tô Hiệu, Sơn La
 0333023861
 </t>
  </si>
  <si>
    <t>S22693229.MB4-02-B2.1607590356</t>
  </si>
  <si>
    <t>SAPO172508342_603550</t>
  </si>
  <si>
    <t>16:45, 11-07-2026</t>
  </si>
  <si>
    <t xml:space="preserve">Diễn
 Xóm 7 Nguyên Xá Quỳnh Hội Quỳnh Phụ Thái Bình, Xã Quỳnh Phụ, Xã Quỳnh Phụ, Hưng Yên
 0977150066
 </t>
  </si>
  <si>
    <t>S22693229.MB8-10-J3.1999592730</t>
  </si>
  <si>
    <t>SAPO172508359_603550</t>
  </si>
  <si>
    <t>13:53, 10-07-2026</t>
  </si>
  <si>
    <t>11:51, 11-07-2026</t>
  </si>
  <si>
    <t xml:space="preserve">Tâm
 thôn My Xuyê, Xã Trung Kênh, Xã Trung Kênh, Bắc Ninh
 0977428924
 </t>
  </si>
  <si>
    <t>S22693229.MB11-03-C2.1641318903</t>
  </si>
  <si>
    <t>SAPO172509064_603550</t>
  </si>
  <si>
    <t xml:space="preserve">Vũ Lộc
 SN 12 đường Xuân Thủy, Phường Phúc Yên, Phường Phúc Yên, Phú Thọ
 0967831618
 </t>
  </si>
  <si>
    <t>S22693229.MB17-01-E16.1159984067</t>
  </si>
  <si>
    <t>SAPO172509254_603550</t>
  </si>
  <si>
    <t>16:30, 11-07-2026</t>
  </si>
  <si>
    <t xml:space="preserve">Hoàng Ánh Hồng
 Phố Nam Hoàng Đồng 4 khu Đô Thị Nam Hoàng Đồng TP Lạng Sơn, Phường Tam Thanh, Phường Tam Thanh, Lạng Sơn
 0386527663
 </t>
  </si>
  <si>
    <t>S22693229.MB7-15-Y43.1313651152</t>
  </si>
  <si>
    <t>đổi hàng 2607071WMMU7F0</t>
  </si>
  <si>
    <t>15:12, 10-07-2026</t>
  </si>
  <si>
    <t>16:09, 12-07-2026</t>
  </si>
  <si>
    <t xml:space="preserve">Khách hàng
 3/40/311 đằng hải, hải an, hải phòng, Phường Hải An, Phường Hải An, Hải Phòng
 0772430498
 </t>
  </si>
  <si>
    <t>S22693229.HNP92-B46.1430329967</t>
  </si>
  <si>
    <t>đổi hàng2607073QQYMWGE</t>
  </si>
  <si>
    <t>17:26, 12-07-2026</t>
  </si>
  <si>
    <t xml:space="preserve">Khách hàng
 Lan Anh, số 1B ngách 167/18 Lê Quang Đạo, Phường Từ Liêm, Thành phố Hà Nội, Phường Từ Liêm, Phường Từ Liêm, Hà Nội
 0975501590
 </t>
  </si>
  <si>
    <t>S22693229.MB7-17-A35.1661832368</t>
  </si>
  <si>
    <t>đổi hàng 2607073TM1JB1R</t>
  </si>
  <si>
    <t>13:58, 12-07-2026</t>
  </si>
  <si>
    <t xml:space="preserve">Khách hàng
 290 Hàng kênh lê chân hải phòng, Phường Lê Chân, Phường Lê Chân, Hải Phòng
 0373950628
 </t>
  </si>
  <si>
    <t>S22693229.HNP23-A144.1454062835</t>
  </si>
  <si>
    <t>SAPO172911069_603550</t>
  </si>
  <si>
    <t>08:28, 11-07-2026</t>
  </si>
  <si>
    <t xml:space="preserve">Trần hùng
 16 Thiyj Khuê, Phường Tây Hồ, Phường Tây Hồ, Hà Nội
 0989144352
 </t>
  </si>
  <si>
    <t>S22693229.HNP11-F41.1231867426</t>
  </si>
  <si>
    <t>SAPO172911070_603550</t>
  </si>
  <si>
    <t xml:space="preserve">Chi
 15 cầu đơ, Phường Hà Đông, Phường Hà Đông, Hà Nội
 0983341183
 </t>
  </si>
  <si>
    <t>S22693229.HNP45-A150.1428098162</t>
  </si>
  <si>
    <t>SAPO172911078_603550</t>
  </si>
  <si>
    <t xml:space="preserve">Hà
 Số 2 ngõ 50/18 Võng Thị, Phường Tây Hồ, Phường Tây Hồ, Hà Nội
 0914339119
 </t>
  </si>
  <si>
    <t>S22693229.HNP05-G31.1115085475</t>
  </si>
  <si>
    <t>SAPO172911071_603550</t>
  </si>
  <si>
    <t>17:01, 11-07-2026</t>
  </si>
  <si>
    <t xml:space="preserve">Nguyễn Thắng
 Toà G4, chung cư Five Star Garden, 2 Kim Giang, Phường Khương Đình, Phường Khương Đình, Hà Nội
 0392224141
 </t>
  </si>
  <si>
    <t>S22693229.HNP107-B43.1697662813</t>
  </si>
  <si>
    <t>SAPO172911072_603550</t>
  </si>
  <si>
    <t>19:00, 11-07-2026</t>
  </si>
  <si>
    <t xml:space="preserve">Lê Kim Dung
 Số 1 Trần Hữu Dực, Phường Cầu Giấy, Phường Cầu Giấy, Hà Nội
 0986056969
 </t>
  </si>
  <si>
    <t>S22693229.HNP99-K45.1130843649</t>
  </si>
  <si>
    <t>SAPO172911081_603550</t>
  </si>
  <si>
    <t xml:space="preserve">Phùng Lan Hương
 Bằng Lăng 6-08, Vinhomes Riverside Long Biên, Phường Phúc Lợi, Phường Phúc Lợi, Hà Nội
 0972307396
 </t>
  </si>
  <si>
    <t>S22693229.HNP46-C78.1783521014</t>
  </si>
  <si>
    <t>SAPO172911456_603550</t>
  </si>
  <si>
    <t xml:space="preserve">Nguyễn Thị Lan Hương
 Nhà 37 ngõ 79 Trần Cung, phường Nghĩa Đô, Phường Nghĩa Đô, Phường Nghĩa Đô, Hà Nội
 0943956586
 </t>
  </si>
  <si>
    <t>S22693229.HNP62-Y128.1099843001</t>
  </si>
  <si>
    <t>SAPO172911577_603550</t>
  </si>
  <si>
    <t xml:space="preserve">Lê Thị Tuệ Minh
 Nơ 8 Bán đảo Linh Đàm, Phường Hoàng Liệt, Phường Hoàng Liệt, Hà Nội
 0966836836
 </t>
  </si>
  <si>
    <t>S22693229.SGP101-I91.1815218612</t>
  </si>
  <si>
    <t>SAPO172913206_603550</t>
  </si>
  <si>
    <t>08:30, 11-07-2026</t>
  </si>
  <si>
    <t>14:50, 12-07-2026</t>
  </si>
  <si>
    <t xml:space="preserve">chu anh
 Chung cư Jamona City, Tháp M1, Đường Đào Trí, P. Phú Thuận, Q.7, Phường Phú Thuận, Phường Phú Thuận, TP Hồ Chí Minh
 0988533351
 </t>
  </si>
  <si>
    <t>S22693229.SGP43-M53.1860651065</t>
  </si>
  <si>
    <t>SAPO172913198_603550</t>
  </si>
  <si>
    <t>12:17, 12-07-2026</t>
  </si>
  <si>
    <t xml:space="preserve">Nguyễn Đức
 85/11 đường 30, Phường Cát Lái, Phường Cát Lái, TP Hồ Chí Minh
 0934159113
 </t>
  </si>
  <si>
    <t>S22693229.MN3-11-T11.1285217594</t>
  </si>
  <si>
    <t>SAPO172914023_603550</t>
  </si>
  <si>
    <t xml:space="preserve">Chang
 49 Hàm Nghi, Phường Tam Thắng, Phường Tam Thắng, TP Hồ Chí Minh
 0988918939
 </t>
  </si>
  <si>
    <t>S22693229.SGP104-S02.1550318692</t>
  </si>
  <si>
    <t>SAPO172914324_603550</t>
  </si>
  <si>
    <t>08:31, 11-07-2026</t>
  </si>
  <si>
    <t>13:06, 12-07-2026</t>
  </si>
  <si>
    <t xml:space="preserve">Loan Trần
 90 Trần Hưng đạo, Phường An Đông, Phường An Đông, TP Hồ Chí Minh
 0935539688
 </t>
  </si>
  <si>
    <t>S22693229.BO.SGP76-S83.1472841082</t>
  </si>
  <si>
    <t>SAPO172914757_603550</t>
  </si>
  <si>
    <t>11:22, 12-07-2026</t>
  </si>
  <si>
    <t xml:space="preserve">A Định
 20/82 Yên Thế, Phường Tân Sơn Hòa, Phường Tân Sơn Hòa, TP Hồ Chí Minh
 0937353699
 </t>
  </si>
  <si>
    <t>S22693229.SGP101-I80.1376707285</t>
  </si>
  <si>
    <t>SAPO172915010_603550</t>
  </si>
  <si>
    <t>13:04, 12-07-2026</t>
  </si>
  <si>
    <t xml:space="preserve">Chú Bá
 1027/41 huỳnh tấn phát, Phường Phú Thuận, Phường Phú Thuận, TP Hồ Chí Minh
 0983070868
 </t>
  </si>
  <si>
    <t>S22693229.HNP05-G48.1836924643</t>
  </si>
  <si>
    <t>giao bù584355057699358649</t>
  </si>
  <si>
    <t>09:46, 11-07-2026</t>
  </si>
  <si>
    <t xml:space="preserve">bobe
 Sunrise H 39, The Manor 2 Str, Khu Đô Thi The Manor, Định Công, Phường Định Công, Thành phố Hà Nội, Phường Định Công, Phường Định Công, Hà Nội
 0981299297
 </t>
  </si>
  <si>
    <t>S22693229.HNP46-A38.1283004262</t>
  </si>
  <si>
    <t>giao 1p thu 1p584354468632233850</t>
  </si>
  <si>
    <t>15:40, 12-07-2026</t>
  </si>
  <si>
    <t xml:space="preserve">trang
 8a ngõ 165/49 dương quảng hàm, quan hoa,nghĩa đô, cầu giấy,hà nội, Phường Cầu Giấy, Phường Cầu Giấy, Hà Nội
 0379969601
 </t>
  </si>
  <si>
    <t>S22693229.SGP43-M65.1422702572</t>
  </si>
  <si>
    <t>SAPO173028568_603550</t>
  </si>
  <si>
    <t>12:34, 12-07-2026</t>
  </si>
  <si>
    <t xml:space="preserve">Phạm Thắm
 383 Nguyễn Duy Trinh, Phường Bình Trưng, Phường Bình Trưng, TP Hồ Chí Minh
 0939994339
 </t>
  </si>
  <si>
    <t>Tổng</t>
  </si>
  <si>
    <t>NỢ TỒN</t>
  </si>
  <si>
    <t>Hóa đơn nợ</t>
  </si>
  <si>
    <t>Ngày phát sinh hóa đơn</t>
  </si>
  <si>
    <t>Tiền nợ</t>
  </si>
  <si>
    <t>Số đơn hàng tương ứng</t>
  </si>
  <si>
    <t>(1) Phí dịch vụ cấn trừ: Số tiền phí dịch vụ của những đơn hàng cần trả trước và những đơn hàng bị hoàn về mà GHTK đã cấn trừ vào Số dư của Shop.
(2) Phí dịch vụ hoàn lại: Số tiền phí dịch vụ GHTK hoàn lại cho Shop trong trường hợp những đơn hàng Shop hủy đơn nhưng đã cấn trừ phí trả trước, hoặc những đơn hàng được giao lại/giao tiếp nhưng đã cấn trừ phí chuyển hoàn trước đó.
(3) Phí dịch vụ đã thanh toán: Số tiền phí dịch vụ phát sinh của các đơn hàng mà Shop đã thanh toán hoặc GHTK đã cấn trừ.</t>
  </si>
  <si>
    <t>BỒI HOÀN</t>
  </si>
  <si>
    <t>Tiền bồi hoàn</t>
  </si>
  <si>
    <t>Lý do</t>
  </si>
  <si>
    <t>S22693229.HNP126-H2.1670125146</t>
  </si>
  <si>
    <t>11:20, 10-07-2026</t>
  </si>
  <si>
    <t>qhg</t>
  </si>
  <si>
    <t>Đại diện Giao Hang Tiet Kiem JSC</t>
  </si>
  <si>
    <t xml:space="preserve"> Đại diện ELMICH ESHOP</t>
  </si>
  <si>
    <t>PHẠM HỒNG QUÂN</t>
  </si>
</sst>
</file>

<file path=xl/styles.xml><?xml version="1.0" encoding="utf-8"?>
<styleSheet xmlns="http://schemas.openxmlformats.org/spreadsheetml/2006/main" xml:space="preserve">
  <numFmts count="1">
    <numFmt numFmtId="164" formatCode="_(* #,##0_);_(* \(#,##0\);_(* &quot;-&quot;??_);_(@_)"/>
  </numFmts>
  <fonts count="7">
    <font>
      <b val="0"/>
      <i val="0"/>
      <strike val="0"/>
      <u val="none"/>
      <sz val="11"/>
      <color rgb="FF000000"/>
      <name val="Arial"/>
    </font>
    <font>
      <b val="0"/>
      <i val="0"/>
      <strike val="0"/>
      <u val="none"/>
      <sz val="11"/>
      <color rgb="FF000000"/>
      <name val="Times New Roman"/>
    </font>
    <font>
      <b val="1"/>
      <i val="0"/>
      <strike val="0"/>
      <u val="none"/>
      <sz val="20"/>
      <color rgb="FF000000"/>
      <name val="Times New Roman"/>
    </font>
    <font>
      <b val="1"/>
      <i val="0"/>
      <strike val="0"/>
      <u val="none"/>
      <sz val="11"/>
      <color rgb="FF000000"/>
      <name val="Times New Roman"/>
    </font>
    <font>
      <b val="1"/>
      <i val="0"/>
      <strike val="0"/>
      <u val="none"/>
      <sz val="12"/>
      <color rgb="FF000000"/>
      <name val="Times New Roman"/>
    </font>
    <font>
      <b val="1"/>
      <i val="1"/>
      <strike val="0"/>
      <u val="none"/>
      <sz val="11"/>
      <color rgb="FF000000"/>
      <name val="Times New Roman"/>
    </font>
    <font>
      <b val="1"/>
      <i val="0"/>
      <strike val="0"/>
      <u val="none"/>
      <sz val="18"/>
      <color rgb="FF000000"/>
      <name val="Times New Roman"/>
    </font>
  </fonts>
  <fills count="5">
    <fill>
      <patternFill patternType="none"/>
    </fill>
    <fill>
      <patternFill patternType="gray125">
        <fgColor rgb="FFFFFFFF"/>
        <bgColor rgb="FF000000"/>
      </patternFill>
    </fill>
    <fill>
      <patternFill patternType="none"/>
    </fill>
    <fill>
      <patternFill patternType="solid">
        <fgColor rgb="FF039049"/>
        <bgColor rgb="FF000000"/>
      </patternFill>
    </fill>
    <fill>
      <patternFill patternType="solid">
        <fgColor rgb="FFFFFF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3">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1" numFmtId="49" fillId="2" borderId="0" applyFont="1" applyNumberFormat="1"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true" shrinkToFit="false"/>
    </xf>
    <xf xfId="0" fontId="1" numFmtId="164" fillId="2" borderId="0" applyFont="1" applyNumberFormat="1" applyFill="0" applyBorder="0" applyAlignment="1">
      <alignment horizontal="general" vertical="center" textRotation="0" wrapText="true" shrinkToFit="false"/>
    </xf>
    <xf xfId="0" fontId="1" numFmtId="164" fillId="2" borderId="0" applyFont="1" applyNumberFormat="1" applyFill="0" applyBorder="0" applyAlignment="1">
      <alignment horizontal="general" vertical="center" textRotation="0" wrapText="false" shrinkToFit="false"/>
    </xf>
    <xf xfId="0" fontId="1" numFmtId="0" fillId="2" borderId="0" applyFont="1" applyNumberFormat="0" applyFill="0" applyBorder="0" applyAlignment="1">
      <alignment horizontal="general" vertical="center" textRotation="0" wrapText="true" shrinkToFit="false"/>
    </xf>
    <xf xfId="0" fontId="1" numFmtId="0" fillId="2" borderId="0" applyFont="1" applyNumberFormat="0" applyFill="0" applyBorder="0" applyAlignment="1">
      <alignment horizontal="general" vertical="center" textRotation="0" wrapText="false" shrinkToFit="false"/>
    </xf>
    <xf xfId="0" fontId="2" numFmtId="0" fillId="2" borderId="0" applyFont="1" applyNumberFormat="0" applyFill="0" applyBorder="0" applyAlignment="1">
      <alignment horizontal="center" vertical="center" textRotation="0" wrapText="false" shrinkToFit="false"/>
    </xf>
    <xf xfId="0" fontId="2" numFmtId="0" fillId="2" borderId="0" applyFont="1" applyNumberFormat="0" applyFill="0" applyBorder="0" applyAlignment="1">
      <alignment horizontal="center" vertical="center" textRotation="0" wrapText="true" shrinkToFit="false"/>
    </xf>
    <xf xfId="0" fontId="2" numFmtId="0" fillId="2" borderId="0" applyFont="1" applyNumberFormat="0" applyFill="0" applyBorder="0" applyAlignment="1">
      <alignment horizontal="general" vertical="center" textRotation="0" wrapText="false" shrinkToFit="false"/>
    </xf>
    <xf xfId="0" fontId="2" numFmtId="0" fillId="2" borderId="0" applyFont="1" applyNumberFormat="0" applyFill="0" applyBorder="0" applyAlignment="1">
      <alignment horizontal="general" vertical="center" textRotation="0" wrapText="true" shrinkToFit="false"/>
    </xf>
    <xf xfId="0" fontId="3" numFmtId="0" fillId="2" borderId="0" applyFont="1" applyNumberFormat="0" applyFill="0" applyBorder="0" applyAlignment="1">
      <alignment horizontal="center" vertical="center" textRotation="0" wrapText="false" shrinkToFit="false"/>
    </xf>
    <xf xfId="0" fontId="3" numFmtId="49" fillId="2" borderId="0" applyFont="1" applyNumberFormat="1" applyFill="0" applyBorder="0" applyAlignment="1">
      <alignment horizontal="center" vertical="center" textRotation="0" wrapText="false" shrinkToFit="false"/>
    </xf>
    <xf xfId="0" fontId="4" numFmtId="0" fillId="2" borderId="0" applyFont="1" applyNumberFormat="0" applyFill="0" applyBorder="0" applyAlignment="1">
      <alignment horizontal="left" vertical="center" textRotation="0" wrapText="true" shrinkToFit="false"/>
    </xf>
    <xf xfId="0" fontId="4" numFmtId="164" fillId="2" borderId="0" applyFont="1" applyNumberFormat="1" applyFill="0" applyBorder="0" applyAlignment="1">
      <alignment horizontal="center" vertical="center" textRotation="0" wrapText="true" shrinkToFit="false"/>
    </xf>
    <xf xfId="0" fontId="2" numFmtId="164" fillId="2" borderId="0" applyFont="1" applyNumberFormat="1" applyFill="0" applyBorder="0" applyAlignment="1">
      <alignment horizontal="center" vertical="center" textRotation="0" wrapText="false" shrinkToFit="false"/>
    </xf>
    <xf xfId="0" fontId="3" numFmtId="164" fillId="2" borderId="0" applyFont="1" applyNumberFormat="1" applyFill="0" applyBorder="0" applyAlignment="1">
      <alignment horizontal="general" vertical="center" textRotation="0" wrapText="true" shrinkToFit="false"/>
    </xf>
    <xf xfId="0" fontId="3" numFmtId="164" fillId="2" borderId="0" applyFont="1" applyNumberFormat="1" applyFill="0" applyBorder="0" applyAlignment="1">
      <alignment horizontal="general" vertical="center" textRotation="0" wrapText="false" shrinkToFit="false"/>
    </xf>
    <xf xfId="0" fontId="5" numFmtId="0" fillId="2" borderId="0" applyFont="1" applyNumberFormat="0" applyFill="0" applyBorder="0" applyAlignment="1">
      <alignment horizontal="left" vertical="center" textRotation="0" wrapText="true" shrinkToFit="false"/>
    </xf>
    <xf xfId="0" fontId="5" numFmtId="0" fillId="2" borderId="0" applyFont="1" applyNumberFormat="0" applyFill="0" applyBorder="0" applyAlignment="1">
      <alignment horizontal="center" vertical="center" textRotation="0" wrapText="false" shrinkToFit="false"/>
    </xf>
    <xf xfId="0" fontId="5" numFmtId="0" fillId="2" borderId="0" applyFont="1" applyNumberFormat="0" applyFill="0" applyBorder="0" applyAlignment="1">
      <alignment horizontal="left" vertical="center" textRotation="0" wrapText="false" shrinkToFit="false"/>
    </xf>
    <xf xfId="0" fontId="5" numFmtId="0" fillId="2" borderId="0" applyFont="1" applyNumberFormat="0" applyFill="0" applyBorder="0" applyAlignment="1">
      <alignment horizontal="general" vertical="center" textRotation="0" wrapText="false" shrinkToFit="false"/>
    </xf>
    <xf xfId="0" fontId="5" numFmtId="0" fillId="2" borderId="0" applyFont="1" applyNumberFormat="0" applyFill="0" applyBorder="0" applyAlignment="1">
      <alignment horizontal="general" vertical="center" textRotation="0" wrapText="true" shrinkToFit="false"/>
    </xf>
    <xf xfId="0" fontId="6" numFmtId="0" fillId="2" borderId="0" applyFont="1" applyNumberFormat="0" applyFill="0" applyBorder="0" applyAlignment="1">
      <alignment horizontal="general" vertical="center" textRotation="0" wrapText="false" shrinkToFit="false"/>
    </xf>
    <xf xfId="0" fontId="6" numFmtId="0" fillId="2" borderId="0" applyFont="1" applyNumberFormat="0" applyFill="0" applyBorder="0" applyAlignment="1">
      <alignment horizontal="general" vertical="center" textRotation="0" wrapText="tru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bottom" textRotation="0" wrapText="true" shrinkToFit="false"/>
    </xf>
    <xf xfId="0" fontId="4" numFmtId="0" fillId="3" borderId="1" applyFont="1" applyNumberFormat="0" applyFill="1" applyBorder="1" applyAlignment="1">
      <alignment horizontal="center" vertical="center" textRotation="0" wrapText="true" shrinkToFit="false"/>
    </xf>
    <xf xfId="0" fontId="3" numFmtId="0" fillId="2" borderId="0" applyFont="1" applyNumberFormat="0" applyFill="0" applyBorder="0" applyAlignment="1">
      <alignment horizontal="left" vertical="center" textRotation="0" wrapText="true" shrinkToFit="false"/>
    </xf>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center" textRotation="0" wrapText="false" shrinkToFit="false"/>
    </xf>
    <xf xfId="0" fontId="6" numFmtId="0" fillId="2" borderId="0" applyFont="1"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general" vertical="center" textRotation="0" wrapText="true" shrinkToFit="false"/>
    </xf>
    <xf xfId="0" fontId="2"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3" numFmtId="0" fillId="2" borderId="0" applyFont="1" applyNumberFormat="0" applyFill="0" applyBorder="0" applyAlignment="1">
      <alignment horizontal="left" vertical="center" textRotation="0" wrapText="false" shrinkToFit="false"/>
    </xf>
    <xf xfId="0" fontId="5" numFmtId="0" fillId="2" borderId="0" applyFont="1" applyNumberFormat="0" applyFill="0" applyBorder="0" applyAlignment="1">
      <alignment horizontal="left" vertical="center" textRotation="0" wrapText="true" shrinkToFit="false"/>
    </xf>
    <xf xfId="0" fontId="1" numFmtId="0" fillId="2" borderId="0" applyFont="1" applyNumberFormat="0" applyFill="0" applyBorder="0" applyAlignment="1">
      <alignment horizontal="left" vertical="center" textRotation="0" wrapText="false" shrinkToFit="false"/>
    </xf>
    <xf xfId="0" fontId="3" numFmtId="0" fillId="2" borderId="0" applyFont="1" applyNumberFormat="0" applyFill="0" applyBorder="0" applyAlignment="1">
      <alignment horizontal="left" vertical="center" textRotation="0" wrapText="false" shrinkToFit="false"/>
    </xf>
    <xf xfId="0" fontId="1" numFmtId="0" fillId="2" borderId="1" applyFont="1" applyNumberFormat="0" applyFill="0" applyBorder="1" applyAlignment="1">
      <alignment horizontal="center" vertical="center" textRotation="0" wrapText="false" shrinkToFit="false"/>
    </xf>
    <xf xfId="0" fontId="4" numFmtId="0" fillId="4" borderId="1" applyFont="1" applyNumberFormat="0" applyFill="1" applyBorder="1" applyAlignment="1">
      <alignment horizontal="center" vertical="center" textRotation="0" wrapText="false" shrinkToFit="false"/>
    </xf>
    <xf xfId="0" fontId="1" numFmtId="49" fillId="2" borderId="1" applyFont="1" applyNumberFormat="1" applyFill="0" applyBorder="1" applyAlignment="1">
      <alignment horizontal="center" vertical="center" textRotation="0" wrapText="false" shrinkToFit="false"/>
    </xf>
    <xf xfId="0" fontId="4" numFmtId="49" fillId="4" borderId="1" applyFont="1" applyNumberFormat="1" applyFill="1" applyBorder="1" applyAlignment="1">
      <alignment horizontal="center" vertical="center" textRotation="0" wrapText="false" shrinkToFit="false"/>
    </xf>
    <xf xfId="0" fontId="1" numFmtId="0" fillId="2" borderId="1" applyFont="1" applyNumberFormat="0" applyFill="0" applyBorder="1" applyAlignment="1">
      <alignment horizontal="center" vertical="center" textRotation="0" wrapText="true" shrinkToFit="false"/>
    </xf>
    <xf xfId="0" fontId="4" numFmtId="0" fillId="4" borderId="1" applyFont="1" applyNumberFormat="0" applyFill="1" applyBorder="1" applyAlignment="1">
      <alignment horizontal="center" vertical="center" textRotation="0" wrapText="true" shrinkToFit="false"/>
    </xf>
    <xf xfId="0" fontId="1" numFmtId="0" fillId="2" borderId="1" applyFont="1" applyNumberFormat="0" applyFill="0" applyBorder="1" applyAlignment="1">
      <alignment horizontal="general" vertical="center" textRotation="0" wrapText="true" shrinkToFit="false"/>
    </xf>
    <xf xfId="0" fontId="1" numFmtId="164" fillId="2" borderId="1" applyFont="1" applyNumberFormat="1" applyFill="0" applyBorder="1" applyAlignment="1">
      <alignment horizontal="general" vertical="center" textRotation="0" wrapText="true" shrinkToFit="false"/>
    </xf>
    <xf xfId="0" fontId="4" numFmtId="164" fillId="4" borderId="1" applyFont="1" applyNumberFormat="1" applyFill="1" applyBorder="1" applyAlignment="1">
      <alignment horizontal="general" vertical="center" textRotation="0" wrapText="true" shrinkToFit="false"/>
    </xf>
    <xf xfId="0" fontId="1" numFmtId="0" fillId="2" borderId="1" applyFont="1" applyNumberFormat="0" applyFill="0" applyBorder="1" applyAlignment="1">
      <alignment horizontal="general" vertical="center" textRotation="0" wrapText="false" shrinkToFit="false"/>
    </xf>
    <xf xfId="0" fontId="1" numFmtId="164" fillId="2" borderId="1" applyFont="1" applyNumberFormat="1" applyFill="0" applyBorder="1" applyAlignment="1">
      <alignment horizontal="general" vertical="center" textRotation="0" wrapText="false" shrinkToFit="false"/>
    </xf>
    <xf xfId="0" fontId="4" numFmtId="164" fillId="4" borderId="1" applyFont="1" applyNumberFormat="1" applyFill="1" applyBorder="1" applyAlignment="1">
      <alignment horizontal="general" vertical="center" textRotation="0" wrapText="false" shrinkToFit="false"/>
    </xf>
    <xf xfId="0" fontId="4" numFmtId="0" fillId="4" borderId="1" applyFont="1" applyNumberFormat="0" applyFill="1" applyBorder="1" applyAlignment="1">
      <alignment horizontal="general" vertical="center" textRotation="0" wrapText="true" shrinkToFit="false"/>
    </xf>
    <xf xfId="0" fontId="4" numFmtId="0" fillId="4" borderId="1" applyFont="1" applyNumberFormat="0" applyFill="1"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4" numFmtId="0" fillId="3" borderId="1" applyFont="1" applyNumberFormat="0" applyFill="1" applyBorder="1" applyAlignment="1">
      <alignment horizontal="center" vertical="center" textRotation="0" wrapText="false" shrinkToFit="false"/>
    </xf>
    <xf xfId="0" fontId="4" numFmtId="49" fillId="3" borderId="1" applyFont="1" applyNumberFormat="1" applyFill="1" applyBorder="1" applyAlignment="1">
      <alignment horizontal="center" vertical="center" textRotation="0" wrapText="false" shrinkToFit="false"/>
    </xf>
    <xf xfId="0" fontId="4" numFmtId="164" fillId="3" borderId="1" applyFont="1" applyNumberFormat="1" applyFill="1" applyBorder="1" applyAlignment="1">
      <alignment horizontal="general" vertical="center" textRotation="0" wrapText="true" shrinkToFit="false"/>
    </xf>
    <xf xfId="0" fontId="3" numFmtId="0" fillId="2"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382500" cy="1362075"/>
    <xdr:pic>
      <xdr:nvPicPr>
        <xdr:cNvPr id="1" name="Picture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O1002"/>
  <sheetViews>
    <sheetView tabSelected="1" workbookViewId="0" showGridLines="true" showRowColHeaders="1">
      <selection activeCell="A971" sqref="A971"/>
    </sheetView>
  </sheetViews>
  <sheetFormatPr customHeight="true" defaultRowHeight="15" defaultColWidth="12.625" outlineLevelRow="0" outlineLevelCol="0"/>
  <cols>
    <col min="1" max="1" width="5.875" customWidth="true" style="0"/>
    <col min="2" max="2" width="44.703369" bestFit="true" customWidth="true" style="0"/>
    <col min="3" max="3" width="49.416504" bestFit="true" customWidth="true" style="1"/>
    <col min="4" max="4" width="18.375" customWidth="true" style="0"/>
    <col min="5" max="5" width="23.75" customWidth="true" style="0"/>
    <col min="6" max="6" width="17.125" customWidth="true" style="0"/>
    <col min="7" max="7" width="12.25" customWidth="true" style="0"/>
    <col min="8" max="8" width="26.125" customWidth="true" style="0"/>
    <col min="9" max="9" width="12.125" customWidth="true" style="0"/>
    <col min="10" max="10" width="11.5" customWidth="true" style="0"/>
    <col min="11" max="11" width="12.75" customWidth="true" style="0"/>
    <col min="12" max="12" width="12.75" customWidth="true" style="32"/>
    <col min="13" max="13" width="12.75" customWidth="true" style="32"/>
    <col min="14" max="14" width="12.75" customWidth="true" style="32"/>
    <col min="15" max="15" width="12.75" customWidth="true" style="32"/>
    <col min="16" max="16" width="12.75" customWidth="true" style="32"/>
    <col min="17" max="17" width="12.75" customWidth="true" style="32"/>
    <col min="18" max="18" width="12.75" customWidth="true" style="32"/>
    <col min="19" max="19" width="12.75" customWidth="true" style="32"/>
    <col min="20" max="20" width="12.75" customWidth="true" style="32"/>
    <col min="21" max="21" width="12.75" customWidth="true" style="32"/>
    <col min="22" max="22" width="12.75" customWidth="true" style="32"/>
    <col min="23" max="23" width="12.75" customWidth="true" style="32"/>
    <col min="24" max="24" width="12.75" customWidth="true" style="32"/>
    <col min="25" max="25" width="14.25" customWidth="true" style="0"/>
    <col min="26" max="26" width="14.25" customWidth="true" style="0"/>
    <col min="27" max="27" width="11.75" customWidth="true" style="0"/>
    <col min="28" max="28" width="10.875" customWidth="true" style="0"/>
    <col min="29" max="29" width="15.5" customWidth="true" style="0"/>
    <col min="30" max="30" width="14.125" customWidth="true" style="0"/>
    <col min="31" max="31" width="15.25" customWidth="true" style="0"/>
    <col min="32" max="32" width="14.5" customWidth="true" style="0"/>
    <col min="33" max="33" width="14.5" customWidth="true" style="33"/>
    <col min="34" max="34" width="15.375" customWidth="true" style="0"/>
    <col min="35" max="35" width="12.75" customWidth="true" style="0"/>
    <col min="36" max="36" width="12.75" customWidth="true" style="0"/>
    <col min="37" max="37" width="13.875" customWidth="true" style="0"/>
    <col min="38" max="38" width="15.875" customWidth="true" style="0"/>
    <col min="39" max="39" width="14.875" customWidth="true" style="34"/>
    <col min="40" max="40" width="10.5" customWidth="true" style="0"/>
    <col min="41" max="41" width="7.625" customWidth="true" style="0"/>
  </cols>
  <sheetData>
    <row r="1" spans="1:41" customHeight="1" ht="29.25">
      <c r="A1" s="2"/>
      <c r="B1" s="3"/>
      <c r="C1" s="4"/>
      <c r="D1" s="5"/>
      <c r="E1" s="5"/>
      <c r="F1" s="6"/>
      <c r="G1" s="7"/>
      <c r="H1" s="5"/>
      <c r="I1" s="8"/>
      <c r="J1" s="8"/>
      <c r="K1" s="8"/>
      <c r="L1" s="8"/>
      <c r="M1" s="8"/>
      <c r="N1" s="8"/>
      <c r="O1" s="8"/>
      <c r="P1" s="8"/>
      <c r="Q1" s="8"/>
      <c r="R1" s="8"/>
      <c r="S1" s="8"/>
      <c r="T1" s="8"/>
      <c r="U1" s="8"/>
      <c r="V1" s="8"/>
      <c r="W1" s="8"/>
      <c r="X1" s="8"/>
      <c r="Y1" s="27"/>
      <c r="Z1" s="27"/>
      <c r="AA1" s="27"/>
      <c r="AB1" s="27"/>
      <c r="AC1" s="27"/>
      <c r="AD1" s="27"/>
      <c r="AE1" s="27"/>
      <c r="AF1" s="27"/>
      <c r="AG1" s="27"/>
      <c r="AH1" s="27"/>
      <c r="AI1" s="27"/>
      <c r="AJ1" s="27"/>
      <c r="AK1" s="27"/>
      <c r="AL1" s="27"/>
      <c r="AM1" s="27"/>
      <c r="AN1" s="27"/>
      <c r="AO1" s="27"/>
    </row>
    <row r="2" spans="1:41" customHeight="1" ht="22.5">
      <c r="A2" s="2"/>
      <c r="B2" s="3"/>
      <c r="C2" s="4"/>
      <c r="D2" s="5"/>
      <c r="E2" s="5"/>
      <c r="F2" s="6"/>
      <c r="G2" s="8"/>
      <c r="H2" s="5"/>
      <c r="I2" s="8"/>
      <c r="J2" s="8"/>
      <c r="K2" s="8"/>
      <c r="L2" s="8"/>
      <c r="M2" s="8"/>
      <c r="N2" s="8"/>
      <c r="O2" s="8"/>
      <c r="P2" s="8"/>
      <c r="Q2" s="8"/>
      <c r="R2" s="8"/>
      <c r="S2" s="8"/>
      <c r="T2" s="8"/>
      <c r="U2" s="8"/>
      <c r="V2" s="8"/>
      <c r="W2" s="8"/>
      <c r="X2" s="8"/>
      <c r="Y2" s="27"/>
      <c r="Z2" s="27"/>
      <c r="AA2" s="27"/>
      <c r="AB2" s="27"/>
      <c r="AC2" s="27"/>
      <c r="AD2" s="27"/>
      <c r="AE2" s="27"/>
      <c r="AF2" s="27"/>
      <c r="AG2" s="27"/>
      <c r="AH2" s="27"/>
      <c r="AI2" s="27"/>
      <c r="AJ2" s="27"/>
      <c r="AK2" s="27"/>
      <c r="AL2" s="27"/>
      <c r="AM2" s="27"/>
      <c r="AN2" s="27"/>
      <c r="AO2" s="27"/>
    </row>
    <row r="3" spans="1:41" customHeight="1" ht="24">
      <c r="A3" s="2"/>
      <c r="B3" s="3"/>
      <c r="C3" s="4"/>
      <c r="D3" s="5"/>
      <c r="E3" s="5"/>
      <c r="F3" s="6"/>
      <c r="G3" s="7"/>
      <c r="H3" s="5"/>
      <c r="I3" s="8"/>
      <c r="J3" s="8"/>
      <c r="K3" s="8"/>
      <c r="L3" s="8"/>
      <c r="M3" s="8"/>
      <c r="N3" s="8"/>
      <c r="O3" s="8"/>
      <c r="P3" s="8"/>
      <c r="Q3" s="8"/>
      <c r="R3" s="8"/>
      <c r="S3" s="8"/>
      <c r="T3" s="8"/>
      <c r="U3" s="8"/>
      <c r="V3" s="8"/>
      <c r="W3" s="8"/>
      <c r="X3" s="8"/>
      <c r="Y3" s="27"/>
      <c r="Z3" s="27"/>
      <c r="AA3" s="27"/>
      <c r="AB3" s="27"/>
      <c r="AC3" s="27"/>
      <c r="AD3" s="27"/>
      <c r="AE3" s="27"/>
      <c r="AF3" s="27"/>
      <c r="AG3" s="27"/>
      <c r="AH3" s="27"/>
      <c r="AI3" s="27"/>
      <c r="AJ3" s="27"/>
      <c r="AK3" s="27"/>
      <c r="AL3" s="27"/>
      <c r="AM3" s="27"/>
      <c r="AN3" s="27"/>
      <c r="AO3" s="27"/>
    </row>
    <row r="4" spans="1:41" customHeight="1" ht="21">
      <c r="A4" s="2"/>
      <c r="B4" s="3"/>
      <c r="C4" s="4"/>
      <c r="D4" s="5"/>
      <c r="E4" s="5"/>
      <c r="F4" s="6"/>
      <c r="G4" s="7"/>
      <c r="H4" s="5"/>
      <c r="I4" s="8"/>
      <c r="J4" s="8"/>
      <c r="K4" s="8"/>
      <c r="L4" s="8"/>
      <c r="M4" s="8"/>
      <c r="N4" s="8"/>
      <c r="O4" s="8"/>
      <c r="P4" s="8"/>
      <c r="Q4" s="8"/>
      <c r="R4" s="8"/>
      <c r="S4" s="8"/>
      <c r="T4" s="8"/>
      <c r="U4" s="8"/>
      <c r="V4" s="8"/>
      <c r="W4" s="8"/>
      <c r="X4" s="8"/>
      <c r="Y4" s="27"/>
      <c r="Z4" s="27"/>
      <c r="AA4" s="27"/>
      <c r="AB4" s="27"/>
      <c r="AC4" s="27"/>
      <c r="AD4" s="27"/>
      <c r="AE4" s="27"/>
      <c r="AF4" s="27"/>
      <c r="AG4" s="27"/>
      <c r="AH4" s="27"/>
      <c r="AI4" s="27"/>
      <c r="AJ4" s="27"/>
      <c r="AK4" s="27"/>
      <c r="AL4" s="27"/>
      <c r="AM4" s="27"/>
      <c r="AN4" s="27"/>
      <c r="AO4" s="27"/>
    </row>
    <row r="5" spans="1:41" customHeight="1" ht="24">
      <c r="A5" s="2"/>
      <c r="B5" s="3"/>
      <c r="C5" s="4"/>
      <c r="D5" s="5"/>
      <c r="E5" s="5"/>
      <c r="F5" s="6"/>
      <c r="G5" s="7"/>
      <c r="H5" s="5"/>
      <c r="I5" s="8"/>
      <c r="J5" s="8"/>
      <c r="K5" s="8"/>
      <c r="L5" s="8"/>
      <c r="M5" s="8"/>
      <c r="N5" s="8"/>
      <c r="O5" s="8"/>
      <c r="P5" s="8"/>
      <c r="Q5" s="8"/>
      <c r="R5" s="8"/>
      <c r="S5" s="8"/>
      <c r="T5" s="8"/>
      <c r="U5" s="8"/>
      <c r="V5" s="8"/>
      <c r="W5" s="8"/>
      <c r="X5" s="8"/>
      <c r="Y5" s="27"/>
      <c r="Z5" s="27"/>
      <c r="AA5" s="27"/>
      <c r="AB5" s="27"/>
      <c r="AC5" s="27"/>
      <c r="AD5" s="27"/>
      <c r="AE5" s="27"/>
      <c r="AF5" s="27"/>
      <c r="AG5" s="27"/>
      <c r="AH5" s="27"/>
      <c r="AI5" s="27"/>
      <c r="AJ5" s="27"/>
      <c r="AK5" s="27"/>
      <c r="AL5" s="27"/>
      <c r="AM5" s="27"/>
      <c r="AN5" s="27"/>
      <c r="AO5" s="27"/>
    </row>
    <row r="6" spans="1:41" customHeight="1" ht="25.5">
      <c r="A6" s="38" t="s">
        <v>0</v>
      </c>
      <c r="B6" s="39"/>
      <c r="C6" s="39"/>
      <c r="D6" s="39"/>
      <c r="E6" s="39"/>
      <c r="F6" s="39"/>
      <c r="G6" s="39"/>
      <c r="H6" s="39"/>
      <c r="I6" s="11"/>
      <c r="J6" s="11"/>
      <c r="K6" s="11"/>
      <c r="L6" s="11"/>
      <c r="M6" s="11"/>
      <c r="N6" s="11"/>
      <c r="O6" s="11"/>
      <c r="P6" s="11"/>
      <c r="Q6" s="11"/>
      <c r="R6" s="11"/>
      <c r="S6" s="11"/>
      <c r="T6" s="11"/>
      <c r="U6" s="11"/>
      <c r="V6" s="11"/>
      <c r="W6" s="11"/>
      <c r="X6" s="11"/>
      <c r="Y6" s="27"/>
      <c r="Z6" s="27"/>
      <c r="AA6" s="27"/>
      <c r="AB6" s="27"/>
      <c r="AC6" s="27"/>
      <c r="AD6" s="27"/>
      <c r="AE6" s="27"/>
      <c r="AF6" s="27"/>
      <c r="AG6" s="27"/>
      <c r="AH6" s="27"/>
      <c r="AI6" s="27"/>
      <c r="AJ6" s="27"/>
      <c r="AK6" s="27"/>
      <c r="AL6" s="27"/>
      <c r="AM6" s="27"/>
      <c r="AN6" s="27"/>
      <c r="AO6" s="27"/>
    </row>
    <row r="7" spans="1:41" customHeight="1" ht="19.5">
      <c r="A7" s="9"/>
      <c r="B7" s="9"/>
      <c r="C7" s="9"/>
      <c r="D7" s="10"/>
      <c r="E7" s="10"/>
      <c r="F7" s="9"/>
      <c r="G7" s="11"/>
      <c r="H7" s="12"/>
      <c r="I7" s="11"/>
      <c r="J7" s="11"/>
      <c r="K7" s="11"/>
      <c r="L7" s="11"/>
      <c r="M7" s="11"/>
      <c r="N7" s="11"/>
      <c r="O7" s="11"/>
      <c r="P7" s="11"/>
      <c r="Q7" s="11"/>
      <c r="R7" s="11"/>
      <c r="S7" s="11"/>
      <c r="T7" s="11"/>
      <c r="U7" s="11"/>
      <c r="V7" s="11"/>
      <c r="W7" s="11"/>
      <c r="X7" s="11"/>
      <c r="Y7" s="27"/>
      <c r="Z7" s="27"/>
      <c r="AA7" s="27"/>
      <c r="AB7" s="27"/>
      <c r="AC7" s="27"/>
      <c r="AD7" s="27"/>
      <c r="AE7" s="27"/>
      <c r="AF7" s="27"/>
      <c r="AG7" s="27"/>
      <c r="AH7" s="27"/>
      <c r="AI7" s="27"/>
      <c r="AJ7" s="27"/>
      <c r="AK7" s="27"/>
      <c r="AL7" s="27"/>
      <c r="AM7" s="27"/>
      <c r="AN7" s="27"/>
      <c r="AO7" s="27"/>
    </row>
    <row r="8" spans="1:41" customHeight="1" ht="25.5">
      <c r="A8" s="13"/>
      <c r="B8" s="14"/>
      <c r="C8" s="4"/>
      <c r="D8" s="15" t="s">
        <v>1</v>
      </c>
      <c r="E8" s="16" t="s">
        <v>2</v>
      </c>
      <c r="F8" s="17"/>
      <c r="G8" s="7"/>
      <c r="H8" s="5"/>
      <c r="I8" s="8"/>
      <c r="J8" s="8"/>
      <c r="K8" s="8"/>
      <c r="L8" s="8"/>
      <c r="M8" s="8"/>
      <c r="N8" s="8"/>
      <c r="O8" s="8"/>
      <c r="P8" s="8"/>
      <c r="Q8" s="8"/>
      <c r="R8" s="8"/>
      <c r="S8" s="8"/>
      <c r="T8" s="8"/>
      <c r="U8" s="8"/>
      <c r="V8" s="8"/>
      <c r="W8" s="8"/>
      <c r="X8" s="8"/>
      <c r="Y8" s="27"/>
      <c r="Z8" s="27"/>
      <c r="AA8" s="27"/>
      <c r="AB8" s="27"/>
      <c r="AC8" s="27"/>
      <c r="AD8" s="27"/>
      <c r="AE8" s="27"/>
      <c r="AF8" s="27"/>
      <c r="AG8" s="27"/>
      <c r="AH8" s="27"/>
      <c r="AI8" s="27"/>
      <c r="AJ8" s="27"/>
      <c r="AK8" s="27"/>
      <c r="AL8" s="27"/>
      <c r="AM8" s="27"/>
      <c r="AN8" s="27"/>
      <c r="AO8" s="27"/>
    </row>
    <row r="9" spans="1:41" customHeight="1" ht="19.5">
      <c r="A9" s="13"/>
      <c r="B9" s="14"/>
      <c r="C9" s="4"/>
      <c r="D9" s="15" t="s">
        <v>3</v>
      </c>
      <c r="E9" s="16" t="s">
        <v>4</v>
      </c>
      <c r="F9" s="17"/>
      <c r="G9" s="7"/>
      <c r="H9" s="5"/>
      <c r="I9" s="8"/>
      <c r="J9" s="8"/>
      <c r="K9" s="8"/>
      <c r="L9" s="8"/>
      <c r="M9" s="8"/>
      <c r="N9" s="8"/>
      <c r="O9" s="8"/>
      <c r="P9" s="8"/>
      <c r="Q9" s="8"/>
      <c r="R9" s="8"/>
      <c r="S9" s="8"/>
      <c r="T9" s="8"/>
      <c r="U9" s="8"/>
      <c r="V9" s="8"/>
      <c r="W9" s="8"/>
      <c r="X9" s="8"/>
      <c r="Y9" s="27"/>
      <c r="Z9" s="27"/>
      <c r="AA9" s="27"/>
      <c r="AB9" s="27"/>
      <c r="AC9" s="27"/>
      <c r="AD9" s="27"/>
      <c r="AE9" s="27"/>
      <c r="AF9" s="27"/>
      <c r="AG9" s="27"/>
      <c r="AH9" s="27"/>
      <c r="AI9" s="27"/>
      <c r="AJ9" s="27"/>
      <c r="AK9" s="27"/>
      <c r="AL9" s="27"/>
      <c r="AM9" s="27"/>
      <c r="AN9" s="27"/>
      <c r="AO9" s="27"/>
    </row>
    <row r="10" spans="1:41" customHeight="1" ht="25.5">
      <c r="A10" s="13"/>
      <c r="B10" s="14"/>
      <c r="C10" s="4"/>
      <c r="D10" s="15" t="s">
        <v>5</v>
      </c>
      <c r="E10" s="16" t="s">
        <v>6</v>
      </c>
      <c r="F10" s="17"/>
      <c r="G10" s="7"/>
      <c r="H10" s="5"/>
      <c r="I10" s="8"/>
      <c r="J10" s="8"/>
      <c r="K10" s="8"/>
      <c r="L10" s="8"/>
      <c r="M10" s="8"/>
      <c r="N10" s="8"/>
      <c r="O10" s="8"/>
      <c r="P10" s="8"/>
      <c r="Q10" s="8"/>
      <c r="R10" s="8"/>
      <c r="S10" s="8"/>
      <c r="T10" s="8"/>
      <c r="U10" s="8"/>
      <c r="V10" s="8"/>
      <c r="W10" s="8"/>
      <c r="X10" s="8"/>
      <c r="Y10" s="27"/>
      <c r="Z10" s="27"/>
      <c r="AA10" s="27"/>
      <c r="AB10" s="27"/>
      <c r="AC10" s="27"/>
      <c r="AD10" s="27"/>
      <c r="AE10" s="27"/>
      <c r="AF10" s="27"/>
      <c r="AG10" s="27"/>
      <c r="AH10" s="27"/>
      <c r="AI10" s="27"/>
      <c r="AJ10" s="27"/>
      <c r="AK10" s="27"/>
      <c r="AL10" s="27"/>
      <c r="AM10" s="27"/>
      <c r="AN10" s="27"/>
      <c r="AO10" s="27"/>
    </row>
    <row r="11" spans="1:41" customHeight="1" ht="22.5">
      <c r="A11" s="2"/>
      <c r="B11" s="3"/>
      <c r="C11" s="4"/>
      <c r="D11" s="5"/>
      <c r="E11" s="5"/>
      <c r="F11" s="6"/>
      <c r="G11" s="7"/>
      <c r="H11" s="5"/>
      <c r="I11" s="8"/>
      <c r="J11" s="8"/>
      <c r="K11" s="8"/>
      <c r="L11" s="8"/>
      <c r="M11" s="8"/>
      <c r="N11" s="8"/>
      <c r="O11" s="8"/>
      <c r="P11" s="8"/>
      <c r="Q11" s="8"/>
      <c r="R11" s="8"/>
      <c r="S11" s="8"/>
      <c r="T11" s="8"/>
      <c r="U11" s="8"/>
      <c r="V11" s="8"/>
      <c r="W11" s="8"/>
      <c r="X11" s="8"/>
      <c r="Y11" s="27"/>
      <c r="Z11" s="27"/>
      <c r="AA11" s="27"/>
      <c r="AB11" s="27"/>
      <c r="AC11" s="27"/>
      <c r="AD11" s="27"/>
      <c r="AE11" s="27"/>
      <c r="AF11" s="27"/>
      <c r="AG11" s="27"/>
      <c r="AH11" s="27"/>
      <c r="AI11" s="27"/>
      <c r="AJ11" s="27"/>
      <c r="AK11" s="27"/>
      <c r="AL11" s="27"/>
      <c r="AM11" s="27"/>
      <c r="AN11" s="27"/>
      <c r="AO11" s="27"/>
    </row>
    <row r="12" spans="1:41" customHeight="1" ht="21.75">
      <c r="A12" s="40" t="s">
        <v>7</v>
      </c>
      <c r="B12" s="39"/>
      <c r="C12" s="39"/>
      <c r="D12" s="39"/>
      <c r="E12" s="5"/>
      <c r="F12" s="6"/>
      <c r="G12" s="7"/>
      <c r="H12" s="5">
        <v>522347100</v>
      </c>
      <c r="I12" s="8"/>
      <c r="J12" s="8"/>
      <c r="K12" s="8"/>
      <c r="L12" s="8"/>
      <c r="M12" s="8"/>
      <c r="N12" s="8"/>
      <c r="O12" s="8"/>
      <c r="P12" s="8"/>
      <c r="Q12" s="8"/>
      <c r="R12" s="8"/>
      <c r="S12" s="8"/>
      <c r="T12" s="8"/>
      <c r="U12" s="8"/>
      <c r="V12" s="8"/>
      <c r="W12" s="8"/>
      <c r="X12" s="8"/>
      <c r="Y12" s="27"/>
      <c r="Z12" s="27"/>
      <c r="AA12" s="27"/>
      <c r="AB12" s="27"/>
      <c r="AC12" s="27"/>
      <c r="AD12" s="27"/>
      <c r="AE12" s="27"/>
      <c r="AF12" s="27"/>
      <c r="AG12" s="27"/>
      <c r="AH12" s="27"/>
      <c r="AI12" s="27"/>
      <c r="AJ12" s="27"/>
      <c r="AK12" s="27"/>
      <c r="AL12" s="27"/>
      <c r="AM12" s="27"/>
      <c r="AN12" s="27"/>
      <c r="AO12" s="27"/>
    </row>
    <row r="13" spans="1:41" customHeight="1" ht="25.5">
      <c r="A13" s="40" t="s">
        <v>8</v>
      </c>
      <c r="B13" s="39"/>
      <c r="C13" s="39"/>
      <c r="D13" s="39"/>
      <c r="E13" s="5"/>
      <c r="F13" s="6"/>
      <c r="G13" s="7"/>
      <c r="H13" s="5">
        <v>27857096</v>
      </c>
      <c r="I13" s="8"/>
      <c r="J13" s="8"/>
      <c r="K13" s="8"/>
      <c r="L13" s="8"/>
      <c r="M13" s="8"/>
      <c r="N13" s="8"/>
      <c r="O13" s="8"/>
      <c r="P13" s="8"/>
      <c r="Q13" s="8"/>
      <c r="R13" s="8"/>
      <c r="S13" s="8"/>
      <c r="T13" s="8"/>
      <c r="U13" s="8"/>
      <c r="V13" s="8"/>
      <c r="W13" s="8"/>
      <c r="X13" s="8"/>
      <c r="Y13" s="27"/>
      <c r="Z13" s="27"/>
      <c r="AA13" s="27"/>
      <c r="AB13" s="27"/>
      <c r="AC13" s="27"/>
      <c r="AD13" s="27"/>
      <c r="AE13" s="27"/>
      <c r="AF13" s="27"/>
      <c r="AG13" s="27"/>
      <c r="AH13" s="27"/>
      <c r="AI13" s="27"/>
      <c r="AJ13" s="27"/>
      <c r="AK13" s="27"/>
      <c r="AL13" s="27"/>
      <c r="AM13" s="27"/>
      <c r="AN13" s="27"/>
      <c r="AO13" s="27"/>
    </row>
    <row r="14" spans="1:41" customHeight="1" ht="21">
      <c r="A14" s="40" t="s">
        <v>9</v>
      </c>
      <c r="B14" s="39"/>
      <c r="C14" s="39"/>
      <c r="D14" s="39"/>
      <c r="E14" s="18"/>
      <c r="F14" s="19"/>
      <c r="G14" s="7"/>
      <c r="H14" s="5">
        <v>0</v>
      </c>
      <c r="I14" s="8"/>
      <c r="J14" s="8"/>
      <c r="K14" s="8"/>
      <c r="L14" s="8"/>
      <c r="M14" s="8"/>
      <c r="N14" s="8"/>
      <c r="O14" s="8"/>
      <c r="P14" s="8"/>
      <c r="Q14" s="8"/>
      <c r="R14" s="8"/>
      <c r="S14" s="8"/>
      <c r="T14" s="8"/>
      <c r="U14" s="8"/>
      <c r="V14" s="8"/>
      <c r="W14" s="8"/>
      <c r="X14" s="8"/>
      <c r="Y14" s="27"/>
      <c r="Z14" s="27"/>
      <c r="AA14" s="27"/>
      <c r="AB14" s="27"/>
      <c r="AC14" s="27"/>
      <c r="AD14" s="27"/>
      <c r="AE14" s="27"/>
      <c r="AF14" s="27"/>
      <c r="AG14" s="27"/>
      <c r="AH14" s="27"/>
      <c r="AI14" s="27"/>
      <c r="AJ14" s="27"/>
      <c r="AK14" s="27"/>
      <c r="AL14" s="27"/>
      <c r="AM14" s="27"/>
      <c r="AN14" s="27"/>
      <c r="AO14" s="27"/>
    </row>
    <row r="15" spans="1:41" customHeight="1" ht="21">
      <c r="A15" s="40" t="s">
        <v>10</v>
      </c>
      <c r="B15" s="39"/>
      <c r="C15" s="39"/>
      <c r="D15" s="39"/>
      <c r="E15" s="18"/>
      <c r="F15" s="19"/>
      <c r="G15" s="7"/>
      <c r="H15" s="5" t="str">
        <f>AI955</f>
        <v>0</v>
      </c>
      <c r="I15" s="8"/>
      <c r="J15" s="8"/>
      <c r="K15" s="8"/>
      <c r="L15" s="8"/>
      <c r="M15" s="8"/>
      <c r="N15" s="8"/>
      <c r="O15" s="8"/>
      <c r="P15" s="8"/>
      <c r="Q15" s="8"/>
      <c r="R15" s="8"/>
      <c r="S15" s="8"/>
      <c r="T15" s="8"/>
      <c r="U15" s="8"/>
      <c r="V15" s="8"/>
      <c r="W15" s="8"/>
      <c r="X15" s="8"/>
      <c r="Y15" s="27"/>
      <c r="Z15" s="27"/>
      <c r="AA15" s="27"/>
      <c r="AB15" s="27"/>
      <c r="AC15" s="27"/>
      <c r="AD15" s="27"/>
      <c r="AE15" s="27"/>
      <c r="AF15" s="27"/>
      <c r="AG15" s="27"/>
      <c r="AH15" s="27"/>
      <c r="AI15" s="27"/>
      <c r="AJ15" s="27"/>
      <c r="AK15" s="27"/>
      <c r="AL15" s="27"/>
      <c r="AM15" s="27"/>
      <c r="AN15" s="27"/>
      <c r="AO15" s="27"/>
    </row>
    <row r="16" spans="1:41" customHeight="1" ht="21">
      <c r="A16" s="40" t="s">
        <v>11</v>
      </c>
      <c r="B16" s="39"/>
      <c r="C16" s="39"/>
      <c r="D16" s="39"/>
      <c r="E16" s="18"/>
      <c r="F16" s="19"/>
      <c r="G16" s="7"/>
      <c r="H16" s="5" t="str">
        <f>AJ955</f>
        <v>0</v>
      </c>
      <c r="I16" s="8"/>
      <c r="J16" s="8"/>
      <c r="K16" s="8"/>
      <c r="L16" s="8"/>
      <c r="M16" s="8"/>
      <c r="N16" s="8"/>
      <c r="O16" s="8"/>
      <c r="P16" s="8"/>
      <c r="Q16" s="8"/>
      <c r="R16" s="8"/>
      <c r="S16" s="8"/>
      <c r="T16" s="8"/>
      <c r="U16" s="8"/>
      <c r="V16" s="8"/>
      <c r="W16" s="8"/>
      <c r="X16" s="8"/>
      <c r="Y16" s="27"/>
      <c r="Z16" s="27"/>
      <c r="AA16" s="27"/>
      <c r="AB16" s="27"/>
      <c r="AC16" s="27"/>
      <c r="AD16" s="27"/>
      <c r="AE16" s="27"/>
      <c r="AF16" s="27"/>
      <c r="AG16" s="27"/>
      <c r="AH16" s="27"/>
      <c r="AI16" s="27"/>
      <c r="AJ16" s="27"/>
      <c r="AK16" s="27"/>
      <c r="AL16" s="27"/>
      <c r="AM16" s="27"/>
      <c r="AN16" s="27"/>
      <c r="AO16" s="27"/>
    </row>
    <row r="17" spans="1:41" customHeight="1" ht="20.25">
      <c r="A17" s="40" t="s">
        <v>12</v>
      </c>
      <c r="B17" s="40"/>
      <c r="C17" s="40"/>
      <c r="D17" s="40"/>
      <c r="E17" s="18"/>
      <c r="F17" s="19"/>
      <c r="G17" s="7"/>
      <c r="H17" s="5">
        <v>0</v>
      </c>
      <c r="I17" s="8"/>
      <c r="J17" s="8"/>
      <c r="K17" s="8"/>
      <c r="L17" s="8"/>
      <c r="M17" s="8"/>
      <c r="N17" s="8"/>
      <c r="O17" s="8"/>
      <c r="P17" s="8"/>
      <c r="Q17" s="8"/>
      <c r="R17" s="8"/>
      <c r="S17" s="8"/>
      <c r="T17" s="8"/>
      <c r="U17" s="8"/>
      <c r="V17" s="8"/>
      <c r="W17" s="8"/>
      <c r="X17" s="8"/>
      <c r="Y17" s="27"/>
      <c r="Z17" s="27"/>
      <c r="AA17" s="27"/>
      <c r="AB17" s="27"/>
      <c r="AC17" s="27"/>
      <c r="AD17" s="27"/>
      <c r="AE17" s="27"/>
      <c r="AF17" s="27"/>
      <c r="AG17" s="27"/>
      <c r="AH17" s="27"/>
      <c r="AI17" s="27"/>
      <c r="AJ17" s="27"/>
      <c r="AK17" s="27"/>
      <c r="AL17" s="27"/>
      <c r="AM17" s="27"/>
      <c r="AN17" s="27"/>
      <c r="AO17" s="27"/>
    </row>
    <row r="18" spans="1:41" customHeight="1" ht="20.25">
      <c r="A18" s="40" t="s">
        <v>13</v>
      </c>
      <c r="B18" s="40"/>
      <c r="C18" s="40"/>
      <c r="D18" s="40"/>
      <c r="E18" s="18"/>
      <c r="F18" s="19"/>
      <c r="G18" s="7"/>
      <c r="H18" s="5">
        <v>340000</v>
      </c>
      <c r="I18" s="8"/>
      <c r="J18" s="8"/>
      <c r="K18" s="8"/>
      <c r="L18" s="8"/>
      <c r="M18" s="8"/>
      <c r="N18" s="8"/>
      <c r="O18" s="8"/>
      <c r="P18" s="8"/>
      <c r="Q18" s="8"/>
      <c r="R18" s="8"/>
      <c r="S18" s="8"/>
      <c r="T18" s="8"/>
      <c r="U18" s="8"/>
      <c r="V18" s="8"/>
      <c r="W18" s="8"/>
      <c r="X18" s="8"/>
      <c r="Y18" s="27"/>
      <c r="Z18" s="27"/>
      <c r="AA18" s="27"/>
      <c r="AB18" s="27"/>
      <c r="AC18" s="27"/>
      <c r="AD18" s="27"/>
      <c r="AE18" s="27"/>
      <c r="AF18" s="27"/>
      <c r="AG18" s="27"/>
      <c r="AH18" s="27"/>
      <c r="AI18" s="27"/>
      <c r="AJ18" s="27"/>
      <c r="AK18" s="27"/>
      <c r="AL18" s="27"/>
      <c r="AM18" s="27"/>
      <c r="AN18" s="27"/>
      <c r="AO18" s="27"/>
    </row>
    <row r="19" spans="1:41" customHeight="1" ht="20.25">
      <c r="A19" s="40" t="s">
        <v>14</v>
      </c>
      <c r="B19" s="40"/>
      <c r="C19" s="40"/>
      <c r="D19" s="40"/>
      <c r="E19" s="18"/>
      <c r="F19" s="19"/>
      <c r="G19" s="7"/>
      <c r="H19" s="5">
        <v>0</v>
      </c>
      <c r="I19" s="8"/>
      <c r="J19" s="8"/>
      <c r="K19" s="8"/>
      <c r="L19" s="8"/>
      <c r="M19" s="8"/>
      <c r="N19" s="8"/>
      <c r="O19" s="8"/>
      <c r="P19" s="8"/>
      <c r="Q19" s="8"/>
      <c r="R19" s="8"/>
      <c r="S19" s="8"/>
      <c r="T19" s="8"/>
      <c r="U19" s="8"/>
      <c r="V19" s="8"/>
      <c r="W19" s="8"/>
      <c r="X19" s="8"/>
      <c r="Y19" s="27"/>
      <c r="Z19" s="27"/>
      <c r="AA19" s="27"/>
      <c r="AB19" s="27"/>
      <c r="AC19" s="27"/>
      <c r="AD19" s="27"/>
      <c r="AE19" s="27"/>
      <c r="AF19" s="27"/>
      <c r="AG19" s="27"/>
      <c r="AH19" s="27"/>
      <c r="AI19" s="27"/>
      <c r="AJ19" s="27"/>
      <c r="AK19" s="27"/>
      <c r="AL19" s="27"/>
      <c r="AM19" s="27"/>
      <c r="AN19" s="27"/>
      <c r="AO19" s="27"/>
    </row>
    <row r="20" spans="1:41" customHeight="1" ht="22.5">
      <c r="A20" s="43" t="s">
        <v>15</v>
      </c>
      <c r="B20" s="43"/>
      <c r="C20" s="43"/>
      <c r="D20" s="43"/>
      <c r="E20" s="18"/>
      <c r="F20" s="19"/>
      <c r="G20" s="7"/>
      <c r="H20" s="5">
        <v>0</v>
      </c>
      <c r="I20" s="8"/>
      <c r="J20" s="8"/>
      <c r="K20" s="8"/>
      <c r="L20" s="8"/>
      <c r="M20" s="8"/>
      <c r="N20" s="8"/>
      <c r="O20" s="8"/>
      <c r="P20" s="8"/>
      <c r="Q20" s="8"/>
      <c r="R20" s="8"/>
      <c r="S20" s="8"/>
      <c r="T20" s="8"/>
      <c r="U20" s="8"/>
      <c r="V20" s="8"/>
      <c r="W20" s="8"/>
      <c r="X20" s="8"/>
      <c r="Y20" s="27"/>
      <c r="Z20" s="27"/>
      <c r="AA20" s="27"/>
      <c r="AB20" s="27"/>
      <c r="AC20" s="27"/>
      <c r="AD20" s="27"/>
      <c r="AE20" s="27"/>
      <c r="AF20" s="27"/>
      <c r="AG20" s="27"/>
      <c r="AH20" s="27"/>
      <c r="AI20" s="27"/>
      <c r="AJ20" s="27"/>
      <c r="AK20" s="27"/>
      <c r="AL20" s="27"/>
      <c r="AM20" s="27"/>
      <c r="AN20" s="27"/>
      <c r="AO20" s="27"/>
    </row>
    <row r="21" spans="1:41" customHeight="1" ht="24">
      <c r="A21" s="40" t="s">
        <v>16</v>
      </c>
      <c r="B21" s="39"/>
      <c r="C21" s="39"/>
      <c r="D21" s="39"/>
      <c r="E21" s="5"/>
      <c r="F21" s="6"/>
      <c r="G21" s="7"/>
      <c r="H21" s="5" t="str">
        <f>5500+0</f>
        <v>0</v>
      </c>
      <c r="I21" s="8"/>
      <c r="J21" s="8"/>
      <c r="K21" s="8"/>
      <c r="L21" s="8"/>
      <c r="M21" s="8"/>
      <c r="N21" s="8"/>
      <c r="O21" s="8"/>
      <c r="P21" s="8"/>
      <c r="Q21" s="8"/>
      <c r="R21" s="8"/>
      <c r="S21" s="8"/>
      <c r="T21" s="8"/>
      <c r="U21" s="8"/>
      <c r="V21" s="8"/>
      <c r="W21" s="8"/>
      <c r="X21" s="8"/>
      <c r="Y21" s="27"/>
      <c r="Z21" s="27"/>
      <c r="AA21" s="27"/>
      <c r="AB21" s="27"/>
      <c r="AC21" s="27"/>
      <c r="AD21" s="27"/>
      <c r="AE21" s="27"/>
      <c r="AF21" s="27"/>
      <c r="AG21" s="27"/>
      <c r="AH21" s="27"/>
      <c r="AI21" s="27"/>
      <c r="AJ21" s="27"/>
      <c r="AK21" s="27"/>
      <c r="AL21" s="27"/>
      <c r="AM21" s="27"/>
      <c r="AN21" s="27"/>
      <c r="AO21" s="27"/>
    </row>
    <row r="22" spans="1:41" customHeight="1" ht="21">
      <c r="A22" s="42"/>
      <c r="B22" s="39"/>
      <c r="C22" s="39"/>
      <c r="D22" s="39"/>
      <c r="E22" s="39"/>
      <c r="F22" s="39"/>
      <c r="G22" s="39"/>
      <c r="H22" s="5"/>
      <c r="I22" s="8"/>
      <c r="J22" s="8"/>
      <c r="K22" s="8"/>
      <c r="L22" s="8"/>
      <c r="M22" s="8"/>
      <c r="N22" s="8"/>
      <c r="O22" s="8"/>
      <c r="P22" s="8"/>
      <c r="Q22" s="8"/>
      <c r="R22" s="8"/>
      <c r="S22" s="8"/>
      <c r="T22" s="8"/>
      <c r="U22" s="8"/>
      <c r="V22" s="8"/>
      <c r="W22" s="8"/>
      <c r="X22" s="8"/>
      <c r="Y22" s="27"/>
      <c r="Z22" s="27"/>
      <c r="AA22" s="27"/>
      <c r="AB22" s="27"/>
      <c r="AC22" s="27"/>
      <c r="AD22" s="27"/>
      <c r="AE22" s="27"/>
      <c r="AF22" s="27"/>
      <c r="AG22" s="27"/>
      <c r="AH22" s="27"/>
      <c r="AI22" s="27"/>
      <c r="AJ22" s="27"/>
      <c r="AK22" s="27"/>
      <c r="AL22" s="27"/>
      <c r="AM22" s="27"/>
      <c r="AN22" s="27"/>
      <c r="AO22" s="27"/>
    </row>
    <row r="23" spans="1:41" customHeight="1" ht="22.5">
      <c r="A23" s="40" t="s">
        <v>17</v>
      </c>
      <c r="B23" s="39"/>
      <c r="C23" s="39"/>
      <c r="D23" s="39"/>
      <c r="E23" s="18"/>
      <c r="F23" s="19"/>
      <c r="G23" s="7"/>
      <c r="H23" s="18">
        <v>494824504</v>
      </c>
      <c r="I23" s="8"/>
      <c r="J23" s="8"/>
      <c r="K23" s="8"/>
      <c r="L23" s="8"/>
      <c r="M23" s="8"/>
      <c r="N23" s="8"/>
      <c r="O23" s="8"/>
      <c r="P23" s="8"/>
      <c r="Q23" s="8"/>
      <c r="R23" s="8"/>
      <c r="S23" s="8"/>
      <c r="T23" s="8"/>
      <c r="U23" s="8"/>
      <c r="V23" s="8"/>
      <c r="W23" s="8"/>
      <c r="X23" s="8"/>
      <c r="Y23" s="27"/>
      <c r="Z23" s="27"/>
      <c r="AA23" s="27"/>
      <c r="AB23" s="27"/>
      <c r="AC23" s="27"/>
      <c r="AD23" s="27"/>
      <c r="AE23" s="27"/>
      <c r="AF23" s="27"/>
      <c r="AG23" s="27"/>
      <c r="AH23" s="27"/>
      <c r="AI23" s="27"/>
      <c r="AJ23" s="27"/>
      <c r="AK23" s="27"/>
      <c r="AL23" s="27"/>
      <c r="AM23" s="27"/>
      <c r="AN23" s="27"/>
      <c r="AO23" s="27"/>
    </row>
    <row r="24" spans="1:41" customHeight="1" ht="75.75">
      <c r="A24" s="41" t="s">
        <v>18</v>
      </c>
      <c r="B24" s="39"/>
      <c r="C24" s="39"/>
      <c r="D24" s="39"/>
      <c r="E24" s="39"/>
      <c r="F24" s="39"/>
      <c r="G24" s="39"/>
      <c r="H24" s="39"/>
      <c r="I24" s="24"/>
      <c r="J24" s="24"/>
      <c r="K24" s="24"/>
      <c r="L24" s="24"/>
      <c r="M24" s="24"/>
      <c r="N24" s="24"/>
      <c r="O24" s="24"/>
      <c r="P24" s="24"/>
      <c r="Q24" s="24"/>
      <c r="R24" s="24"/>
      <c r="S24" s="24"/>
      <c r="T24" s="24"/>
      <c r="U24" s="24"/>
      <c r="V24" s="24"/>
      <c r="W24" s="24"/>
      <c r="X24" s="24"/>
      <c r="Y24" s="27"/>
      <c r="Z24" s="27"/>
      <c r="AA24" s="27"/>
      <c r="AB24" s="27"/>
      <c r="AC24" s="27"/>
      <c r="AD24" s="27"/>
      <c r="AE24" s="27"/>
      <c r="AF24" s="27"/>
      <c r="AG24" s="27"/>
      <c r="AH24" s="27"/>
      <c r="AI24" s="27"/>
      <c r="AJ24" s="27"/>
      <c r="AK24" s="27"/>
      <c r="AL24" s="27"/>
      <c r="AM24" s="27"/>
      <c r="AN24" s="27"/>
      <c r="AO24" s="27"/>
    </row>
    <row r="25" spans="1:41" customHeight="1" ht="25.5">
      <c r="A25" s="31"/>
      <c r="B25" s="21"/>
      <c r="C25" s="21"/>
      <c r="D25" s="20"/>
      <c r="E25" s="20"/>
      <c r="F25" s="22"/>
      <c r="G25" s="23"/>
      <c r="H25" s="24"/>
      <c r="I25" s="22"/>
      <c r="J25" s="22"/>
      <c r="K25" s="8"/>
      <c r="L25" s="8"/>
      <c r="M25" s="8"/>
      <c r="N25" s="8"/>
      <c r="O25" s="8"/>
      <c r="P25" s="8"/>
      <c r="Q25" s="8"/>
      <c r="R25" s="8"/>
      <c r="S25" s="8"/>
      <c r="T25" s="8"/>
      <c r="U25" s="8"/>
      <c r="V25" s="8"/>
      <c r="W25" s="8"/>
      <c r="X25" s="8"/>
      <c r="Y25" s="27"/>
      <c r="Z25" s="27"/>
      <c r="AA25" s="27"/>
      <c r="AB25" s="27"/>
      <c r="AC25" s="27"/>
      <c r="AD25" s="27"/>
      <c r="AE25" s="27"/>
      <c r="AF25" s="27"/>
      <c r="AG25" s="27"/>
      <c r="AH25" s="27"/>
      <c r="AI25" s="27"/>
      <c r="AJ25" s="27"/>
      <c r="AK25" s="27"/>
      <c r="AL25" s="27"/>
      <c r="AM25" s="27"/>
      <c r="AN25" s="27"/>
      <c r="AO25" s="27"/>
    </row>
    <row r="26" spans="1:41" customHeight="1" ht="25.5">
      <c r="A26" s="31"/>
      <c r="B26" s="21"/>
      <c r="C26" s="21"/>
      <c r="D26" s="20"/>
      <c r="E26" s="20"/>
      <c r="F26" s="22"/>
      <c r="G26" s="23"/>
      <c r="H26" s="24"/>
      <c r="I26" s="22"/>
      <c r="J26" s="22"/>
      <c r="K26" s="8"/>
      <c r="L26" s="8"/>
      <c r="M26" s="8"/>
      <c r="N26" s="8"/>
      <c r="O26" s="8"/>
      <c r="P26" s="8"/>
      <c r="Q26" s="8"/>
      <c r="R26" s="8"/>
      <c r="S26" s="8"/>
      <c r="T26" s="8"/>
      <c r="U26" s="8"/>
      <c r="V26" s="8"/>
      <c r="W26" s="8"/>
      <c r="X26" s="8"/>
      <c r="Y26" s="27"/>
      <c r="Z26" s="27"/>
      <c r="AA26" s="27"/>
      <c r="AB26" s="27"/>
      <c r="AC26" s="27"/>
      <c r="AD26" s="27"/>
      <c r="AE26" s="27"/>
      <c r="AF26" s="27"/>
      <c r="AG26" s="27"/>
      <c r="AH26" s="27"/>
      <c r="AI26" s="27"/>
      <c r="AJ26" s="27"/>
      <c r="AK26" s="27"/>
      <c r="AL26" s="27"/>
      <c r="AM26" s="27"/>
      <c r="AN26" s="27"/>
      <c r="AO26" s="27"/>
    </row>
    <row r="27" spans="1:41" customHeight="1" ht="29.25">
      <c r="A27" s="35" t="s">
        <v>19</v>
      </c>
      <c r="B27" s="36"/>
      <c r="C27" s="36"/>
      <c r="D27" s="37"/>
      <c r="E27" s="37"/>
      <c r="F27" s="25"/>
      <c r="G27" s="25"/>
      <c r="H27" s="26"/>
      <c r="I27" s="25"/>
      <c r="J27" s="25"/>
      <c r="K27" s="25"/>
      <c r="L27" s="25"/>
      <c r="M27" s="25"/>
      <c r="N27" s="25"/>
      <c r="O27" s="25"/>
      <c r="P27" s="25"/>
      <c r="Q27" s="25"/>
      <c r="R27" s="25"/>
      <c r="S27" s="25"/>
      <c r="T27" s="25"/>
      <c r="U27" s="25"/>
      <c r="V27" s="25"/>
      <c r="W27" s="25"/>
      <c r="X27" s="25"/>
      <c r="Y27" s="27"/>
      <c r="Z27" s="27"/>
      <c r="AA27" s="27"/>
      <c r="AB27" s="27"/>
      <c r="AC27" s="27"/>
      <c r="AD27" s="27"/>
      <c r="AE27" s="27"/>
      <c r="AF27" s="27"/>
      <c r="AG27" s="27"/>
      <c r="AH27" s="27"/>
      <c r="AI27" s="27"/>
      <c r="AJ27" s="27"/>
      <c r="AK27" s="27"/>
      <c r="AL27" s="27"/>
      <c r="AM27" s="27"/>
      <c r="AN27" s="27"/>
      <c r="AO27" s="27"/>
    </row>
    <row r="28" spans="1:41" customHeight="1" ht="47.25" s="29" customFormat="1">
      <c r="A28" s="30" t="s">
        <v>20</v>
      </c>
      <c r="B28" s="30" t="s">
        <v>21</v>
      </c>
      <c r="C28" s="30" t="s">
        <v>22</v>
      </c>
      <c r="D28" s="30" t="s">
        <v>23</v>
      </c>
      <c r="E28" s="30" t="s">
        <v>24</v>
      </c>
      <c r="F28" s="30" t="s">
        <v>25</v>
      </c>
      <c r="G28" s="30" t="s">
        <v>26</v>
      </c>
      <c r="H28" s="30" t="s">
        <v>27</v>
      </c>
      <c r="I28" s="30" t="s">
        <v>28</v>
      </c>
      <c r="J28" s="30" t="s">
        <v>29</v>
      </c>
      <c r="K28" s="30" t="s">
        <v>30</v>
      </c>
      <c r="L28" s="30" t="s">
        <v>31</v>
      </c>
      <c r="M28" s="30" t="s">
        <v>32</v>
      </c>
      <c r="N28" s="30" t="s">
        <v>33</v>
      </c>
      <c r="O28" s="30" t="s">
        <v>34</v>
      </c>
      <c r="P28" s="30" t="s">
        <v>35</v>
      </c>
      <c r="Q28" s="30" t="s">
        <v>36</v>
      </c>
      <c r="R28" s="30" t="s">
        <v>37</v>
      </c>
      <c r="S28" s="30" t="s">
        <v>38</v>
      </c>
      <c r="T28" s="30" t="s">
        <v>39</v>
      </c>
      <c r="U28" s="30" t="s">
        <v>40</v>
      </c>
      <c r="V28" s="30" t="s">
        <v>41</v>
      </c>
      <c r="W28" s="30" t="s">
        <v>42</v>
      </c>
      <c r="X28" s="30" t="s">
        <v>43</v>
      </c>
      <c r="Y28" s="30" t="s">
        <v>44</v>
      </c>
      <c r="Z28" s="30" t="s">
        <v>45</v>
      </c>
      <c r="AA28" s="30" t="s">
        <v>46</v>
      </c>
      <c r="AB28" s="30" t="s">
        <v>47</v>
      </c>
      <c r="AC28" s="30" t="s">
        <v>48</v>
      </c>
      <c r="AD28" s="30" t="s">
        <v>49</v>
      </c>
      <c r="AE28" s="30" t="s">
        <v>50</v>
      </c>
      <c r="AF28" s="30" t="s">
        <v>51</v>
      </c>
      <c r="AG28" s="30" t="s">
        <v>52</v>
      </c>
      <c r="AH28" s="30" t="s">
        <v>53</v>
      </c>
      <c r="AI28" s="30" t="s">
        <v>54</v>
      </c>
      <c r="AJ28" s="30" t="s">
        <v>55</v>
      </c>
      <c r="AK28" s="30" t="s">
        <v>56</v>
      </c>
      <c r="AL28" s="30" t="s">
        <v>57</v>
      </c>
      <c r="AM28" s="30" t="s">
        <v>58</v>
      </c>
      <c r="AN28" s="30" t="s">
        <v>59</v>
      </c>
      <c r="AO28" s="4"/>
    </row>
    <row r="29" spans="1:41">
      <c r="A29" s="44">
        <v>1</v>
      </c>
      <c r="B29" s="44" t="s">
        <v>60</v>
      </c>
      <c r="C29" s="44" t="s">
        <v>61</v>
      </c>
      <c r="D29" s="50" t="s">
        <v>62</v>
      </c>
      <c r="E29" s="50" t="s">
        <v>63</v>
      </c>
      <c r="F29" s="53" t="s">
        <v>64</v>
      </c>
      <c r="G29" s="53">
        <v>15</v>
      </c>
      <c r="H29" s="50" t="s">
        <v>65</v>
      </c>
      <c r="I29" s="53">
        <v>0</v>
      </c>
      <c r="J29" s="53">
        <v>24000</v>
      </c>
      <c r="K29" s="53">
        <v>74000</v>
      </c>
      <c r="L29" s="53">
        <v>0</v>
      </c>
      <c r="M29" s="53">
        <v>0</v>
      </c>
      <c r="N29" s="53">
        <v>0</v>
      </c>
      <c r="O29" s="53">
        <v>0</v>
      </c>
      <c r="P29" s="53">
        <v>0</v>
      </c>
      <c r="Q29" s="53">
        <v>0</v>
      </c>
      <c r="R29" s="53">
        <v>0</v>
      </c>
      <c r="S29" s="53">
        <v>0</v>
      </c>
      <c r="T29" s="53">
        <v>0</v>
      </c>
      <c r="U29" s="53">
        <v>3700</v>
      </c>
      <c r="V29" s="53">
        <v>0</v>
      </c>
      <c r="W29" s="53">
        <v>0</v>
      </c>
      <c r="X29" s="53">
        <v>0</v>
      </c>
      <c r="Y29" s="53">
        <v>38850</v>
      </c>
      <c r="Z29" s="53">
        <v>0</v>
      </c>
      <c r="AA29" s="53">
        <v>0</v>
      </c>
      <c r="AB29" s="53">
        <v>0</v>
      </c>
      <c r="AC29" s="53">
        <v>0</v>
      </c>
      <c r="AD29" s="53">
        <v>0</v>
      </c>
      <c r="AE29" s="53">
        <v>0</v>
      </c>
      <c r="AF29" s="53">
        <v>0</v>
      </c>
      <c r="AG29" s="53">
        <v>0</v>
      </c>
      <c r="AH29" s="53">
        <v>0</v>
      </c>
      <c r="AI29" s="53">
        <v>0</v>
      </c>
      <c r="AJ29" s="53">
        <v>0</v>
      </c>
      <c r="AK29" s="53">
        <v>0</v>
      </c>
      <c r="AL29" s="53">
        <v>0</v>
      </c>
      <c r="AM29" s="53" t="str">
        <f>I29-J29-K29-L29-M29-N29-O29-P29-Q29-R29-S29-T29-U29-V29-W29-X29-Y29-Z29-AA29-AB29-AC29-AD29-AE29-AF29-AG29+AH29-AI29+AJ29+AK29-AL29</f>
        <v>0</v>
      </c>
      <c r="AN29" s="53"/>
      <c r="AO29" s="8"/>
    </row>
    <row r="30" spans="1:41">
      <c r="A30" s="44">
        <v>2</v>
      </c>
      <c r="B30" s="44" t="s">
        <v>66</v>
      </c>
      <c r="C30" s="44" t="s">
        <v>67</v>
      </c>
      <c r="D30" s="50" t="s">
        <v>62</v>
      </c>
      <c r="E30" s="50" t="s">
        <v>68</v>
      </c>
      <c r="F30" s="53" t="s">
        <v>69</v>
      </c>
      <c r="G30" s="53">
        <v>8</v>
      </c>
      <c r="H30" s="50" t="s">
        <v>70</v>
      </c>
      <c r="I30" s="53">
        <v>0</v>
      </c>
      <c r="J30" s="53">
        <v>0</v>
      </c>
      <c r="K30" s="53">
        <v>39000</v>
      </c>
      <c r="L30" s="53">
        <v>0</v>
      </c>
      <c r="M30" s="53">
        <v>0</v>
      </c>
      <c r="N30" s="53">
        <v>0</v>
      </c>
      <c r="O30" s="53">
        <v>0</v>
      </c>
      <c r="P30" s="53">
        <v>0</v>
      </c>
      <c r="Q30" s="53">
        <v>0</v>
      </c>
      <c r="R30" s="53">
        <v>0</v>
      </c>
      <c r="S30" s="53">
        <v>0</v>
      </c>
      <c r="T30" s="53">
        <v>0</v>
      </c>
      <c r="U30" s="53">
        <v>1950</v>
      </c>
      <c r="V30" s="53">
        <v>0</v>
      </c>
      <c r="W30" s="53">
        <v>0</v>
      </c>
      <c r="X30" s="53">
        <v>0</v>
      </c>
      <c r="Y30" s="53">
        <v>20475</v>
      </c>
      <c r="Z30" s="53">
        <v>0</v>
      </c>
      <c r="AA30" s="53">
        <v>0</v>
      </c>
      <c r="AB30" s="53">
        <v>0</v>
      </c>
      <c r="AC30" s="53">
        <v>0</v>
      </c>
      <c r="AD30" s="53">
        <v>0</v>
      </c>
      <c r="AE30" s="53">
        <v>0</v>
      </c>
      <c r="AF30" s="53">
        <v>0</v>
      </c>
      <c r="AG30" s="53">
        <v>0</v>
      </c>
      <c r="AH30" s="53">
        <v>0</v>
      </c>
      <c r="AI30" s="53">
        <v>0</v>
      </c>
      <c r="AJ30" s="53">
        <v>0</v>
      </c>
      <c r="AK30" s="53">
        <v>0</v>
      </c>
      <c r="AL30" s="53">
        <v>0</v>
      </c>
      <c r="AM30" s="53" t="str">
        <f>I30-J30-K30-L30-M30-N30-O30-P30-Q30-R30-S30-T30-U30-V30-W30-X30-Y30-Z30-AA30-AB30-AC30-AD30-AE30-AF30-AG30+AH30-AI30+AJ30+AK30-AL30</f>
        <v>0</v>
      </c>
      <c r="AN30" s="53"/>
      <c r="AO30" s="8"/>
    </row>
    <row r="31" spans="1:41">
      <c r="A31" s="44">
        <v>3</v>
      </c>
      <c r="B31" s="44" t="s">
        <v>71</v>
      </c>
      <c r="C31" s="44" t="s">
        <v>72</v>
      </c>
      <c r="D31" s="50" t="s">
        <v>73</v>
      </c>
      <c r="E31" s="50" t="s">
        <v>74</v>
      </c>
      <c r="F31" s="53" t="s">
        <v>75</v>
      </c>
      <c r="G31" s="53">
        <v>5</v>
      </c>
      <c r="H31" s="50" t="s">
        <v>76</v>
      </c>
      <c r="I31" s="53">
        <v>1025000</v>
      </c>
      <c r="J31" s="53">
        <v>0</v>
      </c>
      <c r="K31" s="53">
        <v>27000</v>
      </c>
      <c r="L31" s="53">
        <v>0</v>
      </c>
      <c r="M31" s="53">
        <v>0</v>
      </c>
      <c r="N31" s="53">
        <v>0</v>
      </c>
      <c r="O31" s="53">
        <v>0</v>
      </c>
      <c r="P31" s="53">
        <v>0</v>
      </c>
      <c r="Q31" s="53">
        <v>0</v>
      </c>
      <c r="R31" s="53">
        <v>0</v>
      </c>
      <c r="S31" s="53">
        <v>0</v>
      </c>
      <c r="T31" s="53">
        <v>0</v>
      </c>
      <c r="U31" s="53">
        <v>1350</v>
      </c>
      <c r="V31" s="53">
        <v>0</v>
      </c>
      <c r="W31" s="53">
        <v>0</v>
      </c>
      <c r="X31" s="53">
        <v>0</v>
      </c>
      <c r="Y31" s="53">
        <v>0</v>
      </c>
      <c r="Z31" s="53">
        <v>0</v>
      </c>
      <c r="AA31" s="53">
        <v>0</v>
      </c>
      <c r="AB31" s="53">
        <v>0</v>
      </c>
      <c r="AC31" s="53">
        <v>0</v>
      </c>
      <c r="AD31" s="53">
        <v>0</v>
      </c>
      <c r="AE31" s="53">
        <v>0</v>
      </c>
      <c r="AF31" s="53">
        <v>0</v>
      </c>
      <c r="AG31" s="53">
        <v>0</v>
      </c>
      <c r="AH31" s="53">
        <v>0</v>
      </c>
      <c r="AI31" s="53">
        <v>0</v>
      </c>
      <c r="AJ31" s="53">
        <v>0</v>
      </c>
      <c r="AK31" s="53">
        <v>0</v>
      </c>
      <c r="AL31" s="53">
        <v>0</v>
      </c>
      <c r="AM31" s="53" t="str">
        <f>I31-J31-K31-L31-M31-N31-O31-P31-Q31-R31-S31-T31-U31-V31-W31-X31-Y31-Z31-AA31-AB31-AC31-AD31-AE31-AF31-AG31+AH31-AI31+AJ31+AK31-AL31</f>
        <v>0</v>
      </c>
      <c r="AN31" s="53"/>
      <c r="AO31" s="8"/>
    </row>
    <row r="32" spans="1:41">
      <c r="A32" s="44">
        <v>4</v>
      </c>
      <c r="B32" s="44" t="s">
        <v>77</v>
      </c>
      <c r="C32" s="44" t="s">
        <v>78</v>
      </c>
      <c r="D32" s="50" t="s">
        <v>73</v>
      </c>
      <c r="E32" s="50" t="s">
        <v>79</v>
      </c>
      <c r="F32" s="53" t="s">
        <v>80</v>
      </c>
      <c r="G32" s="53">
        <v>3</v>
      </c>
      <c r="H32" s="50" t="s">
        <v>81</v>
      </c>
      <c r="I32" s="53">
        <v>799000</v>
      </c>
      <c r="J32" s="53">
        <v>0</v>
      </c>
      <c r="K32" s="53">
        <v>22000</v>
      </c>
      <c r="L32" s="53">
        <v>0</v>
      </c>
      <c r="M32" s="53">
        <v>0</v>
      </c>
      <c r="N32" s="53">
        <v>0</v>
      </c>
      <c r="O32" s="53">
        <v>0</v>
      </c>
      <c r="P32" s="53">
        <v>0</v>
      </c>
      <c r="Q32" s="53">
        <v>0</v>
      </c>
      <c r="R32" s="53">
        <v>0</v>
      </c>
      <c r="S32" s="53">
        <v>0</v>
      </c>
      <c r="T32" s="53">
        <v>0</v>
      </c>
      <c r="U32" s="53">
        <v>1100</v>
      </c>
      <c r="V32" s="53">
        <v>0</v>
      </c>
      <c r="W32" s="53">
        <v>0</v>
      </c>
      <c r="X32" s="53">
        <v>0</v>
      </c>
      <c r="Y32" s="53">
        <v>0</v>
      </c>
      <c r="Z32" s="53">
        <v>0</v>
      </c>
      <c r="AA32" s="53">
        <v>0</v>
      </c>
      <c r="AB32" s="53">
        <v>0</v>
      </c>
      <c r="AC32" s="53">
        <v>0</v>
      </c>
      <c r="AD32" s="53">
        <v>0</v>
      </c>
      <c r="AE32" s="53">
        <v>0</v>
      </c>
      <c r="AF32" s="53">
        <v>0</v>
      </c>
      <c r="AG32" s="53">
        <v>0</v>
      </c>
      <c r="AH32" s="58">
        <v>0</v>
      </c>
      <c r="AI32" s="53">
        <v>0</v>
      </c>
      <c r="AJ32" s="53">
        <v>0</v>
      </c>
      <c r="AK32" s="53">
        <v>0</v>
      </c>
      <c r="AL32" s="58">
        <v>0</v>
      </c>
      <c r="AM32" s="53" t="str">
        <f>I32-J32-K32-L32-M32-N32-O32-P32-Q32-R32-S32-T32-U32-V32-W32-X32-Y32-Z32-AA32-AB32-AC32-AD32-AE32-AF32-AG32+AH32-AI32+AJ32+AK32-AL32</f>
        <v>0</v>
      </c>
      <c r="AN32" s="58"/>
      <c r="AO32" s="28"/>
    </row>
    <row r="33" spans="1:41">
      <c r="A33" s="44">
        <v>5</v>
      </c>
      <c r="B33" s="46" t="s">
        <v>82</v>
      </c>
      <c r="C33" s="48" t="s">
        <v>83</v>
      </c>
      <c r="D33" s="51" t="s">
        <v>62</v>
      </c>
      <c r="E33" s="51" t="s">
        <v>84</v>
      </c>
      <c r="F33" s="54" t="s">
        <v>85</v>
      </c>
      <c r="G33" s="50">
        <v>4</v>
      </c>
      <c r="H33" s="51" t="s">
        <v>86</v>
      </c>
      <c r="I33" s="53">
        <v>0</v>
      </c>
      <c r="J33" s="53">
        <v>0</v>
      </c>
      <c r="K33" s="53">
        <v>25000</v>
      </c>
      <c r="L33" s="53">
        <v>0</v>
      </c>
      <c r="M33" s="53">
        <v>0</v>
      </c>
      <c r="N33" s="53">
        <v>0</v>
      </c>
      <c r="O33" s="53">
        <v>0</v>
      </c>
      <c r="P33" s="53">
        <v>0</v>
      </c>
      <c r="Q33" s="53">
        <v>0</v>
      </c>
      <c r="R33" s="53">
        <v>0</v>
      </c>
      <c r="S33" s="53">
        <v>0</v>
      </c>
      <c r="T33" s="53">
        <v>0</v>
      </c>
      <c r="U33" s="53">
        <v>1250</v>
      </c>
      <c r="V33" s="53">
        <v>0</v>
      </c>
      <c r="W33" s="53">
        <v>0</v>
      </c>
      <c r="X33" s="53">
        <v>0</v>
      </c>
      <c r="Y33" s="53">
        <v>13125</v>
      </c>
      <c r="Z33" s="53">
        <v>0</v>
      </c>
      <c r="AA33" s="53">
        <v>0</v>
      </c>
      <c r="AB33" s="53">
        <v>0</v>
      </c>
      <c r="AC33" s="53">
        <v>0</v>
      </c>
      <c r="AD33" s="53">
        <v>0</v>
      </c>
      <c r="AE33" s="53">
        <v>0</v>
      </c>
      <c r="AF33" s="53">
        <v>0</v>
      </c>
      <c r="AG33" s="53">
        <v>0</v>
      </c>
      <c r="AH33" s="53">
        <v>0</v>
      </c>
      <c r="AI33" s="53">
        <v>0</v>
      </c>
      <c r="AJ33" s="53">
        <v>0</v>
      </c>
      <c r="AK33" s="53">
        <v>0</v>
      </c>
      <c r="AL33" s="53">
        <v>0</v>
      </c>
      <c r="AM33" s="53" t="str">
        <f>I33-J33-K33-L33-M33-N33-O33-P33-Q33-R33-S33-T33-U33-V33-W33-X33-Y33-Z33-AA33-AB33-AC33-AD33-AE33-AF33-AG33+AH33-AI33+AJ33+AK33-AL33</f>
        <v>0</v>
      </c>
      <c r="AN33" s="53"/>
      <c r="AO33" s="27"/>
    </row>
    <row r="34" spans="1:41">
      <c r="A34" s="44">
        <v>6</v>
      </c>
      <c r="B34" s="46" t="s">
        <v>87</v>
      </c>
      <c r="C34" s="48" t="s">
        <v>88</v>
      </c>
      <c r="D34" s="51" t="s">
        <v>62</v>
      </c>
      <c r="E34" s="51" t="s">
        <v>89</v>
      </c>
      <c r="F34" s="53" t="s">
        <v>90</v>
      </c>
      <c r="G34" s="53">
        <v>3</v>
      </c>
      <c r="H34" s="50" t="s">
        <v>91</v>
      </c>
      <c r="I34" s="53">
        <v>0</v>
      </c>
      <c r="J34" s="53">
        <v>0</v>
      </c>
      <c r="K34" s="53">
        <v>22000</v>
      </c>
      <c r="L34" s="53">
        <v>0</v>
      </c>
      <c r="M34" s="53">
        <v>0</v>
      </c>
      <c r="N34" s="53">
        <v>0</v>
      </c>
      <c r="O34" s="53">
        <v>0</v>
      </c>
      <c r="P34" s="53">
        <v>0</v>
      </c>
      <c r="Q34" s="53">
        <v>0</v>
      </c>
      <c r="R34" s="53">
        <v>0</v>
      </c>
      <c r="S34" s="53">
        <v>0</v>
      </c>
      <c r="T34" s="53">
        <v>0</v>
      </c>
      <c r="U34" s="53">
        <v>1100</v>
      </c>
      <c r="V34" s="53">
        <v>0</v>
      </c>
      <c r="W34" s="53">
        <v>0</v>
      </c>
      <c r="X34" s="53">
        <v>0</v>
      </c>
      <c r="Y34" s="53">
        <v>11550</v>
      </c>
      <c r="Z34" s="53">
        <v>0</v>
      </c>
      <c r="AA34" s="53">
        <v>0</v>
      </c>
      <c r="AB34" s="53">
        <v>0</v>
      </c>
      <c r="AC34" s="53">
        <v>0</v>
      </c>
      <c r="AD34" s="53">
        <v>0</v>
      </c>
      <c r="AE34" s="53">
        <v>0</v>
      </c>
      <c r="AF34" s="53">
        <v>0</v>
      </c>
      <c r="AG34" s="53">
        <v>0</v>
      </c>
      <c r="AH34" s="53">
        <v>0</v>
      </c>
      <c r="AI34" s="53">
        <v>0</v>
      </c>
      <c r="AJ34" s="53">
        <v>0</v>
      </c>
      <c r="AK34" s="53">
        <v>0</v>
      </c>
      <c r="AL34" s="53">
        <v>0</v>
      </c>
      <c r="AM34" s="53" t="str">
        <f>I34-J34-K34-L34-M34-N34-O34-P34-Q34-R34-S34-T34-U34-V34-W34-X34-Y34-Z34-AA34-AB34-AC34-AD34-AE34-AF34-AG34+AH34-AI34+AJ34+AK34-AL34</f>
        <v>0</v>
      </c>
      <c r="AN34" s="53"/>
      <c r="AO34" s="27"/>
    </row>
    <row r="35" spans="1:41">
      <c r="A35" s="44">
        <v>7</v>
      </c>
      <c r="B35" s="46" t="s">
        <v>92</v>
      </c>
      <c r="C35" s="48" t="s">
        <v>93</v>
      </c>
      <c r="D35" s="51" t="s">
        <v>62</v>
      </c>
      <c r="E35" s="51" t="s">
        <v>94</v>
      </c>
      <c r="F35" s="53" t="s">
        <v>95</v>
      </c>
      <c r="G35" s="53">
        <v>12</v>
      </c>
      <c r="H35" s="50" t="s">
        <v>96</v>
      </c>
      <c r="I35" s="53">
        <v>0</v>
      </c>
      <c r="J35" s="53">
        <v>0</v>
      </c>
      <c r="K35" s="53">
        <v>59000</v>
      </c>
      <c r="L35" s="53">
        <v>0</v>
      </c>
      <c r="M35" s="53">
        <v>0</v>
      </c>
      <c r="N35" s="53">
        <v>0</v>
      </c>
      <c r="O35" s="53">
        <v>0</v>
      </c>
      <c r="P35" s="53">
        <v>0</v>
      </c>
      <c r="Q35" s="53">
        <v>0</v>
      </c>
      <c r="R35" s="53">
        <v>0</v>
      </c>
      <c r="S35" s="53">
        <v>0</v>
      </c>
      <c r="T35" s="53">
        <v>0</v>
      </c>
      <c r="U35" s="53">
        <v>2950</v>
      </c>
      <c r="V35" s="53">
        <v>0</v>
      </c>
      <c r="W35" s="53">
        <v>0</v>
      </c>
      <c r="X35" s="53">
        <v>0</v>
      </c>
      <c r="Y35" s="53">
        <v>30975</v>
      </c>
      <c r="Z35" s="53">
        <v>0</v>
      </c>
      <c r="AA35" s="53">
        <v>0</v>
      </c>
      <c r="AB35" s="53">
        <v>0</v>
      </c>
      <c r="AC35" s="53">
        <v>0</v>
      </c>
      <c r="AD35" s="53">
        <v>0</v>
      </c>
      <c r="AE35" s="53">
        <v>0</v>
      </c>
      <c r="AF35" s="53">
        <v>0</v>
      </c>
      <c r="AG35" s="53">
        <v>0</v>
      </c>
      <c r="AH35" s="53">
        <v>0</v>
      </c>
      <c r="AI35" s="53">
        <v>0</v>
      </c>
      <c r="AJ35" s="53">
        <v>0</v>
      </c>
      <c r="AK35" s="53">
        <v>0</v>
      </c>
      <c r="AL35" s="53">
        <v>0</v>
      </c>
      <c r="AM35" s="53" t="str">
        <f>I35-J35-K35-L35-M35-N35-O35-P35-Q35-R35-S35-T35-U35-V35-W35-X35-Y35-Z35-AA35-AB35-AC35-AD35-AE35-AF35-AG35+AH35-AI35+AJ35+AK35-AL35</f>
        <v>0</v>
      </c>
      <c r="AN35" s="53"/>
      <c r="AO35" s="8"/>
    </row>
    <row r="36" spans="1:41">
      <c r="A36" s="44">
        <v>8</v>
      </c>
      <c r="B36" s="46" t="s">
        <v>97</v>
      </c>
      <c r="C36" s="48" t="s">
        <v>98</v>
      </c>
      <c r="D36" s="51" t="s">
        <v>62</v>
      </c>
      <c r="E36" s="51" t="s">
        <v>99</v>
      </c>
      <c r="F36" s="53" t="s">
        <v>100</v>
      </c>
      <c r="G36" s="53">
        <v>5</v>
      </c>
      <c r="H36" s="50" t="s">
        <v>101</v>
      </c>
      <c r="I36" s="53">
        <v>0</v>
      </c>
      <c r="J36" s="53">
        <v>0</v>
      </c>
      <c r="K36" s="53">
        <v>27000</v>
      </c>
      <c r="L36" s="53">
        <v>0</v>
      </c>
      <c r="M36" s="53">
        <v>0</v>
      </c>
      <c r="N36" s="53">
        <v>0</v>
      </c>
      <c r="O36" s="53">
        <v>0</v>
      </c>
      <c r="P36" s="53">
        <v>0</v>
      </c>
      <c r="Q36" s="53">
        <v>0</v>
      </c>
      <c r="R36" s="53">
        <v>0</v>
      </c>
      <c r="S36" s="53">
        <v>0</v>
      </c>
      <c r="T36" s="53">
        <v>0</v>
      </c>
      <c r="U36" s="53">
        <v>1350</v>
      </c>
      <c r="V36" s="53">
        <v>0</v>
      </c>
      <c r="W36" s="53">
        <v>0</v>
      </c>
      <c r="X36" s="53">
        <v>0</v>
      </c>
      <c r="Y36" s="53">
        <v>14175</v>
      </c>
      <c r="Z36" s="53">
        <v>0</v>
      </c>
      <c r="AA36" s="53">
        <v>0</v>
      </c>
      <c r="AB36" s="53">
        <v>0</v>
      </c>
      <c r="AC36" s="53">
        <v>0</v>
      </c>
      <c r="AD36" s="53">
        <v>0</v>
      </c>
      <c r="AE36" s="53">
        <v>0</v>
      </c>
      <c r="AF36" s="53">
        <v>0</v>
      </c>
      <c r="AG36" s="53">
        <v>0</v>
      </c>
      <c r="AH36" s="58">
        <v>0</v>
      </c>
      <c r="AI36" s="53">
        <v>0</v>
      </c>
      <c r="AJ36" s="53">
        <v>0</v>
      </c>
      <c r="AK36" s="53">
        <v>0</v>
      </c>
      <c r="AL36" s="58">
        <v>0</v>
      </c>
      <c r="AM36" s="53" t="str">
        <f>I36-J36-K36-L36-M36-N36-O36-P36-Q36-R36-S36-T36-U36-V36-W36-X36-Y36-Z36-AA36-AB36-AC36-AD36-AE36-AF36-AG36+AH36-AI36+AJ36+AK36-AL36</f>
        <v>0</v>
      </c>
      <c r="AN36" s="58"/>
      <c r="AO36" s="28"/>
    </row>
    <row r="37" spans="1:41">
      <c r="A37" s="44">
        <v>9</v>
      </c>
      <c r="B37" s="46" t="s">
        <v>102</v>
      </c>
      <c r="C37" s="48" t="s">
        <v>103</v>
      </c>
      <c r="D37" s="51" t="s">
        <v>62</v>
      </c>
      <c r="E37" s="51" t="s">
        <v>104</v>
      </c>
      <c r="F37" s="54" t="s">
        <v>105</v>
      </c>
      <c r="G37" s="50">
        <v>5</v>
      </c>
      <c r="H37" s="51" t="s">
        <v>106</v>
      </c>
      <c r="I37" s="53">
        <v>0</v>
      </c>
      <c r="J37" s="53">
        <v>0</v>
      </c>
      <c r="K37" s="53">
        <v>23000</v>
      </c>
      <c r="L37" s="53">
        <v>0</v>
      </c>
      <c r="M37" s="53">
        <v>0</v>
      </c>
      <c r="N37" s="53">
        <v>0</v>
      </c>
      <c r="O37" s="53">
        <v>0</v>
      </c>
      <c r="P37" s="53">
        <v>0</v>
      </c>
      <c r="Q37" s="53">
        <v>0</v>
      </c>
      <c r="R37" s="53">
        <v>0</v>
      </c>
      <c r="S37" s="53">
        <v>0</v>
      </c>
      <c r="T37" s="53">
        <v>0</v>
      </c>
      <c r="U37" s="53">
        <v>1150</v>
      </c>
      <c r="V37" s="53">
        <v>0</v>
      </c>
      <c r="W37" s="53">
        <v>0</v>
      </c>
      <c r="X37" s="53">
        <v>0</v>
      </c>
      <c r="Y37" s="53">
        <v>5250</v>
      </c>
      <c r="Z37" s="53">
        <v>0</v>
      </c>
      <c r="AA37" s="53">
        <v>0</v>
      </c>
      <c r="AB37" s="53">
        <v>0</v>
      </c>
      <c r="AC37" s="53">
        <v>0</v>
      </c>
      <c r="AD37" s="53">
        <v>0</v>
      </c>
      <c r="AE37" s="53">
        <v>0</v>
      </c>
      <c r="AF37" s="53">
        <v>0</v>
      </c>
      <c r="AG37" s="53">
        <v>0</v>
      </c>
      <c r="AH37" s="53">
        <v>0</v>
      </c>
      <c r="AI37" s="53">
        <v>0</v>
      </c>
      <c r="AJ37" s="53">
        <v>0</v>
      </c>
      <c r="AK37" s="53">
        <v>0</v>
      </c>
      <c r="AL37" s="53">
        <v>0</v>
      </c>
      <c r="AM37" s="53" t="str">
        <f>I37-J37-K37-L37-M37-N37-O37-P37-Q37-R37-S37-T37-U37-V37-W37-X37-Y37-Z37-AA37-AB37-AC37-AD37-AE37-AF37-AG37+AH37-AI37+AJ37+AK37-AL37</f>
        <v>0</v>
      </c>
      <c r="AN37" s="53"/>
      <c r="AO37" s="27"/>
    </row>
    <row r="38" spans="1:41">
      <c r="A38" s="44">
        <v>10</v>
      </c>
      <c r="B38" s="46" t="s">
        <v>107</v>
      </c>
      <c r="C38" s="48" t="s">
        <v>108</v>
      </c>
      <c r="D38" s="51" t="s">
        <v>62</v>
      </c>
      <c r="E38" s="51" t="s">
        <v>109</v>
      </c>
      <c r="F38" s="54" t="s">
        <v>110</v>
      </c>
      <c r="G38" s="53">
        <v>5.8</v>
      </c>
      <c r="H38" s="51" t="s">
        <v>111</v>
      </c>
      <c r="I38" s="53">
        <v>0</v>
      </c>
      <c r="J38" s="53">
        <v>0</v>
      </c>
      <c r="K38" s="53">
        <v>31000</v>
      </c>
      <c r="L38" s="53">
        <v>0</v>
      </c>
      <c r="M38" s="53">
        <v>0</v>
      </c>
      <c r="N38" s="53">
        <v>0</v>
      </c>
      <c r="O38" s="53">
        <v>0</v>
      </c>
      <c r="P38" s="53">
        <v>0</v>
      </c>
      <c r="Q38" s="53">
        <v>0</v>
      </c>
      <c r="R38" s="53">
        <v>0</v>
      </c>
      <c r="S38" s="53">
        <v>0</v>
      </c>
      <c r="T38" s="53">
        <v>0</v>
      </c>
      <c r="U38" s="53">
        <v>1550</v>
      </c>
      <c r="V38" s="53">
        <v>0</v>
      </c>
      <c r="W38" s="53">
        <v>0</v>
      </c>
      <c r="X38" s="53">
        <v>0</v>
      </c>
      <c r="Y38" s="53">
        <v>16275</v>
      </c>
      <c r="Z38" s="53">
        <v>0</v>
      </c>
      <c r="AA38" s="53">
        <v>0</v>
      </c>
      <c r="AB38" s="53">
        <v>0</v>
      </c>
      <c r="AC38" s="53">
        <v>0</v>
      </c>
      <c r="AD38" s="53">
        <v>0</v>
      </c>
      <c r="AE38" s="53">
        <v>0</v>
      </c>
      <c r="AF38" s="53">
        <v>0</v>
      </c>
      <c r="AG38" s="53">
        <v>0</v>
      </c>
      <c r="AH38" s="53">
        <v>0</v>
      </c>
      <c r="AI38" s="53">
        <v>0</v>
      </c>
      <c r="AJ38" s="53">
        <v>0</v>
      </c>
      <c r="AK38" s="53">
        <v>0</v>
      </c>
      <c r="AL38" s="53">
        <v>0</v>
      </c>
      <c r="AM38" s="53" t="str">
        <f>I38-J38-K38-L38-M38-N38-O38-P38-Q38-R38-S38-T38-U38-V38-W38-X38-Y38-Z38-AA38-AB38-AC38-AD38-AE38-AF38-AG38+AH38-AI38+AJ38+AK38-AL38</f>
        <v>0</v>
      </c>
      <c r="AN38" s="53"/>
      <c r="AO38" s="27"/>
    </row>
    <row r="39" spans="1:41">
      <c r="A39" s="44">
        <v>11</v>
      </c>
      <c r="B39" s="46" t="s">
        <v>112</v>
      </c>
      <c r="C39" s="48" t="s">
        <v>113</v>
      </c>
      <c r="D39" s="51" t="s">
        <v>62</v>
      </c>
      <c r="E39" s="51" t="s">
        <v>114</v>
      </c>
      <c r="F39" s="54" t="s">
        <v>115</v>
      </c>
      <c r="G39" s="50">
        <v>5</v>
      </c>
      <c r="H39" s="51" t="s">
        <v>116</v>
      </c>
      <c r="I39" s="53">
        <v>0</v>
      </c>
      <c r="J39" s="53">
        <v>0</v>
      </c>
      <c r="K39" s="53">
        <v>27000</v>
      </c>
      <c r="L39" s="53">
        <v>0</v>
      </c>
      <c r="M39" s="53">
        <v>0</v>
      </c>
      <c r="N39" s="53">
        <v>0</v>
      </c>
      <c r="O39" s="53">
        <v>0</v>
      </c>
      <c r="P39" s="53">
        <v>0</v>
      </c>
      <c r="Q39" s="53">
        <v>0</v>
      </c>
      <c r="R39" s="53">
        <v>0</v>
      </c>
      <c r="S39" s="53">
        <v>0</v>
      </c>
      <c r="T39" s="53">
        <v>0</v>
      </c>
      <c r="U39" s="53">
        <v>1350</v>
      </c>
      <c r="V39" s="53">
        <v>0</v>
      </c>
      <c r="W39" s="53">
        <v>0</v>
      </c>
      <c r="X39" s="53">
        <v>0</v>
      </c>
      <c r="Y39" s="53">
        <v>14175</v>
      </c>
      <c r="Z39" s="53">
        <v>0</v>
      </c>
      <c r="AA39" s="53">
        <v>0</v>
      </c>
      <c r="AB39" s="53">
        <v>0</v>
      </c>
      <c r="AC39" s="53">
        <v>0</v>
      </c>
      <c r="AD39" s="53">
        <v>0</v>
      </c>
      <c r="AE39" s="53">
        <v>0</v>
      </c>
      <c r="AF39" s="53">
        <v>0</v>
      </c>
      <c r="AG39" s="53">
        <v>0</v>
      </c>
      <c r="AH39" s="53">
        <v>0</v>
      </c>
      <c r="AI39" s="53">
        <v>0</v>
      </c>
      <c r="AJ39" s="53">
        <v>0</v>
      </c>
      <c r="AK39" s="53">
        <v>0</v>
      </c>
      <c r="AL39" s="53">
        <v>0</v>
      </c>
      <c r="AM39" s="53" t="str">
        <f>I39-J39-K39-L39-M39-N39-O39-P39-Q39-R39-S39-T39-U39-V39-W39-X39-Y39-Z39-AA39-AB39-AC39-AD39-AE39-AF39-AG39+AH39-AI39+AJ39+AK39-AL39</f>
        <v>0</v>
      </c>
      <c r="AN39" s="53"/>
      <c r="AO39" s="27"/>
    </row>
    <row r="40" spans="1:41">
      <c r="A40" s="44">
        <v>12</v>
      </c>
      <c r="B40" s="46" t="s">
        <v>117</v>
      </c>
      <c r="C40" s="48" t="s">
        <v>118</v>
      </c>
      <c r="D40" s="51" t="s">
        <v>73</v>
      </c>
      <c r="E40" s="51" t="s">
        <v>119</v>
      </c>
      <c r="F40" s="54" t="s">
        <v>120</v>
      </c>
      <c r="G40" s="50">
        <v>2</v>
      </c>
      <c r="H40" s="51" t="s">
        <v>121</v>
      </c>
      <c r="I40" s="53">
        <v>245000</v>
      </c>
      <c r="J40" s="53">
        <v>0</v>
      </c>
      <c r="K40" s="53">
        <v>22000</v>
      </c>
      <c r="L40" s="53">
        <v>0</v>
      </c>
      <c r="M40" s="53">
        <v>0</v>
      </c>
      <c r="N40" s="53">
        <v>0</v>
      </c>
      <c r="O40" s="53">
        <v>0</v>
      </c>
      <c r="P40" s="53">
        <v>0</v>
      </c>
      <c r="Q40" s="53">
        <v>0</v>
      </c>
      <c r="R40" s="53">
        <v>0</v>
      </c>
      <c r="S40" s="53">
        <v>0</v>
      </c>
      <c r="T40" s="53">
        <v>0</v>
      </c>
      <c r="U40" s="53">
        <v>1100</v>
      </c>
      <c r="V40" s="53">
        <v>0</v>
      </c>
      <c r="W40" s="53">
        <v>0</v>
      </c>
      <c r="X40" s="53">
        <v>0</v>
      </c>
      <c r="Y40" s="53">
        <v>0</v>
      </c>
      <c r="Z40" s="53">
        <v>0</v>
      </c>
      <c r="AA40" s="53">
        <v>0</v>
      </c>
      <c r="AB40" s="53">
        <v>0</v>
      </c>
      <c r="AC40" s="53">
        <v>0</v>
      </c>
      <c r="AD40" s="53">
        <v>0</v>
      </c>
      <c r="AE40" s="53">
        <v>0</v>
      </c>
      <c r="AF40" s="53">
        <v>0</v>
      </c>
      <c r="AG40" s="53">
        <v>0</v>
      </c>
      <c r="AH40" s="53">
        <v>0</v>
      </c>
      <c r="AI40" s="53">
        <v>0</v>
      </c>
      <c r="AJ40" s="53">
        <v>0</v>
      </c>
      <c r="AK40" s="53">
        <v>0</v>
      </c>
      <c r="AL40" s="53">
        <v>0</v>
      </c>
      <c r="AM40" s="53" t="str">
        <f>I40-J40-K40-L40-M40-N40-O40-P40-Q40-R40-S40-T40-U40-V40-W40-X40-Y40-Z40-AA40-AB40-AC40-AD40-AE40-AF40-AG40+AH40-AI40+AJ40+AK40-AL40</f>
        <v>0</v>
      </c>
      <c r="AN40" s="53"/>
      <c r="AO40" s="27"/>
    </row>
    <row r="41" spans="1:41">
      <c r="A41" s="44">
        <v>13</v>
      </c>
      <c r="B41" s="46" t="s">
        <v>122</v>
      </c>
      <c r="C41" s="48" t="s">
        <v>123</v>
      </c>
      <c r="D41" s="51" t="s">
        <v>73</v>
      </c>
      <c r="E41" s="51" t="s">
        <v>124</v>
      </c>
      <c r="F41" s="54" t="s">
        <v>125</v>
      </c>
      <c r="G41" s="50">
        <v>8</v>
      </c>
      <c r="H41" s="51" t="s">
        <v>126</v>
      </c>
      <c r="I41" s="53">
        <v>0</v>
      </c>
      <c r="J41" s="53">
        <v>0</v>
      </c>
      <c r="K41" s="53">
        <v>26000</v>
      </c>
      <c r="L41" s="53">
        <v>0</v>
      </c>
      <c r="M41" s="53">
        <v>0</v>
      </c>
      <c r="N41" s="53">
        <v>0</v>
      </c>
      <c r="O41" s="53">
        <v>0</v>
      </c>
      <c r="P41" s="53">
        <v>0</v>
      </c>
      <c r="Q41" s="53">
        <v>0</v>
      </c>
      <c r="R41" s="53">
        <v>0</v>
      </c>
      <c r="S41" s="53">
        <v>0</v>
      </c>
      <c r="T41" s="53">
        <v>0</v>
      </c>
      <c r="U41" s="53">
        <v>1300</v>
      </c>
      <c r="V41" s="53">
        <v>0</v>
      </c>
      <c r="W41" s="53">
        <v>0</v>
      </c>
      <c r="X41" s="53">
        <v>0</v>
      </c>
      <c r="Y41" s="53">
        <v>5250</v>
      </c>
      <c r="Z41" s="53">
        <v>0</v>
      </c>
      <c r="AA41" s="53">
        <v>0</v>
      </c>
      <c r="AB41" s="53">
        <v>0</v>
      </c>
      <c r="AC41" s="53">
        <v>0</v>
      </c>
      <c r="AD41" s="53">
        <v>0</v>
      </c>
      <c r="AE41" s="53">
        <v>0</v>
      </c>
      <c r="AF41" s="53">
        <v>0</v>
      </c>
      <c r="AG41" s="53">
        <v>0</v>
      </c>
      <c r="AH41" s="53">
        <v>0</v>
      </c>
      <c r="AI41" s="53">
        <v>0</v>
      </c>
      <c r="AJ41" s="53">
        <v>0</v>
      </c>
      <c r="AK41" s="53">
        <v>0</v>
      </c>
      <c r="AL41" s="53">
        <v>0</v>
      </c>
      <c r="AM41" s="53" t="str">
        <f>I41-J41-K41-L41-M41-N41-O41-P41-Q41-R41-S41-T41-U41-V41-W41-X41-Y41-Z41-AA41-AB41-AC41-AD41-AE41-AF41-AG41+AH41-AI41+AJ41+AK41-AL41</f>
        <v>0</v>
      </c>
      <c r="AN41" s="53"/>
      <c r="AO41" s="27"/>
    </row>
    <row r="42" spans="1:41">
      <c r="A42" s="44">
        <v>14</v>
      </c>
      <c r="B42" s="46" t="s">
        <v>127</v>
      </c>
      <c r="C42" s="48" t="s">
        <v>128</v>
      </c>
      <c r="D42" s="51" t="s">
        <v>62</v>
      </c>
      <c r="E42" s="51" t="s">
        <v>129</v>
      </c>
      <c r="F42" s="54" t="s">
        <v>130</v>
      </c>
      <c r="G42" s="50">
        <v>2</v>
      </c>
      <c r="H42" s="51" t="s">
        <v>131</v>
      </c>
      <c r="I42" s="53">
        <v>0</v>
      </c>
      <c r="J42" s="53">
        <v>0</v>
      </c>
      <c r="K42" s="53">
        <v>22000</v>
      </c>
      <c r="L42" s="53">
        <v>0</v>
      </c>
      <c r="M42" s="53">
        <v>0</v>
      </c>
      <c r="N42" s="53">
        <v>0</v>
      </c>
      <c r="O42" s="53">
        <v>0</v>
      </c>
      <c r="P42" s="53">
        <v>0</v>
      </c>
      <c r="Q42" s="53">
        <v>0</v>
      </c>
      <c r="R42" s="53">
        <v>0</v>
      </c>
      <c r="S42" s="53">
        <v>0</v>
      </c>
      <c r="T42" s="53">
        <v>0</v>
      </c>
      <c r="U42" s="53">
        <v>1100</v>
      </c>
      <c r="V42" s="53">
        <v>0</v>
      </c>
      <c r="W42" s="53">
        <v>0</v>
      </c>
      <c r="X42" s="53">
        <v>0</v>
      </c>
      <c r="Y42" s="53">
        <v>11550</v>
      </c>
      <c r="Z42" s="53">
        <v>0</v>
      </c>
      <c r="AA42" s="53">
        <v>0</v>
      </c>
      <c r="AB42" s="53">
        <v>0</v>
      </c>
      <c r="AC42" s="53">
        <v>0</v>
      </c>
      <c r="AD42" s="53">
        <v>0</v>
      </c>
      <c r="AE42" s="53">
        <v>0</v>
      </c>
      <c r="AF42" s="53">
        <v>0</v>
      </c>
      <c r="AG42" s="53">
        <v>0</v>
      </c>
      <c r="AH42" s="53">
        <v>0</v>
      </c>
      <c r="AI42" s="53">
        <v>0</v>
      </c>
      <c r="AJ42" s="53">
        <v>0</v>
      </c>
      <c r="AK42" s="53">
        <v>0</v>
      </c>
      <c r="AL42" s="53">
        <v>0</v>
      </c>
      <c r="AM42" s="53" t="str">
        <f>I42-J42-K42-L42-M42-N42-O42-P42-Q42-R42-S42-T42-U42-V42-W42-X42-Y42-Z42-AA42-AB42-AC42-AD42-AE42-AF42-AG42+AH42-AI42+AJ42+AK42-AL42</f>
        <v>0</v>
      </c>
      <c r="AN42" s="53"/>
      <c r="AO42" s="27"/>
    </row>
    <row r="43" spans="1:41">
      <c r="A43" s="44">
        <v>15</v>
      </c>
      <c r="B43" s="46" t="s">
        <v>132</v>
      </c>
      <c r="C43" s="48" t="s">
        <v>133</v>
      </c>
      <c r="D43" s="51" t="s">
        <v>62</v>
      </c>
      <c r="E43" s="51" t="s">
        <v>129</v>
      </c>
      <c r="F43" s="54" t="s">
        <v>134</v>
      </c>
      <c r="G43" s="50">
        <v>2</v>
      </c>
      <c r="H43" s="51" t="s">
        <v>135</v>
      </c>
      <c r="I43" s="53">
        <v>0</v>
      </c>
      <c r="J43" s="53">
        <v>0</v>
      </c>
      <c r="K43" s="53">
        <v>22000</v>
      </c>
      <c r="L43" s="53">
        <v>0</v>
      </c>
      <c r="M43" s="53">
        <v>0</v>
      </c>
      <c r="N43" s="53">
        <v>0</v>
      </c>
      <c r="O43" s="53">
        <v>0</v>
      </c>
      <c r="P43" s="53">
        <v>0</v>
      </c>
      <c r="Q43" s="53">
        <v>0</v>
      </c>
      <c r="R43" s="53">
        <v>0</v>
      </c>
      <c r="S43" s="53">
        <v>0</v>
      </c>
      <c r="T43" s="53">
        <v>0</v>
      </c>
      <c r="U43" s="53">
        <v>1100</v>
      </c>
      <c r="V43" s="53">
        <v>0</v>
      </c>
      <c r="W43" s="53">
        <v>0</v>
      </c>
      <c r="X43" s="53">
        <v>0</v>
      </c>
      <c r="Y43" s="53">
        <v>11550</v>
      </c>
      <c r="Z43" s="53">
        <v>0</v>
      </c>
      <c r="AA43" s="53">
        <v>0</v>
      </c>
      <c r="AB43" s="53">
        <v>0</v>
      </c>
      <c r="AC43" s="53">
        <v>0</v>
      </c>
      <c r="AD43" s="53">
        <v>0</v>
      </c>
      <c r="AE43" s="53">
        <v>0</v>
      </c>
      <c r="AF43" s="53">
        <v>0</v>
      </c>
      <c r="AG43" s="53">
        <v>0</v>
      </c>
      <c r="AH43" s="53">
        <v>0</v>
      </c>
      <c r="AI43" s="53">
        <v>0</v>
      </c>
      <c r="AJ43" s="53">
        <v>0</v>
      </c>
      <c r="AK43" s="53">
        <v>0</v>
      </c>
      <c r="AL43" s="53">
        <v>0</v>
      </c>
      <c r="AM43" s="53" t="str">
        <f>I43-J43-K43-L43-M43-N43-O43-P43-Q43-R43-S43-T43-U43-V43-W43-X43-Y43-Z43-AA43-AB43-AC43-AD43-AE43-AF43-AG43+AH43-AI43+AJ43+AK43-AL43</f>
        <v>0</v>
      </c>
      <c r="AN43" s="53"/>
      <c r="AO43" s="27"/>
    </row>
    <row r="44" spans="1:41">
      <c r="A44" s="44">
        <v>16</v>
      </c>
      <c r="B44" s="46" t="s">
        <v>136</v>
      </c>
      <c r="C44" s="48" t="s">
        <v>137</v>
      </c>
      <c r="D44" s="51" t="s">
        <v>73</v>
      </c>
      <c r="E44" s="51" t="s">
        <v>138</v>
      </c>
      <c r="F44" s="54" t="s">
        <v>139</v>
      </c>
      <c r="G44" s="50">
        <v>5</v>
      </c>
      <c r="H44" s="51" t="s">
        <v>140</v>
      </c>
      <c r="I44" s="53">
        <v>2750000</v>
      </c>
      <c r="J44" s="53">
        <v>0</v>
      </c>
      <c r="K44" s="53">
        <v>27000</v>
      </c>
      <c r="L44" s="53">
        <v>0</v>
      </c>
      <c r="M44" s="53">
        <v>0</v>
      </c>
      <c r="N44" s="53">
        <v>0</v>
      </c>
      <c r="O44" s="53">
        <v>0</v>
      </c>
      <c r="P44" s="53">
        <v>0</v>
      </c>
      <c r="Q44" s="53">
        <v>0</v>
      </c>
      <c r="R44" s="53">
        <v>0</v>
      </c>
      <c r="S44" s="53">
        <v>0</v>
      </c>
      <c r="T44" s="53">
        <v>0</v>
      </c>
      <c r="U44" s="53">
        <v>1350</v>
      </c>
      <c r="V44" s="53">
        <v>0</v>
      </c>
      <c r="W44" s="53">
        <v>0</v>
      </c>
      <c r="X44" s="53">
        <v>0</v>
      </c>
      <c r="Y44" s="53">
        <v>0</v>
      </c>
      <c r="Z44" s="53">
        <v>0</v>
      </c>
      <c r="AA44" s="53">
        <v>0</v>
      </c>
      <c r="AB44" s="53">
        <v>0</v>
      </c>
      <c r="AC44" s="53">
        <v>0</v>
      </c>
      <c r="AD44" s="53">
        <v>0</v>
      </c>
      <c r="AE44" s="53">
        <v>0</v>
      </c>
      <c r="AF44" s="53">
        <v>0</v>
      </c>
      <c r="AG44" s="53">
        <v>0</v>
      </c>
      <c r="AH44" s="53">
        <v>0</v>
      </c>
      <c r="AI44" s="53">
        <v>0</v>
      </c>
      <c r="AJ44" s="53">
        <v>0</v>
      </c>
      <c r="AK44" s="53">
        <v>0</v>
      </c>
      <c r="AL44" s="53">
        <v>0</v>
      </c>
      <c r="AM44" s="53" t="str">
        <f>I44-J44-K44-L44-M44-N44-O44-P44-Q44-R44-S44-T44-U44-V44-W44-X44-Y44-Z44-AA44-AB44-AC44-AD44-AE44-AF44-AG44+AH44-AI44+AJ44+AK44-AL44</f>
        <v>0</v>
      </c>
      <c r="AN44" s="53"/>
      <c r="AO44" s="27"/>
    </row>
    <row r="45" spans="1:41">
      <c r="A45" s="44">
        <v>17</v>
      </c>
      <c r="B45" s="46" t="s">
        <v>141</v>
      </c>
      <c r="C45" s="48" t="s">
        <v>142</v>
      </c>
      <c r="D45" s="51" t="s">
        <v>62</v>
      </c>
      <c r="E45" s="51" t="s">
        <v>143</v>
      </c>
      <c r="F45" s="54" t="s">
        <v>144</v>
      </c>
      <c r="G45" s="50">
        <v>5</v>
      </c>
      <c r="H45" s="51" t="s">
        <v>145</v>
      </c>
      <c r="I45" s="53">
        <v>0</v>
      </c>
      <c r="J45" s="53">
        <v>0</v>
      </c>
      <c r="K45" s="53">
        <v>27000</v>
      </c>
      <c r="L45" s="53">
        <v>0</v>
      </c>
      <c r="M45" s="53">
        <v>0</v>
      </c>
      <c r="N45" s="53">
        <v>0</v>
      </c>
      <c r="O45" s="53">
        <v>0</v>
      </c>
      <c r="P45" s="53">
        <v>0</v>
      </c>
      <c r="Q45" s="53">
        <v>0</v>
      </c>
      <c r="R45" s="53">
        <v>0</v>
      </c>
      <c r="S45" s="53">
        <v>0</v>
      </c>
      <c r="T45" s="53">
        <v>0</v>
      </c>
      <c r="U45" s="53">
        <v>1350</v>
      </c>
      <c r="V45" s="53">
        <v>0</v>
      </c>
      <c r="W45" s="53">
        <v>0</v>
      </c>
      <c r="X45" s="53">
        <v>0</v>
      </c>
      <c r="Y45" s="53">
        <v>14175</v>
      </c>
      <c r="Z45" s="53">
        <v>0</v>
      </c>
      <c r="AA45" s="53">
        <v>0</v>
      </c>
      <c r="AB45" s="53">
        <v>0</v>
      </c>
      <c r="AC45" s="53">
        <v>0</v>
      </c>
      <c r="AD45" s="53">
        <v>0</v>
      </c>
      <c r="AE45" s="53">
        <v>0</v>
      </c>
      <c r="AF45" s="53">
        <v>0</v>
      </c>
      <c r="AG45" s="53">
        <v>0</v>
      </c>
      <c r="AH45" s="53">
        <v>0</v>
      </c>
      <c r="AI45" s="53">
        <v>0</v>
      </c>
      <c r="AJ45" s="53">
        <v>0</v>
      </c>
      <c r="AK45" s="53">
        <v>0</v>
      </c>
      <c r="AL45" s="53">
        <v>0</v>
      </c>
      <c r="AM45" s="53" t="str">
        <f>I45-J45-K45-L45-M45-N45-O45-P45-Q45-R45-S45-T45-U45-V45-W45-X45-Y45-Z45-AA45-AB45-AC45-AD45-AE45-AF45-AG45+AH45-AI45+AJ45+AK45-AL45</f>
        <v>0</v>
      </c>
      <c r="AN45" s="53"/>
      <c r="AO45" s="27"/>
    </row>
    <row r="46" spans="1:41">
      <c r="A46" s="44">
        <v>18</v>
      </c>
      <c r="B46" s="46" t="s">
        <v>146</v>
      </c>
      <c r="C46" s="48" t="s">
        <v>147</v>
      </c>
      <c r="D46" s="51" t="s">
        <v>62</v>
      </c>
      <c r="E46" s="51" t="s">
        <v>148</v>
      </c>
      <c r="F46" s="54" t="s">
        <v>149</v>
      </c>
      <c r="G46" s="50">
        <v>5</v>
      </c>
      <c r="H46" s="51" t="s">
        <v>150</v>
      </c>
      <c r="I46" s="53">
        <v>0</v>
      </c>
      <c r="J46" s="53">
        <v>0</v>
      </c>
      <c r="K46" s="53">
        <v>27000</v>
      </c>
      <c r="L46" s="53">
        <v>0</v>
      </c>
      <c r="M46" s="53">
        <v>0</v>
      </c>
      <c r="N46" s="53">
        <v>0</v>
      </c>
      <c r="O46" s="53">
        <v>0</v>
      </c>
      <c r="P46" s="53">
        <v>0</v>
      </c>
      <c r="Q46" s="53">
        <v>0</v>
      </c>
      <c r="R46" s="53">
        <v>0</v>
      </c>
      <c r="S46" s="53">
        <v>0</v>
      </c>
      <c r="T46" s="53">
        <v>0</v>
      </c>
      <c r="U46" s="53">
        <v>1350</v>
      </c>
      <c r="V46" s="53">
        <v>0</v>
      </c>
      <c r="W46" s="53">
        <v>0</v>
      </c>
      <c r="X46" s="53">
        <v>0</v>
      </c>
      <c r="Y46" s="53">
        <v>14175</v>
      </c>
      <c r="Z46" s="53">
        <v>0</v>
      </c>
      <c r="AA46" s="53">
        <v>0</v>
      </c>
      <c r="AB46" s="53">
        <v>0</v>
      </c>
      <c r="AC46" s="53">
        <v>0</v>
      </c>
      <c r="AD46" s="53">
        <v>0</v>
      </c>
      <c r="AE46" s="53">
        <v>0</v>
      </c>
      <c r="AF46" s="53">
        <v>0</v>
      </c>
      <c r="AG46" s="53">
        <v>0</v>
      </c>
      <c r="AH46" s="53">
        <v>0</v>
      </c>
      <c r="AI46" s="53">
        <v>0</v>
      </c>
      <c r="AJ46" s="53">
        <v>0</v>
      </c>
      <c r="AK46" s="53">
        <v>0</v>
      </c>
      <c r="AL46" s="53">
        <v>0</v>
      </c>
      <c r="AM46" s="53" t="str">
        <f>I46-J46-K46-L46-M46-N46-O46-P46-Q46-R46-S46-T46-U46-V46-W46-X46-Y46-Z46-AA46-AB46-AC46-AD46-AE46-AF46-AG46+AH46-AI46+AJ46+AK46-AL46</f>
        <v>0</v>
      </c>
      <c r="AN46" s="53"/>
      <c r="AO46" s="27"/>
    </row>
    <row r="47" spans="1:41">
      <c r="A47" s="44">
        <v>19</v>
      </c>
      <c r="B47" s="46" t="s">
        <v>151</v>
      </c>
      <c r="C47" s="48" t="s">
        <v>152</v>
      </c>
      <c r="D47" s="51" t="s">
        <v>73</v>
      </c>
      <c r="E47" s="51" t="s">
        <v>153</v>
      </c>
      <c r="F47" s="54" t="s">
        <v>154</v>
      </c>
      <c r="G47" s="50">
        <v>3</v>
      </c>
      <c r="H47" s="51" t="s">
        <v>155</v>
      </c>
      <c r="I47" s="53">
        <v>0</v>
      </c>
      <c r="J47" s="53">
        <v>0</v>
      </c>
      <c r="K47" s="53">
        <v>23000</v>
      </c>
      <c r="L47" s="53">
        <v>0</v>
      </c>
      <c r="M47" s="53">
        <v>0</v>
      </c>
      <c r="N47" s="53">
        <v>0</v>
      </c>
      <c r="O47" s="53">
        <v>0</v>
      </c>
      <c r="P47" s="53">
        <v>0</v>
      </c>
      <c r="Q47" s="53">
        <v>0</v>
      </c>
      <c r="R47" s="53">
        <v>0</v>
      </c>
      <c r="S47" s="53">
        <v>0</v>
      </c>
      <c r="T47" s="53">
        <v>0</v>
      </c>
      <c r="U47" s="53">
        <v>1150</v>
      </c>
      <c r="V47" s="53">
        <v>0</v>
      </c>
      <c r="W47" s="53">
        <v>0</v>
      </c>
      <c r="X47" s="53">
        <v>0</v>
      </c>
      <c r="Y47" s="53">
        <v>5250</v>
      </c>
      <c r="Z47" s="53">
        <v>0</v>
      </c>
      <c r="AA47" s="53">
        <v>0</v>
      </c>
      <c r="AB47" s="53">
        <v>0</v>
      </c>
      <c r="AC47" s="53">
        <v>0</v>
      </c>
      <c r="AD47" s="53">
        <v>0</v>
      </c>
      <c r="AE47" s="53">
        <v>0</v>
      </c>
      <c r="AF47" s="53">
        <v>0</v>
      </c>
      <c r="AG47" s="53">
        <v>0</v>
      </c>
      <c r="AH47" s="53">
        <v>0</v>
      </c>
      <c r="AI47" s="53">
        <v>0</v>
      </c>
      <c r="AJ47" s="53">
        <v>0</v>
      </c>
      <c r="AK47" s="53">
        <v>0</v>
      </c>
      <c r="AL47" s="53">
        <v>0</v>
      </c>
      <c r="AM47" s="53" t="str">
        <f>I47-J47-K47-L47-M47-N47-O47-P47-Q47-R47-S47-T47-U47-V47-W47-X47-Y47-Z47-AA47-AB47-AC47-AD47-AE47-AF47-AG47+AH47-AI47+AJ47+AK47-AL47</f>
        <v>0</v>
      </c>
      <c r="AN47" s="53"/>
      <c r="AO47" s="27"/>
    </row>
    <row r="48" spans="1:41">
      <c r="A48" s="44">
        <v>20</v>
      </c>
      <c r="B48" s="46" t="s">
        <v>156</v>
      </c>
      <c r="C48" s="48" t="s">
        <v>157</v>
      </c>
      <c r="D48" s="51" t="s">
        <v>62</v>
      </c>
      <c r="E48" s="51" t="s">
        <v>158</v>
      </c>
      <c r="F48" s="54" t="s">
        <v>159</v>
      </c>
      <c r="G48" s="50">
        <v>7</v>
      </c>
      <c r="H48" s="51" t="s">
        <v>160</v>
      </c>
      <c r="I48" s="53">
        <v>0</v>
      </c>
      <c r="J48" s="53">
        <v>0</v>
      </c>
      <c r="K48" s="53">
        <v>35000</v>
      </c>
      <c r="L48" s="53">
        <v>0</v>
      </c>
      <c r="M48" s="53">
        <v>0</v>
      </c>
      <c r="N48" s="53">
        <v>0</v>
      </c>
      <c r="O48" s="53">
        <v>0</v>
      </c>
      <c r="P48" s="53">
        <v>0</v>
      </c>
      <c r="Q48" s="53">
        <v>0</v>
      </c>
      <c r="R48" s="53">
        <v>0</v>
      </c>
      <c r="S48" s="53">
        <v>0</v>
      </c>
      <c r="T48" s="53">
        <v>0</v>
      </c>
      <c r="U48" s="53">
        <v>1750</v>
      </c>
      <c r="V48" s="53">
        <v>0</v>
      </c>
      <c r="W48" s="53">
        <v>0</v>
      </c>
      <c r="X48" s="53">
        <v>0</v>
      </c>
      <c r="Y48" s="53">
        <v>18375</v>
      </c>
      <c r="Z48" s="53">
        <v>0</v>
      </c>
      <c r="AA48" s="53">
        <v>0</v>
      </c>
      <c r="AB48" s="53">
        <v>0</v>
      </c>
      <c r="AC48" s="53">
        <v>0</v>
      </c>
      <c r="AD48" s="53">
        <v>0</v>
      </c>
      <c r="AE48" s="53">
        <v>0</v>
      </c>
      <c r="AF48" s="53">
        <v>0</v>
      </c>
      <c r="AG48" s="53">
        <v>0</v>
      </c>
      <c r="AH48" s="53">
        <v>0</v>
      </c>
      <c r="AI48" s="53">
        <v>0</v>
      </c>
      <c r="AJ48" s="53">
        <v>0</v>
      </c>
      <c r="AK48" s="53">
        <v>0</v>
      </c>
      <c r="AL48" s="53">
        <v>0</v>
      </c>
      <c r="AM48" s="53" t="str">
        <f>I48-J48-K48-L48-M48-N48-O48-P48-Q48-R48-S48-T48-U48-V48-W48-X48-Y48-Z48-AA48-AB48-AC48-AD48-AE48-AF48-AG48+AH48-AI48+AJ48+AK48-AL48</f>
        <v>0</v>
      </c>
      <c r="AN48" s="53"/>
      <c r="AO48" s="27"/>
    </row>
    <row r="49" spans="1:41">
      <c r="A49" s="44">
        <v>21</v>
      </c>
      <c r="B49" s="46" t="s">
        <v>161</v>
      </c>
      <c r="C49" s="48" t="s">
        <v>162</v>
      </c>
      <c r="D49" s="51" t="s">
        <v>73</v>
      </c>
      <c r="E49" s="51" t="s">
        <v>163</v>
      </c>
      <c r="F49" s="54" t="s">
        <v>164</v>
      </c>
      <c r="G49" s="50">
        <v>3</v>
      </c>
      <c r="H49" s="51" t="s">
        <v>165</v>
      </c>
      <c r="I49" s="53">
        <v>608200</v>
      </c>
      <c r="J49" s="53">
        <v>0</v>
      </c>
      <c r="K49" s="53">
        <v>22000</v>
      </c>
      <c r="L49" s="53">
        <v>0</v>
      </c>
      <c r="M49" s="53">
        <v>0</v>
      </c>
      <c r="N49" s="53">
        <v>0</v>
      </c>
      <c r="O49" s="53">
        <v>0</v>
      </c>
      <c r="P49" s="53">
        <v>0</v>
      </c>
      <c r="Q49" s="53">
        <v>0</v>
      </c>
      <c r="R49" s="53">
        <v>0</v>
      </c>
      <c r="S49" s="53">
        <v>0</v>
      </c>
      <c r="T49" s="53">
        <v>0</v>
      </c>
      <c r="U49" s="53">
        <v>1100</v>
      </c>
      <c r="V49" s="53">
        <v>0</v>
      </c>
      <c r="W49" s="53">
        <v>0</v>
      </c>
      <c r="X49" s="53">
        <v>0</v>
      </c>
      <c r="Y49" s="53">
        <v>0</v>
      </c>
      <c r="Z49" s="53">
        <v>0</v>
      </c>
      <c r="AA49" s="53">
        <v>0</v>
      </c>
      <c r="AB49" s="53">
        <v>0</v>
      </c>
      <c r="AC49" s="53">
        <v>0</v>
      </c>
      <c r="AD49" s="53">
        <v>0</v>
      </c>
      <c r="AE49" s="53">
        <v>0</v>
      </c>
      <c r="AF49" s="53">
        <v>0</v>
      </c>
      <c r="AG49" s="53">
        <v>0</v>
      </c>
      <c r="AH49" s="53">
        <v>0</v>
      </c>
      <c r="AI49" s="53">
        <v>0</v>
      </c>
      <c r="AJ49" s="53">
        <v>0</v>
      </c>
      <c r="AK49" s="53">
        <v>0</v>
      </c>
      <c r="AL49" s="53">
        <v>0</v>
      </c>
      <c r="AM49" s="53" t="str">
        <f>I49-J49-K49-L49-M49-N49-O49-P49-Q49-R49-S49-T49-U49-V49-W49-X49-Y49-Z49-AA49-AB49-AC49-AD49-AE49-AF49-AG49+AH49-AI49+AJ49+AK49-AL49</f>
        <v>0</v>
      </c>
      <c r="AN49" s="53"/>
      <c r="AO49" s="27"/>
    </row>
    <row r="50" spans="1:41">
      <c r="A50" s="44">
        <v>22</v>
      </c>
      <c r="B50" s="46" t="s">
        <v>166</v>
      </c>
      <c r="C50" s="48" t="s">
        <v>167</v>
      </c>
      <c r="D50" s="51" t="s">
        <v>62</v>
      </c>
      <c r="E50" s="51" t="s">
        <v>168</v>
      </c>
      <c r="F50" s="54" t="s">
        <v>169</v>
      </c>
      <c r="G50" s="50">
        <v>3</v>
      </c>
      <c r="H50" s="51" t="s">
        <v>170</v>
      </c>
      <c r="I50" s="53">
        <v>0</v>
      </c>
      <c r="J50" s="53">
        <v>0</v>
      </c>
      <c r="K50" s="53">
        <v>22000</v>
      </c>
      <c r="L50" s="53">
        <v>0</v>
      </c>
      <c r="M50" s="53">
        <v>0</v>
      </c>
      <c r="N50" s="53">
        <v>0</v>
      </c>
      <c r="O50" s="53">
        <v>0</v>
      </c>
      <c r="P50" s="53">
        <v>0</v>
      </c>
      <c r="Q50" s="53">
        <v>0</v>
      </c>
      <c r="R50" s="53">
        <v>0</v>
      </c>
      <c r="S50" s="53">
        <v>0</v>
      </c>
      <c r="T50" s="53">
        <v>0</v>
      </c>
      <c r="U50" s="53">
        <v>1100</v>
      </c>
      <c r="V50" s="53">
        <v>0</v>
      </c>
      <c r="W50" s="53">
        <v>0</v>
      </c>
      <c r="X50" s="53">
        <v>0</v>
      </c>
      <c r="Y50" s="53">
        <v>11550</v>
      </c>
      <c r="Z50" s="53">
        <v>0</v>
      </c>
      <c r="AA50" s="53">
        <v>0</v>
      </c>
      <c r="AB50" s="53">
        <v>0</v>
      </c>
      <c r="AC50" s="53">
        <v>0</v>
      </c>
      <c r="AD50" s="53">
        <v>0</v>
      </c>
      <c r="AE50" s="53">
        <v>0</v>
      </c>
      <c r="AF50" s="53">
        <v>0</v>
      </c>
      <c r="AG50" s="53">
        <v>0</v>
      </c>
      <c r="AH50" s="53">
        <v>0</v>
      </c>
      <c r="AI50" s="53">
        <v>0</v>
      </c>
      <c r="AJ50" s="53">
        <v>0</v>
      </c>
      <c r="AK50" s="53">
        <v>0</v>
      </c>
      <c r="AL50" s="53">
        <v>0</v>
      </c>
      <c r="AM50" s="53" t="str">
        <f>I50-J50-K50-L50-M50-N50-O50-P50-Q50-R50-S50-T50-U50-V50-W50-X50-Y50-Z50-AA50-AB50-AC50-AD50-AE50-AF50-AG50+AH50-AI50+AJ50+AK50-AL50</f>
        <v>0</v>
      </c>
      <c r="AN50" s="53"/>
      <c r="AO50" s="27"/>
    </row>
    <row r="51" spans="1:41">
      <c r="A51" s="44">
        <v>23</v>
      </c>
      <c r="B51" s="46" t="s">
        <v>171</v>
      </c>
      <c r="C51" s="48" t="s">
        <v>172</v>
      </c>
      <c r="D51" s="51" t="s">
        <v>62</v>
      </c>
      <c r="E51" s="51" t="s">
        <v>168</v>
      </c>
      <c r="F51" s="54" t="s">
        <v>173</v>
      </c>
      <c r="G51" s="50">
        <v>3</v>
      </c>
      <c r="H51" s="51" t="s">
        <v>174</v>
      </c>
      <c r="I51" s="53">
        <v>0</v>
      </c>
      <c r="J51" s="53">
        <v>0</v>
      </c>
      <c r="K51" s="53">
        <v>22000</v>
      </c>
      <c r="L51" s="53">
        <v>0</v>
      </c>
      <c r="M51" s="53">
        <v>0</v>
      </c>
      <c r="N51" s="53">
        <v>0</v>
      </c>
      <c r="O51" s="53">
        <v>0</v>
      </c>
      <c r="P51" s="53">
        <v>0</v>
      </c>
      <c r="Q51" s="53">
        <v>0</v>
      </c>
      <c r="R51" s="53">
        <v>0</v>
      </c>
      <c r="S51" s="53">
        <v>0</v>
      </c>
      <c r="T51" s="53">
        <v>0</v>
      </c>
      <c r="U51" s="53">
        <v>1100</v>
      </c>
      <c r="V51" s="53">
        <v>0</v>
      </c>
      <c r="W51" s="53">
        <v>0</v>
      </c>
      <c r="X51" s="53">
        <v>0</v>
      </c>
      <c r="Y51" s="53">
        <v>11550</v>
      </c>
      <c r="Z51" s="53">
        <v>0</v>
      </c>
      <c r="AA51" s="53">
        <v>0</v>
      </c>
      <c r="AB51" s="53">
        <v>0</v>
      </c>
      <c r="AC51" s="53">
        <v>0</v>
      </c>
      <c r="AD51" s="53">
        <v>0</v>
      </c>
      <c r="AE51" s="53">
        <v>0</v>
      </c>
      <c r="AF51" s="53">
        <v>0</v>
      </c>
      <c r="AG51" s="53">
        <v>0</v>
      </c>
      <c r="AH51" s="53">
        <v>0</v>
      </c>
      <c r="AI51" s="53">
        <v>0</v>
      </c>
      <c r="AJ51" s="53">
        <v>0</v>
      </c>
      <c r="AK51" s="53">
        <v>0</v>
      </c>
      <c r="AL51" s="53">
        <v>0</v>
      </c>
      <c r="AM51" s="53" t="str">
        <f>I51-J51-K51-L51-M51-N51-O51-P51-Q51-R51-S51-T51-U51-V51-W51-X51-Y51-Z51-AA51-AB51-AC51-AD51-AE51-AF51-AG51+AH51-AI51+AJ51+AK51-AL51</f>
        <v>0</v>
      </c>
      <c r="AN51" s="53"/>
      <c r="AO51" s="27"/>
    </row>
    <row r="52" spans="1:41">
      <c r="A52" s="44">
        <v>24</v>
      </c>
      <c r="B52" s="46" t="s">
        <v>175</v>
      </c>
      <c r="C52" s="48" t="s">
        <v>176</v>
      </c>
      <c r="D52" s="51" t="s">
        <v>62</v>
      </c>
      <c r="E52" s="51" t="s">
        <v>177</v>
      </c>
      <c r="F52" s="54" t="s">
        <v>178</v>
      </c>
      <c r="G52" s="50">
        <v>5.8</v>
      </c>
      <c r="H52" s="51" t="s">
        <v>179</v>
      </c>
      <c r="I52" s="53">
        <v>0</v>
      </c>
      <c r="J52" s="53">
        <v>0</v>
      </c>
      <c r="K52" s="53">
        <v>31000</v>
      </c>
      <c r="L52" s="53">
        <v>0</v>
      </c>
      <c r="M52" s="53">
        <v>0</v>
      </c>
      <c r="N52" s="53">
        <v>0</v>
      </c>
      <c r="O52" s="53">
        <v>0</v>
      </c>
      <c r="P52" s="53">
        <v>0</v>
      </c>
      <c r="Q52" s="53">
        <v>0</v>
      </c>
      <c r="R52" s="53">
        <v>0</v>
      </c>
      <c r="S52" s="53">
        <v>0</v>
      </c>
      <c r="T52" s="53">
        <v>0</v>
      </c>
      <c r="U52" s="53">
        <v>1550</v>
      </c>
      <c r="V52" s="53">
        <v>0</v>
      </c>
      <c r="W52" s="53">
        <v>0</v>
      </c>
      <c r="X52" s="53">
        <v>0</v>
      </c>
      <c r="Y52" s="53">
        <v>16275</v>
      </c>
      <c r="Z52" s="53">
        <v>0</v>
      </c>
      <c r="AA52" s="53">
        <v>0</v>
      </c>
      <c r="AB52" s="53">
        <v>0</v>
      </c>
      <c r="AC52" s="53">
        <v>0</v>
      </c>
      <c r="AD52" s="53">
        <v>0</v>
      </c>
      <c r="AE52" s="53">
        <v>0</v>
      </c>
      <c r="AF52" s="53">
        <v>0</v>
      </c>
      <c r="AG52" s="53">
        <v>0</v>
      </c>
      <c r="AH52" s="53">
        <v>0</v>
      </c>
      <c r="AI52" s="53">
        <v>0</v>
      </c>
      <c r="AJ52" s="53">
        <v>0</v>
      </c>
      <c r="AK52" s="53">
        <v>0</v>
      </c>
      <c r="AL52" s="53">
        <v>0</v>
      </c>
      <c r="AM52" s="53" t="str">
        <f>I52-J52-K52-L52-M52-N52-O52-P52-Q52-R52-S52-T52-U52-V52-W52-X52-Y52-Z52-AA52-AB52-AC52-AD52-AE52-AF52-AG52+AH52-AI52+AJ52+AK52-AL52</f>
        <v>0</v>
      </c>
      <c r="AN52" s="53"/>
      <c r="AO52" s="27"/>
    </row>
    <row r="53" spans="1:41">
      <c r="A53" s="44">
        <v>25</v>
      </c>
      <c r="B53" s="46" t="s">
        <v>180</v>
      </c>
      <c r="C53" s="48" t="s">
        <v>181</v>
      </c>
      <c r="D53" s="51" t="s">
        <v>62</v>
      </c>
      <c r="E53" s="51" t="s">
        <v>182</v>
      </c>
      <c r="F53" s="54" t="s">
        <v>183</v>
      </c>
      <c r="G53" s="50">
        <v>2</v>
      </c>
      <c r="H53" s="51" t="s">
        <v>184</v>
      </c>
      <c r="I53" s="53">
        <v>0</v>
      </c>
      <c r="J53" s="53">
        <v>0</v>
      </c>
      <c r="K53" s="53">
        <v>22000</v>
      </c>
      <c r="L53" s="53">
        <v>0</v>
      </c>
      <c r="M53" s="53">
        <v>0</v>
      </c>
      <c r="N53" s="53">
        <v>0</v>
      </c>
      <c r="O53" s="53">
        <v>0</v>
      </c>
      <c r="P53" s="53">
        <v>0</v>
      </c>
      <c r="Q53" s="53">
        <v>0</v>
      </c>
      <c r="R53" s="53">
        <v>0</v>
      </c>
      <c r="S53" s="53">
        <v>0</v>
      </c>
      <c r="T53" s="53">
        <v>0</v>
      </c>
      <c r="U53" s="53">
        <v>1100</v>
      </c>
      <c r="V53" s="53">
        <v>0</v>
      </c>
      <c r="W53" s="53">
        <v>0</v>
      </c>
      <c r="X53" s="53">
        <v>0</v>
      </c>
      <c r="Y53" s="53">
        <v>11550</v>
      </c>
      <c r="Z53" s="53">
        <v>0</v>
      </c>
      <c r="AA53" s="53">
        <v>0</v>
      </c>
      <c r="AB53" s="53">
        <v>0</v>
      </c>
      <c r="AC53" s="53">
        <v>0</v>
      </c>
      <c r="AD53" s="53">
        <v>0</v>
      </c>
      <c r="AE53" s="53">
        <v>0</v>
      </c>
      <c r="AF53" s="53">
        <v>0</v>
      </c>
      <c r="AG53" s="53">
        <v>0</v>
      </c>
      <c r="AH53" s="53">
        <v>0</v>
      </c>
      <c r="AI53" s="53">
        <v>0</v>
      </c>
      <c r="AJ53" s="53">
        <v>0</v>
      </c>
      <c r="AK53" s="53">
        <v>0</v>
      </c>
      <c r="AL53" s="53">
        <v>0</v>
      </c>
      <c r="AM53" s="53" t="str">
        <f>I53-J53-K53-L53-M53-N53-O53-P53-Q53-R53-S53-T53-U53-V53-W53-X53-Y53-Z53-AA53-AB53-AC53-AD53-AE53-AF53-AG53+AH53-AI53+AJ53+AK53-AL53</f>
        <v>0</v>
      </c>
      <c r="AN53" s="53"/>
      <c r="AO53" s="27"/>
    </row>
    <row r="54" spans="1:41">
      <c r="A54" s="44">
        <v>26</v>
      </c>
      <c r="B54" s="46" t="s">
        <v>185</v>
      </c>
      <c r="C54" s="48" t="s">
        <v>186</v>
      </c>
      <c r="D54" s="51" t="s">
        <v>73</v>
      </c>
      <c r="E54" s="51" t="s">
        <v>187</v>
      </c>
      <c r="F54" s="54" t="s">
        <v>188</v>
      </c>
      <c r="G54" s="50">
        <v>5</v>
      </c>
      <c r="H54" s="51" t="s">
        <v>189</v>
      </c>
      <c r="I54" s="53">
        <v>674000</v>
      </c>
      <c r="J54" s="53">
        <v>0</v>
      </c>
      <c r="K54" s="53">
        <v>27000</v>
      </c>
      <c r="L54" s="53">
        <v>0</v>
      </c>
      <c r="M54" s="53">
        <v>0</v>
      </c>
      <c r="N54" s="53">
        <v>0</v>
      </c>
      <c r="O54" s="53">
        <v>0</v>
      </c>
      <c r="P54" s="53">
        <v>0</v>
      </c>
      <c r="Q54" s="53">
        <v>0</v>
      </c>
      <c r="R54" s="53">
        <v>0</v>
      </c>
      <c r="S54" s="53">
        <v>0</v>
      </c>
      <c r="T54" s="53">
        <v>0</v>
      </c>
      <c r="U54" s="53">
        <v>1350</v>
      </c>
      <c r="V54" s="53">
        <v>0</v>
      </c>
      <c r="W54" s="53">
        <v>0</v>
      </c>
      <c r="X54" s="53">
        <v>0</v>
      </c>
      <c r="Y54" s="53">
        <v>0</v>
      </c>
      <c r="Z54" s="53">
        <v>0</v>
      </c>
      <c r="AA54" s="53">
        <v>0</v>
      </c>
      <c r="AB54" s="53">
        <v>0</v>
      </c>
      <c r="AC54" s="53">
        <v>0</v>
      </c>
      <c r="AD54" s="53">
        <v>10000</v>
      </c>
      <c r="AE54" s="53">
        <v>0</v>
      </c>
      <c r="AF54" s="53">
        <v>0</v>
      </c>
      <c r="AG54" s="53">
        <v>0</v>
      </c>
      <c r="AH54" s="53">
        <v>0</v>
      </c>
      <c r="AI54" s="53">
        <v>0</v>
      </c>
      <c r="AJ54" s="53">
        <v>0</v>
      </c>
      <c r="AK54" s="53">
        <v>0</v>
      </c>
      <c r="AL54" s="53">
        <v>0</v>
      </c>
      <c r="AM54" s="53" t="str">
        <f>I54-J54-K54-L54-M54-N54-O54-P54-Q54-R54-S54-T54-U54-V54-W54-X54-Y54-Z54-AA54-AB54-AC54-AD54-AE54-AF54-AG54+AH54-AI54+AJ54+AK54-AL54</f>
        <v>0</v>
      </c>
      <c r="AN54" s="53"/>
      <c r="AO54" s="27"/>
    </row>
    <row r="55" spans="1:41">
      <c r="A55" s="44">
        <v>27</v>
      </c>
      <c r="B55" s="46" t="s">
        <v>190</v>
      </c>
      <c r="C55" s="48" t="s">
        <v>191</v>
      </c>
      <c r="D55" s="51" t="s">
        <v>62</v>
      </c>
      <c r="E55" s="51" t="s">
        <v>192</v>
      </c>
      <c r="F55" s="54" t="s">
        <v>193</v>
      </c>
      <c r="G55" s="50">
        <v>3</v>
      </c>
      <c r="H55" s="51" t="s">
        <v>194</v>
      </c>
      <c r="I55" s="53">
        <v>0</v>
      </c>
      <c r="J55" s="53">
        <v>0</v>
      </c>
      <c r="K55" s="53">
        <v>22000</v>
      </c>
      <c r="L55" s="53">
        <v>0</v>
      </c>
      <c r="M55" s="53">
        <v>0</v>
      </c>
      <c r="N55" s="53">
        <v>0</v>
      </c>
      <c r="O55" s="53">
        <v>0</v>
      </c>
      <c r="P55" s="53">
        <v>0</v>
      </c>
      <c r="Q55" s="53">
        <v>0</v>
      </c>
      <c r="R55" s="53">
        <v>0</v>
      </c>
      <c r="S55" s="53">
        <v>0</v>
      </c>
      <c r="T55" s="53">
        <v>0</v>
      </c>
      <c r="U55" s="53">
        <v>1100</v>
      </c>
      <c r="V55" s="53">
        <v>0</v>
      </c>
      <c r="W55" s="53">
        <v>0</v>
      </c>
      <c r="X55" s="53">
        <v>0</v>
      </c>
      <c r="Y55" s="53">
        <v>11550</v>
      </c>
      <c r="Z55" s="53">
        <v>0</v>
      </c>
      <c r="AA55" s="53">
        <v>0</v>
      </c>
      <c r="AB55" s="53">
        <v>0</v>
      </c>
      <c r="AC55" s="53">
        <v>0</v>
      </c>
      <c r="AD55" s="53">
        <v>0</v>
      </c>
      <c r="AE55" s="53">
        <v>0</v>
      </c>
      <c r="AF55" s="53">
        <v>0</v>
      </c>
      <c r="AG55" s="53">
        <v>0</v>
      </c>
      <c r="AH55" s="53">
        <v>0</v>
      </c>
      <c r="AI55" s="53">
        <v>0</v>
      </c>
      <c r="AJ55" s="53">
        <v>0</v>
      </c>
      <c r="AK55" s="53">
        <v>0</v>
      </c>
      <c r="AL55" s="53">
        <v>0</v>
      </c>
      <c r="AM55" s="53" t="str">
        <f>I55-J55-K55-L55-M55-N55-O55-P55-Q55-R55-S55-T55-U55-V55-W55-X55-Y55-Z55-AA55-AB55-AC55-AD55-AE55-AF55-AG55+AH55-AI55+AJ55+AK55-AL55</f>
        <v>0</v>
      </c>
      <c r="AN55" s="53"/>
      <c r="AO55" s="27"/>
    </row>
    <row r="56" spans="1:41">
      <c r="A56" s="44">
        <v>28</v>
      </c>
      <c r="B56" s="46" t="s">
        <v>195</v>
      </c>
      <c r="C56" s="48" t="s">
        <v>196</v>
      </c>
      <c r="D56" s="51" t="s">
        <v>73</v>
      </c>
      <c r="E56" s="51" t="s">
        <v>192</v>
      </c>
      <c r="F56" s="54" t="s">
        <v>197</v>
      </c>
      <c r="G56" s="50">
        <v>7</v>
      </c>
      <c r="H56" s="51" t="s">
        <v>198</v>
      </c>
      <c r="I56" s="53">
        <v>1690000</v>
      </c>
      <c r="J56" s="53">
        <v>0</v>
      </c>
      <c r="K56" s="53">
        <v>35000</v>
      </c>
      <c r="L56" s="53">
        <v>0</v>
      </c>
      <c r="M56" s="53">
        <v>0</v>
      </c>
      <c r="N56" s="53">
        <v>0</v>
      </c>
      <c r="O56" s="53">
        <v>0</v>
      </c>
      <c r="P56" s="53">
        <v>0</v>
      </c>
      <c r="Q56" s="53">
        <v>0</v>
      </c>
      <c r="R56" s="53">
        <v>0</v>
      </c>
      <c r="S56" s="53">
        <v>0</v>
      </c>
      <c r="T56" s="53">
        <v>0</v>
      </c>
      <c r="U56" s="53">
        <v>1750</v>
      </c>
      <c r="V56" s="53">
        <v>0</v>
      </c>
      <c r="W56" s="53">
        <v>0</v>
      </c>
      <c r="X56" s="53">
        <v>0</v>
      </c>
      <c r="Y56" s="53">
        <v>0</v>
      </c>
      <c r="Z56" s="53">
        <v>0</v>
      </c>
      <c r="AA56" s="53">
        <v>0</v>
      </c>
      <c r="AB56" s="53">
        <v>0</v>
      </c>
      <c r="AC56" s="53">
        <v>0</v>
      </c>
      <c r="AD56" s="53">
        <v>0</v>
      </c>
      <c r="AE56" s="53">
        <v>0</v>
      </c>
      <c r="AF56" s="53">
        <v>0</v>
      </c>
      <c r="AG56" s="53">
        <v>0</v>
      </c>
      <c r="AH56" s="53">
        <v>0</v>
      </c>
      <c r="AI56" s="53">
        <v>0</v>
      </c>
      <c r="AJ56" s="53">
        <v>0</v>
      </c>
      <c r="AK56" s="53">
        <v>0</v>
      </c>
      <c r="AL56" s="53">
        <v>0</v>
      </c>
      <c r="AM56" s="53" t="str">
        <f>I56-J56-K56-L56-M56-N56-O56-P56-Q56-R56-S56-T56-U56-V56-W56-X56-Y56-Z56-AA56-AB56-AC56-AD56-AE56-AF56-AG56+AH56-AI56+AJ56+AK56-AL56</f>
        <v>0</v>
      </c>
      <c r="AN56" s="53"/>
      <c r="AO56" s="27"/>
    </row>
    <row r="57" spans="1:41">
      <c r="A57" s="44">
        <v>29</v>
      </c>
      <c r="B57" s="46" t="s">
        <v>199</v>
      </c>
      <c r="C57" s="48" t="s">
        <v>200</v>
      </c>
      <c r="D57" s="51" t="s">
        <v>62</v>
      </c>
      <c r="E57" s="51" t="s">
        <v>201</v>
      </c>
      <c r="F57" s="54" t="s">
        <v>80</v>
      </c>
      <c r="G57" s="50">
        <v>3</v>
      </c>
      <c r="H57" s="51" t="s">
        <v>202</v>
      </c>
      <c r="I57" s="53">
        <v>0</v>
      </c>
      <c r="J57" s="53">
        <v>0</v>
      </c>
      <c r="K57" s="53">
        <v>22000</v>
      </c>
      <c r="L57" s="53">
        <v>0</v>
      </c>
      <c r="M57" s="53">
        <v>0</v>
      </c>
      <c r="N57" s="53">
        <v>0</v>
      </c>
      <c r="O57" s="53">
        <v>0</v>
      </c>
      <c r="P57" s="53">
        <v>0</v>
      </c>
      <c r="Q57" s="53">
        <v>0</v>
      </c>
      <c r="R57" s="53">
        <v>0</v>
      </c>
      <c r="S57" s="53">
        <v>0</v>
      </c>
      <c r="T57" s="53">
        <v>0</v>
      </c>
      <c r="U57" s="53">
        <v>1100</v>
      </c>
      <c r="V57" s="53">
        <v>0</v>
      </c>
      <c r="W57" s="53">
        <v>0</v>
      </c>
      <c r="X57" s="53">
        <v>0</v>
      </c>
      <c r="Y57" s="53">
        <v>11550</v>
      </c>
      <c r="Z57" s="53">
        <v>0</v>
      </c>
      <c r="AA57" s="53">
        <v>0</v>
      </c>
      <c r="AB57" s="53">
        <v>0</v>
      </c>
      <c r="AC57" s="53">
        <v>0</v>
      </c>
      <c r="AD57" s="53">
        <v>0</v>
      </c>
      <c r="AE57" s="53">
        <v>0</v>
      </c>
      <c r="AF57" s="53">
        <v>0</v>
      </c>
      <c r="AG57" s="53">
        <v>0</v>
      </c>
      <c r="AH57" s="53">
        <v>0</v>
      </c>
      <c r="AI57" s="53">
        <v>0</v>
      </c>
      <c r="AJ57" s="53">
        <v>0</v>
      </c>
      <c r="AK57" s="53">
        <v>0</v>
      </c>
      <c r="AL57" s="53">
        <v>0</v>
      </c>
      <c r="AM57" s="53" t="str">
        <f>I57-J57-K57-L57-M57-N57-O57-P57-Q57-R57-S57-T57-U57-V57-W57-X57-Y57-Z57-AA57-AB57-AC57-AD57-AE57-AF57-AG57+AH57-AI57+AJ57+AK57-AL57</f>
        <v>0</v>
      </c>
      <c r="AN57" s="53"/>
      <c r="AO57" s="27"/>
    </row>
    <row r="58" spans="1:41">
      <c r="A58" s="44">
        <v>30</v>
      </c>
      <c r="B58" s="46" t="s">
        <v>203</v>
      </c>
      <c r="C58" s="48" t="s">
        <v>204</v>
      </c>
      <c r="D58" s="51" t="s">
        <v>62</v>
      </c>
      <c r="E58" s="51" t="s">
        <v>205</v>
      </c>
      <c r="F58" s="54" t="s">
        <v>144</v>
      </c>
      <c r="G58" s="50">
        <v>3</v>
      </c>
      <c r="H58" s="51" t="s">
        <v>206</v>
      </c>
      <c r="I58" s="53">
        <v>0</v>
      </c>
      <c r="J58" s="53">
        <v>0</v>
      </c>
      <c r="K58" s="53">
        <v>23000</v>
      </c>
      <c r="L58" s="53">
        <v>0</v>
      </c>
      <c r="M58" s="53">
        <v>0</v>
      </c>
      <c r="N58" s="53">
        <v>0</v>
      </c>
      <c r="O58" s="53">
        <v>0</v>
      </c>
      <c r="P58" s="53">
        <v>0</v>
      </c>
      <c r="Q58" s="53">
        <v>0</v>
      </c>
      <c r="R58" s="53">
        <v>0</v>
      </c>
      <c r="S58" s="53">
        <v>0</v>
      </c>
      <c r="T58" s="53">
        <v>0</v>
      </c>
      <c r="U58" s="53">
        <v>1150</v>
      </c>
      <c r="V58" s="53">
        <v>0</v>
      </c>
      <c r="W58" s="53">
        <v>0</v>
      </c>
      <c r="X58" s="53">
        <v>0</v>
      </c>
      <c r="Y58" s="53">
        <v>5250</v>
      </c>
      <c r="Z58" s="53">
        <v>0</v>
      </c>
      <c r="AA58" s="53">
        <v>0</v>
      </c>
      <c r="AB58" s="53">
        <v>0</v>
      </c>
      <c r="AC58" s="53">
        <v>0</v>
      </c>
      <c r="AD58" s="53">
        <v>0</v>
      </c>
      <c r="AE58" s="53">
        <v>0</v>
      </c>
      <c r="AF58" s="53">
        <v>0</v>
      </c>
      <c r="AG58" s="53">
        <v>0</v>
      </c>
      <c r="AH58" s="53">
        <v>0</v>
      </c>
      <c r="AI58" s="53">
        <v>0</v>
      </c>
      <c r="AJ58" s="53">
        <v>0</v>
      </c>
      <c r="AK58" s="53">
        <v>0</v>
      </c>
      <c r="AL58" s="53">
        <v>0</v>
      </c>
      <c r="AM58" s="53" t="str">
        <f>I58-J58-K58-L58-M58-N58-O58-P58-Q58-R58-S58-T58-U58-V58-W58-X58-Y58-Z58-AA58-AB58-AC58-AD58-AE58-AF58-AG58+AH58-AI58+AJ58+AK58-AL58</f>
        <v>0</v>
      </c>
      <c r="AN58" s="53"/>
      <c r="AO58" s="27"/>
    </row>
    <row r="59" spans="1:41">
      <c r="A59" s="44">
        <v>31</v>
      </c>
      <c r="B59" s="46" t="s">
        <v>207</v>
      </c>
      <c r="C59" s="48" t="s">
        <v>208</v>
      </c>
      <c r="D59" s="51" t="s">
        <v>62</v>
      </c>
      <c r="E59" s="51" t="s">
        <v>209</v>
      </c>
      <c r="F59" s="54" t="s">
        <v>210</v>
      </c>
      <c r="G59" s="50">
        <v>3</v>
      </c>
      <c r="H59" s="51" t="s">
        <v>211</v>
      </c>
      <c r="I59" s="53">
        <v>0</v>
      </c>
      <c r="J59" s="53">
        <v>0</v>
      </c>
      <c r="K59" s="53">
        <v>22000</v>
      </c>
      <c r="L59" s="53">
        <v>0</v>
      </c>
      <c r="M59" s="53">
        <v>0</v>
      </c>
      <c r="N59" s="53">
        <v>0</v>
      </c>
      <c r="O59" s="53">
        <v>0</v>
      </c>
      <c r="P59" s="53">
        <v>0</v>
      </c>
      <c r="Q59" s="53">
        <v>0</v>
      </c>
      <c r="R59" s="53">
        <v>0</v>
      </c>
      <c r="S59" s="53">
        <v>0</v>
      </c>
      <c r="T59" s="53">
        <v>0</v>
      </c>
      <c r="U59" s="53">
        <v>1100</v>
      </c>
      <c r="V59" s="53">
        <v>0</v>
      </c>
      <c r="W59" s="53">
        <v>0</v>
      </c>
      <c r="X59" s="53">
        <v>0</v>
      </c>
      <c r="Y59" s="53">
        <v>11550</v>
      </c>
      <c r="Z59" s="53">
        <v>0</v>
      </c>
      <c r="AA59" s="53">
        <v>0</v>
      </c>
      <c r="AB59" s="53">
        <v>0</v>
      </c>
      <c r="AC59" s="53">
        <v>0</v>
      </c>
      <c r="AD59" s="53">
        <v>0</v>
      </c>
      <c r="AE59" s="53">
        <v>0</v>
      </c>
      <c r="AF59" s="53">
        <v>0</v>
      </c>
      <c r="AG59" s="53">
        <v>0</v>
      </c>
      <c r="AH59" s="53">
        <v>0</v>
      </c>
      <c r="AI59" s="53">
        <v>0</v>
      </c>
      <c r="AJ59" s="53">
        <v>0</v>
      </c>
      <c r="AK59" s="53">
        <v>0</v>
      </c>
      <c r="AL59" s="53">
        <v>0</v>
      </c>
      <c r="AM59" s="53" t="str">
        <f>I59-J59-K59-L59-M59-N59-O59-P59-Q59-R59-S59-T59-U59-V59-W59-X59-Y59-Z59-AA59-AB59-AC59-AD59-AE59-AF59-AG59+AH59-AI59+AJ59+AK59-AL59</f>
        <v>0</v>
      </c>
      <c r="AN59" s="53"/>
      <c r="AO59" s="27"/>
    </row>
    <row r="60" spans="1:41">
      <c r="A60" s="44">
        <v>32</v>
      </c>
      <c r="B60" s="46" t="s">
        <v>212</v>
      </c>
      <c r="C60" s="48" t="s">
        <v>213</v>
      </c>
      <c r="D60" s="51" t="s">
        <v>62</v>
      </c>
      <c r="E60" s="51" t="s">
        <v>214</v>
      </c>
      <c r="F60" s="54" t="s">
        <v>215</v>
      </c>
      <c r="G60" s="50">
        <v>6</v>
      </c>
      <c r="H60" s="51" t="s">
        <v>216</v>
      </c>
      <c r="I60" s="53">
        <v>0</v>
      </c>
      <c r="J60" s="53">
        <v>0</v>
      </c>
      <c r="K60" s="53">
        <v>31000</v>
      </c>
      <c r="L60" s="53">
        <v>0</v>
      </c>
      <c r="M60" s="53">
        <v>0</v>
      </c>
      <c r="N60" s="53">
        <v>0</v>
      </c>
      <c r="O60" s="53">
        <v>0</v>
      </c>
      <c r="P60" s="53">
        <v>0</v>
      </c>
      <c r="Q60" s="53">
        <v>0</v>
      </c>
      <c r="R60" s="53">
        <v>0</v>
      </c>
      <c r="S60" s="53">
        <v>0</v>
      </c>
      <c r="T60" s="53">
        <v>0</v>
      </c>
      <c r="U60" s="53">
        <v>1550</v>
      </c>
      <c r="V60" s="53">
        <v>0</v>
      </c>
      <c r="W60" s="53">
        <v>0</v>
      </c>
      <c r="X60" s="53">
        <v>0</v>
      </c>
      <c r="Y60" s="53">
        <v>16275</v>
      </c>
      <c r="Z60" s="53">
        <v>0</v>
      </c>
      <c r="AA60" s="53">
        <v>0</v>
      </c>
      <c r="AB60" s="53">
        <v>0</v>
      </c>
      <c r="AC60" s="53">
        <v>0</v>
      </c>
      <c r="AD60" s="53">
        <v>0</v>
      </c>
      <c r="AE60" s="53">
        <v>0</v>
      </c>
      <c r="AF60" s="53">
        <v>0</v>
      </c>
      <c r="AG60" s="53">
        <v>0</v>
      </c>
      <c r="AH60" s="53">
        <v>0</v>
      </c>
      <c r="AI60" s="53">
        <v>0</v>
      </c>
      <c r="AJ60" s="53">
        <v>0</v>
      </c>
      <c r="AK60" s="53">
        <v>0</v>
      </c>
      <c r="AL60" s="53">
        <v>0</v>
      </c>
      <c r="AM60" s="53" t="str">
        <f>I60-J60-K60-L60-M60-N60-O60-P60-Q60-R60-S60-T60-U60-V60-W60-X60-Y60-Z60-AA60-AB60-AC60-AD60-AE60-AF60-AG60+AH60-AI60+AJ60+AK60-AL60</f>
        <v>0</v>
      </c>
      <c r="AN60" s="53"/>
      <c r="AO60" s="27"/>
    </row>
    <row r="61" spans="1:41">
      <c r="A61" s="44">
        <v>33</v>
      </c>
      <c r="B61" s="46" t="s">
        <v>217</v>
      </c>
      <c r="C61" s="48" t="s">
        <v>218</v>
      </c>
      <c r="D61" s="51" t="s">
        <v>62</v>
      </c>
      <c r="E61" s="51" t="s">
        <v>219</v>
      </c>
      <c r="F61" s="54" t="s">
        <v>220</v>
      </c>
      <c r="G61" s="50">
        <v>2</v>
      </c>
      <c r="H61" s="51" t="s">
        <v>221</v>
      </c>
      <c r="I61" s="53">
        <v>0</v>
      </c>
      <c r="J61" s="53">
        <v>0</v>
      </c>
      <c r="K61" s="53">
        <v>22000</v>
      </c>
      <c r="L61" s="53">
        <v>0</v>
      </c>
      <c r="M61" s="53">
        <v>0</v>
      </c>
      <c r="N61" s="53">
        <v>0</v>
      </c>
      <c r="O61" s="53">
        <v>0</v>
      </c>
      <c r="P61" s="53">
        <v>0</v>
      </c>
      <c r="Q61" s="53">
        <v>0</v>
      </c>
      <c r="R61" s="53">
        <v>0</v>
      </c>
      <c r="S61" s="53">
        <v>0</v>
      </c>
      <c r="T61" s="53">
        <v>0</v>
      </c>
      <c r="U61" s="53">
        <v>1100</v>
      </c>
      <c r="V61" s="53">
        <v>0</v>
      </c>
      <c r="W61" s="53">
        <v>0</v>
      </c>
      <c r="X61" s="53">
        <v>0</v>
      </c>
      <c r="Y61" s="53">
        <v>11550</v>
      </c>
      <c r="Z61" s="53">
        <v>0</v>
      </c>
      <c r="AA61" s="53">
        <v>0</v>
      </c>
      <c r="AB61" s="53">
        <v>0</v>
      </c>
      <c r="AC61" s="53">
        <v>0</v>
      </c>
      <c r="AD61" s="53">
        <v>0</v>
      </c>
      <c r="AE61" s="53">
        <v>0</v>
      </c>
      <c r="AF61" s="53">
        <v>0</v>
      </c>
      <c r="AG61" s="53">
        <v>0</v>
      </c>
      <c r="AH61" s="53">
        <v>0</v>
      </c>
      <c r="AI61" s="53">
        <v>0</v>
      </c>
      <c r="AJ61" s="53">
        <v>0</v>
      </c>
      <c r="AK61" s="53">
        <v>0</v>
      </c>
      <c r="AL61" s="53">
        <v>0</v>
      </c>
      <c r="AM61" s="53" t="str">
        <f>I61-J61-K61-L61-M61-N61-O61-P61-Q61-R61-S61-T61-U61-V61-W61-X61-Y61-Z61-AA61-AB61-AC61-AD61-AE61-AF61-AG61+AH61-AI61+AJ61+AK61-AL61</f>
        <v>0</v>
      </c>
      <c r="AN61" s="53"/>
      <c r="AO61" s="27"/>
    </row>
    <row r="62" spans="1:41">
      <c r="A62" s="44">
        <v>34</v>
      </c>
      <c r="B62" s="46" t="s">
        <v>222</v>
      </c>
      <c r="C62" s="48" t="s">
        <v>223</v>
      </c>
      <c r="D62" s="51" t="s">
        <v>62</v>
      </c>
      <c r="E62" s="51" t="s">
        <v>219</v>
      </c>
      <c r="F62" s="54" t="s">
        <v>224</v>
      </c>
      <c r="G62" s="50">
        <v>2</v>
      </c>
      <c r="H62" s="51" t="s">
        <v>225</v>
      </c>
      <c r="I62" s="53">
        <v>0</v>
      </c>
      <c r="J62" s="53">
        <v>0</v>
      </c>
      <c r="K62" s="53">
        <v>22000</v>
      </c>
      <c r="L62" s="53">
        <v>0</v>
      </c>
      <c r="M62" s="53">
        <v>0</v>
      </c>
      <c r="N62" s="53">
        <v>0</v>
      </c>
      <c r="O62" s="53">
        <v>0</v>
      </c>
      <c r="P62" s="53">
        <v>0</v>
      </c>
      <c r="Q62" s="53">
        <v>0</v>
      </c>
      <c r="R62" s="53">
        <v>0</v>
      </c>
      <c r="S62" s="53">
        <v>0</v>
      </c>
      <c r="T62" s="53">
        <v>0</v>
      </c>
      <c r="U62" s="53">
        <v>1100</v>
      </c>
      <c r="V62" s="53">
        <v>0</v>
      </c>
      <c r="W62" s="53">
        <v>0</v>
      </c>
      <c r="X62" s="53">
        <v>0</v>
      </c>
      <c r="Y62" s="53">
        <v>11550</v>
      </c>
      <c r="Z62" s="53">
        <v>0</v>
      </c>
      <c r="AA62" s="53">
        <v>0</v>
      </c>
      <c r="AB62" s="53">
        <v>0</v>
      </c>
      <c r="AC62" s="53">
        <v>0</v>
      </c>
      <c r="AD62" s="53">
        <v>0</v>
      </c>
      <c r="AE62" s="53">
        <v>0</v>
      </c>
      <c r="AF62" s="53">
        <v>0</v>
      </c>
      <c r="AG62" s="53">
        <v>0</v>
      </c>
      <c r="AH62" s="53">
        <v>0</v>
      </c>
      <c r="AI62" s="53">
        <v>0</v>
      </c>
      <c r="AJ62" s="53">
        <v>0</v>
      </c>
      <c r="AK62" s="53">
        <v>0</v>
      </c>
      <c r="AL62" s="53">
        <v>0</v>
      </c>
      <c r="AM62" s="53" t="str">
        <f>I62-J62-K62-L62-M62-N62-O62-P62-Q62-R62-S62-T62-U62-V62-W62-X62-Y62-Z62-AA62-AB62-AC62-AD62-AE62-AF62-AG62+AH62-AI62+AJ62+AK62-AL62</f>
        <v>0</v>
      </c>
      <c r="AN62" s="53"/>
      <c r="AO62" s="27"/>
    </row>
    <row r="63" spans="1:41">
      <c r="A63" s="44">
        <v>35</v>
      </c>
      <c r="B63" s="46" t="s">
        <v>226</v>
      </c>
      <c r="C63" s="48" t="s">
        <v>227</v>
      </c>
      <c r="D63" s="51" t="s">
        <v>62</v>
      </c>
      <c r="E63" s="51" t="s">
        <v>228</v>
      </c>
      <c r="F63" s="54" t="s">
        <v>229</v>
      </c>
      <c r="G63" s="50">
        <v>5.8</v>
      </c>
      <c r="H63" s="51" t="s">
        <v>230</v>
      </c>
      <c r="I63" s="53">
        <v>0</v>
      </c>
      <c r="J63" s="53">
        <v>0</v>
      </c>
      <c r="K63" s="53">
        <v>24000</v>
      </c>
      <c r="L63" s="53">
        <v>0</v>
      </c>
      <c r="M63" s="53">
        <v>0</v>
      </c>
      <c r="N63" s="53">
        <v>0</v>
      </c>
      <c r="O63" s="53">
        <v>0</v>
      </c>
      <c r="P63" s="53">
        <v>0</v>
      </c>
      <c r="Q63" s="53">
        <v>0</v>
      </c>
      <c r="R63" s="53">
        <v>0</v>
      </c>
      <c r="S63" s="53">
        <v>0</v>
      </c>
      <c r="T63" s="53">
        <v>0</v>
      </c>
      <c r="U63" s="53">
        <v>1200</v>
      </c>
      <c r="V63" s="53">
        <v>0</v>
      </c>
      <c r="W63" s="53">
        <v>0</v>
      </c>
      <c r="X63" s="53">
        <v>0</v>
      </c>
      <c r="Y63" s="53">
        <v>5250</v>
      </c>
      <c r="Z63" s="53">
        <v>0</v>
      </c>
      <c r="AA63" s="53">
        <v>0</v>
      </c>
      <c r="AB63" s="53">
        <v>0</v>
      </c>
      <c r="AC63" s="53">
        <v>0</v>
      </c>
      <c r="AD63" s="53">
        <v>0</v>
      </c>
      <c r="AE63" s="53">
        <v>0</v>
      </c>
      <c r="AF63" s="53">
        <v>0</v>
      </c>
      <c r="AG63" s="53">
        <v>0</v>
      </c>
      <c r="AH63" s="53">
        <v>0</v>
      </c>
      <c r="AI63" s="53">
        <v>0</v>
      </c>
      <c r="AJ63" s="53">
        <v>0</v>
      </c>
      <c r="AK63" s="53">
        <v>0</v>
      </c>
      <c r="AL63" s="53">
        <v>0</v>
      </c>
      <c r="AM63" s="53" t="str">
        <f>I63-J63-K63-L63-M63-N63-O63-P63-Q63-R63-S63-T63-U63-V63-W63-X63-Y63-Z63-AA63-AB63-AC63-AD63-AE63-AF63-AG63+AH63-AI63+AJ63+AK63-AL63</f>
        <v>0</v>
      </c>
      <c r="AN63" s="53"/>
      <c r="AO63" s="27"/>
    </row>
    <row r="64" spans="1:41">
      <c r="A64" s="44">
        <v>36</v>
      </c>
      <c r="B64" s="46" t="s">
        <v>231</v>
      </c>
      <c r="C64" s="48" t="s">
        <v>232</v>
      </c>
      <c r="D64" s="51" t="s">
        <v>62</v>
      </c>
      <c r="E64" s="51" t="s">
        <v>233</v>
      </c>
      <c r="F64" s="54" t="s">
        <v>234</v>
      </c>
      <c r="G64" s="50">
        <v>2</v>
      </c>
      <c r="H64" s="51" t="s">
        <v>235</v>
      </c>
      <c r="I64" s="53">
        <v>0</v>
      </c>
      <c r="J64" s="53">
        <v>0</v>
      </c>
      <c r="K64" s="53">
        <v>22000</v>
      </c>
      <c r="L64" s="53">
        <v>0</v>
      </c>
      <c r="M64" s="53">
        <v>0</v>
      </c>
      <c r="N64" s="53">
        <v>0</v>
      </c>
      <c r="O64" s="53">
        <v>0</v>
      </c>
      <c r="P64" s="53">
        <v>0</v>
      </c>
      <c r="Q64" s="53">
        <v>0</v>
      </c>
      <c r="R64" s="53">
        <v>0</v>
      </c>
      <c r="S64" s="53">
        <v>0</v>
      </c>
      <c r="T64" s="53">
        <v>0</v>
      </c>
      <c r="U64" s="53">
        <v>1100</v>
      </c>
      <c r="V64" s="53">
        <v>0</v>
      </c>
      <c r="W64" s="53">
        <v>0</v>
      </c>
      <c r="X64" s="53">
        <v>0</v>
      </c>
      <c r="Y64" s="53">
        <v>11550</v>
      </c>
      <c r="Z64" s="53">
        <v>0</v>
      </c>
      <c r="AA64" s="53">
        <v>0</v>
      </c>
      <c r="AB64" s="53">
        <v>0</v>
      </c>
      <c r="AC64" s="53">
        <v>0</v>
      </c>
      <c r="AD64" s="53">
        <v>0</v>
      </c>
      <c r="AE64" s="53">
        <v>0</v>
      </c>
      <c r="AF64" s="53">
        <v>0</v>
      </c>
      <c r="AG64" s="53">
        <v>0</v>
      </c>
      <c r="AH64" s="53">
        <v>0</v>
      </c>
      <c r="AI64" s="53">
        <v>0</v>
      </c>
      <c r="AJ64" s="53">
        <v>0</v>
      </c>
      <c r="AK64" s="53">
        <v>0</v>
      </c>
      <c r="AL64" s="53">
        <v>0</v>
      </c>
      <c r="AM64" s="53" t="str">
        <f>I64-J64-K64-L64-M64-N64-O64-P64-Q64-R64-S64-T64-U64-V64-W64-X64-Y64-Z64-AA64-AB64-AC64-AD64-AE64-AF64-AG64+AH64-AI64+AJ64+AK64-AL64</f>
        <v>0</v>
      </c>
      <c r="AN64" s="53"/>
      <c r="AO64" s="27"/>
    </row>
    <row r="65" spans="1:41">
      <c r="A65" s="44">
        <v>37</v>
      </c>
      <c r="B65" s="46" t="s">
        <v>236</v>
      </c>
      <c r="C65" s="48" t="s">
        <v>237</v>
      </c>
      <c r="D65" s="51" t="s">
        <v>62</v>
      </c>
      <c r="E65" s="51" t="s">
        <v>238</v>
      </c>
      <c r="F65" s="54" t="s">
        <v>239</v>
      </c>
      <c r="G65" s="50">
        <v>6</v>
      </c>
      <c r="H65" s="51" t="s">
        <v>240</v>
      </c>
      <c r="I65" s="53">
        <v>0</v>
      </c>
      <c r="J65" s="53">
        <v>0</v>
      </c>
      <c r="K65" s="53">
        <v>31000</v>
      </c>
      <c r="L65" s="53">
        <v>0</v>
      </c>
      <c r="M65" s="53">
        <v>0</v>
      </c>
      <c r="N65" s="53">
        <v>0</v>
      </c>
      <c r="O65" s="53">
        <v>0</v>
      </c>
      <c r="P65" s="53">
        <v>0</v>
      </c>
      <c r="Q65" s="53">
        <v>0</v>
      </c>
      <c r="R65" s="53">
        <v>0</v>
      </c>
      <c r="S65" s="53">
        <v>0</v>
      </c>
      <c r="T65" s="53">
        <v>0</v>
      </c>
      <c r="U65" s="53">
        <v>1550</v>
      </c>
      <c r="V65" s="53">
        <v>0</v>
      </c>
      <c r="W65" s="53">
        <v>0</v>
      </c>
      <c r="X65" s="53">
        <v>0</v>
      </c>
      <c r="Y65" s="53">
        <v>5250</v>
      </c>
      <c r="Z65" s="53">
        <v>0</v>
      </c>
      <c r="AA65" s="53">
        <v>0</v>
      </c>
      <c r="AB65" s="53">
        <v>0</v>
      </c>
      <c r="AC65" s="53">
        <v>0</v>
      </c>
      <c r="AD65" s="53">
        <v>0</v>
      </c>
      <c r="AE65" s="53">
        <v>0</v>
      </c>
      <c r="AF65" s="53">
        <v>0</v>
      </c>
      <c r="AG65" s="53">
        <v>0</v>
      </c>
      <c r="AH65" s="53">
        <v>0</v>
      </c>
      <c r="AI65" s="53">
        <v>0</v>
      </c>
      <c r="AJ65" s="53">
        <v>0</v>
      </c>
      <c r="AK65" s="53">
        <v>0</v>
      </c>
      <c r="AL65" s="53">
        <v>0</v>
      </c>
      <c r="AM65" s="53" t="str">
        <f>I65-J65-K65-L65-M65-N65-O65-P65-Q65-R65-S65-T65-U65-V65-W65-X65-Y65-Z65-AA65-AB65-AC65-AD65-AE65-AF65-AG65+AH65-AI65+AJ65+AK65-AL65</f>
        <v>0</v>
      </c>
      <c r="AN65" s="53"/>
      <c r="AO65" s="27"/>
    </row>
    <row r="66" spans="1:41">
      <c r="A66" s="44">
        <v>38</v>
      </c>
      <c r="B66" s="46" t="s">
        <v>241</v>
      </c>
      <c r="C66" s="48" t="s">
        <v>242</v>
      </c>
      <c r="D66" s="51" t="s">
        <v>62</v>
      </c>
      <c r="E66" s="51" t="s">
        <v>243</v>
      </c>
      <c r="F66" s="54" t="s">
        <v>244</v>
      </c>
      <c r="G66" s="50">
        <v>2</v>
      </c>
      <c r="H66" s="51" t="s">
        <v>245</v>
      </c>
      <c r="I66" s="53">
        <v>0</v>
      </c>
      <c r="J66" s="53">
        <v>0</v>
      </c>
      <c r="K66" s="53">
        <v>22000</v>
      </c>
      <c r="L66" s="53">
        <v>0</v>
      </c>
      <c r="M66" s="53">
        <v>0</v>
      </c>
      <c r="N66" s="53">
        <v>0</v>
      </c>
      <c r="O66" s="53">
        <v>0</v>
      </c>
      <c r="P66" s="53">
        <v>0</v>
      </c>
      <c r="Q66" s="53">
        <v>0</v>
      </c>
      <c r="R66" s="53">
        <v>0</v>
      </c>
      <c r="S66" s="53">
        <v>0</v>
      </c>
      <c r="T66" s="53">
        <v>0</v>
      </c>
      <c r="U66" s="53">
        <v>1100</v>
      </c>
      <c r="V66" s="53">
        <v>0</v>
      </c>
      <c r="W66" s="53">
        <v>0</v>
      </c>
      <c r="X66" s="53">
        <v>0</v>
      </c>
      <c r="Y66" s="53">
        <v>11550</v>
      </c>
      <c r="Z66" s="53">
        <v>0</v>
      </c>
      <c r="AA66" s="53">
        <v>0</v>
      </c>
      <c r="AB66" s="53">
        <v>0</v>
      </c>
      <c r="AC66" s="53">
        <v>0</v>
      </c>
      <c r="AD66" s="53">
        <v>0</v>
      </c>
      <c r="AE66" s="53">
        <v>0</v>
      </c>
      <c r="AF66" s="53">
        <v>0</v>
      </c>
      <c r="AG66" s="53">
        <v>0</v>
      </c>
      <c r="AH66" s="53">
        <v>0</v>
      </c>
      <c r="AI66" s="53">
        <v>0</v>
      </c>
      <c r="AJ66" s="53">
        <v>0</v>
      </c>
      <c r="AK66" s="53">
        <v>0</v>
      </c>
      <c r="AL66" s="53">
        <v>0</v>
      </c>
      <c r="AM66" s="53" t="str">
        <f>I66-J66-K66-L66-M66-N66-O66-P66-Q66-R66-S66-T66-U66-V66-W66-X66-Y66-Z66-AA66-AB66-AC66-AD66-AE66-AF66-AG66+AH66-AI66+AJ66+AK66-AL66</f>
        <v>0</v>
      </c>
      <c r="AN66" s="53"/>
      <c r="AO66" s="27"/>
    </row>
    <row r="67" spans="1:41">
      <c r="A67" s="44">
        <v>39</v>
      </c>
      <c r="B67" s="46" t="s">
        <v>246</v>
      </c>
      <c r="C67" s="48" t="s">
        <v>247</v>
      </c>
      <c r="D67" s="51" t="s">
        <v>62</v>
      </c>
      <c r="E67" s="51" t="s">
        <v>248</v>
      </c>
      <c r="F67" s="54" t="s">
        <v>249</v>
      </c>
      <c r="G67" s="50">
        <v>3</v>
      </c>
      <c r="H67" s="51" t="s">
        <v>250</v>
      </c>
      <c r="I67" s="53">
        <v>0</v>
      </c>
      <c r="J67" s="53">
        <v>0</v>
      </c>
      <c r="K67" s="53">
        <v>22000</v>
      </c>
      <c r="L67" s="53">
        <v>0</v>
      </c>
      <c r="M67" s="53">
        <v>0</v>
      </c>
      <c r="N67" s="53">
        <v>0</v>
      </c>
      <c r="O67" s="53">
        <v>0</v>
      </c>
      <c r="P67" s="53">
        <v>0</v>
      </c>
      <c r="Q67" s="53">
        <v>0</v>
      </c>
      <c r="R67" s="53">
        <v>0</v>
      </c>
      <c r="S67" s="53">
        <v>0</v>
      </c>
      <c r="T67" s="53">
        <v>0</v>
      </c>
      <c r="U67" s="53">
        <v>1100</v>
      </c>
      <c r="V67" s="53">
        <v>0</v>
      </c>
      <c r="W67" s="53">
        <v>0</v>
      </c>
      <c r="X67" s="53">
        <v>0</v>
      </c>
      <c r="Y67" s="53">
        <v>11550</v>
      </c>
      <c r="Z67" s="53">
        <v>0</v>
      </c>
      <c r="AA67" s="53">
        <v>0</v>
      </c>
      <c r="AB67" s="53">
        <v>0</v>
      </c>
      <c r="AC67" s="53">
        <v>0</v>
      </c>
      <c r="AD67" s="53">
        <v>0</v>
      </c>
      <c r="AE67" s="53">
        <v>0</v>
      </c>
      <c r="AF67" s="53">
        <v>0</v>
      </c>
      <c r="AG67" s="53">
        <v>0</v>
      </c>
      <c r="AH67" s="53">
        <v>0</v>
      </c>
      <c r="AI67" s="53">
        <v>0</v>
      </c>
      <c r="AJ67" s="53">
        <v>0</v>
      </c>
      <c r="AK67" s="53">
        <v>0</v>
      </c>
      <c r="AL67" s="53">
        <v>0</v>
      </c>
      <c r="AM67" s="53" t="str">
        <f>I67-J67-K67-L67-M67-N67-O67-P67-Q67-R67-S67-T67-U67-V67-W67-X67-Y67-Z67-AA67-AB67-AC67-AD67-AE67-AF67-AG67+AH67-AI67+AJ67+AK67-AL67</f>
        <v>0</v>
      </c>
      <c r="AN67" s="53"/>
      <c r="AO67" s="27"/>
    </row>
    <row r="68" spans="1:41">
      <c r="A68" s="44">
        <v>40</v>
      </c>
      <c r="B68" s="46" t="s">
        <v>251</v>
      </c>
      <c r="C68" s="48" t="s">
        <v>252</v>
      </c>
      <c r="D68" s="51" t="s">
        <v>62</v>
      </c>
      <c r="E68" s="51" t="s">
        <v>248</v>
      </c>
      <c r="F68" s="54" t="s">
        <v>253</v>
      </c>
      <c r="G68" s="50">
        <v>5</v>
      </c>
      <c r="H68" s="51" t="s">
        <v>254</v>
      </c>
      <c r="I68" s="53">
        <v>0</v>
      </c>
      <c r="J68" s="53">
        <v>0</v>
      </c>
      <c r="K68" s="53">
        <v>27000</v>
      </c>
      <c r="L68" s="53">
        <v>0</v>
      </c>
      <c r="M68" s="53">
        <v>0</v>
      </c>
      <c r="N68" s="53">
        <v>0</v>
      </c>
      <c r="O68" s="53">
        <v>0</v>
      </c>
      <c r="P68" s="53">
        <v>0</v>
      </c>
      <c r="Q68" s="53">
        <v>0</v>
      </c>
      <c r="R68" s="53">
        <v>0</v>
      </c>
      <c r="S68" s="53">
        <v>0</v>
      </c>
      <c r="T68" s="53">
        <v>0</v>
      </c>
      <c r="U68" s="53">
        <v>1350</v>
      </c>
      <c r="V68" s="53">
        <v>0</v>
      </c>
      <c r="W68" s="53">
        <v>0</v>
      </c>
      <c r="X68" s="53">
        <v>0</v>
      </c>
      <c r="Y68" s="53">
        <v>14175</v>
      </c>
      <c r="Z68" s="53">
        <v>0</v>
      </c>
      <c r="AA68" s="53">
        <v>0</v>
      </c>
      <c r="AB68" s="53">
        <v>0</v>
      </c>
      <c r="AC68" s="53">
        <v>0</v>
      </c>
      <c r="AD68" s="53">
        <v>0</v>
      </c>
      <c r="AE68" s="53">
        <v>0</v>
      </c>
      <c r="AF68" s="53">
        <v>0</v>
      </c>
      <c r="AG68" s="53">
        <v>0</v>
      </c>
      <c r="AH68" s="53">
        <v>0</v>
      </c>
      <c r="AI68" s="53">
        <v>0</v>
      </c>
      <c r="AJ68" s="53">
        <v>0</v>
      </c>
      <c r="AK68" s="53">
        <v>0</v>
      </c>
      <c r="AL68" s="53">
        <v>0</v>
      </c>
      <c r="AM68" s="53" t="str">
        <f>I68-J68-K68-L68-M68-N68-O68-P68-Q68-R68-S68-T68-U68-V68-W68-X68-Y68-Z68-AA68-AB68-AC68-AD68-AE68-AF68-AG68+AH68-AI68+AJ68+AK68-AL68</f>
        <v>0</v>
      </c>
      <c r="AN68" s="53"/>
      <c r="AO68" s="27"/>
    </row>
    <row r="69" spans="1:41">
      <c r="A69" s="44">
        <v>41</v>
      </c>
      <c r="B69" s="46" t="s">
        <v>255</v>
      </c>
      <c r="C69" s="48" t="s">
        <v>256</v>
      </c>
      <c r="D69" s="51" t="s">
        <v>73</v>
      </c>
      <c r="E69" s="51" t="s">
        <v>248</v>
      </c>
      <c r="F69" s="54" t="s">
        <v>257</v>
      </c>
      <c r="G69" s="50">
        <v>3</v>
      </c>
      <c r="H69" s="51" t="s">
        <v>258</v>
      </c>
      <c r="I69" s="53">
        <v>624000</v>
      </c>
      <c r="J69" s="53">
        <v>0</v>
      </c>
      <c r="K69" s="53">
        <v>22000</v>
      </c>
      <c r="L69" s="53">
        <v>0</v>
      </c>
      <c r="M69" s="53">
        <v>0</v>
      </c>
      <c r="N69" s="53">
        <v>0</v>
      </c>
      <c r="O69" s="53">
        <v>0</v>
      </c>
      <c r="P69" s="53">
        <v>0</v>
      </c>
      <c r="Q69" s="53">
        <v>0</v>
      </c>
      <c r="R69" s="53">
        <v>0</v>
      </c>
      <c r="S69" s="53">
        <v>0</v>
      </c>
      <c r="T69" s="53">
        <v>0</v>
      </c>
      <c r="U69" s="53">
        <v>1100</v>
      </c>
      <c r="V69" s="53">
        <v>0</v>
      </c>
      <c r="W69" s="53">
        <v>0</v>
      </c>
      <c r="X69" s="53">
        <v>0</v>
      </c>
      <c r="Y69" s="53">
        <v>0</v>
      </c>
      <c r="Z69" s="53">
        <v>0</v>
      </c>
      <c r="AA69" s="53">
        <v>0</v>
      </c>
      <c r="AB69" s="53">
        <v>0</v>
      </c>
      <c r="AC69" s="53">
        <v>0</v>
      </c>
      <c r="AD69" s="53">
        <v>0</v>
      </c>
      <c r="AE69" s="53">
        <v>0</v>
      </c>
      <c r="AF69" s="53">
        <v>0</v>
      </c>
      <c r="AG69" s="53">
        <v>0</v>
      </c>
      <c r="AH69" s="53">
        <v>0</v>
      </c>
      <c r="AI69" s="53">
        <v>0</v>
      </c>
      <c r="AJ69" s="53">
        <v>0</v>
      </c>
      <c r="AK69" s="53">
        <v>0</v>
      </c>
      <c r="AL69" s="53">
        <v>0</v>
      </c>
      <c r="AM69" s="53" t="str">
        <f>I69-J69-K69-L69-M69-N69-O69-P69-Q69-R69-S69-T69-U69-V69-W69-X69-Y69-Z69-AA69-AB69-AC69-AD69-AE69-AF69-AG69+AH69-AI69+AJ69+AK69-AL69</f>
        <v>0</v>
      </c>
      <c r="AN69" s="53"/>
      <c r="AO69" s="27"/>
    </row>
    <row r="70" spans="1:41">
      <c r="A70" s="44">
        <v>42</v>
      </c>
      <c r="B70" s="46" t="s">
        <v>259</v>
      </c>
      <c r="C70" s="48" t="s">
        <v>260</v>
      </c>
      <c r="D70" s="51" t="s">
        <v>62</v>
      </c>
      <c r="E70" s="51" t="s">
        <v>248</v>
      </c>
      <c r="F70" s="54" t="s">
        <v>261</v>
      </c>
      <c r="G70" s="50">
        <v>3</v>
      </c>
      <c r="H70" s="51" t="s">
        <v>262</v>
      </c>
      <c r="I70" s="53">
        <v>0</v>
      </c>
      <c r="J70" s="53">
        <v>0</v>
      </c>
      <c r="K70" s="53">
        <v>22000</v>
      </c>
      <c r="L70" s="53">
        <v>0</v>
      </c>
      <c r="M70" s="53">
        <v>0</v>
      </c>
      <c r="N70" s="53">
        <v>0</v>
      </c>
      <c r="O70" s="53">
        <v>0</v>
      </c>
      <c r="P70" s="53">
        <v>0</v>
      </c>
      <c r="Q70" s="53">
        <v>0</v>
      </c>
      <c r="R70" s="53">
        <v>0</v>
      </c>
      <c r="S70" s="53">
        <v>0</v>
      </c>
      <c r="T70" s="53">
        <v>0</v>
      </c>
      <c r="U70" s="53">
        <v>1100</v>
      </c>
      <c r="V70" s="53">
        <v>0</v>
      </c>
      <c r="W70" s="53">
        <v>0</v>
      </c>
      <c r="X70" s="53">
        <v>0</v>
      </c>
      <c r="Y70" s="53">
        <v>11550</v>
      </c>
      <c r="Z70" s="53">
        <v>0</v>
      </c>
      <c r="AA70" s="53">
        <v>0</v>
      </c>
      <c r="AB70" s="53">
        <v>0</v>
      </c>
      <c r="AC70" s="53">
        <v>0</v>
      </c>
      <c r="AD70" s="53">
        <v>0</v>
      </c>
      <c r="AE70" s="53">
        <v>0</v>
      </c>
      <c r="AF70" s="53">
        <v>0</v>
      </c>
      <c r="AG70" s="53">
        <v>0</v>
      </c>
      <c r="AH70" s="53">
        <v>0</v>
      </c>
      <c r="AI70" s="53">
        <v>0</v>
      </c>
      <c r="AJ70" s="53">
        <v>0</v>
      </c>
      <c r="AK70" s="53">
        <v>0</v>
      </c>
      <c r="AL70" s="53">
        <v>0</v>
      </c>
      <c r="AM70" s="53" t="str">
        <f>I70-J70-K70-L70-M70-N70-O70-P70-Q70-R70-S70-T70-U70-V70-W70-X70-Y70-Z70-AA70-AB70-AC70-AD70-AE70-AF70-AG70+AH70-AI70+AJ70+AK70-AL70</f>
        <v>0</v>
      </c>
      <c r="AN70" s="53"/>
      <c r="AO70" s="27"/>
    </row>
    <row r="71" spans="1:41">
      <c r="A71" s="44">
        <v>43</v>
      </c>
      <c r="B71" s="46" t="s">
        <v>263</v>
      </c>
      <c r="C71" s="48" t="s">
        <v>264</v>
      </c>
      <c r="D71" s="51" t="s">
        <v>62</v>
      </c>
      <c r="E71" s="51" t="s">
        <v>265</v>
      </c>
      <c r="F71" s="54" t="s">
        <v>266</v>
      </c>
      <c r="G71" s="50">
        <v>3</v>
      </c>
      <c r="H71" s="51" t="s">
        <v>267</v>
      </c>
      <c r="I71" s="53">
        <v>0</v>
      </c>
      <c r="J71" s="53">
        <v>0</v>
      </c>
      <c r="K71" s="53">
        <v>22000</v>
      </c>
      <c r="L71" s="53">
        <v>0</v>
      </c>
      <c r="M71" s="53">
        <v>0</v>
      </c>
      <c r="N71" s="53">
        <v>0</v>
      </c>
      <c r="O71" s="53">
        <v>0</v>
      </c>
      <c r="P71" s="53">
        <v>0</v>
      </c>
      <c r="Q71" s="53">
        <v>0</v>
      </c>
      <c r="R71" s="53">
        <v>0</v>
      </c>
      <c r="S71" s="53">
        <v>0</v>
      </c>
      <c r="T71" s="53">
        <v>0</v>
      </c>
      <c r="U71" s="53">
        <v>1100</v>
      </c>
      <c r="V71" s="53">
        <v>0</v>
      </c>
      <c r="W71" s="53">
        <v>0</v>
      </c>
      <c r="X71" s="53">
        <v>0</v>
      </c>
      <c r="Y71" s="53">
        <v>5250</v>
      </c>
      <c r="Z71" s="53">
        <v>0</v>
      </c>
      <c r="AA71" s="53">
        <v>0</v>
      </c>
      <c r="AB71" s="53">
        <v>0</v>
      </c>
      <c r="AC71" s="53">
        <v>0</v>
      </c>
      <c r="AD71" s="53">
        <v>0</v>
      </c>
      <c r="AE71" s="53">
        <v>0</v>
      </c>
      <c r="AF71" s="53">
        <v>0</v>
      </c>
      <c r="AG71" s="53">
        <v>0</v>
      </c>
      <c r="AH71" s="53">
        <v>0</v>
      </c>
      <c r="AI71" s="53">
        <v>0</v>
      </c>
      <c r="AJ71" s="53">
        <v>0</v>
      </c>
      <c r="AK71" s="53">
        <v>0</v>
      </c>
      <c r="AL71" s="53">
        <v>0</v>
      </c>
      <c r="AM71" s="53" t="str">
        <f>I71-J71-K71-L71-M71-N71-O71-P71-Q71-R71-S71-T71-U71-V71-W71-X71-Y71-Z71-AA71-AB71-AC71-AD71-AE71-AF71-AG71+AH71-AI71+AJ71+AK71-AL71</f>
        <v>0</v>
      </c>
      <c r="AN71" s="53"/>
      <c r="AO71" s="27"/>
    </row>
    <row r="72" spans="1:41">
      <c r="A72" s="44">
        <v>44</v>
      </c>
      <c r="B72" s="46" t="s">
        <v>268</v>
      </c>
      <c r="C72" s="48" t="s">
        <v>269</v>
      </c>
      <c r="D72" s="51" t="s">
        <v>62</v>
      </c>
      <c r="E72" s="51" t="s">
        <v>265</v>
      </c>
      <c r="F72" s="54" t="s">
        <v>270</v>
      </c>
      <c r="G72" s="50">
        <v>5</v>
      </c>
      <c r="H72" s="51" t="s">
        <v>271</v>
      </c>
      <c r="I72" s="53">
        <v>0</v>
      </c>
      <c r="J72" s="53">
        <v>0</v>
      </c>
      <c r="K72" s="53">
        <v>27000</v>
      </c>
      <c r="L72" s="53">
        <v>0</v>
      </c>
      <c r="M72" s="53">
        <v>0</v>
      </c>
      <c r="N72" s="53">
        <v>0</v>
      </c>
      <c r="O72" s="53">
        <v>0</v>
      </c>
      <c r="P72" s="53">
        <v>0</v>
      </c>
      <c r="Q72" s="53">
        <v>0</v>
      </c>
      <c r="R72" s="53">
        <v>0</v>
      </c>
      <c r="S72" s="53">
        <v>0</v>
      </c>
      <c r="T72" s="53">
        <v>0</v>
      </c>
      <c r="U72" s="53">
        <v>1350</v>
      </c>
      <c r="V72" s="53">
        <v>0</v>
      </c>
      <c r="W72" s="53">
        <v>0</v>
      </c>
      <c r="X72" s="53">
        <v>0</v>
      </c>
      <c r="Y72" s="53">
        <v>14175</v>
      </c>
      <c r="Z72" s="53">
        <v>0</v>
      </c>
      <c r="AA72" s="53">
        <v>0</v>
      </c>
      <c r="AB72" s="53">
        <v>0</v>
      </c>
      <c r="AC72" s="53">
        <v>0</v>
      </c>
      <c r="AD72" s="53">
        <v>0</v>
      </c>
      <c r="AE72" s="53">
        <v>0</v>
      </c>
      <c r="AF72" s="53">
        <v>0</v>
      </c>
      <c r="AG72" s="53">
        <v>0</v>
      </c>
      <c r="AH72" s="53">
        <v>0</v>
      </c>
      <c r="AI72" s="53">
        <v>0</v>
      </c>
      <c r="AJ72" s="53">
        <v>0</v>
      </c>
      <c r="AK72" s="53">
        <v>0</v>
      </c>
      <c r="AL72" s="53">
        <v>0</v>
      </c>
      <c r="AM72" s="53" t="str">
        <f>I72-J72-K72-L72-M72-N72-O72-P72-Q72-R72-S72-T72-U72-V72-W72-X72-Y72-Z72-AA72-AB72-AC72-AD72-AE72-AF72-AG72+AH72-AI72+AJ72+AK72-AL72</f>
        <v>0</v>
      </c>
      <c r="AN72" s="53"/>
      <c r="AO72" s="27"/>
    </row>
    <row r="73" spans="1:41">
      <c r="A73" s="44">
        <v>45</v>
      </c>
      <c r="B73" s="46" t="s">
        <v>272</v>
      </c>
      <c r="C73" s="48" t="s">
        <v>273</v>
      </c>
      <c r="D73" s="51" t="s">
        <v>62</v>
      </c>
      <c r="E73" s="51" t="s">
        <v>265</v>
      </c>
      <c r="F73" s="54" t="s">
        <v>274</v>
      </c>
      <c r="G73" s="50">
        <v>4</v>
      </c>
      <c r="H73" s="51" t="s">
        <v>275</v>
      </c>
      <c r="I73" s="53">
        <v>0</v>
      </c>
      <c r="J73" s="53">
        <v>0</v>
      </c>
      <c r="K73" s="53">
        <v>25000</v>
      </c>
      <c r="L73" s="53">
        <v>0</v>
      </c>
      <c r="M73" s="53">
        <v>0</v>
      </c>
      <c r="N73" s="53">
        <v>0</v>
      </c>
      <c r="O73" s="53">
        <v>0</v>
      </c>
      <c r="P73" s="53">
        <v>0</v>
      </c>
      <c r="Q73" s="53">
        <v>0</v>
      </c>
      <c r="R73" s="53">
        <v>0</v>
      </c>
      <c r="S73" s="53">
        <v>0</v>
      </c>
      <c r="T73" s="53">
        <v>0</v>
      </c>
      <c r="U73" s="53">
        <v>1250</v>
      </c>
      <c r="V73" s="53">
        <v>0</v>
      </c>
      <c r="W73" s="53">
        <v>0</v>
      </c>
      <c r="X73" s="53">
        <v>0</v>
      </c>
      <c r="Y73" s="53">
        <v>13125</v>
      </c>
      <c r="Z73" s="53">
        <v>0</v>
      </c>
      <c r="AA73" s="53">
        <v>0</v>
      </c>
      <c r="AB73" s="53">
        <v>0</v>
      </c>
      <c r="AC73" s="53">
        <v>0</v>
      </c>
      <c r="AD73" s="53">
        <v>0</v>
      </c>
      <c r="AE73" s="53">
        <v>0</v>
      </c>
      <c r="AF73" s="53">
        <v>0</v>
      </c>
      <c r="AG73" s="53">
        <v>0</v>
      </c>
      <c r="AH73" s="53">
        <v>0</v>
      </c>
      <c r="AI73" s="53">
        <v>0</v>
      </c>
      <c r="AJ73" s="53">
        <v>0</v>
      </c>
      <c r="AK73" s="53">
        <v>0</v>
      </c>
      <c r="AL73" s="53">
        <v>0</v>
      </c>
      <c r="AM73" s="53" t="str">
        <f>I73-J73-K73-L73-M73-N73-O73-P73-Q73-R73-S73-T73-U73-V73-W73-X73-Y73-Z73-AA73-AB73-AC73-AD73-AE73-AF73-AG73+AH73-AI73+AJ73+AK73-AL73</f>
        <v>0</v>
      </c>
      <c r="AN73" s="53"/>
      <c r="AO73" s="27"/>
    </row>
    <row r="74" spans="1:41">
      <c r="A74" s="44">
        <v>46</v>
      </c>
      <c r="B74" s="46" t="s">
        <v>276</v>
      </c>
      <c r="C74" s="48" t="s">
        <v>277</v>
      </c>
      <c r="D74" s="51" t="s">
        <v>62</v>
      </c>
      <c r="E74" s="51" t="s">
        <v>278</v>
      </c>
      <c r="F74" s="54" t="s">
        <v>279</v>
      </c>
      <c r="G74" s="50">
        <v>7</v>
      </c>
      <c r="H74" s="51" t="s">
        <v>280</v>
      </c>
      <c r="I74" s="53">
        <v>0</v>
      </c>
      <c r="J74" s="53">
        <v>0</v>
      </c>
      <c r="K74" s="53">
        <v>35000</v>
      </c>
      <c r="L74" s="53">
        <v>0</v>
      </c>
      <c r="M74" s="53">
        <v>0</v>
      </c>
      <c r="N74" s="53">
        <v>0</v>
      </c>
      <c r="O74" s="53">
        <v>0</v>
      </c>
      <c r="P74" s="53">
        <v>0</v>
      </c>
      <c r="Q74" s="53">
        <v>0</v>
      </c>
      <c r="R74" s="53">
        <v>0</v>
      </c>
      <c r="S74" s="53">
        <v>0</v>
      </c>
      <c r="T74" s="53">
        <v>0</v>
      </c>
      <c r="U74" s="53">
        <v>1750</v>
      </c>
      <c r="V74" s="53">
        <v>0</v>
      </c>
      <c r="W74" s="53">
        <v>0</v>
      </c>
      <c r="X74" s="53">
        <v>0</v>
      </c>
      <c r="Y74" s="53">
        <v>18375</v>
      </c>
      <c r="Z74" s="53">
        <v>0</v>
      </c>
      <c r="AA74" s="53">
        <v>0</v>
      </c>
      <c r="AB74" s="53">
        <v>0</v>
      </c>
      <c r="AC74" s="53">
        <v>0</v>
      </c>
      <c r="AD74" s="53">
        <v>0</v>
      </c>
      <c r="AE74" s="53">
        <v>0</v>
      </c>
      <c r="AF74" s="53">
        <v>0</v>
      </c>
      <c r="AG74" s="53">
        <v>0</v>
      </c>
      <c r="AH74" s="53">
        <v>0</v>
      </c>
      <c r="AI74" s="53">
        <v>0</v>
      </c>
      <c r="AJ74" s="53">
        <v>0</v>
      </c>
      <c r="AK74" s="53">
        <v>0</v>
      </c>
      <c r="AL74" s="53">
        <v>0</v>
      </c>
      <c r="AM74" s="53" t="str">
        <f>I74-J74-K74-L74-M74-N74-O74-P74-Q74-R74-S74-T74-U74-V74-W74-X74-Y74-Z74-AA74-AB74-AC74-AD74-AE74-AF74-AG74+AH74-AI74+AJ74+AK74-AL74</f>
        <v>0</v>
      </c>
      <c r="AN74" s="53"/>
      <c r="AO74" s="27"/>
    </row>
    <row r="75" spans="1:41">
      <c r="A75" s="44">
        <v>47</v>
      </c>
      <c r="B75" s="46" t="s">
        <v>281</v>
      </c>
      <c r="C75" s="48" t="s">
        <v>282</v>
      </c>
      <c r="D75" s="51" t="s">
        <v>62</v>
      </c>
      <c r="E75" s="51" t="s">
        <v>283</v>
      </c>
      <c r="F75" s="54" t="s">
        <v>284</v>
      </c>
      <c r="G75" s="50">
        <v>3</v>
      </c>
      <c r="H75" s="51" t="s">
        <v>285</v>
      </c>
      <c r="I75" s="53">
        <v>0</v>
      </c>
      <c r="J75" s="53">
        <v>0</v>
      </c>
      <c r="K75" s="53">
        <v>22000</v>
      </c>
      <c r="L75" s="53">
        <v>0</v>
      </c>
      <c r="M75" s="53">
        <v>0</v>
      </c>
      <c r="N75" s="53">
        <v>0</v>
      </c>
      <c r="O75" s="53">
        <v>0</v>
      </c>
      <c r="P75" s="53">
        <v>0</v>
      </c>
      <c r="Q75" s="53">
        <v>0</v>
      </c>
      <c r="R75" s="53">
        <v>0</v>
      </c>
      <c r="S75" s="53">
        <v>0</v>
      </c>
      <c r="T75" s="53">
        <v>0</v>
      </c>
      <c r="U75" s="53">
        <v>1100</v>
      </c>
      <c r="V75" s="53">
        <v>0</v>
      </c>
      <c r="W75" s="53">
        <v>0</v>
      </c>
      <c r="X75" s="53">
        <v>0</v>
      </c>
      <c r="Y75" s="53">
        <v>11550</v>
      </c>
      <c r="Z75" s="53">
        <v>0</v>
      </c>
      <c r="AA75" s="53">
        <v>0</v>
      </c>
      <c r="AB75" s="53">
        <v>0</v>
      </c>
      <c r="AC75" s="53">
        <v>0</v>
      </c>
      <c r="AD75" s="53">
        <v>0</v>
      </c>
      <c r="AE75" s="53">
        <v>0</v>
      </c>
      <c r="AF75" s="53">
        <v>0</v>
      </c>
      <c r="AG75" s="53">
        <v>0</v>
      </c>
      <c r="AH75" s="53">
        <v>0</v>
      </c>
      <c r="AI75" s="53">
        <v>0</v>
      </c>
      <c r="AJ75" s="53">
        <v>0</v>
      </c>
      <c r="AK75" s="53">
        <v>0</v>
      </c>
      <c r="AL75" s="53">
        <v>0</v>
      </c>
      <c r="AM75" s="53" t="str">
        <f>I75-J75-K75-L75-M75-N75-O75-P75-Q75-R75-S75-T75-U75-V75-W75-X75-Y75-Z75-AA75-AB75-AC75-AD75-AE75-AF75-AG75+AH75-AI75+AJ75+AK75-AL75</f>
        <v>0</v>
      </c>
      <c r="AN75" s="53"/>
      <c r="AO75" s="27"/>
    </row>
    <row r="76" spans="1:41">
      <c r="A76" s="44">
        <v>48</v>
      </c>
      <c r="B76" s="46" t="s">
        <v>286</v>
      </c>
      <c r="C76" s="48" t="s">
        <v>287</v>
      </c>
      <c r="D76" s="51" t="s">
        <v>73</v>
      </c>
      <c r="E76" s="51" t="s">
        <v>283</v>
      </c>
      <c r="F76" s="54" t="s">
        <v>288</v>
      </c>
      <c r="G76" s="50">
        <v>4</v>
      </c>
      <c r="H76" s="51" t="s">
        <v>289</v>
      </c>
      <c r="I76" s="53">
        <v>628100</v>
      </c>
      <c r="J76" s="53">
        <v>0</v>
      </c>
      <c r="K76" s="53">
        <v>25000</v>
      </c>
      <c r="L76" s="53">
        <v>0</v>
      </c>
      <c r="M76" s="53">
        <v>0</v>
      </c>
      <c r="N76" s="53">
        <v>0</v>
      </c>
      <c r="O76" s="53">
        <v>0</v>
      </c>
      <c r="P76" s="53">
        <v>0</v>
      </c>
      <c r="Q76" s="53">
        <v>0</v>
      </c>
      <c r="R76" s="53">
        <v>0</v>
      </c>
      <c r="S76" s="53">
        <v>0</v>
      </c>
      <c r="T76" s="53">
        <v>0</v>
      </c>
      <c r="U76" s="53">
        <v>1250</v>
      </c>
      <c r="V76" s="53">
        <v>0</v>
      </c>
      <c r="W76" s="53">
        <v>0</v>
      </c>
      <c r="X76" s="53">
        <v>0</v>
      </c>
      <c r="Y76" s="53">
        <v>0</v>
      </c>
      <c r="Z76" s="53">
        <v>0</v>
      </c>
      <c r="AA76" s="53">
        <v>0</v>
      </c>
      <c r="AB76" s="53">
        <v>0</v>
      </c>
      <c r="AC76" s="53">
        <v>0</v>
      </c>
      <c r="AD76" s="53">
        <v>0</v>
      </c>
      <c r="AE76" s="53">
        <v>0</v>
      </c>
      <c r="AF76" s="53">
        <v>0</v>
      </c>
      <c r="AG76" s="53">
        <v>0</v>
      </c>
      <c r="AH76" s="53">
        <v>0</v>
      </c>
      <c r="AI76" s="53">
        <v>0</v>
      </c>
      <c r="AJ76" s="53">
        <v>0</v>
      </c>
      <c r="AK76" s="53">
        <v>0</v>
      </c>
      <c r="AL76" s="53">
        <v>0</v>
      </c>
      <c r="AM76" s="53" t="str">
        <f>I76-J76-K76-L76-M76-N76-O76-P76-Q76-R76-S76-T76-U76-V76-W76-X76-Y76-Z76-AA76-AB76-AC76-AD76-AE76-AF76-AG76+AH76-AI76+AJ76+AK76-AL76</f>
        <v>0</v>
      </c>
      <c r="AN76" s="53"/>
      <c r="AO76" s="27"/>
    </row>
    <row r="77" spans="1:41">
      <c r="A77" s="44">
        <v>49</v>
      </c>
      <c r="B77" s="46" t="s">
        <v>290</v>
      </c>
      <c r="C77" s="48" t="s">
        <v>291</v>
      </c>
      <c r="D77" s="51" t="s">
        <v>73</v>
      </c>
      <c r="E77" s="51" t="s">
        <v>292</v>
      </c>
      <c r="F77" s="54" t="s">
        <v>293</v>
      </c>
      <c r="G77" s="50">
        <v>3</v>
      </c>
      <c r="H77" s="51" t="s">
        <v>294</v>
      </c>
      <c r="I77" s="53">
        <v>434000</v>
      </c>
      <c r="J77" s="53">
        <v>0</v>
      </c>
      <c r="K77" s="53">
        <v>22000</v>
      </c>
      <c r="L77" s="53">
        <v>0</v>
      </c>
      <c r="M77" s="53">
        <v>0</v>
      </c>
      <c r="N77" s="53">
        <v>0</v>
      </c>
      <c r="O77" s="53">
        <v>0</v>
      </c>
      <c r="P77" s="53">
        <v>0</v>
      </c>
      <c r="Q77" s="53">
        <v>0</v>
      </c>
      <c r="R77" s="53">
        <v>0</v>
      </c>
      <c r="S77" s="53">
        <v>0</v>
      </c>
      <c r="T77" s="53">
        <v>0</v>
      </c>
      <c r="U77" s="53">
        <v>1100</v>
      </c>
      <c r="V77" s="53">
        <v>0</v>
      </c>
      <c r="W77" s="53">
        <v>0</v>
      </c>
      <c r="X77" s="53">
        <v>0</v>
      </c>
      <c r="Y77" s="53">
        <v>0</v>
      </c>
      <c r="Z77" s="53">
        <v>0</v>
      </c>
      <c r="AA77" s="53">
        <v>0</v>
      </c>
      <c r="AB77" s="53">
        <v>0</v>
      </c>
      <c r="AC77" s="53">
        <v>0</v>
      </c>
      <c r="AD77" s="53">
        <v>0</v>
      </c>
      <c r="AE77" s="53">
        <v>0</v>
      </c>
      <c r="AF77" s="53">
        <v>0</v>
      </c>
      <c r="AG77" s="53">
        <v>0</v>
      </c>
      <c r="AH77" s="53">
        <v>0</v>
      </c>
      <c r="AI77" s="53">
        <v>0</v>
      </c>
      <c r="AJ77" s="53">
        <v>0</v>
      </c>
      <c r="AK77" s="53">
        <v>0</v>
      </c>
      <c r="AL77" s="53">
        <v>0</v>
      </c>
      <c r="AM77" s="53" t="str">
        <f>I77-J77-K77-L77-M77-N77-O77-P77-Q77-R77-S77-T77-U77-V77-W77-X77-Y77-Z77-AA77-AB77-AC77-AD77-AE77-AF77-AG77+AH77-AI77+AJ77+AK77-AL77</f>
        <v>0</v>
      </c>
      <c r="AN77" s="53"/>
      <c r="AO77" s="27"/>
    </row>
    <row r="78" spans="1:41">
      <c r="A78" s="44">
        <v>50</v>
      </c>
      <c r="B78" s="46" t="s">
        <v>295</v>
      </c>
      <c r="C78" s="48" t="s">
        <v>296</v>
      </c>
      <c r="D78" s="51" t="s">
        <v>73</v>
      </c>
      <c r="E78" s="51" t="s">
        <v>297</v>
      </c>
      <c r="F78" s="54" t="s">
        <v>298</v>
      </c>
      <c r="G78" s="50">
        <v>7.8</v>
      </c>
      <c r="H78" s="51" t="s">
        <v>299</v>
      </c>
      <c r="I78" s="53">
        <v>816200</v>
      </c>
      <c r="J78" s="53">
        <v>0</v>
      </c>
      <c r="K78" s="53">
        <v>39000</v>
      </c>
      <c r="L78" s="53">
        <v>0</v>
      </c>
      <c r="M78" s="53">
        <v>0</v>
      </c>
      <c r="N78" s="53">
        <v>0</v>
      </c>
      <c r="O78" s="53">
        <v>0</v>
      </c>
      <c r="P78" s="53">
        <v>0</v>
      </c>
      <c r="Q78" s="53">
        <v>0</v>
      </c>
      <c r="R78" s="53">
        <v>0</v>
      </c>
      <c r="S78" s="53">
        <v>0</v>
      </c>
      <c r="T78" s="53">
        <v>0</v>
      </c>
      <c r="U78" s="53">
        <v>1950</v>
      </c>
      <c r="V78" s="53">
        <v>0</v>
      </c>
      <c r="W78" s="53">
        <v>0</v>
      </c>
      <c r="X78" s="53">
        <v>0</v>
      </c>
      <c r="Y78" s="53">
        <v>0</v>
      </c>
      <c r="Z78" s="53">
        <v>0</v>
      </c>
      <c r="AA78" s="53">
        <v>0</v>
      </c>
      <c r="AB78" s="53">
        <v>0</v>
      </c>
      <c r="AC78" s="53">
        <v>0</v>
      </c>
      <c r="AD78" s="53">
        <v>0</v>
      </c>
      <c r="AE78" s="53">
        <v>0</v>
      </c>
      <c r="AF78" s="53">
        <v>0</v>
      </c>
      <c r="AG78" s="53">
        <v>0</v>
      </c>
      <c r="AH78" s="53">
        <v>0</v>
      </c>
      <c r="AI78" s="53">
        <v>0</v>
      </c>
      <c r="AJ78" s="53">
        <v>0</v>
      </c>
      <c r="AK78" s="53">
        <v>0</v>
      </c>
      <c r="AL78" s="53">
        <v>0</v>
      </c>
      <c r="AM78" s="53" t="str">
        <f>I78-J78-K78-L78-M78-N78-O78-P78-Q78-R78-S78-T78-U78-V78-W78-X78-Y78-Z78-AA78-AB78-AC78-AD78-AE78-AF78-AG78+AH78-AI78+AJ78+AK78-AL78</f>
        <v>0</v>
      </c>
      <c r="AN78" s="53"/>
      <c r="AO78" s="27"/>
    </row>
    <row r="79" spans="1:41">
      <c r="A79" s="44">
        <v>51</v>
      </c>
      <c r="B79" s="46" t="s">
        <v>300</v>
      </c>
      <c r="C79" s="48" t="s">
        <v>301</v>
      </c>
      <c r="D79" s="51" t="s">
        <v>73</v>
      </c>
      <c r="E79" s="51" t="s">
        <v>297</v>
      </c>
      <c r="F79" s="54" t="s">
        <v>302</v>
      </c>
      <c r="G79" s="50">
        <v>8</v>
      </c>
      <c r="H79" s="51" t="s">
        <v>303</v>
      </c>
      <c r="I79" s="53">
        <v>1590000</v>
      </c>
      <c r="J79" s="53">
        <v>0</v>
      </c>
      <c r="K79" s="53">
        <v>39000</v>
      </c>
      <c r="L79" s="53">
        <v>0</v>
      </c>
      <c r="M79" s="53">
        <v>0</v>
      </c>
      <c r="N79" s="53">
        <v>0</v>
      </c>
      <c r="O79" s="53">
        <v>0</v>
      </c>
      <c r="P79" s="53">
        <v>0</v>
      </c>
      <c r="Q79" s="53">
        <v>0</v>
      </c>
      <c r="R79" s="53">
        <v>0</v>
      </c>
      <c r="S79" s="53">
        <v>0</v>
      </c>
      <c r="T79" s="53">
        <v>0</v>
      </c>
      <c r="U79" s="53">
        <v>1950</v>
      </c>
      <c r="V79" s="53">
        <v>0</v>
      </c>
      <c r="W79" s="53">
        <v>0</v>
      </c>
      <c r="X79" s="53">
        <v>0</v>
      </c>
      <c r="Y79" s="53">
        <v>0</v>
      </c>
      <c r="Z79" s="53">
        <v>0</v>
      </c>
      <c r="AA79" s="53">
        <v>0</v>
      </c>
      <c r="AB79" s="53">
        <v>0</v>
      </c>
      <c r="AC79" s="53">
        <v>0</v>
      </c>
      <c r="AD79" s="53">
        <v>0</v>
      </c>
      <c r="AE79" s="53">
        <v>0</v>
      </c>
      <c r="AF79" s="53">
        <v>0</v>
      </c>
      <c r="AG79" s="53">
        <v>0</v>
      </c>
      <c r="AH79" s="53">
        <v>0</v>
      </c>
      <c r="AI79" s="53">
        <v>0</v>
      </c>
      <c r="AJ79" s="53">
        <v>0</v>
      </c>
      <c r="AK79" s="53">
        <v>0</v>
      </c>
      <c r="AL79" s="53">
        <v>0</v>
      </c>
      <c r="AM79" s="53" t="str">
        <f>I79-J79-K79-L79-M79-N79-O79-P79-Q79-R79-S79-T79-U79-V79-W79-X79-Y79-Z79-AA79-AB79-AC79-AD79-AE79-AF79-AG79+AH79-AI79+AJ79+AK79-AL79</f>
        <v>0</v>
      </c>
      <c r="AN79" s="53"/>
      <c r="AO79" s="27"/>
    </row>
    <row r="80" spans="1:41">
      <c r="A80" s="44">
        <v>52</v>
      </c>
      <c r="B80" s="46" t="s">
        <v>304</v>
      </c>
      <c r="C80" s="48" t="s">
        <v>305</v>
      </c>
      <c r="D80" s="51" t="s">
        <v>62</v>
      </c>
      <c r="E80" s="51" t="s">
        <v>306</v>
      </c>
      <c r="F80" s="54" t="s">
        <v>307</v>
      </c>
      <c r="G80" s="50">
        <v>3</v>
      </c>
      <c r="H80" s="51" t="s">
        <v>308</v>
      </c>
      <c r="I80" s="53">
        <v>0</v>
      </c>
      <c r="J80" s="53">
        <v>0</v>
      </c>
      <c r="K80" s="53">
        <v>22000</v>
      </c>
      <c r="L80" s="53">
        <v>0</v>
      </c>
      <c r="M80" s="53">
        <v>0</v>
      </c>
      <c r="N80" s="53">
        <v>0</v>
      </c>
      <c r="O80" s="53">
        <v>0</v>
      </c>
      <c r="P80" s="53">
        <v>0</v>
      </c>
      <c r="Q80" s="53">
        <v>0</v>
      </c>
      <c r="R80" s="53">
        <v>0</v>
      </c>
      <c r="S80" s="53">
        <v>0</v>
      </c>
      <c r="T80" s="53">
        <v>0</v>
      </c>
      <c r="U80" s="53">
        <v>1100</v>
      </c>
      <c r="V80" s="53">
        <v>0</v>
      </c>
      <c r="W80" s="53">
        <v>0</v>
      </c>
      <c r="X80" s="53">
        <v>0</v>
      </c>
      <c r="Y80" s="53">
        <v>11550</v>
      </c>
      <c r="Z80" s="53">
        <v>0</v>
      </c>
      <c r="AA80" s="53">
        <v>0</v>
      </c>
      <c r="AB80" s="53">
        <v>0</v>
      </c>
      <c r="AC80" s="53">
        <v>0</v>
      </c>
      <c r="AD80" s="53">
        <v>0</v>
      </c>
      <c r="AE80" s="53">
        <v>0</v>
      </c>
      <c r="AF80" s="53">
        <v>0</v>
      </c>
      <c r="AG80" s="53">
        <v>0</v>
      </c>
      <c r="AH80" s="53">
        <v>0</v>
      </c>
      <c r="AI80" s="53">
        <v>0</v>
      </c>
      <c r="AJ80" s="53">
        <v>0</v>
      </c>
      <c r="AK80" s="53">
        <v>0</v>
      </c>
      <c r="AL80" s="53">
        <v>0</v>
      </c>
      <c r="AM80" s="53" t="str">
        <f>I80-J80-K80-L80-M80-N80-O80-P80-Q80-R80-S80-T80-U80-V80-W80-X80-Y80-Z80-AA80-AB80-AC80-AD80-AE80-AF80-AG80+AH80-AI80+AJ80+AK80-AL80</f>
        <v>0</v>
      </c>
      <c r="AN80" s="53"/>
      <c r="AO80" s="27"/>
    </row>
    <row r="81" spans="1:41">
      <c r="A81" s="44">
        <v>53</v>
      </c>
      <c r="B81" s="46" t="s">
        <v>309</v>
      </c>
      <c r="C81" s="48" t="s">
        <v>310</v>
      </c>
      <c r="D81" s="51" t="s">
        <v>73</v>
      </c>
      <c r="E81" s="51" t="s">
        <v>306</v>
      </c>
      <c r="F81" s="54" t="s">
        <v>311</v>
      </c>
      <c r="G81" s="50">
        <v>7</v>
      </c>
      <c r="H81" s="51" t="s">
        <v>289</v>
      </c>
      <c r="I81" s="53">
        <v>1700000</v>
      </c>
      <c r="J81" s="53">
        <v>0</v>
      </c>
      <c r="K81" s="53">
        <v>35000</v>
      </c>
      <c r="L81" s="53">
        <v>0</v>
      </c>
      <c r="M81" s="53">
        <v>0</v>
      </c>
      <c r="N81" s="53">
        <v>0</v>
      </c>
      <c r="O81" s="53">
        <v>0</v>
      </c>
      <c r="P81" s="53">
        <v>0</v>
      </c>
      <c r="Q81" s="53">
        <v>0</v>
      </c>
      <c r="R81" s="53">
        <v>0</v>
      </c>
      <c r="S81" s="53">
        <v>0</v>
      </c>
      <c r="T81" s="53">
        <v>0</v>
      </c>
      <c r="U81" s="53">
        <v>1750</v>
      </c>
      <c r="V81" s="53">
        <v>0</v>
      </c>
      <c r="W81" s="53">
        <v>0</v>
      </c>
      <c r="X81" s="53">
        <v>0</v>
      </c>
      <c r="Y81" s="53">
        <v>0</v>
      </c>
      <c r="Z81" s="53">
        <v>0</v>
      </c>
      <c r="AA81" s="53">
        <v>0</v>
      </c>
      <c r="AB81" s="53">
        <v>0</v>
      </c>
      <c r="AC81" s="53">
        <v>0</v>
      </c>
      <c r="AD81" s="53">
        <v>0</v>
      </c>
      <c r="AE81" s="53">
        <v>0</v>
      </c>
      <c r="AF81" s="53">
        <v>0</v>
      </c>
      <c r="AG81" s="53">
        <v>0</v>
      </c>
      <c r="AH81" s="53">
        <v>0</v>
      </c>
      <c r="AI81" s="53">
        <v>0</v>
      </c>
      <c r="AJ81" s="53">
        <v>0</v>
      </c>
      <c r="AK81" s="53">
        <v>0</v>
      </c>
      <c r="AL81" s="53">
        <v>0</v>
      </c>
      <c r="AM81" s="53" t="str">
        <f>I81-J81-K81-L81-M81-N81-O81-P81-Q81-R81-S81-T81-U81-V81-W81-X81-Y81-Z81-AA81-AB81-AC81-AD81-AE81-AF81-AG81+AH81-AI81+AJ81+AK81-AL81</f>
        <v>0</v>
      </c>
      <c r="AN81" s="53"/>
      <c r="AO81" s="27"/>
    </row>
    <row r="82" spans="1:41">
      <c r="A82" s="44">
        <v>54</v>
      </c>
      <c r="B82" s="46" t="s">
        <v>312</v>
      </c>
      <c r="C82" s="48" t="s">
        <v>313</v>
      </c>
      <c r="D82" s="51" t="s">
        <v>62</v>
      </c>
      <c r="E82" s="51" t="s">
        <v>306</v>
      </c>
      <c r="F82" s="54" t="s">
        <v>314</v>
      </c>
      <c r="G82" s="50">
        <v>3</v>
      </c>
      <c r="H82" s="51" t="s">
        <v>315</v>
      </c>
      <c r="I82" s="53">
        <v>0</v>
      </c>
      <c r="J82" s="53">
        <v>0</v>
      </c>
      <c r="K82" s="53">
        <v>22000</v>
      </c>
      <c r="L82" s="53">
        <v>0</v>
      </c>
      <c r="M82" s="53">
        <v>0</v>
      </c>
      <c r="N82" s="53">
        <v>0</v>
      </c>
      <c r="O82" s="53">
        <v>0</v>
      </c>
      <c r="P82" s="53">
        <v>0</v>
      </c>
      <c r="Q82" s="53">
        <v>0</v>
      </c>
      <c r="R82" s="53">
        <v>0</v>
      </c>
      <c r="S82" s="53">
        <v>0</v>
      </c>
      <c r="T82" s="53">
        <v>0</v>
      </c>
      <c r="U82" s="53">
        <v>1100</v>
      </c>
      <c r="V82" s="53">
        <v>0</v>
      </c>
      <c r="W82" s="53">
        <v>0</v>
      </c>
      <c r="X82" s="53">
        <v>0</v>
      </c>
      <c r="Y82" s="53">
        <v>11550</v>
      </c>
      <c r="Z82" s="53">
        <v>0</v>
      </c>
      <c r="AA82" s="53">
        <v>0</v>
      </c>
      <c r="AB82" s="53">
        <v>0</v>
      </c>
      <c r="AC82" s="53">
        <v>0</v>
      </c>
      <c r="AD82" s="53">
        <v>0</v>
      </c>
      <c r="AE82" s="53">
        <v>0</v>
      </c>
      <c r="AF82" s="53">
        <v>0</v>
      </c>
      <c r="AG82" s="53">
        <v>0</v>
      </c>
      <c r="AH82" s="53">
        <v>0</v>
      </c>
      <c r="AI82" s="53">
        <v>0</v>
      </c>
      <c r="AJ82" s="53">
        <v>0</v>
      </c>
      <c r="AK82" s="53">
        <v>0</v>
      </c>
      <c r="AL82" s="53">
        <v>0</v>
      </c>
      <c r="AM82" s="53" t="str">
        <f>I82-J82-K82-L82-M82-N82-O82-P82-Q82-R82-S82-T82-U82-V82-W82-X82-Y82-Z82-AA82-AB82-AC82-AD82-AE82-AF82-AG82+AH82-AI82+AJ82+AK82-AL82</f>
        <v>0</v>
      </c>
      <c r="AN82" s="53"/>
      <c r="AO82" s="27"/>
    </row>
    <row r="83" spans="1:41">
      <c r="A83" s="44">
        <v>55</v>
      </c>
      <c r="B83" s="46" t="s">
        <v>316</v>
      </c>
      <c r="C83" s="48" t="s">
        <v>317</v>
      </c>
      <c r="D83" s="51" t="s">
        <v>62</v>
      </c>
      <c r="E83" s="51" t="s">
        <v>318</v>
      </c>
      <c r="F83" s="54" t="s">
        <v>319</v>
      </c>
      <c r="G83" s="50">
        <v>5</v>
      </c>
      <c r="H83" s="51" t="s">
        <v>320</v>
      </c>
      <c r="I83" s="53">
        <v>0</v>
      </c>
      <c r="J83" s="53">
        <v>0</v>
      </c>
      <c r="K83" s="53">
        <v>27000</v>
      </c>
      <c r="L83" s="53">
        <v>0</v>
      </c>
      <c r="M83" s="53">
        <v>0</v>
      </c>
      <c r="N83" s="53">
        <v>0</v>
      </c>
      <c r="O83" s="53">
        <v>0</v>
      </c>
      <c r="P83" s="53">
        <v>0</v>
      </c>
      <c r="Q83" s="53">
        <v>0</v>
      </c>
      <c r="R83" s="53">
        <v>0</v>
      </c>
      <c r="S83" s="53">
        <v>0</v>
      </c>
      <c r="T83" s="53">
        <v>0</v>
      </c>
      <c r="U83" s="53">
        <v>1350</v>
      </c>
      <c r="V83" s="53">
        <v>0</v>
      </c>
      <c r="W83" s="53">
        <v>0</v>
      </c>
      <c r="X83" s="53">
        <v>0</v>
      </c>
      <c r="Y83" s="53">
        <v>14175</v>
      </c>
      <c r="Z83" s="53">
        <v>0</v>
      </c>
      <c r="AA83" s="53">
        <v>0</v>
      </c>
      <c r="AB83" s="53">
        <v>0</v>
      </c>
      <c r="AC83" s="53">
        <v>0</v>
      </c>
      <c r="AD83" s="53">
        <v>0</v>
      </c>
      <c r="AE83" s="53">
        <v>0</v>
      </c>
      <c r="AF83" s="53">
        <v>0</v>
      </c>
      <c r="AG83" s="53">
        <v>0</v>
      </c>
      <c r="AH83" s="53">
        <v>0</v>
      </c>
      <c r="AI83" s="53">
        <v>0</v>
      </c>
      <c r="AJ83" s="53">
        <v>0</v>
      </c>
      <c r="AK83" s="53">
        <v>0</v>
      </c>
      <c r="AL83" s="53">
        <v>0</v>
      </c>
      <c r="AM83" s="53" t="str">
        <f>I83-J83-K83-L83-M83-N83-O83-P83-Q83-R83-S83-T83-U83-V83-W83-X83-Y83-Z83-AA83-AB83-AC83-AD83-AE83-AF83-AG83+AH83-AI83+AJ83+AK83-AL83</f>
        <v>0</v>
      </c>
      <c r="AN83" s="53"/>
      <c r="AO83" s="27"/>
    </row>
    <row r="84" spans="1:41">
      <c r="A84" s="44">
        <v>56</v>
      </c>
      <c r="B84" s="46" t="s">
        <v>321</v>
      </c>
      <c r="C84" s="48" t="s">
        <v>322</v>
      </c>
      <c r="D84" s="51" t="s">
        <v>62</v>
      </c>
      <c r="E84" s="51" t="s">
        <v>318</v>
      </c>
      <c r="F84" s="54" t="s">
        <v>323</v>
      </c>
      <c r="G84" s="50">
        <v>8</v>
      </c>
      <c r="H84" s="51" t="s">
        <v>324</v>
      </c>
      <c r="I84" s="53">
        <v>0</v>
      </c>
      <c r="J84" s="53">
        <v>0</v>
      </c>
      <c r="K84" s="53">
        <v>39000</v>
      </c>
      <c r="L84" s="53">
        <v>0</v>
      </c>
      <c r="M84" s="53">
        <v>0</v>
      </c>
      <c r="N84" s="53">
        <v>0</v>
      </c>
      <c r="O84" s="53">
        <v>0</v>
      </c>
      <c r="P84" s="53">
        <v>0</v>
      </c>
      <c r="Q84" s="53">
        <v>0</v>
      </c>
      <c r="R84" s="53">
        <v>0</v>
      </c>
      <c r="S84" s="53">
        <v>0</v>
      </c>
      <c r="T84" s="53">
        <v>0</v>
      </c>
      <c r="U84" s="53">
        <v>1950</v>
      </c>
      <c r="V84" s="53">
        <v>0</v>
      </c>
      <c r="W84" s="53">
        <v>0</v>
      </c>
      <c r="X84" s="53">
        <v>0</v>
      </c>
      <c r="Y84" s="53">
        <v>20475</v>
      </c>
      <c r="Z84" s="53">
        <v>0</v>
      </c>
      <c r="AA84" s="53">
        <v>0</v>
      </c>
      <c r="AB84" s="53">
        <v>0</v>
      </c>
      <c r="AC84" s="53">
        <v>0</v>
      </c>
      <c r="AD84" s="53">
        <v>0</v>
      </c>
      <c r="AE84" s="53">
        <v>0</v>
      </c>
      <c r="AF84" s="53">
        <v>0</v>
      </c>
      <c r="AG84" s="53">
        <v>0</v>
      </c>
      <c r="AH84" s="53">
        <v>0</v>
      </c>
      <c r="AI84" s="53">
        <v>0</v>
      </c>
      <c r="AJ84" s="53">
        <v>0</v>
      </c>
      <c r="AK84" s="53">
        <v>0</v>
      </c>
      <c r="AL84" s="53">
        <v>0</v>
      </c>
      <c r="AM84" s="53" t="str">
        <f>I84-J84-K84-L84-M84-N84-O84-P84-Q84-R84-S84-T84-U84-V84-W84-X84-Y84-Z84-AA84-AB84-AC84-AD84-AE84-AF84-AG84+AH84-AI84+AJ84+AK84-AL84</f>
        <v>0</v>
      </c>
      <c r="AN84" s="53"/>
      <c r="AO84" s="27"/>
    </row>
    <row r="85" spans="1:41">
      <c r="A85" s="44">
        <v>57</v>
      </c>
      <c r="B85" s="46" t="s">
        <v>325</v>
      </c>
      <c r="C85" s="48" t="s">
        <v>326</v>
      </c>
      <c r="D85" s="51" t="s">
        <v>73</v>
      </c>
      <c r="E85" s="51" t="s">
        <v>318</v>
      </c>
      <c r="F85" s="54" t="s">
        <v>327</v>
      </c>
      <c r="G85" s="50">
        <v>8</v>
      </c>
      <c r="H85" s="51" t="s">
        <v>328</v>
      </c>
      <c r="I85" s="53">
        <v>974600</v>
      </c>
      <c r="J85" s="53">
        <v>0</v>
      </c>
      <c r="K85" s="53">
        <v>39000</v>
      </c>
      <c r="L85" s="53">
        <v>0</v>
      </c>
      <c r="M85" s="53">
        <v>0</v>
      </c>
      <c r="N85" s="53">
        <v>0</v>
      </c>
      <c r="O85" s="53">
        <v>0</v>
      </c>
      <c r="P85" s="53">
        <v>0</v>
      </c>
      <c r="Q85" s="53">
        <v>0</v>
      </c>
      <c r="R85" s="53">
        <v>0</v>
      </c>
      <c r="S85" s="53">
        <v>0</v>
      </c>
      <c r="T85" s="53">
        <v>0</v>
      </c>
      <c r="U85" s="53">
        <v>1950</v>
      </c>
      <c r="V85" s="53">
        <v>0</v>
      </c>
      <c r="W85" s="53">
        <v>0</v>
      </c>
      <c r="X85" s="53">
        <v>0</v>
      </c>
      <c r="Y85" s="53">
        <v>0</v>
      </c>
      <c r="Z85" s="53">
        <v>0</v>
      </c>
      <c r="AA85" s="53">
        <v>0</v>
      </c>
      <c r="AB85" s="53">
        <v>0</v>
      </c>
      <c r="AC85" s="53">
        <v>0</v>
      </c>
      <c r="AD85" s="53">
        <v>0</v>
      </c>
      <c r="AE85" s="53">
        <v>0</v>
      </c>
      <c r="AF85" s="53">
        <v>0</v>
      </c>
      <c r="AG85" s="53">
        <v>0</v>
      </c>
      <c r="AH85" s="53">
        <v>0</v>
      </c>
      <c r="AI85" s="53">
        <v>0</v>
      </c>
      <c r="AJ85" s="53">
        <v>0</v>
      </c>
      <c r="AK85" s="53">
        <v>0</v>
      </c>
      <c r="AL85" s="53">
        <v>0</v>
      </c>
      <c r="AM85" s="53" t="str">
        <f>I85-J85-K85-L85-M85-N85-O85-P85-Q85-R85-S85-T85-U85-V85-W85-X85-Y85-Z85-AA85-AB85-AC85-AD85-AE85-AF85-AG85+AH85-AI85+AJ85+AK85-AL85</f>
        <v>0</v>
      </c>
      <c r="AN85" s="53"/>
      <c r="AO85" s="27"/>
    </row>
    <row r="86" spans="1:41">
      <c r="A86" s="44">
        <v>58</v>
      </c>
      <c r="B86" s="46" t="s">
        <v>329</v>
      </c>
      <c r="C86" s="48" t="s">
        <v>330</v>
      </c>
      <c r="D86" s="51" t="s">
        <v>62</v>
      </c>
      <c r="E86" s="51" t="s">
        <v>318</v>
      </c>
      <c r="F86" s="54" t="s">
        <v>331</v>
      </c>
      <c r="G86" s="50">
        <v>8</v>
      </c>
      <c r="H86" s="51" t="s">
        <v>332</v>
      </c>
      <c r="I86" s="53">
        <v>0</v>
      </c>
      <c r="J86" s="53">
        <v>0</v>
      </c>
      <c r="K86" s="53">
        <v>39000</v>
      </c>
      <c r="L86" s="53">
        <v>0</v>
      </c>
      <c r="M86" s="53">
        <v>0</v>
      </c>
      <c r="N86" s="53">
        <v>0</v>
      </c>
      <c r="O86" s="53">
        <v>0</v>
      </c>
      <c r="P86" s="53">
        <v>0</v>
      </c>
      <c r="Q86" s="53">
        <v>0</v>
      </c>
      <c r="R86" s="53">
        <v>0</v>
      </c>
      <c r="S86" s="53">
        <v>0</v>
      </c>
      <c r="T86" s="53">
        <v>0</v>
      </c>
      <c r="U86" s="53">
        <v>1950</v>
      </c>
      <c r="V86" s="53">
        <v>0</v>
      </c>
      <c r="W86" s="53">
        <v>0</v>
      </c>
      <c r="X86" s="53">
        <v>0</v>
      </c>
      <c r="Y86" s="53">
        <v>20475</v>
      </c>
      <c r="Z86" s="53">
        <v>0</v>
      </c>
      <c r="AA86" s="53">
        <v>0</v>
      </c>
      <c r="AB86" s="53">
        <v>0</v>
      </c>
      <c r="AC86" s="53">
        <v>0</v>
      </c>
      <c r="AD86" s="53">
        <v>0</v>
      </c>
      <c r="AE86" s="53">
        <v>0</v>
      </c>
      <c r="AF86" s="53">
        <v>0</v>
      </c>
      <c r="AG86" s="53">
        <v>0</v>
      </c>
      <c r="AH86" s="53">
        <v>0</v>
      </c>
      <c r="AI86" s="53">
        <v>0</v>
      </c>
      <c r="AJ86" s="53">
        <v>0</v>
      </c>
      <c r="AK86" s="53">
        <v>0</v>
      </c>
      <c r="AL86" s="53">
        <v>0</v>
      </c>
      <c r="AM86" s="53" t="str">
        <f>I86-J86-K86-L86-M86-N86-O86-P86-Q86-R86-S86-T86-U86-V86-W86-X86-Y86-Z86-AA86-AB86-AC86-AD86-AE86-AF86-AG86+AH86-AI86+AJ86+AK86-AL86</f>
        <v>0</v>
      </c>
      <c r="AN86" s="53"/>
      <c r="AO86" s="27"/>
    </row>
    <row r="87" spans="1:41">
      <c r="A87" s="44">
        <v>59</v>
      </c>
      <c r="B87" s="46" t="s">
        <v>333</v>
      </c>
      <c r="C87" s="48" t="s">
        <v>334</v>
      </c>
      <c r="D87" s="51" t="s">
        <v>62</v>
      </c>
      <c r="E87" s="51" t="s">
        <v>335</v>
      </c>
      <c r="F87" s="54" t="s">
        <v>336</v>
      </c>
      <c r="G87" s="50">
        <v>5.2</v>
      </c>
      <c r="H87" s="51" t="s">
        <v>337</v>
      </c>
      <c r="I87" s="53">
        <v>0</v>
      </c>
      <c r="J87" s="53">
        <v>0</v>
      </c>
      <c r="K87" s="53">
        <v>24000</v>
      </c>
      <c r="L87" s="53">
        <v>0</v>
      </c>
      <c r="M87" s="53">
        <v>0</v>
      </c>
      <c r="N87" s="53">
        <v>0</v>
      </c>
      <c r="O87" s="53">
        <v>0</v>
      </c>
      <c r="P87" s="53">
        <v>0</v>
      </c>
      <c r="Q87" s="53">
        <v>0</v>
      </c>
      <c r="R87" s="53">
        <v>0</v>
      </c>
      <c r="S87" s="53">
        <v>0</v>
      </c>
      <c r="T87" s="53">
        <v>0</v>
      </c>
      <c r="U87" s="53">
        <v>1200</v>
      </c>
      <c r="V87" s="53">
        <v>0</v>
      </c>
      <c r="W87" s="53">
        <v>0</v>
      </c>
      <c r="X87" s="53">
        <v>0</v>
      </c>
      <c r="Y87" s="53">
        <v>5250</v>
      </c>
      <c r="Z87" s="53">
        <v>0</v>
      </c>
      <c r="AA87" s="53">
        <v>0</v>
      </c>
      <c r="AB87" s="53">
        <v>0</v>
      </c>
      <c r="AC87" s="53">
        <v>0</v>
      </c>
      <c r="AD87" s="53">
        <v>0</v>
      </c>
      <c r="AE87" s="53">
        <v>0</v>
      </c>
      <c r="AF87" s="53">
        <v>0</v>
      </c>
      <c r="AG87" s="53">
        <v>0</v>
      </c>
      <c r="AH87" s="53">
        <v>0</v>
      </c>
      <c r="AI87" s="53">
        <v>0</v>
      </c>
      <c r="AJ87" s="53">
        <v>0</v>
      </c>
      <c r="AK87" s="53">
        <v>0</v>
      </c>
      <c r="AL87" s="53">
        <v>0</v>
      </c>
      <c r="AM87" s="53" t="str">
        <f>I87-J87-K87-L87-M87-N87-O87-P87-Q87-R87-S87-T87-U87-V87-W87-X87-Y87-Z87-AA87-AB87-AC87-AD87-AE87-AF87-AG87+AH87-AI87+AJ87+AK87-AL87</f>
        <v>0</v>
      </c>
      <c r="AN87" s="53"/>
      <c r="AO87" s="27"/>
    </row>
    <row r="88" spans="1:41">
      <c r="A88" s="44">
        <v>60</v>
      </c>
      <c r="B88" s="46" t="s">
        <v>338</v>
      </c>
      <c r="C88" s="48" t="s">
        <v>339</v>
      </c>
      <c r="D88" s="51" t="s">
        <v>62</v>
      </c>
      <c r="E88" s="51" t="s">
        <v>340</v>
      </c>
      <c r="F88" s="54" t="s">
        <v>341</v>
      </c>
      <c r="G88" s="50">
        <v>5.8</v>
      </c>
      <c r="H88" s="51" t="s">
        <v>342</v>
      </c>
      <c r="I88" s="53">
        <v>0</v>
      </c>
      <c r="J88" s="53">
        <v>0</v>
      </c>
      <c r="K88" s="53">
        <v>24000</v>
      </c>
      <c r="L88" s="53">
        <v>0</v>
      </c>
      <c r="M88" s="53">
        <v>0</v>
      </c>
      <c r="N88" s="53">
        <v>0</v>
      </c>
      <c r="O88" s="53">
        <v>0</v>
      </c>
      <c r="P88" s="53">
        <v>0</v>
      </c>
      <c r="Q88" s="53">
        <v>0</v>
      </c>
      <c r="R88" s="53">
        <v>0</v>
      </c>
      <c r="S88" s="53">
        <v>0</v>
      </c>
      <c r="T88" s="53">
        <v>0</v>
      </c>
      <c r="U88" s="53">
        <v>1200</v>
      </c>
      <c r="V88" s="53">
        <v>0</v>
      </c>
      <c r="W88" s="53">
        <v>0</v>
      </c>
      <c r="X88" s="53">
        <v>0</v>
      </c>
      <c r="Y88" s="53">
        <v>5250</v>
      </c>
      <c r="Z88" s="53">
        <v>0</v>
      </c>
      <c r="AA88" s="53">
        <v>0</v>
      </c>
      <c r="AB88" s="53">
        <v>0</v>
      </c>
      <c r="AC88" s="53">
        <v>0</v>
      </c>
      <c r="AD88" s="53">
        <v>0</v>
      </c>
      <c r="AE88" s="53">
        <v>0</v>
      </c>
      <c r="AF88" s="53">
        <v>0</v>
      </c>
      <c r="AG88" s="53">
        <v>0</v>
      </c>
      <c r="AH88" s="53">
        <v>0</v>
      </c>
      <c r="AI88" s="53">
        <v>0</v>
      </c>
      <c r="AJ88" s="53">
        <v>0</v>
      </c>
      <c r="AK88" s="53">
        <v>0</v>
      </c>
      <c r="AL88" s="53">
        <v>0</v>
      </c>
      <c r="AM88" s="53" t="str">
        <f>I88-J88-K88-L88-M88-N88-O88-P88-Q88-R88-S88-T88-U88-V88-W88-X88-Y88-Z88-AA88-AB88-AC88-AD88-AE88-AF88-AG88+AH88-AI88+AJ88+AK88-AL88</f>
        <v>0</v>
      </c>
      <c r="AN88" s="53"/>
      <c r="AO88" s="27"/>
    </row>
    <row r="89" spans="1:41">
      <c r="A89" s="44">
        <v>61</v>
      </c>
      <c r="B89" s="46" t="s">
        <v>343</v>
      </c>
      <c r="C89" s="48" t="s">
        <v>344</v>
      </c>
      <c r="D89" s="51" t="s">
        <v>62</v>
      </c>
      <c r="E89" s="51" t="s">
        <v>345</v>
      </c>
      <c r="F89" s="54" t="s">
        <v>346</v>
      </c>
      <c r="G89" s="50">
        <v>3</v>
      </c>
      <c r="H89" s="51" t="s">
        <v>347</v>
      </c>
      <c r="I89" s="53">
        <v>0</v>
      </c>
      <c r="J89" s="53">
        <v>0</v>
      </c>
      <c r="K89" s="53">
        <v>22000</v>
      </c>
      <c r="L89" s="53">
        <v>0</v>
      </c>
      <c r="M89" s="53">
        <v>0</v>
      </c>
      <c r="N89" s="53">
        <v>0</v>
      </c>
      <c r="O89" s="53">
        <v>0</v>
      </c>
      <c r="P89" s="53">
        <v>0</v>
      </c>
      <c r="Q89" s="53">
        <v>0</v>
      </c>
      <c r="R89" s="53">
        <v>0</v>
      </c>
      <c r="S89" s="53">
        <v>0</v>
      </c>
      <c r="T89" s="53">
        <v>0</v>
      </c>
      <c r="U89" s="53">
        <v>1100</v>
      </c>
      <c r="V89" s="53">
        <v>0</v>
      </c>
      <c r="W89" s="53">
        <v>0</v>
      </c>
      <c r="X89" s="53">
        <v>0</v>
      </c>
      <c r="Y89" s="53">
        <v>11550</v>
      </c>
      <c r="Z89" s="53">
        <v>0</v>
      </c>
      <c r="AA89" s="53">
        <v>0</v>
      </c>
      <c r="AB89" s="53">
        <v>0</v>
      </c>
      <c r="AC89" s="53">
        <v>0</v>
      </c>
      <c r="AD89" s="53">
        <v>0</v>
      </c>
      <c r="AE89" s="53">
        <v>0</v>
      </c>
      <c r="AF89" s="53">
        <v>0</v>
      </c>
      <c r="AG89" s="53">
        <v>0</v>
      </c>
      <c r="AH89" s="53">
        <v>0</v>
      </c>
      <c r="AI89" s="53">
        <v>0</v>
      </c>
      <c r="AJ89" s="53">
        <v>0</v>
      </c>
      <c r="AK89" s="53">
        <v>0</v>
      </c>
      <c r="AL89" s="53">
        <v>0</v>
      </c>
      <c r="AM89" s="53" t="str">
        <f>I89-J89-K89-L89-M89-N89-O89-P89-Q89-R89-S89-T89-U89-V89-W89-X89-Y89-Z89-AA89-AB89-AC89-AD89-AE89-AF89-AG89+AH89-AI89+AJ89+AK89-AL89</f>
        <v>0</v>
      </c>
      <c r="AN89" s="53"/>
      <c r="AO89" s="27"/>
    </row>
    <row r="90" spans="1:41">
      <c r="A90" s="44">
        <v>62</v>
      </c>
      <c r="B90" s="46" t="s">
        <v>348</v>
      </c>
      <c r="C90" s="48" t="s">
        <v>349</v>
      </c>
      <c r="D90" s="51" t="s">
        <v>62</v>
      </c>
      <c r="E90" s="51" t="s">
        <v>350</v>
      </c>
      <c r="F90" s="54" t="s">
        <v>351</v>
      </c>
      <c r="G90" s="50">
        <v>3</v>
      </c>
      <c r="H90" s="51" t="s">
        <v>352</v>
      </c>
      <c r="I90" s="53">
        <v>0</v>
      </c>
      <c r="J90" s="53">
        <v>0</v>
      </c>
      <c r="K90" s="53">
        <v>22000</v>
      </c>
      <c r="L90" s="53">
        <v>0</v>
      </c>
      <c r="M90" s="53">
        <v>0</v>
      </c>
      <c r="N90" s="53">
        <v>0</v>
      </c>
      <c r="O90" s="53">
        <v>0</v>
      </c>
      <c r="P90" s="53">
        <v>0</v>
      </c>
      <c r="Q90" s="53">
        <v>0</v>
      </c>
      <c r="R90" s="53">
        <v>0</v>
      </c>
      <c r="S90" s="53">
        <v>0</v>
      </c>
      <c r="T90" s="53">
        <v>0</v>
      </c>
      <c r="U90" s="53">
        <v>1100</v>
      </c>
      <c r="V90" s="53">
        <v>0</v>
      </c>
      <c r="W90" s="53">
        <v>0</v>
      </c>
      <c r="X90" s="53">
        <v>0</v>
      </c>
      <c r="Y90" s="53">
        <v>11550</v>
      </c>
      <c r="Z90" s="53">
        <v>0</v>
      </c>
      <c r="AA90" s="53">
        <v>0</v>
      </c>
      <c r="AB90" s="53">
        <v>0</v>
      </c>
      <c r="AC90" s="53">
        <v>0</v>
      </c>
      <c r="AD90" s="53">
        <v>0</v>
      </c>
      <c r="AE90" s="53">
        <v>0</v>
      </c>
      <c r="AF90" s="53">
        <v>0</v>
      </c>
      <c r="AG90" s="53">
        <v>0</v>
      </c>
      <c r="AH90" s="53">
        <v>0</v>
      </c>
      <c r="AI90" s="53">
        <v>0</v>
      </c>
      <c r="AJ90" s="53">
        <v>0</v>
      </c>
      <c r="AK90" s="53">
        <v>0</v>
      </c>
      <c r="AL90" s="53">
        <v>0</v>
      </c>
      <c r="AM90" s="53" t="str">
        <f>I90-J90-K90-L90-M90-N90-O90-P90-Q90-R90-S90-T90-U90-V90-W90-X90-Y90-Z90-AA90-AB90-AC90-AD90-AE90-AF90-AG90+AH90-AI90+AJ90+AK90-AL90</f>
        <v>0</v>
      </c>
      <c r="AN90" s="53"/>
      <c r="AO90" s="27"/>
    </row>
    <row r="91" spans="1:41">
      <c r="A91" s="44">
        <v>63</v>
      </c>
      <c r="B91" s="46" t="s">
        <v>353</v>
      </c>
      <c r="C91" s="48" t="s">
        <v>354</v>
      </c>
      <c r="D91" s="51" t="s">
        <v>62</v>
      </c>
      <c r="E91" s="51" t="s">
        <v>350</v>
      </c>
      <c r="F91" s="54" t="s">
        <v>355</v>
      </c>
      <c r="G91" s="50">
        <v>8</v>
      </c>
      <c r="H91" s="51" t="s">
        <v>356</v>
      </c>
      <c r="I91" s="53">
        <v>0</v>
      </c>
      <c r="J91" s="53">
        <v>0</v>
      </c>
      <c r="K91" s="53">
        <v>39000</v>
      </c>
      <c r="L91" s="53">
        <v>0</v>
      </c>
      <c r="M91" s="53">
        <v>0</v>
      </c>
      <c r="N91" s="53">
        <v>0</v>
      </c>
      <c r="O91" s="53">
        <v>0</v>
      </c>
      <c r="P91" s="53">
        <v>0</v>
      </c>
      <c r="Q91" s="53">
        <v>0</v>
      </c>
      <c r="R91" s="53">
        <v>0</v>
      </c>
      <c r="S91" s="53">
        <v>0</v>
      </c>
      <c r="T91" s="53">
        <v>0</v>
      </c>
      <c r="U91" s="53">
        <v>1950</v>
      </c>
      <c r="V91" s="53">
        <v>0</v>
      </c>
      <c r="W91" s="53">
        <v>0</v>
      </c>
      <c r="X91" s="53">
        <v>0</v>
      </c>
      <c r="Y91" s="53">
        <v>20475</v>
      </c>
      <c r="Z91" s="53">
        <v>0</v>
      </c>
      <c r="AA91" s="53">
        <v>0</v>
      </c>
      <c r="AB91" s="53">
        <v>0</v>
      </c>
      <c r="AC91" s="53">
        <v>0</v>
      </c>
      <c r="AD91" s="53">
        <v>0</v>
      </c>
      <c r="AE91" s="53">
        <v>0</v>
      </c>
      <c r="AF91" s="53">
        <v>0</v>
      </c>
      <c r="AG91" s="53">
        <v>0</v>
      </c>
      <c r="AH91" s="53">
        <v>0</v>
      </c>
      <c r="AI91" s="53">
        <v>0</v>
      </c>
      <c r="AJ91" s="53">
        <v>0</v>
      </c>
      <c r="AK91" s="53">
        <v>0</v>
      </c>
      <c r="AL91" s="53">
        <v>0</v>
      </c>
      <c r="AM91" s="53" t="str">
        <f>I91-J91-K91-L91-M91-N91-O91-P91-Q91-R91-S91-T91-U91-V91-W91-X91-Y91-Z91-AA91-AB91-AC91-AD91-AE91-AF91-AG91+AH91-AI91+AJ91+AK91-AL91</f>
        <v>0</v>
      </c>
      <c r="AN91" s="53"/>
      <c r="AO91" s="27"/>
    </row>
    <row r="92" spans="1:41">
      <c r="A92" s="44">
        <v>64</v>
      </c>
      <c r="B92" s="46" t="s">
        <v>357</v>
      </c>
      <c r="C92" s="48" t="s">
        <v>358</v>
      </c>
      <c r="D92" s="51" t="s">
        <v>73</v>
      </c>
      <c r="E92" s="51" t="s">
        <v>350</v>
      </c>
      <c r="F92" s="54" t="s">
        <v>359</v>
      </c>
      <c r="G92" s="50">
        <v>3</v>
      </c>
      <c r="H92" s="51" t="s">
        <v>360</v>
      </c>
      <c r="I92" s="53">
        <v>166500</v>
      </c>
      <c r="J92" s="53">
        <v>0</v>
      </c>
      <c r="K92" s="53">
        <v>22000</v>
      </c>
      <c r="L92" s="53">
        <v>0</v>
      </c>
      <c r="M92" s="53">
        <v>0</v>
      </c>
      <c r="N92" s="53">
        <v>0</v>
      </c>
      <c r="O92" s="53">
        <v>0</v>
      </c>
      <c r="P92" s="53">
        <v>0</v>
      </c>
      <c r="Q92" s="53">
        <v>0</v>
      </c>
      <c r="R92" s="53">
        <v>0</v>
      </c>
      <c r="S92" s="53">
        <v>0</v>
      </c>
      <c r="T92" s="53">
        <v>0</v>
      </c>
      <c r="U92" s="53">
        <v>1100</v>
      </c>
      <c r="V92" s="53">
        <v>0</v>
      </c>
      <c r="W92" s="53">
        <v>0</v>
      </c>
      <c r="X92" s="53">
        <v>0</v>
      </c>
      <c r="Y92" s="53">
        <v>0</v>
      </c>
      <c r="Z92" s="53">
        <v>0</v>
      </c>
      <c r="AA92" s="53">
        <v>0</v>
      </c>
      <c r="AB92" s="53">
        <v>0</v>
      </c>
      <c r="AC92" s="53">
        <v>0</v>
      </c>
      <c r="AD92" s="53">
        <v>0</v>
      </c>
      <c r="AE92" s="53">
        <v>0</v>
      </c>
      <c r="AF92" s="53">
        <v>0</v>
      </c>
      <c r="AG92" s="53">
        <v>0</v>
      </c>
      <c r="AH92" s="53">
        <v>0</v>
      </c>
      <c r="AI92" s="53">
        <v>0</v>
      </c>
      <c r="AJ92" s="53">
        <v>0</v>
      </c>
      <c r="AK92" s="53">
        <v>0</v>
      </c>
      <c r="AL92" s="53">
        <v>0</v>
      </c>
      <c r="AM92" s="53" t="str">
        <f>I92-J92-K92-L92-M92-N92-O92-P92-Q92-R92-S92-T92-U92-V92-W92-X92-Y92-Z92-AA92-AB92-AC92-AD92-AE92-AF92-AG92+AH92-AI92+AJ92+AK92-AL92</f>
        <v>0</v>
      </c>
      <c r="AN92" s="53"/>
      <c r="AO92" s="27"/>
    </row>
    <row r="93" spans="1:41">
      <c r="A93" s="44">
        <v>65</v>
      </c>
      <c r="B93" s="46" t="s">
        <v>361</v>
      </c>
      <c r="C93" s="48" t="s">
        <v>362</v>
      </c>
      <c r="D93" s="51" t="s">
        <v>62</v>
      </c>
      <c r="E93" s="51" t="s">
        <v>363</v>
      </c>
      <c r="F93" s="54" t="s">
        <v>364</v>
      </c>
      <c r="G93" s="50">
        <v>5</v>
      </c>
      <c r="H93" s="51" t="s">
        <v>365</v>
      </c>
      <c r="I93" s="53">
        <v>0</v>
      </c>
      <c r="J93" s="53">
        <v>0</v>
      </c>
      <c r="K93" s="53">
        <v>27000</v>
      </c>
      <c r="L93" s="53">
        <v>0</v>
      </c>
      <c r="M93" s="53">
        <v>0</v>
      </c>
      <c r="N93" s="53">
        <v>0</v>
      </c>
      <c r="O93" s="53">
        <v>0</v>
      </c>
      <c r="P93" s="53">
        <v>0</v>
      </c>
      <c r="Q93" s="53">
        <v>0</v>
      </c>
      <c r="R93" s="53">
        <v>0</v>
      </c>
      <c r="S93" s="53">
        <v>0</v>
      </c>
      <c r="T93" s="53">
        <v>0</v>
      </c>
      <c r="U93" s="53">
        <v>1350</v>
      </c>
      <c r="V93" s="53">
        <v>0</v>
      </c>
      <c r="W93" s="53">
        <v>0</v>
      </c>
      <c r="X93" s="53">
        <v>0</v>
      </c>
      <c r="Y93" s="53">
        <v>14175</v>
      </c>
      <c r="Z93" s="53">
        <v>0</v>
      </c>
      <c r="AA93" s="53">
        <v>0</v>
      </c>
      <c r="AB93" s="53">
        <v>0</v>
      </c>
      <c r="AC93" s="53">
        <v>0</v>
      </c>
      <c r="AD93" s="53">
        <v>0</v>
      </c>
      <c r="AE93" s="53">
        <v>0</v>
      </c>
      <c r="AF93" s="53">
        <v>0</v>
      </c>
      <c r="AG93" s="53">
        <v>0</v>
      </c>
      <c r="AH93" s="53">
        <v>0</v>
      </c>
      <c r="AI93" s="53">
        <v>0</v>
      </c>
      <c r="AJ93" s="53">
        <v>0</v>
      </c>
      <c r="AK93" s="53">
        <v>0</v>
      </c>
      <c r="AL93" s="53">
        <v>0</v>
      </c>
      <c r="AM93" s="53" t="str">
        <f>I93-J93-K93-L93-M93-N93-O93-P93-Q93-R93-S93-T93-U93-V93-W93-X93-Y93-Z93-AA93-AB93-AC93-AD93-AE93-AF93-AG93+AH93-AI93+AJ93+AK93-AL93</f>
        <v>0</v>
      </c>
      <c r="AN93" s="53"/>
      <c r="AO93" s="27"/>
    </row>
    <row r="94" spans="1:41">
      <c r="A94" s="44">
        <v>66</v>
      </c>
      <c r="B94" s="46" t="s">
        <v>366</v>
      </c>
      <c r="C94" s="48" t="s">
        <v>367</v>
      </c>
      <c r="D94" s="51" t="s">
        <v>73</v>
      </c>
      <c r="E94" s="51" t="s">
        <v>368</v>
      </c>
      <c r="F94" s="54" t="s">
        <v>369</v>
      </c>
      <c r="G94" s="50">
        <v>8</v>
      </c>
      <c r="H94" s="51" t="s">
        <v>370</v>
      </c>
      <c r="I94" s="53">
        <v>2100000</v>
      </c>
      <c r="J94" s="53">
        <v>0</v>
      </c>
      <c r="K94" s="53">
        <v>39000</v>
      </c>
      <c r="L94" s="53">
        <v>0</v>
      </c>
      <c r="M94" s="53">
        <v>0</v>
      </c>
      <c r="N94" s="53">
        <v>0</v>
      </c>
      <c r="O94" s="53">
        <v>0</v>
      </c>
      <c r="P94" s="53">
        <v>0</v>
      </c>
      <c r="Q94" s="53">
        <v>0</v>
      </c>
      <c r="R94" s="53">
        <v>0</v>
      </c>
      <c r="S94" s="53">
        <v>0</v>
      </c>
      <c r="T94" s="53">
        <v>0</v>
      </c>
      <c r="U94" s="53">
        <v>1950</v>
      </c>
      <c r="V94" s="53">
        <v>0</v>
      </c>
      <c r="W94" s="53">
        <v>0</v>
      </c>
      <c r="X94" s="53">
        <v>0</v>
      </c>
      <c r="Y94" s="53">
        <v>0</v>
      </c>
      <c r="Z94" s="53">
        <v>0</v>
      </c>
      <c r="AA94" s="53">
        <v>0</v>
      </c>
      <c r="AB94" s="53">
        <v>0</v>
      </c>
      <c r="AC94" s="53">
        <v>0</v>
      </c>
      <c r="AD94" s="53">
        <v>0</v>
      </c>
      <c r="AE94" s="53">
        <v>0</v>
      </c>
      <c r="AF94" s="53">
        <v>0</v>
      </c>
      <c r="AG94" s="53">
        <v>0</v>
      </c>
      <c r="AH94" s="53">
        <v>0</v>
      </c>
      <c r="AI94" s="53">
        <v>0</v>
      </c>
      <c r="AJ94" s="53">
        <v>0</v>
      </c>
      <c r="AK94" s="53">
        <v>0</v>
      </c>
      <c r="AL94" s="53">
        <v>0</v>
      </c>
      <c r="AM94" s="53" t="str">
        <f>I94-J94-K94-L94-M94-N94-O94-P94-Q94-R94-S94-T94-U94-V94-W94-X94-Y94-Z94-AA94-AB94-AC94-AD94-AE94-AF94-AG94+AH94-AI94+AJ94+AK94-AL94</f>
        <v>0</v>
      </c>
      <c r="AN94" s="53"/>
      <c r="AO94" s="27"/>
    </row>
    <row r="95" spans="1:41">
      <c r="A95" s="44">
        <v>67</v>
      </c>
      <c r="B95" s="46" t="s">
        <v>371</v>
      </c>
      <c r="C95" s="48" t="s">
        <v>372</v>
      </c>
      <c r="D95" s="51" t="s">
        <v>62</v>
      </c>
      <c r="E95" s="51" t="s">
        <v>373</v>
      </c>
      <c r="F95" s="54" t="s">
        <v>374</v>
      </c>
      <c r="G95" s="50">
        <v>15</v>
      </c>
      <c r="H95" s="51" t="s">
        <v>375</v>
      </c>
      <c r="I95" s="53">
        <v>0</v>
      </c>
      <c r="J95" s="53">
        <v>0</v>
      </c>
      <c r="K95" s="53">
        <v>60000</v>
      </c>
      <c r="L95" s="53">
        <v>0</v>
      </c>
      <c r="M95" s="53">
        <v>0</v>
      </c>
      <c r="N95" s="53">
        <v>0</v>
      </c>
      <c r="O95" s="53">
        <v>0</v>
      </c>
      <c r="P95" s="53">
        <v>0</v>
      </c>
      <c r="Q95" s="53">
        <v>0</v>
      </c>
      <c r="R95" s="53">
        <v>0</v>
      </c>
      <c r="S95" s="53">
        <v>0</v>
      </c>
      <c r="T95" s="53">
        <v>0</v>
      </c>
      <c r="U95" s="53">
        <v>3000</v>
      </c>
      <c r="V95" s="53">
        <v>0</v>
      </c>
      <c r="W95" s="53">
        <v>0</v>
      </c>
      <c r="X95" s="53">
        <v>0</v>
      </c>
      <c r="Y95" s="53">
        <v>31500</v>
      </c>
      <c r="Z95" s="53">
        <v>0</v>
      </c>
      <c r="AA95" s="53">
        <v>0</v>
      </c>
      <c r="AB95" s="53">
        <v>0</v>
      </c>
      <c r="AC95" s="53">
        <v>0</v>
      </c>
      <c r="AD95" s="53">
        <v>0</v>
      </c>
      <c r="AE95" s="53">
        <v>0</v>
      </c>
      <c r="AF95" s="53">
        <v>0</v>
      </c>
      <c r="AG95" s="53">
        <v>0</v>
      </c>
      <c r="AH95" s="53">
        <v>0</v>
      </c>
      <c r="AI95" s="53">
        <v>0</v>
      </c>
      <c r="AJ95" s="53">
        <v>0</v>
      </c>
      <c r="AK95" s="53">
        <v>0</v>
      </c>
      <c r="AL95" s="53">
        <v>0</v>
      </c>
      <c r="AM95" s="53" t="str">
        <f>I95-J95-K95-L95-M95-N95-O95-P95-Q95-R95-S95-T95-U95-V95-W95-X95-Y95-Z95-AA95-AB95-AC95-AD95-AE95-AF95-AG95+AH95-AI95+AJ95+AK95-AL95</f>
        <v>0</v>
      </c>
      <c r="AN95" s="53"/>
      <c r="AO95" s="27"/>
    </row>
    <row r="96" spans="1:41">
      <c r="A96" s="44">
        <v>68</v>
      </c>
      <c r="B96" s="46" t="s">
        <v>376</v>
      </c>
      <c r="C96" s="48" t="s">
        <v>377</v>
      </c>
      <c r="D96" s="51" t="s">
        <v>62</v>
      </c>
      <c r="E96" s="51" t="s">
        <v>378</v>
      </c>
      <c r="F96" s="54" t="s">
        <v>379</v>
      </c>
      <c r="G96" s="50">
        <v>5.8</v>
      </c>
      <c r="H96" s="51" t="s">
        <v>380</v>
      </c>
      <c r="I96" s="53">
        <v>0</v>
      </c>
      <c r="J96" s="53">
        <v>0</v>
      </c>
      <c r="K96" s="53">
        <v>24000</v>
      </c>
      <c r="L96" s="53">
        <v>0</v>
      </c>
      <c r="M96" s="53">
        <v>0</v>
      </c>
      <c r="N96" s="53">
        <v>0</v>
      </c>
      <c r="O96" s="53">
        <v>0</v>
      </c>
      <c r="P96" s="53">
        <v>0</v>
      </c>
      <c r="Q96" s="53">
        <v>0</v>
      </c>
      <c r="R96" s="53">
        <v>0</v>
      </c>
      <c r="S96" s="53">
        <v>0</v>
      </c>
      <c r="T96" s="53">
        <v>0</v>
      </c>
      <c r="U96" s="53">
        <v>1200</v>
      </c>
      <c r="V96" s="53">
        <v>0</v>
      </c>
      <c r="W96" s="53">
        <v>0</v>
      </c>
      <c r="X96" s="53">
        <v>0</v>
      </c>
      <c r="Y96" s="53">
        <v>5250</v>
      </c>
      <c r="Z96" s="53">
        <v>0</v>
      </c>
      <c r="AA96" s="53">
        <v>0</v>
      </c>
      <c r="AB96" s="53">
        <v>0</v>
      </c>
      <c r="AC96" s="53">
        <v>0</v>
      </c>
      <c r="AD96" s="53">
        <v>0</v>
      </c>
      <c r="AE96" s="53">
        <v>0</v>
      </c>
      <c r="AF96" s="53">
        <v>0</v>
      </c>
      <c r="AG96" s="53">
        <v>0</v>
      </c>
      <c r="AH96" s="53">
        <v>0</v>
      </c>
      <c r="AI96" s="53">
        <v>0</v>
      </c>
      <c r="AJ96" s="53">
        <v>0</v>
      </c>
      <c r="AK96" s="53">
        <v>0</v>
      </c>
      <c r="AL96" s="53">
        <v>0</v>
      </c>
      <c r="AM96" s="53" t="str">
        <f>I96-J96-K96-L96-M96-N96-O96-P96-Q96-R96-S96-T96-U96-V96-W96-X96-Y96-Z96-AA96-AB96-AC96-AD96-AE96-AF96-AG96+AH96-AI96+AJ96+AK96-AL96</f>
        <v>0</v>
      </c>
      <c r="AN96" s="53"/>
      <c r="AO96" s="27"/>
    </row>
    <row r="97" spans="1:41">
      <c r="A97" s="44">
        <v>69</v>
      </c>
      <c r="B97" s="46" t="s">
        <v>381</v>
      </c>
      <c r="C97" s="48" t="s">
        <v>382</v>
      </c>
      <c r="D97" s="51" t="s">
        <v>62</v>
      </c>
      <c r="E97" s="51" t="s">
        <v>378</v>
      </c>
      <c r="F97" s="54" t="s">
        <v>383</v>
      </c>
      <c r="G97" s="50">
        <v>13.5</v>
      </c>
      <c r="H97" s="51" t="s">
        <v>384</v>
      </c>
      <c r="I97" s="53">
        <v>0</v>
      </c>
      <c r="J97" s="53">
        <v>0</v>
      </c>
      <c r="K97" s="53">
        <v>32000</v>
      </c>
      <c r="L97" s="53">
        <v>0</v>
      </c>
      <c r="M97" s="53">
        <v>0</v>
      </c>
      <c r="N97" s="53">
        <v>0</v>
      </c>
      <c r="O97" s="53">
        <v>0</v>
      </c>
      <c r="P97" s="53">
        <v>0</v>
      </c>
      <c r="Q97" s="53">
        <v>0</v>
      </c>
      <c r="R97" s="53">
        <v>0</v>
      </c>
      <c r="S97" s="53">
        <v>0</v>
      </c>
      <c r="T97" s="53">
        <v>0</v>
      </c>
      <c r="U97" s="53">
        <v>1600</v>
      </c>
      <c r="V97" s="53">
        <v>0</v>
      </c>
      <c r="W97" s="53">
        <v>0</v>
      </c>
      <c r="X97" s="53">
        <v>0</v>
      </c>
      <c r="Y97" s="53">
        <v>5250</v>
      </c>
      <c r="Z97" s="53">
        <v>0</v>
      </c>
      <c r="AA97" s="53">
        <v>0</v>
      </c>
      <c r="AB97" s="53">
        <v>0</v>
      </c>
      <c r="AC97" s="53">
        <v>0</v>
      </c>
      <c r="AD97" s="53">
        <v>0</v>
      </c>
      <c r="AE97" s="53">
        <v>0</v>
      </c>
      <c r="AF97" s="53">
        <v>0</v>
      </c>
      <c r="AG97" s="53">
        <v>0</v>
      </c>
      <c r="AH97" s="53">
        <v>0</v>
      </c>
      <c r="AI97" s="53">
        <v>0</v>
      </c>
      <c r="AJ97" s="53">
        <v>0</v>
      </c>
      <c r="AK97" s="53">
        <v>0</v>
      </c>
      <c r="AL97" s="53">
        <v>0</v>
      </c>
      <c r="AM97" s="53" t="str">
        <f>I97-J97-K97-L97-M97-N97-O97-P97-Q97-R97-S97-T97-U97-V97-W97-X97-Y97-Z97-AA97-AB97-AC97-AD97-AE97-AF97-AG97+AH97-AI97+AJ97+AK97-AL97</f>
        <v>0</v>
      </c>
      <c r="AN97" s="53"/>
      <c r="AO97" s="27"/>
    </row>
    <row r="98" spans="1:41">
      <c r="A98" s="44">
        <v>70</v>
      </c>
      <c r="B98" s="46" t="s">
        <v>385</v>
      </c>
      <c r="C98" s="48" t="s">
        <v>386</v>
      </c>
      <c r="D98" s="51" t="s">
        <v>62</v>
      </c>
      <c r="E98" s="51" t="s">
        <v>387</v>
      </c>
      <c r="F98" s="54" t="s">
        <v>388</v>
      </c>
      <c r="G98" s="50">
        <v>6</v>
      </c>
      <c r="H98" s="51" t="s">
        <v>389</v>
      </c>
      <c r="I98" s="53">
        <v>0</v>
      </c>
      <c r="J98" s="53">
        <v>0</v>
      </c>
      <c r="K98" s="53">
        <v>24000</v>
      </c>
      <c r="L98" s="53">
        <v>0</v>
      </c>
      <c r="M98" s="53">
        <v>0</v>
      </c>
      <c r="N98" s="53">
        <v>0</v>
      </c>
      <c r="O98" s="53">
        <v>0</v>
      </c>
      <c r="P98" s="53">
        <v>0</v>
      </c>
      <c r="Q98" s="53">
        <v>0</v>
      </c>
      <c r="R98" s="53">
        <v>0</v>
      </c>
      <c r="S98" s="53">
        <v>0</v>
      </c>
      <c r="T98" s="53">
        <v>0</v>
      </c>
      <c r="U98" s="53">
        <v>1200</v>
      </c>
      <c r="V98" s="53">
        <v>0</v>
      </c>
      <c r="W98" s="53">
        <v>0</v>
      </c>
      <c r="X98" s="53">
        <v>0</v>
      </c>
      <c r="Y98" s="53">
        <v>5250</v>
      </c>
      <c r="Z98" s="53">
        <v>0</v>
      </c>
      <c r="AA98" s="53">
        <v>0</v>
      </c>
      <c r="AB98" s="53">
        <v>0</v>
      </c>
      <c r="AC98" s="53">
        <v>0</v>
      </c>
      <c r="AD98" s="53">
        <v>0</v>
      </c>
      <c r="AE98" s="53">
        <v>0</v>
      </c>
      <c r="AF98" s="53">
        <v>0</v>
      </c>
      <c r="AG98" s="53">
        <v>0</v>
      </c>
      <c r="AH98" s="53">
        <v>0</v>
      </c>
      <c r="AI98" s="53">
        <v>0</v>
      </c>
      <c r="AJ98" s="53">
        <v>0</v>
      </c>
      <c r="AK98" s="53">
        <v>0</v>
      </c>
      <c r="AL98" s="53">
        <v>0</v>
      </c>
      <c r="AM98" s="53" t="str">
        <f>I98-J98-K98-L98-M98-N98-O98-P98-Q98-R98-S98-T98-U98-V98-W98-X98-Y98-Z98-AA98-AB98-AC98-AD98-AE98-AF98-AG98+AH98-AI98+AJ98+AK98-AL98</f>
        <v>0</v>
      </c>
      <c r="AN98" s="53"/>
      <c r="AO98" s="27"/>
    </row>
    <row r="99" spans="1:41">
      <c r="A99" s="44">
        <v>71</v>
      </c>
      <c r="B99" s="46" t="s">
        <v>390</v>
      </c>
      <c r="C99" s="48" t="s">
        <v>391</v>
      </c>
      <c r="D99" s="51" t="s">
        <v>62</v>
      </c>
      <c r="E99" s="51" t="s">
        <v>392</v>
      </c>
      <c r="F99" s="54" t="s">
        <v>393</v>
      </c>
      <c r="G99" s="50">
        <v>3</v>
      </c>
      <c r="H99" s="51" t="s">
        <v>394</v>
      </c>
      <c r="I99" s="53">
        <v>0</v>
      </c>
      <c r="J99" s="53">
        <v>0</v>
      </c>
      <c r="K99" s="53">
        <v>22000</v>
      </c>
      <c r="L99" s="53">
        <v>0</v>
      </c>
      <c r="M99" s="53">
        <v>0</v>
      </c>
      <c r="N99" s="53">
        <v>0</v>
      </c>
      <c r="O99" s="53">
        <v>0</v>
      </c>
      <c r="P99" s="53">
        <v>0</v>
      </c>
      <c r="Q99" s="53">
        <v>0</v>
      </c>
      <c r="R99" s="53">
        <v>0</v>
      </c>
      <c r="S99" s="53">
        <v>0</v>
      </c>
      <c r="T99" s="53">
        <v>0</v>
      </c>
      <c r="U99" s="53">
        <v>1100</v>
      </c>
      <c r="V99" s="53">
        <v>0</v>
      </c>
      <c r="W99" s="53">
        <v>0</v>
      </c>
      <c r="X99" s="53">
        <v>0</v>
      </c>
      <c r="Y99" s="53">
        <v>5250</v>
      </c>
      <c r="Z99" s="53">
        <v>0</v>
      </c>
      <c r="AA99" s="53">
        <v>0</v>
      </c>
      <c r="AB99" s="53">
        <v>0</v>
      </c>
      <c r="AC99" s="53">
        <v>0</v>
      </c>
      <c r="AD99" s="53">
        <v>0</v>
      </c>
      <c r="AE99" s="53">
        <v>0</v>
      </c>
      <c r="AF99" s="53">
        <v>0</v>
      </c>
      <c r="AG99" s="53">
        <v>0</v>
      </c>
      <c r="AH99" s="53">
        <v>0</v>
      </c>
      <c r="AI99" s="53">
        <v>0</v>
      </c>
      <c r="AJ99" s="53">
        <v>0</v>
      </c>
      <c r="AK99" s="53">
        <v>0</v>
      </c>
      <c r="AL99" s="53">
        <v>0</v>
      </c>
      <c r="AM99" s="53" t="str">
        <f>I99-J99-K99-L99-M99-N99-O99-P99-Q99-R99-S99-T99-U99-V99-W99-X99-Y99-Z99-AA99-AB99-AC99-AD99-AE99-AF99-AG99+AH99-AI99+AJ99+AK99-AL99</f>
        <v>0</v>
      </c>
      <c r="AN99" s="53"/>
      <c r="AO99" s="27"/>
    </row>
    <row r="100" spans="1:41">
      <c r="A100" s="44">
        <v>72</v>
      </c>
      <c r="B100" s="46" t="s">
        <v>395</v>
      </c>
      <c r="C100" s="48" t="s">
        <v>396</v>
      </c>
      <c r="D100" s="51" t="s">
        <v>73</v>
      </c>
      <c r="E100" s="51" t="s">
        <v>392</v>
      </c>
      <c r="F100" s="54" t="s">
        <v>397</v>
      </c>
      <c r="G100" s="50">
        <v>5</v>
      </c>
      <c r="H100" s="51" t="s">
        <v>398</v>
      </c>
      <c r="I100" s="53">
        <v>891000</v>
      </c>
      <c r="J100" s="53">
        <v>0</v>
      </c>
      <c r="K100" s="53">
        <v>27000</v>
      </c>
      <c r="L100" s="53">
        <v>0</v>
      </c>
      <c r="M100" s="53">
        <v>0</v>
      </c>
      <c r="N100" s="53">
        <v>0</v>
      </c>
      <c r="O100" s="53">
        <v>0</v>
      </c>
      <c r="P100" s="53">
        <v>0</v>
      </c>
      <c r="Q100" s="53">
        <v>0</v>
      </c>
      <c r="R100" s="53">
        <v>0</v>
      </c>
      <c r="S100" s="53">
        <v>0</v>
      </c>
      <c r="T100" s="53">
        <v>0</v>
      </c>
      <c r="U100" s="53">
        <v>1350</v>
      </c>
      <c r="V100" s="53">
        <v>0</v>
      </c>
      <c r="W100" s="53">
        <v>0</v>
      </c>
      <c r="X100" s="53">
        <v>0</v>
      </c>
      <c r="Y100" s="53">
        <v>0</v>
      </c>
      <c r="Z100" s="53">
        <v>0</v>
      </c>
      <c r="AA100" s="53">
        <v>0</v>
      </c>
      <c r="AB100" s="53">
        <v>0</v>
      </c>
      <c r="AC100" s="53">
        <v>0</v>
      </c>
      <c r="AD100" s="53">
        <v>0</v>
      </c>
      <c r="AE100" s="53">
        <v>0</v>
      </c>
      <c r="AF100" s="53">
        <v>0</v>
      </c>
      <c r="AG100" s="53">
        <v>0</v>
      </c>
      <c r="AH100" s="53">
        <v>0</v>
      </c>
      <c r="AI100" s="53">
        <v>0</v>
      </c>
      <c r="AJ100" s="53">
        <v>0</v>
      </c>
      <c r="AK100" s="53">
        <v>0</v>
      </c>
      <c r="AL100" s="53">
        <v>0</v>
      </c>
      <c r="AM100" s="53" t="str">
        <f>I100-J100-K100-L100-M100-N100-O100-P100-Q100-R100-S100-T100-U100-V100-W100-X100-Y100-Z100-AA100-AB100-AC100-AD100-AE100-AF100-AG100+AH100-AI100+AJ100+AK100-AL100</f>
        <v>0</v>
      </c>
      <c r="AN100" s="53"/>
      <c r="AO100" s="27"/>
    </row>
    <row r="101" spans="1:41">
      <c r="A101" s="44">
        <v>73</v>
      </c>
      <c r="B101" s="46" t="s">
        <v>399</v>
      </c>
      <c r="C101" s="48" t="s">
        <v>400</v>
      </c>
      <c r="D101" s="51" t="s">
        <v>73</v>
      </c>
      <c r="E101" s="51" t="s">
        <v>401</v>
      </c>
      <c r="F101" s="54" t="s">
        <v>402</v>
      </c>
      <c r="G101" s="50">
        <v>7</v>
      </c>
      <c r="H101" s="51" t="s">
        <v>403</v>
      </c>
      <c r="I101" s="53">
        <v>867600</v>
      </c>
      <c r="J101" s="53">
        <v>0</v>
      </c>
      <c r="K101" s="53">
        <v>35000</v>
      </c>
      <c r="L101" s="53">
        <v>0</v>
      </c>
      <c r="M101" s="53">
        <v>0</v>
      </c>
      <c r="N101" s="53">
        <v>0</v>
      </c>
      <c r="O101" s="53">
        <v>0</v>
      </c>
      <c r="P101" s="53">
        <v>0</v>
      </c>
      <c r="Q101" s="53">
        <v>0</v>
      </c>
      <c r="R101" s="53">
        <v>0</v>
      </c>
      <c r="S101" s="53">
        <v>0</v>
      </c>
      <c r="T101" s="53">
        <v>0</v>
      </c>
      <c r="U101" s="53">
        <v>1750</v>
      </c>
      <c r="V101" s="53">
        <v>0</v>
      </c>
      <c r="W101" s="53">
        <v>0</v>
      </c>
      <c r="X101" s="53">
        <v>0</v>
      </c>
      <c r="Y101" s="53">
        <v>0</v>
      </c>
      <c r="Z101" s="53">
        <v>0</v>
      </c>
      <c r="AA101" s="53">
        <v>0</v>
      </c>
      <c r="AB101" s="53">
        <v>0</v>
      </c>
      <c r="AC101" s="53">
        <v>0</v>
      </c>
      <c r="AD101" s="53">
        <v>0</v>
      </c>
      <c r="AE101" s="53">
        <v>0</v>
      </c>
      <c r="AF101" s="53">
        <v>0</v>
      </c>
      <c r="AG101" s="53">
        <v>0</v>
      </c>
      <c r="AH101" s="53">
        <v>0</v>
      </c>
      <c r="AI101" s="53">
        <v>0</v>
      </c>
      <c r="AJ101" s="53">
        <v>0</v>
      </c>
      <c r="AK101" s="53">
        <v>0</v>
      </c>
      <c r="AL101" s="53">
        <v>0</v>
      </c>
      <c r="AM101" s="53" t="str">
        <f>I101-J101-K101-L101-M101-N101-O101-P101-Q101-R101-S101-T101-U101-V101-W101-X101-Y101-Z101-AA101-AB101-AC101-AD101-AE101-AF101-AG101+AH101-AI101+AJ101+AK101-AL101</f>
        <v>0</v>
      </c>
      <c r="AN101" s="53"/>
      <c r="AO101" s="27"/>
    </row>
    <row r="102" spans="1:41">
      <c r="A102" s="44">
        <v>74</v>
      </c>
      <c r="B102" s="46" t="s">
        <v>404</v>
      </c>
      <c r="C102" s="48" t="s">
        <v>405</v>
      </c>
      <c r="D102" s="51" t="s">
        <v>62</v>
      </c>
      <c r="E102" s="51" t="s">
        <v>406</v>
      </c>
      <c r="F102" s="54" t="s">
        <v>407</v>
      </c>
      <c r="G102" s="50">
        <v>3</v>
      </c>
      <c r="H102" s="51" t="s">
        <v>408</v>
      </c>
      <c r="I102" s="53">
        <v>0</v>
      </c>
      <c r="J102" s="53">
        <v>0</v>
      </c>
      <c r="K102" s="53">
        <v>22000</v>
      </c>
      <c r="L102" s="53">
        <v>0</v>
      </c>
      <c r="M102" s="53">
        <v>0</v>
      </c>
      <c r="N102" s="53">
        <v>0</v>
      </c>
      <c r="O102" s="53">
        <v>0</v>
      </c>
      <c r="P102" s="53">
        <v>0</v>
      </c>
      <c r="Q102" s="53">
        <v>0</v>
      </c>
      <c r="R102" s="53">
        <v>0</v>
      </c>
      <c r="S102" s="53">
        <v>0</v>
      </c>
      <c r="T102" s="53">
        <v>0</v>
      </c>
      <c r="U102" s="53">
        <v>1100</v>
      </c>
      <c r="V102" s="53">
        <v>0</v>
      </c>
      <c r="W102" s="53">
        <v>0</v>
      </c>
      <c r="X102" s="53">
        <v>0</v>
      </c>
      <c r="Y102" s="53">
        <v>11550</v>
      </c>
      <c r="Z102" s="53">
        <v>0</v>
      </c>
      <c r="AA102" s="53">
        <v>0</v>
      </c>
      <c r="AB102" s="53">
        <v>0</v>
      </c>
      <c r="AC102" s="53">
        <v>0</v>
      </c>
      <c r="AD102" s="53">
        <v>0</v>
      </c>
      <c r="AE102" s="53">
        <v>0</v>
      </c>
      <c r="AF102" s="53">
        <v>0</v>
      </c>
      <c r="AG102" s="53">
        <v>0</v>
      </c>
      <c r="AH102" s="53">
        <v>0</v>
      </c>
      <c r="AI102" s="53">
        <v>0</v>
      </c>
      <c r="AJ102" s="53">
        <v>0</v>
      </c>
      <c r="AK102" s="53">
        <v>0</v>
      </c>
      <c r="AL102" s="53">
        <v>0</v>
      </c>
      <c r="AM102" s="53" t="str">
        <f>I102-J102-K102-L102-M102-N102-O102-P102-Q102-R102-S102-T102-U102-V102-W102-X102-Y102-Z102-AA102-AB102-AC102-AD102-AE102-AF102-AG102+AH102-AI102+AJ102+AK102-AL102</f>
        <v>0</v>
      </c>
      <c r="AN102" s="53"/>
      <c r="AO102" s="27"/>
    </row>
    <row r="103" spans="1:41">
      <c r="A103" s="44">
        <v>75</v>
      </c>
      <c r="B103" s="46" t="s">
        <v>409</v>
      </c>
      <c r="C103" s="48" t="s">
        <v>410</v>
      </c>
      <c r="D103" s="51" t="s">
        <v>73</v>
      </c>
      <c r="E103" s="51" t="s">
        <v>406</v>
      </c>
      <c r="F103" s="54" t="s">
        <v>411</v>
      </c>
      <c r="G103" s="50">
        <v>3</v>
      </c>
      <c r="H103" s="51" t="s">
        <v>412</v>
      </c>
      <c r="I103" s="53">
        <v>234000</v>
      </c>
      <c r="J103" s="53">
        <v>0</v>
      </c>
      <c r="K103" s="53">
        <v>22000</v>
      </c>
      <c r="L103" s="53">
        <v>0</v>
      </c>
      <c r="M103" s="53">
        <v>0</v>
      </c>
      <c r="N103" s="53">
        <v>0</v>
      </c>
      <c r="O103" s="53">
        <v>0</v>
      </c>
      <c r="P103" s="53">
        <v>0</v>
      </c>
      <c r="Q103" s="53">
        <v>0</v>
      </c>
      <c r="R103" s="53">
        <v>0</v>
      </c>
      <c r="S103" s="53">
        <v>0</v>
      </c>
      <c r="T103" s="53">
        <v>0</v>
      </c>
      <c r="U103" s="53">
        <v>1100</v>
      </c>
      <c r="V103" s="53">
        <v>0</v>
      </c>
      <c r="W103" s="53">
        <v>0</v>
      </c>
      <c r="X103" s="53">
        <v>0</v>
      </c>
      <c r="Y103" s="53">
        <v>0</v>
      </c>
      <c r="Z103" s="53">
        <v>0</v>
      </c>
      <c r="AA103" s="53">
        <v>0</v>
      </c>
      <c r="AB103" s="53">
        <v>0</v>
      </c>
      <c r="AC103" s="53">
        <v>0</v>
      </c>
      <c r="AD103" s="53">
        <v>0</v>
      </c>
      <c r="AE103" s="53">
        <v>0</v>
      </c>
      <c r="AF103" s="53">
        <v>0</v>
      </c>
      <c r="AG103" s="53">
        <v>0</v>
      </c>
      <c r="AH103" s="53">
        <v>0</v>
      </c>
      <c r="AI103" s="53">
        <v>0</v>
      </c>
      <c r="AJ103" s="53">
        <v>0</v>
      </c>
      <c r="AK103" s="53">
        <v>0</v>
      </c>
      <c r="AL103" s="53">
        <v>0</v>
      </c>
      <c r="AM103" s="53" t="str">
        <f>I103-J103-K103-L103-M103-N103-O103-P103-Q103-R103-S103-T103-U103-V103-W103-X103-Y103-Z103-AA103-AB103-AC103-AD103-AE103-AF103-AG103+AH103-AI103+AJ103+AK103-AL103</f>
        <v>0</v>
      </c>
      <c r="AN103" s="53"/>
      <c r="AO103" s="27"/>
    </row>
    <row r="104" spans="1:41">
      <c r="A104" s="44">
        <v>76</v>
      </c>
      <c r="B104" s="46" t="s">
        <v>413</v>
      </c>
      <c r="C104" s="48" t="s">
        <v>414</v>
      </c>
      <c r="D104" s="51" t="s">
        <v>62</v>
      </c>
      <c r="E104" s="51" t="s">
        <v>406</v>
      </c>
      <c r="F104" s="54" t="s">
        <v>415</v>
      </c>
      <c r="G104" s="50">
        <v>5</v>
      </c>
      <c r="H104" s="51" t="s">
        <v>416</v>
      </c>
      <c r="I104" s="53">
        <v>0</v>
      </c>
      <c r="J104" s="53">
        <v>0</v>
      </c>
      <c r="K104" s="53">
        <v>27000</v>
      </c>
      <c r="L104" s="53">
        <v>0</v>
      </c>
      <c r="M104" s="53">
        <v>0</v>
      </c>
      <c r="N104" s="53">
        <v>0</v>
      </c>
      <c r="O104" s="53">
        <v>0</v>
      </c>
      <c r="P104" s="53">
        <v>0</v>
      </c>
      <c r="Q104" s="53">
        <v>0</v>
      </c>
      <c r="R104" s="53">
        <v>0</v>
      </c>
      <c r="S104" s="53">
        <v>0</v>
      </c>
      <c r="T104" s="53">
        <v>0</v>
      </c>
      <c r="U104" s="53">
        <v>1350</v>
      </c>
      <c r="V104" s="53">
        <v>0</v>
      </c>
      <c r="W104" s="53">
        <v>0</v>
      </c>
      <c r="X104" s="53">
        <v>0</v>
      </c>
      <c r="Y104" s="53">
        <v>14175</v>
      </c>
      <c r="Z104" s="53">
        <v>0</v>
      </c>
      <c r="AA104" s="53">
        <v>0</v>
      </c>
      <c r="AB104" s="53">
        <v>0</v>
      </c>
      <c r="AC104" s="53">
        <v>0</v>
      </c>
      <c r="AD104" s="53">
        <v>0</v>
      </c>
      <c r="AE104" s="53">
        <v>0</v>
      </c>
      <c r="AF104" s="53">
        <v>0</v>
      </c>
      <c r="AG104" s="53">
        <v>0</v>
      </c>
      <c r="AH104" s="53">
        <v>0</v>
      </c>
      <c r="AI104" s="53">
        <v>0</v>
      </c>
      <c r="AJ104" s="53">
        <v>0</v>
      </c>
      <c r="AK104" s="53">
        <v>0</v>
      </c>
      <c r="AL104" s="53">
        <v>0</v>
      </c>
      <c r="AM104" s="53" t="str">
        <f>I104-J104-K104-L104-M104-N104-O104-P104-Q104-R104-S104-T104-U104-V104-W104-X104-Y104-Z104-AA104-AB104-AC104-AD104-AE104-AF104-AG104+AH104-AI104+AJ104+AK104-AL104</f>
        <v>0</v>
      </c>
      <c r="AN104" s="53"/>
      <c r="AO104" s="27"/>
    </row>
    <row r="105" spans="1:41">
      <c r="A105" s="44">
        <v>77</v>
      </c>
      <c r="B105" s="46" t="s">
        <v>417</v>
      </c>
      <c r="C105" s="48" t="s">
        <v>418</v>
      </c>
      <c r="D105" s="51" t="s">
        <v>62</v>
      </c>
      <c r="E105" s="51" t="s">
        <v>406</v>
      </c>
      <c r="F105" s="54" t="s">
        <v>419</v>
      </c>
      <c r="G105" s="50">
        <v>4</v>
      </c>
      <c r="H105" s="51" t="s">
        <v>420</v>
      </c>
      <c r="I105" s="53">
        <v>0</v>
      </c>
      <c r="J105" s="53">
        <v>0</v>
      </c>
      <c r="K105" s="53">
        <v>25000</v>
      </c>
      <c r="L105" s="53">
        <v>0</v>
      </c>
      <c r="M105" s="53">
        <v>0</v>
      </c>
      <c r="N105" s="53">
        <v>0</v>
      </c>
      <c r="O105" s="53">
        <v>0</v>
      </c>
      <c r="P105" s="53">
        <v>0</v>
      </c>
      <c r="Q105" s="53">
        <v>0</v>
      </c>
      <c r="R105" s="53">
        <v>0</v>
      </c>
      <c r="S105" s="53">
        <v>0</v>
      </c>
      <c r="T105" s="53">
        <v>0</v>
      </c>
      <c r="U105" s="53">
        <v>1250</v>
      </c>
      <c r="V105" s="53">
        <v>0</v>
      </c>
      <c r="W105" s="53">
        <v>0</v>
      </c>
      <c r="X105" s="53">
        <v>0</v>
      </c>
      <c r="Y105" s="53">
        <v>13125</v>
      </c>
      <c r="Z105" s="53">
        <v>0</v>
      </c>
      <c r="AA105" s="53">
        <v>0</v>
      </c>
      <c r="AB105" s="53">
        <v>0</v>
      </c>
      <c r="AC105" s="53">
        <v>0</v>
      </c>
      <c r="AD105" s="53">
        <v>0</v>
      </c>
      <c r="AE105" s="53">
        <v>0</v>
      </c>
      <c r="AF105" s="53">
        <v>0</v>
      </c>
      <c r="AG105" s="53">
        <v>0</v>
      </c>
      <c r="AH105" s="53">
        <v>0</v>
      </c>
      <c r="AI105" s="53">
        <v>0</v>
      </c>
      <c r="AJ105" s="53">
        <v>0</v>
      </c>
      <c r="AK105" s="53">
        <v>0</v>
      </c>
      <c r="AL105" s="53">
        <v>0</v>
      </c>
      <c r="AM105" s="53" t="str">
        <f>I105-J105-K105-L105-M105-N105-O105-P105-Q105-R105-S105-T105-U105-V105-W105-X105-Y105-Z105-AA105-AB105-AC105-AD105-AE105-AF105-AG105+AH105-AI105+AJ105+AK105-AL105</f>
        <v>0</v>
      </c>
      <c r="AN105" s="53"/>
      <c r="AO105" s="27"/>
    </row>
    <row r="106" spans="1:41">
      <c r="A106" s="44">
        <v>78</v>
      </c>
      <c r="B106" s="46" t="s">
        <v>421</v>
      </c>
      <c r="C106" s="48" t="s">
        <v>422</v>
      </c>
      <c r="D106" s="51" t="s">
        <v>73</v>
      </c>
      <c r="E106" s="51" t="s">
        <v>406</v>
      </c>
      <c r="F106" s="54" t="s">
        <v>423</v>
      </c>
      <c r="G106" s="50">
        <v>3</v>
      </c>
      <c r="H106" s="51" t="s">
        <v>424</v>
      </c>
      <c r="I106" s="53">
        <v>269100</v>
      </c>
      <c r="J106" s="53">
        <v>0</v>
      </c>
      <c r="K106" s="53">
        <v>23000</v>
      </c>
      <c r="L106" s="53">
        <v>0</v>
      </c>
      <c r="M106" s="53">
        <v>0</v>
      </c>
      <c r="N106" s="53">
        <v>0</v>
      </c>
      <c r="O106" s="53">
        <v>0</v>
      </c>
      <c r="P106" s="53">
        <v>0</v>
      </c>
      <c r="Q106" s="53">
        <v>0</v>
      </c>
      <c r="R106" s="53">
        <v>0</v>
      </c>
      <c r="S106" s="53">
        <v>0</v>
      </c>
      <c r="T106" s="53">
        <v>0</v>
      </c>
      <c r="U106" s="53">
        <v>1150</v>
      </c>
      <c r="V106" s="53">
        <v>0</v>
      </c>
      <c r="W106" s="53">
        <v>0</v>
      </c>
      <c r="X106" s="53">
        <v>0</v>
      </c>
      <c r="Y106" s="53">
        <v>0</v>
      </c>
      <c r="Z106" s="53">
        <v>0</v>
      </c>
      <c r="AA106" s="53">
        <v>0</v>
      </c>
      <c r="AB106" s="53">
        <v>0</v>
      </c>
      <c r="AC106" s="53">
        <v>0</v>
      </c>
      <c r="AD106" s="53">
        <v>0</v>
      </c>
      <c r="AE106" s="53">
        <v>0</v>
      </c>
      <c r="AF106" s="53">
        <v>0</v>
      </c>
      <c r="AG106" s="53">
        <v>0</v>
      </c>
      <c r="AH106" s="53">
        <v>0</v>
      </c>
      <c r="AI106" s="53">
        <v>0</v>
      </c>
      <c r="AJ106" s="53">
        <v>0</v>
      </c>
      <c r="AK106" s="53">
        <v>0</v>
      </c>
      <c r="AL106" s="53">
        <v>0</v>
      </c>
      <c r="AM106" s="53" t="str">
        <f>I106-J106-K106-L106-M106-N106-O106-P106-Q106-R106-S106-T106-U106-V106-W106-X106-Y106-Z106-AA106-AB106-AC106-AD106-AE106-AF106-AG106+AH106-AI106+AJ106+AK106-AL106</f>
        <v>0</v>
      </c>
      <c r="AN106" s="53"/>
      <c r="AO106" s="27"/>
    </row>
    <row r="107" spans="1:41">
      <c r="A107" s="44">
        <v>79</v>
      </c>
      <c r="B107" s="46" t="s">
        <v>425</v>
      </c>
      <c r="C107" s="48" t="s">
        <v>426</v>
      </c>
      <c r="D107" s="51" t="s">
        <v>62</v>
      </c>
      <c r="E107" s="51" t="s">
        <v>406</v>
      </c>
      <c r="F107" s="54" t="s">
        <v>427</v>
      </c>
      <c r="G107" s="50">
        <v>2</v>
      </c>
      <c r="H107" s="51" t="s">
        <v>428</v>
      </c>
      <c r="I107" s="53">
        <v>0</v>
      </c>
      <c r="J107" s="53">
        <v>0</v>
      </c>
      <c r="K107" s="53">
        <v>22000</v>
      </c>
      <c r="L107" s="53">
        <v>0</v>
      </c>
      <c r="M107" s="53">
        <v>0</v>
      </c>
      <c r="N107" s="53">
        <v>0</v>
      </c>
      <c r="O107" s="53">
        <v>0</v>
      </c>
      <c r="P107" s="53">
        <v>0</v>
      </c>
      <c r="Q107" s="53">
        <v>0</v>
      </c>
      <c r="R107" s="53">
        <v>0</v>
      </c>
      <c r="S107" s="53">
        <v>0</v>
      </c>
      <c r="T107" s="53">
        <v>0</v>
      </c>
      <c r="U107" s="53">
        <v>1100</v>
      </c>
      <c r="V107" s="53">
        <v>0</v>
      </c>
      <c r="W107" s="53">
        <v>0</v>
      </c>
      <c r="X107" s="53">
        <v>0</v>
      </c>
      <c r="Y107" s="53">
        <v>11550</v>
      </c>
      <c r="Z107" s="53">
        <v>0</v>
      </c>
      <c r="AA107" s="53">
        <v>0</v>
      </c>
      <c r="AB107" s="53">
        <v>0</v>
      </c>
      <c r="AC107" s="53">
        <v>0</v>
      </c>
      <c r="AD107" s="53">
        <v>0</v>
      </c>
      <c r="AE107" s="53">
        <v>0</v>
      </c>
      <c r="AF107" s="53">
        <v>0</v>
      </c>
      <c r="AG107" s="53">
        <v>0</v>
      </c>
      <c r="AH107" s="53">
        <v>0</v>
      </c>
      <c r="AI107" s="53">
        <v>0</v>
      </c>
      <c r="AJ107" s="53">
        <v>0</v>
      </c>
      <c r="AK107" s="53">
        <v>0</v>
      </c>
      <c r="AL107" s="53">
        <v>0</v>
      </c>
      <c r="AM107" s="53" t="str">
        <f>I107-J107-K107-L107-M107-N107-O107-P107-Q107-R107-S107-T107-U107-V107-W107-X107-Y107-Z107-AA107-AB107-AC107-AD107-AE107-AF107-AG107+AH107-AI107+AJ107+AK107-AL107</f>
        <v>0</v>
      </c>
      <c r="AN107" s="53"/>
      <c r="AO107" s="27"/>
    </row>
    <row r="108" spans="1:41">
      <c r="A108" s="44">
        <v>80</v>
      </c>
      <c r="B108" s="46" t="s">
        <v>429</v>
      </c>
      <c r="C108" s="48" t="s">
        <v>430</v>
      </c>
      <c r="D108" s="51" t="s">
        <v>73</v>
      </c>
      <c r="E108" s="51" t="s">
        <v>406</v>
      </c>
      <c r="F108" s="54" t="s">
        <v>431</v>
      </c>
      <c r="G108" s="50">
        <v>3</v>
      </c>
      <c r="H108" s="51" t="s">
        <v>432</v>
      </c>
      <c r="I108" s="53">
        <v>297000</v>
      </c>
      <c r="J108" s="53">
        <v>0</v>
      </c>
      <c r="K108" s="53">
        <v>22000</v>
      </c>
      <c r="L108" s="53">
        <v>0</v>
      </c>
      <c r="M108" s="53">
        <v>0</v>
      </c>
      <c r="N108" s="53">
        <v>0</v>
      </c>
      <c r="O108" s="53">
        <v>0</v>
      </c>
      <c r="P108" s="53">
        <v>0</v>
      </c>
      <c r="Q108" s="53">
        <v>0</v>
      </c>
      <c r="R108" s="53">
        <v>0</v>
      </c>
      <c r="S108" s="53">
        <v>0</v>
      </c>
      <c r="T108" s="53">
        <v>0</v>
      </c>
      <c r="U108" s="53">
        <v>1100</v>
      </c>
      <c r="V108" s="53">
        <v>0</v>
      </c>
      <c r="W108" s="53">
        <v>0</v>
      </c>
      <c r="X108" s="53">
        <v>0</v>
      </c>
      <c r="Y108" s="53">
        <v>0</v>
      </c>
      <c r="Z108" s="53">
        <v>0</v>
      </c>
      <c r="AA108" s="53">
        <v>0</v>
      </c>
      <c r="AB108" s="53">
        <v>0</v>
      </c>
      <c r="AC108" s="53">
        <v>0</v>
      </c>
      <c r="AD108" s="53">
        <v>0</v>
      </c>
      <c r="AE108" s="53">
        <v>0</v>
      </c>
      <c r="AF108" s="53">
        <v>0</v>
      </c>
      <c r="AG108" s="53">
        <v>0</v>
      </c>
      <c r="AH108" s="53">
        <v>0</v>
      </c>
      <c r="AI108" s="53">
        <v>0</v>
      </c>
      <c r="AJ108" s="53">
        <v>0</v>
      </c>
      <c r="AK108" s="53">
        <v>0</v>
      </c>
      <c r="AL108" s="53">
        <v>0</v>
      </c>
      <c r="AM108" s="53" t="str">
        <f>I108-J108-K108-L108-M108-N108-O108-P108-Q108-R108-S108-T108-U108-V108-W108-X108-Y108-Z108-AA108-AB108-AC108-AD108-AE108-AF108-AG108+AH108-AI108+AJ108+AK108-AL108</f>
        <v>0</v>
      </c>
      <c r="AN108" s="53"/>
      <c r="AO108" s="27"/>
    </row>
    <row r="109" spans="1:41">
      <c r="A109" s="44">
        <v>81</v>
      </c>
      <c r="B109" s="46" t="s">
        <v>433</v>
      </c>
      <c r="C109" s="48" t="s">
        <v>434</v>
      </c>
      <c r="D109" s="51" t="s">
        <v>73</v>
      </c>
      <c r="E109" s="51" t="s">
        <v>406</v>
      </c>
      <c r="F109" s="54" t="s">
        <v>435</v>
      </c>
      <c r="G109" s="50">
        <v>3</v>
      </c>
      <c r="H109" s="51" t="s">
        <v>436</v>
      </c>
      <c r="I109" s="53">
        <v>799000</v>
      </c>
      <c r="J109" s="53">
        <v>0</v>
      </c>
      <c r="K109" s="53">
        <v>22000</v>
      </c>
      <c r="L109" s="53">
        <v>0</v>
      </c>
      <c r="M109" s="53">
        <v>0</v>
      </c>
      <c r="N109" s="53">
        <v>0</v>
      </c>
      <c r="O109" s="53">
        <v>0</v>
      </c>
      <c r="P109" s="53">
        <v>0</v>
      </c>
      <c r="Q109" s="53">
        <v>0</v>
      </c>
      <c r="R109" s="53">
        <v>0</v>
      </c>
      <c r="S109" s="53">
        <v>0</v>
      </c>
      <c r="T109" s="53">
        <v>0</v>
      </c>
      <c r="U109" s="53">
        <v>1100</v>
      </c>
      <c r="V109" s="53">
        <v>0</v>
      </c>
      <c r="W109" s="53">
        <v>0</v>
      </c>
      <c r="X109" s="53">
        <v>0</v>
      </c>
      <c r="Y109" s="53">
        <v>0</v>
      </c>
      <c r="Z109" s="53">
        <v>0</v>
      </c>
      <c r="AA109" s="53">
        <v>0</v>
      </c>
      <c r="AB109" s="53">
        <v>0</v>
      </c>
      <c r="AC109" s="53">
        <v>0</v>
      </c>
      <c r="AD109" s="53">
        <v>0</v>
      </c>
      <c r="AE109" s="53">
        <v>0</v>
      </c>
      <c r="AF109" s="53">
        <v>0</v>
      </c>
      <c r="AG109" s="53">
        <v>0</v>
      </c>
      <c r="AH109" s="53">
        <v>0</v>
      </c>
      <c r="AI109" s="53">
        <v>0</v>
      </c>
      <c r="AJ109" s="53">
        <v>0</v>
      </c>
      <c r="AK109" s="53">
        <v>0</v>
      </c>
      <c r="AL109" s="53">
        <v>0</v>
      </c>
      <c r="AM109" s="53" t="str">
        <f>I109-J109-K109-L109-M109-N109-O109-P109-Q109-R109-S109-T109-U109-V109-W109-X109-Y109-Z109-AA109-AB109-AC109-AD109-AE109-AF109-AG109+AH109-AI109+AJ109+AK109-AL109</f>
        <v>0</v>
      </c>
      <c r="AN109" s="53"/>
      <c r="AO109" s="27"/>
    </row>
    <row r="110" spans="1:41">
      <c r="A110" s="44">
        <v>82</v>
      </c>
      <c r="B110" s="46" t="s">
        <v>437</v>
      </c>
      <c r="C110" s="48" t="s">
        <v>438</v>
      </c>
      <c r="D110" s="51" t="s">
        <v>73</v>
      </c>
      <c r="E110" s="51" t="s">
        <v>406</v>
      </c>
      <c r="F110" s="54" t="s">
        <v>439</v>
      </c>
      <c r="G110" s="50">
        <v>3</v>
      </c>
      <c r="H110" s="51" t="s">
        <v>440</v>
      </c>
      <c r="I110" s="53">
        <v>476100</v>
      </c>
      <c r="J110" s="53">
        <v>0</v>
      </c>
      <c r="K110" s="53">
        <v>22000</v>
      </c>
      <c r="L110" s="53">
        <v>0</v>
      </c>
      <c r="M110" s="53">
        <v>0</v>
      </c>
      <c r="N110" s="53">
        <v>0</v>
      </c>
      <c r="O110" s="53">
        <v>0</v>
      </c>
      <c r="P110" s="53">
        <v>0</v>
      </c>
      <c r="Q110" s="53">
        <v>0</v>
      </c>
      <c r="R110" s="53">
        <v>0</v>
      </c>
      <c r="S110" s="53">
        <v>0</v>
      </c>
      <c r="T110" s="53">
        <v>0</v>
      </c>
      <c r="U110" s="53">
        <v>1100</v>
      </c>
      <c r="V110" s="53">
        <v>0</v>
      </c>
      <c r="W110" s="53">
        <v>0</v>
      </c>
      <c r="X110" s="53">
        <v>0</v>
      </c>
      <c r="Y110" s="53">
        <v>0</v>
      </c>
      <c r="Z110" s="53">
        <v>0</v>
      </c>
      <c r="AA110" s="53">
        <v>0</v>
      </c>
      <c r="AB110" s="53">
        <v>0</v>
      </c>
      <c r="AC110" s="53">
        <v>0</v>
      </c>
      <c r="AD110" s="53">
        <v>0</v>
      </c>
      <c r="AE110" s="53">
        <v>0</v>
      </c>
      <c r="AF110" s="53">
        <v>0</v>
      </c>
      <c r="AG110" s="53">
        <v>0</v>
      </c>
      <c r="AH110" s="53">
        <v>0</v>
      </c>
      <c r="AI110" s="53">
        <v>0</v>
      </c>
      <c r="AJ110" s="53">
        <v>0</v>
      </c>
      <c r="AK110" s="53">
        <v>0</v>
      </c>
      <c r="AL110" s="53">
        <v>0</v>
      </c>
      <c r="AM110" s="53" t="str">
        <f>I110-J110-K110-L110-M110-N110-O110-P110-Q110-R110-S110-T110-U110-V110-W110-X110-Y110-Z110-AA110-AB110-AC110-AD110-AE110-AF110-AG110+AH110-AI110+AJ110+AK110-AL110</f>
        <v>0</v>
      </c>
      <c r="AN110" s="53"/>
      <c r="AO110" s="27"/>
    </row>
    <row r="111" spans="1:41">
      <c r="A111" s="44">
        <v>83</v>
      </c>
      <c r="B111" s="46" t="s">
        <v>441</v>
      </c>
      <c r="C111" s="48" t="s">
        <v>442</v>
      </c>
      <c r="D111" s="51" t="s">
        <v>62</v>
      </c>
      <c r="E111" s="51" t="s">
        <v>443</v>
      </c>
      <c r="F111" s="54" t="s">
        <v>444</v>
      </c>
      <c r="G111" s="50">
        <v>3</v>
      </c>
      <c r="H111" s="51" t="s">
        <v>445</v>
      </c>
      <c r="I111" s="53">
        <v>0</v>
      </c>
      <c r="J111" s="53">
        <v>0</v>
      </c>
      <c r="K111" s="53">
        <v>23000</v>
      </c>
      <c r="L111" s="53">
        <v>0</v>
      </c>
      <c r="M111" s="53">
        <v>0</v>
      </c>
      <c r="N111" s="53">
        <v>0</v>
      </c>
      <c r="O111" s="53">
        <v>0</v>
      </c>
      <c r="P111" s="53">
        <v>0</v>
      </c>
      <c r="Q111" s="53">
        <v>0</v>
      </c>
      <c r="R111" s="53">
        <v>0</v>
      </c>
      <c r="S111" s="53">
        <v>0</v>
      </c>
      <c r="T111" s="53">
        <v>0</v>
      </c>
      <c r="U111" s="53">
        <v>1150</v>
      </c>
      <c r="V111" s="53">
        <v>0</v>
      </c>
      <c r="W111" s="53">
        <v>0</v>
      </c>
      <c r="X111" s="53">
        <v>0</v>
      </c>
      <c r="Y111" s="53">
        <v>5250</v>
      </c>
      <c r="Z111" s="53">
        <v>0</v>
      </c>
      <c r="AA111" s="53">
        <v>0</v>
      </c>
      <c r="AB111" s="53">
        <v>0</v>
      </c>
      <c r="AC111" s="53">
        <v>0</v>
      </c>
      <c r="AD111" s="53">
        <v>0</v>
      </c>
      <c r="AE111" s="53">
        <v>0</v>
      </c>
      <c r="AF111" s="53">
        <v>0</v>
      </c>
      <c r="AG111" s="53">
        <v>0</v>
      </c>
      <c r="AH111" s="53">
        <v>0</v>
      </c>
      <c r="AI111" s="53">
        <v>0</v>
      </c>
      <c r="AJ111" s="53">
        <v>0</v>
      </c>
      <c r="AK111" s="53">
        <v>0</v>
      </c>
      <c r="AL111" s="53">
        <v>0</v>
      </c>
      <c r="AM111" s="53" t="str">
        <f>I111-J111-K111-L111-M111-N111-O111-P111-Q111-R111-S111-T111-U111-V111-W111-X111-Y111-Z111-AA111-AB111-AC111-AD111-AE111-AF111-AG111+AH111-AI111+AJ111+AK111-AL111</f>
        <v>0</v>
      </c>
      <c r="AN111" s="53"/>
      <c r="AO111" s="27"/>
    </row>
    <row r="112" spans="1:41">
      <c r="A112" s="44">
        <v>84</v>
      </c>
      <c r="B112" s="46" t="s">
        <v>446</v>
      </c>
      <c r="C112" s="48" t="s">
        <v>447</v>
      </c>
      <c r="D112" s="51" t="s">
        <v>73</v>
      </c>
      <c r="E112" s="51" t="s">
        <v>443</v>
      </c>
      <c r="F112" s="54" t="s">
        <v>448</v>
      </c>
      <c r="G112" s="50">
        <v>5</v>
      </c>
      <c r="H112" s="51" t="s">
        <v>449</v>
      </c>
      <c r="I112" s="53">
        <v>891000</v>
      </c>
      <c r="J112" s="53">
        <v>0</v>
      </c>
      <c r="K112" s="53">
        <v>27000</v>
      </c>
      <c r="L112" s="53">
        <v>0</v>
      </c>
      <c r="M112" s="53">
        <v>0</v>
      </c>
      <c r="N112" s="53">
        <v>0</v>
      </c>
      <c r="O112" s="53">
        <v>0</v>
      </c>
      <c r="P112" s="53">
        <v>0</v>
      </c>
      <c r="Q112" s="53">
        <v>0</v>
      </c>
      <c r="R112" s="53">
        <v>0</v>
      </c>
      <c r="S112" s="53">
        <v>0</v>
      </c>
      <c r="T112" s="53">
        <v>0</v>
      </c>
      <c r="U112" s="53">
        <v>1350</v>
      </c>
      <c r="V112" s="53">
        <v>0</v>
      </c>
      <c r="W112" s="53">
        <v>0</v>
      </c>
      <c r="X112" s="53">
        <v>0</v>
      </c>
      <c r="Y112" s="53">
        <v>0</v>
      </c>
      <c r="Z112" s="53">
        <v>0</v>
      </c>
      <c r="AA112" s="53">
        <v>0</v>
      </c>
      <c r="AB112" s="53">
        <v>0</v>
      </c>
      <c r="AC112" s="53">
        <v>0</v>
      </c>
      <c r="AD112" s="53">
        <v>0</v>
      </c>
      <c r="AE112" s="53">
        <v>0</v>
      </c>
      <c r="AF112" s="53">
        <v>0</v>
      </c>
      <c r="AG112" s="53">
        <v>0</v>
      </c>
      <c r="AH112" s="53">
        <v>0</v>
      </c>
      <c r="AI112" s="53">
        <v>0</v>
      </c>
      <c r="AJ112" s="53">
        <v>0</v>
      </c>
      <c r="AK112" s="53">
        <v>0</v>
      </c>
      <c r="AL112" s="53">
        <v>0</v>
      </c>
      <c r="AM112" s="53" t="str">
        <f>I112-J112-K112-L112-M112-N112-O112-P112-Q112-R112-S112-T112-U112-V112-W112-X112-Y112-Z112-AA112-AB112-AC112-AD112-AE112-AF112-AG112+AH112-AI112+AJ112+AK112-AL112</f>
        <v>0</v>
      </c>
      <c r="AN112" s="53"/>
      <c r="AO112" s="27"/>
    </row>
    <row r="113" spans="1:41">
      <c r="A113" s="44">
        <v>85</v>
      </c>
      <c r="B113" s="46" t="s">
        <v>450</v>
      </c>
      <c r="C113" s="48" t="s">
        <v>451</v>
      </c>
      <c r="D113" s="51" t="s">
        <v>62</v>
      </c>
      <c r="E113" s="51" t="s">
        <v>452</v>
      </c>
      <c r="F113" s="54" t="s">
        <v>453</v>
      </c>
      <c r="G113" s="50">
        <v>5</v>
      </c>
      <c r="H113" s="51" t="s">
        <v>454</v>
      </c>
      <c r="I113" s="53">
        <v>0</v>
      </c>
      <c r="J113" s="53">
        <v>0</v>
      </c>
      <c r="K113" s="53">
        <v>27000</v>
      </c>
      <c r="L113" s="53">
        <v>0</v>
      </c>
      <c r="M113" s="53">
        <v>0</v>
      </c>
      <c r="N113" s="53">
        <v>0</v>
      </c>
      <c r="O113" s="53">
        <v>0</v>
      </c>
      <c r="P113" s="53">
        <v>0</v>
      </c>
      <c r="Q113" s="53">
        <v>0</v>
      </c>
      <c r="R113" s="53">
        <v>0</v>
      </c>
      <c r="S113" s="53">
        <v>0</v>
      </c>
      <c r="T113" s="53">
        <v>0</v>
      </c>
      <c r="U113" s="53">
        <v>1350</v>
      </c>
      <c r="V113" s="53">
        <v>0</v>
      </c>
      <c r="W113" s="53">
        <v>0</v>
      </c>
      <c r="X113" s="53">
        <v>0</v>
      </c>
      <c r="Y113" s="53">
        <v>14175</v>
      </c>
      <c r="Z113" s="53">
        <v>0</v>
      </c>
      <c r="AA113" s="53">
        <v>0</v>
      </c>
      <c r="AB113" s="53">
        <v>0</v>
      </c>
      <c r="AC113" s="53">
        <v>0</v>
      </c>
      <c r="AD113" s="53">
        <v>0</v>
      </c>
      <c r="AE113" s="53">
        <v>0</v>
      </c>
      <c r="AF113" s="53">
        <v>0</v>
      </c>
      <c r="AG113" s="53">
        <v>0</v>
      </c>
      <c r="AH113" s="53">
        <v>0</v>
      </c>
      <c r="AI113" s="53">
        <v>0</v>
      </c>
      <c r="AJ113" s="53">
        <v>0</v>
      </c>
      <c r="AK113" s="53">
        <v>0</v>
      </c>
      <c r="AL113" s="53">
        <v>0</v>
      </c>
      <c r="AM113" s="53" t="str">
        <f>I113-J113-K113-L113-M113-N113-O113-P113-Q113-R113-S113-T113-U113-V113-W113-X113-Y113-Z113-AA113-AB113-AC113-AD113-AE113-AF113-AG113+AH113-AI113+AJ113+AK113-AL113</f>
        <v>0</v>
      </c>
      <c r="AN113" s="53"/>
      <c r="AO113" s="27"/>
    </row>
    <row r="114" spans="1:41">
      <c r="A114" s="44">
        <v>86</v>
      </c>
      <c r="B114" s="46" t="s">
        <v>455</v>
      </c>
      <c r="C114" s="48" t="s">
        <v>456</v>
      </c>
      <c r="D114" s="51" t="s">
        <v>62</v>
      </c>
      <c r="E114" s="51" t="s">
        <v>452</v>
      </c>
      <c r="F114" s="54" t="s">
        <v>457</v>
      </c>
      <c r="G114" s="50">
        <v>3</v>
      </c>
      <c r="H114" s="51" t="s">
        <v>458</v>
      </c>
      <c r="I114" s="53">
        <v>0</v>
      </c>
      <c r="J114" s="53">
        <v>0</v>
      </c>
      <c r="K114" s="53">
        <v>23000</v>
      </c>
      <c r="L114" s="53">
        <v>0</v>
      </c>
      <c r="M114" s="53">
        <v>0</v>
      </c>
      <c r="N114" s="53">
        <v>0</v>
      </c>
      <c r="O114" s="53">
        <v>0</v>
      </c>
      <c r="P114" s="53">
        <v>0</v>
      </c>
      <c r="Q114" s="53">
        <v>0</v>
      </c>
      <c r="R114" s="53">
        <v>0</v>
      </c>
      <c r="S114" s="53">
        <v>0</v>
      </c>
      <c r="T114" s="53">
        <v>0</v>
      </c>
      <c r="U114" s="53">
        <v>1150</v>
      </c>
      <c r="V114" s="53">
        <v>0</v>
      </c>
      <c r="W114" s="53">
        <v>0</v>
      </c>
      <c r="X114" s="53">
        <v>0</v>
      </c>
      <c r="Y114" s="53">
        <v>5250</v>
      </c>
      <c r="Z114" s="53">
        <v>0</v>
      </c>
      <c r="AA114" s="53">
        <v>0</v>
      </c>
      <c r="AB114" s="53">
        <v>0</v>
      </c>
      <c r="AC114" s="53">
        <v>0</v>
      </c>
      <c r="AD114" s="53">
        <v>0</v>
      </c>
      <c r="AE114" s="53">
        <v>0</v>
      </c>
      <c r="AF114" s="53">
        <v>0</v>
      </c>
      <c r="AG114" s="53">
        <v>0</v>
      </c>
      <c r="AH114" s="53">
        <v>0</v>
      </c>
      <c r="AI114" s="53">
        <v>0</v>
      </c>
      <c r="AJ114" s="53">
        <v>0</v>
      </c>
      <c r="AK114" s="53">
        <v>0</v>
      </c>
      <c r="AL114" s="53">
        <v>0</v>
      </c>
      <c r="AM114" s="53" t="str">
        <f>I114-J114-K114-L114-M114-N114-O114-P114-Q114-R114-S114-T114-U114-V114-W114-X114-Y114-Z114-AA114-AB114-AC114-AD114-AE114-AF114-AG114+AH114-AI114+AJ114+AK114-AL114</f>
        <v>0</v>
      </c>
      <c r="AN114" s="53"/>
      <c r="AO114" s="27"/>
    </row>
    <row r="115" spans="1:41">
      <c r="A115" s="44">
        <v>87</v>
      </c>
      <c r="B115" s="46" t="s">
        <v>459</v>
      </c>
      <c r="C115" s="48" t="s">
        <v>460</v>
      </c>
      <c r="D115" s="51" t="s">
        <v>62</v>
      </c>
      <c r="E115" s="51" t="s">
        <v>461</v>
      </c>
      <c r="F115" s="54" t="s">
        <v>462</v>
      </c>
      <c r="G115" s="50">
        <v>7</v>
      </c>
      <c r="H115" s="51" t="s">
        <v>463</v>
      </c>
      <c r="I115" s="53">
        <v>0</v>
      </c>
      <c r="J115" s="53">
        <v>0</v>
      </c>
      <c r="K115" s="53">
        <v>35000</v>
      </c>
      <c r="L115" s="53">
        <v>0</v>
      </c>
      <c r="M115" s="53">
        <v>0</v>
      </c>
      <c r="N115" s="53">
        <v>0</v>
      </c>
      <c r="O115" s="53">
        <v>0</v>
      </c>
      <c r="P115" s="53">
        <v>0</v>
      </c>
      <c r="Q115" s="53">
        <v>0</v>
      </c>
      <c r="R115" s="53">
        <v>0</v>
      </c>
      <c r="S115" s="53">
        <v>0</v>
      </c>
      <c r="T115" s="53">
        <v>0</v>
      </c>
      <c r="U115" s="53">
        <v>1750</v>
      </c>
      <c r="V115" s="53">
        <v>0</v>
      </c>
      <c r="W115" s="53">
        <v>0</v>
      </c>
      <c r="X115" s="53">
        <v>0</v>
      </c>
      <c r="Y115" s="53">
        <v>18375</v>
      </c>
      <c r="Z115" s="53">
        <v>0</v>
      </c>
      <c r="AA115" s="53">
        <v>0</v>
      </c>
      <c r="AB115" s="53">
        <v>0</v>
      </c>
      <c r="AC115" s="53">
        <v>0</v>
      </c>
      <c r="AD115" s="53">
        <v>0</v>
      </c>
      <c r="AE115" s="53">
        <v>0</v>
      </c>
      <c r="AF115" s="53">
        <v>0</v>
      </c>
      <c r="AG115" s="53">
        <v>0</v>
      </c>
      <c r="AH115" s="53">
        <v>0</v>
      </c>
      <c r="AI115" s="53">
        <v>0</v>
      </c>
      <c r="AJ115" s="53">
        <v>0</v>
      </c>
      <c r="AK115" s="53">
        <v>0</v>
      </c>
      <c r="AL115" s="53">
        <v>0</v>
      </c>
      <c r="AM115" s="53" t="str">
        <f>I115-J115-K115-L115-M115-N115-O115-P115-Q115-R115-S115-T115-U115-V115-W115-X115-Y115-Z115-AA115-AB115-AC115-AD115-AE115-AF115-AG115+AH115-AI115+AJ115+AK115-AL115</f>
        <v>0</v>
      </c>
      <c r="AN115" s="53"/>
      <c r="AO115" s="27"/>
    </row>
    <row r="116" spans="1:41">
      <c r="A116" s="44">
        <v>88</v>
      </c>
      <c r="B116" s="46" t="s">
        <v>464</v>
      </c>
      <c r="C116" s="48" t="s">
        <v>465</v>
      </c>
      <c r="D116" s="51" t="s">
        <v>62</v>
      </c>
      <c r="E116" s="51" t="s">
        <v>461</v>
      </c>
      <c r="F116" s="54" t="s">
        <v>466</v>
      </c>
      <c r="G116" s="50">
        <v>6</v>
      </c>
      <c r="H116" s="51" t="s">
        <v>467</v>
      </c>
      <c r="I116" s="53">
        <v>0</v>
      </c>
      <c r="J116" s="53">
        <v>0</v>
      </c>
      <c r="K116" s="53">
        <v>31000</v>
      </c>
      <c r="L116" s="53">
        <v>0</v>
      </c>
      <c r="M116" s="53">
        <v>0</v>
      </c>
      <c r="N116" s="53">
        <v>0</v>
      </c>
      <c r="O116" s="53">
        <v>0</v>
      </c>
      <c r="P116" s="53">
        <v>0</v>
      </c>
      <c r="Q116" s="53">
        <v>0</v>
      </c>
      <c r="R116" s="53">
        <v>0</v>
      </c>
      <c r="S116" s="53">
        <v>0</v>
      </c>
      <c r="T116" s="53">
        <v>0</v>
      </c>
      <c r="U116" s="53">
        <v>1550</v>
      </c>
      <c r="V116" s="53">
        <v>0</v>
      </c>
      <c r="W116" s="53">
        <v>0</v>
      </c>
      <c r="X116" s="53">
        <v>0</v>
      </c>
      <c r="Y116" s="53">
        <v>16275</v>
      </c>
      <c r="Z116" s="53">
        <v>0</v>
      </c>
      <c r="AA116" s="53">
        <v>0</v>
      </c>
      <c r="AB116" s="53">
        <v>0</v>
      </c>
      <c r="AC116" s="53">
        <v>0</v>
      </c>
      <c r="AD116" s="53">
        <v>0</v>
      </c>
      <c r="AE116" s="53">
        <v>0</v>
      </c>
      <c r="AF116" s="53">
        <v>0</v>
      </c>
      <c r="AG116" s="53">
        <v>0</v>
      </c>
      <c r="AH116" s="53">
        <v>0</v>
      </c>
      <c r="AI116" s="53">
        <v>0</v>
      </c>
      <c r="AJ116" s="53">
        <v>0</v>
      </c>
      <c r="AK116" s="53">
        <v>0</v>
      </c>
      <c r="AL116" s="53">
        <v>0</v>
      </c>
      <c r="AM116" s="53" t="str">
        <f>I116-J116-K116-L116-M116-N116-O116-P116-Q116-R116-S116-T116-U116-V116-W116-X116-Y116-Z116-AA116-AB116-AC116-AD116-AE116-AF116-AG116+AH116-AI116+AJ116+AK116-AL116</f>
        <v>0</v>
      </c>
      <c r="AN116" s="53"/>
      <c r="AO116" s="27"/>
    </row>
    <row r="117" spans="1:41">
      <c r="A117" s="44">
        <v>89</v>
      </c>
      <c r="B117" s="46" t="s">
        <v>468</v>
      </c>
      <c r="C117" s="48" t="s">
        <v>469</v>
      </c>
      <c r="D117" s="51" t="s">
        <v>62</v>
      </c>
      <c r="E117" s="51" t="s">
        <v>470</v>
      </c>
      <c r="F117" s="54" t="s">
        <v>471</v>
      </c>
      <c r="G117" s="50">
        <v>3</v>
      </c>
      <c r="H117" s="51" t="s">
        <v>472</v>
      </c>
      <c r="I117" s="53">
        <v>0</v>
      </c>
      <c r="J117" s="53">
        <v>0</v>
      </c>
      <c r="K117" s="53">
        <v>22000</v>
      </c>
      <c r="L117" s="53">
        <v>0</v>
      </c>
      <c r="M117" s="53">
        <v>0</v>
      </c>
      <c r="N117" s="53">
        <v>0</v>
      </c>
      <c r="O117" s="53">
        <v>0</v>
      </c>
      <c r="P117" s="53">
        <v>0</v>
      </c>
      <c r="Q117" s="53">
        <v>0</v>
      </c>
      <c r="R117" s="53">
        <v>0</v>
      </c>
      <c r="S117" s="53">
        <v>0</v>
      </c>
      <c r="T117" s="53">
        <v>0</v>
      </c>
      <c r="U117" s="53">
        <v>1100</v>
      </c>
      <c r="V117" s="53">
        <v>0</v>
      </c>
      <c r="W117" s="53">
        <v>0</v>
      </c>
      <c r="X117" s="53">
        <v>0</v>
      </c>
      <c r="Y117" s="53">
        <v>11550</v>
      </c>
      <c r="Z117" s="53">
        <v>0</v>
      </c>
      <c r="AA117" s="53">
        <v>0</v>
      </c>
      <c r="AB117" s="53">
        <v>0</v>
      </c>
      <c r="AC117" s="53">
        <v>0</v>
      </c>
      <c r="AD117" s="53">
        <v>0</v>
      </c>
      <c r="AE117" s="53">
        <v>0</v>
      </c>
      <c r="AF117" s="53">
        <v>0</v>
      </c>
      <c r="AG117" s="53">
        <v>0</v>
      </c>
      <c r="AH117" s="53">
        <v>0</v>
      </c>
      <c r="AI117" s="53">
        <v>0</v>
      </c>
      <c r="AJ117" s="53">
        <v>0</v>
      </c>
      <c r="AK117" s="53">
        <v>0</v>
      </c>
      <c r="AL117" s="53">
        <v>0</v>
      </c>
      <c r="AM117" s="53" t="str">
        <f>I117-J117-K117-L117-M117-N117-O117-P117-Q117-R117-S117-T117-U117-V117-W117-X117-Y117-Z117-AA117-AB117-AC117-AD117-AE117-AF117-AG117+AH117-AI117+AJ117+AK117-AL117</f>
        <v>0</v>
      </c>
      <c r="AN117" s="53"/>
      <c r="AO117" s="27"/>
    </row>
    <row r="118" spans="1:41">
      <c r="A118" s="44">
        <v>90</v>
      </c>
      <c r="B118" s="46" t="s">
        <v>473</v>
      </c>
      <c r="C118" s="48" t="s">
        <v>474</v>
      </c>
      <c r="D118" s="51" t="s">
        <v>62</v>
      </c>
      <c r="E118" s="51" t="s">
        <v>475</v>
      </c>
      <c r="F118" s="54" t="s">
        <v>476</v>
      </c>
      <c r="G118" s="50">
        <v>5</v>
      </c>
      <c r="H118" s="51" t="s">
        <v>477</v>
      </c>
      <c r="I118" s="53">
        <v>0</v>
      </c>
      <c r="J118" s="53">
        <v>0</v>
      </c>
      <c r="K118" s="53">
        <v>27000</v>
      </c>
      <c r="L118" s="53">
        <v>0</v>
      </c>
      <c r="M118" s="53">
        <v>0</v>
      </c>
      <c r="N118" s="53">
        <v>0</v>
      </c>
      <c r="O118" s="53">
        <v>0</v>
      </c>
      <c r="P118" s="53">
        <v>0</v>
      </c>
      <c r="Q118" s="53">
        <v>0</v>
      </c>
      <c r="R118" s="53">
        <v>0</v>
      </c>
      <c r="S118" s="53">
        <v>0</v>
      </c>
      <c r="T118" s="53">
        <v>0</v>
      </c>
      <c r="U118" s="53">
        <v>1350</v>
      </c>
      <c r="V118" s="53">
        <v>0</v>
      </c>
      <c r="W118" s="53">
        <v>0</v>
      </c>
      <c r="X118" s="53">
        <v>0</v>
      </c>
      <c r="Y118" s="53">
        <v>14175</v>
      </c>
      <c r="Z118" s="53">
        <v>0</v>
      </c>
      <c r="AA118" s="53">
        <v>0</v>
      </c>
      <c r="AB118" s="53">
        <v>0</v>
      </c>
      <c r="AC118" s="53">
        <v>0</v>
      </c>
      <c r="AD118" s="53">
        <v>0</v>
      </c>
      <c r="AE118" s="53">
        <v>0</v>
      </c>
      <c r="AF118" s="53">
        <v>0</v>
      </c>
      <c r="AG118" s="53">
        <v>0</v>
      </c>
      <c r="AH118" s="53">
        <v>0</v>
      </c>
      <c r="AI118" s="53">
        <v>0</v>
      </c>
      <c r="AJ118" s="53">
        <v>0</v>
      </c>
      <c r="AK118" s="53">
        <v>0</v>
      </c>
      <c r="AL118" s="53">
        <v>0</v>
      </c>
      <c r="AM118" s="53" t="str">
        <f>I118-J118-K118-L118-M118-N118-O118-P118-Q118-R118-S118-T118-U118-V118-W118-X118-Y118-Z118-AA118-AB118-AC118-AD118-AE118-AF118-AG118+AH118-AI118+AJ118+AK118-AL118</f>
        <v>0</v>
      </c>
      <c r="AN118" s="53"/>
      <c r="AO118" s="27"/>
    </row>
    <row r="119" spans="1:41">
      <c r="A119" s="44">
        <v>91</v>
      </c>
      <c r="B119" s="46" t="s">
        <v>478</v>
      </c>
      <c r="C119" s="48" t="s">
        <v>479</v>
      </c>
      <c r="D119" s="51" t="s">
        <v>62</v>
      </c>
      <c r="E119" s="51" t="s">
        <v>475</v>
      </c>
      <c r="F119" s="54" t="s">
        <v>480</v>
      </c>
      <c r="G119" s="50">
        <v>5</v>
      </c>
      <c r="H119" s="51" t="s">
        <v>481</v>
      </c>
      <c r="I119" s="53">
        <v>0</v>
      </c>
      <c r="J119" s="53">
        <v>0</v>
      </c>
      <c r="K119" s="53">
        <v>27000</v>
      </c>
      <c r="L119" s="53">
        <v>0</v>
      </c>
      <c r="M119" s="53">
        <v>0</v>
      </c>
      <c r="N119" s="53">
        <v>0</v>
      </c>
      <c r="O119" s="53">
        <v>0</v>
      </c>
      <c r="P119" s="53">
        <v>0</v>
      </c>
      <c r="Q119" s="53">
        <v>0</v>
      </c>
      <c r="R119" s="53">
        <v>0</v>
      </c>
      <c r="S119" s="53">
        <v>0</v>
      </c>
      <c r="T119" s="53">
        <v>0</v>
      </c>
      <c r="U119" s="53">
        <v>1350</v>
      </c>
      <c r="V119" s="53">
        <v>0</v>
      </c>
      <c r="W119" s="53">
        <v>0</v>
      </c>
      <c r="X119" s="53">
        <v>0</v>
      </c>
      <c r="Y119" s="53">
        <v>14175</v>
      </c>
      <c r="Z119" s="53">
        <v>0</v>
      </c>
      <c r="AA119" s="53">
        <v>0</v>
      </c>
      <c r="AB119" s="53">
        <v>0</v>
      </c>
      <c r="AC119" s="53">
        <v>0</v>
      </c>
      <c r="AD119" s="53">
        <v>0</v>
      </c>
      <c r="AE119" s="53">
        <v>0</v>
      </c>
      <c r="AF119" s="53">
        <v>0</v>
      </c>
      <c r="AG119" s="53">
        <v>0</v>
      </c>
      <c r="AH119" s="53">
        <v>0</v>
      </c>
      <c r="AI119" s="53">
        <v>0</v>
      </c>
      <c r="AJ119" s="53">
        <v>0</v>
      </c>
      <c r="AK119" s="53">
        <v>0</v>
      </c>
      <c r="AL119" s="53">
        <v>0</v>
      </c>
      <c r="AM119" s="53" t="str">
        <f>I119-J119-K119-L119-M119-N119-O119-P119-Q119-R119-S119-T119-U119-V119-W119-X119-Y119-Z119-AA119-AB119-AC119-AD119-AE119-AF119-AG119+AH119-AI119+AJ119+AK119-AL119</f>
        <v>0</v>
      </c>
      <c r="AN119" s="53"/>
      <c r="AO119" s="27"/>
    </row>
    <row r="120" spans="1:41">
      <c r="A120" s="44">
        <v>92</v>
      </c>
      <c r="B120" s="46" t="s">
        <v>482</v>
      </c>
      <c r="C120" s="48" t="s">
        <v>483</v>
      </c>
      <c r="D120" s="51" t="s">
        <v>73</v>
      </c>
      <c r="E120" s="51" t="s">
        <v>484</v>
      </c>
      <c r="F120" s="54" t="s">
        <v>485</v>
      </c>
      <c r="G120" s="50">
        <v>5</v>
      </c>
      <c r="H120" s="51" t="s">
        <v>486</v>
      </c>
      <c r="I120" s="53">
        <v>891000</v>
      </c>
      <c r="J120" s="53">
        <v>0</v>
      </c>
      <c r="K120" s="53">
        <v>27000</v>
      </c>
      <c r="L120" s="53">
        <v>0</v>
      </c>
      <c r="M120" s="53">
        <v>0</v>
      </c>
      <c r="N120" s="53">
        <v>0</v>
      </c>
      <c r="O120" s="53">
        <v>0</v>
      </c>
      <c r="P120" s="53">
        <v>0</v>
      </c>
      <c r="Q120" s="53">
        <v>0</v>
      </c>
      <c r="R120" s="53">
        <v>0</v>
      </c>
      <c r="S120" s="53">
        <v>0</v>
      </c>
      <c r="T120" s="53">
        <v>0</v>
      </c>
      <c r="U120" s="53">
        <v>1350</v>
      </c>
      <c r="V120" s="53">
        <v>0</v>
      </c>
      <c r="W120" s="53">
        <v>0</v>
      </c>
      <c r="X120" s="53">
        <v>0</v>
      </c>
      <c r="Y120" s="53">
        <v>0</v>
      </c>
      <c r="Z120" s="53">
        <v>0</v>
      </c>
      <c r="AA120" s="53">
        <v>0</v>
      </c>
      <c r="AB120" s="53">
        <v>0</v>
      </c>
      <c r="AC120" s="53">
        <v>0</v>
      </c>
      <c r="AD120" s="53">
        <v>0</v>
      </c>
      <c r="AE120" s="53">
        <v>0</v>
      </c>
      <c r="AF120" s="53">
        <v>0</v>
      </c>
      <c r="AG120" s="53">
        <v>0</v>
      </c>
      <c r="AH120" s="53">
        <v>0</v>
      </c>
      <c r="AI120" s="53">
        <v>0</v>
      </c>
      <c r="AJ120" s="53">
        <v>0</v>
      </c>
      <c r="AK120" s="53">
        <v>0</v>
      </c>
      <c r="AL120" s="53">
        <v>0</v>
      </c>
      <c r="AM120" s="53" t="str">
        <f>I120-J120-K120-L120-M120-N120-O120-P120-Q120-R120-S120-T120-U120-V120-W120-X120-Y120-Z120-AA120-AB120-AC120-AD120-AE120-AF120-AG120+AH120-AI120+AJ120+AK120-AL120</f>
        <v>0</v>
      </c>
      <c r="AN120" s="53"/>
      <c r="AO120" s="27"/>
    </row>
    <row r="121" spans="1:41">
      <c r="A121" s="44">
        <v>93</v>
      </c>
      <c r="B121" s="46" t="s">
        <v>487</v>
      </c>
      <c r="C121" s="48" t="s">
        <v>488</v>
      </c>
      <c r="D121" s="51" t="s">
        <v>73</v>
      </c>
      <c r="E121" s="51" t="s">
        <v>489</v>
      </c>
      <c r="F121" s="54" t="s">
        <v>490</v>
      </c>
      <c r="G121" s="50">
        <v>3</v>
      </c>
      <c r="H121" s="51" t="s">
        <v>491</v>
      </c>
      <c r="I121" s="53">
        <v>481500</v>
      </c>
      <c r="J121" s="53">
        <v>0</v>
      </c>
      <c r="K121" s="53">
        <v>22000</v>
      </c>
      <c r="L121" s="53">
        <v>0</v>
      </c>
      <c r="M121" s="53">
        <v>0</v>
      </c>
      <c r="N121" s="53">
        <v>0</v>
      </c>
      <c r="O121" s="53">
        <v>0</v>
      </c>
      <c r="P121" s="53">
        <v>0</v>
      </c>
      <c r="Q121" s="53">
        <v>0</v>
      </c>
      <c r="R121" s="53">
        <v>0</v>
      </c>
      <c r="S121" s="53">
        <v>0</v>
      </c>
      <c r="T121" s="53">
        <v>0</v>
      </c>
      <c r="U121" s="53">
        <v>1100</v>
      </c>
      <c r="V121" s="53">
        <v>0</v>
      </c>
      <c r="W121" s="53">
        <v>0</v>
      </c>
      <c r="X121" s="53">
        <v>0</v>
      </c>
      <c r="Y121" s="53">
        <v>0</v>
      </c>
      <c r="Z121" s="53">
        <v>0</v>
      </c>
      <c r="AA121" s="53">
        <v>0</v>
      </c>
      <c r="AB121" s="53">
        <v>0</v>
      </c>
      <c r="AC121" s="53">
        <v>0</v>
      </c>
      <c r="AD121" s="53">
        <v>0</v>
      </c>
      <c r="AE121" s="53">
        <v>0</v>
      </c>
      <c r="AF121" s="53">
        <v>0</v>
      </c>
      <c r="AG121" s="53">
        <v>0</v>
      </c>
      <c r="AH121" s="53">
        <v>0</v>
      </c>
      <c r="AI121" s="53">
        <v>0</v>
      </c>
      <c r="AJ121" s="53">
        <v>0</v>
      </c>
      <c r="AK121" s="53">
        <v>0</v>
      </c>
      <c r="AL121" s="53">
        <v>0</v>
      </c>
      <c r="AM121" s="53" t="str">
        <f>I121-J121-K121-L121-M121-N121-O121-P121-Q121-R121-S121-T121-U121-V121-W121-X121-Y121-Z121-AA121-AB121-AC121-AD121-AE121-AF121-AG121+AH121-AI121+AJ121+AK121-AL121</f>
        <v>0</v>
      </c>
      <c r="AN121" s="53"/>
      <c r="AO121" s="27"/>
    </row>
    <row r="122" spans="1:41">
      <c r="A122" s="44">
        <v>94</v>
      </c>
      <c r="B122" s="46" t="s">
        <v>492</v>
      </c>
      <c r="C122" s="48" t="s">
        <v>493</v>
      </c>
      <c r="D122" s="51" t="s">
        <v>73</v>
      </c>
      <c r="E122" s="51" t="s">
        <v>489</v>
      </c>
      <c r="F122" s="54" t="s">
        <v>494</v>
      </c>
      <c r="G122" s="50">
        <v>3</v>
      </c>
      <c r="H122" s="51" t="s">
        <v>495</v>
      </c>
      <c r="I122" s="53">
        <v>269100</v>
      </c>
      <c r="J122" s="53">
        <v>0</v>
      </c>
      <c r="K122" s="53">
        <v>22000</v>
      </c>
      <c r="L122" s="53">
        <v>0</v>
      </c>
      <c r="M122" s="53">
        <v>0</v>
      </c>
      <c r="N122" s="53">
        <v>0</v>
      </c>
      <c r="O122" s="53">
        <v>0</v>
      </c>
      <c r="P122" s="53">
        <v>0</v>
      </c>
      <c r="Q122" s="53">
        <v>0</v>
      </c>
      <c r="R122" s="53">
        <v>0</v>
      </c>
      <c r="S122" s="53">
        <v>0</v>
      </c>
      <c r="T122" s="53">
        <v>0</v>
      </c>
      <c r="U122" s="53">
        <v>1100</v>
      </c>
      <c r="V122" s="53">
        <v>0</v>
      </c>
      <c r="W122" s="53">
        <v>0</v>
      </c>
      <c r="X122" s="53">
        <v>0</v>
      </c>
      <c r="Y122" s="53">
        <v>0</v>
      </c>
      <c r="Z122" s="53">
        <v>0</v>
      </c>
      <c r="AA122" s="53">
        <v>0</v>
      </c>
      <c r="AB122" s="53">
        <v>0</v>
      </c>
      <c r="AC122" s="53">
        <v>0</v>
      </c>
      <c r="AD122" s="53">
        <v>0</v>
      </c>
      <c r="AE122" s="53">
        <v>0</v>
      </c>
      <c r="AF122" s="53">
        <v>0</v>
      </c>
      <c r="AG122" s="53">
        <v>0</v>
      </c>
      <c r="AH122" s="53">
        <v>0</v>
      </c>
      <c r="AI122" s="53">
        <v>0</v>
      </c>
      <c r="AJ122" s="53">
        <v>0</v>
      </c>
      <c r="AK122" s="53">
        <v>0</v>
      </c>
      <c r="AL122" s="53">
        <v>0</v>
      </c>
      <c r="AM122" s="53" t="str">
        <f>I122-J122-K122-L122-M122-N122-O122-P122-Q122-R122-S122-T122-U122-V122-W122-X122-Y122-Z122-AA122-AB122-AC122-AD122-AE122-AF122-AG122+AH122-AI122+AJ122+AK122-AL122</f>
        <v>0</v>
      </c>
      <c r="AN122" s="53"/>
      <c r="AO122" s="27"/>
    </row>
    <row r="123" spans="1:41">
      <c r="A123" s="44">
        <v>95</v>
      </c>
      <c r="B123" s="46" t="s">
        <v>496</v>
      </c>
      <c r="C123" s="48" t="s">
        <v>497</v>
      </c>
      <c r="D123" s="51" t="s">
        <v>62</v>
      </c>
      <c r="E123" s="51" t="s">
        <v>498</v>
      </c>
      <c r="F123" s="54" t="s">
        <v>499</v>
      </c>
      <c r="G123" s="50">
        <v>8</v>
      </c>
      <c r="H123" s="51" t="s">
        <v>500</v>
      </c>
      <c r="I123" s="53">
        <v>0</v>
      </c>
      <c r="J123" s="53">
        <v>0</v>
      </c>
      <c r="K123" s="53">
        <v>39000</v>
      </c>
      <c r="L123" s="53">
        <v>0</v>
      </c>
      <c r="M123" s="53">
        <v>0</v>
      </c>
      <c r="N123" s="53">
        <v>0</v>
      </c>
      <c r="O123" s="53">
        <v>0</v>
      </c>
      <c r="P123" s="53">
        <v>0</v>
      </c>
      <c r="Q123" s="53">
        <v>0</v>
      </c>
      <c r="R123" s="53">
        <v>0</v>
      </c>
      <c r="S123" s="53">
        <v>0</v>
      </c>
      <c r="T123" s="53">
        <v>0</v>
      </c>
      <c r="U123" s="53">
        <v>1950</v>
      </c>
      <c r="V123" s="53">
        <v>0</v>
      </c>
      <c r="W123" s="53">
        <v>0</v>
      </c>
      <c r="X123" s="53">
        <v>0</v>
      </c>
      <c r="Y123" s="53">
        <v>20475</v>
      </c>
      <c r="Z123" s="53">
        <v>0</v>
      </c>
      <c r="AA123" s="53">
        <v>0</v>
      </c>
      <c r="AB123" s="53">
        <v>0</v>
      </c>
      <c r="AC123" s="53">
        <v>0</v>
      </c>
      <c r="AD123" s="53">
        <v>0</v>
      </c>
      <c r="AE123" s="53">
        <v>0</v>
      </c>
      <c r="AF123" s="53">
        <v>0</v>
      </c>
      <c r="AG123" s="53">
        <v>0</v>
      </c>
      <c r="AH123" s="53">
        <v>0</v>
      </c>
      <c r="AI123" s="53">
        <v>0</v>
      </c>
      <c r="AJ123" s="53">
        <v>0</v>
      </c>
      <c r="AK123" s="53">
        <v>0</v>
      </c>
      <c r="AL123" s="53">
        <v>0</v>
      </c>
      <c r="AM123" s="53" t="str">
        <f>I123-J123-K123-L123-M123-N123-O123-P123-Q123-R123-S123-T123-U123-V123-W123-X123-Y123-Z123-AA123-AB123-AC123-AD123-AE123-AF123-AG123+AH123-AI123+AJ123+AK123-AL123</f>
        <v>0</v>
      </c>
      <c r="AN123" s="53"/>
      <c r="AO123" s="27"/>
    </row>
    <row r="124" spans="1:41">
      <c r="A124" s="44">
        <v>96</v>
      </c>
      <c r="B124" s="46" t="s">
        <v>501</v>
      </c>
      <c r="C124" s="48" t="s">
        <v>502</v>
      </c>
      <c r="D124" s="51" t="s">
        <v>62</v>
      </c>
      <c r="E124" s="51" t="s">
        <v>503</v>
      </c>
      <c r="F124" s="54" t="s">
        <v>504</v>
      </c>
      <c r="G124" s="50">
        <v>11</v>
      </c>
      <c r="H124" s="51" t="s">
        <v>505</v>
      </c>
      <c r="I124" s="53">
        <v>0</v>
      </c>
      <c r="J124" s="53">
        <v>0</v>
      </c>
      <c r="K124" s="53">
        <v>29000</v>
      </c>
      <c r="L124" s="53">
        <v>0</v>
      </c>
      <c r="M124" s="53">
        <v>0</v>
      </c>
      <c r="N124" s="53">
        <v>0</v>
      </c>
      <c r="O124" s="53">
        <v>0</v>
      </c>
      <c r="P124" s="53">
        <v>0</v>
      </c>
      <c r="Q124" s="53">
        <v>0</v>
      </c>
      <c r="R124" s="53">
        <v>0</v>
      </c>
      <c r="S124" s="53">
        <v>0</v>
      </c>
      <c r="T124" s="53">
        <v>0</v>
      </c>
      <c r="U124" s="53">
        <v>1450</v>
      </c>
      <c r="V124" s="53">
        <v>0</v>
      </c>
      <c r="W124" s="53">
        <v>0</v>
      </c>
      <c r="X124" s="53">
        <v>0</v>
      </c>
      <c r="Y124" s="53">
        <v>5250</v>
      </c>
      <c r="Z124" s="53">
        <v>0</v>
      </c>
      <c r="AA124" s="53">
        <v>0</v>
      </c>
      <c r="AB124" s="53">
        <v>0</v>
      </c>
      <c r="AC124" s="53">
        <v>0</v>
      </c>
      <c r="AD124" s="53">
        <v>0</v>
      </c>
      <c r="AE124" s="53">
        <v>0</v>
      </c>
      <c r="AF124" s="53">
        <v>0</v>
      </c>
      <c r="AG124" s="53">
        <v>0</v>
      </c>
      <c r="AH124" s="53">
        <v>0</v>
      </c>
      <c r="AI124" s="53">
        <v>0</v>
      </c>
      <c r="AJ124" s="53">
        <v>0</v>
      </c>
      <c r="AK124" s="53">
        <v>0</v>
      </c>
      <c r="AL124" s="53">
        <v>0</v>
      </c>
      <c r="AM124" s="53" t="str">
        <f>I124-J124-K124-L124-M124-N124-O124-P124-Q124-R124-S124-T124-U124-V124-W124-X124-Y124-Z124-AA124-AB124-AC124-AD124-AE124-AF124-AG124+AH124-AI124+AJ124+AK124-AL124</f>
        <v>0</v>
      </c>
      <c r="AN124" s="53"/>
      <c r="AO124" s="27"/>
    </row>
    <row r="125" spans="1:41">
      <c r="A125" s="44">
        <v>97</v>
      </c>
      <c r="B125" s="46" t="s">
        <v>506</v>
      </c>
      <c r="C125" s="48" t="s">
        <v>507</v>
      </c>
      <c r="D125" s="51" t="s">
        <v>73</v>
      </c>
      <c r="E125" s="51" t="s">
        <v>508</v>
      </c>
      <c r="F125" s="54" t="s">
        <v>509</v>
      </c>
      <c r="G125" s="50">
        <v>4</v>
      </c>
      <c r="H125" s="51" t="s">
        <v>510</v>
      </c>
      <c r="I125" s="53">
        <v>1001500</v>
      </c>
      <c r="J125" s="53">
        <v>0</v>
      </c>
      <c r="K125" s="53">
        <v>25000</v>
      </c>
      <c r="L125" s="53">
        <v>0</v>
      </c>
      <c r="M125" s="53">
        <v>0</v>
      </c>
      <c r="N125" s="53">
        <v>0</v>
      </c>
      <c r="O125" s="53">
        <v>0</v>
      </c>
      <c r="P125" s="53">
        <v>0</v>
      </c>
      <c r="Q125" s="53">
        <v>0</v>
      </c>
      <c r="R125" s="53">
        <v>0</v>
      </c>
      <c r="S125" s="53">
        <v>0</v>
      </c>
      <c r="T125" s="53">
        <v>0</v>
      </c>
      <c r="U125" s="53">
        <v>1250</v>
      </c>
      <c r="V125" s="53">
        <v>0</v>
      </c>
      <c r="W125" s="53">
        <v>0</v>
      </c>
      <c r="X125" s="53">
        <v>0</v>
      </c>
      <c r="Y125" s="53">
        <v>0</v>
      </c>
      <c r="Z125" s="53">
        <v>0</v>
      </c>
      <c r="AA125" s="53">
        <v>0</v>
      </c>
      <c r="AB125" s="53">
        <v>0</v>
      </c>
      <c r="AC125" s="53">
        <v>0</v>
      </c>
      <c r="AD125" s="53">
        <v>0</v>
      </c>
      <c r="AE125" s="53">
        <v>0</v>
      </c>
      <c r="AF125" s="53">
        <v>0</v>
      </c>
      <c r="AG125" s="53">
        <v>0</v>
      </c>
      <c r="AH125" s="53">
        <v>0</v>
      </c>
      <c r="AI125" s="53">
        <v>0</v>
      </c>
      <c r="AJ125" s="53">
        <v>0</v>
      </c>
      <c r="AK125" s="53">
        <v>0</v>
      </c>
      <c r="AL125" s="53">
        <v>0</v>
      </c>
      <c r="AM125" s="53" t="str">
        <f>I125-J125-K125-L125-M125-N125-O125-P125-Q125-R125-S125-T125-U125-V125-W125-X125-Y125-Z125-AA125-AB125-AC125-AD125-AE125-AF125-AG125+AH125-AI125+AJ125+AK125-AL125</f>
        <v>0</v>
      </c>
      <c r="AN125" s="53"/>
      <c r="AO125" s="27"/>
    </row>
    <row r="126" spans="1:41">
      <c r="A126" s="44">
        <v>98</v>
      </c>
      <c r="B126" s="46" t="s">
        <v>511</v>
      </c>
      <c r="C126" s="48" t="s">
        <v>512</v>
      </c>
      <c r="D126" s="51" t="s">
        <v>62</v>
      </c>
      <c r="E126" s="51" t="s">
        <v>513</v>
      </c>
      <c r="F126" s="54" t="s">
        <v>514</v>
      </c>
      <c r="G126" s="50">
        <v>7.2</v>
      </c>
      <c r="H126" s="51" t="s">
        <v>515</v>
      </c>
      <c r="I126" s="53">
        <v>0</v>
      </c>
      <c r="J126" s="53">
        <v>0</v>
      </c>
      <c r="K126" s="53">
        <v>26000</v>
      </c>
      <c r="L126" s="53">
        <v>0</v>
      </c>
      <c r="M126" s="53">
        <v>0</v>
      </c>
      <c r="N126" s="53">
        <v>0</v>
      </c>
      <c r="O126" s="53">
        <v>0</v>
      </c>
      <c r="P126" s="53">
        <v>0</v>
      </c>
      <c r="Q126" s="53">
        <v>0</v>
      </c>
      <c r="R126" s="53">
        <v>0</v>
      </c>
      <c r="S126" s="53">
        <v>0</v>
      </c>
      <c r="T126" s="53">
        <v>0</v>
      </c>
      <c r="U126" s="53">
        <v>1300</v>
      </c>
      <c r="V126" s="53">
        <v>0</v>
      </c>
      <c r="W126" s="53">
        <v>0</v>
      </c>
      <c r="X126" s="53">
        <v>0</v>
      </c>
      <c r="Y126" s="53">
        <v>5250</v>
      </c>
      <c r="Z126" s="53">
        <v>0</v>
      </c>
      <c r="AA126" s="53">
        <v>0</v>
      </c>
      <c r="AB126" s="53">
        <v>0</v>
      </c>
      <c r="AC126" s="53">
        <v>0</v>
      </c>
      <c r="AD126" s="53">
        <v>0</v>
      </c>
      <c r="AE126" s="53">
        <v>0</v>
      </c>
      <c r="AF126" s="53">
        <v>0</v>
      </c>
      <c r="AG126" s="53">
        <v>0</v>
      </c>
      <c r="AH126" s="53">
        <v>0</v>
      </c>
      <c r="AI126" s="53">
        <v>0</v>
      </c>
      <c r="AJ126" s="53">
        <v>0</v>
      </c>
      <c r="AK126" s="53">
        <v>0</v>
      </c>
      <c r="AL126" s="53">
        <v>0</v>
      </c>
      <c r="AM126" s="53" t="str">
        <f>I126-J126-K126-L126-M126-N126-O126-P126-Q126-R126-S126-T126-U126-V126-W126-X126-Y126-Z126-AA126-AB126-AC126-AD126-AE126-AF126-AG126+AH126-AI126+AJ126+AK126-AL126</f>
        <v>0</v>
      </c>
      <c r="AN126" s="53"/>
      <c r="AO126" s="27"/>
    </row>
    <row r="127" spans="1:41">
      <c r="A127" s="44">
        <v>99</v>
      </c>
      <c r="B127" s="46" t="s">
        <v>516</v>
      </c>
      <c r="C127" s="48" t="s">
        <v>517</v>
      </c>
      <c r="D127" s="51" t="s">
        <v>73</v>
      </c>
      <c r="E127" s="51" t="s">
        <v>513</v>
      </c>
      <c r="F127" s="54" t="s">
        <v>188</v>
      </c>
      <c r="G127" s="50">
        <v>0.1</v>
      </c>
      <c r="H127" s="51" t="s">
        <v>518</v>
      </c>
      <c r="I127" s="53">
        <v>525000</v>
      </c>
      <c r="J127" s="53">
        <v>0</v>
      </c>
      <c r="K127" s="53">
        <v>23000</v>
      </c>
      <c r="L127" s="53">
        <v>0</v>
      </c>
      <c r="M127" s="53">
        <v>0</v>
      </c>
      <c r="N127" s="53">
        <v>0</v>
      </c>
      <c r="O127" s="53">
        <v>0</v>
      </c>
      <c r="P127" s="53">
        <v>0</v>
      </c>
      <c r="Q127" s="53">
        <v>0</v>
      </c>
      <c r="R127" s="53">
        <v>0</v>
      </c>
      <c r="S127" s="53">
        <v>0</v>
      </c>
      <c r="T127" s="53">
        <v>0</v>
      </c>
      <c r="U127" s="53">
        <v>1150</v>
      </c>
      <c r="V127" s="53">
        <v>0</v>
      </c>
      <c r="W127" s="53">
        <v>0</v>
      </c>
      <c r="X127" s="53">
        <v>0</v>
      </c>
      <c r="Y127" s="53">
        <v>0</v>
      </c>
      <c r="Z127" s="53">
        <v>0</v>
      </c>
      <c r="AA127" s="53">
        <v>0</v>
      </c>
      <c r="AB127" s="53">
        <v>0</v>
      </c>
      <c r="AC127" s="53">
        <v>0</v>
      </c>
      <c r="AD127" s="53">
        <v>0</v>
      </c>
      <c r="AE127" s="53">
        <v>0</v>
      </c>
      <c r="AF127" s="53">
        <v>0</v>
      </c>
      <c r="AG127" s="53">
        <v>0</v>
      </c>
      <c r="AH127" s="53">
        <v>0</v>
      </c>
      <c r="AI127" s="53">
        <v>0</v>
      </c>
      <c r="AJ127" s="53">
        <v>0</v>
      </c>
      <c r="AK127" s="53">
        <v>0</v>
      </c>
      <c r="AL127" s="53">
        <v>0</v>
      </c>
      <c r="AM127" s="53" t="str">
        <f>I127-J127-K127-L127-M127-N127-O127-P127-Q127-R127-S127-T127-U127-V127-W127-X127-Y127-Z127-AA127-AB127-AC127-AD127-AE127-AF127-AG127+AH127-AI127+AJ127+AK127-AL127</f>
        <v>0</v>
      </c>
      <c r="AN127" s="53"/>
      <c r="AO127" s="27"/>
    </row>
    <row r="128" spans="1:41">
      <c r="A128" s="44">
        <v>100</v>
      </c>
      <c r="B128" s="46" t="s">
        <v>519</v>
      </c>
      <c r="C128" s="48" t="s">
        <v>520</v>
      </c>
      <c r="D128" s="51" t="s">
        <v>62</v>
      </c>
      <c r="E128" s="51" t="s">
        <v>513</v>
      </c>
      <c r="F128" s="54" t="s">
        <v>521</v>
      </c>
      <c r="G128" s="50">
        <v>5</v>
      </c>
      <c r="H128" s="51" t="s">
        <v>522</v>
      </c>
      <c r="I128" s="53">
        <v>0</v>
      </c>
      <c r="J128" s="53">
        <v>0</v>
      </c>
      <c r="K128" s="53">
        <v>23000</v>
      </c>
      <c r="L128" s="53">
        <v>0</v>
      </c>
      <c r="M128" s="53">
        <v>0</v>
      </c>
      <c r="N128" s="53">
        <v>0</v>
      </c>
      <c r="O128" s="53">
        <v>0</v>
      </c>
      <c r="P128" s="53">
        <v>0</v>
      </c>
      <c r="Q128" s="53">
        <v>0</v>
      </c>
      <c r="R128" s="53">
        <v>0</v>
      </c>
      <c r="S128" s="53">
        <v>0</v>
      </c>
      <c r="T128" s="53">
        <v>0</v>
      </c>
      <c r="U128" s="53">
        <v>1150</v>
      </c>
      <c r="V128" s="53">
        <v>0</v>
      </c>
      <c r="W128" s="53">
        <v>0</v>
      </c>
      <c r="X128" s="53">
        <v>0</v>
      </c>
      <c r="Y128" s="53">
        <v>5250</v>
      </c>
      <c r="Z128" s="53">
        <v>0</v>
      </c>
      <c r="AA128" s="53">
        <v>0</v>
      </c>
      <c r="AB128" s="53">
        <v>0</v>
      </c>
      <c r="AC128" s="53">
        <v>0</v>
      </c>
      <c r="AD128" s="53">
        <v>0</v>
      </c>
      <c r="AE128" s="53">
        <v>0</v>
      </c>
      <c r="AF128" s="53">
        <v>0</v>
      </c>
      <c r="AG128" s="53">
        <v>0</v>
      </c>
      <c r="AH128" s="53">
        <v>0</v>
      </c>
      <c r="AI128" s="53">
        <v>0</v>
      </c>
      <c r="AJ128" s="53">
        <v>0</v>
      </c>
      <c r="AK128" s="53">
        <v>0</v>
      </c>
      <c r="AL128" s="53">
        <v>0</v>
      </c>
      <c r="AM128" s="53" t="str">
        <f>I128-J128-K128-L128-M128-N128-O128-P128-Q128-R128-S128-T128-U128-V128-W128-X128-Y128-Z128-AA128-AB128-AC128-AD128-AE128-AF128-AG128+AH128-AI128+AJ128+AK128-AL128</f>
        <v>0</v>
      </c>
      <c r="AN128" s="53"/>
      <c r="AO128" s="27"/>
    </row>
    <row r="129" spans="1:41">
      <c r="A129" s="44">
        <v>101</v>
      </c>
      <c r="B129" s="46" t="s">
        <v>523</v>
      </c>
      <c r="C129" s="48" t="s">
        <v>524</v>
      </c>
      <c r="D129" s="51" t="s">
        <v>62</v>
      </c>
      <c r="E129" s="51" t="s">
        <v>513</v>
      </c>
      <c r="F129" s="54" t="s">
        <v>525</v>
      </c>
      <c r="G129" s="50">
        <v>2</v>
      </c>
      <c r="H129" s="51" t="s">
        <v>526</v>
      </c>
      <c r="I129" s="53">
        <v>0</v>
      </c>
      <c r="J129" s="53">
        <v>0</v>
      </c>
      <c r="K129" s="53">
        <v>23000</v>
      </c>
      <c r="L129" s="53">
        <v>0</v>
      </c>
      <c r="M129" s="53">
        <v>0</v>
      </c>
      <c r="N129" s="53">
        <v>0</v>
      </c>
      <c r="O129" s="53">
        <v>0</v>
      </c>
      <c r="P129" s="53">
        <v>0</v>
      </c>
      <c r="Q129" s="53">
        <v>0</v>
      </c>
      <c r="R129" s="53">
        <v>0</v>
      </c>
      <c r="S129" s="53">
        <v>0</v>
      </c>
      <c r="T129" s="53">
        <v>0</v>
      </c>
      <c r="U129" s="53">
        <v>1150</v>
      </c>
      <c r="V129" s="53">
        <v>0</v>
      </c>
      <c r="W129" s="53">
        <v>0</v>
      </c>
      <c r="X129" s="53">
        <v>0</v>
      </c>
      <c r="Y129" s="53">
        <v>5250</v>
      </c>
      <c r="Z129" s="53">
        <v>0</v>
      </c>
      <c r="AA129" s="53">
        <v>0</v>
      </c>
      <c r="AB129" s="53">
        <v>0</v>
      </c>
      <c r="AC129" s="53">
        <v>0</v>
      </c>
      <c r="AD129" s="53">
        <v>0</v>
      </c>
      <c r="AE129" s="53">
        <v>0</v>
      </c>
      <c r="AF129" s="53">
        <v>0</v>
      </c>
      <c r="AG129" s="53">
        <v>0</v>
      </c>
      <c r="AH129" s="53">
        <v>0</v>
      </c>
      <c r="AI129" s="53">
        <v>0</v>
      </c>
      <c r="AJ129" s="53">
        <v>0</v>
      </c>
      <c r="AK129" s="53">
        <v>0</v>
      </c>
      <c r="AL129" s="53">
        <v>0</v>
      </c>
      <c r="AM129" s="53" t="str">
        <f>I129-J129-K129-L129-M129-N129-O129-P129-Q129-R129-S129-T129-U129-V129-W129-X129-Y129-Z129-AA129-AB129-AC129-AD129-AE129-AF129-AG129+AH129-AI129+AJ129+AK129-AL129</f>
        <v>0</v>
      </c>
      <c r="AN129" s="53"/>
      <c r="AO129" s="27"/>
    </row>
    <row r="130" spans="1:41">
      <c r="A130" s="44">
        <v>102</v>
      </c>
      <c r="B130" s="46" t="s">
        <v>527</v>
      </c>
      <c r="C130" s="48" t="s">
        <v>528</v>
      </c>
      <c r="D130" s="51" t="s">
        <v>62</v>
      </c>
      <c r="E130" s="51" t="s">
        <v>529</v>
      </c>
      <c r="F130" s="54" t="s">
        <v>530</v>
      </c>
      <c r="G130" s="50">
        <v>5.8</v>
      </c>
      <c r="H130" s="51" t="s">
        <v>531</v>
      </c>
      <c r="I130" s="53">
        <v>0</v>
      </c>
      <c r="J130" s="53">
        <v>0</v>
      </c>
      <c r="K130" s="53">
        <v>24000</v>
      </c>
      <c r="L130" s="53">
        <v>0</v>
      </c>
      <c r="M130" s="53">
        <v>0</v>
      </c>
      <c r="N130" s="53">
        <v>0</v>
      </c>
      <c r="O130" s="53">
        <v>0</v>
      </c>
      <c r="P130" s="53">
        <v>0</v>
      </c>
      <c r="Q130" s="53">
        <v>0</v>
      </c>
      <c r="R130" s="53">
        <v>0</v>
      </c>
      <c r="S130" s="53">
        <v>0</v>
      </c>
      <c r="T130" s="53">
        <v>0</v>
      </c>
      <c r="U130" s="53">
        <v>1200</v>
      </c>
      <c r="V130" s="53">
        <v>0</v>
      </c>
      <c r="W130" s="53">
        <v>0</v>
      </c>
      <c r="X130" s="53">
        <v>0</v>
      </c>
      <c r="Y130" s="53">
        <v>5250</v>
      </c>
      <c r="Z130" s="53">
        <v>0</v>
      </c>
      <c r="AA130" s="53">
        <v>0</v>
      </c>
      <c r="AB130" s="53">
        <v>0</v>
      </c>
      <c r="AC130" s="53">
        <v>0</v>
      </c>
      <c r="AD130" s="53">
        <v>0</v>
      </c>
      <c r="AE130" s="53">
        <v>0</v>
      </c>
      <c r="AF130" s="53">
        <v>0</v>
      </c>
      <c r="AG130" s="53">
        <v>0</v>
      </c>
      <c r="AH130" s="53">
        <v>0</v>
      </c>
      <c r="AI130" s="53">
        <v>0</v>
      </c>
      <c r="AJ130" s="53">
        <v>0</v>
      </c>
      <c r="AK130" s="53">
        <v>0</v>
      </c>
      <c r="AL130" s="53">
        <v>0</v>
      </c>
      <c r="AM130" s="53" t="str">
        <f>I130-J130-K130-L130-M130-N130-O130-P130-Q130-R130-S130-T130-U130-V130-W130-X130-Y130-Z130-AA130-AB130-AC130-AD130-AE130-AF130-AG130+AH130-AI130+AJ130+AK130-AL130</f>
        <v>0</v>
      </c>
      <c r="AN130" s="53"/>
      <c r="AO130" s="27"/>
    </row>
    <row r="131" spans="1:41">
      <c r="A131" s="44">
        <v>103</v>
      </c>
      <c r="B131" s="46" t="s">
        <v>532</v>
      </c>
      <c r="C131" s="48" t="s">
        <v>533</v>
      </c>
      <c r="D131" s="51" t="s">
        <v>62</v>
      </c>
      <c r="E131" s="51" t="s">
        <v>534</v>
      </c>
      <c r="F131" s="54" t="s">
        <v>535</v>
      </c>
      <c r="G131" s="50">
        <v>3</v>
      </c>
      <c r="H131" s="51" t="s">
        <v>536</v>
      </c>
      <c r="I131" s="53">
        <v>0</v>
      </c>
      <c r="J131" s="53">
        <v>0</v>
      </c>
      <c r="K131" s="53">
        <v>23000</v>
      </c>
      <c r="L131" s="53">
        <v>0</v>
      </c>
      <c r="M131" s="53">
        <v>0</v>
      </c>
      <c r="N131" s="53">
        <v>0</v>
      </c>
      <c r="O131" s="53">
        <v>0</v>
      </c>
      <c r="P131" s="53">
        <v>0</v>
      </c>
      <c r="Q131" s="53">
        <v>0</v>
      </c>
      <c r="R131" s="53">
        <v>0</v>
      </c>
      <c r="S131" s="53">
        <v>0</v>
      </c>
      <c r="T131" s="53">
        <v>0</v>
      </c>
      <c r="U131" s="53">
        <v>1150</v>
      </c>
      <c r="V131" s="53">
        <v>0</v>
      </c>
      <c r="W131" s="53">
        <v>0</v>
      </c>
      <c r="X131" s="53">
        <v>0</v>
      </c>
      <c r="Y131" s="53">
        <v>5250</v>
      </c>
      <c r="Z131" s="53">
        <v>0</v>
      </c>
      <c r="AA131" s="53">
        <v>0</v>
      </c>
      <c r="AB131" s="53">
        <v>0</v>
      </c>
      <c r="AC131" s="53">
        <v>0</v>
      </c>
      <c r="AD131" s="53">
        <v>0</v>
      </c>
      <c r="AE131" s="53">
        <v>0</v>
      </c>
      <c r="AF131" s="53">
        <v>0</v>
      </c>
      <c r="AG131" s="53">
        <v>0</v>
      </c>
      <c r="AH131" s="53">
        <v>0</v>
      </c>
      <c r="AI131" s="53">
        <v>0</v>
      </c>
      <c r="AJ131" s="53">
        <v>0</v>
      </c>
      <c r="AK131" s="53">
        <v>0</v>
      </c>
      <c r="AL131" s="53">
        <v>0</v>
      </c>
      <c r="AM131" s="53" t="str">
        <f>I131-J131-K131-L131-M131-N131-O131-P131-Q131-R131-S131-T131-U131-V131-W131-X131-Y131-Z131-AA131-AB131-AC131-AD131-AE131-AF131-AG131+AH131-AI131+AJ131+AK131-AL131</f>
        <v>0</v>
      </c>
      <c r="AN131" s="53"/>
      <c r="AO131" s="27"/>
    </row>
    <row r="132" spans="1:41">
      <c r="A132" s="44">
        <v>104</v>
      </c>
      <c r="B132" s="46" t="s">
        <v>537</v>
      </c>
      <c r="C132" s="48" t="s">
        <v>538</v>
      </c>
      <c r="D132" s="51" t="s">
        <v>73</v>
      </c>
      <c r="E132" s="51" t="s">
        <v>539</v>
      </c>
      <c r="F132" s="54" t="s">
        <v>540</v>
      </c>
      <c r="G132" s="50">
        <v>17</v>
      </c>
      <c r="H132" s="51" t="s">
        <v>541</v>
      </c>
      <c r="I132" s="53">
        <v>1384000</v>
      </c>
      <c r="J132" s="53">
        <v>0</v>
      </c>
      <c r="K132" s="53">
        <v>35000</v>
      </c>
      <c r="L132" s="53">
        <v>0</v>
      </c>
      <c r="M132" s="53">
        <v>0</v>
      </c>
      <c r="N132" s="53">
        <v>0</v>
      </c>
      <c r="O132" s="53">
        <v>0</v>
      </c>
      <c r="P132" s="53">
        <v>0</v>
      </c>
      <c r="Q132" s="53">
        <v>0</v>
      </c>
      <c r="R132" s="53">
        <v>0</v>
      </c>
      <c r="S132" s="53">
        <v>0</v>
      </c>
      <c r="T132" s="53">
        <v>0</v>
      </c>
      <c r="U132" s="53">
        <v>1750</v>
      </c>
      <c r="V132" s="53">
        <v>0</v>
      </c>
      <c r="W132" s="53">
        <v>0</v>
      </c>
      <c r="X132" s="53">
        <v>0</v>
      </c>
      <c r="Y132" s="53">
        <v>0</v>
      </c>
      <c r="Z132" s="53">
        <v>0</v>
      </c>
      <c r="AA132" s="53">
        <v>0</v>
      </c>
      <c r="AB132" s="53">
        <v>0</v>
      </c>
      <c r="AC132" s="53">
        <v>0</v>
      </c>
      <c r="AD132" s="53">
        <v>0</v>
      </c>
      <c r="AE132" s="53">
        <v>0</v>
      </c>
      <c r="AF132" s="53">
        <v>0</v>
      </c>
      <c r="AG132" s="53">
        <v>0</v>
      </c>
      <c r="AH132" s="53">
        <v>0</v>
      </c>
      <c r="AI132" s="53">
        <v>0</v>
      </c>
      <c r="AJ132" s="53">
        <v>0</v>
      </c>
      <c r="AK132" s="53">
        <v>0</v>
      </c>
      <c r="AL132" s="53">
        <v>0</v>
      </c>
      <c r="AM132" s="53" t="str">
        <f>I132-J132-K132-L132-M132-N132-O132-P132-Q132-R132-S132-T132-U132-V132-W132-X132-Y132-Z132-AA132-AB132-AC132-AD132-AE132-AF132-AG132+AH132-AI132+AJ132+AK132-AL132</f>
        <v>0</v>
      </c>
      <c r="AN132" s="53"/>
      <c r="AO132" s="27"/>
    </row>
    <row r="133" spans="1:41">
      <c r="A133" s="44">
        <v>105</v>
      </c>
      <c r="B133" s="46" t="s">
        <v>542</v>
      </c>
      <c r="C133" s="48" t="s">
        <v>543</v>
      </c>
      <c r="D133" s="51" t="s">
        <v>62</v>
      </c>
      <c r="E133" s="51" t="s">
        <v>544</v>
      </c>
      <c r="F133" s="54" t="s">
        <v>545</v>
      </c>
      <c r="G133" s="50">
        <v>3</v>
      </c>
      <c r="H133" s="51" t="s">
        <v>546</v>
      </c>
      <c r="I133" s="53">
        <v>0</v>
      </c>
      <c r="J133" s="53">
        <v>0</v>
      </c>
      <c r="K133" s="53">
        <v>23000</v>
      </c>
      <c r="L133" s="53">
        <v>0</v>
      </c>
      <c r="M133" s="53">
        <v>0</v>
      </c>
      <c r="N133" s="53">
        <v>0</v>
      </c>
      <c r="O133" s="53">
        <v>0</v>
      </c>
      <c r="P133" s="53">
        <v>0</v>
      </c>
      <c r="Q133" s="53">
        <v>0</v>
      </c>
      <c r="R133" s="53">
        <v>0</v>
      </c>
      <c r="S133" s="53">
        <v>0</v>
      </c>
      <c r="T133" s="53">
        <v>0</v>
      </c>
      <c r="U133" s="53">
        <v>1150</v>
      </c>
      <c r="V133" s="53">
        <v>0</v>
      </c>
      <c r="W133" s="53">
        <v>0</v>
      </c>
      <c r="X133" s="53">
        <v>0</v>
      </c>
      <c r="Y133" s="53">
        <v>5250</v>
      </c>
      <c r="Z133" s="53">
        <v>0</v>
      </c>
      <c r="AA133" s="53">
        <v>0</v>
      </c>
      <c r="AB133" s="53">
        <v>0</v>
      </c>
      <c r="AC133" s="53">
        <v>0</v>
      </c>
      <c r="AD133" s="53">
        <v>0</v>
      </c>
      <c r="AE133" s="53">
        <v>0</v>
      </c>
      <c r="AF133" s="53">
        <v>0</v>
      </c>
      <c r="AG133" s="53">
        <v>0</v>
      </c>
      <c r="AH133" s="53">
        <v>0</v>
      </c>
      <c r="AI133" s="53">
        <v>0</v>
      </c>
      <c r="AJ133" s="53">
        <v>0</v>
      </c>
      <c r="AK133" s="53">
        <v>0</v>
      </c>
      <c r="AL133" s="53">
        <v>0</v>
      </c>
      <c r="AM133" s="53" t="str">
        <f>I133-J133-K133-L133-M133-N133-O133-P133-Q133-R133-S133-T133-U133-V133-W133-X133-Y133-Z133-AA133-AB133-AC133-AD133-AE133-AF133-AG133+AH133-AI133+AJ133+AK133-AL133</f>
        <v>0</v>
      </c>
      <c r="AN133" s="53"/>
      <c r="AO133" s="27"/>
    </row>
    <row r="134" spans="1:41">
      <c r="A134" s="44">
        <v>106</v>
      </c>
      <c r="B134" s="46" t="s">
        <v>547</v>
      </c>
      <c r="C134" s="48" t="s">
        <v>548</v>
      </c>
      <c r="D134" s="51" t="s">
        <v>62</v>
      </c>
      <c r="E134" s="51" t="s">
        <v>549</v>
      </c>
      <c r="F134" s="54" t="s">
        <v>550</v>
      </c>
      <c r="G134" s="50">
        <v>5</v>
      </c>
      <c r="H134" s="51" t="s">
        <v>551</v>
      </c>
      <c r="I134" s="53">
        <v>0</v>
      </c>
      <c r="J134" s="53">
        <v>0</v>
      </c>
      <c r="K134" s="53">
        <v>23000</v>
      </c>
      <c r="L134" s="53">
        <v>0</v>
      </c>
      <c r="M134" s="53">
        <v>0</v>
      </c>
      <c r="N134" s="53">
        <v>0</v>
      </c>
      <c r="O134" s="53">
        <v>0</v>
      </c>
      <c r="P134" s="53">
        <v>0</v>
      </c>
      <c r="Q134" s="53">
        <v>0</v>
      </c>
      <c r="R134" s="53">
        <v>0</v>
      </c>
      <c r="S134" s="53">
        <v>0</v>
      </c>
      <c r="T134" s="53">
        <v>0</v>
      </c>
      <c r="U134" s="53">
        <v>1150</v>
      </c>
      <c r="V134" s="53">
        <v>0</v>
      </c>
      <c r="W134" s="53">
        <v>0</v>
      </c>
      <c r="X134" s="53">
        <v>0</v>
      </c>
      <c r="Y134" s="53">
        <v>5250</v>
      </c>
      <c r="Z134" s="53">
        <v>0</v>
      </c>
      <c r="AA134" s="53">
        <v>0</v>
      </c>
      <c r="AB134" s="53">
        <v>0</v>
      </c>
      <c r="AC134" s="53">
        <v>0</v>
      </c>
      <c r="AD134" s="53">
        <v>0</v>
      </c>
      <c r="AE134" s="53">
        <v>0</v>
      </c>
      <c r="AF134" s="53">
        <v>0</v>
      </c>
      <c r="AG134" s="53">
        <v>0</v>
      </c>
      <c r="AH134" s="53">
        <v>0</v>
      </c>
      <c r="AI134" s="53">
        <v>0</v>
      </c>
      <c r="AJ134" s="53">
        <v>0</v>
      </c>
      <c r="AK134" s="53">
        <v>0</v>
      </c>
      <c r="AL134" s="53">
        <v>0</v>
      </c>
      <c r="AM134" s="53" t="str">
        <f>I134-J134-K134-L134-M134-N134-O134-P134-Q134-R134-S134-T134-U134-V134-W134-X134-Y134-Z134-AA134-AB134-AC134-AD134-AE134-AF134-AG134+AH134-AI134+AJ134+AK134-AL134</f>
        <v>0</v>
      </c>
      <c r="AN134" s="53"/>
      <c r="AO134" s="27"/>
    </row>
    <row r="135" spans="1:41">
      <c r="A135" s="44">
        <v>107</v>
      </c>
      <c r="B135" s="46" t="s">
        <v>552</v>
      </c>
      <c r="C135" s="48" t="s">
        <v>553</v>
      </c>
      <c r="D135" s="51" t="s">
        <v>62</v>
      </c>
      <c r="E135" s="51" t="s">
        <v>549</v>
      </c>
      <c r="F135" s="54" t="s">
        <v>554</v>
      </c>
      <c r="G135" s="50">
        <v>3</v>
      </c>
      <c r="H135" s="51" t="s">
        <v>555</v>
      </c>
      <c r="I135" s="53">
        <v>0</v>
      </c>
      <c r="J135" s="53">
        <v>0</v>
      </c>
      <c r="K135" s="53">
        <v>23000</v>
      </c>
      <c r="L135" s="53">
        <v>0</v>
      </c>
      <c r="M135" s="53">
        <v>0</v>
      </c>
      <c r="N135" s="53">
        <v>0</v>
      </c>
      <c r="O135" s="53">
        <v>0</v>
      </c>
      <c r="P135" s="53">
        <v>0</v>
      </c>
      <c r="Q135" s="53">
        <v>0</v>
      </c>
      <c r="R135" s="53">
        <v>0</v>
      </c>
      <c r="S135" s="53">
        <v>0</v>
      </c>
      <c r="T135" s="53">
        <v>0</v>
      </c>
      <c r="U135" s="53">
        <v>1150</v>
      </c>
      <c r="V135" s="53">
        <v>0</v>
      </c>
      <c r="W135" s="53">
        <v>0</v>
      </c>
      <c r="X135" s="53">
        <v>0</v>
      </c>
      <c r="Y135" s="53">
        <v>5250</v>
      </c>
      <c r="Z135" s="53">
        <v>0</v>
      </c>
      <c r="AA135" s="53">
        <v>0</v>
      </c>
      <c r="AB135" s="53">
        <v>0</v>
      </c>
      <c r="AC135" s="53">
        <v>0</v>
      </c>
      <c r="AD135" s="53">
        <v>0</v>
      </c>
      <c r="AE135" s="53">
        <v>0</v>
      </c>
      <c r="AF135" s="53">
        <v>0</v>
      </c>
      <c r="AG135" s="53">
        <v>0</v>
      </c>
      <c r="AH135" s="53">
        <v>0</v>
      </c>
      <c r="AI135" s="53">
        <v>0</v>
      </c>
      <c r="AJ135" s="53">
        <v>0</v>
      </c>
      <c r="AK135" s="53">
        <v>0</v>
      </c>
      <c r="AL135" s="53">
        <v>0</v>
      </c>
      <c r="AM135" s="53" t="str">
        <f>I135-J135-K135-L135-M135-N135-O135-P135-Q135-R135-S135-T135-U135-V135-W135-X135-Y135-Z135-AA135-AB135-AC135-AD135-AE135-AF135-AG135+AH135-AI135+AJ135+AK135-AL135</f>
        <v>0</v>
      </c>
      <c r="AN135" s="53"/>
      <c r="AO135" s="27"/>
    </row>
    <row r="136" spans="1:41">
      <c r="A136" s="44">
        <v>108</v>
      </c>
      <c r="B136" s="46" t="s">
        <v>556</v>
      </c>
      <c r="C136" s="48" t="s">
        <v>557</v>
      </c>
      <c r="D136" s="51" t="s">
        <v>73</v>
      </c>
      <c r="E136" s="51" t="s">
        <v>558</v>
      </c>
      <c r="F136" s="54" t="s">
        <v>559</v>
      </c>
      <c r="G136" s="50">
        <v>3</v>
      </c>
      <c r="H136" s="51" t="s">
        <v>560</v>
      </c>
      <c r="I136" s="53">
        <v>675000</v>
      </c>
      <c r="J136" s="53">
        <v>0</v>
      </c>
      <c r="K136" s="53">
        <v>23000</v>
      </c>
      <c r="L136" s="53">
        <v>0</v>
      </c>
      <c r="M136" s="53">
        <v>0</v>
      </c>
      <c r="N136" s="53">
        <v>0</v>
      </c>
      <c r="O136" s="53">
        <v>0</v>
      </c>
      <c r="P136" s="53">
        <v>0</v>
      </c>
      <c r="Q136" s="53">
        <v>0</v>
      </c>
      <c r="R136" s="53">
        <v>0</v>
      </c>
      <c r="S136" s="53">
        <v>0</v>
      </c>
      <c r="T136" s="53">
        <v>0</v>
      </c>
      <c r="U136" s="53">
        <v>1150</v>
      </c>
      <c r="V136" s="53">
        <v>0</v>
      </c>
      <c r="W136" s="53">
        <v>0</v>
      </c>
      <c r="X136" s="53">
        <v>0</v>
      </c>
      <c r="Y136" s="53">
        <v>0</v>
      </c>
      <c r="Z136" s="53">
        <v>0</v>
      </c>
      <c r="AA136" s="53">
        <v>0</v>
      </c>
      <c r="AB136" s="53">
        <v>0</v>
      </c>
      <c r="AC136" s="53">
        <v>0</v>
      </c>
      <c r="AD136" s="53">
        <v>0</v>
      </c>
      <c r="AE136" s="53">
        <v>0</v>
      </c>
      <c r="AF136" s="53">
        <v>0</v>
      </c>
      <c r="AG136" s="53">
        <v>0</v>
      </c>
      <c r="AH136" s="53">
        <v>0</v>
      </c>
      <c r="AI136" s="53">
        <v>0</v>
      </c>
      <c r="AJ136" s="53">
        <v>0</v>
      </c>
      <c r="AK136" s="53">
        <v>0</v>
      </c>
      <c r="AL136" s="53">
        <v>0</v>
      </c>
      <c r="AM136" s="53" t="str">
        <f>I136-J136-K136-L136-M136-N136-O136-P136-Q136-R136-S136-T136-U136-V136-W136-X136-Y136-Z136-AA136-AB136-AC136-AD136-AE136-AF136-AG136+AH136-AI136+AJ136+AK136-AL136</f>
        <v>0</v>
      </c>
      <c r="AN136" s="53"/>
      <c r="AO136" s="27"/>
    </row>
    <row r="137" spans="1:41">
      <c r="A137" s="44">
        <v>109</v>
      </c>
      <c r="B137" s="46" t="s">
        <v>561</v>
      </c>
      <c r="C137" s="48" t="s">
        <v>562</v>
      </c>
      <c r="D137" s="51" t="s">
        <v>62</v>
      </c>
      <c r="E137" s="51" t="s">
        <v>563</v>
      </c>
      <c r="F137" s="54" t="s">
        <v>564</v>
      </c>
      <c r="G137" s="50">
        <v>3</v>
      </c>
      <c r="H137" s="51" t="s">
        <v>565</v>
      </c>
      <c r="I137" s="53">
        <v>0</v>
      </c>
      <c r="J137" s="53">
        <v>0</v>
      </c>
      <c r="K137" s="53">
        <v>22000</v>
      </c>
      <c r="L137" s="53">
        <v>0</v>
      </c>
      <c r="M137" s="53">
        <v>0</v>
      </c>
      <c r="N137" s="53">
        <v>0</v>
      </c>
      <c r="O137" s="53">
        <v>0</v>
      </c>
      <c r="P137" s="53">
        <v>0</v>
      </c>
      <c r="Q137" s="53">
        <v>0</v>
      </c>
      <c r="R137" s="53">
        <v>0</v>
      </c>
      <c r="S137" s="53">
        <v>0</v>
      </c>
      <c r="T137" s="53">
        <v>0</v>
      </c>
      <c r="U137" s="53">
        <v>1100</v>
      </c>
      <c r="V137" s="53">
        <v>0</v>
      </c>
      <c r="W137" s="53">
        <v>0</v>
      </c>
      <c r="X137" s="53">
        <v>0</v>
      </c>
      <c r="Y137" s="53">
        <v>5250</v>
      </c>
      <c r="Z137" s="53">
        <v>0</v>
      </c>
      <c r="AA137" s="53">
        <v>0</v>
      </c>
      <c r="AB137" s="53">
        <v>0</v>
      </c>
      <c r="AC137" s="53">
        <v>0</v>
      </c>
      <c r="AD137" s="53">
        <v>0</v>
      </c>
      <c r="AE137" s="53">
        <v>0</v>
      </c>
      <c r="AF137" s="53">
        <v>0</v>
      </c>
      <c r="AG137" s="53">
        <v>0</v>
      </c>
      <c r="AH137" s="53">
        <v>0</v>
      </c>
      <c r="AI137" s="53">
        <v>0</v>
      </c>
      <c r="AJ137" s="53">
        <v>0</v>
      </c>
      <c r="AK137" s="53">
        <v>0</v>
      </c>
      <c r="AL137" s="53">
        <v>0</v>
      </c>
      <c r="AM137" s="53" t="str">
        <f>I137-J137-K137-L137-M137-N137-O137-P137-Q137-R137-S137-T137-U137-V137-W137-X137-Y137-Z137-AA137-AB137-AC137-AD137-AE137-AF137-AG137+AH137-AI137+AJ137+AK137-AL137</f>
        <v>0</v>
      </c>
      <c r="AN137" s="53"/>
      <c r="AO137" s="27"/>
    </row>
    <row r="138" spans="1:41">
      <c r="A138" s="44">
        <v>110</v>
      </c>
      <c r="B138" s="46" t="s">
        <v>566</v>
      </c>
      <c r="C138" s="48" t="s">
        <v>567</v>
      </c>
      <c r="D138" s="51" t="s">
        <v>62</v>
      </c>
      <c r="E138" s="51" t="s">
        <v>563</v>
      </c>
      <c r="F138" s="54" t="s">
        <v>568</v>
      </c>
      <c r="G138" s="50">
        <v>2</v>
      </c>
      <c r="H138" s="51" t="s">
        <v>569</v>
      </c>
      <c r="I138" s="53">
        <v>0</v>
      </c>
      <c r="J138" s="53">
        <v>0</v>
      </c>
      <c r="K138" s="53">
        <v>22000</v>
      </c>
      <c r="L138" s="53">
        <v>0</v>
      </c>
      <c r="M138" s="53">
        <v>0</v>
      </c>
      <c r="N138" s="53">
        <v>0</v>
      </c>
      <c r="O138" s="53">
        <v>0</v>
      </c>
      <c r="P138" s="53">
        <v>0</v>
      </c>
      <c r="Q138" s="53">
        <v>0</v>
      </c>
      <c r="R138" s="53">
        <v>0</v>
      </c>
      <c r="S138" s="53">
        <v>0</v>
      </c>
      <c r="T138" s="53">
        <v>0</v>
      </c>
      <c r="U138" s="53">
        <v>1100</v>
      </c>
      <c r="V138" s="53">
        <v>0</v>
      </c>
      <c r="W138" s="53">
        <v>0</v>
      </c>
      <c r="X138" s="53">
        <v>0</v>
      </c>
      <c r="Y138" s="53">
        <v>5250</v>
      </c>
      <c r="Z138" s="53">
        <v>0</v>
      </c>
      <c r="AA138" s="53">
        <v>0</v>
      </c>
      <c r="AB138" s="53">
        <v>0</v>
      </c>
      <c r="AC138" s="53">
        <v>0</v>
      </c>
      <c r="AD138" s="53">
        <v>0</v>
      </c>
      <c r="AE138" s="53">
        <v>0</v>
      </c>
      <c r="AF138" s="53">
        <v>0</v>
      </c>
      <c r="AG138" s="53">
        <v>0</v>
      </c>
      <c r="AH138" s="53">
        <v>0</v>
      </c>
      <c r="AI138" s="53">
        <v>0</v>
      </c>
      <c r="AJ138" s="53">
        <v>0</v>
      </c>
      <c r="AK138" s="53">
        <v>0</v>
      </c>
      <c r="AL138" s="53">
        <v>0</v>
      </c>
      <c r="AM138" s="53" t="str">
        <f>I138-J138-K138-L138-M138-N138-O138-P138-Q138-R138-S138-T138-U138-V138-W138-X138-Y138-Z138-AA138-AB138-AC138-AD138-AE138-AF138-AG138+AH138-AI138+AJ138+AK138-AL138</f>
        <v>0</v>
      </c>
      <c r="AN138" s="53"/>
      <c r="AO138" s="27"/>
    </row>
    <row r="139" spans="1:41">
      <c r="A139" s="44">
        <v>111</v>
      </c>
      <c r="B139" s="46" t="s">
        <v>570</v>
      </c>
      <c r="C139" s="48" t="s">
        <v>571</v>
      </c>
      <c r="D139" s="51" t="s">
        <v>73</v>
      </c>
      <c r="E139" s="51" t="s">
        <v>572</v>
      </c>
      <c r="F139" s="54" t="s">
        <v>573</v>
      </c>
      <c r="G139" s="50">
        <v>11.4</v>
      </c>
      <c r="H139" s="51" t="s">
        <v>574</v>
      </c>
      <c r="I139" s="53">
        <v>988200</v>
      </c>
      <c r="J139" s="53">
        <v>0</v>
      </c>
      <c r="K139" s="53">
        <v>48000</v>
      </c>
      <c r="L139" s="53">
        <v>0</v>
      </c>
      <c r="M139" s="53">
        <v>0</v>
      </c>
      <c r="N139" s="53">
        <v>0</v>
      </c>
      <c r="O139" s="53">
        <v>0</v>
      </c>
      <c r="P139" s="53">
        <v>0</v>
      </c>
      <c r="Q139" s="53">
        <v>0</v>
      </c>
      <c r="R139" s="53">
        <v>0</v>
      </c>
      <c r="S139" s="53">
        <v>0</v>
      </c>
      <c r="T139" s="53">
        <v>0</v>
      </c>
      <c r="U139" s="53">
        <v>2400</v>
      </c>
      <c r="V139" s="53">
        <v>0</v>
      </c>
      <c r="W139" s="53">
        <v>0</v>
      </c>
      <c r="X139" s="53">
        <v>0</v>
      </c>
      <c r="Y139" s="53">
        <v>0</v>
      </c>
      <c r="Z139" s="53">
        <v>0</v>
      </c>
      <c r="AA139" s="53">
        <v>0</v>
      </c>
      <c r="AB139" s="53">
        <v>0</v>
      </c>
      <c r="AC139" s="53">
        <v>0</v>
      </c>
      <c r="AD139" s="53">
        <v>0</v>
      </c>
      <c r="AE139" s="53">
        <v>0</v>
      </c>
      <c r="AF139" s="53">
        <v>0</v>
      </c>
      <c r="AG139" s="53">
        <v>0</v>
      </c>
      <c r="AH139" s="53">
        <v>0</v>
      </c>
      <c r="AI139" s="53">
        <v>0</v>
      </c>
      <c r="AJ139" s="53">
        <v>0</v>
      </c>
      <c r="AK139" s="53">
        <v>0</v>
      </c>
      <c r="AL139" s="53">
        <v>0</v>
      </c>
      <c r="AM139" s="53" t="str">
        <f>I139-J139-K139-L139-M139-N139-O139-P139-Q139-R139-S139-T139-U139-V139-W139-X139-Y139-Z139-AA139-AB139-AC139-AD139-AE139-AF139-AG139+AH139-AI139+AJ139+AK139-AL139</f>
        <v>0</v>
      </c>
      <c r="AN139" s="53"/>
      <c r="AO139" s="27"/>
    </row>
    <row r="140" spans="1:41">
      <c r="A140" s="44">
        <v>112</v>
      </c>
      <c r="B140" s="46" t="s">
        <v>575</v>
      </c>
      <c r="C140" s="48" t="s">
        <v>576</v>
      </c>
      <c r="D140" s="51" t="s">
        <v>73</v>
      </c>
      <c r="E140" s="51" t="s">
        <v>577</v>
      </c>
      <c r="F140" s="54" t="s">
        <v>578</v>
      </c>
      <c r="G140" s="50">
        <v>3</v>
      </c>
      <c r="H140" s="51" t="s">
        <v>579</v>
      </c>
      <c r="I140" s="53">
        <v>0</v>
      </c>
      <c r="J140" s="53">
        <v>0</v>
      </c>
      <c r="K140" s="53">
        <v>22000</v>
      </c>
      <c r="L140" s="53">
        <v>0</v>
      </c>
      <c r="M140" s="53">
        <v>0</v>
      </c>
      <c r="N140" s="53">
        <v>0</v>
      </c>
      <c r="O140" s="53">
        <v>0</v>
      </c>
      <c r="P140" s="53">
        <v>0</v>
      </c>
      <c r="Q140" s="53">
        <v>0</v>
      </c>
      <c r="R140" s="53">
        <v>0</v>
      </c>
      <c r="S140" s="53">
        <v>0</v>
      </c>
      <c r="T140" s="53">
        <v>0</v>
      </c>
      <c r="U140" s="53">
        <v>1100</v>
      </c>
      <c r="V140" s="53">
        <v>0</v>
      </c>
      <c r="W140" s="53">
        <v>0</v>
      </c>
      <c r="X140" s="53">
        <v>0</v>
      </c>
      <c r="Y140" s="53">
        <v>0</v>
      </c>
      <c r="Z140" s="53">
        <v>0</v>
      </c>
      <c r="AA140" s="53">
        <v>0</v>
      </c>
      <c r="AB140" s="53">
        <v>0</v>
      </c>
      <c r="AC140" s="53">
        <v>0</v>
      </c>
      <c r="AD140" s="53">
        <v>0</v>
      </c>
      <c r="AE140" s="53">
        <v>0</v>
      </c>
      <c r="AF140" s="53">
        <v>0</v>
      </c>
      <c r="AG140" s="53">
        <v>0</v>
      </c>
      <c r="AH140" s="53">
        <v>0</v>
      </c>
      <c r="AI140" s="53">
        <v>0</v>
      </c>
      <c r="AJ140" s="53">
        <v>0</v>
      </c>
      <c r="AK140" s="53">
        <v>0</v>
      </c>
      <c r="AL140" s="53">
        <v>0</v>
      </c>
      <c r="AM140" s="53" t="str">
        <f>I140-J140-K140-L140-M140-N140-O140-P140-Q140-R140-S140-T140-U140-V140-W140-X140-Y140-Z140-AA140-AB140-AC140-AD140-AE140-AF140-AG140+AH140-AI140+AJ140+AK140-AL140</f>
        <v>0</v>
      </c>
      <c r="AN140" s="53"/>
      <c r="AO140" s="27"/>
    </row>
    <row r="141" spans="1:41">
      <c r="A141" s="44">
        <v>113</v>
      </c>
      <c r="B141" s="46" t="s">
        <v>580</v>
      </c>
      <c r="C141" s="48" t="s">
        <v>581</v>
      </c>
      <c r="D141" s="51" t="s">
        <v>73</v>
      </c>
      <c r="E141" s="51" t="s">
        <v>577</v>
      </c>
      <c r="F141" s="54" t="s">
        <v>435</v>
      </c>
      <c r="G141" s="50">
        <v>3</v>
      </c>
      <c r="H141" s="51" t="s">
        <v>582</v>
      </c>
      <c r="I141" s="53">
        <v>0</v>
      </c>
      <c r="J141" s="53">
        <v>0</v>
      </c>
      <c r="K141" s="53">
        <v>22000</v>
      </c>
      <c r="L141" s="53">
        <v>0</v>
      </c>
      <c r="M141" s="53">
        <v>0</v>
      </c>
      <c r="N141" s="53">
        <v>0</v>
      </c>
      <c r="O141" s="53">
        <v>0</v>
      </c>
      <c r="P141" s="53">
        <v>0</v>
      </c>
      <c r="Q141" s="53">
        <v>0</v>
      </c>
      <c r="R141" s="53">
        <v>0</v>
      </c>
      <c r="S141" s="53">
        <v>0</v>
      </c>
      <c r="T141" s="53">
        <v>0</v>
      </c>
      <c r="U141" s="53">
        <v>1100</v>
      </c>
      <c r="V141" s="53">
        <v>0</v>
      </c>
      <c r="W141" s="53">
        <v>0</v>
      </c>
      <c r="X141" s="53">
        <v>0</v>
      </c>
      <c r="Y141" s="53">
        <v>5250</v>
      </c>
      <c r="Z141" s="53">
        <v>0</v>
      </c>
      <c r="AA141" s="53">
        <v>0</v>
      </c>
      <c r="AB141" s="53">
        <v>0</v>
      </c>
      <c r="AC141" s="53">
        <v>0</v>
      </c>
      <c r="AD141" s="53">
        <v>0</v>
      </c>
      <c r="AE141" s="53">
        <v>0</v>
      </c>
      <c r="AF141" s="53">
        <v>0</v>
      </c>
      <c r="AG141" s="53">
        <v>0</v>
      </c>
      <c r="AH141" s="53">
        <v>0</v>
      </c>
      <c r="AI141" s="53">
        <v>0</v>
      </c>
      <c r="AJ141" s="53">
        <v>0</v>
      </c>
      <c r="AK141" s="53">
        <v>0</v>
      </c>
      <c r="AL141" s="53">
        <v>0</v>
      </c>
      <c r="AM141" s="53" t="str">
        <f>I141-J141-K141-L141-M141-N141-O141-P141-Q141-R141-S141-T141-U141-V141-W141-X141-Y141-Z141-AA141-AB141-AC141-AD141-AE141-AF141-AG141+AH141-AI141+AJ141+AK141-AL141</f>
        <v>0</v>
      </c>
      <c r="AN141" s="53"/>
      <c r="AO141" s="27"/>
    </row>
    <row r="142" spans="1:41">
      <c r="A142" s="44">
        <v>114</v>
      </c>
      <c r="B142" s="46" t="s">
        <v>583</v>
      </c>
      <c r="C142" s="48" t="s">
        <v>584</v>
      </c>
      <c r="D142" s="51" t="s">
        <v>73</v>
      </c>
      <c r="E142" s="51" t="s">
        <v>577</v>
      </c>
      <c r="F142" s="54" t="s">
        <v>585</v>
      </c>
      <c r="G142" s="50">
        <v>3</v>
      </c>
      <c r="H142" s="51" t="s">
        <v>586</v>
      </c>
      <c r="I142" s="53">
        <v>0</v>
      </c>
      <c r="J142" s="53">
        <v>0</v>
      </c>
      <c r="K142" s="53">
        <v>22000</v>
      </c>
      <c r="L142" s="53">
        <v>0</v>
      </c>
      <c r="M142" s="53">
        <v>0</v>
      </c>
      <c r="N142" s="53">
        <v>0</v>
      </c>
      <c r="O142" s="53">
        <v>0</v>
      </c>
      <c r="P142" s="53">
        <v>0</v>
      </c>
      <c r="Q142" s="53">
        <v>0</v>
      </c>
      <c r="R142" s="53">
        <v>0</v>
      </c>
      <c r="S142" s="53">
        <v>0</v>
      </c>
      <c r="T142" s="53">
        <v>0</v>
      </c>
      <c r="U142" s="53">
        <v>1100</v>
      </c>
      <c r="V142" s="53">
        <v>0</v>
      </c>
      <c r="W142" s="53">
        <v>0</v>
      </c>
      <c r="X142" s="53">
        <v>0</v>
      </c>
      <c r="Y142" s="53">
        <v>11550</v>
      </c>
      <c r="Z142" s="53">
        <v>0</v>
      </c>
      <c r="AA142" s="53">
        <v>0</v>
      </c>
      <c r="AB142" s="53">
        <v>0</v>
      </c>
      <c r="AC142" s="53">
        <v>0</v>
      </c>
      <c r="AD142" s="53">
        <v>0</v>
      </c>
      <c r="AE142" s="53">
        <v>0</v>
      </c>
      <c r="AF142" s="53">
        <v>0</v>
      </c>
      <c r="AG142" s="53">
        <v>0</v>
      </c>
      <c r="AH142" s="53">
        <v>0</v>
      </c>
      <c r="AI142" s="53">
        <v>0</v>
      </c>
      <c r="AJ142" s="53">
        <v>0</v>
      </c>
      <c r="AK142" s="53">
        <v>0</v>
      </c>
      <c r="AL142" s="53">
        <v>0</v>
      </c>
      <c r="AM142" s="53" t="str">
        <f>I142-J142-K142-L142-M142-N142-O142-P142-Q142-R142-S142-T142-U142-V142-W142-X142-Y142-Z142-AA142-AB142-AC142-AD142-AE142-AF142-AG142+AH142-AI142+AJ142+AK142-AL142</f>
        <v>0</v>
      </c>
      <c r="AN142" s="53"/>
      <c r="AO142" s="27"/>
    </row>
    <row r="143" spans="1:41">
      <c r="A143" s="44">
        <v>115</v>
      </c>
      <c r="B143" s="46" t="s">
        <v>587</v>
      </c>
      <c r="C143" s="48" t="s">
        <v>588</v>
      </c>
      <c r="D143" s="51" t="s">
        <v>73</v>
      </c>
      <c r="E143" s="51" t="s">
        <v>589</v>
      </c>
      <c r="F143" s="54" t="s">
        <v>590</v>
      </c>
      <c r="G143" s="50">
        <v>3</v>
      </c>
      <c r="H143" s="51" t="s">
        <v>591</v>
      </c>
      <c r="I143" s="53">
        <v>0</v>
      </c>
      <c r="J143" s="53">
        <v>0</v>
      </c>
      <c r="K143" s="53">
        <v>22000</v>
      </c>
      <c r="L143" s="53">
        <v>0</v>
      </c>
      <c r="M143" s="53">
        <v>0</v>
      </c>
      <c r="N143" s="53">
        <v>0</v>
      </c>
      <c r="O143" s="53">
        <v>0</v>
      </c>
      <c r="P143" s="53">
        <v>0</v>
      </c>
      <c r="Q143" s="53">
        <v>0</v>
      </c>
      <c r="R143" s="53">
        <v>0</v>
      </c>
      <c r="S143" s="53">
        <v>0</v>
      </c>
      <c r="T143" s="53">
        <v>0</v>
      </c>
      <c r="U143" s="53">
        <v>1100</v>
      </c>
      <c r="V143" s="53">
        <v>0</v>
      </c>
      <c r="W143" s="53">
        <v>0</v>
      </c>
      <c r="X143" s="53">
        <v>0</v>
      </c>
      <c r="Y143" s="53">
        <v>11550</v>
      </c>
      <c r="Z143" s="53">
        <v>0</v>
      </c>
      <c r="AA143" s="53">
        <v>0</v>
      </c>
      <c r="AB143" s="53">
        <v>0</v>
      </c>
      <c r="AC143" s="53">
        <v>0</v>
      </c>
      <c r="AD143" s="53">
        <v>0</v>
      </c>
      <c r="AE143" s="53">
        <v>0</v>
      </c>
      <c r="AF143" s="53">
        <v>0</v>
      </c>
      <c r="AG143" s="53">
        <v>0</v>
      </c>
      <c r="AH143" s="53">
        <v>0</v>
      </c>
      <c r="AI143" s="53">
        <v>0</v>
      </c>
      <c r="AJ143" s="53">
        <v>0</v>
      </c>
      <c r="AK143" s="53">
        <v>0</v>
      </c>
      <c r="AL143" s="53">
        <v>0</v>
      </c>
      <c r="AM143" s="53" t="str">
        <f>I143-J143-K143-L143-M143-N143-O143-P143-Q143-R143-S143-T143-U143-V143-W143-X143-Y143-Z143-AA143-AB143-AC143-AD143-AE143-AF143-AG143+AH143-AI143+AJ143+AK143-AL143</f>
        <v>0</v>
      </c>
      <c r="AN143" s="53"/>
      <c r="AO143" s="27"/>
    </row>
    <row r="144" spans="1:41">
      <c r="A144" s="44">
        <v>116</v>
      </c>
      <c r="B144" s="46" t="s">
        <v>592</v>
      </c>
      <c r="C144" s="48" t="s">
        <v>593</v>
      </c>
      <c r="D144" s="51" t="s">
        <v>73</v>
      </c>
      <c r="E144" s="51" t="s">
        <v>594</v>
      </c>
      <c r="F144" s="54" t="s">
        <v>595</v>
      </c>
      <c r="G144" s="50">
        <v>2</v>
      </c>
      <c r="H144" s="51" t="s">
        <v>596</v>
      </c>
      <c r="I144" s="53">
        <v>351000</v>
      </c>
      <c r="J144" s="53">
        <v>0</v>
      </c>
      <c r="K144" s="53">
        <v>22000</v>
      </c>
      <c r="L144" s="53">
        <v>0</v>
      </c>
      <c r="M144" s="53">
        <v>0</v>
      </c>
      <c r="N144" s="53">
        <v>0</v>
      </c>
      <c r="O144" s="53">
        <v>0</v>
      </c>
      <c r="P144" s="53">
        <v>0</v>
      </c>
      <c r="Q144" s="53">
        <v>0</v>
      </c>
      <c r="R144" s="53">
        <v>0</v>
      </c>
      <c r="S144" s="53">
        <v>0</v>
      </c>
      <c r="T144" s="53">
        <v>0</v>
      </c>
      <c r="U144" s="53">
        <v>1100</v>
      </c>
      <c r="V144" s="53">
        <v>0</v>
      </c>
      <c r="W144" s="53">
        <v>0</v>
      </c>
      <c r="X144" s="53">
        <v>0</v>
      </c>
      <c r="Y144" s="53">
        <v>0</v>
      </c>
      <c r="Z144" s="53">
        <v>0</v>
      </c>
      <c r="AA144" s="53">
        <v>0</v>
      </c>
      <c r="AB144" s="53">
        <v>0</v>
      </c>
      <c r="AC144" s="53">
        <v>0</v>
      </c>
      <c r="AD144" s="53">
        <v>0</v>
      </c>
      <c r="AE144" s="53">
        <v>0</v>
      </c>
      <c r="AF144" s="53">
        <v>0</v>
      </c>
      <c r="AG144" s="53">
        <v>0</v>
      </c>
      <c r="AH144" s="53">
        <v>0</v>
      </c>
      <c r="AI144" s="53">
        <v>0</v>
      </c>
      <c r="AJ144" s="53">
        <v>0</v>
      </c>
      <c r="AK144" s="53">
        <v>0</v>
      </c>
      <c r="AL144" s="53">
        <v>0</v>
      </c>
      <c r="AM144" s="53" t="str">
        <f>I144-J144-K144-L144-M144-N144-O144-P144-Q144-R144-S144-T144-U144-V144-W144-X144-Y144-Z144-AA144-AB144-AC144-AD144-AE144-AF144-AG144+AH144-AI144+AJ144+AK144-AL144</f>
        <v>0</v>
      </c>
      <c r="AN144" s="53"/>
      <c r="AO144" s="27"/>
    </row>
    <row r="145" spans="1:41">
      <c r="A145" s="44">
        <v>117</v>
      </c>
      <c r="B145" s="46" t="s">
        <v>597</v>
      </c>
      <c r="C145" s="48" t="s">
        <v>598</v>
      </c>
      <c r="D145" s="51" t="s">
        <v>73</v>
      </c>
      <c r="E145" s="51" t="s">
        <v>594</v>
      </c>
      <c r="F145" s="54" t="s">
        <v>599</v>
      </c>
      <c r="G145" s="50">
        <v>2</v>
      </c>
      <c r="H145" s="51" t="s">
        <v>600</v>
      </c>
      <c r="I145" s="53">
        <v>202500</v>
      </c>
      <c r="J145" s="53">
        <v>0</v>
      </c>
      <c r="K145" s="53">
        <v>22000</v>
      </c>
      <c r="L145" s="53">
        <v>0</v>
      </c>
      <c r="M145" s="53">
        <v>0</v>
      </c>
      <c r="N145" s="53">
        <v>0</v>
      </c>
      <c r="O145" s="53">
        <v>0</v>
      </c>
      <c r="P145" s="53">
        <v>0</v>
      </c>
      <c r="Q145" s="53">
        <v>0</v>
      </c>
      <c r="R145" s="53">
        <v>0</v>
      </c>
      <c r="S145" s="53">
        <v>0</v>
      </c>
      <c r="T145" s="53">
        <v>0</v>
      </c>
      <c r="U145" s="53">
        <v>1100</v>
      </c>
      <c r="V145" s="53">
        <v>0</v>
      </c>
      <c r="W145" s="53">
        <v>0</v>
      </c>
      <c r="X145" s="53">
        <v>0</v>
      </c>
      <c r="Y145" s="53">
        <v>0</v>
      </c>
      <c r="Z145" s="53">
        <v>0</v>
      </c>
      <c r="AA145" s="53">
        <v>0</v>
      </c>
      <c r="AB145" s="53">
        <v>0</v>
      </c>
      <c r="AC145" s="53">
        <v>0</v>
      </c>
      <c r="AD145" s="53">
        <v>0</v>
      </c>
      <c r="AE145" s="53">
        <v>0</v>
      </c>
      <c r="AF145" s="53">
        <v>0</v>
      </c>
      <c r="AG145" s="53">
        <v>0</v>
      </c>
      <c r="AH145" s="53">
        <v>0</v>
      </c>
      <c r="AI145" s="53">
        <v>0</v>
      </c>
      <c r="AJ145" s="53">
        <v>0</v>
      </c>
      <c r="AK145" s="53">
        <v>0</v>
      </c>
      <c r="AL145" s="53">
        <v>0</v>
      </c>
      <c r="AM145" s="53" t="str">
        <f>I145-J145-K145-L145-M145-N145-O145-P145-Q145-R145-S145-T145-U145-V145-W145-X145-Y145-Z145-AA145-AB145-AC145-AD145-AE145-AF145-AG145+AH145-AI145+AJ145+AK145-AL145</f>
        <v>0</v>
      </c>
      <c r="AN145" s="53"/>
      <c r="AO145" s="27"/>
    </row>
    <row r="146" spans="1:41">
      <c r="A146" s="44">
        <v>118</v>
      </c>
      <c r="B146" s="46" t="s">
        <v>601</v>
      </c>
      <c r="C146" s="48" t="s">
        <v>602</v>
      </c>
      <c r="D146" s="51" t="s">
        <v>73</v>
      </c>
      <c r="E146" s="51" t="s">
        <v>594</v>
      </c>
      <c r="F146" s="54" t="s">
        <v>603</v>
      </c>
      <c r="G146" s="50">
        <v>2</v>
      </c>
      <c r="H146" s="51" t="s">
        <v>604</v>
      </c>
      <c r="I146" s="53">
        <v>269100</v>
      </c>
      <c r="J146" s="53">
        <v>0</v>
      </c>
      <c r="K146" s="53">
        <v>22000</v>
      </c>
      <c r="L146" s="53">
        <v>0</v>
      </c>
      <c r="M146" s="53">
        <v>0</v>
      </c>
      <c r="N146" s="53">
        <v>0</v>
      </c>
      <c r="O146" s="53">
        <v>0</v>
      </c>
      <c r="P146" s="53">
        <v>0</v>
      </c>
      <c r="Q146" s="53">
        <v>0</v>
      </c>
      <c r="R146" s="53">
        <v>0</v>
      </c>
      <c r="S146" s="53">
        <v>0</v>
      </c>
      <c r="T146" s="53">
        <v>0</v>
      </c>
      <c r="U146" s="53">
        <v>1100</v>
      </c>
      <c r="V146" s="53">
        <v>0</v>
      </c>
      <c r="W146" s="53">
        <v>0</v>
      </c>
      <c r="X146" s="53">
        <v>0</v>
      </c>
      <c r="Y146" s="53">
        <v>0</v>
      </c>
      <c r="Z146" s="53">
        <v>0</v>
      </c>
      <c r="AA146" s="53">
        <v>0</v>
      </c>
      <c r="AB146" s="53">
        <v>0</v>
      </c>
      <c r="AC146" s="53">
        <v>0</v>
      </c>
      <c r="AD146" s="53">
        <v>0</v>
      </c>
      <c r="AE146" s="53">
        <v>0</v>
      </c>
      <c r="AF146" s="53">
        <v>0</v>
      </c>
      <c r="AG146" s="53">
        <v>0</v>
      </c>
      <c r="AH146" s="53">
        <v>0</v>
      </c>
      <c r="AI146" s="53">
        <v>0</v>
      </c>
      <c r="AJ146" s="53">
        <v>0</v>
      </c>
      <c r="AK146" s="53">
        <v>0</v>
      </c>
      <c r="AL146" s="53">
        <v>0</v>
      </c>
      <c r="AM146" s="53" t="str">
        <f>I146-J146-K146-L146-M146-N146-O146-P146-Q146-R146-S146-T146-U146-V146-W146-X146-Y146-Z146-AA146-AB146-AC146-AD146-AE146-AF146-AG146+AH146-AI146+AJ146+AK146-AL146</f>
        <v>0</v>
      </c>
      <c r="AN146" s="53"/>
      <c r="AO146" s="27"/>
    </row>
    <row r="147" spans="1:41">
      <c r="A147" s="44">
        <v>119</v>
      </c>
      <c r="B147" s="46" t="s">
        <v>605</v>
      </c>
      <c r="C147" s="48" t="s">
        <v>606</v>
      </c>
      <c r="D147" s="51" t="s">
        <v>73</v>
      </c>
      <c r="E147" s="51" t="s">
        <v>594</v>
      </c>
      <c r="F147" s="54" t="s">
        <v>607</v>
      </c>
      <c r="G147" s="50">
        <v>2</v>
      </c>
      <c r="H147" s="51" t="s">
        <v>608</v>
      </c>
      <c r="I147" s="53">
        <v>90000</v>
      </c>
      <c r="J147" s="53">
        <v>0</v>
      </c>
      <c r="K147" s="53">
        <v>22000</v>
      </c>
      <c r="L147" s="53">
        <v>0</v>
      </c>
      <c r="M147" s="53">
        <v>0</v>
      </c>
      <c r="N147" s="53">
        <v>0</v>
      </c>
      <c r="O147" s="53">
        <v>0</v>
      </c>
      <c r="P147" s="53">
        <v>0</v>
      </c>
      <c r="Q147" s="53">
        <v>0</v>
      </c>
      <c r="R147" s="53">
        <v>0</v>
      </c>
      <c r="S147" s="53">
        <v>0</v>
      </c>
      <c r="T147" s="53">
        <v>0</v>
      </c>
      <c r="U147" s="53">
        <v>1100</v>
      </c>
      <c r="V147" s="53">
        <v>0</v>
      </c>
      <c r="W147" s="53">
        <v>0</v>
      </c>
      <c r="X147" s="53">
        <v>0</v>
      </c>
      <c r="Y147" s="53">
        <v>0</v>
      </c>
      <c r="Z147" s="53">
        <v>0</v>
      </c>
      <c r="AA147" s="53">
        <v>0</v>
      </c>
      <c r="AB147" s="53">
        <v>0</v>
      </c>
      <c r="AC147" s="53">
        <v>0</v>
      </c>
      <c r="AD147" s="53">
        <v>0</v>
      </c>
      <c r="AE147" s="53">
        <v>0</v>
      </c>
      <c r="AF147" s="53">
        <v>0</v>
      </c>
      <c r="AG147" s="53">
        <v>0</v>
      </c>
      <c r="AH147" s="53">
        <v>0</v>
      </c>
      <c r="AI147" s="53">
        <v>0</v>
      </c>
      <c r="AJ147" s="53">
        <v>0</v>
      </c>
      <c r="AK147" s="53">
        <v>0</v>
      </c>
      <c r="AL147" s="53">
        <v>0</v>
      </c>
      <c r="AM147" s="53" t="str">
        <f>I147-J147-K147-L147-M147-N147-O147-P147-Q147-R147-S147-T147-U147-V147-W147-X147-Y147-Z147-AA147-AB147-AC147-AD147-AE147-AF147-AG147+AH147-AI147+AJ147+AK147-AL147</f>
        <v>0</v>
      </c>
      <c r="AN147" s="53"/>
      <c r="AO147" s="27"/>
    </row>
    <row r="148" spans="1:41">
      <c r="A148" s="44">
        <v>120</v>
      </c>
      <c r="B148" s="46" t="s">
        <v>609</v>
      </c>
      <c r="C148" s="48" t="s">
        <v>610</v>
      </c>
      <c r="D148" s="51" t="s">
        <v>73</v>
      </c>
      <c r="E148" s="51" t="s">
        <v>594</v>
      </c>
      <c r="F148" s="54" t="s">
        <v>611</v>
      </c>
      <c r="G148" s="50">
        <v>2</v>
      </c>
      <c r="H148" s="51" t="s">
        <v>612</v>
      </c>
      <c r="I148" s="53">
        <v>531000</v>
      </c>
      <c r="J148" s="53">
        <v>0</v>
      </c>
      <c r="K148" s="53">
        <v>22000</v>
      </c>
      <c r="L148" s="53">
        <v>0</v>
      </c>
      <c r="M148" s="53">
        <v>0</v>
      </c>
      <c r="N148" s="53">
        <v>0</v>
      </c>
      <c r="O148" s="53">
        <v>0</v>
      </c>
      <c r="P148" s="53">
        <v>0</v>
      </c>
      <c r="Q148" s="53">
        <v>0</v>
      </c>
      <c r="R148" s="53">
        <v>0</v>
      </c>
      <c r="S148" s="53">
        <v>0</v>
      </c>
      <c r="T148" s="53">
        <v>0</v>
      </c>
      <c r="U148" s="53">
        <v>1100</v>
      </c>
      <c r="V148" s="53">
        <v>0</v>
      </c>
      <c r="W148" s="53">
        <v>0</v>
      </c>
      <c r="X148" s="53">
        <v>0</v>
      </c>
      <c r="Y148" s="53">
        <v>0</v>
      </c>
      <c r="Z148" s="53">
        <v>0</v>
      </c>
      <c r="AA148" s="53">
        <v>0</v>
      </c>
      <c r="AB148" s="53">
        <v>0</v>
      </c>
      <c r="AC148" s="53">
        <v>0</v>
      </c>
      <c r="AD148" s="53">
        <v>0</v>
      </c>
      <c r="AE148" s="53">
        <v>0</v>
      </c>
      <c r="AF148" s="53">
        <v>0</v>
      </c>
      <c r="AG148" s="53">
        <v>0</v>
      </c>
      <c r="AH148" s="53">
        <v>0</v>
      </c>
      <c r="AI148" s="53">
        <v>0</v>
      </c>
      <c r="AJ148" s="53">
        <v>0</v>
      </c>
      <c r="AK148" s="53">
        <v>0</v>
      </c>
      <c r="AL148" s="53">
        <v>0</v>
      </c>
      <c r="AM148" s="53" t="str">
        <f>I148-J148-K148-L148-M148-N148-O148-P148-Q148-R148-S148-T148-U148-V148-W148-X148-Y148-Z148-AA148-AB148-AC148-AD148-AE148-AF148-AG148+AH148-AI148+AJ148+AK148-AL148</f>
        <v>0</v>
      </c>
      <c r="AN148" s="53"/>
      <c r="AO148" s="27"/>
    </row>
    <row r="149" spans="1:41">
      <c r="A149" s="44">
        <v>121</v>
      </c>
      <c r="B149" s="46" t="s">
        <v>613</v>
      </c>
      <c r="C149" s="48" t="s">
        <v>614</v>
      </c>
      <c r="D149" s="51" t="s">
        <v>73</v>
      </c>
      <c r="E149" s="51" t="s">
        <v>594</v>
      </c>
      <c r="F149" s="54" t="s">
        <v>615</v>
      </c>
      <c r="G149" s="50">
        <v>2</v>
      </c>
      <c r="H149" s="51" t="s">
        <v>616</v>
      </c>
      <c r="I149" s="53">
        <v>251100</v>
      </c>
      <c r="J149" s="53">
        <v>0</v>
      </c>
      <c r="K149" s="53">
        <v>22000</v>
      </c>
      <c r="L149" s="53">
        <v>0</v>
      </c>
      <c r="M149" s="53">
        <v>0</v>
      </c>
      <c r="N149" s="53">
        <v>0</v>
      </c>
      <c r="O149" s="53">
        <v>0</v>
      </c>
      <c r="P149" s="53">
        <v>0</v>
      </c>
      <c r="Q149" s="53">
        <v>0</v>
      </c>
      <c r="R149" s="53">
        <v>0</v>
      </c>
      <c r="S149" s="53">
        <v>0</v>
      </c>
      <c r="T149" s="53">
        <v>0</v>
      </c>
      <c r="U149" s="53">
        <v>1100</v>
      </c>
      <c r="V149" s="53">
        <v>0</v>
      </c>
      <c r="W149" s="53">
        <v>0</v>
      </c>
      <c r="X149" s="53">
        <v>0</v>
      </c>
      <c r="Y149" s="53">
        <v>0</v>
      </c>
      <c r="Z149" s="53">
        <v>0</v>
      </c>
      <c r="AA149" s="53">
        <v>0</v>
      </c>
      <c r="AB149" s="53">
        <v>0</v>
      </c>
      <c r="AC149" s="53">
        <v>0</v>
      </c>
      <c r="AD149" s="53">
        <v>0</v>
      </c>
      <c r="AE149" s="53">
        <v>0</v>
      </c>
      <c r="AF149" s="53">
        <v>0</v>
      </c>
      <c r="AG149" s="53">
        <v>0</v>
      </c>
      <c r="AH149" s="53">
        <v>0</v>
      </c>
      <c r="AI149" s="53">
        <v>0</v>
      </c>
      <c r="AJ149" s="53">
        <v>0</v>
      </c>
      <c r="AK149" s="53">
        <v>0</v>
      </c>
      <c r="AL149" s="53">
        <v>0</v>
      </c>
      <c r="AM149" s="53" t="str">
        <f>I149-J149-K149-L149-M149-N149-O149-P149-Q149-R149-S149-T149-U149-V149-W149-X149-Y149-Z149-AA149-AB149-AC149-AD149-AE149-AF149-AG149+AH149-AI149+AJ149+AK149-AL149</f>
        <v>0</v>
      </c>
      <c r="AN149" s="53"/>
      <c r="AO149" s="27"/>
    </row>
    <row r="150" spans="1:41">
      <c r="A150" s="44">
        <v>122</v>
      </c>
      <c r="B150" s="46" t="s">
        <v>617</v>
      </c>
      <c r="C150" s="48" t="s">
        <v>618</v>
      </c>
      <c r="D150" s="51" t="s">
        <v>73</v>
      </c>
      <c r="E150" s="51" t="s">
        <v>594</v>
      </c>
      <c r="F150" s="54" t="s">
        <v>619</v>
      </c>
      <c r="G150" s="50">
        <v>5</v>
      </c>
      <c r="H150" s="51" t="s">
        <v>620</v>
      </c>
      <c r="I150" s="53">
        <v>864000</v>
      </c>
      <c r="J150" s="53">
        <v>0</v>
      </c>
      <c r="K150" s="53">
        <v>27000</v>
      </c>
      <c r="L150" s="53">
        <v>0</v>
      </c>
      <c r="M150" s="53">
        <v>0</v>
      </c>
      <c r="N150" s="53">
        <v>0</v>
      </c>
      <c r="O150" s="53">
        <v>0</v>
      </c>
      <c r="P150" s="53">
        <v>0</v>
      </c>
      <c r="Q150" s="53">
        <v>0</v>
      </c>
      <c r="R150" s="53">
        <v>0</v>
      </c>
      <c r="S150" s="53">
        <v>0</v>
      </c>
      <c r="T150" s="53">
        <v>0</v>
      </c>
      <c r="U150" s="53">
        <v>1350</v>
      </c>
      <c r="V150" s="53">
        <v>0</v>
      </c>
      <c r="W150" s="53">
        <v>0</v>
      </c>
      <c r="X150" s="53">
        <v>0</v>
      </c>
      <c r="Y150" s="53">
        <v>0</v>
      </c>
      <c r="Z150" s="53">
        <v>0</v>
      </c>
      <c r="AA150" s="53">
        <v>0</v>
      </c>
      <c r="AB150" s="53">
        <v>0</v>
      </c>
      <c r="AC150" s="53">
        <v>0</v>
      </c>
      <c r="AD150" s="53">
        <v>0</v>
      </c>
      <c r="AE150" s="53">
        <v>0</v>
      </c>
      <c r="AF150" s="53">
        <v>0</v>
      </c>
      <c r="AG150" s="53">
        <v>0</v>
      </c>
      <c r="AH150" s="53">
        <v>0</v>
      </c>
      <c r="AI150" s="53">
        <v>0</v>
      </c>
      <c r="AJ150" s="53">
        <v>0</v>
      </c>
      <c r="AK150" s="53">
        <v>0</v>
      </c>
      <c r="AL150" s="53">
        <v>0</v>
      </c>
      <c r="AM150" s="53" t="str">
        <f>I150-J150-K150-L150-M150-N150-O150-P150-Q150-R150-S150-T150-U150-V150-W150-X150-Y150-Z150-AA150-AB150-AC150-AD150-AE150-AF150-AG150+AH150-AI150+AJ150+AK150-AL150</f>
        <v>0</v>
      </c>
      <c r="AN150" s="53"/>
      <c r="AO150" s="27"/>
    </row>
    <row r="151" spans="1:41">
      <c r="A151" s="44">
        <v>123</v>
      </c>
      <c r="B151" s="46" t="s">
        <v>621</v>
      </c>
      <c r="C151" s="48" t="s">
        <v>622</v>
      </c>
      <c r="D151" s="51" t="s">
        <v>73</v>
      </c>
      <c r="E151" s="51" t="s">
        <v>594</v>
      </c>
      <c r="F151" s="54" t="s">
        <v>623</v>
      </c>
      <c r="G151" s="50">
        <v>3</v>
      </c>
      <c r="H151" s="51" t="s">
        <v>624</v>
      </c>
      <c r="I151" s="53">
        <v>189000</v>
      </c>
      <c r="J151" s="53">
        <v>0</v>
      </c>
      <c r="K151" s="53">
        <v>22000</v>
      </c>
      <c r="L151" s="53">
        <v>0</v>
      </c>
      <c r="M151" s="53">
        <v>0</v>
      </c>
      <c r="N151" s="53">
        <v>0</v>
      </c>
      <c r="O151" s="53">
        <v>0</v>
      </c>
      <c r="P151" s="53">
        <v>0</v>
      </c>
      <c r="Q151" s="53">
        <v>0</v>
      </c>
      <c r="R151" s="53">
        <v>0</v>
      </c>
      <c r="S151" s="53">
        <v>0</v>
      </c>
      <c r="T151" s="53">
        <v>0</v>
      </c>
      <c r="U151" s="53">
        <v>1100</v>
      </c>
      <c r="V151" s="53">
        <v>0</v>
      </c>
      <c r="W151" s="53">
        <v>0</v>
      </c>
      <c r="X151" s="53">
        <v>0</v>
      </c>
      <c r="Y151" s="53">
        <v>0</v>
      </c>
      <c r="Z151" s="53">
        <v>0</v>
      </c>
      <c r="AA151" s="53">
        <v>0</v>
      </c>
      <c r="AB151" s="53">
        <v>0</v>
      </c>
      <c r="AC151" s="53">
        <v>0</v>
      </c>
      <c r="AD151" s="53">
        <v>0</v>
      </c>
      <c r="AE151" s="53">
        <v>0</v>
      </c>
      <c r="AF151" s="53">
        <v>0</v>
      </c>
      <c r="AG151" s="53">
        <v>0</v>
      </c>
      <c r="AH151" s="53">
        <v>0</v>
      </c>
      <c r="AI151" s="53">
        <v>0</v>
      </c>
      <c r="AJ151" s="53">
        <v>0</v>
      </c>
      <c r="AK151" s="53">
        <v>0</v>
      </c>
      <c r="AL151" s="53">
        <v>0</v>
      </c>
      <c r="AM151" s="53" t="str">
        <f>I151-J151-K151-L151-M151-N151-O151-P151-Q151-R151-S151-T151-U151-V151-W151-X151-Y151-Z151-AA151-AB151-AC151-AD151-AE151-AF151-AG151+AH151-AI151+AJ151+AK151-AL151</f>
        <v>0</v>
      </c>
      <c r="AN151" s="53"/>
      <c r="AO151" s="27"/>
    </row>
    <row r="152" spans="1:41">
      <c r="A152" s="44">
        <v>124</v>
      </c>
      <c r="B152" s="46" t="s">
        <v>625</v>
      </c>
      <c r="C152" s="48" t="s">
        <v>626</v>
      </c>
      <c r="D152" s="51" t="s">
        <v>73</v>
      </c>
      <c r="E152" s="51" t="s">
        <v>594</v>
      </c>
      <c r="F152" s="54" t="s">
        <v>627</v>
      </c>
      <c r="G152" s="50">
        <v>3</v>
      </c>
      <c r="H152" s="51" t="s">
        <v>628</v>
      </c>
      <c r="I152" s="53">
        <v>629100</v>
      </c>
      <c r="J152" s="53">
        <v>0</v>
      </c>
      <c r="K152" s="53">
        <v>22000</v>
      </c>
      <c r="L152" s="53">
        <v>0</v>
      </c>
      <c r="M152" s="53">
        <v>0</v>
      </c>
      <c r="N152" s="53">
        <v>0</v>
      </c>
      <c r="O152" s="53">
        <v>0</v>
      </c>
      <c r="P152" s="53">
        <v>0</v>
      </c>
      <c r="Q152" s="53">
        <v>0</v>
      </c>
      <c r="R152" s="53">
        <v>0</v>
      </c>
      <c r="S152" s="53">
        <v>0</v>
      </c>
      <c r="T152" s="53">
        <v>0</v>
      </c>
      <c r="U152" s="53">
        <v>1100</v>
      </c>
      <c r="V152" s="53">
        <v>0</v>
      </c>
      <c r="W152" s="53">
        <v>0</v>
      </c>
      <c r="X152" s="53">
        <v>0</v>
      </c>
      <c r="Y152" s="53">
        <v>0</v>
      </c>
      <c r="Z152" s="53">
        <v>0</v>
      </c>
      <c r="AA152" s="53">
        <v>0</v>
      </c>
      <c r="AB152" s="53">
        <v>0</v>
      </c>
      <c r="AC152" s="53">
        <v>0</v>
      </c>
      <c r="AD152" s="53">
        <v>0</v>
      </c>
      <c r="AE152" s="53">
        <v>0</v>
      </c>
      <c r="AF152" s="53">
        <v>0</v>
      </c>
      <c r="AG152" s="53">
        <v>0</v>
      </c>
      <c r="AH152" s="53">
        <v>0</v>
      </c>
      <c r="AI152" s="53">
        <v>0</v>
      </c>
      <c r="AJ152" s="53">
        <v>0</v>
      </c>
      <c r="AK152" s="53">
        <v>0</v>
      </c>
      <c r="AL152" s="53">
        <v>0</v>
      </c>
      <c r="AM152" s="53" t="str">
        <f>I152-J152-K152-L152-M152-N152-O152-P152-Q152-R152-S152-T152-U152-V152-W152-X152-Y152-Z152-AA152-AB152-AC152-AD152-AE152-AF152-AG152+AH152-AI152+AJ152+AK152-AL152</f>
        <v>0</v>
      </c>
      <c r="AN152" s="53"/>
      <c r="AO152" s="27"/>
    </row>
    <row r="153" spans="1:41">
      <c r="A153" s="44">
        <v>125</v>
      </c>
      <c r="B153" s="46" t="s">
        <v>629</v>
      </c>
      <c r="C153" s="48" t="s">
        <v>630</v>
      </c>
      <c r="D153" s="51" t="s">
        <v>73</v>
      </c>
      <c r="E153" s="51" t="s">
        <v>594</v>
      </c>
      <c r="F153" s="54" t="s">
        <v>631</v>
      </c>
      <c r="G153" s="50">
        <v>2</v>
      </c>
      <c r="H153" s="51" t="s">
        <v>632</v>
      </c>
      <c r="I153" s="53">
        <v>359100</v>
      </c>
      <c r="J153" s="53">
        <v>0</v>
      </c>
      <c r="K153" s="53">
        <v>22000</v>
      </c>
      <c r="L153" s="53">
        <v>0</v>
      </c>
      <c r="M153" s="53">
        <v>0</v>
      </c>
      <c r="N153" s="53">
        <v>0</v>
      </c>
      <c r="O153" s="53">
        <v>0</v>
      </c>
      <c r="P153" s="53">
        <v>0</v>
      </c>
      <c r="Q153" s="53">
        <v>0</v>
      </c>
      <c r="R153" s="53">
        <v>0</v>
      </c>
      <c r="S153" s="53">
        <v>0</v>
      </c>
      <c r="T153" s="53">
        <v>0</v>
      </c>
      <c r="U153" s="53">
        <v>1100</v>
      </c>
      <c r="V153" s="53">
        <v>0</v>
      </c>
      <c r="W153" s="53">
        <v>0</v>
      </c>
      <c r="X153" s="53">
        <v>0</v>
      </c>
      <c r="Y153" s="53">
        <v>0</v>
      </c>
      <c r="Z153" s="53">
        <v>0</v>
      </c>
      <c r="AA153" s="53">
        <v>0</v>
      </c>
      <c r="AB153" s="53">
        <v>0</v>
      </c>
      <c r="AC153" s="53">
        <v>0</v>
      </c>
      <c r="AD153" s="53">
        <v>0</v>
      </c>
      <c r="AE153" s="53">
        <v>0</v>
      </c>
      <c r="AF153" s="53">
        <v>0</v>
      </c>
      <c r="AG153" s="53">
        <v>0</v>
      </c>
      <c r="AH153" s="53">
        <v>0</v>
      </c>
      <c r="AI153" s="53">
        <v>0</v>
      </c>
      <c r="AJ153" s="53">
        <v>0</v>
      </c>
      <c r="AK153" s="53">
        <v>0</v>
      </c>
      <c r="AL153" s="53">
        <v>0</v>
      </c>
      <c r="AM153" s="53" t="str">
        <f>I153-J153-K153-L153-M153-N153-O153-P153-Q153-R153-S153-T153-U153-V153-W153-X153-Y153-Z153-AA153-AB153-AC153-AD153-AE153-AF153-AG153+AH153-AI153+AJ153+AK153-AL153</f>
        <v>0</v>
      </c>
      <c r="AN153" s="53"/>
      <c r="AO153" s="27"/>
    </row>
    <row r="154" spans="1:41">
      <c r="A154" s="44">
        <v>126</v>
      </c>
      <c r="B154" s="46" t="s">
        <v>633</v>
      </c>
      <c r="C154" s="48" t="s">
        <v>634</v>
      </c>
      <c r="D154" s="51" t="s">
        <v>73</v>
      </c>
      <c r="E154" s="51" t="s">
        <v>594</v>
      </c>
      <c r="F154" s="54" t="s">
        <v>635</v>
      </c>
      <c r="G154" s="50">
        <v>1</v>
      </c>
      <c r="H154" s="51" t="s">
        <v>636</v>
      </c>
      <c r="I154" s="53">
        <v>479000</v>
      </c>
      <c r="J154" s="53">
        <v>0</v>
      </c>
      <c r="K154" s="53">
        <v>22000</v>
      </c>
      <c r="L154" s="53">
        <v>0</v>
      </c>
      <c r="M154" s="53">
        <v>0</v>
      </c>
      <c r="N154" s="53">
        <v>0</v>
      </c>
      <c r="O154" s="53">
        <v>0</v>
      </c>
      <c r="P154" s="53">
        <v>0</v>
      </c>
      <c r="Q154" s="53">
        <v>0</v>
      </c>
      <c r="R154" s="53">
        <v>0</v>
      </c>
      <c r="S154" s="53">
        <v>0</v>
      </c>
      <c r="T154" s="53">
        <v>0</v>
      </c>
      <c r="U154" s="53">
        <v>1100</v>
      </c>
      <c r="V154" s="53">
        <v>0</v>
      </c>
      <c r="W154" s="53">
        <v>0</v>
      </c>
      <c r="X154" s="53">
        <v>0</v>
      </c>
      <c r="Y154" s="53">
        <v>0</v>
      </c>
      <c r="Z154" s="53">
        <v>0</v>
      </c>
      <c r="AA154" s="53">
        <v>0</v>
      </c>
      <c r="AB154" s="53">
        <v>0</v>
      </c>
      <c r="AC154" s="53">
        <v>0</v>
      </c>
      <c r="AD154" s="53">
        <v>0</v>
      </c>
      <c r="AE154" s="53">
        <v>0</v>
      </c>
      <c r="AF154" s="53">
        <v>0</v>
      </c>
      <c r="AG154" s="53">
        <v>0</v>
      </c>
      <c r="AH154" s="53">
        <v>0</v>
      </c>
      <c r="AI154" s="53">
        <v>0</v>
      </c>
      <c r="AJ154" s="53">
        <v>0</v>
      </c>
      <c r="AK154" s="53">
        <v>0</v>
      </c>
      <c r="AL154" s="53">
        <v>0</v>
      </c>
      <c r="AM154" s="53" t="str">
        <f>I154-J154-K154-L154-M154-N154-O154-P154-Q154-R154-S154-T154-U154-V154-W154-X154-Y154-Z154-AA154-AB154-AC154-AD154-AE154-AF154-AG154+AH154-AI154+AJ154+AK154-AL154</f>
        <v>0</v>
      </c>
      <c r="AN154" s="53"/>
      <c r="AO154" s="27"/>
    </row>
    <row r="155" spans="1:41">
      <c r="A155" s="44">
        <v>127</v>
      </c>
      <c r="B155" s="46" t="s">
        <v>637</v>
      </c>
      <c r="C155" s="48" t="s">
        <v>638</v>
      </c>
      <c r="D155" s="51" t="s">
        <v>73</v>
      </c>
      <c r="E155" s="51" t="s">
        <v>594</v>
      </c>
      <c r="F155" s="54" t="s">
        <v>623</v>
      </c>
      <c r="G155" s="50">
        <v>2</v>
      </c>
      <c r="H155" s="51" t="s">
        <v>624</v>
      </c>
      <c r="I155" s="53">
        <v>119000</v>
      </c>
      <c r="J155" s="53">
        <v>0</v>
      </c>
      <c r="K155" s="53">
        <v>22000</v>
      </c>
      <c r="L155" s="53">
        <v>0</v>
      </c>
      <c r="M155" s="53">
        <v>0</v>
      </c>
      <c r="N155" s="53">
        <v>0</v>
      </c>
      <c r="O155" s="53">
        <v>0</v>
      </c>
      <c r="P155" s="53">
        <v>0</v>
      </c>
      <c r="Q155" s="53">
        <v>0</v>
      </c>
      <c r="R155" s="53">
        <v>0</v>
      </c>
      <c r="S155" s="53">
        <v>0</v>
      </c>
      <c r="T155" s="53">
        <v>0</v>
      </c>
      <c r="U155" s="53">
        <v>1100</v>
      </c>
      <c r="V155" s="53">
        <v>0</v>
      </c>
      <c r="W155" s="53">
        <v>0</v>
      </c>
      <c r="X155" s="53">
        <v>0</v>
      </c>
      <c r="Y155" s="53">
        <v>0</v>
      </c>
      <c r="Z155" s="53">
        <v>0</v>
      </c>
      <c r="AA155" s="53">
        <v>0</v>
      </c>
      <c r="AB155" s="53">
        <v>0</v>
      </c>
      <c r="AC155" s="53">
        <v>0</v>
      </c>
      <c r="AD155" s="53">
        <v>0</v>
      </c>
      <c r="AE155" s="53">
        <v>0</v>
      </c>
      <c r="AF155" s="53">
        <v>0</v>
      </c>
      <c r="AG155" s="53">
        <v>0</v>
      </c>
      <c r="AH155" s="53">
        <v>0</v>
      </c>
      <c r="AI155" s="53">
        <v>0</v>
      </c>
      <c r="AJ155" s="53">
        <v>0</v>
      </c>
      <c r="AK155" s="53">
        <v>0</v>
      </c>
      <c r="AL155" s="53">
        <v>0</v>
      </c>
      <c r="AM155" s="53" t="str">
        <f>I155-J155-K155-L155-M155-N155-O155-P155-Q155-R155-S155-T155-U155-V155-W155-X155-Y155-Z155-AA155-AB155-AC155-AD155-AE155-AF155-AG155+AH155-AI155+AJ155+AK155-AL155</f>
        <v>0</v>
      </c>
      <c r="AN155" s="53"/>
      <c r="AO155" s="27"/>
    </row>
    <row r="156" spans="1:41">
      <c r="A156" s="44">
        <v>128</v>
      </c>
      <c r="B156" s="46" t="s">
        <v>639</v>
      </c>
      <c r="C156" s="48" t="s">
        <v>640</v>
      </c>
      <c r="D156" s="51" t="s">
        <v>73</v>
      </c>
      <c r="E156" s="51" t="s">
        <v>594</v>
      </c>
      <c r="F156" s="54" t="s">
        <v>641</v>
      </c>
      <c r="G156" s="50">
        <v>2</v>
      </c>
      <c r="H156" s="51" t="s">
        <v>642</v>
      </c>
      <c r="I156" s="53">
        <v>289000</v>
      </c>
      <c r="J156" s="53">
        <v>0</v>
      </c>
      <c r="K156" s="53">
        <v>22000</v>
      </c>
      <c r="L156" s="53">
        <v>0</v>
      </c>
      <c r="M156" s="53">
        <v>0</v>
      </c>
      <c r="N156" s="53">
        <v>0</v>
      </c>
      <c r="O156" s="53">
        <v>0</v>
      </c>
      <c r="P156" s="53">
        <v>0</v>
      </c>
      <c r="Q156" s="53">
        <v>0</v>
      </c>
      <c r="R156" s="53">
        <v>0</v>
      </c>
      <c r="S156" s="53">
        <v>0</v>
      </c>
      <c r="T156" s="53">
        <v>0</v>
      </c>
      <c r="U156" s="53">
        <v>1100</v>
      </c>
      <c r="V156" s="53">
        <v>0</v>
      </c>
      <c r="W156" s="53">
        <v>0</v>
      </c>
      <c r="X156" s="53">
        <v>0</v>
      </c>
      <c r="Y156" s="53">
        <v>0</v>
      </c>
      <c r="Z156" s="53">
        <v>0</v>
      </c>
      <c r="AA156" s="53">
        <v>0</v>
      </c>
      <c r="AB156" s="53">
        <v>0</v>
      </c>
      <c r="AC156" s="53">
        <v>0</v>
      </c>
      <c r="AD156" s="53">
        <v>0</v>
      </c>
      <c r="AE156" s="53">
        <v>0</v>
      </c>
      <c r="AF156" s="53">
        <v>0</v>
      </c>
      <c r="AG156" s="53">
        <v>0</v>
      </c>
      <c r="AH156" s="53">
        <v>0</v>
      </c>
      <c r="AI156" s="53">
        <v>0</v>
      </c>
      <c r="AJ156" s="53">
        <v>0</v>
      </c>
      <c r="AK156" s="53">
        <v>0</v>
      </c>
      <c r="AL156" s="53">
        <v>0</v>
      </c>
      <c r="AM156" s="53" t="str">
        <f>I156-J156-K156-L156-M156-N156-O156-P156-Q156-R156-S156-T156-U156-V156-W156-X156-Y156-Z156-AA156-AB156-AC156-AD156-AE156-AF156-AG156+AH156-AI156+AJ156+AK156-AL156</f>
        <v>0</v>
      </c>
      <c r="AN156" s="53"/>
      <c r="AO156" s="27"/>
    </row>
    <row r="157" spans="1:41">
      <c r="A157" s="44">
        <v>129</v>
      </c>
      <c r="B157" s="46" t="s">
        <v>643</v>
      </c>
      <c r="C157" s="48" t="s">
        <v>644</v>
      </c>
      <c r="D157" s="51" t="s">
        <v>73</v>
      </c>
      <c r="E157" s="51" t="s">
        <v>594</v>
      </c>
      <c r="F157" s="54" t="s">
        <v>645</v>
      </c>
      <c r="G157" s="50">
        <v>3</v>
      </c>
      <c r="H157" s="51" t="s">
        <v>646</v>
      </c>
      <c r="I157" s="53">
        <v>386100</v>
      </c>
      <c r="J157" s="53">
        <v>0</v>
      </c>
      <c r="K157" s="53">
        <v>22000</v>
      </c>
      <c r="L157" s="53">
        <v>0</v>
      </c>
      <c r="M157" s="53">
        <v>0</v>
      </c>
      <c r="N157" s="53">
        <v>0</v>
      </c>
      <c r="O157" s="53">
        <v>0</v>
      </c>
      <c r="P157" s="53">
        <v>0</v>
      </c>
      <c r="Q157" s="53">
        <v>0</v>
      </c>
      <c r="R157" s="53">
        <v>0</v>
      </c>
      <c r="S157" s="53">
        <v>0</v>
      </c>
      <c r="T157" s="53">
        <v>0</v>
      </c>
      <c r="U157" s="53">
        <v>1100</v>
      </c>
      <c r="V157" s="53">
        <v>0</v>
      </c>
      <c r="W157" s="53">
        <v>0</v>
      </c>
      <c r="X157" s="53">
        <v>0</v>
      </c>
      <c r="Y157" s="53">
        <v>0</v>
      </c>
      <c r="Z157" s="53">
        <v>0</v>
      </c>
      <c r="AA157" s="53">
        <v>0</v>
      </c>
      <c r="AB157" s="53">
        <v>0</v>
      </c>
      <c r="AC157" s="53">
        <v>0</v>
      </c>
      <c r="AD157" s="53">
        <v>0</v>
      </c>
      <c r="AE157" s="53">
        <v>0</v>
      </c>
      <c r="AF157" s="53">
        <v>0</v>
      </c>
      <c r="AG157" s="53">
        <v>0</v>
      </c>
      <c r="AH157" s="53">
        <v>0</v>
      </c>
      <c r="AI157" s="53">
        <v>0</v>
      </c>
      <c r="AJ157" s="53">
        <v>0</v>
      </c>
      <c r="AK157" s="53">
        <v>0</v>
      </c>
      <c r="AL157" s="53">
        <v>0</v>
      </c>
      <c r="AM157" s="53" t="str">
        <f>I157-J157-K157-L157-M157-N157-O157-P157-Q157-R157-S157-T157-U157-V157-W157-X157-Y157-Z157-AA157-AB157-AC157-AD157-AE157-AF157-AG157+AH157-AI157+AJ157+AK157-AL157</f>
        <v>0</v>
      </c>
      <c r="AN157" s="53"/>
      <c r="AO157" s="27"/>
    </row>
    <row r="158" spans="1:41">
      <c r="A158" s="44">
        <v>130</v>
      </c>
      <c r="B158" s="46" t="s">
        <v>647</v>
      </c>
      <c r="C158" s="48" t="s">
        <v>648</v>
      </c>
      <c r="D158" s="51" t="s">
        <v>73</v>
      </c>
      <c r="E158" s="51" t="s">
        <v>649</v>
      </c>
      <c r="F158" s="54" t="s">
        <v>650</v>
      </c>
      <c r="G158" s="50">
        <v>2</v>
      </c>
      <c r="H158" s="51" t="s">
        <v>651</v>
      </c>
      <c r="I158" s="53">
        <v>134100</v>
      </c>
      <c r="J158" s="53">
        <v>0</v>
      </c>
      <c r="K158" s="53">
        <v>22000</v>
      </c>
      <c r="L158" s="53">
        <v>0</v>
      </c>
      <c r="M158" s="53">
        <v>0</v>
      </c>
      <c r="N158" s="53">
        <v>0</v>
      </c>
      <c r="O158" s="53">
        <v>0</v>
      </c>
      <c r="P158" s="53">
        <v>0</v>
      </c>
      <c r="Q158" s="53">
        <v>0</v>
      </c>
      <c r="R158" s="53">
        <v>0</v>
      </c>
      <c r="S158" s="53">
        <v>0</v>
      </c>
      <c r="T158" s="53">
        <v>0</v>
      </c>
      <c r="U158" s="53">
        <v>1100</v>
      </c>
      <c r="V158" s="53">
        <v>0</v>
      </c>
      <c r="W158" s="53">
        <v>0</v>
      </c>
      <c r="X158" s="53">
        <v>0</v>
      </c>
      <c r="Y158" s="53">
        <v>0</v>
      </c>
      <c r="Z158" s="53">
        <v>0</v>
      </c>
      <c r="AA158" s="53">
        <v>0</v>
      </c>
      <c r="AB158" s="53">
        <v>0</v>
      </c>
      <c r="AC158" s="53">
        <v>0</v>
      </c>
      <c r="AD158" s="53">
        <v>0</v>
      </c>
      <c r="AE158" s="53">
        <v>0</v>
      </c>
      <c r="AF158" s="53">
        <v>0</v>
      </c>
      <c r="AG158" s="53">
        <v>0</v>
      </c>
      <c r="AH158" s="53">
        <v>0</v>
      </c>
      <c r="AI158" s="53">
        <v>0</v>
      </c>
      <c r="AJ158" s="53">
        <v>0</v>
      </c>
      <c r="AK158" s="53">
        <v>0</v>
      </c>
      <c r="AL158" s="53">
        <v>0</v>
      </c>
      <c r="AM158" s="53" t="str">
        <f>I158-J158-K158-L158-M158-N158-O158-P158-Q158-R158-S158-T158-U158-V158-W158-X158-Y158-Z158-AA158-AB158-AC158-AD158-AE158-AF158-AG158+AH158-AI158+AJ158+AK158-AL158</f>
        <v>0</v>
      </c>
      <c r="AN158" s="53"/>
      <c r="AO158" s="27"/>
    </row>
    <row r="159" spans="1:41">
      <c r="A159" s="44">
        <v>131</v>
      </c>
      <c r="B159" s="46" t="s">
        <v>652</v>
      </c>
      <c r="C159" s="48" t="s">
        <v>653</v>
      </c>
      <c r="D159" s="51" t="s">
        <v>73</v>
      </c>
      <c r="E159" s="51" t="s">
        <v>649</v>
      </c>
      <c r="F159" s="54" t="s">
        <v>654</v>
      </c>
      <c r="G159" s="50">
        <v>5.8</v>
      </c>
      <c r="H159" s="51" t="s">
        <v>655</v>
      </c>
      <c r="I159" s="53">
        <v>539100</v>
      </c>
      <c r="J159" s="53">
        <v>0</v>
      </c>
      <c r="K159" s="53">
        <v>31000</v>
      </c>
      <c r="L159" s="53">
        <v>0</v>
      </c>
      <c r="M159" s="53">
        <v>0</v>
      </c>
      <c r="N159" s="53">
        <v>0</v>
      </c>
      <c r="O159" s="53">
        <v>0</v>
      </c>
      <c r="P159" s="53">
        <v>0</v>
      </c>
      <c r="Q159" s="53">
        <v>0</v>
      </c>
      <c r="R159" s="53">
        <v>0</v>
      </c>
      <c r="S159" s="53">
        <v>0</v>
      </c>
      <c r="T159" s="53">
        <v>0</v>
      </c>
      <c r="U159" s="53">
        <v>1550</v>
      </c>
      <c r="V159" s="53">
        <v>0</v>
      </c>
      <c r="W159" s="53">
        <v>0</v>
      </c>
      <c r="X159" s="53">
        <v>0</v>
      </c>
      <c r="Y159" s="53">
        <v>0</v>
      </c>
      <c r="Z159" s="53">
        <v>0</v>
      </c>
      <c r="AA159" s="53">
        <v>0</v>
      </c>
      <c r="AB159" s="53">
        <v>0</v>
      </c>
      <c r="AC159" s="53">
        <v>0</v>
      </c>
      <c r="AD159" s="53">
        <v>0</v>
      </c>
      <c r="AE159" s="53">
        <v>0</v>
      </c>
      <c r="AF159" s="53">
        <v>0</v>
      </c>
      <c r="AG159" s="53">
        <v>0</v>
      </c>
      <c r="AH159" s="53">
        <v>0</v>
      </c>
      <c r="AI159" s="53">
        <v>0</v>
      </c>
      <c r="AJ159" s="53">
        <v>0</v>
      </c>
      <c r="AK159" s="53">
        <v>0</v>
      </c>
      <c r="AL159" s="53">
        <v>0</v>
      </c>
      <c r="AM159" s="53" t="str">
        <f>I159-J159-K159-L159-M159-N159-O159-P159-Q159-R159-S159-T159-U159-V159-W159-X159-Y159-Z159-AA159-AB159-AC159-AD159-AE159-AF159-AG159+AH159-AI159+AJ159+AK159-AL159</f>
        <v>0</v>
      </c>
      <c r="AN159" s="53"/>
      <c r="AO159" s="27"/>
    </row>
    <row r="160" spans="1:41">
      <c r="A160" s="44">
        <v>132</v>
      </c>
      <c r="B160" s="46" t="s">
        <v>656</v>
      </c>
      <c r="C160" s="48" t="s">
        <v>657</v>
      </c>
      <c r="D160" s="51" t="s">
        <v>73</v>
      </c>
      <c r="E160" s="51" t="s">
        <v>649</v>
      </c>
      <c r="F160" s="54" t="s">
        <v>658</v>
      </c>
      <c r="G160" s="50">
        <v>5</v>
      </c>
      <c r="H160" s="51" t="s">
        <v>659</v>
      </c>
      <c r="I160" s="53">
        <v>0</v>
      </c>
      <c r="J160" s="53">
        <v>0</v>
      </c>
      <c r="K160" s="53">
        <v>27000</v>
      </c>
      <c r="L160" s="53">
        <v>0</v>
      </c>
      <c r="M160" s="53">
        <v>0</v>
      </c>
      <c r="N160" s="53">
        <v>0</v>
      </c>
      <c r="O160" s="53">
        <v>0</v>
      </c>
      <c r="P160" s="53">
        <v>0</v>
      </c>
      <c r="Q160" s="53">
        <v>0</v>
      </c>
      <c r="R160" s="53">
        <v>0</v>
      </c>
      <c r="S160" s="53">
        <v>0</v>
      </c>
      <c r="T160" s="53">
        <v>0</v>
      </c>
      <c r="U160" s="53">
        <v>1350</v>
      </c>
      <c r="V160" s="53">
        <v>0</v>
      </c>
      <c r="W160" s="53">
        <v>0</v>
      </c>
      <c r="X160" s="53">
        <v>0</v>
      </c>
      <c r="Y160" s="53">
        <v>0</v>
      </c>
      <c r="Z160" s="53">
        <v>0</v>
      </c>
      <c r="AA160" s="53">
        <v>0</v>
      </c>
      <c r="AB160" s="53">
        <v>0</v>
      </c>
      <c r="AC160" s="53">
        <v>0</v>
      </c>
      <c r="AD160" s="53">
        <v>0</v>
      </c>
      <c r="AE160" s="53">
        <v>0</v>
      </c>
      <c r="AF160" s="53">
        <v>0</v>
      </c>
      <c r="AG160" s="53">
        <v>0</v>
      </c>
      <c r="AH160" s="53">
        <v>0</v>
      </c>
      <c r="AI160" s="53">
        <v>0</v>
      </c>
      <c r="AJ160" s="53">
        <v>0</v>
      </c>
      <c r="AK160" s="53">
        <v>0</v>
      </c>
      <c r="AL160" s="53">
        <v>0</v>
      </c>
      <c r="AM160" s="53" t="str">
        <f>I160-J160-K160-L160-M160-N160-O160-P160-Q160-R160-S160-T160-U160-V160-W160-X160-Y160-Z160-AA160-AB160-AC160-AD160-AE160-AF160-AG160+AH160-AI160+AJ160+AK160-AL160</f>
        <v>0</v>
      </c>
      <c r="AN160" s="53"/>
      <c r="AO160" s="27"/>
    </row>
    <row r="161" spans="1:41">
      <c r="A161" s="44">
        <v>133</v>
      </c>
      <c r="B161" s="46" t="s">
        <v>660</v>
      </c>
      <c r="C161" s="48" t="s">
        <v>661</v>
      </c>
      <c r="D161" s="51" t="s">
        <v>73</v>
      </c>
      <c r="E161" s="51" t="s">
        <v>649</v>
      </c>
      <c r="F161" s="54" t="s">
        <v>662</v>
      </c>
      <c r="G161" s="50">
        <v>2</v>
      </c>
      <c r="H161" s="51" t="s">
        <v>663</v>
      </c>
      <c r="I161" s="53">
        <v>134100</v>
      </c>
      <c r="J161" s="53">
        <v>0</v>
      </c>
      <c r="K161" s="53">
        <v>22000</v>
      </c>
      <c r="L161" s="53">
        <v>0</v>
      </c>
      <c r="M161" s="53">
        <v>0</v>
      </c>
      <c r="N161" s="53">
        <v>0</v>
      </c>
      <c r="O161" s="53">
        <v>0</v>
      </c>
      <c r="P161" s="53">
        <v>0</v>
      </c>
      <c r="Q161" s="53">
        <v>0</v>
      </c>
      <c r="R161" s="53">
        <v>0</v>
      </c>
      <c r="S161" s="53">
        <v>0</v>
      </c>
      <c r="T161" s="53">
        <v>0</v>
      </c>
      <c r="U161" s="53">
        <v>1100</v>
      </c>
      <c r="V161" s="53">
        <v>0</v>
      </c>
      <c r="W161" s="53">
        <v>0</v>
      </c>
      <c r="X161" s="53">
        <v>0</v>
      </c>
      <c r="Y161" s="53">
        <v>0</v>
      </c>
      <c r="Z161" s="53">
        <v>0</v>
      </c>
      <c r="AA161" s="53">
        <v>0</v>
      </c>
      <c r="AB161" s="53">
        <v>0</v>
      </c>
      <c r="AC161" s="53">
        <v>0</v>
      </c>
      <c r="AD161" s="53">
        <v>0</v>
      </c>
      <c r="AE161" s="53">
        <v>0</v>
      </c>
      <c r="AF161" s="53">
        <v>0</v>
      </c>
      <c r="AG161" s="53">
        <v>0</v>
      </c>
      <c r="AH161" s="53">
        <v>0</v>
      </c>
      <c r="AI161" s="53">
        <v>0</v>
      </c>
      <c r="AJ161" s="53">
        <v>0</v>
      </c>
      <c r="AK161" s="53">
        <v>0</v>
      </c>
      <c r="AL161" s="53">
        <v>0</v>
      </c>
      <c r="AM161" s="53" t="str">
        <f>I161-J161-K161-L161-M161-N161-O161-P161-Q161-R161-S161-T161-U161-V161-W161-X161-Y161-Z161-AA161-AB161-AC161-AD161-AE161-AF161-AG161+AH161-AI161+AJ161+AK161-AL161</f>
        <v>0</v>
      </c>
      <c r="AN161" s="53"/>
      <c r="AO161" s="27"/>
    </row>
    <row r="162" spans="1:41">
      <c r="A162" s="44">
        <v>134</v>
      </c>
      <c r="B162" s="46" t="s">
        <v>664</v>
      </c>
      <c r="C162" s="48" t="s">
        <v>665</v>
      </c>
      <c r="D162" s="51" t="s">
        <v>73</v>
      </c>
      <c r="E162" s="51" t="s">
        <v>666</v>
      </c>
      <c r="F162" s="54" t="s">
        <v>667</v>
      </c>
      <c r="G162" s="50">
        <v>6</v>
      </c>
      <c r="H162" s="51" t="s">
        <v>668</v>
      </c>
      <c r="I162" s="53">
        <v>0</v>
      </c>
      <c r="J162" s="53">
        <v>0</v>
      </c>
      <c r="K162" s="53">
        <v>31000</v>
      </c>
      <c r="L162" s="53">
        <v>0</v>
      </c>
      <c r="M162" s="53">
        <v>0</v>
      </c>
      <c r="N162" s="53">
        <v>0</v>
      </c>
      <c r="O162" s="53">
        <v>0</v>
      </c>
      <c r="P162" s="53">
        <v>0</v>
      </c>
      <c r="Q162" s="53">
        <v>0</v>
      </c>
      <c r="R162" s="53">
        <v>0</v>
      </c>
      <c r="S162" s="53">
        <v>0</v>
      </c>
      <c r="T162" s="53">
        <v>0</v>
      </c>
      <c r="U162" s="53">
        <v>1550</v>
      </c>
      <c r="V162" s="53">
        <v>0</v>
      </c>
      <c r="W162" s="53">
        <v>0</v>
      </c>
      <c r="X162" s="53">
        <v>0</v>
      </c>
      <c r="Y162" s="53">
        <v>16275</v>
      </c>
      <c r="Z162" s="53">
        <v>0</v>
      </c>
      <c r="AA162" s="53">
        <v>0</v>
      </c>
      <c r="AB162" s="53">
        <v>0</v>
      </c>
      <c r="AC162" s="53">
        <v>0</v>
      </c>
      <c r="AD162" s="53">
        <v>0</v>
      </c>
      <c r="AE162" s="53">
        <v>0</v>
      </c>
      <c r="AF162" s="53">
        <v>0</v>
      </c>
      <c r="AG162" s="53">
        <v>0</v>
      </c>
      <c r="AH162" s="53">
        <v>0</v>
      </c>
      <c r="AI162" s="53">
        <v>0</v>
      </c>
      <c r="AJ162" s="53">
        <v>0</v>
      </c>
      <c r="AK162" s="53">
        <v>0</v>
      </c>
      <c r="AL162" s="53">
        <v>0</v>
      </c>
      <c r="AM162" s="53" t="str">
        <f>I162-J162-K162-L162-M162-N162-O162-P162-Q162-R162-S162-T162-U162-V162-W162-X162-Y162-Z162-AA162-AB162-AC162-AD162-AE162-AF162-AG162+AH162-AI162+AJ162+AK162-AL162</f>
        <v>0</v>
      </c>
      <c r="AN162" s="53"/>
      <c r="AO162" s="27"/>
    </row>
    <row r="163" spans="1:41">
      <c r="A163" s="44">
        <v>135</v>
      </c>
      <c r="B163" s="46" t="s">
        <v>669</v>
      </c>
      <c r="C163" s="48" t="s">
        <v>670</v>
      </c>
      <c r="D163" s="51" t="s">
        <v>73</v>
      </c>
      <c r="E163" s="51" t="s">
        <v>666</v>
      </c>
      <c r="F163" s="54" t="s">
        <v>671</v>
      </c>
      <c r="G163" s="50">
        <v>2</v>
      </c>
      <c r="H163" s="51" t="s">
        <v>672</v>
      </c>
      <c r="I163" s="53">
        <v>0</v>
      </c>
      <c r="J163" s="53">
        <v>0</v>
      </c>
      <c r="K163" s="53">
        <v>22000</v>
      </c>
      <c r="L163" s="53">
        <v>0</v>
      </c>
      <c r="M163" s="53">
        <v>0</v>
      </c>
      <c r="N163" s="53">
        <v>0</v>
      </c>
      <c r="O163" s="53">
        <v>0</v>
      </c>
      <c r="P163" s="53">
        <v>0</v>
      </c>
      <c r="Q163" s="53">
        <v>0</v>
      </c>
      <c r="R163" s="53">
        <v>0</v>
      </c>
      <c r="S163" s="53">
        <v>0</v>
      </c>
      <c r="T163" s="53">
        <v>0</v>
      </c>
      <c r="U163" s="53">
        <v>1100</v>
      </c>
      <c r="V163" s="53">
        <v>0</v>
      </c>
      <c r="W163" s="53">
        <v>0</v>
      </c>
      <c r="X163" s="53">
        <v>0</v>
      </c>
      <c r="Y163" s="53">
        <v>11550</v>
      </c>
      <c r="Z163" s="53">
        <v>0</v>
      </c>
      <c r="AA163" s="53">
        <v>0</v>
      </c>
      <c r="AB163" s="53">
        <v>0</v>
      </c>
      <c r="AC163" s="53">
        <v>0</v>
      </c>
      <c r="AD163" s="53">
        <v>0</v>
      </c>
      <c r="AE163" s="53">
        <v>0</v>
      </c>
      <c r="AF163" s="53">
        <v>0</v>
      </c>
      <c r="AG163" s="53">
        <v>0</v>
      </c>
      <c r="AH163" s="53">
        <v>0</v>
      </c>
      <c r="AI163" s="53">
        <v>0</v>
      </c>
      <c r="AJ163" s="53">
        <v>0</v>
      </c>
      <c r="AK163" s="53">
        <v>0</v>
      </c>
      <c r="AL163" s="53">
        <v>0</v>
      </c>
      <c r="AM163" s="53" t="str">
        <f>I163-J163-K163-L163-M163-N163-O163-P163-Q163-R163-S163-T163-U163-V163-W163-X163-Y163-Z163-AA163-AB163-AC163-AD163-AE163-AF163-AG163+AH163-AI163+AJ163+AK163-AL163</f>
        <v>0</v>
      </c>
      <c r="AN163" s="53"/>
      <c r="AO163" s="27"/>
    </row>
    <row r="164" spans="1:41">
      <c r="A164" s="44">
        <v>136</v>
      </c>
      <c r="B164" s="46" t="s">
        <v>673</v>
      </c>
      <c r="C164" s="48" t="s">
        <v>674</v>
      </c>
      <c r="D164" s="51" t="s">
        <v>73</v>
      </c>
      <c r="E164" s="51" t="s">
        <v>666</v>
      </c>
      <c r="F164" s="54" t="s">
        <v>675</v>
      </c>
      <c r="G164" s="50">
        <v>8</v>
      </c>
      <c r="H164" s="51" t="s">
        <v>676</v>
      </c>
      <c r="I164" s="53">
        <v>0</v>
      </c>
      <c r="J164" s="53">
        <v>0</v>
      </c>
      <c r="K164" s="53">
        <v>39000</v>
      </c>
      <c r="L164" s="53">
        <v>0</v>
      </c>
      <c r="M164" s="53">
        <v>0</v>
      </c>
      <c r="N164" s="53">
        <v>0</v>
      </c>
      <c r="O164" s="53">
        <v>0</v>
      </c>
      <c r="P164" s="53">
        <v>0</v>
      </c>
      <c r="Q164" s="53">
        <v>0</v>
      </c>
      <c r="R164" s="53">
        <v>0</v>
      </c>
      <c r="S164" s="53">
        <v>0</v>
      </c>
      <c r="T164" s="53">
        <v>0</v>
      </c>
      <c r="U164" s="53">
        <v>1950</v>
      </c>
      <c r="V164" s="53">
        <v>0</v>
      </c>
      <c r="W164" s="53">
        <v>0</v>
      </c>
      <c r="X164" s="53">
        <v>0</v>
      </c>
      <c r="Y164" s="53">
        <v>5250</v>
      </c>
      <c r="Z164" s="53">
        <v>0</v>
      </c>
      <c r="AA164" s="53">
        <v>0</v>
      </c>
      <c r="AB164" s="53">
        <v>0</v>
      </c>
      <c r="AC164" s="53">
        <v>0</v>
      </c>
      <c r="AD164" s="53">
        <v>0</v>
      </c>
      <c r="AE164" s="53">
        <v>0</v>
      </c>
      <c r="AF164" s="53">
        <v>0</v>
      </c>
      <c r="AG164" s="53">
        <v>0</v>
      </c>
      <c r="AH164" s="53">
        <v>0</v>
      </c>
      <c r="AI164" s="53">
        <v>0</v>
      </c>
      <c r="AJ164" s="53">
        <v>0</v>
      </c>
      <c r="AK164" s="53">
        <v>0</v>
      </c>
      <c r="AL164" s="53">
        <v>0</v>
      </c>
      <c r="AM164" s="53" t="str">
        <f>I164-J164-K164-L164-M164-N164-O164-P164-Q164-R164-S164-T164-U164-V164-W164-X164-Y164-Z164-AA164-AB164-AC164-AD164-AE164-AF164-AG164+AH164-AI164+AJ164+AK164-AL164</f>
        <v>0</v>
      </c>
      <c r="AN164" s="53"/>
      <c r="AO164" s="27"/>
    </row>
    <row r="165" spans="1:41">
      <c r="A165" s="44">
        <v>137</v>
      </c>
      <c r="B165" s="46" t="s">
        <v>677</v>
      </c>
      <c r="C165" s="48" t="s">
        <v>678</v>
      </c>
      <c r="D165" s="51" t="s">
        <v>73</v>
      </c>
      <c r="E165" s="51" t="s">
        <v>679</v>
      </c>
      <c r="F165" s="54" t="s">
        <v>411</v>
      </c>
      <c r="G165" s="50">
        <v>2</v>
      </c>
      <c r="H165" s="51" t="s">
        <v>680</v>
      </c>
      <c r="I165" s="53">
        <v>378000</v>
      </c>
      <c r="J165" s="53">
        <v>0</v>
      </c>
      <c r="K165" s="53">
        <v>22000</v>
      </c>
      <c r="L165" s="53">
        <v>0</v>
      </c>
      <c r="M165" s="53">
        <v>0</v>
      </c>
      <c r="N165" s="53">
        <v>0</v>
      </c>
      <c r="O165" s="53">
        <v>0</v>
      </c>
      <c r="P165" s="53">
        <v>0</v>
      </c>
      <c r="Q165" s="53">
        <v>0</v>
      </c>
      <c r="R165" s="53">
        <v>0</v>
      </c>
      <c r="S165" s="53">
        <v>0</v>
      </c>
      <c r="T165" s="53">
        <v>0</v>
      </c>
      <c r="U165" s="53">
        <v>1100</v>
      </c>
      <c r="V165" s="53">
        <v>0</v>
      </c>
      <c r="W165" s="53">
        <v>0</v>
      </c>
      <c r="X165" s="53">
        <v>0</v>
      </c>
      <c r="Y165" s="53">
        <v>0</v>
      </c>
      <c r="Z165" s="53">
        <v>0</v>
      </c>
      <c r="AA165" s="53">
        <v>0</v>
      </c>
      <c r="AB165" s="53">
        <v>0</v>
      </c>
      <c r="AC165" s="53">
        <v>0</v>
      </c>
      <c r="AD165" s="53">
        <v>0</v>
      </c>
      <c r="AE165" s="53">
        <v>0</v>
      </c>
      <c r="AF165" s="53">
        <v>0</v>
      </c>
      <c r="AG165" s="53">
        <v>0</v>
      </c>
      <c r="AH165" s="53">
        <v>0</v>
      </c>
      <c r="AI165" s="53">
        <v>0</v>
      </c>
      <c r="AJ165" s="53">
        <v>0</v>
      </c>
      <c r="AK165" s="53">
        <v>0</v>
      </c>
      <c r="AL165" s="53">
        <v>0</v>
      </c>
      <c r="AM165" s="53" t="str">
        <f>I165-J165-K165-L165-M165-N165-O165-P165-Q165-R165-S165-T165-U165-V165-W165-X165-Y165-Z165-AA165-AB165-AC165-AD165-AE165-AF165-AG165+AH165-AI165+AJ165+AK165-AL165</f>
        <v>0</v>
      </c>
      <c r="AN165" s="53"/>
      <c r="AO165" s="27"/>
    </row>
    <row r="166" spans="1:41">
      <c r="A166" s="44">
        <v>138</v>
      </c>
      <c r="B166" s="46" t="s">
        <v>681</v>
      </c>
      <c r="C166" s="48" t="s">
        <v>682</v>
      </c>
      <c r="D166" s="51" t="s">
        <v>62</v>
      </c>
      <c r="E166" s="51" t="s">
        <v>679</v>
      </c>
      <c r="F166" s="54" t="s">
        <v>683</v>
      </c>
      <c r="G166" s="50">
        <v>2</v>
      </c>
      <c r="H166" s="51" t="s">
        <v>684</v>
      </c>
      <c r="I166" s="53">
        <v>0</v>
      </c>
      <c r="J166" s="53">
        <v>0</v>
      </c>
      <c r="K166" s="53">
        <v>22000</v>
      </c>
      <c r="L166" s="53">
        <v>0</v>
      </c>
      <c r="M166" s="53">
        <v>0</v>
      </c>
      <c r="N166" s="53">
        <v>0</v>
      </c>
      <c r="O166" s="53">
        <v>0</v>
      </c>
      <c r="P166" s="53">
        <v>0</v>
      </c>
      <c r="Q166" s="53">
        <v>0</v>
      </c>
      <c r="R166" s="53">
        <v>0</v>
      </c>
      <c r="S166" s="53">
        <v>0</v>
      </c>
      <c r="T166" s="53">
        <v>0</v>
      </c>
      <c r="U166" s="53">
        <v>1100</v>
      </c>
      <c r="V166" s="53">
        <v>0</v>
      </c>
      <c r="W166" s="53">
        <v>0</v>
      </c>
      <c r="X166" s="53">
        <v>0</v>
      </c>
      <c r="Y166" s="53">
        <v>11550</v>
      </c>
      <c r="Z166" s="53">
        <v>0</v>
      </c>
      <c r="AA166" s="53">
        <v>0</v>
      </c>
      <c r="AB166" s="53">
        <v>0</v>
      </c>
      <c r="AC166" s="53">
        <v>0</v>
      </c>
      <c r="AD166" s="53">
        <v>0</v>
      </c>
      <c r="AE166" s="53">
        <v>0</v>
      </c>
      <c r="AF166" s="53">
        <v>0</v>
      </c>
      <c r="AG166" s="53">
        <v>0</v>
      </c>
      <c r="AH166" s="53">
        <v>0</v>
      </c>
      <c r="AI166" s="53">
        <v>0</v>
      </c>
      <c r="AJ166" s="53">
        <v>0</v>
      </c>
      <c r="AK166" s="53">
        <v>0</v>
      </c>
      <c r="AL166" s="53">
        <v>0</v>
      </c>
      <c r="AM166" s="53" t="str">
        <f>I166-J166-K166-L166-M166-N166-O166-P166-Q166-R166-S166-T166-U166-V166-W166-X166-Y166-Z166-AA166-AB166-AC166-AD166-AE166-AF166-AG166+AH166-AI166+AJ166+AK166-AL166</f>
        <v>0</v>
      </c>
      <c r="AN166" s="53"/>
      <c r="AO166" s="27"/>
    </row>
    <row r="167" spans="1:41">
      <c r="A167" s="44">
        <v>139</v>
      </c>
      <c r="B167" s="46" t="s">
        <v>685</v>
      </c>
      <c r="C167" s="48" t="s">
        <v>686</v>
      </c>
      <c r="D167" s="51" t="s">
        <v>73</v>
      </c>
      <c r="E167" s="51" t="s">
        <v>679</v>
      </c>
      <c r="F167" s="54" t="s">
        <v>687</v>
      </c>
      <c r="G167" s="50">
        <v>2</v>
      </c>
      <c r="H167" s="51" t="s">
        <v>688</v>
      </c>
      <c r="I167" s="53">
        <v>306000</v>
      </c>
      <c r="J167" s="53">
        <v>0</v>
      </c>
      <c r="K167" s="53">
        <v>22000</v>
      </c>
      <c r="L167" s="53">
        <v>0</v>
      </c>
      <c r="M167" s="53">
        <v>0</v>
      </c>
      <c r="N167" s="53">
        <v>0</v>
      </c>
      <c r="O167" s="53">
        <v>0</v>
      </c>
      <c r="P167" s="53">
        <v>0</v>
      </c>
      <c r="Q167" s="53">
        <v>0</v>
      </c>
      <c r="R167" s="53">
        <v>0</v>
      </c>
      <c r="S167" s="53">
        <v>0</v>
      </c>
      <c r="T167" s="53">
        <v>0</v>
      </c>
      <c r="U167" s="53">
        <v>1100</v>
      </c>
      <c r="V167" s="53">
        <v>0</v>
      </c>
      <c r="W167" s="53">
        <v>0</v>
      </c>
      <c r="X167" s="53">
        <v>0</v>
      </c>
      <c r="Y167" s="53">
        <v>0</v>
      </c>
      <c r="Z167" s="53">
        <v>0</v>
      </c>
      <c r="AA167" s="53">
        <v>0</v>
      </c>
      <c r="AB167" s="53">
        <v>0</v>
      </c>
      <c r="AC167" s="53">
        <v>0</v>
      </c>
      <c r="AD167" s="53">
        <v>0</v>
      </c>
      <c r="AE167" s="53">
        <v>0</v>
      </c>
      <c r="AF167" s="53">
        <v>0</v>
      </c>
      <c r="AG167" s="53">
        <v>0</v>
      </c>
      <c r="AH167" s="53">
        <v>0</v>
      </c>
      <c r="AI167" s="53">
        <v>0</v>
      </c>
      <c r="AJ167" s="53">
        <v>0</v>
      </c>
      <c r="AK167" s="53">
        <v>0</v>
      </c>
      <c r="AL167" s="53">
        <v>0</v>
      </c>
      <c r="AM167" s="53" t="str">
        <f>I167-J167-K167-L167-M167-N167-O167-P167-Q167-R167-S167-T167-U167-V167-W167-X167-Y167-Z167-AA167-AB167-AC167-AD167-AE167-AF167-AG167+AH167-AI167+AJ167+AK167-AL167</f>
        <v>0</v>
      </c>
      <c r="AN167" s="53"/>
      <c r="AO167" s="27"/>
    </row>
    <row r="168" spans="1:41">
      <c r="A168" s="44">
        <v>140</v>
      </c>
      <c r="B168" s="46" t="s">
        <v>689</v>
      </c>
      <c r="C168" s="48" t="s">
        <v>690</v>
      </c>
      <c r="D168" s="51" t="s">
        <v>73</v>
      </c>
      <c r="E168" s="51" t="s">
        <v>679</v>
      </c>
      <c r="F168" s="54" t="s">
        <v>691</v>
      </c>
      <c r="G168" s="50">
        <v>2</v>
      </c>
      <c r="H168" s="51" t="s">
        <v>692</v>
      </c>
      <c r="I168" s="53">
        <v>659000</v>
      </c>
      <c r="J168" s="53">
        <v>0</v>
      </c>
      <c r="K168" s="53">
        <v>22000</v>
      </c>
      <c r="L168" s="53">
        <v>0</v>
      </c>
      <c r="M168" s="53">
        <v>0</v>
      </c>
      <c r="N168" s="53">
        <v>0</v>
      </c>
      <c r="O168" s="53">
        <v>0</v>
      </c>
      <c r="P168" s="53">
        <v>0</v>
      </c>
      <c r="Q168" s="53">
        <v>0</v>
      </c>
      <c r="R168" s="53">
        <v>0</v>
      </c>
      <c r="S168" s="53">
        <v>0</v>
      </c>
      <c r="T168" s="53">
        <v>0</v>
      </c>
      <c r="U168" s="53">
        <v>1100</v>
      </c>
      <c r="V168" s="53">
        <v>0</v>
      </c>
      <c r="W168" s="53">
        <v>0</v>
      </c>
      <c r="X168" s="53">
        <v>0</v>
      </c>
      <c r="Y168" s="53">
        <v>0</v>
      </c>
      <c r="Z168" s="53">
        <v>0</v>
      </c>
      <c r="AA168" s="53">
        <v>0</v>
      </c>
      <c r="AB168" s="53">
        <v>0</v>
      </c>
      <c r="AC168" s="53">
        <v>0</v>
      </c>
      <c r="AD168" s="53">
        <v>0</v>
      </c>
      <c r="AE168" s="53">
        <v>0</v>
      </c>
      <c r="AF168" s="53">
        <v>0</v>
      </c>
      <c r="AG168" s="53">
        <v>0</v>
      </c>
      <c r="AH168" s="53">
        <v>0</v>
      </c>
      <c r="AI168" s="53">
        <v>0</v>
      </c>
      <c r="AJ168" s="53">
        <v>0</v>
      </c>
      <c r="AK168" s="53">
        <v>0</v>
      </c>
      <c r="AL168" s="53">
        <v>0</v>
      </c>
      <c r="AM168" s="53" t="str">
        <f>I168-J168-K168-L168-M168-N168-O168-P168-Q168-R168-S168-T168-U168-V168-W168-X168-Y168-Z168-AA168-AB168-AC168-AD168-AE168-AF168-AG168+AH168-AI168+AJ168+AK168-AL168</f>
        <v>0</v>
      </c>
      <c r="AN168" s="53"/>
      <c r="AO168" s="27"/>
    </row>
    <row r="169" spans="1:41">
      <c r="A169" s="44">
        <v>141</v>
      </c>
      <c r="B169" s="46" t="s">
        <v>693</v>
      </c>
      <c r="C169" s="48" t="s">
        <v>694</v>
      </c>
      <c r="D169" s="51" t="s">
        <v>73</v>
      </c>
      <c r="E169" s="51" t="s">
        <v>679</v>
      </c>
      <c r="F169" s="54" t="s">
        <v>695</v>
      </c>
      <c r="G169" s="50">
        <v>3</v>
      </c>
      <c r="H169" s="51" t="s">
        <v>696</v>
      </c>
      <c r="I169" s="53">
        <v>719100</v>
      </c>
      <c r="J169" s="53">
        <v>0</v>
      </c>
      <c r="K169" s="53">
        <v>22000</v>
      </c>
      <c r="L169" s="53">
        <v>0</v>
      </c>
      <c r="M169" s="53">
        <v>0</v>
      </c>
      <c r="N169" s="53">
        <v>0</v>
      </c>
      <c r="O169" s="53">
        <v>0</v>
      </c>
      <c r="P169" s="53">
        <v>0</v>
      </c>
      <c r="Q169" s="53">
        <v>0</v>
      </c>
      <c r="R169" s="53">
        <v>0</v>
      </c>
      <c r="S169" s="53">
        <v>0</v>
      </c>
      <c r="T169" s="53">
        <v>0</v>
      </c>
      <c r="U169" s="53">
        <v>1100</v>
      </c>
      <c r="V169" s="53">
        <v>0</v>
      </c>
      <c r="W169" s="53">
        <v>0</v>
      </c>
      <c r="X169" s="53">
        <v>0</v>
      </c>
      <c r="Y169" s="53">
        <v>0</v>
      </c>
      <c r="Z169" s="53">
        <v>0</v>
      </c>
      <c r="AA169" s="53">
        <v>0</v>
      </c>
      <c r="AB169" s="53">
        <v>0</v>
      </c>
      <c r="AC169" s="53">
        <v>0</v>
      </c>
      <c r="AD169" s="53">
        <v>0</v>
      </c>
      <c r="AE169" s="53">
        <v>0</v>
      </c>
      <c r="AF169" s="53">
        <v>0</v>
      </c>
      <c r="AG169" s="53">
        <v>0</v>
      </c>
      <c r="AH169" s="53">
        <v>0</v>
      </c>
      <c r="AI169" s="53">
        <v>0</v>
      </c>
      <c r="AJ169" s="53">
        <v>0</v>
      </c>
      <c r="AK169" s="53">
        <v>0</v>
      </c>
      <c r="AL169" s="53">
        <v>0</v>
      </c>
      <c r="AM169" s="53" t="str">
        <f>I169-J169-K169-L169-M169-N169-O169-P169-Q169-R169-S169-T169-U169-V169-W169-X169-Y169-Z169-AA169-AB169-AC169-AD169-AE169-AF169-AG169+AH169-AI169+AJ169+AK169-AL169</f>
        <v>0</v>
      </c>
      <c r="AN169" s="53"/>
      <c r="AO169" s="27"/>
    </row>
    <row r="170" spans="1:41">
      <c r="A170" s="44">
        <v>142</v>
      </c>
      <c r="B170" s="46" t="s">
        <v>697</v>
      </c>
      <c r="C170" s="48" t="s">
        <v>698</v>
      </c>
      <c r="D170" s="51" t="s">
        <v>73</v>
      </c>
      <c r="E170" s="51" t="s">
        <v>679</v>
      </c>
      <c r="F170" s="54" t="s">
        <v>699</v>
      </c>
      <c r="G170" s="50">
        <v>2</v>
      </c>
      <c r="H170" s="51" t="s">
        <v>700</v>
      </c>
      <c r="I170" s="53">
        <v>382500</v>
      </c>
      <c r="J170" s="53">
        <v>0</v>
      </c>
      <c r="K170" s="53">
        <v>22000</v>
      </c>
      <c r="L170" s="53">
        <v>0</v>
      </c>
      <c r="M170" s="53">
        <v>0</v>
      </c>
      <c r="N170" s="53">
        <v>0</v>
      </c>
      <c r="O170" s="53">
        <v>0</v>
      </c>
      <c r="P170" s="53">
        <v>0</v>
      </c>
      <c r="Q170" s="53">
        <v>0</v>
      </c>
      <c r="R170" s="53">
        <v>0</v>
      </c>
      <c r="S170" s="53">
        <v>0</v>
      </c>
      <c r="T170" s="53">
        <v>0</v>
      </c>
      <c r="U170" s="53">
        <v>1100</v>
      </c>
      <c r="V170" s="53">
        <v>0</v>
      </c>
      <c r="W170" s="53">
        <v>0</v>
      </c>
      <c r="X170" s="53">
        <v>0</v>
      </c>
      <c r="Y170" s="53">
        <v>0</v>
      </c>
      <c r="Z170" s="53">
        <v>0</v>
      </c>
      <c r="AA170" s="53">
        <v>0</v>
      </c>
      <c r="AB170" s="53">
        <v>0</v>
      </c>
      <c r="AC170" s="53">
        <v>0</v>
      </c>
      <c r="AD170" s="53">
        <v>0</v>
      </c>
      <c r="AE170" s="53">
        <v>0</v>
      </c>
      <c r="AF170" s="53">
        <v>0</v>
      </c>
      <c r="AG170" s="53">
        <v>0</v>
      </c>
      <c r="AH170" s="53">
        <v>0</v>
      </c>
      <c r="AI170" s="53">
        <v>0</v>
      </c>
      <c r="AJ170" s="53">
        <v>0</v>
      </c>
      <c r="AK170" s="53">
        <v>0</v>
      </c>
      <c r="AL170" s="53">
        <v>0</v>
      </c>
      <c r="AM170" s="53" t="str">
        <f>I170-J170-K170-L170-M170-N170-O170-P170-Q170-R170-S170-T170-U170-V170-W170-X170-Y170-Z170-AA170-AB170-AC170-AD170-AE170-AF170-AG170+AH170-AI170+AJ170+AK170-AL170</f>
        <v>0</v>
      </c>
      <c r="AN170" s="53"/>
      <c r="AO170" s="27"/>
    </row>
    <row r="171" spans="1:41">
      <c r="A171" s="44">
        <v>143</v>
      </c>
      <c r="B171" s="46" t="s">
        <v>701</v>
      </c>
      <c r="C171" s="48" t="s">
        <v>702</v>
      </c>
      <c r="D171" s="51" t="s">
        <v>73</v>
      </c>
      <c r="E171" s="51" t="s">
        <v>679</v>
      </c>
      <c r="F171" s="54" t="s">
        <v>388</v>
      </c>
      <c r="G171" s="50">
        <v>3</v>
      </c>
      <c r="H171" s="51" t="s">
        <v>703</v>
      </c>
      <c r="I171" s="53">
        <v>235000</v>
      </c>
      <c r="J171" s="53">
        <v>0</v>
      </c>
      <c r="K171" s="53">
        <v>22000</v>
      </c>
      <c r="L171" s="53">
        <v>0</v>
      </c>
      <c r="M171" s="53">
        <v>0</v>
      </c>
      <c r="N171" s="53">
        <v>0</v>
      </c>
      <c r="O171" s="53">
        <v>0</v>
      </c>
      <c r="P171" s="53">
        <v>0</v>
      </c>
      <c r="Q171" s="53">
        <v>0</v>
      </c>
      <c r="R171" s="53">
        <v>0</v>
      </c>
      <c r="S171" s="53">
        <v>0</v>
      </c>
      <c r="T171" s="53">
        <v>0</v>
      </c>
      <c r="U171" s="53">
        <v>1100</v>
      </c>
      <c r="V171" s="53">
        <v>0</v>
      </c>
      <c r="W171" s="53">
        <v>0</v>
      </c>
      <c r="X171" s="53">
        <v>0</v>
      </c>
      <c r="Y171" s="53">
        <v>0</v>
      </c>
      <c r="Z171" s="53">
        <v>0</v>
      </c>
      <c r="AA171" s="53">
        <v>0</v>
      </c>
      <c r="AB171" s="53">
        <v>0</v>
      </c>
      <c r="AC171" s="53">
        <v>0</v>
      </c>
      <c r="AD171" s="53">
        <v>0</v>
      </c>
      <c r="AE171" s="53">
        <v>0</v>
      </c>
      <c r="AF171" s="53">
        <v>0</v>
      </c>
      <c r="AG171" s="53">
        <v>0</v>
      </c>
      <c r="AH171" s="53">
        <v>0</v>
      </c>
      <c r="AI171" s="53">
        <v>0</v>
      </c>
      <c r="AJ171" s="53">
        <v>0</v>
      </c>
      <c r="AK171" s="53">
        <v>0</v>
      </c>
      <c r="AL171" s="53">
        <v>0</v>
      </c>
      <c r="AM171" s="53" t="str">
        <f>I171-J171-K171-L171-M171-N171-O171-P171-Q171-R171-S171-T171-U171-V171-W171-X171-Y171-Z171-AA171-AB171-AC171-AD171-AE171-AF171-AG171+AH171-AI171+AJ171+AK171-AL171</f>
        <v>0</v>
      </c>
      <c r="AN171" s="53"/>
      <c r="AO171" s="27"/>
    </row>
    <row r="172" spans="1:41">
      <c r="A172" s="44">
        <v>144</v>
      </c>
      <c r="B172" s="46" t="s">
        <v>704</v>
      </c>
      <c r="C172" s="48" t="s">
        <v>705</v>
      </c>
      <c r="D172" s="51" t="s">
        <v>73</v>
      </c>
      <c r="E172" s="51" t="s">
        <v>679</v>
      </c>
      <c r="F172" s="54" t="s">
        <v>706</v>
      </c>
      <c r="G172" s="50">
        <v>2</v>
      </c>
      <c r="H172" s="51" t="s">
        <v>707</v>
      </c>
      <c r="I172" s="53">
        <v>209000</v>
      </c>
      <c r="J172" s="53">
        <v>0</v>
      </c>
      <c r="K172" s="53">
        <v>22000</v>
      </c>
      <c r="L172" s="53">
        <v>0</v>
      </c>
      <c r="M172" s="53">
        <v>0</v>
      </c>
      <c r="N172" s="53">
        <v>0</v>
      </c>
      <c r="O172" s="53">
        <v>0</v>
      </c>
      <c r="P172" s="53">
        <v>0</v>
      </c>
      <c r="Q172" s="53">
        <v>0</v>
      </c>
      <c r="R172" s="53">
        <v>0</v>
      </c>
      <c r="S172" s="53">
        <v>0</v>
      </c>
      <c r="T172" s="53">
        <v>0</v>
      </c>
      <c r="U172" s="53">
        <v>1100</v>
      </c>
      <c r="V172" s="53">
        <v>0</v>
      </c>
      <c r="W172" s="53">
        <v>0</v>
      </c>
      <c r="X172" s="53">
        <v>0</v>
      </c>
      <c r="Y172" s="53">
        <v>0</v>
      </c>
      <c r="Z172" s="53">
        <v>0</v>
      </c>
      <c r="AA172" s="53">
        <v>0</v>
      </c>
      <c r="AB172" s="53">
        <v>0</v>
      </c>
      <c r="AC172" s="53">
        <v>0</v>
      </c>
      <c r="AD172" s="53">
        <v>0</v>
      </c>
      <c r="AE172" s="53">
        <v>0</v>
      </c>
      <c r="AF172" s="53">
        <v>0</v>
      </c>
      <c r="AG172" s="53">
        <v>0</v>
      </c>
      <c r="AH172" s="53">
        <v>0</v>
      </c>
      <c r="AI172" s="53">
        <v>0</v>
      </c>
      <c r="AJ172" s="53">
        <v>0</v>
      </c>
      <c r="AK172" s="53">
        <v>0</v>
      </c>
      <c r="AL172" s="53">
        <v>0</v>
      </c>
      <c r="AM172" s="53" t="str">
        <f>I172-J172-K172-L172-M172-N172-O172-P172-Q172-R172-S172-T172-U172-V172-W172-X172-Y172-Z172-AA172-AB172-AC172-AD172-AE172-AF172-AG172+AH172-AI172+AJ172+AK172-AL172</f>
        <v>0</v>
      </c>
      <c r="AN172" s="53"/>
      <c r="AO172" s="27"/>
    </row>
    <row r="173" spans="1:41">
      <c r="A173" s="44">
        <v>145</v>
      </c>
      <c r="B173" s="46" t="s">
        <v>708</v>
      </c>
      <c r="C173" s="48" t="s">
        <v>709</v>
      </c>
      <c r="D173" s="51" t="s">
        <v>73</v>
      </c>
      <c r="E173" s="51" t="s">
        <v>679</v>
      </c>
      <c r="F173" s="54" t="s">
        <v>710</v>
      </c>
      <c r="G173" s="50">
        <v>2</v>
      </c>
      <c r="H173" s="51" t="s">
        <v>711</v>
      </c>
      <c r="I173" s="53">
        <v>270000</v>
      </c>
      <c r="J173" s="53">
        <v>0</v>
      </c>
      <c r="K173" s="53">
        <v>22000</v>
      </c>
      <c r="L173" s="53">
        <v>0</v>
      </c>
      <c r="M173" s="53">
        <v>0</v>
      </c>
      <c r="N173" s="53">
        <v>0</v>
      </c>
      <c r="O173" s="53">
        <v>0</v>
      </c>
      <c r="P173" s="53">
        <v>0</v>
      </c>
      <c r="Q173" s="53">
        <v>0</v>
      </c>
      <c r="R173" s="53">
        <v>0</v>
      </c>
      <c r="S173" s="53">
        <v>0</v>
      </c>
      <c r="T173" s="53">
        <v>0</v>
      </c>
      <c r="U173" s="53">
        <v>1100</v>
      </c>
      <c r="V173" s="53">
        <v>0</v>
      </c>
      <c r="W173" s="53">
        <v>0</v>
      </c>
      <c r="X173" s="53">
        <v>0</v>
      </c>
      <c r="Y173" s="53">
        <v>0</v>
      </c>
      <c r="Z173" s="53">
        <v>0</v>
      </c>
      <c r="AA173" s="53">
        <v>0</v>
      </c>
      <c r="AB173" s="53">
        <v>0</v>
      </c>
      <c r="AC173" s="53">
        <v>0</v>
      </c>
      <c r="AD173" s="53">
        <v>0</v>
      </c>
      <c r="AE173" s="53">
        <v>0</v>
      </c>
      <c r="AF173" s="53">
        <v>0</v>
      </c>
      <c r="AG173" s="53">
        <v>0</v>
      </c>
      <c r="AH173" s="53">
        <v>0</v>
      </c>
      <c r="AI173" s="53">
        <v>0</v>
      </c>
      <c r="AJ173" s="53">
        <v>0</v>
      </c>
      <c r="AK173" s="53">
        <v>0</v>
      </c>
      <c r="AL173" s="53">
        <v>0</v>
      </c>
      <c r="AM173" s="53" t="str">
        <f>I173-J173-K173-L173-M173-N173-O173-P173-Q173-R173-S173-T173-U173-V173-W173-X173-Y173-Z173-AA173-AB173-AC173-AD173-AE173-AF173-AG173+AH173-AI173+AJ173+AK173-AL173</f>
        <v>0</v>
      </c>
      <c r="AN173" s="53"/>
      <c r="AO173" s="27"/>
    </row>
    <row r="174" spans="1:41">
      <c r="A174" s="44">
        <v>146</v>
      </c>
      <c r="B174" s="46" t="s">
        <v>712</v>
      </c>
      <c r="C174" s="48" t="s">
        <v>713</v>
      </c>
      <c r="D174" s="51" t="s">
        <v>73</v>
      </c>
      <c r="E174" s="51" t="s">
        <v>679</v>
      </c>
      <c r="F174" s="54" t="s">
        <v>714</v>
      </c>
      <c r="G174" s="50">
        <v>2</v>
      </c>
      <c r="H174" s="51" t="s">
        <v>715</v>
      </c>
      <c r="I174" s="53">
        <v>287100</v>
      </c>
      <c r="J174" s="53">
        <v>0</v>
      </c>
      <c r="K174" s="53">
        <v>22000</v>
      </c>
      <c r="L174" s="53">
        <v>0</v>
      </c>
      <c r="M174" s="53">
        <v>0</v>
      </c>
      <c r="N174" s="53">
        <v>0</v>
      </c>
      <c r="O174" s="53">
        <v>0</v>
      </c>
      <c r="P174" s="53">
        <v>0</v>
      </c>
      <c r="Q174" s="53">
        <v>0</v>
      </c>
      <c r="R174" s="53">
        <v>0</v>
      </c>
      <c r="S174" s="53">
        <v>0</v>
      </c>
      <c r="T174" s="53">
        <v>0</v>
      </c>
      <c r="U174" s="53">
        <v>1100</v>
      </c>
      <c r="V174" s="53">
        <v>0</v>
      </c>
      <c r="W174" s="53">
        <v>0</v>
      </c>
      <c r="X174" s="53">
        <v>0</v>
      </c>
      <c r="Y174" s="53">
        <v>0</v>
      </c>
      <c r="Z174" s="53">
        <v>0</v>
      </c>
      <c r="AA174" s="53">
        <v>0</v>
      </c>
      <c r="AB174" s="53">
        <v>0</v>
      </c>
      <c r="AC174" s="53">
        <v>0</v>
      </c>
      <c r="AD174" s="53">
        <v>0</v>
      </c>
      <c r="AE174" s="53">
        <v>0</v>
      </c>
      <c r="AF174" s="53">
        <v>0</v>
      </c>
      <c r="AG174" s="53">
        <v>0</v>
      </c>
      <c r="AH174" s="53">
        <v>0</v>
      </c>
      <c r="AI174" s="53">
        <v>0</v>
      </c>
      <c r="AJ174" s="53">
        <v>0</v>
      </c>
      <c r="AK174" s="53">
        <v>0</v>
      </c>
      <c r="AL174" s="53">
        <v>0</v>
      </c>
      <c r="AM174" s="53" t="str">
        <f>I174-J174-K174-L174-M174-N174-O174-P174-Q174-R174-S174-T174-U174-V174-W174-X174-Y174-Z174-AA174-AB174-AC174-AD174-AE174-AF174-AG174+AH174-AI174+AJ174+AK174-AL174</f>
        <v>0</v>
      </c>
      <c r="AN174" s="53"/>
      <c r="AO174" s="27"/>
    </row>
    <row r="175" spans="1:41">
      <c r="A175" s="44">
        <v>147</v>
      </c>
      <c r="B175" s="46" t="s">
        <v>716</v>
      </c>
      <c r="C175" s="48" t="s">
        <v>717</v>
      </c>
      <c r="D175" s="51" t="s">
        <v>73</v>
      </c>
      <c r="E175" s="51" t="s">
        <v>679</v>
      </c>
      <c r="F175" s="54" t="s">
        <v>718</v>
      </c>
      <c r="G175" s="50">
        <v>2</v>
      </c>
      <c r="H175" s="51" t="s">
        <v>719</v>
      </c>
      <c r="I175" s="53">
        <v>261000</v>
      </c>
      <c r="J175" s="53">
        <v>0</v>
      </c>
      <c r="K175" s="53">
        <v>22000</v>
      </c>
      <c r="L175" s="53">
        <v>0</v>
      </c>
      <c r="M175" s="53">
        <v>0</v>
      </c>
      <c r="N175" s="53">
        <v>0</v>
      </c>
      <c r="O175" s="53">
        <v>0</v>
      </c>
      <c r="P175" s="53">
        <v>0</v>
      </c>
      <c r="Q175" s="53">
        <v>0</v>
      </c>
      <c r="R175" s="53">
        <v>0</v>
      </c>
      <c r="S175" s="53">
        <v>0</v>
      </c>
      <c r="T175" s="53">
        <v>0</v>
      </c>
      <c r="U175" s="53">
        <v>1100</v>
      </c>
      <c r="V175" s="53">
        <v>0</v>
      </c>
      <c r="W175" s="53">
        <v>0</v>
      </c>
      <c r="X175" s="53">
        <v>0</v>
      </c>
      <c r="Y175" s="53">
        <v>0</v>
      </c>
      <c r="Z175" s="53">
        <v>0</v>
      </c>
      <c r="AA175" s="53">
        <v>0</v>
      </c>
      <c r="AB175" s="53">
        <v>0</v>
      </c>
      <c r="AC175" s="53">
        <v>0</v>
      </c>
      <c r="AD175" s="53">
        <v>0</v>
      </c>
      <c r="AE175" s="53">
        <v>0</v>
      </c>
      <c r="AF175" s="53">
        <v>0</v>
      </c>
      <c r="AG175" s="53">
        <v>0</v>
      </c>
      <c r="AH175" s="53">
        <v>0</v>
      </c>
      <c r="AI175" s="53">
        <v>0</v>
      </c>
      <c r="AJ175" s="53">
        <v>0</v>
      </c>
      <c r="AK175" s="53">
        <v>0</v>
      </c>
      <c r="AL175" s="53">
        <v>0</v>
      </c>
      <c r="AM175" s="53" t="str">
        <f>I175-J175-K175-L175-M175-N175-O175-P175-Q175-R175-S175-T175-U175-V175-W175-X175-Y175-Z175-AA175-AB175-AC175-AD175-AE175-AF175-AG175+AH175-AI175+AJ175+AK175-AL175</f>
        <v>0</v>
      </c>
      <c r="AN175" s="53"/>
      <c r="AO175" s="27"/>
    </row>
    <row r="176" spans="1:41">
      <c r="A176" s="44">
        <v>148</v>
      </c>
      <c r="B176" s="46" t="s">
        <v>720</v>
      </c>
      <c r="C176" s="48" t="s">
        <v>721</v>
      </c>
      <c r="D176" s="51" t="s">
        <v>62</v>
      </c>
      <c r="E176" s="51" t="s">
        <v>722</v>
      </c>
      <c r="F176" s="54" t="s">
        <v>723</v>
      </c>
      <c r="G176" s="50">
        <v>2</v>
      </c>
      <c r="H176" s="51" t="s">
        <v>724</v>
      </c>
      <c r="I176" s="53">
        <v>0</v>
      </c>
      <c r="J176" s="53">
        <v>0</v>
      </c>
      <c r="K176" s="53">
        <v>22000</v>
      </c>
      <c r="L176" s="53">
        <v>0</v>
      </c>
      <c r="M176" s="53">
        <v>0</v>
      </c>
      <c r="N176" s="53">
        <v>0</v>
      </c>
      <c r="O176" s="53">
        <v>0</v>
      </c>
      <c r="P176" s="53">
        <v>0</v>
      </c>
      <c r="Q176" s="53">
        <v>0</v>
      </c>
      <c r="R176" s="53">
        <v>0</v>
      </c>
      <c r="S176" s="53">
        <v>0</v>
      </c>
      <c r="T176" s="53">
        <v>0</v>
      </c>
      <c r="U176" s="53">
        <v>1100</v>
      </c>
      <c r="V176" s="53">
        <v>0</v>
      </c>
      <c r="W176" s="53">
        <v>0</v>
      </c>
      <c r="X176" s="53">
        <v>0</v>
      </c>
      <c r="Y176" s="53">
        <v>11550</v>
      </c>
      <c r="Z176" s="53">
        <v>0</v>
      </c>
      <c r="AA176" s="53">
        <v>0</v>
      </c>
      <c r="AB176" s="53">
        <v>0</v>
      </c>
      <c r="AC176" s="53">
        <v>0</v>
      </c>
      <c r="AD176" s="53">
        <v>0</v>
      </c>
      <c r="AE176" s="53">
        <v>0</v>
      </c>
      <c r="AF176" s="53">
        <v>0</v>
      </c>
      <c r="AG176" s="53">
        <v>0</v>
      </c>
      <c r="AH176" s="53">
        <v>0</v>
      </c>
      <c r="AI176" s="53">
        <v>0</v>
      </c>
      <c r="AJ176" s="53">
        <v>0</v>
      </c>
      <c r="AK176" s="53">
        <v>0</v>
      </c>
      <c r="AL176" s="53">
        <v>0</v>
      </c>
      <c r="AM176" s="53" t="str">
        <f>I176-J176-K176-L176-M176-N176-O176-P176-Q176-R176-S176-T176-U176-V176-W176-X176-Y176-Z176-AA176-AB176-AC176-AD176-AE176-AF176-AG176+AH176-AI176+AJ176+AK176-AL176</f>
        <v>0</v>
      </c>
      <c r="AN176" s="53"/>
      <c r="AO176" s="27"/>
    </row>
    <row r="177" spans="1:41">
      <c r="A177" s="44">
        <v>149</v>
      </c>
      <c r="B177" s="46" t="s">
        <v>725</v>
      </c>
      <c r="C177" s="48" t="s">
        <v>726</v>
      </c>
      <c r="D177" s="51" t="s">
        <v>73</v>
      </c>
      <c r="E177" s="51" t="s">
        <v>722</v>
      </c>
      <c r="F177" s="54" t="s">
        <v>727</v>
      </c>
      <c r="G177" s="50">
        <v>5.8</v>
      </c>
      <c r="H177" s="51" t="s">
        <v>728</v>
      </c>
      <c r="I177" s="53">
        <v>539100</v>
      </c>
      <c r="J177" s="53">
        <v>0</v>
      </c>
      <c r="K177" s="53">
        <v>31000</v>
      </c>
      <c r="L177" s="53">
        <v>0</v>
      </c>
      <c r="M177" s="53">
        <v>0</v>
      </c>
      <c r="N177" s="53">
        <v>0</v>
      </c>
      <c r="O177" s="53">
        <v>0</v>
      </c>
      <c r="P177" s="53">
        <v>0</v>
      </c>
      <c r="Q177" s="53">
        <v>0</v>
      </c>
      <c r="R177" s="53">
        <v>0</v>
      </c>
      <c r="S177" s="53">
        <v>0</v>
      </c>
      <c r="T177" s="53">
        <v>0</v>
      </c>
      <c r="U177" s="53">
        <v>1550</v>
      </c>
      <c r="V177" s="53">
        <v>0</v>
      </c>
      <c r="W177" s="53">
        <v>0</v>
      </c>
      <c r="X177" s="53">
        <v>0</v>
      </c>
      <c r="Y177" s="53">
        <v>0</v>
      </c>
      <c r="Z177" s="53">
        <v>0</v>
      </c>
      <c r="AA177" s="53">
        <v>0</v>
      </c>
      <c r="AB177" s="53">
        <v>0</v>
      </c>
      <c r="AC177" s="53">
        <v>0</v>
      </c>
      <c r="AD177" s="53">
        <v>0</v>
      </c>
      <c r="AE177" s="53">
        <v>0</v>
      </c>
      <c r="AF177" s="53">
        <v>0</v>
      </c>
      <c r="AG177" s="53">
        <v>0</v>
      </c>
      <c r="AH177" s="53">
        <v>0</v>
      </c>
      <c r="AI177" s="53">
        <v>0</v>
      </c>
      <c r="AJ177" s="53">
        <v>0</v>
      </c>
      <c r="AK177" s="53">
        <v>0</v>
      </c>
      <c r="AL177" s="53">
        <v>0</v>
      </c>
      <c r="AM177" s="53" t="str">
        <f>I177-J177-K177-L177-M177-N177-O177-P177-Q177-R177-S177-T177-U177-V177-W177-X177-Y177-Z177-AA177-AB177-AC177-AD177-AE177-AF177-AG177+AH177-AI177+AJ177+AK177-AL177</f>
        <v>0</v>
      </c>
      <c r="AN177" s="53"/>
      <c r="AO177" s="27"/>
    </row>
    <row r="178" spans="1:41">
      <c r="A178" s="44">
        <v>150</v>
      </c>
      <c r="B178" s="46" t="s">
        <v>729</v>
      </c>
      <c r="C178" s="48" t="s">
        <v>730</v>
      </c>
      <c r="D178" s="51" t="s">
        <v>73</v>
      </c>
      <c r="E178" s="51" t="s">
        <v>722</v>
      </c>
      <c r="F178" s="54" t="s">
        <v>727</v>
      </c>
      <c r="G178" s="50">
        <v>5.8</v>
      </c>
      <c r="H178" s="51" t="s">
        <v>731</v>
      </c>
      <c r="I178" s="53">
        <v>539100</v>
      </c>
      <c r="J178" s="53">
        <v>0</v>
      </c>
      <c r="K178" s="53">
        <v>31000</v>
      </c>
      <c r="L178" s="53">
        <v>0</v>
      </c>
      <c r="M178" s="53">
        <v>0</v>
      </c>
      <c r="N178" s="53">
        <v>0</v>
      </c>
      <c r="O178" s="53">
        <v>0</v>
      </c>
      <c r="P178" s="53">
        <v>0</v>
      </c>
      <c r="Q178" s="53">
        <v>0</v>
      </c>
      <c r="R178" s="53">
        <v>0</v>
      </c>
      <c r="S178" s="53">
        <v>0</v>
      </c>
      <c r="T178" s="53">
        <v>0</v>
      </c>
      <c r="U178" s="53">
        <v>1550</v>
      </c>
      <c r="V178" s="53">
        <v>0</v>
      </c>
      <c r="W178" s="53">
        <v>0</v>
      </c>
      <c r="X178" s="53">
        <v>0</v>
      </c>
      <c r="Y178" s="53">
        <v>0</v>
      </c>
      <c r="Z178" s="53">
        <v>0</v>
      </c>
      <c r="AA178" s="53">
        <v>0</v>
      </c>
      <c r="AB178" s="53">
        <v>0</v>
      </c>
      <c r="AC178" s="53">
        <v>0</v>
      </c>
      <c r="AD178" s="53">
        <v>0</v>
      </c>
      <c r="AE178" s="53">
        <v>0</v>
      </c>
      <c r="AF178" s="53">
        <v>0</v>
      </c>
      <c r="AG178" s="53">
        <v>0</v>
      </c>
      <c r="AH178" s="53">
        <v>0</v>
      </c>
      <c r="AI178" s="53">
        <v>0</v>
      </c>
      <c r="AJ178" s="53">
        <v>0</v>
      </c>
      <c r="AK178" s="53">
        <v>0</v>
      </c>
      <c r="AL178" s="53">
        <v>0</v>
      </c>
      <c r="AM178" s="53" t="str">
        <f>I178-J178-K178-L178-M178-N178-O178-P178-Q178-R178-S178-T178-U178-V178-W178-X178-Y178-Z178-AA178-AB178-AC178-AD178-AE178-AF178-AG178+AH178-AI178+AJ178+AK178-AL178</f>
        <v>0</v>
      </c>
      <c r="AN178" s="53"/>
      <c r="AO178" s="27"/>
    </row>
    <row r="179" spans="1:41">
      <c r="A179" s="44">
        <v>151</v>
      </c>
      <c r="B179" s="46" t="s">
        <v>732</v>
      </c>
      <c r="C179" s="48" t="s">
        <v>733</v>
      </c>
      <c r="D179" s="51" t="s">
        <v>73</v>
      </c>
      <c r="E179" s="51" t="s">
        <v>722</v>
      </c>
      <c r="F179" s="54" t="s">
        <v>734</v>
      </c>
      <c r="G179" s="50">
        <v>2</v>
      </c>
      <c r="H179" s="51" t="s">
        <v>735</v>
      </c>
      <c r="I179" s="53">
        <v>287100</v>
      </c>
      <c r="J179" s="53">
        <v>0</v>
      </c>
      <c r="K179" s="53">
        <v>22000</v>
      </c>
      <c r="L179" s="53">
        <v>0</v>
      </c>
      <c r="M179" s="53">
        <v>0</v>
      </c>
      <c r="N179" s="53">
        <v>0</v>
      </c>
      <c r="O179" s="53">
        <v>0</v>
      </c>
      <c r="P179" s="53">
        <v>0</v>
      </c>
      <c r="Q179" s="53">
        <v>0</v>
      </c>
      <c r="R179" s="53">
        <v>0</v>
      </c>
      <c r="S179" s="53">
        <v>0</v>
      </c>
      <c r="T179" s="53">
        <v>0</v>
      </c>
      <c r="U179" s="53">
        <v>1100</v>
      </c>
      <c r="V179" s="53">
        <v>0</v>
      </c>
      <c r="W179" s="53">
        <v>0</v>
      </c>
      <c r="X179" s="53">
        <v>0</v>
      </c>
      <c r="Y179" s="53">
        <v>0</v>
      </c>
      <c r="Z179" s="53">
        <v>0</v>
      </c>
      <c r="AA179" s="53">
        <v>0</v>
      </c>
      <c r="AB179" s="53">
        <v>0</v>
      </c>
      <c r="AC179" s="53">
        <v>0</v>
      </c>
      <c r="AD179" s="53">
        <v>0</v>
      </c>
      <c r="AE179" s="53">
        <v>0</v>
      </c>
      <c r="AF179" s="53">
        <v>0</v>
      </c>
      <c r="AG179" s="53">
        <v>0</v>
      </c>
      <c r="AH179" s="53">
        <v>0</v>
      </c>
      <c r="AI179" s="53">
        <v>0</v>
      </c>
      <c r="AJ179" s="53">
        <v>0</v>
      </c>
      <c r="AK179" s="53">
        <v>0</v>
      </c>
      <c r="AL179" s="53">
        <v>0</v>
      </c>
      <c r="AM179" s="53" t="str">
        <f>I179-J179-K179-L179-M179-N179-O179-P179-Q179-R179-S179-T179-U179-V179-W179-X179-Y179-Z179-AA179-AB179-AC179-AD179-AE179-AF179-AG179+AH179-AI179+AJ179+AK179-AL179</f>
        <v>0</v>
      </c>
      <c r="AN179" s="53"/>
      <c r="AO179" s="27"/>
    </row>
    <row r="180" spans="1:41">
      <c r="A180" s="44">
        <v>152</v>
      </c>
      <c r="B180" s="46" t="s">
        <v>736</v>
      </c>
      <c r="C180" s="48" t="s">
        <v>737</v>
      </c>
      <c r="D180" s="51" t="s">
        <v>73</v>
      </c>
      <c r="E180" s="51" t="s">
        <v>722</v>
      </c>
      <c r="F180" s="54" t="s">
        <v>738</v>
      </c>
      <c r="G180" s="50">
        <v>2</v>
      </c>
      <c r="H180" s="51" t="s">
        <v>739</v>
      </c>
      <c r="I180" s="53">
        <v>134100</v>
      </c>
      <c r="J180" s="53">
        <v>0</v>
      </c>
      <c r="K180" s="53">
        <v>22000</v>
      </c>
      <c r="L180" s="53">
        <v>0</v>
      </c>
      <c r="M180" s="53">
        <v>0</v>
      </c>
      <c r="N180" s="53">
        <v>0</v>
      </c>
      <c r="O180" s="53">
        <v>0</v>
      </c>
      <c r="P180" s="53">
        <v>0</v>
      </c>
      <c r="Q180" s="53">
        <v>0</v>
      </c>
      <c r="R180" s="53">
        <v>0</v>
      </c>
      <c r="S180" s="53">
        <v>0</v>
      </c>
      <c r="T180" s="53">
        <v>0</v>
      </c>
      <c r="U180" s="53">
        <v>1100</v>
      </c>
      <c r="V180" s="53">
        <v>0</v>
      </c>
      <c r="W180" s="53">
        <v>0</v>
      </c>
      <c r="X180" s="53">
        <v>0</v>
      </c>
      <c r="Y180" s="53">
        <v>0</v>
      </c>
      <c r="Z180" s="53">
        <v>0</v>
      </c>
      <c r="AA180" s="53">
        <v>0</v>
      </c>
      <c r="AB180" s="53">
        <v>0</v>
      </c>
      <c r="AC180" s="53">
        <v>0</v>
      </c>
      <c r="AD180" s="53">
        <v>0</v>
      </c>
      <c r="AE180" s="53">
        <v>0</v>
      </c>
      <c r="AF180" s="53">
        <v>0</v>
      </c>
      <c r="AG180" s="53">
        <v>0</v>
      </c>
      <c r="AH180" s="53">
        <v>0</v>
      </c>
      <c r="AI180" s="53">
        <v>0</v>
      </c>
      <c r="AJ180" s="53">
        <v>0</v>
      </c>
      <c r="AK180" s="53">
        <v>0</v>
      </c>
      <c r="AL180" s="53">
        <v>0</v>
      </c>
      <c r="AM180" s="53" t="str">
        <f>I180-J180-K180-L180-M180-N180-O180-P180-Q180-R180-S180-T180-U180-V180-W180-X180-Y180-Z180-AA180-AB180-AC180-AD180-AE180-AF180-AG180+AH180-AI180+AJ180+AK180-AL180</f>
        <v>0</v>
      </c>
      <c r="AN180" s="53"/>
      <c r="AO180" s="27"/>
    </row>
    <row r="181" spans="1:41">
      <c r="A181" s="44">
        <v>153</v>
      </c>
      <c r="B181" s="46" t="s">
        <v>740</v>
      </c>
      <c r="C181" s="48" t="s">
        <v>741</v>
      </c>
      <c r="D181" s="51" t="s">
        <v>73</v>
      </c>
      <c r="E181" s="51" t="s">
        <v>742</v>
      </c>
      <c r="F181" s="54" t="s">
        <v>743</v>
      </c>
      <c r="G181" s="50">
        <v>5.8</v>
      </c>
      <c r="H181" s="51" t="s">
        <v>744</v>
      </c>
      <c r="I181" s="53">
        <v>539100</v>
      </c>
      <c r="J181" s="53">
        <v>0</v>
      </c>
      <c r="K181" s="53">
        <v>31000</v>
      </c>
      <c r="L181" s="53">
        <v>0</v>
      </c>
      <c r="M181" s="53">
        <v>0</v>
      </c>
      <c r="N181" s="53">
        <v>0</v>
      </c>
      <c r="O181" s="53">
        <v>0</v>
      </c>
      <c r="P181" s="53">
        <v>0</v>
      </c>
      <c r="Q181" s="53">
        <v>0</v>
      </c>
      <c r="R181" s="53">
        <v>0</v>
      </c>
      <c r="S181" s="53">
        <v>0</v>
      </c>
      <c r="T181" s="53">
        <v>0</v>
      </c>
      <c r="U181" s="53">
        <v>1550</v>
      </c>
      <c r="V181" s="53">
        <v>0</v>
      </c>
      <c r="W181" s="53">
        <v>0</v>
      </c>
      <c r="X181" s="53">
        <v>0</v>
      </c>
      <c r="Y181" s="53">
        <v>0</v>
      </c>
      <c r="Z181" s="53">
        <v>0</v>
      </c>
      <c r="AA181" s="53">
        <v>0</v>
      </c>
      <c r="AB181" s="53">
        <v>0</v>
      </c>
      <c r="AC181" s="53">
        <v>0</v>
      </c>
      <c r="AD181" s="53">
        <v>0</v>
      </c>
      <c r="AE181" s="53">
        <v>0</v>
      </c>
      <c r="AF181" s="53">
        <v>0</v>
      </c>
      <c r="AG181" s="53">
        <v>0</v>
      </c>
      <c r="AH181" s="53">
        <v>0</v>
      </c>
      <c r="AI181" s="53">
        <v>0</v>
      </c>
      <c r="AJ181" s="53">
        <v>0</v>
      </c>
      <c r="AK181" s="53">
        <v>0</v>
      </c>
      <c r="AL181" s="53">
        <v>0</v>
      </c>
      <c r="AM181" s="53" t="str">
        <f>I181-J181-K181-L181-M181-N181-O181-P181-Q181-R181-S181-T181-U181-V181-W181-X181-Y181-Z181-AA181-AB181-AC181-AD181-AE181-AF181-AG181+AH181-AI181+AJ181+AK181-AL181</f>
        <v>0</v>
      </c>
      <c r="AN181" s="53"/>
      <c r="AO181" s="27"/>
    </row>
    <row r="182" spans="1:41">
      <c r="A182" s="44">
        <v>154</v>
      </c>
      <c r="B182" s="46" t="s">
        <v>745</v>
      </c>
      <c r="C182" s="48" t="s">
        <v>746</v>
      </c>
      <c r="D182" s="51" t="s">
        <v>62</v>
      </c>
      <c r="E182" s="51" t="s">
        <v>742</v>
      </c>
      <c r="F182" s="54" t="s">
        <v>747</v>
      </c>
      <c r="G182" s="50">
        <v>3</v>
      </c>
      <c r="H182" s="51" t="s">
        <v>748</v>
      </c>
      <c r="I182" s="53">
        <v>0</v>
      </c>
      <c r="J182" s="53">
        <v>0</v>
      </c>
      <c r="K182" s="53">
        <v>22000</v>
      </c>
      <c r="L182" s="53">
        <v>0</v>
      </c>
      <c r="M182" s="53">
        <v>0</v>
      </c>
      <c r="N182" s="53">
        <v>0</v>
      </c>
      <c r="O182" s="53">
        <v>0</v>
      </c>
      <c r="P182" s="53">
        <v>0</v>
      </c>
      <c r="Q182" s="53">
        <v>0</v>
      </c>
      <c r="R182" s="53">
        <v>0</v>
      </c>
      <c r="S182" s="53">
        <v>0</v>
      </c>
      <c r="T182" s="53">
        <v>0</v>
      </c>
      <c r="U182" s="53">
        <v>1100</v>
      </c>
      <c r="V182" s="53">
        <v>0</v>
      </c>
      <c r="W182" s="53">
        <v>0</v>
      </c>
      <c r="X182" s="53">
        <v>0</v>
      </c>
      <c r="Y182" s="53">
        <v>11550</v>
      </c>
      <c r="Z182" s="53">
        <v>0</v>
      </c>
      <c r="AA182" s="53">
        <v>0</v>
      </c>
      <c r="AB182" s="53">
        <v>0</v>
      </c>
      <c r="AC182" s="53">
        <v>0</v>
      </c>
      <c r="AD182" s="53">
        <v>0</v>
      </c>
      <c r="AE182" s="53">
        <v>0</v>
      </c>
      <c r="AF182" s="53">
        <v>0</v>
      </c>
      <c r="AG182" s="53">
        <v>0</v>
      </c>
      <c r="AH182" s="53">
        <v>0</v>
      </c>
      <c r="AI182" s="53">
        <v>0</v>
      </c>
      <c r="AJ182" s="53">
        <v>0</v>
      </c>
      <c r="AK182" s="53">
        <v>0</v>
      </c>
      <c r="AL182" s="53">
        <v>0</v>
      </c>
      <c r="AM182" s="53" t="str">
        <f>I182-J182-K182-L182-M182-N182-O182-P182-Q182-R182-S182-T182-U182-V182-W182-X182-Y182-Z182-AA182-AB182-AC182-AD182-AE182-AF182-AG182+AH182-AI182+AJ182+AK182-AL182</f>
        <v>0</v>
      </c>
      <c r="AN182" s="53"/>
      <c r="AO182" s="27"/>
    </row>
    <row r="183" spans="1:41">
      <c r="A183" s="44">
        <v>155</v>
      </c>
      <c r="B183" s="46" t="s">
        <v>749</v>
      </c>
      <c r="C183" s="48" t="s">
        <v>750</v>
      </c>
      <c r="D183" s="51" t="s">
        <v>73</v>
      </c>
      <c r="E183" s="51" t="s">
        <v>742</v>
      </c>
      <c r="F183" s="54" t="s">
        <v>751</v>
      </c>
      <c r="G183" s="50">
        <v>3</v>
      </c>
      <c r="H183" s="51" t="s">
        <v>752</v>
      </c>
      <c r="I183" s="53">
        <v>299000</v>
      </c>
      <c r="J183" s="53">
        <v>0</v>
      </c>
      <c r="K183" s="53">
        <v>22000</v>
      </c>
      <c r="L183" s="53">
        <v>0</v>
      </c>
      <c r="M183" s="53">
        <v>0</v>
      </c>
      <c r="N183" s="53">
        <v>0</v>
      </c>
      <c r="O183" s="53">
        <v>0</v>
      </c>
      <c r="P183" s="53">
        <v>0</v>
      </c>
      <c r="Q183" s="53">
        <v>0</v>
      </c>
      <c r="R183" s="53">
        <v>0</v>
      </c>
      <c r="S183" s="53">
        <v>0</v>
      </c>
      <c r="T183" s="53">
        <v>0</v>
      </c>
      <c r="U183" s="53">
        <v>1100</v>
      </c>
      <c r="V183" s="53">
        <v>0</v>
      </c>
      <c r="W183" s="53">
        <v>0</v>
      </c>
      <c r="X183" s="53">
        <v>0</v>
      </c>
      <c r="Y183" s="53">
        <v>0</v>
      </c>
      <c r="Z183" s="53">
        <v>0</v>
      </c>
      <c r="AA183" s="53">
        <v>0</v>
      </c>
      <c r="AB183" s="53">
        <v>0</v>
      </c>
      <c r="AC183" s="53">
        <v>0</v>
      </c>
      <c r="AD183" s="53">
        <v>0</v>
      </c>
      <c r="AE183" s="53">
        <v>0</v>
      </c>
      <c r="AF183" s="53">
        <v>0</v>
      </c>
      <c r="AG183" s="53">
        <v>0</v>
      </c>
      <c r="AH183" s="53">
        <v>0</v>
      </c>
      <c r="AI183" s="53">
        <v>0</v>
      </c>
      <c r="AJ183" s="53">
        <v>0</v>
      </c>
      <c r="AK183" s="53">
        <v>0</v>
      </c>
      <c r="AL183" s="53">
        <v>0</v>
      </c>
      <c r="AM183" s="53" t="str">
        <f>I183-J183-K183-L183-M183-N183-O183-P183-Q183-R183-S183-T183-U183-V183-W183-X183-Y183-Z183-AA183-AB183-AC183-AD183-AE183-AF183-AG183+AH183-AI183+AJ183+AK183-AL183</f>
        <v>0</v>
      </c>
      <c r="AN183" s="53"/>
      <c r="AO183" s="27"/>
    </row>
    <row r="184" spans="1:41">
      <c r="A184" s="44">
        <v>156</v>
      </c>
      <c r="B184" s="46" t="s">
        <v>753</v>
      </c>
      <c r="C184" s="48" t="s">
        <v>754</v>
      </c>
      <c r="D184" s="51" t="s">
        <v>73</v>
      </c>
      <c r="E184" s="51" t="s">
        <v>742</v>
      </c>
      <c r="F184" s="54" t="s">
        <v>755</v>
      </c>
      <c r="G184" s="50">
        <v>5.8</v>
      </c>
      <c r="H184" s="51" t="s">
        <v>756</v>
      </c>
      <c r="I184" s="53">
        <v>539100</v>
      </c>
      <c r="J184" s="53">
        <v>0</v>
      </c>
      <c r="K184" s="53">
        <v>31000</v>
      </c>
      <c r="L184" s="53">
        <v>0</v>
      </c>
      <c r="M184" s="53">
        <v>0</v>
      </c>
      <c r="N184" s="53">
        <v>0</v>
      </c>
      <c r="O184" s="53">
        <v>0</v>
      </c>
      <c r="P184" s="53">
        <v>0</v>
      </c>
      <c r="Q184" s="53">
        <v>0</v>
      </c>
      <c r="R184" s="53">
        <v>0</v>
      </c>
      <c r="S184" s="53">
        <v>0</v>
      </c>
      <c r="T184" s="53">
        <v>0</v>
      </c>
      <c r="U184" s="53">
        <v>1550</v>
      </c>
      <c r="V184" s="53">
        <v>0</v>
      </c>
      <c r="W184" s="53">
        <v>0</v>
      </c>
      <c r="X184" s="53">
        <v>0</v>
      </c>
      <c r="Y184" s="53">
        <v>0</v>
      </c>
      <c r="Z184" s="53">
        <v>0</v>
      </c>
      <c r="AA184" s="53">
        <v>0</v>
      </c>
      <c r="AB184" s="53">
        <v>0</v>
      </c>
      <c r="AC184" s="53">
        <v>0</v>
      </c>
      <c r="AD184" s="53">
        <v>0</v>
      </c>
      <c r="AE184" s="53">
        <v>0</v>
      </c>
      <c r="AF184" s="53">
        <v>0</v>
      </c>
      <c r="AG184" s="53">
        <v>0</v>
      </c>
      <c r="AH184" s="53">
        <v>0</v>
      </c>
      <c r="AI184" s="53">
        <v>0</v>
      </c>
      <c r="AJ184" s="53">
        <v>0</v>
      </c>
      <c r="AK184" s="53">
        <v>0</v>
      </c>
      <c r="AL184" s="53">
        <v>0</v>
      </c>
      <c r="AM184" s="53" t="str">
        <f>I184-J184-K184-L184-M184-N184-O184-P184-Q184-R184-S184-T184-U184-V184-W184-X184-Y184-Z184-AA184-AB184-AC184-AD184-AE184-AF184-AG184+AH184-AI184+AJ184+AK184-AL184</f>
        <v>0</v>
      </c>
      <c r="AN184" s="53"/>
      <c r="AO184" s="27"/>
    </row>
    <row r="185" spans="1:41">
      <c r="A185" s="44">
        <v>157</v>
      </c>
      <c r="B185" s="46" t="s">
        <v>757</v>
      </c>
      <c r="C185" s="48" t="s">
        <v>758</v>
      </c>
      <c r="D185" s="51" t="s">
        <v>62</v>
      </c>
      <c r="E185" s="51" t="s">
        <v>742</v>
      </c>
      <c r="F185" s="54" t="s">
        <v>759</v>
      </c>
      <c r="G185" s="50">
        <v>13</v>
      </c>
      <c r="H185" s="51" t="s">
        <v>760</v>
      </c>
      <c r="I185" s="53">
        <v>0</v>
      </c>
      <c r="J185" s="53">
        <v>0</v>
      </c>
      <c r="K185" s="53">
        <v>52000</v>
      </c>
      <c r="L185" s="53">
        <v>0</v>
      </c>
      <c r="M185" s="53">
        <v>0</v>
      </c>
      <c r="N185" s="53">
        <v>0</v>
      </c>
      <c r="O185" s="53">
        <v>0</v>
      </c>
      <c r="P185" s="53">
        <v>0</v>
      </c>
      <c r="Q185" s="53">
        <v>0</v>
      </c>
      <c r="R185" s="53">
        <v>0</v>
      </c>
      <c r="S185" s="53">
        <v>0</v>
      </c>
      <c r="T185" s="53">
        <v>0</v>
      </c>
      <c r="U185" s="53">
        <v>2600</v>
      </c>
      <c r="V185" s="53">
        <v>0</v>
      </c>
      <c r="W185" s="53">
        <v>0</v>
      </c>
      <c r="X185" s="53">
        <v>0</v>
      </c>
      <c r="Y185" s="53">
        <v>27300</v>
      </c>
      <c r="Z185" s="53">
        <v>0</v>
      </c>
      <c r="AA185" s="53">
        <v>0</v>
      </c>
      <c r="AB185" s="53">
        <v>0</v>
      </c>
      <c r="AC185" s="53">
        <v>0</v>
      </c>
      <c r="AD185" s="53">
        <v>0</v>
      </c>
      <c r="AE185" s="53">
        <v>0</v>
      </c>
      <c r="AF185" s="53">
        <v>0</v>
      </c>
      <c r="AG185" s="53">
        <v>0</v>
      </c>
      <c r="AH185" s="53">
        <v>0</v>
      </c>
      <c r="AI185" s="53">
        <v>0</v>
      </c>
      <c r="AJ185" s="53">
        <v>0</v>
      </c>
      <c r="AK185" s="53">
        <v>0</v>
      </c>
      <c r="AL185" s="53">
        <v>0</v>
      </c>
      <c r="AM185" s="53" t="str">
        <f>I185-J185-K185-L185-M185-N185-O185-P185-Q185-R185-S185-T185-U185-V185-W185-X185-Y185-Z185-AA185-AB185-AC185-AD185-AE185-AF185-AG185+AH185-AI185+AJ185+AK185-AL185</f>
        <v>0</v>
      </c>
      <c r="AN185" s="53"/>
      <c r="AO185" s="27"/>
    </row>
    <row r="186" spans="1:41">
      <c r="A186" s="44">
        <v>158</v>
      </c>
      <c r="B186" s="46" t="s">
        <v>761</v>
      </c>
      <c r="C186" s="48" t="s">
        <v>762</v>
      </c>
      <c r="D186" s="51" t="s">
        <v>73</v>
      </c>
      <c r="E186" s="51" t="s">
        <v>742</v>
      </c>
      <c r="F186" s="54" t="s">
        <v>763</v>
      </c>
      <c r="G186" s="50">
        <v>3</v>
      </c>
      <c r="H186" s="51" t="s">
        <v>764</v>
      </c>
      <c r="I186" s="53">
        <v>539100</v>
      </c>
      <c r="J186" s="53">
        <v>0</v>
      </c>
      <c r="K186" s="53">
        <v>22000</v>
      </c>
      <c r="L186" s="53">
        <v>0</v>
      </c>
      <c r="M186" s="53">
        <v>0</v>
      </c>
      <c r="N186" s="53">
        <v>0</v>
      </c>
      <c r="O186" s="53">
        <v>0</v>
      </c>
      <c r="P186" s="53">
        <v>0</v>
      </c>
      <c r="Q186" s="53">
        <v>0</v>
      </c>
      <c r="R186" s="53">
        <v>0</v>
      </c>
      <c r="S186" s="53">
        <v>0</v>
      </c>
      <c r="T186" s="53">
        <v>0</v>
      </c>
      <c r="U186" s="53">
        <v>1100</v>
      </c>
      <c r="V186" s="53">
        <v>0</v>
      </c>
      <c r="W186" s="53">
        <v>0</v>
      </c>
      <c r="X186" s="53">
        <v>0</v>
      </c>
      <c r="Y186" s="53">
        <v>0</v>
      </c>
      <c r="Z186" s="53">
        <v>0</v>
      </c>
      <c r="AA186" s="53">
        <v>0</v>
      </c>
      <c r="AB186" s="53">
        <v>0</v>
      </c>
      <c r="AC186" s="53">
        <v>0</v>
      </c>
      <c r="AD186" s="53">
        <v>0</v>
      </c>
      <c r="AE186" s="53">
        <v>0</v>
      </c>
      <c r="AF186" s="53">
        <v>0</v>
      </c>
      <c r="AG186" s="53">
        <v>0</v>
      </c>
      <c r="AH186" s="53">
        <v>0</v>
      </c>
      <c r="AI186" s="53">
        <v>0</v>
      </c>
      <c r="AJ186" s="53">
        <v>0</v>
      </c>
      <c r="AK186" s="53">
        <v>0</v>
      </c>
      <c r="AL186" s="53">
        <v>0</v>
      </c>
      <c r="AM186" s="53" t="str">
        <f>I186-J186-K186-L186-M186-N186-O186-P186-Q186-R186-S186-T186-U186-V186-W186-X186-Y186-Z186-AA186-AB186-AC186-AD186-AE186-AF186-AG186+AH186-AI186+AJ186+AK186-AL186</f>
        <v>0</v>
      </c>
      <c r="AN186" s="53"/>
      <c r="AO186" s="27"/>
    </row>
    <row r="187" spans="1:41">
      <c r="A187" s="44">
        <v>159</v>
      </c>
      <c r="B187" s="46" t="s">
        <v>765</v>
      </c>
      <c r="C187" s="48" t="s">
        <v>766</v>
      </c>
      <c r="D187" s="51" t="s">
        <v>73</v>
      </c>
      <c r="E187" s="51" t="s">
        <v>767</v>
      </c>
      <c r="F187" s="54" t="s">
        <v>768</v>
      </c>
      <c r="G187" s="50">
        <v>5</v>
      </c>
      <c r="H187" s="51" t="s">
        <v>769</v>
      </c>
      <c r="I187" s="53">
        <v>891000</v>
      </c>
      <c r="J187" s="53">
        <v>0</v>
      </c>
      <c r="K187" s="53">
        <v>27000</v>
      </c>
      <c r="L187" s="53">
        <v>0</v>
      </c>
      <c r="M187" s="53">
        <v>0</v>
      </c>
      <c r="N187" s="53">
        <v>0</v>
      </c>
      <c r="O187" s="53">
        <v>0</v>
      </c>
      <c r="P187" s="53">
        <v>0</v>
      </c>
      <c r="Q187" s="53">
        <v>0</v>
      </c>
      <c r="R187" s="53">
        <v>0</v>
      </c>
      <c r="S187" s="53">
        <v>0</v>
      </c>
      <c r="T187" s="53">
        <v>0</v>
      </c>
      <c r="U187" s="53">
        <v>1350</v>
      </c>
      <c r="V187" s="53">
        <v>0</v>
      </c>
      <c r="W187" s="53">
        <v>0</v>
      </c>
      <c r="X187" s="53">
        <v>0</v>
      </c>
      <c r="Y187" s="53">
        <v>0</v>
      </c>
      <c r="Z187" s="53">
        <v>0</v>
      </c>
      <c r="AA187" s="53">
        <v>0</v>
      </c>
      <c r="AB187" s="53">
        <v>0</v>
      </c>
      <c r="AC187" s="53">
        <v>0</v>
      </c>
      <c r="AD187" s="53">
        <v>0</v>
      </c>
      <c r="AE187" s="53">
        <v>0</v>
      </c>
      <c r="AF187" s="53">
        <v>0</v>
      </c>
      <c r="AG187" s="53">
        <v>0</v>
      </c>
      <c r="AH187" s="53">
        <v>0</v>
      </c>
      <c r="AI187" s="53">
        <v>0</v>
      </c>
      <c r="AJ187" s="53">
        <v>0</v>
      </c>
      <c r="AK187" s="53">
        <v>0</v>
      </c>
      <c r="AL187" s="53">
        <v>0</v>
      </c>
      <c r="AM187" s="53" t="str">
        <f>I187-J187-K187-L187-M187-N187-O187-P187-Q187-R187-S187-T187-U187-V187-W187-X187-Y187-Z187-AA187-AB187-AC187-AD187-AE187-AF187-AG187+AH187-AI187+AJ187+AK187-AL187</f>
        <v>0</v>
      </c>
      <c r="AN187" s="53"/>
      <c r="AO187" s="27"/>
    </row>
    <row r="188" spans="1:41">
      <c r="A188" s="44">
        <v>160</v>
      </c>
      <c r="B188" s="46" t="s">
        <v>770</v>
      </c>
      <c r="C188" s="48" t="s">
        <v>771</v>
      </c>
      <c r="D188" s="51" t="s">
        <v>73</v>
      </c>
      <c r="E188" s="51" t="s">
        <v>767</v>
      </c>
      <c r="F188" s="54" t="s">
        <v>772</v>
      </c>
      <c r="G188" s="50">
        <v>6</v>
      </c>
      <c r="H188" s="51" t="s">
        <v>773</v>
      </c>
      <c r="I188" s="53">
        <v>1305000</v>
      </c>
      <c r="J188" s="53">
        <v>0</v>
      </c>
      <c r="K188" s="53">
        <v>31000</v>
      </c>
      <c r="L188" s="53">
        <v>0</v>
      </c>
      <c r="M188" s="53">
        <v>0</v>
      </c>
      <c r="N188" s="53">
        <v>0</v>
      </c>
      <c r="O188" s="53">
        <v>0</v>
      </c>
      <c r="P188" s="53">
        <v>0</v>
      </c>
      <c r="Q188" s="53">
        <v>0</v>
      </c>
      <c r="R188" s="53">
        <v>0</v>
      </c>
      <c r="S188" s="53">
        <v>0</v>
      </c>
      <c r="T188" s="53">
        <v>0</v>
      </c>
      <c r="U188" s="53">
        <v>1550</v>
      </c>
      <c r="V188" s="53">
        <v>0</v>
      </c>
      <c r="W188" s="53">
        <v>0</v>
      </c>
      <c r="X188" s="53">
        <v>0</v>
      </c>
      <c r="Y188" s="53">
        <v>0</v>
      </c>
      <c r="Z188" s="53">
        <v>0</v>
      </c>
      <c r="AA188" s="53">
        <v>0</v>
      </c>
      <c r="AB188" s="53">
        <v>0</v>
      </c>
      <c r="AC188" s="53">
        <v>0</v>
      </c>
      <c r="AD188" s="53">
        <v>0</v>
      </c>
      <c r="AE188" s="53">
        <v>0</v>
      </c>
      <c r="AF188" s="53">
        <v>0</v>
      </c>
      <c r="AG188" s="53">
        <v>0</v>
      </c>
      <c r="AH188" s="53">
        <v>0</v>
      </c>
      <c r="AI188" s="53">
        <v>0</v>
      </c>
      <c r="AJ188" s="53">
        <v>0</v>
      </c>
      <c r="AK188" s="53">
        <v>0</v>
      </c>
      <c r="AL188" s="53">
        <v>0</v>
      </c>
      <c r="AM188" s="53" t="str">
        <f>I188-J188-K188-L188-M188-N188-O188-P188-Q188-R188-S188-T188-U188-V188-W188-X188-Y188-Z188-AA188-AB188-AC188-AD188-AE188-AF188-AG188+AH188-AI188+AJ188+AK188-AL188</f>
        <v>0</v>
      </c>
      <c r="AN188" s="53"/>
      <c r="AO188" s="27"/>
    </row>
    <row r="189" spans="1:41">
      <c r="A189" s="44">
        <v>161</v>
      </c>
      <c r="B189" s="46" t="s">
        <v>774</v>
      </c>
      <c r="C189" s="48" t="s">
        <v>775</v>
      </c>
      <c r="D189" s="51" t="s">
        <v>73</v>
      </c>
      <c r="E189" s="51" t="s">
        <v>767</v>
      </c>
      <c r="F189" s="54" t="s">
        <v>776</v>
      </c>
      <c r="G189" s="50">
        <v>2</v>
      </c>
      <c r="H189" s="51" t="s">
        <v>777</v>
      </c>
      <c r="I189" s="53">
        <v>499000</v>
      </c>
      <c r="J189" s="53">
        <v>0</v>
      </c>
      <c r="K189" s="53">
        <v>22000</v>
      </c>
      <c r="L189" s="53">
        <v>0</v>
      </c>
      <c r="M189" s="53">
        <v>0</v>
      </c>
      <c r="N189" s="53">
        <v>0</v>
      </c>
      <c r="O189" s="53">
        <v>0</v>
      </c>
      <c r="P189" s="53">
        <v>0</v>
      </c>
      <c r="Q189" s="53">
        <v>0</v>
      </c>
      <c r="R189" s="53">
        <v>0</v>
      </c>
      <c r="S189" s="53">
        <v>0</v>
      </c>
      <c r="T189" s="53">
        <v>0</v>
      </c>
      <c r="U189" s="53">
        <v>1100</v>
      </c>
      <c r="V189" s="53">
        <v>0</v>
      </c>
      <c r="W189" s="53">
        <v>0</v>
      </c>
      <c r="X189" s="53">
        <v>0</v>
      </c>
      <c r="Y189" s="53">
        <v>0</v>
      </c>
      <c r="Z189" s="53">
        <v>0</v>
      </c>
      <c r="AA189" s="53">
        <v>0</v>
      </c>
      <c r="AB189" s="53">
        <v>0</v>
      </c>
      <c r="AC189" s="53">
        <v>0</v>
      </c>
      <c r="AD189" s="53">
        <v>0</v>
      </c>
      <c r="AE189" s="53">
        <v>0</v>
      </c>
      <c r="AF189" s="53">
        <v>0</v>
      </c>
      <c r="AG189" s="53">
        <v>0</v>
      </c>
      <c r="AH189" s="53">
        <v>0</v>
      </c>
      <c r="AI189" s="53">
        <v>0</v>
      </c>
      <c r="AJ189" s="53">
        <v>0</v>
      </c>
      <c r="AK189" s="53">
        <v>0</v>
      </c>
      <c r="AL189" s="53">
        <v>0</v>
      </c>
      <c r="AM189" s="53" t="str">
        <f>I189-J189-K189-L189-M189-N189-O189-P189-Q189-R189-S189-T189-U189-V189-W189-X189-Y189-Z189-AA189-AB189-AC189-AD189-AE189-AF189-AG189+AH189-AI189+AJ189+AK189-AL189</f>
        <v>0</v>
      </c>
      <c r="AN189" s="53"/>
      <c r="AO189" s="27"/>
    </row>
    <row r="190" spans="1:41">
      <c r="A190" s="44">
        <v>162</v>
      </c>
      <c r="B190" s="46" t="s">
        <v>778</v>
      </c>
      <c r="C190" s="48" t="s">
        <v>779</v>
      </c>
      <c r="D190" s="51" t="s">
        <v>73</v>
      </c>
      <c r="E190" s="51" t="s">
        <v>767</v>
      </c>
      <c r="F190" s="54" t="s">
        <v>780</v>
      </c>
      <c r="G190" s="50">
        <v>2</v>
      </c>
      <c r="H190" s="51" t="s">
        <v>781</v>
      </c>
      <c r="I190" s="53">
        <v>149000</v>
      </c>
      <c r="J190" s="53">
        <v>0</v>
      </c>
      <c r="K190" s="53">
        <v>22000</v>
      </c>
      <c r="L190" s="53">
        <v>0</v>
      </c>
      <c r="M190" s="53">
        <v>0</v>
      </c>
      <c r="N190" s="53">
        <v>0</v>
      </c>
      <c r="O190" s="53">
        <v>0</v>
      </c>
      <c r="P190" s="53">
        <v>0</v>
      </c>
      <c r="Q190" s="53">
        <v>0</v>
      </c>
      <c r="R190" s="53">
        <v>0</v>
      </c>
      <c r="S190" s="53">
        <v>0</v>
      </c>
      <c r="T190" s="53">
        <v>0</v>
      </c>
      <c r="U190" s="53">
        <v>1100</v>
      </c>
      <c r="V190" s="53">
        <v>0</v>
      </c>
      <c r="W190" s="53">
        <v>0</v>
      </c>
      <c r="X190" s="53">
        <v>0</v>
      </c>
      <c r="Y190" s="53">
        <v>0</v>
      </c>
      <c r="Z190" s="53">
        <v>0</v>
      </c>
      <c r="AA190" s="53">
        <v>0</v>
      </c>
      <c r="AB190" s="53">
        <v>0</v>
      </c>
      <c r="AC190" s="53">
        <v>0</v>
      </c>
      <c r="AD190" s="53">
        <v>0</v>
      </c>
      <c r="AE190" s="53">
        <v>0</v>
      </c>
      <c r="AF190" s="53">
        <v>0</v>
      </c>
      <c r="AG190" s="53">
        <v>0</v>
      </c>
      <c r="AH190" s="53">
        <v>0</v>
      </c>
      <c r="AI190" s="53">
        <v>0</v>
      </c>
      <c r="AJ190" s="53">
        <v>0</v>
      </c>
      <c r="AK190" s="53">
        <v>0</v>
      </c>
      <c r="AL190" s="53">
        <v>0</v>
      </c>
      <c r="AM190" s="53" t="str">
        <f>I190-J190-K190-L190-M190-N190-O190-P190-Q190-R190-S190-T190-U190-V190-W190-X190-Y190-Z190-AA190-AB190-AC190-AD190-AE190-AF190-AG190+AH190-AI190+AJ190+AK190-AL190</f>
        <v>0</v>
      </c>
      <c r="AN190" s="53"/>
      <c r="AO190" s="27"/>
    </row>
    <row r="191" spans="1:41">
      <c r="A191" s="44">
        <v>163</v>
      </c>
      <c r="B191" s="46" t="s">
        <v>782</v>
      </c>
      <c r="C191" s="48" t="s">
        <v>783</v>
      </c>
      <c r="D191" s="51" t="s">
        <v>73</v>
      </c>
      <c r="E191" s="51" t="s">
        <v>767</v>
      </c>
      <c r="F191" s="54" t="s">
        <v>784</v>
      </c>
      <c r="G191" s="50">
        <v>5</v>
      </c>
      <c r="H191" s="51" t="s">
        <v>785</v>
      </c>
      <c r="I191" s="53">
        <v>1440000</v>
      </c>
      <c r="J191" s="53">
        <v>0</v>
      </c>
      <c r="K191" s="53">
        <v>27000</v>
      </c>
      <c r="L191" s="53">
        <v>0</v>
      </c>
      <c r="M191" s="53">
        <v>0</v>
      </c>
      <c r="N191" s="53">
        <v>0</v>
      </c>
      <c r="O191" s="53">
        <v>0</v>
      </c>
      <c r="P191" s="53">
        <v>0</v>
      </c>
      <c r="Q191" s="53">
        <v>0</v>
      </c>
      <c r="R191" s="53">
        <v>0</v>
      </c>
      <c r="S191" s="53">
        <v>0</v>
      </c>
      <c r="T191" s="53">
        <v>0</v>
      </c>
      <c r="U191" s="53">
        <v>1350</v>
      </c>
      <c r="V191" s="53">
        <v>0</v>
      </c>
      <c r="W191" s="53">
        <v>0</v>
      </c>
      <c r="X191" s="53">
        <v>0</v>
      </c>
      <c r="Y191" s="53">
        <v>0</v>
      </c>
      <c r="Z191" s="53">
        <v>0</v>
      </c>
      <c r="AA191" s="53">
        <v>0</v>
      </c>
      <c r="AB191" s="53">
        <v>0</v>
      </c>
      <c r="AC191" s="53">
        <v>0</v>
      </c>
      <c r="AD191" s="53">
        <v>0</v>
      </c>
      <c r="AE191" s="53">
        <v>0</v>
      </c>
      <c r="AF191" s="53">
        <v>0</v>
      </c>
      <c r="AG191" s="53">
        <v>0</v>
      </c>
      <c r="AH191" s="53">
        <v>0</v>
      </c>
      <c r="AI191" s="53">
        <v>0</v>
      </c>
      <c r="AJ191" s="53">
        <v>0</v>
      </c>
      <c r="AK191" s="53">
        <v>0</v>
      </c>
      <c r="AL191" s="53">
        <v>0</v>
      </c>
      <c r="AM191" s="53" t="str">
        <f>I191-J191-K191-L191-M191-N191-O191-P191-Q191-R191-S191-T191-U191-V191-W191-X191-Y191-Z191-AA191-AB191-AC191-AD191-AE191-AF191-AG191+AH191-AI191+AJ191+AK191-AL191</f>
        <v>0</v>
      </c>
      <c r="AN191" s="53"/>
      <c r="AO191" s="27"/>
    </row>
    <row r="192" spans="1:41">
      <c r="A192" s="44">
        <v>164</v>
      </c>
      <c r="B192" s="46" t="s">
        <v>786</v>
      </c>
      <c r="C192" s="48" t="s">
        <v>787</v>
      </c>
      <c r="D192" s="51" t="s">
        <v>73</v>
      </c>
      <c r="E192" s="51" t="s">
        <v>788</v>
      </c>
      <c r="F192" s="54" t="s">
        <v>423</v>
      </c>
      <c r="G192" s="50">
        <v>2</v>
      </c>
      <c r="H192" s="51" t="s">
        <v>789</v>
      </c>
      <c r="I192" s="53">
        <v>251100</v>
      </c>
      <c r="J192" s="53">
        <v>0</v>
      </c>
      <c r="K192" s="53">
        <v>22000</v>
      </c>
      <c r="L192" s="53">
        <v>0</v>
      </c>
      <c r="M192" s="53">
        <v>0</v>
      </c>
      <c r="N192" s="53">
        <v>0</v>
      </c>
      <c r="O192" s="53">
        <v>0</v>
      </c>
      <c r="P192" s="53">
        <v>0</v>
      </c>
      <c r="Q192" s="53">
        <v>0</v>
      </c>
      <c r="R192" s="53">
        <v>0</v>
      </c>
      <c r="S192" s="53">
        <v>0</v>
      </c>
      <c r="T192" s="53">
        <v>0</v>
      </c>
      <c r="U192" s="53">
        <v>1100</v>
      </c>
      <c r="V192" s="53">
        <v>0</v>
      </c>
      <c r="W192" s="53">
        <v>0</v>
      </c>
      <c r="X192" s="53">
        <v>0</v>
      </c>
      <c r="Y192" s="53">
        <v>0</v>
      </c>
      <c r="Z192" s="53">
        <v>0</v>
      </c>
      <c r="AA192" s="53">
        <v>0</v>
      </c>
      <c r="AB192" s="53">
        <v>0</v>
      </c>
      <c r="AC192" s="53">
        <v>0</v>
      </c>
      <c r="AD192" s="53">
        <v>0</v>
      </c>
      <c r="AE192" s="53">
        <v>0</v>
      </c>
      <c r="AF192" s="53">
        <v>0</v>
      </c>
      <c r="AG192" s="53">
        <v>0</v>
      </c>
      <c r="AH192" s="53">
        <v>0</v>
      </c>
      <c r="AI192" s="53">
        <v>0</v>
      </c>
      <c r="AJ192" s="53">
        <v>0</v>
      </c>
      <c r="AK192" s="53">
        <v>0</v>
      </c>
      <c r="AL192" s="53">
        <v>0</v>
      </c>
      <c r="AM192" s="53" t="str">
        <f>I192-J192-K192-L192-M192-N192-O192-P192-Q192-R192-S192-T192-U192-V192-W192-X192-Y192-Z192-AA192-AB192-AC192-AD192-AE192-AF192-AG192+AH192-AI192+AJ192+AK192-AL192</f>
        <v>0</v>
      </c>
      <c r="AN192" s="53"/>
      <c r="AO192" s="27"/>
    </row>
    <row r="193" spans="1:41">
      <c r="A193" s="44">
        <v>165</v>
      </c>
      <c r="B193" s="46" t="s">
        <v>790</v>
      </c>
      <c r="C193" s="48" t="s">
        <v>791</v>
      </c>
      <c r="D193" s="51" t="s">
        <v>73</v>
      </c>
      <c r="E193" s="51" t="s">
        <v>788</v>
      </c>
      <c r="F193" s="54" t="s">
        <v>792</v>
      </c>
      <c r="G193" s="50">
        <v>4</v>
      </c>
      <c r="H193" s="51" t="s">
        <v>793</v>
      </c>
      <c r="I193" s="53">
        <v>285000</v>
      </c>
      <c r="J193" s="53">
        <v>0</v>
      </c>
      <c r="K193" s="53">
        <v>25000</v>
      </c>
      <c r="L193" s="53">
        <v>0</v>
      </c>
      <c r="M193" s="53">
        <v>0</v>
      </c>
      <c r="N193" s="53">
        <v>0</v>
      </c>
      <c r="O193" s="53">
        <v>0</v>
      </c>
      <c r="P193" s="53">
        <v>0</v>
      </c>
      <c r="Q193" s="53">
        <v>0</v>
      </c>
      <c r="R193" s="53">
        <v>0</v>
      </c>
      <c r="S193" s="53">
        <v>0</v>
      </c>
      <c r="T193" s="53">
        <v>0</v>
      </c>
      <c r="U193" s="53">
        <v>1250</v>
      </c>
      <c r="V193" s="53">
        <v>0</v>
      </c>
      <c r="W193" s="53">
        <v>0</v>
      </c>
      <c r="X193" s="53">
        <v>0</v>
      </c>
      <c r="Y193" s="53">
        <v>0</v>
      </c>
      <c r="Z193" s="53">
        <v>0</v>
      </c>
      <c r="AA193" s="53">
        <v>0</v>
      </c>
      <c r="AB193" s="53">
        <v>0</v>
      </c>
      <c r="AC193" s="53">
        <v>0</v>
      </c>
      <c r="AD193" s="53">
        <v>0</v>
      </c>
      <c r="AE193" s="53">
        <v>0</v>
      </c>
      <c r="AF193" s="53">
        <v>0</v>
      </c>
      <c r="AG193" s="53">
        <v>0</v>
      </c>
      <c r="AH193" s="53">
        <v>0</v>
      </c>
      <c r="AI193" s="53">
        <v>0</v>
      </c>
      <c r="AJ193" s="53">
        <v>0</v>
      </c>
      <c r="AK193" s="53">
        <v>0</v>
      </c>
      <c r="AL193" s="53">
        <v>0</v>
      </c>
      <c r="AM193" s="53" t="str">
        <f>I193-J193-K193-L193-M193-N193-O193-P193-Q193-R193-S193-T193-U193-V193-W193-X193-Y193-Z193-AA193-AB193-AC193-AD193-AE193-AF193-AG193+AH193-AI193+AJ193+AK193-AL193</f>
        <v>0</v>
      </c>
      <c r="AN193" s="53"/>
      <c r="AO193" s="27"/>
    </row>
    <row r="194" spans="1:41">
      <c r="A194" s="44">
        <v>166</v>
      </c>
      <c r="B194" s="46" t="s">
        <v>794</v>
      </c>
      <c r="C194" s="48" t="s">
        <v>795</v>
      </c>
      <c r="D194" s="51" t="s">
        <v>73</v>
      </c>
      <c r="E194" s="51" t="s">
        <v>788</v>
      </c>
      <c r="F194" s="54" t="s">
        <v>796</v>
      </c>
      <c r="G194" s="50">
        <v>2</v>
      </c>
      <c r="H194" s="51" t="s">
        <v>797</v>
      </c>
      <c r="I194" s="53">
        <v>184500</v>
      </c>
      <c r="J194" s="53">
        <v>0</v>
      </c>
      <c r="K194" s="53">
        <v>22000</v>
      </c>
      <c r="L194" s="53">
        <v>0</v>
      </c>
      <c r="M194" s="53">
        <v>0</v>
      </c>
      <c r="N194" s="53">
        <v>0</v>
      </c>
      <c r="O194" s="53">
        <v>0</v>
      </c>
      <c r="P194" s="53">
        <v>0</v>
      </c>
      <c r="Q194" s="53">
        <v>0</v>
      </c>
      <c r="R194" s="53">
        <v>0</v>
      </c>
      <c r="S194" s="53">
        <v>0</v>
      </c>
      <c r="T194" s="53">
        <v>0</v>
      </c>
      <c r="U194" s="53">
        <v>1100</v>
      </c>
      <c r="V194" s="53">
        <v>0</v>
      </c>
      <c r="W194" s="53">
        <v>0</v>
      </c>
      <c r="X194" s="53">
        <v>0</v>
      </c>
      <c r="Y194" s="53">
        <v>0</v>
      </c>
      <c r="Z194" s="53">
        <v>0</v>
      </c>
      <c r="AA194" s="53">
        <v>0</v>
      </c>
      <c r="AB194" s="53">
        <v>0</v>
      </c>
      <c r="AC194" s="53">
        <v>0</v>
      </c>
      <c r="AD194" s="53">
        <v>0</v>
      </c>
      <c r="AE194" s="53">
        <v>0</v>
      </c>
      <c r="AF194" s="53">
        <v>0</v>
      </c>
      <c r="AG194" s="53">
        <v>0</v>
      </c>
      <c r="AH194" s="53">
        <v>0</v>
      </c>
      <c r="AI194" s="53">
        <v>0</v>
      </c>
      <c r="AJ194" s="53">
        <v>0</v>
      </c>
      <c r="AK194" s="53">
        <v>0</v>
      </c>
      <c r="AL194" s="53">
        <v>0</v>
      </c>
      <c r="AM194" s="53" t="str">
        <f>I194-J194-K194-L194-M194-N194-O194-P194-Q194-R194-S194-T194-U194-V194-W194-X194-Y194-Z194-AA194-AB194-AC194-AD194-AE194-AF194-AG194+AH194-AI194+AJ194+AK194-AL194</f>
        <v>0</v>
      </c>
      <c r="AN194" s="53"/>
      <c r="AO194" s="27"/>
    </row>
    <row r="195" spans="1:41">
      <c r="A195" s="44">
        <v>167</v>
      </c>
      <c r="B195" s="46" t="s">
        <v>798</v>
      </c>
      <c r="C195" s="48" t="s">
        <v>799</v>
      </c>
      <c r="D195" s="51" t="s">
        <v>73</v>
      </c>
      <c r="E195" s="51" t="s">
        <v>788</v>
      </c>
      <c r="F195" s="54" t="s">
        <v>800</v>
      </c>
      <c r="G195" s="50">
        <v>10</v>
      </c>
      <c r="H195" s="51" t="s">
        <v>801</v>
      </c>
      <c r="I195" s="53">
        <v>1699000</v>
      </c>
      <c r="J195" s="53">
        <v>0</v>
      </c>
      <c r="K195" s="53">
        <v>49000</v>
      </c>
      <c r="L195" s="53">
        <v>0</v>
      </c>
      <c r="M195" s="53">
        <v>0</v>
      </c>
      <c r="N195" s="53">
        <v>0</v>
      </c>
      <c r="O195" s="53">
        <v>0</v>
      </c>
      <c r="P195" s="53">
        <v>0</v>
      </c>
      <c r="Q195" s="53">
        <v>0</v>
      </c>
      <c r="R195" s="53">
        <v>0</v>
      </c>
      <c r="S195" s="53">
        <v>0</v>
      </c>
      <c r="T195" s="53">
        <v>0</v>
      </c>
      <c r="U195" s="53">
        <v>2450</v>
      </c>
      <c r="V195" s="53">
        <v>0</v>
      </c>
      <c r="W195" s="53">
        <v>0</v>
      </c>
      <c r="X195" s="53">
        <v>0</v>
      </c>
      <c r="Y195" s="53">
        <v>0</v>
      </c>
      <c r="Z195" s="53">
        <v>0</v>
      </c>
      <c r="AA195" s="53">
        <v>0</v>
      </c>
      <c r="AB195" s="53">
        <v>0</v>
      </c>
      <c r="AC195" s="53">
        <v>0</v>
      </c>
      <c r="AD195" s="53">
        <v>0</v>
      </c>
      <c r="AE195" s="53">
        <v>0</v>
      </c>
      <c r="AF195" s="53">
        <v>0</v>
      </c>
      <c r="AG195" s="53">
        <v>0</v>
      </c>
      <c r="AH195" s="53">
        <v>0</v>
      </c>
      <c r="AI195" s="53">
        <v>0</v>
      </c>
      <c r="AJ195" s="53">
        <v>0</v>
      </c>
      <c r="AK195" s="53">
        <v>0</v>
      </c>
      <c r="AL195" s="53">
        <v>0</v>
      </c>
      <c r="AM195" s="53" t="str">
        <f>I195-J195-K195-L195-M195-N195-O195-P195-Q195-R195-S195-T195-U195-V195-W195-X195-Y195-Z195-AA195-AB195-AC195-AD195-AE195-AF195-AG195+AH195-AI195+AJ195+AK195-AL195</f>
        <v>0</v>
      </c>
      <c r="AN195" s="53"/>
      <c r="AO195" s="27"/>
    </row>
    <row r="196" spans="1:41">
      <c r="A196" s="44">
        <v>168</v>
      </c>
      <c r="B196" s="46" t="s">
        <v>802</v>
      </c>
      <c r="C196" s="48" t="s">
        <v>803</v>
      </c>
      <c r="D196" s="51" t="s">
        <v>73</v>
      </c>
      <c r="E196" s="51" t="s">
        <v>788</v>
      </c>
      <c r="F196" s="54" t="s">
        <v>804</v>
      </c>
      <c r="G196" s="50">
        <v>4</v>
      </c>
      <c r="H196" s="51" t="s">
        <v>805</v>
      </c>
      <c r="I196" s="53">
        <v>324900</v>
      </c>
      <c r="J196" s="53">
        <v>0</v>
      </c>
      <c r="K196" s="53">
        <v>25000</v>
      </c>
      <c r="L196" s="53">
        <v>0</v>
      </c>
      <c r="M196" s="53">
        <v>0</v>
      </c>
      <c r="N196" s="53">
        <v>0</v>
      </c>
      <c r="O196" s="53">
        <v>0</v>
      </c>
      <c r="P196" s="53">
        <v>0</v>
      </c>
      <c r="Q196" s="53">
        <v>0</v>
      </c>
      <c r="R196" s="53">
        <v>0</v>
      </c>
      <c r="S196" s="53">
        <v>0</v>
      </c>
      <c r="T196" s="53">
        <v>0</v>
      </c>
      <c r="U196" s="53">
        <v>1250</v>
      </c>
      <c r="V196" s="53">
        <v>0</v>
      </c>
      <c r="W196" s="53">
        <v>0</v>
      </c>
      <c r="X196" s="53">
        <v>0</v>
      </c>
      <c r="Y196" s="53">
        <v>0</v>
      </c>
      <c r="Z196" s="53">
        <v>0</v>
      </c>
      <c r="AA196" s="53">
        <v>0</v>
      </c>
      <c r="AB196" s="53">
        <v>0</v>
      </c>
      <c r="AC196" s="53">
        <v>0</v>
      </c>
      <c r="AD196" s="53">
        <v>0</v>
      </c>
      <c r="AE196" s="53">
        <v>0</v>
      </c>
      <c r="AF196" s="53">
        <v>0</v>
      </c>
      <c r="AG196" s="53">
        <v>0</v>
      </c>
      <c r="AH196" s="53">
        <v>0</v>
      </c>
      <c r="AI196" s="53">
        <v>0</v>
      </c>
      <c r="AJ196" s="53">
        <v>0</v>
      </c>
      <c r="AK196" s="53">
        <v>0</v>
      </c>
      <c r="AL196" s="53">
        <v>0</v>
      </c>
      <c r="AM196" s="53" t="str">
        <f>I196-J196-K196-L196-M196-N196-O196-P196-Q196-R196-S196-T196-U196-V196-W196-X196-Y196-Z196-AA196-AB196-AC196-AD196-AE196-AF196-AG196+AH196-AI196+AJ196+AK196-AL196</f>
        <v>0</v>
      </c>
      <c r="AN196" s="53"/>
      <c r="AO196" s="27"/>
    </row>
    <row r="197" spans="1:41">
      <c r="A197" s="44">
        <v>169</v>
      </c>
      <c r="B197" s="46" t="s">
        <v>806</v>
      </c>
      <c r="C197" s="48" t="s">
        <v>807</v>
      </c>
      <c r="D197" s="51" t="s">
        <v>73</v>
      </c>
      <c r="E197" s="51" t="s">
        <v>788</v>
      </c>
      <c r="F197" s="54" t="s">
        <v>808</v>
      </c>
      <c r="G197" s="50">
        <v>2</v>
      </c>
      <c r="H197" s="51" t="s">
        <v>809</v>
      </c>
      <c r="I197" s="53">
        <v>229500</v>
      </c>
      <c r="J197" s="53">
        <v>0</v>
      </c>
      <c r="K197" s="53">
        <v>22000</v>
      </c>
      <c r="L197" s="53">
        <v>0</v>
      </c>
      <c r="M197" s="53">
        <v>0</v>
      </c>
      <c r="N197" s="53">
        <v>0</v>
      </c>
      <c r="O197" s="53">
        <v>0</v>
      </c>
      <c r="P197" s="53">
        <v>0</v>
      </c>
      <c r="Q197" s="53">
        <v>0</v>
      </c>
      <c r="R197" s="53">
        <v>0</v>
      </c>
      <c r="S197" s="53">
        <v>0</v>
      </c>
      <c r="T197" s="53">
        <v>0</v>
      </c>
      <c r="U197" s="53">
        <v>1100</v>
      </c>
      <c r="V197" s="53">
        <v>0</v>
      </c>
      <c r="W197" s="53">
        <v>0</v>
      </c>
      <c r="X197" s="53">
        <v>0</v>
      </c>
      <c r="Y197" s="53">
        <v>0</v>
      </c>
      <c r="Z197" s="53">
        <v>0</v>
      </c>
      <c r="AA197" s="53">
        <v>0</v>
      </c>
      <c r="AB197" s="53">
        <v>0</v>
      </c>
      <c r="AC197" s="53">
        <v>0</v>
      </c>
      <c r="AD197" s="53">
        <v>0</v>
      </c>
      <c r="AE197" s="53">
        <v>0</v>
      </c>
      <c r="AF197" s="53">
        <v>0</v>
      </c>
      <c r="AG197" s="53">
        <v>0</v>
      </c>
      <c r="AH197" s="53">
        <v>0</v>
      </c>
      <c r="AI197" s="53">
        <v>0</v>
      </c>
      <c r="AJ197" s="53">
        <v>0</v>
      </c>
      <c r="AK197" s="53">
        <v>0</v>
      </c>
      <c r="AL197" s="53">
        <v>0</v>
      </c>
      <c r="AM197" s="53" t="str">
        <f>I197-J197-K197-L197-M197-N197-O197-P197-Q197-R197-S197-T197-U197-V197-W197-X197-Y197-Z197-AA197-AB197-AC197-AD197-AE197-AF197-AG197+AH197-AI197+AJ197+AK197-AL197</f>
        <v>0</v>
      </c>
      <c r="AN197" s="53"/>
      <c r="AO197" s="27"/>
    </row>
    <row r="198" spans="1:41">
      <c r="A198" s="44">
        <v>170</v>
      </c>
      <c r="B198" s="46" t="s">
        <v>810</v>
      </c>
      <c r="C198" s="48" t="s">
        <v>811</v>
      </c>
      <c r="D198" s="51" t="s">
        <v>73</v>
      </c>
      <c r="E198" s="51" t="s">
        <v>788</v>
      </c>
      <c r="F198" s="54" t="s">
        <v>812</v>
      </c>
      <c r="G198" s="50">
        <v>3</v>
      </c>
      <c r="H198" s="51" t="s">
        <v>813</v>
      </c>
      <c r="I198" s="53">
        <v>472500</v>
      </c>
      <c r="J198" s="53">
        <v>0</v>
      </c>
      <c r="K198" s="53">
        <v>22000</v>
      </c>
      <c r="L198" s="53">
        <v>0</v>
      </c>
      <c r="M198" s="53">
        <v>0</v>
      </c>
      <c r="N198" s="53">
        <v>0</v>
      </c>
      <c r="O198" s="53">
        <v>0</v>
      </c>
      <c r="P198" s="53">
        <v>0</v>
      </c>
      <c r="Q198" s="53">
        <v>0</v>
      </c>
      <c r="R198" s="53">
        <v>0</v>
      </c>
      <c r="S198" s="53">
        <v>0</v>
      </c>
      <c r="T198" s="53">
        <v>0</v>
      </c>
      <c r="U198" s="53">
        <v>1100</v>
      </c>
      <c r="V198" s="53">
        <v>0</v>
      </c>
      <c r="W198" s="53">
        <v>0</v>
      </c>
      <c r="X198" s="53">
        <v>0</v>
      </c>
      <c r="Y198" s="53">
        <v>0</v>
      </c>
      <c r="Z198" s="53">
        <v>0</v>
      </c>
      <c r="AA198" s="53">
        <v>0</v>
      </c>
      <c r="AB198" s="53">
        <v>0</v>
      </c>
      <c r="AC198" s="53">
        <v>0</v>
      </c>
      <c r="AD198" s="53">
        <v>0</v>
      </c>
      <c r="AE198" s="53">
        <v>0</v>
      </c>
      <c r="AF198" s="53">
        <v>0</v>
      </c>
      <c r="AG198" s="53">
        <v>0</v>
      </c>
      <c r="AH198" s="53">
        <v>0</v>
      </c>
      <c r="AI198" s="53">
        <v>0</v>
      </c>
      <c r="AJ198" s="53">
        <v>0</v>
      </c>
      <c r="AK198" s="53">
        <v>0</v>
      </c>
      <c r="AL198" s="53">
        <v>0</v>
      </c>
      <c r="AM198" s="53" t="str">
        <f>I198-J198-K198-L198-M198-N198-O198-P198-Q198-R198-S198-T198-U198-V198-W198-X198-Y198-Z198-AA198-AB198-AC198-AD198-AE198-AF198-AG198+AH198-AI198+AJ198+AK198-AL198</f>
        <v>0</v>
      </c>
      <c r="AN198" s="53"/>
      <c r="AO198" s="27"/>
    </row>
    <row r="199" spans="1:41">
      <c r="A199" s="44">
        <v>171</v>
      </c>
      <c r="B199" s="46" t="s">
        <v>814</v>
      </c>
      <c r="C199" s="48" t="s">
        <v>815</v>
      </c>
      <c r="D199" s="51" t="s">
        <v>62</v>
      </c>
      <c r="E199" s="51" t="s">
        <v>788</v>
      </c>
      <c r="F199" s="54" t="s">
        <v>471</v>
      </c>
      <c r="G199" s="50">
        <v>5.8</v>
      </c>
      <c r="H199" s="51" t="s">
        <v>816</v>
      </c>
      <c r="I199" s="53">
        <v>0</v>
      </c>
      <c r="J199" s="53">
        <v>0</v>
      </c>
      <c r="K199" s="53">
        <v>31000</v>
      </c>
      <c r="L199" s="53">
        <v>0</v>
      </c>
      <c r="M199" s="53">
        <v>0</v>
      </c>
      <c r="N199" s="53">
        <v>0</v>
      </c>
      <c r="O199" s="53">
        <v>0</v>
      </c>
      <c r="P199" s="53">
        <v>0</v>
      </c>
      <c r="Q199" s="53">
        <v>0</v>
      </c>
      <c r="R199" s="53">
        <v>0</v>
      </c>
      <c r="S199" s="53">
        <v>0</v>
      </c>
      <c r="T199" s="53">
        <v>0</v>
      </c>
      <c r="U199" s="53">
        <v>1550</v>
      </c>
      <c r="V199" s="53">
        <v>0</v>
      </c>
      <c r="W199" s="53">
        <v>0</v>
      </c>
      <c r="X199" s="53">
        <v>0</v>
      </c>
      <c r="Y199" s="53">
        <v>16275</v>
      </c>
      <c r="Z199" s="53">
        <v>0</v>
      </c>
      <c r="AA199" s="53">
        <v>0</v>
      </c>
      <c r="AB199" s="53">
        <v>0</v>
      </c>
      <c r="AC199" s="53">
        <v>0</v>
      </c>
      <c r="AD199" s="53">
        <v>0</v>
      </c>
      <c r="AE199" s="53">
        <v>0</v>
      </c>
      <c r="AF199" s="53">
        <v>0</v>
      </c>
      <c r="AG199" s="53">
        <v>0</v>
      </c>
      <c r="AH199" s="53">
        <v>0</v>
      </c>
      <c r="AI199" s="53">
        <v>0</v>
      </c>
      <c r="AJ199" s="53">
        <v>0</v>
      </c>
      <c r="AK199" s="53">
        <v>0</v>
      </c>
      <c r="AL199" s="53">
        <v>0</v>
      </c>
      <c r="AM199" s="53" t="str">
        <f>I199-J199-K199-L199-M199-N199-O199-P199-Q199-R199-S199-T199-U199-V199-W199-X199-Y199-Z199-AA199-AB199-AC199-AD199-AE199-AF199-AG199+AH199-AI199+AJ199+AK199-AL199</f>
        <v>0</v>
      </c>
      <c r="AN199" s="53"/>
      <c r="AO199" s="27"/>
    </row>
    <row r="200" spans="1:41">
      <c r="A200" s="44">
        <v>172</v>
      </c>
      <c r="B200" s="46" t="s">
        <v>817</v>
      </c>
      <c r="C200" s="48" t="s">
        <v>818</v>
      </c>
      <c r="D200" s="51" t="s">
        <v>73</v>
      </c>
      <c r="E200" s="51" t="s">
        <v>819</v>
      </c>
      <c r="F200" s="54" t="s">
        <v>820</v>
      </c>
      <c r="G200" s="50">
        <v>5.8</v>
      </c>
      <c r="H200" s="51" t="s">
        <v>821</v>
      </c>
      <c r="I200" s="53">
        <v>539100</v>
      </c>
      <c r="J200" s="53">
        <v>0</v>
      </c>
      <c r="K200" s="53">
        <v>31000</v>
      </c>
      <c r="L200" s="53">
        <v>0</v>
      </c>
      <c r="M200" s="53">
        <v>0</v>
      </c>
      <c r="N200" s="53">
        <v>0</v>
      </c>
      <c r="O200" s="53">
        <v>0</v>
      </c>
      <c r="P200" s="53">
        <v>0</v>
      </c>
      <c r="Q200" s="53">
        <v>0</v>
      </c>
      <c r="R200" s="53">
        <v>0</v>
      </c>
      <c r="S200" s="53">
        <v>0</v>
      </c>
      <c r="T200" s="53">
        <v>0</v>
      </c>
      <c r="U200" s="53">
        <v>1550</v>
      </c>
      <c r="V200" s="53">
        <v>0</v>
      </c>
      <c r="W200" s="53">
        <v>0</v>
      </c>
      <c r="X200" s="53">
        <v>0</v>
      </c>
      <c r="Y200" s="53">
        <v>0</v>
      </c>
      <c r="Z200" s="53">
        <v>0</v>
      </c>
      <c r="AA200" s="53">
        <v>0</v>
      </c>
      <c r="AB200" s="53">
        <v>0</v>
      </c>
      <c r="AC200" s="53">
        <v>0</v>
      </c>
      <c r="AD200" s="53">
        <v>0</v>
      </c>
      <c r="AE200" s="53">
        <v>0</v>
      </c>
      <c r="AF200" s="53">
        <v>0</v>
      </c>
      <c r="AG200" s="53">
        <v>0</v>
      </c>
      <c r="AH200" s="53">
        <v>0</v>
      </c>
      <c r="AI200" s="53">
        <v>0</v>
      </c>
      <c r="AJ200" s="53">
        <v>0</v>
      </c>
      <c r="AK200" s="53">
        <v>0</v>
      </c>
      <c r="AL200" s="53">
        <v>0</v>
      </c>
      <c r="AM200" s="53" t="str">
        <f>I200-J200-K200-L200-M200-N200-O200-P200-Q200-R200-S200-T200-U200-V200-W200-X200-Y200-Z200-AA200-AB200-AC200-AD200-AE200-AF200-AG200+AH200-AI200+AJ200+AK200-AL200</f>
        <v>0</v>
      </c>
      <c r="AN200" s="53"/>
      <c r="AO200" s="27"/>
    </row>
    <row r="201" spans="1:41">
      <c r="A201" s="44">
        <v>173</v>
      </c>
      <c r="B201" s="46" t="s">
        <v>822</v>
      </c>
      <c r="C201" s="48" t="s">
        <v>823</v>
      </c>
      <c r="D201" s="51" t="s">
        <v>73</v>
      </c>
      <c r="E201" s="51" t="s">
        <v>819</v>
      </c>
      <c r="F201" s="54" t="s">
        <v>824</v>
      </c>
      <c r="G201" s="50">
        <v>2</v>
      </c>
      <c r="H201" s="51" t="s">
        <v>825</v>
      </c>
      <c r="I201" s="53">
        <v>134100</v>
      </c>
      <c r="J201" s="53">
        <v>0</v>
      </c>
      <c r="K201" s="53">
        <v>22000</v>
      </c>
      <c r="L201" s="53">
        <v>0</v>
      </c>
      <c r="M201" s="53">
        <v>0</v>
      </c>
      <c r="N201" s="53">
        <v>0</v>
      </c>
      <c r="O201" s="53">
        <v>0</v>
      </c>
      <c r="P201" s="53">
        <v>0</v>
      </c>
      <c r="Q201" s="53">
        <v>0</v>
      </c>
      <c r="R201" s="53">
        <v>0</v>
      </c>
      <c r="S201" s="53">
        <v>0</v>
      </c>
      <c r="T201" s="53">
        <v>0</v>
      </c>
      <c r="U201" s="53">
        <v>1100</v>
      </c>
      <c r="V201" s="53">
        <v>0</v>
      </c>
      <c r="W201" s="53">
        <v>0</v>
      </c>
      <c r="X201" s="53">
        <v>0</v>
      </c>
      <c r="Y201" s="53">
        <v>0</v>
      </c>
      <c r="Z201" s="53">
        <v>0</v>
      </c>
      <c r="AA201" s="53">
        <v>0</v>
      </c>
      <c r="AB201" s="53">
        <v>0</v>
      </c>
      <c r="AC201" s="53">
        <v>0</v>
      </c>
      <c r="AD201" s="53">
        <v>0</v>
      </c>
      <c r="AE201" s="53">
        <v>0</v>
      </c>
      <c r="AF201" s="53">
        <v>0</v>
      </c>
      <c r="AG201" s="53">
        <v>0</v>
      </c>
      <c r="AH201" s="53">
        <v>0</v>
      </c>
      <c r="AI201" s="53">
        <v>0</v>
      </c>
      <c r="AJ201" s="53">
        <v>0</v>
      </c>
      <c r="AK201" s="53">
        <v>0</v>
      </c>
      <c r="AL201" s="53">
        <v>0</v>
      </c>
      <c r="AM201" s="53" t="str">
        <f>I201-J201-K201-L201-M201-N201-O201-P201-Q201-R201-S201-T201-U201-V201-W201-X201-Y201-Z201-AA201-AB201-AC201-AD201-AE201-AF201-AG201+AH201-AI201+AJ201+AK201-AL201</f>
        <v>0</v>
      </c>
      <c r="AN201" s="53"/>
      <c r="AO201" s="27"/>
    </row>
    <row r="202" spans="1:41">
      <c r="A202" s="44">
        <v>174</v>
      </c>
      <c r="B202" s="46" t="s">
        <v>826</v>
      </c>
      <c r="C202" s="48" t="s">
        <v>827</v>
      </c>
      <c r="D202" s="51" t="s">
        <v>73</v>
      </c>
      <c r="E202" s="51" t="s">
        <v>819</v>
      </c>
      <c r="F202" s="54" t="s">
        <v>388</v>
      </c>
      <c r="G202" s="50">
        <v>5</v>
      </c>
      <c r="H202" s="51" t="s">
        <v>703</v>
      </c>
      <c r="I202" s="53">
        <v>732600</v>
      </c>
      <c r="J202" s="53">
        <v>0</v>
      </c>
      <c r="K202" s="53">
        <v>27000</v>
      </c>
      <c r="L202" s="53">
        <v>0</v>
      </c>
      <c r="M202" s="53">
        <v>0</v>
      </c>
      <c r="N202" s="53">
        <v>0</v>
      </c>
      <c r="O202" s="53">
        <v>0</v>
      </c>
      <c r="P202" s="53">
        <v>0</v>
      </c>
      <c r="Q202" s="53">
        <v>0</v>
      </c>
      <c r="R202" s="53">
        <v>0</v>
      </c>
      <c r="S202" s="53">
        <v>0</v>
      </c>
      <c r="T202" s="53">
        <v>0</v>
      </c>
      <c r="U202" s="53">
        <v>1350</v>
      </c>
      <c r="V202" s="53">
        <v>0</v>
      </c>
      <c r="W202" s="53">
        <v>0</v>
      </c>
      <c r="X202" s="53">
        <v>0</v>
      </c>
      <c r="Y202" s="53">
        <v>0</v>
      </c>
      <c r="Z202" s="53">
        <v>0</v>
      </c>
      <c r="AA202" s="53">
        <v>0</v>
      </c>
      <c r="AB202" s="53">
        <v>0</v>
      </c>
      <c r="AC202" s="53">
        <v>0</v>
      </c>
      <c r="AD202" s="53">
        <v>0</v>
      </c>
      <c r="AE202" s="53">
        <v>0</v>
      </c>
      <c r="AF202" s="53">
        <v>0</v>
      </c>
      <c r="AG202" s="53">
        <v>0</v>
      </c>
      <c r="AH202" s="53">
        <v>0</v>
      </c>
      <c r="AI202" s="53">
        <v>0</v>
      </c>
      <c r="AJ202" s="53">
        <v>0</v>
      </c>
      <c r="AK202" s="53">
        <v>0</v>
      </c>
      <c r="AL202" s="53">
        <v>0</v>
      </c>
      <c r="AM202" s="53" t="str">
        <f>I202-J202-K202-L202-M202-N202-O202-P202-Q202-R202-S202-T202-U202-V202-W202-X202-Y202-Z202-AA202-AB202-AC202-AD202-AE202-AF202-AG202+AH202-AI202+AJ202+AK202-AL202</f>
        <v>0</v>
      </c>
      <c r="AN202" s="53"/>
      <c r="AO202" s="27"/>
    </row>
    <row r="203" spans="1:41">
      <c r="A203" s="44">
        <v>175</v>
      </c>
      <c r="B203" s="46" t="s">
        <v>828</v>
      </c>
      <c r="C203" s="48" t="s">
        <v>829</v>
      </c>
      <c r="D203" s="51" t="s">
        <v>73</v>
      </c>
      <c r="E203" s="51" t="s">
        <v>819</v>
      </c>
      <c r="F203" s="54" t="s">
        <v>830</v>
      </c>
      <c r="G203" s="50">
        <v>10.3</v>
      </c>
      <c r="H203" s="51" t="s">
        <v>831</v>
      </c>
      <c r="I203" s="53">
        <v>990000</v>
      </c>
      <c r="J203" s="53">
        <v>0</v>
      </c>
      <c r="K203" s="53">
        <v>54000</v>
      </c>
      <c r="L203" s="53">
        <v>0</v>
      </c>
      <c r="M203" s="53">
        <v>0</v>
      </c>
      <c r="N203" s="53">
        <v>0</v>
      </c>
      <c r="O203" s="53">
        <v>0</v>
      </c>
      <c r="P203" s="53">
        <v>0</v>
      </c>
      <c r="Q203" s="53">
        <v>0</v>
      </c>
      <c r="R203" s="53">
        <v>0</v>
      </c>
      <c r="S203" s="53">
        <v>0</v>
      </c>
      <c r="T203" s="53">
        <v>0</v>
      </c>
      <c r="U203" s="53">
        <v>2700</v>
      </c>
      <c r="V203" s="53">
        <v>0</v>
      </c>
      <c r="W203" s="53">
        <v>0</v>
      </c>
      <c r="X203" s="53">
        <v>0</v>
      </c>
      <c r="Y203" s="53">
        <v>0</v>
      </c>
      <c r="Z203" s="53">
        <v>0</v>
      </c>
      <c r="AA203" s="53">
        <v>0</v>
      </c>
      <c r="AB203" s="53">
        <v>0</v>
      </c>
      <c r="AC203" s="53">
        <v>0</v>
      </c>
      <c r="AD203" s="53">
        <v>0</v>
      </c>
      <c r="AE203" s="53">
        <v>0</v>
      </c>
      <c r="AF203" s="53">
        <v>0</v>
      </c>
      <c r="AG203" s="53">
        <v>0</v>
      </c>
      <c r="AH203" s="53">
        <v>0</v>
      </c>
      <c r="AI203" s="53">
        <v>0</v>
      </c>
      <c r="AJ203" s="53">
        <v>0</v>
      </c>
      <c r="AK203" s="53">
        <v>0</v>
      </c>
      <c r="AL203" s="53">
        <v>0</v>
      </c>
      <c r="AM203" s="53" t="str">
        <f>I203-J203-K203-L203-M203-N203-O203-P203-Q203-R203-S203-T203-U203-V203-W203-X203-Y203-Z203-AA203-AB203-AC203-AD203-AE203-AF203-AG203+AH203-AI203+AJ203+AK203-AL203</f>
        <v>0</v>
      </c>
      <c r="AN203" s="53"/>
      <c r="AO203" s="27"/>
    </row>
    <row r="204" spans="1:41">
      <c r="A204" s="44">
        <v>176</v>
      </c>
      <c r="B204" s="46" t="s">
        <v>832</v>
      </c>
      <c r="C204" s="48" t="s">
        <v>833</v>
      </c>
      <c r="D204" s="51" t="s">
        <v>73</v>
      </c>
      <c r="E204" s="51" t="s">
        <v>834</v>
      </c>
      <c r="F204" s="54" t="s">
        <v>835</v>
      </c>
      <c r="G204" s="50">
        <v>5</v>
      </c>
      <c r="H204" s="51" t="s">
        <v>836</v>
      </c>
      <c r="I204" s="53">
        <v>891000</v>
      </c>
      <c r="J204" s="53">
        <v>0</v>
      </c>
      <c r="K204" s="53">
        <v>27000</v>
      </c>
      <c r="L204" s="53">
        <v>0</v>
      </c>
      <c r="M204" s="53">
        <v>0</v>
      </c>
      <c r="N204" s="53">
        <v>0</v>
      </c>
      <c r="O204" s="53">
        <v>0</v>
      </c>
      <c r="P204" s="53">
        <v>0</v>
      </c>
      <c r="Q204" s="53">
        <v>0</v>
      </c>
      <c r="R204" s="53">
        <v>0</v>
      </c>
      <c r="S204" s="53">
        <v>0</v>
      </c>
      <c r="T204" s="53">
        <v>0</v>
      </c>
      <c r="U204" s="53">
        <v>1350</v>
      </c>
      <c r="V204" s="53">
        <v>0</v>
      </c>
      <c r="W204" s="53">
        <v>0</v>
      </c>
      <c r="X204" s="53">
        <v>0</v>
      </c>
      <c r="Y204" s="53">
        <v>0</v>
      </c>
      <c r="Z204" s="53">
        <v>0</v>
      </c>
      <c r="AA204" s="53">
        <v>0</v>
      </c>
      <c r="AB204" s="53">
        <v>0</v>
      </c>
      <c r="AC204" s="53">
        <v>0</v>
      </c>
      <c r="AD204" s="53">
        <v>0</v>
      </c>
      <c r="AE204" s="53">
        <v>0</v>
      </c>
      <c r="AF204" s="53">
        <v>0</v>
      </c>
      <c r="AG204" s="53">
        <v>0</v>
      </c>
      <c r="AH204" s="53">
        <v>0</v>
      </c>
      <c r="AI204" s="53">
        <v>0</v>
      </c>
      <c r="AJ204" s="53">
        <v>0</v>
      </c>
      <c r="AK204" s="53">
        <v>0</v>
      </c>
      <c r="AL204" s="53">
        <v>0</v>
      </c>
      <c r="AM204" s="53" t="str">
        <f>I204-J204-K204-L204-M204-N204-O204-P204-Q204-R204-S204-T204-U204-V204-W204-X204-Y204-Z204-AA204-AB204-AC204-AD204-AE204-AF204-AG204+AH204-AI204+AJ204+AK204-AL204</f>
        <v>0</v>
      </c>
      <c r="AN204" s="53"/>
      <c r="AO204" s="27"/>
    </row>
    <row r="205" spans="1:41">
      <c r="A205" s="44">
        <v>177</v>
      </c>
      <c r="B205" s="46" t="s">
        <v>837</v>
      </c>
      <c r="C205" s="48" t="s">
        <v>838</v>
      </c>
      <c r="D205" s="51" t="s">
        <v>73</v>
      </c>
      <c r="E205" s="51" t="s">
        <v>834</v>
      </c>
      <c r="F205" s="54" t="s">
        <v>839</v>
      </c>
      <c r="G205" s="50">
        <v>8</v>
      </c>
      <c r="H205" s="51" t="s">
        <v>840</v>
      </c>
      <c r="I205" s="53">
        <v>1388000</v>
      </c>
      <c r="J205" s="53">
        <v>0</v>
      </c>
      <c r="K205" s="53">
        <v>39000</v>
      </c>
      <c r="L205" s="53">
        <v>0</v>
      </c>
      <c r="M205" s="53">
        <v>0</v>
      </c>
      <c r="N205" s="53">
        <v>0</v>
      </c>
      <c r="O205" s="53">
        <v>0</v>
      </c>
      <c r="P205" s="53">
        <v>0</v>
      </c>
      <c r="Q205" s="53">
        <v>0</v>
      </c>
      <c r="R205" s="53">
        <v>0</v>
      </c>
      <c r="S205" s="53">
        <v>0</v>
      </c>
      <c r="T205" s="53">
        <v>0</v>
      </c>
      <c r="U205" s="53">
        <v>1950</v>
      </c>
      <c r="V205" s="53">
        <v>0</v>
      </c>
      <c r="W205" s="53">
        <v>0</v>
      </c>
      <c r="X205" s="53">
        <v>0</v>
      </c>
      <c r="Y205" s="53">
        <v>0</v>
      </c>
      <c r="Z205" s="53">
        <v>0</v>
      </c>
      <c r="AA205" s="53">
        <v>0</v>
      </c>
      <c r="AB205" s="53">
        <v>0</v>
      </c>
      <c r="AC205" s="53">
        <v>0</v>
      </c>
      <c r="AD205" s="53">
        <v>0</v>
      </c>
      <c r="AE205" s="53">
        <v>0</v>
      </c>
      <c r="AF205" s="53">
        <v>0</v>
      </c>
      <c r="AG205" s="53">
        <v>0</v>
      </c>
      <c r="AH205" s="53">
        <v>0</v>
      </c>
      <c r="AI205" s="53">
        <v>0</v>
      </c>
      <c r="AJ205" s="53">
        <v>0</v>
      </c>
      <c r="AK205" s="53">
        <v>0</v>
      </c>
      <c r="AL205" s="53">
        <v>0</v>
      </c>
      <c r="AM205" s="53" t="str">
        <f>I205-J205-K205-L205-M205-N205-O205-P205-Q205-R205-S205-T205-U205-V205-W205-X205-Y205-Z205-AA205-AB205-AC205-AD205-AE205-AF205-AG205+AH205-AI205+AJ205+AK205-AL205</f>
        <v>0</v>
      </c>
      <c r="AN205" s="53"/>
      <c r="AO205" s="27"/>
    </row>
    <row r="206" spans="1:41">
      <c r="A206" s="44">
        <v>178</v>
      </c>
      <c r="B206" s="46" t="s">
        <v>841</v>
      </c>
      <c r="C206" s="48" t="s">
        <v>842</v>
      </c>
      <c r="D206" s="51" t="s">
        <v>73</v>
      </c>
      <c r="E206" s="51" t="s">
        <v>834</v>
      </c>
      <c r="F206" s="54" t="s">
        <v>843</v>
      </c>
      <c r="G206" s="50">
        <v>3</v>
      </c>
      <c r="H206" s="51" t="s">
        <v>844</v>
      </c>
      <c r="I206" s="53">
        <v>297000</v>
      </c>
      <c r="J206" s="53">
        <v>0</v>
      </c>
      <c r="K206" s="53">
        <v>22000</v>
      </c>
      <c r="L206" s="53">
        <v>0</v>
      </c>
      <c r="M206" s="53">
        <v>0</v>
      </c>
      <c r="N206" s="53">
        <v>0</v>
      </c>
      <c r="O206" s="53">
        <v>0</v>
      </c>
      <c r="P206" s="53">
        <v>0</v>
      </c>
      <c r="Q206" s="53">
        <v>0</v>
      </c>
      <c r="R206" s="53">
        <v>0</v>
      </c>
      <c r="S206" s="53">
        <v>0</v>
      </c>
      <c r="T206" s="53">
        <v>0</v>
      </c>
      <c r="U206" s="53">
        <v>1100</v>
      </c>
      <c r="V206" s="53">
        <v>0</v>
      </c>
      <c r="W206" s="53">
        <v>0</v>
      </c>
      <c r="X206" s="53">
        <v>0</v>
      </c>
      <c r="Y206" s="53">
        <v>0</v>
      </c>
      <c r="Z206" s="53">
        <v>0</v>
      </c>
      <c r="AA206" s="53">
        <v>0</v>
      </c>
      <c r="AB206" s="53">
        <v>0</v>
      </c>
      <c r="AC206" s="53">
        <v>0</v>
      </c>
      <c r="AD206" s="53">
        <v>0</v>
      </c>
      <c r="AE206" s="53">
        <v>0</v>
      </c>
      <c r="AF206" s="53">
        <v>0</v>
      </c>
      <c r="AG206" s="53">
        <v>0</v>
      </c>
      <c r="AH206" s="53">
        <v>0</v>
      </c>
      <c r="AI206" s="53">
        <v>0</v>
      </c>
      <c r="AJ206" s="53">
        <v>0</v>
      </c>
      <c r="AK206" s="53">
        <v>0</v>
      </c>
      <c r="AL206" s="53">
        <v>0</v>
      </c>
      <c r="AM206" s="53" t="str">
        <f>I206-J206-K206-L206-M206-N206-O206-P206-Q206-R206-S206-T206-U206-V206-W206-X206-Y206-Z206-AA206-AB206-AC206-AD206-AE206-AF206-AG206+AH206-AI206+AJ206+AK206-AL206</f>
        <v>0</v>
      </c>
      <c r="AN206" s="53"/>
      <c r="AO206" s="27"/>
    </row>
    <row r="207" spans="1:41">
      <c r="A207" s="44">
        <v>179</v>
      </c>
      <c r="B207" s="46" t="s">
        <v>845</v>
      </c>
      <c r="C207" s="48" t="s">
        <v>846</v>
      </c>
      <c r="D207" s="51" t="s">
        <v>73</v>
      </c>
      <c r="E207" s="51" t="s">
        <v>834</v>
      </c>
      <c r="F207" s="54" t="s">
        <v>847</v>
      </c>
      <c r="G207" s="50">
        <v>5</v>
      </c>
      <c r="H207" s="51" t="s">
        <v>848</v>
      </c>
      <c r="I207" s="53">
        <v>990000</v>
      </c>
      <c r="J207" s="53">
        <v>0</v>
      </c>
      <c r="K207" s="53">
        <v>27000</v>
      </c>
      <c r="L207" s="53">
        <v>0</v>
      </c>
      <c r="M207" s="53">
        <v>0</v>
      </c>
      <c r="N207" s="53">
        <v>0</v>
      </c>
      <c r="O207" s="53">
        <v>0</v>
      </c>
      <c r="P207" s="53">
        <v>0</v>
      </c>
      <c r="Q207" s="53">
        <v>0</v>
      </c>
      <c r="R207" s="53">
        <v>0</v>
      </c>
      <c r="S207" s="53">
        <v>0</v>
      </c>
      <c r="T207" s="53">
        <v>0</v>
      </c>
      <c r="U207" s="53">
        <v>1350</v>
      </c>
      <c r="V207" s="53">
        <v>0</v>
      </c>
      <c r="W207" s="53">
        <v>0</v>
      </c>
      <c r="X207" s="53">
        <v>0</v>
      </c>
      <c r="Y207" s="53">
        <v>0</v>
      </c>
      <c r="Z207" s="53">
        <v>0</v>
      </c>
      <c r="AA207" s="53">
        <v>0</v>
      </c>
      <c r="AB207" s="53">
        <v>0</v>
      </c>
      <c r="AC207" s="53">
        <v>0</v>
      </c>
      <c r="AD207" s="53">
        <v>0</v>
      </c>
      <c r="AE207" s="53">
        <v>0</v>
      </c>
      <c r="AF207" s="53">
        <v>0</v>
      </c>
      <c r="AG207" s="53">
        <v>0</v>
      </c>
      <c r="AH207" s="53">
        <v>0</v>
      </c>
      <c r="AI207" s="53">
        <v>0</v>
      </c>
      <c r="AJ207" s="53">
        <v>0</v>
      </c>
      <c r="AK207" s="53">
        <v>0</v>
      </c>
      <c r="AL207" s="53">
        <v>0</v>
      </c>
      <c r="AM207" s="53" t="str">
        <f>I207-J207-K207-L207-M207-N207-O207-P207-Q207-R207-S207-T207-U207-V207-W207-X207-Y207-Z207-AA207-AB207-AC207-AD207-AE207-AF207-AG207+AH207-AI207+AJ207+AK207-AL207</f>
        <v>0</v>
      </c>
      <c r="AN207" s="53"/>
      <c r="AO207" s="27"/>
    </row>
    <row r="208" spans="1:41">
      <c r="A208" s="44">
        <v>180</v>
      </c>
      <c r="B208" s="46" t="s">
        <v>849</v>
      </c>
      <c r="C208" s="48" t="s">
        <v>850</v>
      </c>
      <c r="D208" s="51" t="s">
        <v>73</v>
      </c>
      <c r="E208" s="51" t="s">
        <v>834</v>
      </c>
      <c r="F208" s="54" t="s">
        <v>851</v>
      </c>
      <c r="G208" s="50">
        <v>2</v>
      </c>
      <c r="H208" s="51" t="s">
        <v>852</v>
      </c>
      <c r="I208" s="53">
        <v>149000</v>
      </c>
      <c r="J208" s="53">
        <v>0</v>
      </c>
      <c r="K208" s="53">
        <v>22000</v>
      </c>
      <c r="L208" s="53">
        <v>0</v>
      </c>
      <c r="M208" s="53">
        <v>0</v>
      </c>
      <c r="N208" s="53">
        <v>0</v>
      </c>
      <c r="O208" s="53">
        <v>0</v>
      </c>
      <c r="P208" s="53">
        <v>0</v>
      </c>
      <c r="Q208" s="53">
        <v>0</v>
      </c>
      <c r="R208" s="53">
        <v>0</v>
      </c>
      <c r="S208" s="53">
        <v>0</v>
      </c>
      <c r="T208" s="53">
        <v>0</v>
      </c>
      <c r="U208" s="53">
        <v>1100</v>
      </c>
      <c r="V208" s="53">
        <v>0</v>
      </c>
      <c r="W208" s="53">
        <v>0</v>
      </c>
      <c r="X208" s="53">
        <v>0</v>
      </c>
      <c r="Y208" s="53">
        <v>0</v>
      </c>
      <c r="Z208" s="53">
        <v>0</v>
      </c>
      <c r="AA208" s="53">
        <v>0</v>
      </c>
      <c r="AB208" s="53">
        <v>0</v>
      </c>
      <c r="AC208" s="53">
        <v>0</v>
      </c>
      <c r="AD208" s="53">
        <v>0</v>
      </c>
      <c r="AE208" s="53">
        <v>0</v>
      </c>
      <c r="AF208" s="53">
        <v>0</v>
      </c>
      <c r="AG208" s="53">
        <v>0</v>
      </c>
      <c r="AH208" s="53">
        <v>0</v>
      </c>
      <c r="AI208" s="53">
        <v>0</v>
      </c>
      <c r="AJ208" s="53">
        <v>0</v>
      </c>
      <c r="AK208" s="53">
        <v>0</v>
      </c>
      <c r="AL208" s="53">
        <v>0</v>
      </c>
      <c r="AM208" s="53" t="str">
        <f>I208-J208-K208-L208-M208-N208-O208-P208-Q208-R208-S208-T208-U208-V208-W208-X208-Y208-Z208-AA208-AB208-AC208-AD208-AE208-AF208-AG208+AH208-AI208+AJ208+AK208-AL208</f>
        <v>0</v>
      </c>
      <c r="AN208" s="53"/>
      <c r="AO208" s="27"/>
    </row>
    <row r="209" spans="1:41">
      <c r="A209" s="44">
        <v>181</v>
      </c>
      <c r="B209" s="46" t="s">
        <v>853</v>
      </c>
      <c r="C209" s="48" t="s">
        <v>854</v>
      </c>
      <c r="D209" s="51" t="s">
        <v>62</v>
      </c>
      <c r="E209" s="51" t="s">
        <v>834</v>
      </c>
      <c r="F209" s="54" t="s">
        <v>448</v>
      </c>
      <c r="G209" s="50">
        <v>6</v>
      </c>
      <c r="H209" s="51" t="s">
        <v>855</v>
      </c>
      <c r="I209" s="53">
        <v>0</v>
      </c>
      <c r="J209" s="53">
        <v>0</v>
      </c>
      <c r="K209" s="53">
        <v>31000</v>
      </c>
      <c r="L209" s="53">
        <v>0</v>
      </c>
      <c r="M209" s="53">
        <v>0</v>
      </c>
      <c r="N209" s="53">
        <v>0</v>
      </c>
      <c r="O209" s="53">
        <v>0</v>
      </c>
      <c r="P209" s="53">
        <v>0</v>
      </c>
      <c r="Q209" s="53">
        <v>0</v>
      </c>
      <c r="R209" s="53">
        <v>0</v>
      </c>
      <c r="S209" s="53">
        <v>0</v>
      </c>
      <c r="T209" s="53">
        <v>0</v>
      </c>
      <c r="U209" s="53">
        <v>1550</v>
      </c>
      <c r="V209" s="53">
        <v>0</v>
      </c>
      <c r="W209" s="53">
        <v>0</v>
      </c>
      <c r="X209" s="53">
        <v>0</v>
      </c>
      <c r="Y209" s="53">
        <v>16275</v>
      </c>
      <c r="Z209" s="53">
        <v>0</v>
      </c>
      <c r="AA209" s="53">
        <v>0</v>
      </c>
      <c r="AB209" s="53">
        <v>0</v>
      </c>
      <c r="AC209" s="53">
        <v>0</v>
      </c>
      <c r="AD209" s="53">
        <v>0</v>
      </c>
      <c r="AE209" s="53">
        <v>0</v>
      </c>
      <c r="AF209" s="53">
        <v>0</v>
      </c>
      <c r="AG209" s="53">
        <v>0</v>
      </c>
      <c r="AH209" s="53">
        <v>0</v>
      </c>
      <c r="AI209" s="53">
        <v>0</v>
      </c>
      <c r="AJ209" s="53">
        <v>0</v>
      </c>
      <c r="AK209" s="53">
        <v>0</v>
      </c>
      <c r="AL209" s="53">
        <v>0</v>
      </c>
      <c r="AM209" s="53" t="str">
        <f>I209-J209-K209-L209-M209-N209-O209-P209-Q209-R209-S209-T209-U209-V209-W209-X209-Y209-Z209-AA209-AB209-AC209-AD209-AE209-AF209-AG209+AH209-AI209+AJ209+AK209-AL209</f>
        <v>0</v>
      </c>
      <c r="AN209" s="53"/>
      <c r="AO209" s="27"/>
    </row>
    <row r="210" spans="1:41">
      <c r="A210" s="44">
        <v>182</v>
      </c>
      <c r="B210" s="46" t="s">
        <v>856</v>
      </c>
      <c r="C210" s="48" t="s">
        <v>857</v>
      </c>
      <c r="D210" s="51" t="s">
        <v>73</v>
      </c>
      <c r="E210" s="51" t="s">
        <v>858</v>
      </c>
      <c r="F210" s="54" t="s">
        <v>727</v>
      </c>
      <c r="G210" s="50">
        <v>9.2</v>
      </c>
      <c r="H210" s="51" t="s">
        <v>859</v>
      </c>
      <c r="I210" s="53">
        <v>1700000</v>
      </c>
      <c r="J210" s="53">
        <v>0</v>
      </c>
      <c r="K210" s="53">
        <v>47500</v>
      </c>
      <c r="L210" s="53">
        <v>0</v>
      </c>
      <c r="M210" s="53">
        <v>0</v>
      </c>
      <c r="N210" s="53">
        <v>0</v>
      </c>
      <c r="O210" s="53">
        <v>0</v>
      </c>
      <c r="P210" s="53">
        <v>0</v>
      </c>
      <c r="Q210" s="53">
        <v>0</v>
      </c>
      <c r="R210" s="53">
        <v>0</v>
      </c>
      <c r="S210" s="53">
        <v>0</v>
      </c>
      <c r="T210" s="53">
        <v>0</v>
      </c>
      <c r="U210" s="53">
        <v>2375</v>
      </c>
      <c r="V210" s="53">
        <v>0</v>
      </c>
      <c r="W210" s="53">
        <v>0</v>
      </c>
      <c r="X210" s="53">
        <v>0</v>
      </c>
      <c r="Y210" s="53">
        <v>0</v>
      </c>
      <c r="Z210" s="53">
        <v>0</v>
      </c>
      <c r="AA210" s="53">
        <v>0</v>
      </c>
      <c r="AB210" s="53">
        <v>0</v>
      </c>
      <c r="AC210" s="53">
        <v>0</v>
      </c>
      <c r="AD210" s="53">
        <v>0</v>
      </c>
      <c r="AE210" s="53">
        <v>0</v>
      </c>
      <c r="AF210" s="53">
        <v>0</v>
      </c>
      <c r="AG210" s="53">
        <v>0</v>
      </c>
      <c r="AH210" s="53">
        <v>0</v>
      </c>
      <c r="AI210" s="53">
        <v>0</v>
      </c>
      <c r="AJ210" s="53">
        <v>0</v>
      </c>
      <c r="AK210" s="53">
        <v>0</v>
      </c>
      <c r="AL210" s="53">
        <v>0</v>
      </c>
      <c r="AM210" s="53" t="str">
        <f>I210-J210-K210-L210-M210-N210-O210-P210-Q210-R210-S210-T210-U210-V210-W210-X210-Y210-Z210-AA210-AB210-AC210-AD210-AE210-AF210-AG210+AH210-AI210+AJ210+AK210-AL210</f>
        <v>0</v>
      </c>
      <c r="AN210" s="53"/>
      <c r="AO210" s="27"/>
    </row>
    <row r="211" spans="1:41">
      <c r="A211" s="44">
        <v>183</v>
      </c>
      <c r="B211" s="46" t="s">
        <v>860</v>
      </c>
      <c r="C211" s="48" t="s">
        <v>861</v>
      </c>
      <c r="D211" s="51" t="s">
        <v>73</v>
      </c>
      <c r="E211" s="51" t="s">
        <v>858</v>
      </c>
      <c r="F211" s="54" t="s">
        <v>314</v>
      </c>
      <c r="G211" s="50">
        <v>5</v>
      </c>
      <c r="H211" s="51" t="s">
        <v>862</v>
      </c>
      <c r="I211" s="53">
        <v>598000</v>
      </c>
      <c r="J211" s="53">
        <v>0</v>
      </c>
      <c r="K211" s="53">
        <v>27000</v>
      </c>
      <c r="L211" s="53">
        <v>0</v>
      </c>
      <c r="M211" s="53">
        <v>0</v>
      </c>
      <c r="N211" s="53">
        <v>0</v>
      </c>
      <c r="O211" s="53">
        <v>0</v>
      </c>
      <c r="P211" s="53">
        <v>0</v>
      </c>
      <c r="Q211" s="53">
        <v>0</v>
      </c>
      <c r="R211" s="53">
        <v>0</v>
      </c>
      <c r="S211" s="53">
        <v>0</v>
      </c>
      <c r="T211" s="53">
        <v>0</v>
      </c>
      <c r="U211" s="53">
        <v>1350</v>
      </c>
      <c r="V211" s="53">
        <v>0</v>
      </c>
      <c r="W211" s="53">
        <v>0</v>
      </c>
      <c r="X211" s="53">
        <v>0</v>
      </c>
      <c r="Y211" s="53">
        <v>0</v>
      </c>
      <c r="Z211" s="53">
        <v>0</v>
      </c>
      <c r="AA211" s="53">
        <v>0</v>
      </c>
      <c r="AB211" s="53">
        <v>0</v>
      </c>
      <c r="AC211" s="53">
        <v>0</v>
      </c>
      <c r="AD211" s="53">
        <v>0</v>
      </c>
      <c r="AE211" s="53">
        <v>0</v>
      </c>
      <c r="AF211" s="53">
        <v>0</v>
      </c>
      <c r="AG211" s="53">
        <v>0</v>
      </c>
      <c r="AH211" s="53">
        <v>0</v>
      </c>
      <c r="AI211" s="53">
        <v>0</v>
      </c>
      <c r="AJ211" s="53">
        <v>0</v>
      </c>
      <c r="AK211" s="53">
        <v>0</v>
      </c>
      <c r="AL211" s="53">
        <v>0</v>
      </c>
      <c r="AM211" s="53" t="str">
        <f>I211-J211-K211-L211-M211-N211-O211-P211-Q211-R211-S211-T211-U211-V211-W211-X211-Y211-Z211-AA211-AB211-AC211-AD211-AE211-AF211-AG211+AH211-AI211+AJ211+AK211-AL211</f>
        <v>0</v>
      </c>
      <c r="AN211" s="53"/>
      <c r="AO211" s="27"/>
    </row>
    <row r="212" spans="1:41">
      <c r="A212" s="44">
        <v>184</v>
      </c>
      <c r="B212" s="46" t="s">
        <v>863</v>
      </c>
      <c r="C212" s="48" t="s">
        <v>864</v>
      </c>
      <c r="D212" s="51" t="s">
        <v>73</v>
      </c>
      <c r="E212" s="51" t="s">
        <v>858</v>
      </c>
      <c r="F212" s="54" t="s">
        <v>865</v>
      </c>
      <c r="G212" s="50">
        <v>7</v>
      </c>
      <c r="H212" s="51" t="s">
        <v>866</v>
      </c>
      <c r="I212" s="53">
        <v>1215000</v>
      </c>
      <c r="J212" s="53">
        <v>0</v>
      </c>
      <c r="K212" s="53">
        <v>35000</v>
      </c>
      <c r="L212" s="53">
        <v>0</v>
      </c>
      <c r="M212" s="53">
        <v>0</v>
      </c>
      <c r="N212" s="53">
        <v>0</v>
      </c>
      <c r="O212" s="53">
        <v>0</v>
      </c>
      <c r="P212" s="53">
        <v>0</v>
      </c>
      <c r="Q212" s="53">
        <v>0</v>
      </c>
      <c r="R212" s="53">
        <v>0</v>
      </c>
      <c r="S212" s="53">
        <v>0</v>
      </c>
      <c r="T212" s="53">
        <v>0</v>
      </c>
      <c r="U212" s="53">
        <v>1750</v>
      </c>
      <c r="V212" s="53">
        <v>0</v>
      </c>
      <c r="W212" s="53">
        <v>0</v>
      </c>
      <c r="X212" s="53">
        <v>0</v>
      </c>
      <c r="Y212" s="53">
        <v>0</v>
      </c>
      <c r="Z212" s="53">
        <v>0</v>
      </c>
      <c r="AA212" s="53">
        <v>0</v>
      </c>
      <c r="AB212" s="53">
        <v>0</v>
      </c>
      <c r="AC212" s="53">
        <v>0</v>
      </c>
      <c r="AD212" s="53">
        <v>0</v>
      </c>
      <c r="AE212" s="53">
        <v>0</v>
      </c>
      <c r="AF212" s="53">
        <v>0</v>
      </c>
      <c r="AG212" s="53">
        <v>0</v>
      </c>
      <c r="AH212" s="53">
        <v>0</v>
      </c>
      <c r="AI212" s="53">
        <v>0</v>
      </c>
      <c r="AJ212" s="53">
        <v>0</v>
      </c>
      <c r="AK212" s="53">
        <v>0</v>
      </c>
      <c r="AL212" s="53">
        <v>0</v>
      </c>
      <c r="AM212" s="53" t="str">
        <f>I212-J212-K212-L212-M212-N212-O212-P212-Q212-R212-S212-T212-U212-V212-W212-X212-Y212-Z212-AA212-AB212-AC212-AD212-AE212-AF212-AG212+AH212-AI212+AJ212+AK212-AL212</f>
        <v>0</v>
      </c>
      <c r="AN212" s="53"/>
      <c r="AO212" s="27"/>
    </row>
    <row r="213" spans="1:41">
      <c r="A213" s="44">
        <v>185</v>
      </c>
      <c r="B213" s="46" t="s">
        <v>867</v>
      </c>
      <c r="C213" s="48" t="s">
        <v>868</v>
      </c>
      <c r="D213" s="51" t="s">
        <v>62</v>
      </c>
      <c r="E213" s="51" t="s">
        <v>858</v>
      </c>
      <c r="F213" s="54" t="s">
        <v>869</v>
      </c>
      <c r="G213" s="50">
        <v>7</v>
      </c>
      <c r="H213" s="51" t="s">
        <v>870</v>
      </c>
      <c r="I213" s="53">
        <v>0</v>
      </c>
      <c r="J213" s="53">
        <v>0</v>
      </c>
      <c r="K213" s="53">
        <v>35000</v>
      </c>
      <c r="L213" s="53">
        <v>0</v>
      </c>
      <c r="M213" s="53">
        <v>0</v>
      </c>
      <c r="N213" s="53">
        <v>0</v>
      </c>
      <c r="O213" s="53">
        <v>0</v>
      </c>
      <c r="P213" s="53">
        <v>0</v>
      </c>
      <c r="Q213" s="53">
        <v>0</v>
      </c>
      <c r="R213" s="53">
        <v>0</v>
      </c>
      <c r="S213" s="53">
        <v>0</v>
      </c>
      <c r="T213" s="53">
        <v>0</v>
      </c>
      <c r="U213" s="53">
        <v>1750</v>
      </c>
      <c r="V213" s="53">
        <v>0</v>
      </c>
      <c r="W213" s="53">
        <v>0</v>
      </c>
      <c r="X213" s="53">
        <v>0</v>
      </c>
      <c r="Y213" s="53">
        <v>18375</v>
      </c>
      <c r="Z213" s="53">
        <v>0</v>
      </c>
      <c r="AA213" s="53">
        <v>0</v>
      </c>
      <c r="AB213" s="53">
        <v>0</v>
      </c>
      <c r="AC213" s="53">
        <v>0</v>
      </c>
      <c r="AD213" s="53">
        <v>0</v>
      </c>
      <c r="AE213" s="53">
        <v>0</v>
      </c>
      <c r="AF213" s="53">
        <v>0</v>
      </c>
      <c r="AG213" s="53">
        <v>0</v>
      </c>
      <c r="AH213" s="53">
        <v>0</v>
      </c>
      <c r="AI213" s="53">
        <v>0</v>
      </c>
      <c r="AJ213" s="53">
        <v>0</v>
      </c>
      <c r="AK213" s="53">
        <v>0</v>
      </c>
      <c r="AL213" s="53">
        <v>0</v>
      </c>
      <c r="AM213" s="53" t="str">
        <f>I213-J213-K213-L213-M213-N213-O213-P213-Q213-R213-S213-T213-U213-V213-W213-X213-Y213-Z213-AA213-AB213-AC213-AD213-AE213-AF213-AG213+AH213-AI213+AJ213+AK213-AL213</f>
        <v>0</v>
      </c>
      <c r="AN213" s="53"/>
      <c r="AO213" s="27"/>
    </row>
    <row r="214" spans="1:41">
      <c r="A214" s="44">
        <v>186</v>
      </c>
      <c r="B214" s="46" t="s">
        <v>871</v>
      </c>
      <c r="C214" s="48" t="s">
        <v>872</v>
      </c>
      <c r="D214" s="51" t="s">
        <v>73</v>
      </c>
      <c r="E214" s="51" t="s">
        <v>858</v>
      </c>
      <c r="F214" s="54" t="s">
        <v>873</v>
      </c>
      <c r="G214" s="50">
        <v>9</v>
      </c>
      <c r="H214" s="51" t="s">
        <v>874</v>
      </c>
      <c r="I214" s="53">
        <v>1129500</v>
      </c>
      <c r="J214" s="53">
        <v>0</v>
      </c>
      <c r="K214" s="53">
        <v>44000</v>
      </c>
      <c r="L214" s="53">
        <v>0</v>
      </c>
      <c r="M214" s="53">
        <v>0</v>
      </c>
      <c r="N214" s="53">
        <v>0</v>
      </c>
      <c r="O214" s="53">
        <v>0</v>
      </c>
      <c r="P214" s="53">
        <v>0</v>
      </c>
      <c r="Q214" s="53">
        <v>0</v>
      </c>
      <c r="R214" s="53">
        <v>0</v>
      </c>
      <c r="S214" s="53">
        <v>0</v>
      </c>
      <c r="T214" s="53">
        <v>0</v>
      </c>
      <c r="U214" s="53">
        <v>2200</v>
      </c>
      <c r="V214" s="53">
        <v>0</v>
      </c>
      <c r="W214" s="53">
        <v>0</v>
      </c>
      <c r="X214" s="53">
        <v>0</v>
      </c>
      <c r="Y214" s="53">
        <v>0</v>
      </c>
      <c r="Z214" s="53">
        <v>0</v>
      </c>
      <c r="AA214" s="53">
        <v>0</v>
      </c>
      <c r="AB214" s="53">
        <v>0</v>
      </c>
      <c r="AC214" s="53">
        <v>0</v>
      </c>
      <c r="AD214" s="53">
        <v>0</v>
      </c>
      <c r="AE214" s="53">
        <v>0</v>
      </c>
      <c r="AF214" s="53">
        <v>0</v>
      </c>
      <c r="AG214" s="53">
        <v>0</v>
      </c>
      <c r="AH214" s="53">
        <v>0</v>
      </c>
      <c r="AI214" s="53">
        <v>0</v>
      </c>
      <c r="AJ214" s="53">
        <v>0</v>
      </c>
      <c r="AK214" s="53">
        <v>0</v>
      </c>
      <c r="AL214" s="53">
        <v>0</v>
      </c>
      <c r="AM214" s="53" t="str">
        <f>I214-J214-K214-L214-M214-N214-O214-P214-Q214-R214-S214-T214-U214-V214-W214-X214-Y214-Z214-AA214-AB214-AC214-AD214-AE214-AF214-AG214+AH214-AI214+AJ214+AK214-AL214</f>
        <v>0</v>
      </c>
      <c r="AN214" s="53"/>
      <c r="AO214" s="27"/>
    </row>
    <row r="215" spans="1:41">
      <c r="A215" s="44">
        <v>187</v>
      </c>
      <c r="B215" s="46" t="s">
        <v>875</v>
      </c>
      <c r="C215" s="48" t="s">
        <v>876</v>
      </c>
      <c r="D215" s="51" t="s">
        <v>73</v>
      </c>
      <c r="E215" s="51" t="s">
        <v>877</v>
      </c>
      <c r="F215" s="54" t="s">
        <v>878</v>
      </c>
      <c r="G215" s="50">
        <v>7</v>
      </c>
      <c r="H215" s="51" t="s">
        <v>879</v>
      </c>
      <c r="I215" s="53">
        <v>1700000</v>
      </c>
      <c r="J215" s="53">
        <v>0</v>
      </c>
      <c r="K215" s="53">
        <v>35000</v>
      </c>
      <c r="L215" s="53">
        <v>0</v>
      </c>
      <c r="M215" s="53">
        <v>0</v>
      </c>
      <c r="N215" s="53">
        <v>0</v>
      </c>
      <c r="O215" s="53">
        <v>0</v>
      </c>
      <c r="P215" s="53">
        <v>0</v>
      </c>
      <c r="Q215" s="53">
        <v>0</v>
      </c>
      <c r="R215" s="53">
        <v>0</v>
      </c>
      <c r="S215" s="53">
        <v>0</v>
      </c>
      <c r="T215" s="53">
        <v>0</v>
      </c>
      <c r="U215" s="53">
        <v>1750</v>
      </c>
      <c r="V215" s="53">
        <v>0</v>
      </c>
      <c r="W215" s="53">
        <v>0</v>
      </c>
      <c r="X215" s="53">
        <v>0</v>
      </c>
      <c r="Y215" s="53">
        <v>0</v>
      </c>
      <c r="Z215" s="53">
        <v>0</v>
      </c>
      <c r="AA215" s="53">
        <v>0</v>
      </c>
      <c r="AB215" s="53">
        <v>0</v>
      </c>
      <c r="AC215" s="53">
        <v>0</v>
      </c>
      <c r="AD215" s="53">
        <v>0</v>
      </c>
      <c r="AE215" s="53">
        <v>0</v>
      </c>
      <c r="AF215" s="53">
        <v>0</v>
      </c>
      <c r="AG215" s="53">
        <v>0</v>
      </c>
      <c r="AH215" s="53">
        <v>0</v>
      </c>
      <c r="AI215" s="53">
        <v>0</v>
      </c>
      <c r="AJ215" s="53">
        <v>0</v>
      </c>
      <c r="AK215" s="53">
        <v>0</v>
      </c>
      <c r="AL215" s="53">
        <v>0</v>
      </c>
      <c r="AM215" s="53" t="str">
        <f>I215-J215-K215-L215-M215-N215-O215-P215-Q215-R215-S215-T215-U215-V215-W215-X215-Y215-Z215-AA215-AB215-AC215-AD215-AE215-AF215-AG215+AH215-AI215+AJ215+AK215-AL215</f>
        <v>0</v>
      </c>
      <c r="AN215" s="53"/>
      <c r="AO215" s="27"/>
    </row>
    <row r="216" spans="1:41">
      <c r="A216" s="44">
        <v>188</v>
      </c>
      <c r="B216" s="46" t="s">
        <v>880</v>
      </c>
      <c r="C216" s="48" t="s">
        <v>881</v>
      </c>
      <c r="D216" s="51" t="s">
        <v>73</v>
      </c>
      <c r="E216" s="51" t="s">
        <v>877</v>
      </c>
      <c r="F216" s="54" t="s">
        <v>164</v>
      </c>
      <c r="G216" s="50">
        <v>3</v>
      </c>
      <c r="H216" s="51" t="s">
        <v>882</v>
      </c>
      <c r="I216" s="53">
        <v>292500</v>
      </c>
      <c r="J216" s="53">
        <v>0</v>
      </c>
      <c r="K216" s="53">
        <v>22000</v>
      </c>
      <c r="L216" s="53">
        <v>0</v>
      </c>
      <c r="M216" s="53">
        <v>0</v>
      </c>
      <c r="N216" s="53">
        <v>0</v>
      </c>
      <c r="O216" s="53">
        <v>0</v>
      </c>
      <c r="P216" s="53">
        <v>0</v>
      </c>
      <c r="Q216" s="53">
        <v>0</v>
      </c>
      <c r="R216" s="53">
        <v>0</v>
      </c>
      <c r="S216" s="53">
        <v>0</v>
      </c>
      <c r="T216" s="53">
        <v>0</v>
      </c>
      <c r="U216" s="53">
        <v>1100</v>
      </c>
      <c r="V216" s="53">
        <v>0</v>
      </c>
      <c r="W216" s="53">
        <v>0</v>
      </c>
      <c r="X216" s="53">
        <v>0</v>
      </c>
      <c r="Y216" s="53">
        <v>0</v>
      </c>
      <c r="Z216" s="53">
        <v>0</v>
      </c>
      <c r="AA216" s="53">
        <v>0</v>
      </c>
      <c r="AB216" s="53">
        <v>0</v>
      </c>
      <c r="AC216" s="53">
        <v>0</v>
      </c>
      <c r="AD216" s="53">
        <v>0</v>
      </c>
      <c r="AE216" s="53">
        <v>0</v>
      </c>
      <c r="AF216" s="53">
        <v>0</v>
      </c>
      <c r="AG216" s="53">
        <v>0</v>
      </c>
      <c r="AH216" s="53">
        <v>0</v>
      </c>
      <c r="AI216" s="53">
        <v>0</v>
      </c>
      <c r="AJ216" s="53">
        <v>0</v>
      </c>
      <c r="AK216" s="53">
        <v>0</v>
      </c>
      <c r="AL216" s="53">
        <v>0</v>
      </c>
      <c r="AM216" s="53" t="str">
        <f>I216-J216-K216-L216-M216-N216-O216-P216-Q216-R216-S216-T216-U216-V216-W216-X216-Y216-Z216-AA216-AB216-AC216-AD216-AE216-AF216-AG216+AH216-AI216+AJ216+AK216-AL216</f>
        <v>0</v>
      </c>
      <c r="AN216" s="53"/>
      <c r="AO216" s="27"/>
    </row>
    <row r="217" spans="1:41">
      <c r="A217" s="44">
        <v>189</v>
      </c>
      <c r="B217" s="46" t="s">
        <v>883</v>
      </c>
      <c r="C217" s="48" t="s">
        <v>884</v>
      </c>
      <c r="D217" s="51" t="s">
        <v>73</v>
      </c>
      <c r="E217" s="51" t="s">
        <v>877</v>
      </c>
      <c r="F217" s="54" t="s">
        <v>885</v>
      </c>
      <c r="G217" s="50">
        <v>8</v>
      </c>
      <c r="H217" s="51" t="s">
        <v>886</v>
      </c>
      <c r="I217" s="53">
        <v>1223100</v>
      </c>
      <c r="J217" s="53">
        <v>0</v>
      </c>
      <c r="K217" s="53">
        <v>39000</v>
      </c>
      <c r="L217" s="53">
        <v>0</v>
      </c>
      <c r="M217" s="53">
        <v>0</v>
      </c>
      <c r="N217" s="53">
        <v>0</v>
      </c>
      <c r="O217" s="53">
        <v>0</v>
      </c>
      <c r="P217" s="53">
        <v>0</v>
      </c>
      <c r="Q217" s="53">
        <v>0</v>
      </c>
      <c r="R217" s="53">
        <v>0</v>
      </c>
      <c r="S217" s="53">
        <v>0</v>
      </c>
      <c r="T217" s="53">
        <v>0</v>
      </c>
      <c r="U217" s="53">
        <v>1950</v>
      </c>
      <c r="V217" s="53">
        <v>0</v>
      </c>
      <c r="W217" s="53">
        <v>0</v>
      </c>
      <c r="X217" s="53">
        <v>0</v>
      </c>
      <c r="Y217" s="53">
        <v>0</v>
      </c>
      <c r="Z217" s="53">
        <v>0</v>
      </c>
      <c r="AA217" s="53">
        <v>0</v>
      </c>
      <c r="AB217" s="53">
        <v>0</v>
      </c>
      <c r="AC217" s="53">
        <v>0</v>
      </c>
      <c r="AD217" s="53">
        <v>0</v>
      </c>
      <c r="AE217" s="53">
        <v>0</v>
      </c>
      <c r="AF217" s="53">
        <v>0</v>
      </c>
      <c r="AG217" s="53">
        <v>0</v>
      </c>
      <c r="AH217" s="53">
        <v>0</v>
      </c>
      <c r="AI217" s="53">
        <v>0</v>
      </c>
      <c r="AJ217" s="53">
        <v>0</v>
      </c>
      <c r="AK217" s="53">
        <v>0</v>
      </c>
      <c r="AL217" s="53">
        <v>0</v>
      </c>
      <c r="AM217" s="53" t="str">
        <f>I217-J217-K217-L217-M217-N217-O217-P217-Q217-R217-S217-T217-U217-V217-W217-X217-Y217-Z217-AA217-AB217-AC217-AD217-AE217-AF217-AG217+AH217-AI217+AJ217+AK217-AL217</f>
        <v>0</v>
      </c>
      <c r="AN217" s="53"/>
      <c r="AO217" s="27"/>
    </row>
    <row r="218" spans="1:41">
      <c r="A218" s="44">
        <v>190</v>
      </c>
      <c r="B218" s="46" t="s">
        <v>887</v>
      </c>
      <c r="C218" s="48" t="s">
        <v>888</v>
      </c>
      <c r="D218" s="51" t="s">
        <v>73</v>
      </c>
      <c r="E218" s="51" t="s">
        <v>889</v>
      </c>
      <c r="F218" s="54" t="s">
        <v>890</v>
      </c>
      <c r="G218" s="50">
        <v>7</v>
      </c>
      <c r="H218" s="51" t="s">
        <v>891</v>
      </c>
      <c r="I218" s="53">
        <v>1251000</v>
      </c>
      <c r="J218" s="53">
        <v>0</v>
      </c>
      <c r="K218" s="53">
        <v>35000</v>
      </c>
      <c r="L218" s="53">
        <v>0</v>
      </c>
      <c r="M218" s="53">
        <v>0</v>
      </c>
      <c r="N218" s="53">
        <v>0</v>
      </c>
      <c r="O218" s="53">
        <v>0</v>
      </c>
      <c r="P218" s="53">
        <v>0</v>
      </c>
      <c r="Q218" s="53">
        <v>0</v>
      </c>
      <c r="R218" s="53">
        <v>0</v>
      </c>
      <c r="S218" s="53">
        <v>0</v>
      </c>
      <c r="T218" s="53">
        <v>0</v>
      </c>
      <c r="U218" s="53">
        <v>1750</v>
      </c>
      <c r="V218" s="53">
        <v>0</v>
      </c>
      <c r="W218" s="53">
        <v>0</v>
      </c>
      <c r="X218" s="53">
        <v>0</v>
      </c>
      <c r="Y218" s="53">
        <v>0</v>
      </c>
      <c r="Z218" s="53">
        <v>0</v>
      </c>
      <c r="AA218" s="53">
        <v>0</v>
      </c>
      <c r="AB218" s="53">
        <v>0</v>
      </c>
      <c r="AC218" s="53">
        <v>0</v>
      </c>
      <c r="AD218" s="53">
        <v>0</v>
      </c>
      <c r="AE218" s="53">
        <v>0</v>
      </c>
      <c r="AF218" s="53">
        <v>0</v>
      </c>
      <c r="AG218" s="53">
        <v>0</v>
      </c>
      <c r="AH218" s="53">
        <v>0</v>
      </c>
      <c r="AI218" s="53">
        <v>0</v>
      </c>
      <c r="AJ218" s="53">
        <v>0</v>
      </c>
      <c r="AK218" s="53">
        <v>0</v>
      </c>
      <c r="AL218" s="53">
        <v>0</v>
      </c>
      <c r="AM218" s="53" t="str">
        <f>I218-J218-K218-L218-M218-N218-O218-P218-Q218-R218-S218-T218-U218-V218-W218-X218-Y218-Z218-AA218-AB218-AC218-AD218-AE218-AF218-AG218+AH218-AI218+AJ218+AK218-AL218</f>
        <v>0</v>
      </c>
      <c r="AN218" s="53"/>
      <c r="AO218" s="27"/>
    </row>
    <row r="219" spans="1:41">
      <c r="A219" s="44">
        <v>191</v>
      </c>
      <c r="B219" s="46" t="s">
        <v>892</v>
      </c>
      <c r="C219" s="48" t="s">
        <v>893</v>
      </c>
      <c r="D219" s="51" t="s">
        <v>73</v>
      </c>
      <c r="E219" s="51" t="s">
        <v>889</v>
      </c>
      <c r="F219" s="54" t="s">
        <v>894</v>
      </c>
      <c r="G219" s="50">
        <v>7.8</v>
      </c>
      <c r="H219" s="51" t="s">
        <v>895</v>
      </c>
      <c r="I219" s="53">
        <v>816200</v>
      </c>
      <c r="J219" s="53">
        <v>0</v>
      </c>
      <c r="K219" s="53">
        <v>39000</v>
      </c>
      <c r="L219" s="53">
        <v>0</v>
      </c>
      <c r="M219" s="53">
        <v>0</v>
      </c>
      <c r="N219" s="53">
        <v>0</v>
      </c>
      <c r="O219" s="53">
        <v>0</v>
      </c>
      <c r="P219" s="53">
        <v>0</v>
      </c>
      <c r="Q219" s="53">
        <v>0</v>
      </c>
      <c r="R219" s="53">
        <v>0</v>
      </c>
      <c r="S219" s="53">
        <v>0</v>
      </c>
      <c r="T219" s="53">
        <v>0</v>
      </c>
      <c r="U219" s="53">
        <v>1950</v>
      </c>
      <c r="V219" s="53">
        <v>0</v>
      </c>
      <c r="W219" s="53">
        <v>0</v>
      </c>
      <c r="X219" s="53">
        <v>0</v>
      </c>
      <c r="Y219" s="53">
        <v>0</v>
      </c>
      <c r="Z219" s="53">
        <v>0</v>
      </c>
      <c r="AA219" s="53">
        <v>0</v>
      </c>
      <c r="AB219" s="53">
        <v>0</v>
      </c>
      <c r="AC219" s="53">
        <v>0</v>
      </c>
      <c r="AD219" s="53">
        <v>0</v>
      </c>
      <c r="AE219" s="53">
        <v>0</v>
      </c>
      <c r="AF219" s="53">
        <v>0</v>
      </c>
      <c r="AG219" s="53">
        <v>0</v>
      </c>
      <c r="AH219" s="53">
        <v>0</v>
      </c>
      <c r="AI219" s="53">
        <v>0</v>
      </c>
      <c r="AJ219" s="53">
        <v>0</v>
      </c>
      <c r="AK219" s="53">
        <v>0</v>
      </c>
      <c r="AL219" s="53">
        <v>0</v>
      </c>
      <c r="AM219" s="53" t="str">
        <f>I219-J219-K219-L219-M219-N219-O219-P219-Q219-R219-S219-T219-U219-V219-W219-X219-Y219-Z219-AA219-AB219-AC219-AD219-AE219-AF219-AG219+AH219-AI219+AJ219+AK219-AL219</f>
        <v>0</v>
      </c>
      <c r="AN219" s="53"/>
      <c r="AO219" s="27"/>
    </row>
    <row r="220" spans="1:41">
      <c r="A220" s="44">
        <v>192</v>
      </c>
      <c r="B220" s="46" t="s">
        <v>896</v>
      </c>
      <c r="C220" s="48" t="s">
        <v>897</v>
      </c>
      <c r="D220" s="51" t="s">
        <v>62</v>
      </c>
      <c r="E220" s="51" t="s">
        <v>889</v>
      </c>
      <c r="F220" s="54" t="s">
        <v>898</v>
      </c>
      <c r="G220" s="50">
        <v>7</v>
      </c>
      <c r="H220" s="51" t="s">
        <v>899</v>
      </c>
      <c r="I220" s="53">
        <v>0</v>
      </c>
      <c r="J220" s="53">
        <v>0</v>
      </c>
      <c r="K220" s="53">
        <v>35000</v>
      </c>
      <c r="L220" s="53">
        <v>0</v>
      </c>
      <c r="M220" s="53">
        <v>0</v>
      </c>
      <c r="N220" s="53">
        <v>0</v>
      </c>
      <c r="O220" s="53">
        <v>0</v>
      </c>
      <c r="P220" s="53">
        <v>0</v>
      </c>
      <c r="Q220" s="53">
        <v>0</v>
      </c>
      <c r="R220" s="53">
        <v>0</v>
      </c>
      <c r="S220" s="53">
        <v>0</v>
      </c>
      <c r="T220" s="53">
        <v>0</v>
      </c>
      <c r="U220" s="53">
        <v>1750</v>
      </c>
      <c r="V220" s="53">
        <v>0</v>
      </c>
      <c r="W220" s="53">
        <v>0</v>
      </c>
      <c r="X220" s="53">
        <v>0</v>
      </c>
      <c r="Y220" s="53">
        <v>18375</v>
      </c>
      <c r="Z220" s="53">
        <v>0</v>
      </c>
      <c r="AA220" s="53">
        <v>0</v>
      </c>
      <c r="AB220" s="53">
        <v>0</v>
      </c>
      <c r="AC220" s="53">
        <v>0</v>
      </c>
      <c r="AD220" s="53">
        <v>0</v>
      </c>
      <c r="AE220" s="53">
        <v>0</v>
      </c>
      <c r="AF220" s="53">
        <v>0</v>
      </c>
      <c r="AG220" s="53">
        <v>0</v>
      </c>
      <c r="AH220" s="53">
        <v>0</v>
      </c>
      <c r="AI220" s="53">
        <v>0</v>
      </c>
      <c r="AJ220" s="53">
        <v>0</v>
      </c>
      <c r="AK220" s="53">
        <v>0</v>
      </c>
      <c r="AL220" s="53">
        <v>0</v>
      </c>
      <c r="AM220" s="53" t="str">
        <f>I220-J220-K220-L220-M220-N220-O220-P220-Q220-R220-S220-T220-U220-V220-W220-X220-Y220-Z220-AA220-AB220-AC220-AD220-AE220-AF220-AG220+AH220-AI220+AJ220+AK220-AL220</f>
        <v>0</v>
      </c>
      <c r="AN220" s="53"/>
      <c r="AO220" s="27"/>
    </row>
    <row r="221" spans="1:41">
      <c r="A221" s="44">
        <v>193</v>
      </c>
      <c r="B221" s="46" t="s">
        <v>900</v>
      </c>
      <c r="C221" s="48" t="s">
        <v>901</v>
      </c>
      <c r="D221" s="51" t="s">
        <v>62</v>
      </c>
      <c r="E221" s="51" t="s">
        <v>902</v>
      </c>
      <c r="F221" s="54" t="s">
        <v>903</v>
      </c>
      <c r="G221" s="50">
        <v>7.8</v>
      </c>
      <c r="H221" s="51" t="s">
        <v>904</v>
      </c>
      <c r="I221" s="53">
        <v>0</v>
      </c>
      <c r="J221" s="53">
        <v>0</v>
      </c>
      <c r="K221" s="53">
        <v>26000</v>
      </c>
      <c r="L221" s="53">
        <v>0</v>
      </c>
      <c r="M221" s="53">
        <v>0</v>
      </c>
      <c r="N221" s="53">
        <v>0</v>
      </c>
      <c r="O221" s="53">
        <v>0</v>
      </c>
      <c r="P221" s="53">
        <v>0</v>
      </c>
      <c r="Q221" s="53">
        <v>0</v>
      </c>
      <c r="R221" s="53">
        <v>0</v>
      </c>
      <c r="S221" s="53">
        <v>0</v>
      </c>
      <c r="T221" s="53">
        <v>0</v>
      </c>
      <c r="U221" s="53">
        <v>1300</v>
      </c>
      <c r="V221" s="53">
        <v>0</v>
      </c>
      <c r="W221" s="53">
        <v>0</v>
      </c>
      <c r="X221" s="53">
        <v>0</v>
      </c>
      <c r="Y221" s="53">
        <v>5250</v>
      </c>
      <c r="Z221" s="53">
        <v>0</v>
      </c>
      <c r="AA221" s="53">
        <v>0</v>
      </c>
      <c r="AB221" s="53">
        <v>0</v>
      </c>
      <c r="AC221" s="53">
        <v>0</v>
      </c>
      <c r="AD221" s="53">
        <v>0</v>
      </c>
      <c r="AE221" s="53">
        <v>0</v>
      </c>
      <c r="AF221" s="53">
        <v>0</v>
      </c>
      <c r="AG221" s="53">
        <v>0</v>
      </c>
      <c r="AH221" s="53">
        <v>0</v>
      </c>
      <c r="AI221" s="53">
        <v>0</v>
      </c>
      <c r="AJ221" s="53">
        <v>0</v>
      </c>
      <c r="AK221" s="53">
        <v>0</v>
      </c>
      <c r="AL221" s="53">
        <v>0</v>
      </c>
      <c r="AM221" s="53" t="str">
        <f>I221-J221-K221-L221-M221-N221-O221-P221-Q221-R221-S221-T221-U221-V221-W221-X221-Y221-Z221-AA221-AB221-AC221-AD221-AE221-AF221-AG221+AH221-AI221+AJ221+AK221-AL221</f>
        <v>0</v>
      </c>
      <c r="AN221" s="53"/>
      <c r="AO221" s="27"/>
    </row>
    <row r="222" spans="1:41">
      <c r="A222" s="44">
        <v>194</v>
      </c>
      <c r="B222" s="46" t="s">
        <v>905</v>
      </c>
      <c r="C222" s="48" t="s">
        <v>906</v>
      </c>
      <c r="D222" s="51" t="s">
        <v>73</v>
      </c>
      <c r="E222" s="51" t="s">
        <v>902</v>
      </c>
      <c r="F222" s="54" t="s">
        <v>907</v>
      </c>
      <c r="G222" s="50">
        <v>5</v>
      </c>
      <c r="H222" s="51" t="s">
        <v>908</v>
      </c>
      <c r="I222" s="53">
        <v>1440000</v>
      </c>
      <c r="J222" s="53">
        <v>0</v>
      </c>
      <c r="K222" s="53">
        <v>27000</v>
      </c>
      <c r="L222" s="53">
        <v>0</v>
      </c>
      <c r="M222" s="53">
        <v>0</v>
      </c>
      <c r="N222" s="53">
        <v>0</v>
      </c>
      <c r="O222" s="53">
        <v>0</v>
      </c>
      <c r="P222" s="53">
        <v>0</v>
      </c>
      <c r="Q222" s="53">
        <v>0</v>
      </c>
      <c r="R222" s="53">
        <v>0</v>
      </c>
      <c r="S222" s="53">
        <v>0</v>
      </c>
      <c r="T222" s="53">
        <v>0</v>
      </c>
      <c r="U222" s="53">
        <v>1350</v>
      </c>
      <c r="V222" s="53">
        <v>0</v>
      </c>
      <c r="W222" s="53">
        <v>0</v>
      </c>
      <c r="X222" s="53">
        <v>0</v>
      </c>
      <c r="Y222" s="53">
        <v>0</v>
      </c>
      <c r="Z222" s="53">
        <v>0</v>
      </c>
      <c r="AA222" s="53">
        <v>0</v>
      </c>
      <c r="AB222" s="53">
        <v>0</v>
      </c>
      <c r="AC222" s="53">
        <v>0</v>
      </c>
      <c r="AD222" s="53">
        <v>0</v>
      </c>
      <c r="AE222" s="53">
        <v>0</v>
      </c>
      <c r="AF222" s="53">
        <v>0</v>
      </c>
      <c r="AG222" s="53">
        <v>0</v>
      </c>
      <c r="AH222" s="53">
        <v>0</v>
      </c>
      <c r="AI222" s="53">
        <v>0</v>
      </c>
      <c r="AJ222" s="53">
        <v>0</v>
      </c>
      <c r="AK222" s="53">
        <v>0</v>
      </c>
      <c r="AL222" s="53">
        <v>0</v>
      </c>
      <c r="AM222" s="53" t="str">
        <f>I222-J222-K222-L222-M222-N222-O222-P222-Q222-R222-S222-T222-U222-V222-W222-X222-Y222-Z222-AA222-AB222-AC222-AD222-AE222-AF222-AG222+AH222-AI222+AJ222+AK222-AL222</f>
        <v>0</v>
      </c>
      <c r="AN222" s="53"/>
      <c r="AO222" s="27"/>
    </row>
    <row r="223" spans="1:41">
      <c r="A223" s="44">
        <v>195</v>
      </c>
      <c r="B223" s="46" t="s">
        <v>909</v>
      </c>
      <c r="C223" s="48" t="s">
        <v>910</v>
      </c>
      <c r="D223" s="51" t="s">
        <v>73</v>
      </c>
      <c r="E223" s="51" t="s">
        <v>911</v>
      </c>
      <c r="F223" s="54" t="s">
        <v>912</v>
      </c>
      <c r="G223" s="50">
        <v>7</v>
      </c>
      <c r="H223" s="51" t="s">
        <v>913</v>
      </c>
      <c r="I223" s="53">
        <v>1449000</v>
      </c>
      <c r="J223" s="53">
        <v>0</v>
      </c>
      <c r="K223" s="53">
        <v>35000</v>
      </c>
      <c r="L223" s="53">
        <v>0</v>
      </c>
      <c r="M223" s="53">
        <v>0</v>
      </c>
      <c r="N223" s="53">
        <v>0</v>
      </c>
      <c r="O223" s="53">
        <v>0</v>
      </c>
      <c r="P223" s="53">
        <v>0</v>
      </c>
      <c r="Q223" s="53">
        <v>0</v>
      </c>
      <c r="R223" s="53">
        <v>0</v>
      </c>
      <c r="S223" s="53">
        <v>0</v>
      </c>
      <c r="T223" s="53">
        <v>0</v>
      </c>
      <c r="U223" s="53">
        <v>1750</v>
      </c>
      <c r="V223" s="53">
        <v>0</v>
      </c>
      <c r="W223" s="53">
        <v>0</v>
      </c>
      <c r="X223" s="53">
        <v>0</v>
      </c>
      <c r="Y223" s="53">
        <v>0</v>
      </c>
      <c r="Z223" s="53">
        <v>0</v>
      </c>
      <c r="AA223" s="53">
        <v>0</v>
      </c>
      <c r="AB223" s="53">
        <v>0</v>
      </c>
      <c r="AC223" s="53">
        <v>0</v>
      </c>
      <c r="AD223" s="53">
        <v>0</v>
      </c>
      <c r="AE223" s="53">
        <v>0</v>
      </c>
      <c r="AF223" s="53">
        <v>0</v>
      </c>
      <c r="AG223" s="53">
        <v>0</v>
      </c>
      <c r="AH223" s="53">
        <v>0</v>
      </c>
      <c r="AI223" s="53">
        <v>0</v>
      </c>
      <c r="AJ223" s="53">
        <v>0</v>
      </c>
      <c r="AK223" s="53">
        <v>0</v>
      </c>
      <c r="AL223" s="53">
        <v>0</v>
      </c>
      <c r="AM223" s="53" t="str">
        <f>I223-J223-K223-L223-M223-N223-O223-P223-Q223-R223-S223-T223-U223-V223-W223-X223-Y223-Z223-AA223-AB223-AC223-AD223-AE223-AF223-AG223+AH223-AI223+AJ223+AK223-AL223</f>
        <v>0</v>
      </c>
      <c r="AN223" s="53"/>
      <c r="AO223" s="27"/>
    </row>
    <row r="224" spans="1:41">
      <c r="A224" s="44">
        <v>196</v>
      </c>
      <c r="B224" s="46" t="s">
        <v>914</v>
      </c>
      <c r="C224" s="48" t="s">
        <v>915</v>
      </c>
      <c r="D224" s="51" t="s">
        <v>73</v>
      </c>
      <c r="E224" s="51" t="s">
        <v>911</v>
      </c>
      <c r="F224" s="54" t="s">
        <v>916</v>
      </c>
      <c r="G224" s="50">
        <v>6</v>
      </c>
      <c r="H224" s="51" t="s">
        <v>917</v>
      </c>
      <c r="I224" s="53">
        <v>594000</v>
      </c>
      <c r="J224" s="53">
        <v>0</v>
      </c>
      <c r="K224" s="53">
        <v>31000</v>
      </c>
      <c r="L224" s="53">
        <v>0</v>
      </c>
      <c r="M224" s="53">
        <v>0</v>
      </c>
      <c r="N224" s="53">
        <v>0</v>
      </c>
      <c r="O224" s="53">
        <v>0</v>
      </c>
      <c r="P224" s="53">
        <v>0</v>
      </c>
      <c r="Q224" s="53">
        <v>0</v>
      </c>
      <c r="R224" s="53">
        <v>0</v>
      </c>
      <c r="S224" s="53">
        <v>0</v>
      </c>
      <c r="T224" s="53">
        <v>0</v>
      </c>
      <c r="U224" s="53">
        <v>1550</v>
      </c>
      <c r="V224" s="53">
        <v>0</v>
      </c>
      <c r="W224" s="53">
        <v>0</v>
      </c>
      <c r="X224" s="53">
        <v>0</v>
      </c>
      <c r="Y224" s="53">
        <v>0</v>
      </c>
      <c r="Z224" s="53">
        <v>0</v>
      </c>
      <c r="AA224" s="53">
        <v>0</v>
      </c>
      <c r="AB224" s="53">
        <v>0</v>
      </c>
      <c r="AC224" s="53">
        <v>0</v>
      </c>
      <c r="AD224" s="53">
        <v>0</v>
      </c>
      <c r="AE224" s="53">
        <v>0</v>
      </c>
      <c r="AF224" s="53">
        <v>0</v>
      </c>
      <c r="AG224" s="53">
        <v>0</v>
      </c>
      <c r="AH224" s="53">
        <v>0</v>
      </c>
      <c r="AI224" s="53">
        <v>0</v>
      </c>
      <c r="AJ224" s="53">
        <v>0</v>
      </c>
      <c r="AK224" s="53">
        <v>0</v>
      </c>
      <c r="AL224" s="53">
        <v>0</v>
      </c>
      <c r="AM224" s="53" t="str">
        <f>I224-J224-K224-L224-M224-N224-O224-P224-Q224-R224-S224-T224-U224-V224-W224-X224-Y224-Z224-AA224-AB224-AC224-AD224-AE224-AF224-AG224+AH224-AI224+AJ224+AK224-AL224</f>
        <v>0</v>
      </c>
      <c r="AN224" s="53"/>
      <c r="AO224" s="27"/>
    </row>
    <row r="225" spans="1:41">
      <c r="A225" s="44">
        <v>197</v>
      </c>
      <c r="B225" s="46" t="s">
        <v>918</v>
      </c>
      <c r="C225" s="48" t="s">
        <v>919</v>
      </c>
      <c r="D225" s="51" t="s">
        <v>73</v>
      </c>
      <c r="E225" s="51" t="s">
        <v>911</v>
      </c>
      <c r="F225" s="54" t="s">
        <v>755</v>
      </c>
      <c r="G225" s="50">
        <v>5</v>
      </c>
      <c r="H225" s="51" t="s">
        <v>920</v>
      </c>
      <c r="I225" s="53">
        <v>891000</v>
      </c>
      <c r="J225" s="53">
        <v>0</v>
      </c>
      <c r="K225" s="53">
        <v>27000</v>
      </c>
      <c r="L225" s="53">
        <v>0</v>
      </c>
      <c r="M225" s="53">
        <v>0</v>
      </c>
      <c r="N225" s="53">
        <v>0</v>
      </c>
      <c r="O225" s="53">
        <v>0</v>
      </c>
      <c r="P225" s="53">
        <v>0</v>
      </c>
      <c r="Q225" s="53">
        <v>0</v>
      </c>
      <c r="R225" s="53">
        <v>0</v>
      </c>
      <c r="S225" s="53">
        <v>0</v>
      </c>
      <c r="T225" s="53">
        <v>0</v>
      </c>
      <c r="U225" s="53">
        <v>1350</v>
      </c>
      <c r="V225" s="53">
        <v>0</v>
      </c>
      <c r="W225" s="53">
        <v>0</v>
      </c>
      <c r="X225" s="53">
        <v>0</v>
      </c>
      <c r="Y225" s="53">
        <v>0</v>
      </c>
      <c r="Z225" s="53">
        <v>0</v>
      </c>
      <c r="AA225" s="53">
        <v>0</v>
      </c>
      <c r="AB225" s="53">
        <v>0</v>
      </c>
      <c r="AC225" s="53">
        <v>0</v>
      </c>
      <c r="AD225" s="53">
        <v>0</v>
      </c>
      <c r="AE225" s="53">
        <v>0</v>
      </c>
      <c r="AF225" s="53">
        <v>0</v>
      </c>
      <c r="AG225" s="53">
        <v>0</v>
      </c>
      <c r="AH225" s="53">
        <v>0</v>
      </c>
      <c r="AI225" s="53">
        <v>0</v>
      </c>
      <c r="AJ225" s="53">
        <v>0</v>
      </c>
      <c r="AK225" s="53">
        <v>0</v>
      </c>
      <c r="AL225" s="53">
        <v>0</v>
      </c>
      <c r="AM225" s="53" t="str">
        <f>I225-J225-K225-L225-M225-N225-O225-P225-Q225-R225-S225-T225-U225-V225-W225-X225-Y225-Z225-AA225-AB225-AC225-AD225-AE225-AF225-AG225+AH225-AI225+AJ225+AK225-AL225</f>
        <v>0</v>
      </c>
      <c r="AN225" s="53"/>
      <c r="AO225" s="27"/>
    </row>
    <row r="226" spans="1:41">
      <c r="A226" s="44">
        <v>198</v>
      </c>
      <c r="B226" s="46" t="s">
        <v>921</v>
      </c>
      <c r="C226" s="48" t="s">
        <v>922</v>
      </c>
      <c r="D226" s="51" t="s">
        <v>73</v>
      </c>
      <c r="E226" s="51" t="s">
        <v>911</v>
      </c>
      <c r="F226" s="54" t="s">
        <v>923</v>
      </c>
      <c r="G226" s="50">
        <v>5.8</v>
      </c>
      <c r="H226" s="51" t="s">
        <v>924</v>
      </c>
      <c r="I226" s="53">
        <v>539100</v>
      </c>
      <c r="J226" s="53">
        <v>0</v>
      </c>
      <c r="K226" s="53">
        <v>31000</v>
      </c>
      <c r="L226" s="53">
        <v>0</v>
      </c>
      <c r="M226" s="53">
        <v>0</v>
      </c>
      <c r="N226" s="53">
        <v>0</v>
      </c>
      <c r="O226" s="53">
        <v>0</v>
      </c>
      <c r="P226" s="53">
        <v>0</v>
      </c>
      <c r="Q226" s="53">
        <v>0</v>
      </c>
      <c r="R226" s="53">
        <v>0</v>
      </c>
      <c r="S226" s="53">
        <v>0</v>
      </c>
      <c r="T226" s="53">
        <v>0</v>
      </c>
      <c r="U226" s="53">
        <v>1550</v>
      </c>
      <c r="V226" s="53">
        <v>0</v>
      </c>
      <c r="W226" s="53">
        <v>0</v>
      </c>
      <c r="X226" s="53">
        <v>0</v>
      </c>
      <c r="Y226" s="53">
        <v>0</v>
      </c>
      <c r="Z226" s="53">
        <v>0</v>
      </c>
      <c r="AA226" s="53">
        <v>0</v>
      </c>
      <c r="AB226" s="53">
        <v>0</v>
      </c>
      <c r="AC226" s="53">
        <v>0</v>
      </c>
      <c r="AD226" s="53">
        <v>0</v>
      </c>
      <c r="AE226" s="53">
        <v>0</v>
      </c>
      <c r="AF226" s="53">
        <v>0</v>
      </c>
      <c r="AG226" s="53">
        <v>0</v>
      </c>
      <c r="AH226" s="53">
        <v>0</v>
      </c>
      <c r="AI226" s="53">
        <v>0</v>
      </c>
      <c r="AJ226" s="53">
        <v>0</v>
      </c>
      <c r="AK226" s="53">
        <v>0</v>
      </c>
      <c r="AL226" s="53">
        <v>0</v>
      </c>
      <c r="AM226" s="53" t="str">
        <f>I226-J226-K226-L226-M226-N226-O226-P226-Q226-R226-S226-T226-U226-V226-W226-X226-Y226-Z226-AA226-AB226-AC226-AD226-AE226-AF226-AG226+AH226-AI226+AJ226+AK226-AL226</f>
        <v>0</v>
      </c>
      <c r="AN226" s="53"/>
      <c r="AO226" s="27"/>
    </row>
    <row r="227" spans="1:41">
      <c r="A227" s="44">
        <v>199</v>
      </c>
      <c r="B227" s="46" t="s">
        <v>925</v>
      </c>
      <c r="C227" s="48" t="s">
        <v>926</v>
      </c>
      <c r="D227" s="51" t="s">
        <v>73</v>
      </c>
      <c r="E227" s="51" t="s">
        <v>911</v>
      </c>
      <c r="F227" s="54" t="s">
        <v>927</v>
      </c>
      <c r="G227" s="50">
        <v>5</v>
      </c>
      <c r="H227" s="51" t="s">
        <v>928</v>
      </c>
      <c r="I227" s="53">
        <v>891000</v>
      </c>
      <c r="J227" s="53">
        <v>0</v>
      </c>
      <c r="K227" s="53">
        <v>27000</v>
      </c>
      <c r="L227" s="53">
        <v>0</v>
      </c>
      <c r="M227" s="53">
        <v>0</v>
      </c>
      <c r="N227" s="53">
        <v>0</v>
      </c>
      <c r="O227" s="53">
        <v>0</v>
      </c>
      <c r="P227" s="53">
        <v>0</v>
      </c>
      <c r="Q227" s="53">
        <v>0</v>
      </c>
      <c r="R227" s="53">
        <v>0</v>
      </c>
      <c r="S227" s="53">
        <v>0</v>
      </c>
      <c r="T227" s="53">
        <v>0</v>
      </c>
      <c r="U227" s="53">
        <v>1350</v>
      </c>
      <c r="V227" s="53">
        <v>0</v>
      </c>
      <c r="W227" s="53">
        <v>0</v>
      </c>
      <c r="X227" s="53">
        <v>0</v>
      </c>
      <c r="Y227" s="53">
        <v>0</v>
      </c>
      <c r="Z227" s="53">
        <v>0</v>
      </c>
      <c r="AA227" s="53">
        <v>0</v>
      </c>
      <c r="AB227" s="53">
        <v>0</v>
      </c>
      <c r="AC227" s="53">
        <v>0</v>
      </c>
      <c r="AD227" s="53">
        <v>0</v>
      </c>
      <c r="AE227" s="53">
        <v>0</v>
      </c>
      <c r="AF227" s="53">
        <v>0</v>
      </c>
      <c r="AG227" s="53">
        <v>0</v>
      </c>
      <c r="AH227" s="53">
        <v>0</v>
      </c>
      <c r="AI227" s="53">
        <v>0</v>
      </c>
      <c r="AJ227" s="53">
        <v>0</v>
      </c>
      <c r="AK227" s="53">
        <v>0</v>
      </c>
      <c r="AL227" s="53">
        <v>0</v>
      </c>
      <c r="AM227" s="53" t="str">
        <f>I227-J227-K227-L227-M227-N227-O227-P227-Q227-R227-S227-T227-U227-V227-W227-X227-Y227-Z227-AA227-AB227-AC227-AD227-AE227-AF227-AG227+AH227-AI227+AJ227+AK227-AL227</f>
        <v>0</v>
      </c>
      <c r="AN227" s="53"/>
      <c r="AO227" s="27"/>
    </row>
    <row r="228" spans="1:41">
      <c r="A228" s="44">
        <v>200</v>
      </c>
      <c r="B228" s="46" t="s">
        <v>929</v>
      </c>
      <c r="C228" s="48" t="s">
        <v>930</v>
      </c>
      <c r="D228" s="51" t="s">
        <v>73</v>
      </c>
      <c r="E228" s="51" t="s">
        <v>911</v>
      </c>
      <c r="F228" s="54" t="s">
        <v>931</v>
      </c>
      <c r="G228" s="50">
        <v>7.8</v>
      </c>
      <c r="H228" s="51" t="s">
        <v>932</v>
      </c>
      <c r="I228" s="53">
        <v>935100</v>
      </c>
      <c r="J228" s="53">
        <v>0</v>
      </c>
      <c r="K228" s="53">
        <v>39000</v>
      </c>
      <c r="L228" s="53">
        <v>0</v>
      </c>
      <c r="M228" s="53">
        <v>0</v>
      </c>
      <c r="N228" s="53">
        <v>0</v>
      </c>
      <c r="O228" s="53">
        <v>0</v>
      </c>
      <c r="P228" s="53">
        <v>0</v>
      </c>
      <c r="Q228" s="53">
        <v>0</v>
      </c>
      <c r="R228" s="53">
        <v>0</v>
      </c>
      <c r="S228" s="53">
        <v>0</v>
      </c>
      <c r="T228" s="53">
        <v>0</v>
      </c>
      <c r="U228" s="53">
        <v>1950</v>
      </c>
      <c r="V228" s="53">
        <v>0</v>
      </c>
      <c r="W228" s="53">
        <v>0</v>
      </c>
      <c r="X228" s="53">
        <v>0</v>
      </c>
      <c r="Y228" s="53">
        <v>0</v>
      </c>
      <c r="Z228" s="53">
        <v>0</v>
      </c>
      <c r="AA228" s="53">
        <v>0</v>
      </c>
      <c r="AB228" s="53">
        <v>0</v>
      </c>
      <c r="AC228" s="53">
        <v>0</v>
      </c>
      <c r="AD228" s="53">
        <v>0</v>
      </c>
      <c r="AE228" s="53">
        <v>0</v>
      </c>
      <c r="AF228" s="53">
        <v>0</v>
      </c>
      <c r="AG228" s="53">
        <v>0</v>
      </c>
      <c r="AH228" s="53">
        <v>0</v>
      </c>
      <c r="AI228" s="53">
        <v>0</v>
      </c>
      <c r="AJ228" s="53">
        <v>0</v>
      </c>
      <c r="AK228" s="53">
        <v>0</v>
      </c>
      <c r="AL228" s="53">
        <v>0</v>
      </c>
      <c r="AM228" s="53" t="str">
        <f>I228-J228-K228-L228-M228-N228-O228-P228-Q228-R228-S228-T228-U228-V228-W228-X228-Y228-Z228-AA228-AB228-AC228-AD228-AE228-AF228-AG228+AH228-AI228+AJ228+AK228-AL228</f>
        <v>0</v>
      </c>
      <c r="AN228" s="53"/>
      <c r="AO228" s="27"/>
    </row>
    <row r="229" spans="1:41">
      <c r="A229" s="44">
        <v>201</v>
      </c>
      <c r="B229" s="46" t="s">
        <v>933</v>
      </c>
      <c r="C229" s="48" t="s">
        <v>934</v>
      </c>
      <c r="D229" s="51" t="s">
        <v>73</v>
      </c>
      <c r="E229" s="51" t="s">
        <v>911</v>
      </c>
      <c r="F229" s="54" t="s">
        <v>935</v>
      </c>
      <c r="G229" s="50">
        <v>5</v>
      </c>
      <c r="H229" s="51" t="s">
        <v>936</v>
      </c>
      <c r="I229" s="53">
        <v>891000</v>
      </c>
      <c r="J229" s="53">
        <v>0</v>
      </c>
      <c r="K229" s="53">
        <v>27000</v>
      </c>
      <c r="L229" s="53">
        <v>0</v>
      </c>
      <c r="M229" s="53">
        <v>0</v>
      </c>
      <c r="N229" s="53">
        <v>0</v>
      </c>
      <c r="O229" s="53">
        <v>0</v>
      </c>
      <c r="P229" s="53">
        <v>0</v>
      </c>
      <c r="Q229" s="53">
        <v>0</v>
      </c>
      <c r="R229" s="53">
        <v>0</v>
      </c>
      <c r="S229" s="53">
        <v>0</v>
      </c>
      <c r="T229" s="53">
        <v>0</v>
      </c>
      <c r="U229" s="53">
        <v>1350</v>
      </c>
      <c r="V229" s="53">
        <v>0</v>
      </c>
      <c r="W229" s="53">
        <v>0</v>
      </c>
      <c r="X229" s="53">
        <v>0</v>
      </c>
      <c r="Y229" s="53">
        <v>0</v>
      </c>
      <c r="Z229" s="53">
        <v>0</v>
      </c>
      <c r="AA229" s="53">
        <v>0</v>
      </c>
      <c r="AB229" s="53">
        <v>0</v>
      </c>
      <c r="AC229" s="53">
        <v>0</v>
      </c>
      <c r="AD229" s="53">
        <v>0</v>
      </c>
      <c r="AE229" s="53">
        <v>0</v>
      </c>
      <c r="AF229" s="53">
        <v>0</v>
      </c>
      <c r="AG229" s="53">
        <v>0</v>
      </c>
      <c r="AH229" s="53">
        <v>0</v>
      </c>
      <c r="AI229" s="53">
        <v>0</v>
      </c>
      <c r="AJ229" s="53">
        <v>0</v>
      </c>
      <c r="AK229" s="53">
        <v>0</v>
      </c>
      <c r="AL229" s="53">
        <v>0</v>
      </c>
      <c r="AM229" s="53" t="str">
        <f>I229-J229-K229-L229-M229-N229-O229-P229-Q229-R229-S229-T229-U229-V229-W229-X229-Y229-Z229-AA229-AB229-AC229-AD229-AE229-AF229-AG229+AH229-AI229+AJ229+AK229-AL229</f>
        <v>0</v>
      </c>
      <c r="AN229" s="53"/>
      <c r="AO229" s="27"/>
    </row>
    <row r="230" spans="1:41">
      <c r="A230" s="44">
        <v>202</v>
      </c>
      <c r="B230" s="46" t="s">
        <v>937</v>
      </c>
      <c r="C230" s="48" t="s">
        <v>938</v>
      </c>
      <c r="D230" s="51" t="s">
        <v>73</v>
      </c>
      <c r="E230" s="51" t="s">
        <v>911</v>
      </c>
      <c r="F230" s="54" t="s">
        <v>939</v>
      </c>
      <c r="G230" s="50">
        <v>9</v>
      </c>
      <c r="H230" s="51" t="s">
        <v>940</v>
      </c>
      <c r="I230" s="53">
        <v>866700</v>
      </c>
      <c r="J230" s="53">
        <v>0</v>
      </c>
      <c r="K230" s="53">
        <v>44000</v>
      </c>
      <c r="L230" s="53">
        <v>0</v>
      </c>
      <c r="M230" s="53">
        <v>0</v>
      </c>
      <c r="N230" s="53">
        <v>0</v>
      </c>
      <c r="O230" s="53">
        <v>0</v>
      </c>
      <c r="P230" s="53">
        <v>0</v>
      </c>
      <c r="Q230" s="53">
        <v>0</v>
      </c>
      <c r="R230" s="53">
        <v>0</v>
      </c>
      <c r="S230" s="53">
        <v>0</v>
      </c>
      <c r="T230" s="53">
        <v>0</v>
      </c>
      <c r="U230" s="53">
        <v>2200</v>
      </c>
      <c r="V230" s="53">
        <v>0</v>
      </c>
      <c r="W230" s="53">
        <v>0</v>
      </c>
      <c r="X230" s="53">
        <v>0</v>
      </c>
      <c r="Y230" s="53">
        <v>0</v>
      </c>
      <c r="Z230" s="53">
        <v>0</v>
      </c>
      <c r="AA230" s="53">
        <v>0</v>
      </c>
      <c r="AB230" s="53">
        <v>0</v>
      </c>
      <c r="AC230" s="53">
        <v>0</v>
      </c>
      <c r="AD230" s="53">
        <v>0</v>
      </c>
      <c r="AE230" s="53">
        <v>0</v>
      </c>
      <c r="AF230" s="53">
        <v>0</v>
      </c>
      <c r="AG230" s="53">
        <v>0</v>
      </c>
      <c r="AH230" s="53">
        <v>0</v>
      </c>
      <c r="AI230" s="53">
        <v>0</v>
      </c>
      <c r="AJ230" s="53">
        <v>0</v>
      </c>
      <c r="AK230" s="53">
        <v>0</v>
      </c>
      <c r="AL230" s="53">
        <v>0</v>
      </c>
      <c r="AM230" s="53" t="str">
        <f>I230-J230-K230-L230-M230-N230-O230-P230-Q230-R230-S230-T230-U230-V230-W230-X230-Y230-Z230-AA230-AB230-AC230-AD230-AE230-AF230-AG230+AH230-AI230+AJ230+AK230-AL230</f>
        <v>0</v>
      </c>
      <c r="AN230" s="53"/>
      <c r="AO230" s="27"/>
    </row>
    <row r="231" spans="1:41">
      <c r="A231" s="44">
        <v>203</v>
      </c>
      <c r="B231" s="46" t="s">
        <v>941</v>
      </c>
      <c r="C231" s="48" t="s">
        <v>942</v>
      </c>
      <c r="D231" s="51" t="s">
        <v>73</v>
      </c>
      <c r="E231" s="51" t="s">
        <v>943</v>
      </c>
      <c r="F231" s="54" t="s">
        <v>595</v>
      </c>
      <c r="G231" s="50">
        <v>5</v>
      </c>
      <c r="H231" s="51" t="s">
        <v>944</v>
      </c>
      <c r="I231" s="53">
        <v>598000</v>
      </c>
      <c r="J231" s="53">
        <v>0</v>
      </c>
      <c r="K231" s="53">
        <v>27000</v>
      </c>
      <c r="L231" s="53">
        <v>0</v>
      </c>
      <c r="M231" s="53">
        <v>0</v>
      </c>
      <c r="N231" s="53">
        <v>0</v>
      </c>
      <c r="O231" s="53">
        <v>0</v>
      </c>
      <c r="P231" s="53">
        <v>0</v>
      </c>
      <c r="Q231" s="53">
        <v>0</v>
      </c>
      <c r="R231" s="53">
        <v>0</v>
      </c>
      <c r="S231" s="53">
        <v>0</v>
      </c>
      <c r="T231" s="53">
        <v>0</v>
      </c>
      <c r="U231" s="53">
        <v>1350</v>
      </c>
      <c r="V231" s="53">
        <v>0</v>
      </c>
      <c r="W231" s="53">
        <v>0</v>
      </c>
      <c r="X231" s="53">
        <v>0</v>
      </c>
      <c r="Y231" s="53">
        <v>0</v>
      </c>
      <c r="Z231" s="53">
        <v>0</v>
      </c>
      <c r="AA231" s="53">
        <v>0</v>
      </c>
      <c r="AB231" s="53">
        <v>0</v>
      </c>
      <c r="AC231" s="53">
        <v>0</v>
      </c>
      <c r="AD231" s="53">
        <v>0</v>
      </c>
      <c r="AE231" s="53">
        <v>0</v>
      </c>
      <c r="AF231" s="53">
        <v>0</v>
      </c>
      <c r="AG231" s="53">
        <v>0</v>
      </c>
      <c r="AH231" s="53">
        <v>0</v>
      </c>
      <c r="AI231" s="53">
        <v>0</v>
      </c>
      <c r="AJ231" s="53">
        <v>0</v>
      </c>
      <c r="AK231" s="53">
        <v>0</v>
      </c>
      <c r="AL231" s="53">
        <v>0</v>
      </c>
      <c r="AM231" s="53" t="str">
        <f>I231-J231-K231-L231-M231-N231-O231-P231-Q231-R231-S231-T231-U231-V231-W231-X231-Y231-Z231-AA231-AB231-AC231-AD231-AE231-AF231-AG231+AH231-AI231+AJ231+AK231-AL231</f>
        <v>0</v>
      </c>
      <c r="AN231" s="53"/>
      <c r="AO231" s="27"/>
    </row>
    <row r="232" spans="1:41">
      <c r="A232" s="44">
        <v>204</v>
      </c>
      <c r="B232" s="46" t="s">
        <v>945</v>
      </c>
      <c r="C232" s="48" t="s">
        <v>946</v>
      </c>
      <c r="D232" s="51" t="s">
        <v>73</v>
      </c>
      <c r="E232" s="51" t="s">
        <v>943</v>
      </c>
      <c r="F232" s="54" t="s">
        <v>619</v>
      </c>
      <c r="G232" s="50">
        <v>6</v>
      </c>
      <c r="H232" s="51" t="s">
        <v>947</v>
      </c>
      <c r="I232" s="53">
        <v>834000</v>
      </c>
      <c r="J232" s="53">
        <v>0</v>
      </c>
      <c r="K232" s="53">
        <v>31000</v>
      </c>
      <c r="L232" s="53">
        <v>0</v>
      </c>
      <c r="M232" s="53">
        <v>0</v>
      </c>
      <c r="N232" s="53">
        <v>0</v>
      </c>
      <c r="O232" s="53">
        <v>0</v>
      </c>
      <c r="P232" s="53">
        <v>0</v>
      </c>
      <c r="Q232" s="53">
        <v>0</v>
      </c>
      <c r="R232" s="53">
        <v>0</v>
      </c>
      <c r="S232" s="53">
        <v>0</v>
      </c>
      <c r="T232" s="53">
        <v>0</v>
      </c>
      <c r="U232" s="53">
        <v>1550</v>
      </c>
      <c r="V232" s="53">
        <v>0</v>
      </c>
      <c r="W232" s="53">
        <v>0</v>
      </c>
      <c r="X232" s="53">
        <v>0</v>
      </c>
      <c r="Y232" s="53">
        <v>16275</v>
      </c>
      <c r="Z232" s="53">
        <v>0</v>
      </c>
      <c r="AA232" s="53">
        <v>0</v>
      </c>
      <c r="AB232" s="53">
        <v>0</v>
      </c>
      <c r="AC232" s="53">
        <v>0</v>
      </c>
      <c r="AD232" s="53">
        <v>0</v>
      </c>
      <c r="AE232" s="53">
        <v>0</v>
      </c>
      <c r="AF232" s="53">
        <v>0</v>
      </c>
      <c r="AG232" s="53">
        <v>0</v>
      </c>
      <c r="AH232" s="53">
        <v>0</v>
      </c>
      <c r="AI232" s="53">
        <v>0</v>
      </c>
      <c r="AJ232" s="53">
        <v>0</v>
      </c>
      <c r="AK232" s="53">
        <v>0</v>
      </c>
      <c r="AL232" s="53">
        <v>0</v>
      </c>
      <c r="AM232" s="53" t="str">
        <f>I232-J232-K232-L232-M232-N232-O232-P232-Q232-R232-S232-T232-U232-V232-W232-X232-Y232-Z232-AA232-AB232-AC232-AD232-AE232-AF232-AG232+AH232-AI232+AJ232+AK232-AL232</f>
        <v>0</v>
      </c>
      <c r="AN232" s="53"/>
      <c r="AO232" s="27"/>
    </row>
    <row r="233" spans="1:41">
      <c r="A233" s="44">
        <v>205</v>
      </c>
      <c r="B233" s="46" t="s">
        <v>948</v>
      </c>
      <c r="C233" s="48" t="s">
        <v>949</v>
      </c>
      <c r="D233" s="51" t="s">
        <v>73</v>
      </c>
      <c r="E233" s="51" t="s">
        <v>950</v>
      </c>
      <c r="F233" s="54" t="s">
        <v>878</v>
      </c>
      <c r="G233" s="50">
        <v>6</v>
      </c>
      <c r="H233" s="51" t="s">
        <v>951</v>
      </c>
      <c r="I233" s="53">
        <v>1190700</v>
      </c>
      <c r="J233" s="53">
        <v>0</v>
      </c>
      <c r="K233" s="53">
        <v>31000</v>
      </c>
      <c r="L233" s="53">
        <v>0</v>
      </c>
      <c r="M233" s="53">
        <v>0</v>
      </c>
      <c r="N233" s="53">
        <v>0</v>
      </c>
      <c r="O233" s="53">
        <v>0</v>
      </c>
      <c r="P233" s="53">
        <v>0</v>
      </c>
      <c r="Q233" s="53">
        <v>0</v>
      </c>
      <c r="R233" s="53">
        <v>0</v>
      </c>
      <c r="S233" s="53">
        <v>0</v>
      </c>
      <c r="T233" s="53">
        <v>0</v>
      </c>
      <c r="U233" s="53">
        <v>1550</v>
      </c>
      <c r="V233" s="53">
        <v>0</v>
      </c>
      <c r="W233" s="53">
        <v>0</v>
      </c>
      <c r="X233" s="53">
        <v>0</v>
      </c>
      <c r="Y233" s="53">
        <v>0</v>
      </c>
      <c r="Z233" s="53">
        <v>0</v>
      </c>
      <c r="AA233" s="53">
        <v>0</v>
      </c>
      <c r="AB233" s="53">
        <v>0</v>
      </c>
      <c r="AC233" s="53">
        <v>0</v>
      </c>
      <c r="AD233" s="53">
        <v>0</v>
      </c>
      <c r="AE233" s="53">
        <v>0</v>
      </c>
      <c r="AF233" s="53">
        <v>0</v>
      </c>
      <c r="AG233" s="53">
        <v>0</v>
      </c>
      <c r="AH233" s="53">
        <v>0</v>
      </c>
      <c r="AI233" s="53">
        <v>0</v>
      </c>
      <c r="AJ233" s="53">
        <v>0</v>
      </c>
      <c r="AK233" s="53">
        <v>0</v>
      </c>
      <c r="AL233" s="53">
        <v>0</v>
      </c>
      <c r="AM233" s="53" t="str">
        <f>I233-J233-K233-L233-M233-N233-O233-P233-Q233-R233-S233-T233-U233-V233-W233-X233-Y233-Z233-AA233-AB233-AC233-AD233-AE233-AF233-AG233+AH233-AI233+AJ233+AK233-AL233</f>
        <v>0</v>
      </c>
      <c r="AN233" s="53"/>
      <c r="AO233" s="27"/>
    </row>
    <row r="234" spans="1:41">
      <c r="A234" s="44">
        <v>206</v>
      </c>
      <c r="B234" s="46" t="s">
        <v>952</v>
      </c>
      <c r="C234" s="48" t="s">
        <v>953</v>
      </c>
      <c r="D234" s="51" t="s">
        <v>73</v>
      </c>
      <c r="E234" s="51" t="s">
        <v>950</v>
      </c>
      <c r="F234" s="54" t="s">
        <v>931</v>
      </c>
      <c r="G234" s="50">
        <v>5.8</v>
      </c>
      <c r="H234" s="51" t="s">
        <v>954</v>
      </c>
      <c r="I234" s="53">
        <v>599000</v>
      </c>
      <c r="J234" s="53">
        <v>0</v>
      </c>
      <c r="K234" s="53">
        <v>31000</v>
      </c>
      <c r="L234" s="53">
        <v>0</v>
      </c>
      <c r="M234" s="53">
        <v>0</v>
      </c>
      <c r="N234" s="53">
        <v>0</v>
      </c>
      <c r="O234" s="53">
        <v>0</v>
      </c>
      <c r="P234" s="53">
        <v>0</v>
      </c>
      <c r="Q234" s="53">
        <v>0</v>
      </c>
      <c r="R234" s="53">
        <v>0</v>
      </c>
      <c r="S234" s="53">
        <v>0</v>
      </c>
      <c r="T234" s="53">
        <v>0</v>
      </c>
      <c r="U234" s="53">
        <v>1550</v>
      </c>
      <c r="V234" s="53">
        <v>0</v>
      </c>
      <c r="W234" s="53">
        <v>0</v>
      </c>
      <c r="X234" s="53">
        <v>0</v>
      </c>
      <c r="Y234" s="53">
        <v>0</v>
      </c>
      <c r="Z234" s="53">
        <v>0</v>
      </c>
      <c r="AA234" s="53">
        <v>0</v>
      </c>
      <c r="AB234" s="53">
        <v>0</v>
      </c>
      <c r="AC234" s="53">
        <v>0</v>
      </c>
      <c r="AD234" s="53">
        <v>0</v>
      </c>
      <c r="AE234" s="53">
        <v>0</v>
      </c>
      <c r="AF234" s="53">
        <v>0</v>
      </c>
      <c r="AG234" s="53">
        <v>0</v>
      </c>
      <c r="AH234" s="53">
        <v>0</v>
      </c>
      <c r="AI234" s="53">
        <v>0</v>
      </c>
      <c r="AJ234" s="53">
        <v>0</v>
      </c>
      <c r="AK234" s="53">
        <v>0</v>
      </c>
      <c r="AL234" s="53">
        <v>0</v>
      </c>
      <c r="AM234" s="53" t="str">
        <f>I234-J234-K234-L234-M234-N234-O234-P234-Q234-R234-S234-T234-U234-V234-W234-X234-Y234-Z234-AA234-AB234-AC234-AD234-AE234-AF234-AG234+AH234-AI234+AJ234+AK234-AL234</f>
        <v>0</v>
      </c>
      <c r="AN234" s="53"/>
      <c r="AO234" s="27"/>
    </row>
    <row r="235" spans="1:41">
      <c r="A235" s="44">
        <v>207</v>
      </c>
      <c r="B235" s="46" t="s">
        <v>955</v>
      </c>
      <c r="C235" s="48" t="s">
        <v>956</v>
      </c>
      <c r="D235" s="51" t="s">
        <v>73</v>
      </c>
      <c r="E235" s="51" t="s">
        <v>950</v>
      </c>
      <c r="F235" s="54" t="s">
        <v>957</v>
      </c>
      <c r="G235" s="50">
        <v>4</v>
      </c>
      <c r="H235" s="51" t="s">
        <v>958</v>
      </c>
      <c r="I235" s="53">
        <v>268200</v>
      </c>
      <c r="J235" s="53">
        <v>0</v>
      </c>
      <c r="K235" s="53">
        <v>25000</v>
      </c>
      <c r="L235" s="53">
        <v>0</v>
      </c>
      <c r="M235" s="53">
        <v>0</v>
      </c>
      <c r="N235" s="53">
        <v>0</v>
      </c>
      <c r="O235" s="53">
        <v>0</v>
      </c>
      <c r="P235" s="53">
        <v>0</v>
      </c>
      <c r="Q235" s="53">
        <v>0</v>
      </c>
      <c r="R235" s="53">
        <v>0</v>
      </c>
      <c r="S235" s="53">
        <v>0</v>
      </c>
      <c r="T235" s="53">
        <v>0</v>
      </c>
      <c r="U235" s="53">
        <v>1250</v>
      </c>
      <c r="V235" s="53">
        <v>0</v>
      </c>
      <c r="W235" s="53">
        <v>0</v>
      </c>
      <c r="X235" s="53">
        <v>0</v>
      </c>
      <c r="Y235" s="53">
        <v>0</v>
      </c>
      <c r="Z235" s="53">
        <v>0</v>
      </c>
      <c r="AA235" s="53">
        <v>0</v>
      </c>
      <c r="AB235" s="53">
        <v>0</v>
      </c>
      <c r="AC235" s="53">
        <v>0</v>
      </c>
      <c r="AD235" s="53">
        <v>0</v>
      </c>
      <c r="AE235" s="53">
        <v>0</v>
      </c>
      <c r="AF235" s="53">
        <v>0</v>
      </c>
      <c r="AG235" s="53">
        <v>0</v>
      </c>
      <c r="AH235" s="53">
        <v>0</v>
      </c>
      <c r="AI235" s="53">
        <v>0</v>
      </c>
      <c r="AJ235" s="53">
        <v>0</v>
      </c>
      <c r="AK235" s="53">
        <v>0</v>
      </c>
      <c r="AL235" s="53">
        <v>0</v>
      </c>
      <c r="AM235" s="53" t="str">
        <f>I235-J235-K235-L235-M235-N235-O235-P235-Q235-R235-S235-T235-U235-V235-W235-X235-Y235-Z235-AA235-AB235-AC235-AD235-AE235-AF235-AG235+AH235-AI235+AJ235+AK235-AL235</f>
        <v>0</v>
      </c>
      <c r="AN235" s="53"/>
      <c r="AO235" s="27"/>
    </row>
    <row r="236" spans="1:41">
      <c r="A236" s="44">
        <v>208</v>
      </c>
      <c r="B236" s="46" t="s">
        <v>959</v>
      </c>
      <c r="C236" s="48" t="s">
        <v>960</v>
      </c>
      <c r="D236" s="51" t="s">
        <v>73</v>
      </c>
      <c r="E236" s="51" t="s">
        <v>961</v>
      </c>
      <c r="F236" s="54" t="s">
        <v>962</v>
      </c>
      <c r="G236" s="50">
        <v>5.8</v>
      </c>
      <c r="H236" s="51" t="s">
        <v>963</v>
      </c>
      <c r="I236" s="53">
        <v>539100</v>
      </c>
      <c r="J236" s="53">
        <v>0</v>
      </c>
      <c r="K236" s="53">
        <v>31000</v>
      </c>
      <c r="L236" s="53">
        <v>0</v>
      </c>
      <c r="M236" s="53">
        <v>0</v>
      </c>
      <c r="N236" s="53">
        <v>0</v>
      </c>
      <c r="O236" s="53">
        <v>0</v>
      </c>
      <c r="P236" s="53">
        <v>0</v>
      </c>
      <c r="Q236" s="53">
        <v>0</v>
      </c>
      <c r="R236" s="53">
        <v>0</v>
      </c>
      <c r="S236" s="53">
        <v>0</v>
      </c>
      <c r="T236" s="53">
        <v>0</v>
      </c>
      <c r="U236" s="53">
        <v>1550</v>
      </c>
      <c r="V236" s="53">
        <v>0</v>
      </c>
      <c r="W236" s="53">
        <v>0</v>
      </c>
      <c r="X236" s="53">
        <v>0</v>
      </c>
      <c r="Y236" s="53">
        <v>0</v>
      </c>
      <c r="Z236" s="53">
        <v>0</v>
      </c>
      <c r="AA236" s="53">
        <v>0</v>
      </c>
      <c r="AB236" s="53">
        <v>0</v>
      </c>
      <c r="AC236" s="53">
        <v>0</v>
      </c>
      <c r="AD236" s="53">
        <v>0</v>
      </c>
      <c r="AE236" s="53">
        <v>0</v>
      </c>
      <c r="AF236" s="53">
        <v>0</v>
      </c>
      <c r="AG236" s="53">
        <v>0</v>
      </c>
      <c r="AH236" s="53">
        <v>0</v>
      </c>
      <c r="AI236" s="53">
        <v>0</v>
      </c>
      <c r="AJ236" s="53">
        <v>0</v>
      </c>
      <c r="AK236" s="53">
        <v>0</v>
      </c>
      <c r="AL236" s="53">
        <v>0</v>
      </c>
      <c r="AM236" s="53" t="str">
        <f>I236-J236-K236-L236-M236-N236-O236-P236-Q236-R236-S236-T236-U236-V236-W236-X236-Y236-Z236-AA236-AB236-AC236-AD236-AE236-AF236-AG236+AH236-AI236+AJ236+AK236-AL236</f>
        <v>0</v>
      </c>
      <c r="AN236" s="53"/>
      <c r="AO236" s="27"/>
    </row>
    <row r="237" spans="1:41">
      <c r="A237" s="44">
        <v>209</v>
      </c>
      <c r="B237" s="46" t="s">
        <v>964</v>
      </c>
      <c r="C237" s="48" t="s">
        <v>965</v>
      </c>
      <c r="D237" s="51" t="s">
        <v>73</v>
      </c>
      <c r="E237" s="51" t="s">
        <v>961</v>
      </c>
      <c r="F237" s="54" t="s">
        <v>966</v>
      </c>
      <c r="G237" s="50">
        <v>12</v>
      </c>
      <c r="H237" s="51" t="s">
        <v>967</v>
      </c>
      <c r="I237" s="53">
        <v>1899000</v>
      </c>
      <c r="J237" s="53">
        <v>0</v>
      </c>
      <c r="K237" s="53">
        <v>59000</v>
      </c>
      <c r="L237" s="53">
        <v>0</v>
      </c>
      <c r="M237" s="53">
        <v>0</v>
      </c>
      <c r="N237" s="53">
        <v>0</v>
      </c>
      <c r="O237" s="53">
        <v>0</v>
      </c>
      <c r="P237" s="53">
        <v>0</v>
      </c>
      <c r="Q237" s="53">
        <v>0</v>
      </c>
      <c r="R237" s="53">
        <v>0</v>
      </c>
      <c r="S237" s="53">
        <v>0</v>
      </c>
      <c r="T237" s="53">
        <v>0</v>
      </c>
      <c r="U237" s="53">
        <v>2950</v>
      </c>
      <c r="V237" s="53">
        <v>0</v>
      </c>
      <c r="W237" s="53">
        <v>0</v>
      </c>
      <c r="X237" s="53">
        <v>0</v>
      </c>
      <c r="Y237" s="53">
        <v>0</v>
      </c>
      <c r="Z237" s="53">
        <v>0</v>
      </c>
      <c r="AA237" s="53">
        <v>0</v>
      </c>
      <c r="AB237" s="53">
        <v>0</v>
      </c>
      <c r="AC237" s="53">
        <v>0</v>
      </c>
      <c r="AD237" s="53">
        <v>0</v>
      </c>
      <c r="AE237" s="53">
        <v>0</v>
      </c>
      <c r="AF237" s="53">
        <v>0</v>
      </c>
      <c r="AG237" s="53">
        <v>0</v>
      </c>
      <c r="AH237" s="53">
        <v>0</v>
      </c>
      <c r="AI237" s="53">
        <v>0</v>
      </c>
      <c r="AJ237" s="53">
        <v>0</v>
      </c>
      <c r="AK237" s="53">
        <v>0</v>
      </c>
      <c r="AL237" s="53">
        <v>0</v>
      </c>
      <c r="AM237" s="53" t="str">
        <f>I237-J237-K237-L237-M237-N237-O237-P237-Q237-R237-S237-T237-U237-V237-W237-X237-Y237-Z237-AA237-AB237-AC237-AD237-AE237-AF237-AG237+AH237-AI237+AJ237+AK237-AL237</f>
        <v>0</v>
      </c>
      <c r="AN237" s="53"/>
      <c r="AO237" s="27"/>
    </row>
    <row r="238" spans="1:41">
      <c r="A238" s="44">
        <v>210</v>
      </c>
      <c r="B238" s="46" t="s">
        <v>968</v>
      </c>
      <c r="C238" s="48" t="s">
        <v>969</v>
      </c>
      <c r="D238" s="51" t="s">
        <v>62</v>
      </c>
      <c r="E238" s="51" t="s">
        <v>961</v>
      </c>
      <c r="F238" s="54" t="s">
        <v>970</v>
      </c>
      <c r="G238" s="50">
        <v>5</v>
      </c>
      <c r="H238" s="51" t="s">
        <v>971</v>
      </c>
      <c r="I238" s="53">
        <v>0</v>
      </c>
      <c r="J238" s="53">
        <v>0</v>
      </c>
      <c r="K238" s="53">
        <v>23000</v>
      </c>
      <c r="L238" s="53">
        <v>0</v>
      </c>
      <c r="M238" s="53">
        <v>0</v>
      </c>
      <c r="N238" s="53">
        <v>0</v>
      </c>
      <c r="O238" s="53">
        <v>0</v>
      </c>
      <c r="P238" s="53">
        <v>0</v>
      </c>
      <c r="Q238" s="53">
        <v>0</v>
      </c>
      <c r="R238" s="53">
        <v>0</v>
      </c>
      <c r="S238" s="53">
        <v>0</v>
      </c>
      <c r="T238" s="53">
        <v>0</v>
      </c>
      <c r="U238" s="53">
        <v>1150</v>
      </c>
      <c r="V238" s="53">
        <v>0</v>
      </c>
      <c r="W238" s="53">
        <v>0</v>
      </c>
      <c r="X238" s="53">
        <v>0</v>
      </c>
      <c r="Y238" s="53">
        <v>5250</v>
      </c>
      <c r="Z238" s="53">
        <v>0</v>
      </c>
      <c r="AA238" s="53">
        <v>0</v>
      </c>
      <c r="AB238" s="53">
        <v>0</v>
      </c>
      <c r="AC238" s="53">
        <v>0</v>
      </c>
      <c r="AD238" s="53">
        <v>0</v>
      </c>
      <c r="AE238" s="53">
        <v>0</v>
      </c>
      <c r="AF238" s="53">
        <v>0</v>
      </c>
      <c r="AG238" s="53">
        <v>0</v>
      </c>
      <c r="AH238" s="53">
        <v>0</v>
      </c>
      <c r="AI238" s="53">
        <v>0</v>
      </c>
      <c r="AJ238" s="53">
        <v>0</v>
      </c>
      <c r="AK238" s="53">
        <v>0</v>
      </c>
      <c r="AL238" s="53">
        <v>0</v>
      </c>
      <c r="AM238" s="53" t="str">
        <f>I238-J238-K238-L238-M238-N238-O238-P238-Q238-R238-S238-T238-U238-V238-W238-X238-Y238-Z238-AA238-AB238-AC238-AD238-AE238-AF238-AG238+AH238-AI238+AJ238+AK238-AL238</f>
        <v>0</v>
      </c>
      <c r="AN238" s="53"/>
      <c r="AO238" s="27"/>
    </row>
    <row r="239" spans="1:41">
      <c r="A239" s="44">
        <v>211</v>
      </c>
      <c r="B239" s="46" t="s">
        <v>972</v>
      </c>
      <c r="C239" s="48" t="s">
        <v>973</v>
      </c>
      <c r="D239" s="51" t="s">
        <v>73</v>
      </c>
      <c r="E239" s="51" t="s">
        <v>974</v>
      </c>
      <c r="F239" s="54" t="s">
        <v>975</v>
      </c>
      <c r="G239" s="50">
        <v>5</v>
      </c>
      <c r="H239" s="51" t="s">
        <v>976</v>
      </c>
      <c r="I239" s="53">
        <v>891000</v>
      </c>
      <c r="J239" s="53">
        <v>0</v>
      </c>
      <c r="K239" s="53">
        <v>27000</v>
      </c>
      <c r="L239" s="53">
        <v>0</v>
      </c>
      <c r="M239" s="53">
        <v>0</v>
      </c>
      <c r="N239" s="53">
        <v>0</v>
      </c>
      <c r="O239" s="53">
        <v>0</v>
      </c>
      <c r="P239" s="53">
        <v>0</v>
      </c>
      <c r="Q239" s="53">
        <v>0</v>
      </c>
      <c r="R239" s="53">
        <v>0</v>
      </c>
      <c r="S239" s="53">
        <v>0</v>
      </c>
      <c r="T239" s="53">
        <v>0</v>
      </c>
      <c r="U239" s="53">
        <v>1350</v>
      </c>
      <c r="V239" s="53">
        <v>0</v>
      </c>
      <c r="W239" s="53">
        <v>0</v>
      </c>
      <c r="X239" s="53">
        <v>0</v>
      </c>
      <c r="Y239" s="53">
        <v>0</v>
      </c>
      <c r="Z239" s="53">
        <v>0</v>
      </c>
      <c r="AA239" s="53">
        <v>0</v>
      </c>
      <c r="AB239" s="53">
        <v>0</v>
      </c>
      <c r="AC239" s="53">
        <v>0</v>
      </c>
      <c r="AD239" s="53">
        <v>0</v>
      </c>
      <c r="AE239" s="53">
        <v>0</v>
      </c>
      <c r="AF239" s="53">
        <v>0</v>
      </c>
      <c r="AG239" s="53">
        <v>0</v>
      </c>
      <c r="AH239" s="53">
        <v>0</v>
      </c>
      <c r="AI239" s="53">
        <v>0</v>
      </c>
      <c r="AJ239" s="53">
        <v>0</v>
      </c>
      <c r="AK239" s="53">
        <v>0</v>
      </c>
      <c r="AL239" s="53">
        <v>0</v>
      </c>
      <c r="AM239" s="53" t="str">
        <f>I239-J239-K239-L239-M239-N239-O239-P239-Q239-R239-S239-T239-U239-V239-W239-X239-Y239-Z239-AA239-AB239-AC239-AD239-AE239-AF239-AG239+AH239-AI239+AJ239+AK239-AL239</f>
        <v>0</v>
      </c>
      <c r="AN239" s="53"/>
      <c r="AO239" s="27"/>
    </row>
    <row r="240" spans="1:41">
      <c r="A240" s="44">
        <v>212</v>
      </c>
      <c r="B240" s="46" t="s">
        <v>977</v>
      </c>
      <c r="C240" s="48" t="s">
        <v>978</v>
      </c>
      <c r="D240" s="51" t="s">
        <v>73</v>
      </c>
      <c r="E240" s="51" t="s">
        <v>974</v>
      </c>
      <c r="F240" s="54" t="s">
        <v>979</v>
      </c>
      <c r="G240" s="50">
        <v>2</v>
      </c>
      <c r="H240" s="51" t="s">
        <v>980</v>
      </c>
      <c r="I240" s="53">
        <v>134000</v>
      </c>
      <c r="J240" s="53">
        <v>0</v>
      </c>
      <c r="K240" s="53">
        <v>22000</v>
      </c>
      <c r="L240" s="53">
        <v>0</v>
      </c>
      <c r="M240" s="53">
        <v>0</v>
      </c>
      <c r="N240" s="53">
        <v>0</v>
      </c>
      <c r="O240" s="53">
        <v>0</v>
      </c>
      <c r="P240" s="53">
        <v>0</v>
      </c>
      <c r="Q240" s="53">
        <v>0</v>
      </c>
      <c r="R240" s="53">
        <v>0</v>
      </c>
      <c r="S240" s="53">
        <v>0</v>
      </c>
      <c r="T240" s="53">
        <v>0</v>
      </c>
      <c r="U240" s="53">
        <v>1100</v>
      </c>
      <c r="V240" s="53">
        <v>0</v>
      </c>
      <c r="W240" s="53">
        <v>0</v>
      </c>
      <c r="X240" s="53">
        <v>0</v>
      </c>
      <c r="Y240" s="53">
        <v>0</v>
      </c>
      <c r="Z240" s="53">
        <v>0</v>
      </c>
      <c r="AA240" s="53">
        <v>0</v>
      </c>
      <c r="AB240" s="53">
        <v>0</v>
      </c>
      <c r="AC240" s="53">
        <v>0</v>
      </c>
      <c r="AD240" s="53">
        <v>0</v>
      </c>
      <c r="AE240" s="53">
        <v>0</v>
      </c>
      <c r="AF240" s="53">
        <v>0</v>
      </c>
      <c r="AG240" s="53">
        <v>0</v>
      </c>
      <c r="AH240" s="53">
        <v>0</v>
      </c>
      <c r="AI240" s="53">
        <v>0</v>
      </c>
      <c r="AJ240" s="53">
        <v>0</v>
      </c>
      <c r="AK240" s="53">
        <v>0</v>
      </c>
      <c r="AL240" s="53">
        <v>0</v>
      </c>
      <c r="AM240" s="53" t="str">
        <f>I240-J240-K240-L240-M240-N240-O240-P240-Q240-R240-S240-T240-U240-V240-W240-X240-Y240-Z240-AA240-AB240-AC240-AD240-AE240-AF240-AG240+AH240-AI240+AJ240+AK240-AL240</f>
        <v>0</v>
      </c>
      <c r="AN240" s="53"/>
      <c r="AO240" s="27"/>
    </row>
    <row r="241" spans="1:41">
      <c r="A241" s="44">
        <v>213</v>
      </c>
      <c r="B241" s="46" t="s">
        <v>981</v>
      </c>
      <c r="C241" s="48" t="s">
        <v>982</v>
      </c>
      <c r="D241" s="51" t="s">
        <v>73</v>
      </c>
      <c r="E241" s="51" t="s">
        <v>983</v>
      </c>
      <c r="F241" s="54" t="s">
        <v>755</v>
      </c>
      <c r="G241" s="50">
        <v>8</v>
      </c>
      <c r="H241" s="51" t="s">
        <v>984</v>
      </c>
      <c r="I241" s="53">
        <v>180000</v>
      </c>
      <c r="J241" s="53">
        <v>0</v>
      </c>
      <c r="K241" s="53">
        <v>39000</v>
      </c>
      <c r="L241" s="53">
        <v>0</v>
      </c>
      <c r="M241" s="53">
        <v>0</v>
      </c>
      <c r="N241" s="53">
        <v>0</v>
      </c>
      <c r="O241" s="53">
        <v>0</v>
      </c>
      <c r="P241" s="53">
        <v>0</v>
      </c>
      <c r="Q241" s="53">
        <v>0</v>
      </c>
      <c r="R241" s="53">
        <v>0</v>
      </c>
      <c r="S241" s="53">
        <v>0</v>
      </c>
      <c r="T241" s="53">
        <v>0</v>
      </c>
      <c r="U241" s="53">
        <v>1950</v>
      </c>
      <c r="V241" s="53">
        <v>0</v>
      </c>
      <c r="W241" s="53">
        <v>0</v>
      </c>
      <c r="X241" s="53">
        <v>0</v>
      </c>
      <c r="Y241" s="53">
        <v>0</v>
      </c>
      <c r="Z241" s="53">
        <v>0</v>
      </c>
      <c r="AA241" s="53">
        <v>0</v>
      </c>
      <c r="AB241" s="53">
        <v>0</v>
      </c>
      <c r="AC241" s="53">
        <v>0</v>
      </c>
      <c r="AD241" s="53">
        <v>0</v>
      </c>
      <c r="AE241" s="53">
        <v>0</v>
      </c>
      <c r="AF241" s="53">
        <v>0</v>
      </c>
      <c r="AG241" s="53">
        <v>0</v>
      </c>
      <c r="AH241" s="53">
        <v>0</v>
      </c>
      <c r="AI241" s="53">
        <v>0</v>
      </c>
      <c r="AJ241" s="53">
        <v>0</v>
      </c>
      <c r="AK241" s="53">
        <v>0</v>
      </c>
      <c r="AL241" s="53">
        <v>0</v>
      </c>
      <c r="AM241" s="53" t="str">
        <f>I241-J241-K241-L241-M241-N241-O241-P241-Q241-R241-S241-T241-U241-V241-W241-X241-Y241-Z241-AA241-AB241-AC241-AD241-AE241-AF241-AG241+AH241-AI241+AJ241+AK241-AL241</f>
        <v>0</v>
      </c>
      <c r="AN241" s="53"/>
      <c r="AO241" s="27"/>
    </row>
    <row r="242" spans="1:41">
      <c r="A242" s="44">
        <v>214</v>
      </c>
      <c r="B242" s="46" t="s">
        <v>985</v>
      </c>
      <c r="C242" s="48" t="s">
        <v>986</v>
      </c>
      <c r="D242" s="51" t="s">
        <v>73</v>
      </c>
      <c r="E242" s="51" t="s">
        <v>983</v>
      </c>
      <c r="F242" s="54" t="s">
        <v>987</v>
      </c>
      <c r="G242" s="50">
        <v>2</v>
      </c>
      <c r="H242" s="51" t="s">
        <v>988</v>
      </c>
      <c r="I242" s="53">
        <v>305100</v>
      </c>
      <c r="J242" s="53">
        <v>0</v>
      </c>
      <c r="K242" s="53">
        <v>22000</v>
      </c>
      <c r="L242" s="53">
        <v>0</v>
      </c>
      <c r="M242" s="53">
        <v>0</v>
      </c>
      <c r="N242" s="53">
        <v>0</v>
      </c>
      <c r="O242" s="53">
        <v>0</v>
      </c>
      <c r="P242" s="53">
        <v>0</v>
      </c>
      <c r="Q242" s="53">
        <v>0</v>
      </c>
      <c r="R242" s="53">
        <v>0</v>
      </c>
      <c r="S242" s="53">
        <v>0</v>
      </c>
      <c r="T242" s="53">
        <v>0</v>
      </c>
      <c r="U242" s="53">
        <v>1100</v>
      </c>
      <c r="V242" s="53">
        <v>0</v>
      </c>
      <c r="W242" s="53">
        <v>0</v>
      </c>
      <c r="X242" s="53">
        <v>0</v>
      </c>
      <c r="Y242" s="53">
        <v>0</v>
      </c>
      <c r="Z242" s="53">
        <v>0</v>
      </c>
      <c r="AA242" s="53">
        <v>0</v>
      </c>
      <c r="AB242" s="53">
        <v>0</v>
      </c>
      <c r="AC242" s="53">
        <v>0</v>
      </c>
      <c r="AD242" s="53">
        <v>0</v>
      </c>
      <c r="AE242" s="53">
        <v>0</v>
      </c>
      <c r="AF242" s="53">
        <v>0</v>
      </c>
      <c r="AG242" s="53">
        <v>0</v>
      </c>
      <c r="AH242" s="53">
        <v>0</v>
      </c>
      <c r="AI242" s="53">
        <v>0</v>
      </c>
      <c r="AJ242" s="53">
        <v>0</v>
      </c>
      <c r="AK242" s="53">
        <v>0</v>
      </c>
      <c r="AL242" s="53">
        <v>0</v>
      </c>
      <c r="AM242" s="53" t="str">
        <f>I242-J242-K242-L242-M242-N242-O242-P242-Q242-R242-S242-T242-U242-V242-W242-X242-Y242-Z242-AA242-AB242-AC242-AD242-AE242-AF242-AG242+AH242-AI242+AJ242+AK242-AL242</f>
        <v>0</v>
      </c>
      <c r="AN242" s="53"/>
      <c r="AO242" s="27"/>
    </row>
    <row r="243" spans="1:41">
      <c r="A243" s="44">
        <v>215</v>
      </c>
      <c r="B243" s="46" t="s">
        <v>989</v>
      </c>
      <c r="C243" s="48" t="s">
        <v>990</v>
      </c>
      <c r="D243" s="51" t="s">
        <v>73</v>
      </c>
      <c r="E243" s="51" t="s">
        <v>983</v>
      </c>
      <c r="F243" s="54" t="s">
        <v>991</v>
      </c>
      <c r="G243" s="50">
        <v>2</v>
      </c>
      <c r="H243" s="51" t="s">
        <v>992</v>
      </c>
      <c r="I243" s="53">
        <v>130000</v>
      </c>
      <c r="J243" s="53">
        <v>0</v>
      </c>
      <c r="K243" s="53">
        <v>22000</v>
      </c>
      <c r="L243" s="53">
        <v>0</v>
      </c>
      <c r="M243" s="53">
        <v>0</v>
      </c>
      <c r="N243" s="53">
        <v>0</v>
      </c>
      <c r="O243" s="53">
        <v>0</v>
      </c>
      <c r="P243" s="53">
        <v>0</v>
      </c>
      <c r="Q243" s="53">
        <v>0</v>
      </c>
      <c r="R243" s="53">
        <v>0</v>
      </c>
      <c r="S243" s="53">
        <v>0</v>
      </c>
      <c r="T243" s="53">
        <v>0</v>
      </c>
      <c r="U243" s="53">
        <v>1100</v>
      </c>
      <c r="V243" s="53">
        <v>0</v>
      </c>
      <c r="W243" s="53">
        <v>0</v>
      </c>
      <c r="X243" s="53">
        <v>0</v>
      </c>
      <c r="Y243" s="53">
        <v>0</v>
      </c>
      <c r="Z243" s="53">
        <v>0</v>
      </c>
      <c r="AA243" s="53">
        <v>0</v>
      </c>
      <c r="AB243" s="53">
        <v>0</v>
      </c>
      <c r="AC243" s="53">
        <v>0</v>
      </c>
      <c r="AD243" s="53">
        <v>0</v>
      </c>
      <c r="AE243" s="53">
        <v>0</v>
      </c>
      <c r="AF243" s="53">
        <v>0</v>
      </c>
      <c r="AG243" s="53">
        <v>0</v>
      </c>
      <c r="AH243" s="53">
        <v>0</v>
      </c>
      <c r="AI243" s="53">
        <v>0</v>
      </c>
      <c r="AJ243" s="53">
        <v>0</v>
      </c>
      <c r="AK243" s="53">
        <v>0</v>
      </c>
      <c r="AL243" s="53">
        <v>0</v>
      </c>
      <c r="AM243" s="53" t="str">
        <f>I243-J243-K243-L243-M243-N243-O243-P243-Q243-R243-S243-T243-U243-V243-W243-X243-Y243-Z243-AA243-AB243-AC243-AD243-AE243-AF243-AG243+AH243-AI243+AJ243+AK243-AL243</f>
        <v>0</v>
      </c>
      <c r="AN243" s="53"/>
      <c r="AO243" s="27"/>
    </row>
    <row r="244" spans="1:41">
      <c r="A244" s="44">
        <v>216</v>
      </c>
      <c r="B244" s="46" t="s">
        <v>993</v>
      </c>
      <c r="C244" s="48" t="s">
        <v>994</v>
      </c>
      <c r="D244" s="51" t="s">
        <v>73</v>
      </c>
      <c r="E244" s="51" t="s">
        <v>983</v>
      </c>
      <c r="F244" s="54" t="s">
        <v>995</v>
      </c>
      <c r="G244" s="50">
        <v>5</v>
      </c>
      <c r="H244" s="51" t="s">
        <v>996</v>
      </c>
      <c r="I244" s="53">
        <v>2019000</v>
      </c>
      <c r="J244" s="53">
        <v>0</v>
      </c>
      <c r="K244" s="53">
        <v>27000</v>
      </c>
      <c r="L244" s="53">
        <v>0</v>
      </c>
      <c r="M244" s="53">
        <v>0</v>
      </c>
      <c r="N244" s="53">
        <v>0</v>
      </c>
      <c r="O244" s="53">
        <v>0</v>
      </c>
      <c r="P244" s="53">
        <v>0</v>
      </c>
      <c r="Q244" s="53">
        <v>0</v>
      </c>
      <c r="R244" s="53">
        <v>0</v>
      </c>
      <c r="S244" s="53">
        <v>0</v>
      </c>
      <c r="T244" s="53">
        <v>0</v>
      </c>
      <c r="U244" s="53">
        <v>1350</v>
      </c>
      <c r="V244" s="53">
        <v>0</v>
      </c>
      <c r="W244" s="53">
        <v>0</v>
      </c>
      <c r="X244" s="53">
        <v>0</v>
      </c>
      <c r="Y244" s="53">
        <v>0</v>
      </c>
      <c r="Z244" s="53">
        <v>0</v>
      </c>
      <c r="AA244" s="53">
        <v>0</v>
      </c>
      <c r="AB244" s="53">
        <v>0</v>
      </c>
      <c r="AC244" s="53">
        <v>0</v>
      </c>
      <c r="AD244" s="53">
        <v>0</v>
      </c>
      <c r="AE244" s="53">
        <v>0</v>
      </c>
      <c r="AF244" s="53">
        <v>0</v>
      </c>
      <c r="AG244" s="53">
        <v>0</v>
      </c>
      <c r="AH244" s="53">
        <v>0</v>
      </c>
      <c r="AI244" s="53">
        <v>0</v>
      </c>
      <c r="AJ244" s="53">
        <v>0</v>
      </c>
      <c r="AK244" s="53">
        <v>0</v>
      </c>
      <c r="AL244" s="53">
        <v>0</v>
      </c>
      <c r="AM244" s="53" t="str">
        <f>I244-J244-K244-L244-M244-N244-O244-P244-Q244-R244-S244-T244-U244-V244-W244-X244-Y244-Z244-AA244-AB244-AC244-AD244-AE244-AF244-AG244+AH244-AI244+AJ244+AK244-AL244</f>
        <v>0</v>
      </c>
      <c r="AN244" s="53"/>
      <c r="AO244" s="27"/>
    </row>
    <row r="245" spans="1:41">
      <c r="A245" s="44">
        <v>217</v>
      </c>
      <c r="B245" s="46" t="s">
        <v>997</v>
      </c>
      <c r="C245" s="48" t="s">
        <v>998</v>
      </c>
      <c r="D245" s="51" t="s">
        <v>73</v>
      </c>
      <c r="E245" s="51" t="s">
        <v>983</v>
      </c>
      <c r="F245" s="54" t="s">
        <v>999</v>
      </c>
      <c r="G245" s="50">
        <v>2.8</v>
      </c>
      <c r="H245" s="51" t="s">
        <v>1000</v>
      </c>
      <c r="I245" s="53">
        <v>418500</v>
      </c>
      <c r="J245" s="53">
        <v>0</v>
      </c>
      <c r="K245" s="53">
        <v>22000</v>
      </c>
      <c r="L245" s="53">
        <v>0</v>
      </c>
      <c r="M245" s="53">
        <v>0</v>
      </c>
      <c r="N245" s="53">
        <v>0</v>
      </c>
      <c r="O245" s="53">
        <v>0</v>
      </c>
      <c r="P245" s="53">
        <v>0</v>
      </c>
      <c r="Q245" s="53">
        <v>0</v>
      </c>
      <c r="R245" s="53">
        <v>0</v>
      </c>
      <c r="S245" s="53">
        <v>0</v>
      </c>
      <c r="T245" s="53">
        <v>0</v>
      </c>
      <c r="U245" s="53">
        <v>1100</v>
      </c>
      <c r="V245" s="53">
        <v>0</v>
      </c>
      <c r="W245" s="53">
        <v>0</v>
      </c>
      <c r="X245" s="53">
        <v>0</v>
      </c>
      <c r="Y245" s="53">
        <v>0</v>
      </c>
      <c r="Z245" s="53">
        <v>0</v>
      </c>
      <c r="AA245" s="53">
        <v>0</v>
      </c>
      <c r="AB245" s="53">
        <v>0</v>
      </c>
      <c r="AC245" s="53">
        <v>0</v>
      </c>
      <c r="AD245" s="53">
        <v>0</v>
      </c>
      <c r="AE245" s="53">
        <v>0</v>
      </c>
      <c r="AF245" s="53">
        <v>0</v>
      </c>
      <c r="AG245" s="53">
        <v>0</v>
      </c>
      <c r="AH245" s="53">
        <v>0</v>
      </c>
      <c r="AI245" s="53">
        <v>0</v>
      </c>
      <c r="AJ245" s="53">
        <v>0</v>
      </c>
      <c r="AK245" s="53">
        <v>0</v>
      </c>
      <c r="AL245" s="53">
        <v>0</v>
      </c>
      <c r="AM245" s="53" t="str">
        <f>I245-J245-K245-L245-M245-N245-O245-P245-Q245-R245-S245-T245-U245-V245-W245-X245-Y245-Z245-AA245-AB245-AC245-AD245-AE245-AF245-AG245+AH245-AI245+AJ245+AK245-AL245</f>
        <v>0</v>
      </c>
      <c r="AN245" s="53"/>
      <c r="AO245" s="27"/>
    </row>
    <row r="246" spans="1:41">
      <c r="A246" s="44">
        <v>218</v>
      </c>
      <c r="B246" s="46" t="s">
        <v>1001</v>
      </c>
      <c r="C246" s="48" t="s">
        <v>1002</v>
      </c>
      <c r="D246" s="51" t="s">
        <v>73</v>
      </c>
      <c r="E246" s="51" t="s">
        <v>983</v>
      </c>
      <c r="F246" s="54" t="s">
        <v>1003</v>
      </c>
      <c r="G246" s="50">
        <v>2</v>
      </c>
      <c r="H246" s="51" t="s">
        <v>1004</v>
      </c>
      <c r="I246" s="53">
        <v>0</v>
      </c>
      <c r="J246" s="53">
        <v>0</v>
      </c>
      <c r="K246" s="53">
        <v>22000</v>
      </c>
      <c r="L246" s="53">
        <v>0</v>
      </c>
      <c r="M246" s="53">
        <v>0</v>
      </c>
      <c r="N246" s="53">
        <v>0</v>
      </c>
      <c r="O246" s="53">
        <v>0</v>
      </c>
      <c r="P246" s="53">
        <v>0</v>
      </c>
      <c r="Q246" s="53">
        <v>0</v>
      </c>
      <c r="R246" s="53">
        <v>0</v>
      </c>
      <c r="S246" s="53">
        <v>0</v>
      </c>
      <c r="T246" s="53">
        <v>0</v>
      </c>
      <c r="U246" s="53">
        <v>1100</v>
      </c>
      <c r="V246" s="53">
        <v>0</v>
      </c>
      <c r="W246" s="53">
        <v>0</v>
      </c>
      <c r="X246" s="53">
        <v>0</v>
      </c>
      <c r="Y246" s="53">
        <v>0</v>
      </c>
      <c r="Z246" s="53">
        <v>0</v>
      </c>
      <c r="AA246" s="53">
        <v>0</v>
      </c>
      <c r="AB246" s="53">
        <v>0</v>
      </c>
      <c r="AC246" s="53">
        <v>0</v>
      </c>
      <c r="AD246" s="53">
        <v>0</v>
      </c>
      <c r="AE246" s="53">
        <v>0</v>
      </c>
      <c r="AF246" s="53">
        <v>0</v>
      </c>
      <c r="AG246" s="53">
        <v>0</v>
      </c>
      <c r="AH246" s="53">
        <v>0</v>
      </c>
      <c r="AI246" s="53">
        <v>0</v>
      </c>
      <c r="AJ246" s="53">
        <v>0</v>
      </c>
      <c r="AK246" s="53">
        <v>0</v>
      </c>
      <c r="AL246" s="53">
        <v>0</v>
      </c>
      <c r="AM246" s="53" t="str">
        <f>I246-J246-K246-L246-M246-N246-O246-P246-Q246-R246-S246-T246-U246-V246-W246-X246-Y246-Z246-AA246-AB246-AC246-AD246-AE246-AF246-AG246+AH246-AI246+AJ246+AK246-AL246</f>
        <v>0</v>
      </c>
      <c r="AN246" s="53"/>
      <c r="AO246" s="27"/>
    </row>
    <row r="247" spans="1:41">
      <c r="A247" s="44">
        <v>219</v>
      </c>
      <c r="B247" s="46" t="s">
        <v>1005</v>
      </c>
      <c r="C247" s="48" t="s">
        <v>1006</v>
      </c>
      <c r="D247" s="51" t="s">
        <v>73</v>
      </c>
      <c r="E247" s="51" t="s">
        <v>983</v>
      </c>
      <c r="F247" s="54" t="s">
        <v>1007</v>
      </c>
      <c r="G247" s="50">
        <v>2</v>
      </c>
      <c r="H247" s="51" t="s">
        <v>1008</v>
      </c>
      <c r="I247" s="53">
        <v>270000</v>
      </c>
      <c r="J247" s="53">
        <v>0</v>
      </c>
      <c r="K247" s="53">
        <v>22000</v>
      </c>
      <c r="L247" s="53">
        <v>0</v>
      </c>
      <c r="M247" s="53">
        <v>0</v>
      </c>
      <c r="N247" s="53">
        <v>0</v>
      </c>
      <c r="O247" s="53">
        <v>0</v>
      </c>
      <c r="P247" s="53">
        <v>0</v>
      </c>
      <c r="Q247" s="53">
        <v>0</v>
      </c>
      <c r="R247" s="53">
        <v>0</v>
      </c>
      <c r="S247" s="53">
        <v>0</v>
      </c>
      <c r="T247" s="53">
        <v>0</v>
      </c>
      <c r="U247" s="53">
        <v>1100</v>
      </c>
      <c r="V247" s="53">
        <v>0</v>
      </c>
      <c r="W247" s="53">
        <v>0</v>
      </c>
      <c r="X247" s="53">
        <v>0</v>
      </c>
      <c r="Y247" s="53">
        <v>0</v>
      </c>
      <c r="Z247" s="53">
        <v>0</v>
      </c>
      <c r="AA247" s="53">
        <v>0</v>
      </c>
      <c r="AB247" s="53">
        <v>0</v>
      </c>
      <c r="AC247" s="53">
        <v>0</v>
      </c>
      <c r="AD247" s="53">
        <v>0</v>
      </c>
      <c r="AE247" s="53">
        <v>0</v>
      </c>
      <c r="AF247" s="53">
        <v>0</v>
      </c>
      <c r="AG247" s="53">
        <v>0</v>
      </c>
      <c r="AH247" s="53">
        <v>0</v>
      </c>
      <c r="AI247" s="53">
        <v>0</v>
      </c>
      <c r="AJ247" s="53">
        <v>0</v>
      </c>
      <c r="AK247" s="53">
        <v>0</v>
      </c>
      <c r="AL247" s="53">
        <v>0</v>
      </c>
      <c r="AM247" s="53" t="str">
        <f>I247-J247-K247-L247-M247-N247-O247-P247-Q247-R247-S247-T247-U247-V247-W247-X247-Y247-Z247-AA247-AB247-AC247-AD247-AE247-AF247-AG247+AH247-AI247+AJ247+AK247-AL247</f>
        <v>0</v>
      </c>
      <c r="AN247" s="53"/>
      <c r="AO247" s="27"/>
    </row>
    <row r="248" spans="1:41">
      <c r="A248" s="44">
        <v>220</v>
      </c>
      <c r="B248" s="46" t="s">
        <v>1009</v>
      </c>
      <c r="C248" s="48" t="s">
        <v>1010</v>
      </c>
      <c r="D248" s="51" t="s">
        <v>73</v>
      </c>
      <c r="E248" s="51" t="s">
        <v>983</v>
      </c>
      <c r="F248" s="54" t="s">
        <v>1011</v>
      </c>
      <c r="G248" s="50">
        <v>2</v>
      </c>
      <c r="H248" s="51" t="s">
        <v>1012</v>
      </c>
      <c r="I248" s="53">
        <v>179100</v>
      </c>
      <c r="J248" s="53">
        <v>0</v>
      </c>
      <c r="K248" s="53">
        <v>22000</v>
      </c>
      <c r="L248" s="53">
        <v>0</v>
      </c>
      <c r="M248" s="53">
        <v>0</v>
      </c>
      <c r="N248" s="53">
        <v>0</v>
      </c>
      <c r="O248" s="53">
        <v>0</v>
      </c>
      <c r="P248" s="53">
        <v>0</v>
      </c>
      <c r="Q248" s="53">
        <v>0</v>
      </c>
      <c r="R248" s="53">
        <v>0</v>
      </c>
      <c r="S248" s="53">
        <v>0</v>
      </c>
      <c r="T248" s="53">
        <v>0</v>
      </c>
      <c r="U248" s="53">
        <v>1100</v>
      </c>
      <c r="V248" s="53">
        <v>0</v>
      </c>
      <c r="W248" s="53">
        <v>0</v>
      </c>
      <c r="X248" s="53">
        <v>0</v>
      </c>
      <c r="Y248" s="53">
        <v>0</v>
      </c>
      <c r="Z248" s="53">
        <v>0</v>
      </c>
      <c r="AA248" s="53">
        <v>0</v>
      </c>
      <c r="AB248" s="53">
        <v>0</v>
      </c>
      <c r="AC248" s="53">
        <v>0</v>
      </c>
      <c r="AD248" s="53">
        <v>0</v>
      </c>
      <c r="AE248" s="53">
        <v>0</v>
      </c>
      <c r="AF248" s="53">
        <v>0</v>
      </c>
      <c r="AG248" s="53">
        <v>0</v>
      </c>
      <c r="AH248" s="53">
        <v>0</v>
      </c>
      <c r="AI248" s="53">
        <v>0</v>
      </c>
      <c r="AJ248" s="53">
        <v>0</v>
      </c>
      <c r="AK248" s="53">
        <v>0</v>
      </c>
      <c r="AL248" s="53">
        <v>0</v>
      </c>
      <c r="AM248" s="53" t="str">
        <f>I248-J248-K248-L248-M248-N248-O248-P248-Q248-R248-S248-T248-U248-V248-W248-X248-Y248-Z248-AA248-AB248-AC248-AD248-AE248-AF248-AG248+AH248-AI248+AJ248+AK248-AL248</f>
        <v>0</v>
      </c>
      <c r="AN248" s="53"/>
      <c r="AO248" s="27"/>
    </row>
    <row r="249" spans="1:41">
      <c r="A249" s="44">
        <v>221</v>
      </c>
      <c r="B249" s="46" t="s">
        <v>1013</v>
      </c>
      <c r="C249" s="48" t="s">
        <v>1014</v>
      </c>
      <c r="D249" s="51" t="s">
        <v>73</v>
      </c>
      <c r="E249" s="51" t="s">
        <v>983</v>
      </c>
      <c r="F249" s="54" t="s">
        <v>1015</v>
      </c>
      <c r="G249" s="50">
        <v>2</v>
      </c>
      <c r="H249" s="51" t="s">
        <v>1016</v>
      </c>
      <c r="I249" s="53">
        <v>499000</v>
      </c>
      <c r="J249" s="53">
        <v>0</v>
      </c>
      <c r="K249" s="53">
        <v>22000</v>
      </c>
      <c r="L249" s="53">
        <v>0</v>
      </c>
      <c r="M249" s="53">
        <v>0</v>
      </c>
      <c r="N249" s="53">
        <v>0</v>
      </c>
      <c r="O249" s="53">
        <v>0</v>
      </c>
      <c r="P249" s="53">
        <v>0</v>
      </c>
      <c r="Q249" s="53">
        <v>0</v>
      </c>
      <c r="R249" s="53">
        <v>0</v>
      </c>
      <c r="S249" s="53">
        <v>0</v>
      </c>
      <c r="T249" s="53">
        <v>0</v>
      </c>
      <c r="U249" s="53">
        <v>1100</v>
      </c>
      <c r="V249" s="53">
        <v>0</v>
      </c>
      <c r="W249" s="53">
        <v>0</v>
      </c>
      <c r="X249" s="53">
        <v>0</v>
      </c>
      <c r="Y249" s="53">
        <v>0</v>
      </c>
      <c r="Z249" s="53">
        <v>0</v>
      </c>
      <c r="AA249" s="53">
        <v>0</v>
      </c>
      <c r="AB249" s="53">
        <v>0</v>
      </c>
      <c r="AC249" s="53">
        <v>0</v>
      </c>
      <c r="AD249" s="53">
        <v>0</v>
      </c>
      <c r="AE249" s="53">
        <v>0</v>
      </c>
      <c r="AF249" s="53">
        <v>0</v>
      </c>
      <c r="AG249" s="53">
        <v>0</v>
      </c>
      <c r="AH249" s="53">
        <v>0</v>
      </c>
      <c r="AI249" s="53">
        <v>0</v>
      </c>
      <c r="AJ249" s="53">
        <v>0</v>
      </c>
      <c r="AK249" s="53">
        <v>0</v>
      </c>
      <c r="AL249" s="53">
        <v>0</v>
      </c>
      <c r="AM249" s="53" t="str">
        <f>I249-J249-K249-L249-M249-N249-O249-P249-Q249-R249-S249-T249-U249-V249-W249-X249-Y249-Z249-AA249-AB249-AC249-AD249-AE249-AF249-AG249+AH249-AI249+AJ249+AK249-AL249</f>
        <v>0</v>
      </c>
      <c r="AN249" s="53"/>
      <c r="AO249" s="27"/>
    </row>
    <row r="250" spans="1:41">
      <c r="A250" s="44">
        <v>222</v>
      </c>
      <c r="B250" s="46" t="s">
        <v>1017</v>
      </c>
      <c r="C250" s="48" t="s">
        <v>1018</v>
      </c>
      <c r="D250" s="51" t="s">
        <v>73</v>
      </c>
      <c r="E250" s="51" t="s">
        <v>983</v>
      </c>
      <c r="F250" s="54" t="s">
        <v>1019</v>
      </c>
      <c r="G250" s="50">
        <v>3</v>
      </c>
      <c r="H250" s="51" t="s">
        <v>1020</v>
      </c>
      <c r="I250" s="53">
        <v>880000</v>
      </c>
      <c r="J250" s="53">
        <v>0</v>
      </c>
      <c r="K250" s="53">
        <v>22000</v>
      </c>
      <c r="L250" s="53">
        <v>0</v>
      </c>
      <c r="M250" s="53">
        <v>0</v>
      </c>
      <c r="N250" s="53">
        <v>0</v>
      </c>
      <c r="O250" s="53">
        <v>0</v>
      </c>
      <c r="P250" s="53">
        <v>0</v>
      </c>
      <c r="Q250" s="53">
        <v>0</v>
      </c>
      <c r="R250" s="53">
        <v>0</v>
      </c>
      <c r="S250" s="53">
        <v>0</v>
      </c>
      <c r="T250" s="53">
        <v>0</v>
      </c>
      <c r="U250" s="53">
        <v>1100</v>
      </c>
      <c r="V250" s="53">
        <v>0</v>
      </c>
      <c r="W250" s="53">
        <v>0</v>
      </c>
      <c r="X250" s="53">
        <v>0</v>
      </c>
      <c r="Y250" s="53">
        <v>0</v>
      </c>
      <c r="Z250" s="53">
        <v>0</v>
      </c>
      <c r="AA250" s="53">
        <v>0</v>
      </c>
      <c r="AB250" s="53">
        <v>0</v>
      </c>
      <c r="AC250" s="53">
        <v>0</v>
      </c>
      <c r="AD250" s="53">
        <v>0</v>
      </c>
      <c r="AE250" s="53">
        <v>0</v>
      </c>
      <c r="AF250" s="53">
        <v>0</v>
      </c>
      <c r="AG250" s="53">
        <v>0</v>
      </c>
      <c r="AH250" s="53">
        <v>0</v>
      </c>
      <c r="AI250" s="53">
        <v>0</v>
      </c>
      <c r="AJ250" s="53">
        <v>0</v>
      </c>
      <c r="AK250" s="53">
        <v>0</v>
      </c>
      <c r="AL250" s="53">
        <v>0</v>
      </c>
      <c r="AM250" s="53" t="str">
        <f>I250-J250-K250-L250-M250-N250-O250-P250-Q250-R250-S250-T250-U250-V250-W250-X250-Y250-Z250-AA250-AB250-AC250-AD250-AE250-AF250-AG250+AH250-AI250+AJ250+AK250-AL250</f>
        <v>0</v>
      </c>
      <c r="AN250" s="53"/>
      <c r="AO250" s="27"/>
    </row>
    <row r="251" spans="1:41">
      <c r="A251" s="44">
        <v>223</v>
      </c>
      <c r="B251" s="46" t="s">
        <v>1021</v>
      </c>
      <c r="C251" s="48" t="s">
        <v>1022</v>
      </c>
      <c r="D251" s="51" t="s">
        <v>73</v>
      </c>
      <c r="E251" s="51" t="s">
        <v>983</v>
      </c>
      <c r="F251" s="54" t="s">
        <v>923</v>
      </c>
      <c r="G251" s="50">
        <v>2</v>
      </c>
      <c r="H251" s="51" t="s">
        <v>1023</v>
      </c>
      <c r="I251" s="53">
        <v>306000</v>
      </c>
      <c r="J251" s="53">
        <v>0</v>
      </c>
      <c r="K251" s="53">
        <v>22000</v>
      </c>
      <c r="L251" s="53">
        <v>0</v>
      </c>
      <c r="M251" s="53">
        <v>0</v>
      </c>
      <c r="N251" s="53">
        <v>0</v>
      </c>
      <c r="O251" s="53">
        <v>0</v>
      </c>
      <c r="P251" s="53">
        <v>0</v>
      </c>
      <c r="Q251" s="53">
        <v>0</v>
      </c>
      <c r="R251" s="53">
        <v>0</v>
      </c>
      <c r="S251" s="53">
        <v>0</v>
      </c>
      <c r="T251" s="53">
        <v>0</v>
      </c>
      <c r="U251" s="53">
        <v>1100</v>
      </c>
      <c r="V251" s="53">
        <v>0</v>
      </c>
      <c r="W251" s="53">
        <v>0</v>
      </c>
      <c r="X251" s="53">
        <v>0</v>
      </c>
      <c r="Y251" s="53">
        <v>0</v>
      </c>
      <c r="Z251" s="53">
        <v>0</v>
      </c>
      <c r="AA251" s="53">
        <v>0</v>
      </c>
      <c r="AB251" s="53">
        <v>0</v>
      </c>
      <c r="AC251" s="53">
        <v>0</v>
      </c>
      <c r="AD251" s="53">
        <v>0</v>
      </c>
      <c r="AE251" s="53">
        <v>0</v>
      </c>
      <c r="AF251" s="53">
        <v>0</v>
      </c>
      <c r="AG251" s="53">
        <v>0</v>
      </c>
      <c r="AH251" s="53">
        <v>0</v>
      </c>
      <c r="AI251" s="53">
        <v>0</v>
      </c>
      <c r="AJ251" s="53">
        <v>0</v>
      </c>
      <c r="AK251" s="53">
        <v>0</v>
      </c>
      <c r="AL251" s="53">
        <v>0</v>
      </c>
      <c r="AM251" s="53" t="str">
        <f>I251-J251-K251-L251-M251-N251-O251-P251-Q251-R251-S251-T251-U251-V251-W251-X251-Y251-Z251-AA251-AB251-AC251-AD251-AE251-AF251-AG251+AH251-AI251+AJ251+AK251-AL251</f>
        <v>0</v>
      </c>
      <c r="AN251" s="53"/>
      <c r="AO251" s="27"/>
    </row>
    <row r="252" spans="1:41">
      <c r="A252" s="44">
        <v>224</v>
      </c>
      <c r="B252" s="46" t="s">
        <v>1024</v>
      </c>
      <c r="C252" s="48" t="s">
        <v>1025</v>
      </c>
      <c r="D252" s="51" t="s">
        <v>73</v>
      </c>
      <c r="E252" s="51" t="s">
        <v>983</v>
      </c>
      <c r="F252" s="54" t="s">
        <v>1026</v>
      </c>
      <c r="G252" s="50">
        <v>3</v>
      </c>
      <c r="H252" s="51" t="s">
        <v>1027</v>
      </c>
      <c r="I252" s="53">
        <v>450000</v>
      </c>
      <c r="J252" s="53">
        <v>0</v>
      </c>
      <c r="K252" s="53">
        <v>22000</v>
      </c>
      <c r="L252" s="53">
        <v>0</v>
      </c>
      <c r="M252" s="53">
        <v>0</v>
      </c>
      <c r="N252" s="53">
        <v>0</v>
      </c>
      <c r="O252" s="53">
        <v>0</v>
      </c>
      <c r="P252" s="53">
        <v>0</v>
      </c>
      <c r="Q252" s="53">
        <v>0</v>
      </c>
      <c r="R252" s="53">
        <v>0</v>
      </c>
      <c r="S252" s="53">
        <v>0</v>
      </c>
      <c r="T252" s="53">
        <v>0</v>
      </c>
      <c r="U252" s="53">
        <v>1100</v>
      </c>
      <c r="V252" s="53">
        <v>0</v>
      </c>
      <c r="W252" s="53">
        <v>0</v>
      </c>
      <c r="X252" s="53">
        <v>0</v>
      </c>
      <c r="Y252" s="53">
        <v>0</v>
      </c>
      <c r="Z252" s="53">
        <v>0</v>
      </c>
      <c r="AA252" s="53">
        <v>0</v>
      </c>
      <c r="AB252" s="53">
        <v>0</v>
      </c>
      <c r="AC252" s="53">
        <v>0</v>
      </c>
      <c r="AD252" s="53">
        <v>0</v>
      </c>
      <c r="AE252" s="53">
        <v>0</v>
      </c>
      <c r="AF252" s="53">
        <v>0</v>
      </c>
      <c r="AG252" s="53">
        <v>0</v>
      </c>
      <c r="AH252" s="53">
        <v>0</v>
      </c>
      <c r="AI252" s="53">
        <v>0</v>
      </c>
      <c r="AJ252" s="53">
        <v>0</v>
      </c>
      <c r="AK252" s="53">
        <v>0</v>
      </c>
      <c r="AL252" s="53">
        <v>0</v>
      </c>
      <c r="AM252" s="53" t="str">
        <f>I252-J252-K252-L252-M252-N252-O252-P252-Q252-R252-S252-T252-U252-V252-W252-X252-Y252-Z252-AA252-AB252-AC252-AD252-AE252-AF252-AG252+AH252-AI252+AJ252+AK252-AL252</f>
        <v>0</v>
      </c>
      <c r="AN252" s="53"/>
      <c r="AO252" s="27"/>
    </row>
    <row r="253" spans="1:41">
      <c r="A253" s="44">
        <v>225</v>
      </c>
      <c r="B253" s="46" t="s">
        <v>1028</v>
      </c>
      <c r="C253" s="48" t="s">
        <v>1029</v>
      </c>
      <c r="D253" s="51" t="s">
        <v>73</v>
      </c>
      <c r="E253" s="51" t="s">
        <v>983</v>
      </c>
      <c r="F253" s="54" t="s">
        <v>1030</v>
      </c>
      <c r="G253" s="50">
        <v>2</v>
      </c>
      <c r="H253" s="51" t="s">
        <v>1031</v>
      </c>
      <c r="I253" s="53">
        <v>59000</v>
      </c>
      <c r="J253" s="53">
        <v>0</v>
      </c>
      <c r="K253" s="53">
        <v>22000</v>
      </c>
      <c r="L253" s="53">
        <v>0</v>
      </c>
      <c r="M253" s="53">
        <v>0</v>
      </c>
      <c r="N253" s="53">
        <v>0</v>
      </c>
      <c r="O253" s="53">
        <v>0</v>
      </c>
      <c r="P253" s="53">
        <v>0</v>
      </c>
      <c r="Q253" s="53">
        <v>0</v>
      </c>
      <c r="R253" s="53">
        <v>0</v>
      </c>
      <c r="S253" s="53">
        <v>0</v>
      </c>
      <c r="T253" s="53">
        <v>0</v>
      </c>
      <c r="U253" s="53">
        <v>1100</v>
      </c>
      <c r="V253" s="53">
        <v>0</v>
      </c>
      <c r="W253" s="53">
        <v>0</v>
      </c>
      <c r="X253" s="53">
        <v>0</v>
      </c>
      <c r="Y253" s="53">
        <v>0</v>
      </c>
      <c r="Z253" s="53">
        <v>0</v>
      </c>
      <c r="AA253" s="53">
        <v>0</v>
      </c>
      <c r="AB253" s="53">
        <v>0</v>
      </c>
      <c r="AC253" s="53">
        <v>0</v>
      </c>
      <c r="AD253" s="53">
        <v>0</v>
      </c>
      <c r="AE253" s="53">
        <v>0</v>
      </c>
      <c r="AF253" s="53">
        <v>0</v>
      </c>
      <c r="AG253" s="53">
        <v>0</v>
      </c>
      <c r="AH253" s="53">
        <v>0</v>
      </c>
      <c r="AI253" s="53">
        <v>0</v>
      </c>
      <c r="AJ253" s="53">
        <v>0</v>
      </c>
      <c r="AK253" s="53">
        <v>0</v>
      </c>
      <c r="AL253" s="53">
        <v>0</v>
      </c>
      <c r="AM253" s="53" t="str">
        <f>I253-J253-K253-L253-M253-N253-O253-P253-Q253-R253-S253-T253-U253-V253-W253-X253-Y253-Z253-AA253-AB253-AC253-AD253-AE253-AF253-AG253+AH253-AI253+AJ253+AK253-AL253</f>
        <v>0</v>
      </c>
      <c r="AN253" s="53"/>
      <c r="AO253" s="27"/>
    </row>
    <row r="254" spans="1:41">
      <c r="A254" s="44">
        <v>226</v>
      </c>
      <c r="B254" s="46" t="s">
        <v>1032</v>
      </c>
      <c r="C254" s="48" t="s">
        <v>1033</v>
      </c>
      <c r="D254" s="51" t="s">
        <v>73</v>
      </c>
      <c r="E254" s="51" t="s">
        <v>983</v>
      </c>
      <c r="F254" s="54" t="s">
        <v>1034</v>
      </c>
      <c r="G254" s="50">
        <v>3</v>
      </c>
      <c r="H254" s="51" t="s">
        <v>1035</v>
      </c>
      <c r="I254" s="53">
        <v>292500</v>
      </c>
      <c r="J254" s="53">
        <v>0</v>
      </c>
      <c r="K254" s="53">
        <v>22000</v>
      </c>
      <c r="L254" s="53">
        <v>0</v>
      </c>
      <c r="M254" s="53">
        <v>0</v>
      </c>
      <c r="N254" s="53">
        <v>0</v>
      </c>
      <c r="O254" s="53">
        <v>0</v>
      </c>
      <c r="P254" s="53">
        <v>0</v>
      </c>
      <c r="Q254" s="53">
        <v>0</v>
      </c>
      <c r="R254" s="53">
        <v>0</v>
      </c>
      <c r="S254" s="53">
        <v>0</v>
      </c>
      <c r="T254" s="53">
        <v>0</v>
      </c>
      <c r="U254" s="53">
        <v>1100</v>
      </c>
      <c r="V254" s="53">
        <v>0</v>
      </c>
      <c r="W254" s="53">
        <v>0</v>
      </c>
      <c r="X254" s="53">
        <v>0</v>
      </c>
      <c r="Y254" s="53">
        <v>0</v>
      </c>
      <c r="Z254" s="53">
        <v>0</v>
      </c>
      <c r="AA254" s="53">
        <v>0</v>
      </c>
      <c r="AB254" s="53">
        <v>0</v>
      </c>
      <c r="AC254" s="53">
        <v>0</v>
      </c>
      <c r="AD254" s="53">
        <v>0</v>
      </c>
      <c r="AE254" s="53">
        <v>0</v>
      </c>
      <c r="AF254" s="53">
        <v>0</v>
      </c>
      <c r="AG254" s="53">
        <v>0</v>
      </c>
      <c r="AH254" s="53">
        <v>0</v>
      </c>
      <c r="AI254" s="53">
        <v>0</v>
      </c>
      <c r="AJ254" s="53">
        <v>0</v>
      </c>
      <c r="AK254" s="53">
        <v>0</v>
      </c>
      <c r="AL254" s="53">
        <v>0</v>
      </c>
      <c r="AM254" s="53" t="str">
        <f>I254-J254-K254-L254-M254-N254-O254-P254-Q254-R254-S254-T254-U254-V254-W254-X254-Y254-Z254-AA254-AB254-AC254-AD254-AE254-AF254-AG254+AH254-AI254+AJ254+AK254-AL254</f>
        <v>0</v>
      </c>
      <c r="AN254" s="53"/>
      <c r="AO254" s="27"/>
    </row>
    <row r="255" spans="1:41">
      <c r="A255" s="44">
        <v>227</v>
      </c>
      <c r="B255" s="46" t="s">
        <v>1036</v>
      </c>
      <c r="C255" s="48" t="s">
        <v>1037</v>
      </c>
      <c r="D255" s="51" t="s">
        <v>73</v>
      </c>
      <c r="E255" s="51" t="s">
        <v>983</v>
      </c>
      <c r="F255" s="54" t="s">
        <v>1038</v>
      </c>
      <c r="G255" s="50">
        <v>2</v>
      </c>
      <c r="H255" s="51" t="s">
        <v>1039</v>
      </c>
      <c r="I255" s="53">
        <v>255000</v>
      </c>
      <c r="J255" s="53">
        <v>0</v>
      </c>
      <c r="K255" s="53">
        <v>22000</v>
      </c>
      <c r="L255" s="53">
        <v>0</v>
      </c>
      <c r="M255" s="53">
        <v>0</v>
      </c>
      <c r="N255" s="53">
        <v>0</v>
      </c>
      <c r="O255" s="53">
        <v>0</v>
      </c>
      <c r="P255" s="53">
        <v>0</v>
      </c>
      <c r="Q255" s="53">
        <v>0</v>
      </c>
      <c r="R255" s="53">
        <v>0</v>
      </c>
      <c r="S255" s="53">
        <v>0</v>
      </c>
      <c r="T255" s="53">
        <v>0</v>
      </c>
      <c r="U255" s="53">
        <v>1100</v>
      </c>
      <c r="V255" s="53">
        <v>0</v>
      </c>
      <c r="W255" s="53">
        <v>0</v>
      </c>
      <c r="X255" s="53">
        <v>0</v>
      </c>
      <c r="Y255" s="53">
        <v>0</v>
      </c>
      <c r="Z255" s="53">
        <v>0</v>
      </c>
      <c r="AA255" s="53">
        <v>0</v>
      </c>
      <c r="AB255" s="53">
        <v>0</v>
      </c>
      <c r="AC255" s="53">
        <v>0</v>
      </c>
      <c r="AD255" s="53">
        <v>0</v>
      </c>
      <c r="AE255" s="53">
        <v>0</v>
      </c>
      <c r="AF255" s="53">
        <v>0</v>
      </c>
      <c r="AG255" s="53">
        <v>0</v>
      </c>
      <c r="AH255" s="53">
        <v>0</v>
      </c>
      <c r="AI255" s="53">
        <v>0</v>
      </c>
      <c r="AJ255" s="53">
        <v>0</v>
      </c>
      <c r="AK255" s="53">
        <v>0</v>
      </c>
      <c r="AL255" s="53">
        <v>0</v>
      </c>
      <c r="AM255" s="53" t="str">
        <f>I255-J255-K255-L255-M255-N255-O255-P255-Q255-R255-S255-T255-U255-V255-W255-X255-Y255-Z255-AA255-AB255-AC255-AD255-AE255-AF255-AG255+AH255-AI255+AJ255+AK255-AL255</f>
        <v>0</v>
      </c>
      <c r="AN255" s="53"/>
      <c r="AO255" s="27"/>
    </row>
    <row r="256" spans="1:41">
      <c r="A256" s="44">
        <v>228</v>
      </c>
      <c r="B256" s="46" t="s">
        <v>1040</v>
      </c>
      <c r="C256" s="48" t="s">
        <v>1041</v>
      </c>
      <c r="D256" s="51" t="s">
        <v>73</v>
      </c>
      <c r="E256" s="51" t="s">
        <v>983</v>
      </c>
      <c r="F256" s="54" t="s">
        <v>710</v>
      </c>
      <c r="G256" s="50">
        <v>2</v>
      </c>
      <c r="H256" s="51" t="s">
        <v>1042</v>
      </c>
      <c r="I256" s="53">
        <v>359100</v>
      </c>
      <c r="J256" s="53">
        <v>0</v>
      </c>
      <c r="K256" s="53">
        <v>22000</v>
      </c>
      <c r="L256" s="53">
        <v>0</v>
      </c>
      <c r="M256" s="53">
        <v>0</v>
      </c>
      <c r="N256" s="53">
        <v>0</v>
      </c>
      <c r="O256" s="53">
        <v>0</v>
      </c>
      <c r="P256" s="53">
        <v>0</v>
      </c>
      <c r="Q256" s="53">
        <v>0</v>
      </c>
      <c r="R256" s="53">
        <v>0</v>
      </c>
      <c r="S256" s="53">
        <v>0</v>
      </c>
      <c r="T256" s="53">
        <v>0</v>
      </c>
      <c r="U256" s="53">
        <v>1100</v>
      </c>
      <c r="V256" s="53">
        <v>0</v>
      </c>
      <c r="W256" s="53">
        <v>0</v>
      </c>
      <c r="X256" s="53">
        <v>0</v>
      </c>
      <c r="Y256" s="53">
        <v>0</v>
      </c>
      <c r="Z256" s="53">
        <v>0</v>
      </c>
      <c r="AA256" s="53">
        <v>0</v>
      </c>
      <c r="AB256" s="53">
        <v>0</v>
      </c>
      <c r="AC256" s="53">
        <v>0</v>
      </c>
      <c r="AD256" s="53">
        <v>0</v>
      </c>
      <c r="AE256" s="53">
        <v>0</v>
      </c>
      <c r="AF256" s="53">
        <v>0</v>
      </c>
      <c r="AG256" s="53">
        <v>0</v>
      </c>
      <c r="AH256" s="53">
        <v>0</v>
      </c>
      <c r="AI256" s="53">
        <v>0</v>
      </c>
      <c r="AJ256" s="53">
        <v>0</v>
      </c>
      <c r="AK256" s="53">
        <v>0</v>
      </c>
      <c r="AL256" s="53">
        <v>0</v>
      </c>
      <c r="AM256" s="53" t="str">
        <f>I256-J256-K256-L256-M256-N256-O256-P256-Q256-R256-S256-T256-U256-V256-W256-X256-Y256-Z256-AA256-AB256-AC256-AD256-AE256-AF256-AG256+AH256-AI256+AJ256+AK256-AL256</f>
        <v>0</v>
      </c>
      <c r="AN256" s="53"/>
      <c r="AO256" s="27"/>
    </row>
    <row r="257" spans="1:41">
      <c r="A257" s="44">
        <v>229</v>
      </c>
      <c r="B257" s="46" t="s">
        <v>1043</v>
      </c>
      <c r="C257" s="48" t="s">
        <v>1044</v>
      </c>
      <c r="D257" s="51" t="s">
        <v>73</v>
      </c>
      <c r="E257" s="51" t="s">
        <v>983</v>
      </c>
      <c r="F257" s="54" t="s">
        <v>388</v>
      </c>
      <c r="G257" s="50">
        <v>2</v>
      </c>
      <c r="H257" s="51" t="s">
        <v>1045</v>
      </c>
      <c r="I257" s="53">
        <v>337500</v>
      </c>
      <c r="J257" s="53">
        <v>0</v>
      </c>
      <c r="K257" s="53">
        <v>22000</v>
      </c>
      <c r="L257" s="53">
        <v>0</v>
      </c>
      <c r="M257" s="53">
        <v>0</v>
      </c>
      <c r="N257" s="53">
        <v>0</v>
      </c>
      <c r="O257" s="53">
        <v>0</v>
      </c>
      <c r="P257" s="53">
        <v>0</v>
      </c>
      <c r="Q257" s="53">
        <v>0</v>
      </c>
      <c r="R257" s="53">
        <v>0</v>
      </c>
      <c r="S257" s="53">
        <v>0</v>
      </c>
      <c r="T257" s="53">
        <v>0</v>
      </c>
      <c r="U257" s="53">
        <v>1100</v>
      </c>
      <c r="V257" s="53">
        <v>0</v>
      </c>
      <c r="W257" s="53">
        <v>0</v>
      </c>
      <c r="X257" s="53">
        <v>0</v>
      </c>
      <c r="Y257" s="53">
        <v>0</v>
      </c>
      <c r="Z257" s="53">
        <v>0</v>
      </c>
      <c r="AA257" s="53">
        <v>0</v>
      </c>
      <c r="AB257" s="53">
        <v>0</v>
      </c>
      <c r="AC257" s="53">
        <v>0</v>
      </c>
      <c r="AD257" s="53">
        <v>0</v>
      </c>
      <c r="AE257" s="53">
        <v>0</v>
      </c>
      <c r="AF257" s="53">
        <v>0</v>
      </c>
      <c r="AG257" s="53">
        <v>0</v>
      </c>
      <c r="AH257" s="53">
        <v>0</v>
      </c>
      <c r="AI257" s="53">
        <v>0</v>
      </c>
      <c r="AJ257" s="53">
        <v>0</v>
      </c>
      <c r="AK257" s="53">
        <v>0</v>
      </c>
      <c r="AL257" s="53">
        <v>0</v>
      </c>
      <c r="AM257" s="53" t="str">
        <f>I257-J257-K257-L257-M257-N257-O257-P257-Q257-R257-S257-T257-U257-V257-W257-X257-Y257-Z257-AA257-AB257-AC257-AD257-AE257-AF257-AG257+AH257-AI257+AJ257+AK257-AL257</f>
        <v>0</v>
      </c>
      <c r="AN257" s="53"/>
      <c r="AO257" s="27"/>
    </row>
    <row r="258" spans="1:41">
      <c r="A258" s="44">
        <v>230</v>
      </c>
      <c r="B258" s="46" t="s">
        <v>1046</v>
      </c>
      <c r="C258" s="48" t="s">
        <v>1047</v>
      </c>
      <c r="D258" s="51" t="s">
        <v>73</v>
      </c>
      <c r="E258" s="51" t="s">
        <v>983</v>
      </c>
      <c r="F258" s="54" t="s">
        <v>1048</v>
      </c>
      <c r="G258" s="50">
        <v>2</v>
      </c>
      <c r="H258" s="51" t="s">
        <v>1049</v>
      </c>
      <c r="I258" s="53">
        <v>139000</v>
      </c>
      <c r="J258" s="53">
        <v>0</v>
      </c>
      <c r="K258" s="53">
        <v>22000</v>
      </c>
      <c r="L258" s="53">
        <v>0</v>
      </c>
      <c r="M258" s="53">
        <v>0</v>
      </c>
      <c r="N258" s="53">
        <v>0</v>
      </c>
      <c r="O258" s="53">
        <v>0</v>
      </c>
      <c r="P258" s="53">
        <v>0</v>
      </c>
      <c r="Q258" s="53">
        <v>0</v>
      </c>
      <c r="R258" s="53">
        <v>0</v>
      </c>
      <c r="S258" s="53">
        <v>0</v>
      </c>
      <c r="T258" s="53">
        <v>0</v>
      </c>
      <c r="U258" s="53">
        <v>1100</v>
      </c>
      <c r="V258" s="53">
        <v>0</v>
      </c>
      <c r="W258" s="53">
        <v>0</v>
      </c>
      <c r="X258" s="53">
        <v>0</v>
      </c>
      <c r="Y258" s="53">
        <v>0</v>
      </c>
      <c r="Z258" s="53">
        <v>0</v>
      </c>
      <c r="AA258" s="53">
        <v>0</v>
      </c>
      <c r="AB258" s="53">
        <v>0</v>
      </c>
      <c r="AC258" s="53">
        <v>0</v>
      </c>
      <c r="AD258" s="53">
        <v>0</v>
      </c>
      <c r="AE258" s="53">
        <v>0</v>
      </c>
      <c r="AF258" s="53">
        <v>0</v>
      </c>
      <c r="AG258" s="53">
        <v>0</v>
      </c>
      <c r="AH258" s="53">
        <v>0</v>
      </c>
      <c r="AI258" s="53">
        <v>0</v>
      </c>
      <c r="AJ258" s="53">
        <v>0</v>
      </c>
      <c r="AK258" s="53">
        <v>0</v>
      </c>
      <c r="AL258" s="53">
        <v>0</v>
      </c>
      <c r="AM258" s="53" t="str">
        <f>I258-J258-K258-L258-M258-N258-O258-P258-Q258-R258-S258-T258-U258-V258-W258-X258-Y258-Z258-AA258-AB258-AC258-AD258-AE258-AF258-AG258+AH258-AI258+AJ258+AK258-AL258</f>
        <v>0</v>
      </c>
      <c r="AN258" s="53"/>
      <c r="AO258" s="27"/>
    </row>
    <row r="259" spans="1:41">
      <c r="A259" s="44">
        <v>231</v>
      </c>
      <c r="B259" s="46" t="s">
        <v>1050</v>
      </c>
      <c r="C259" s="48" t="s">
        <v>1051</v>
      </c>
      <c r="D259" s="51" t="s">
        <v>73</v>
      </c>
      <c r="E259" s="51" t="s">
        <v>983</v>
      </c>
      <c r="F259" s="54" t="s">
        <v>1052</v>
      </c>
      <c r="G259" s="50">
        <v>2</v>
      </c>
      <c r="H259" s="51" t="s">
        <v>1053</v>
      </c>
      <c r="I259" s="53">
        <v>599000</v>
      </c>
      <c r="J259" s="53">
        <v>0</v>
      </c>
      <c r="K259" s="53">
        <v>22000</v>
      </c>
      <c r="L259" s="53">
        <v>0</v>
      </c>
      <c r="M259" s="53">
        <v>0</v>
      </c>
      <c r="N259" s="53">
        <v>0</v>
      </c>
      <c r="O259" s="53">
        <v>0</v>
      </c>
      <c r="P259" s="53">
        <v>0</v>
      </c>
      <c r="Q259" s="53">
        <v>0</v>
      </c>
      <c r="R259" s="53">
        <v>0</v>
      </c>
      <c r="S259" s="53">
        <v>0</v>
      </c>
      <c r="T259" s="53">
        <v>0</v>
      </c>
      <c r="U259" s="53">
        <v>1100</v>
      </c>
      <c r="V259" s="53">
        <v>0</v>
      </c>
      <c r="W259" s="53">
        <v>0</v>
      </c>
      <c r="X259" s="53">
        <v>0</v>
      </c>
      <c r="Y259" s="53">
        <v>0</v>
      </c>
      <c r="Z259" s="53">
        <v>0</v>
      </c>
      <c r="AA259" s="53">
        <v>0</v>
      </c>
      <c r="AB259" s="53">
        <v>0</v>
      </c>
      <c r="AC259" s="53">
        <v>0</v>
      </c>
      <c r="AD259" s="53">
        <v>0</v>
      </c>
      <c r="AE259" s="53">
        <v>0</v>
      </c>
      <c r="AF259" s="53">
        <v>0</v>
      </c>
      <c r="AG259" s="53">
        <v>0</v>
      </c>
      <c r="AH259" s="53">
        <v>0</v>
      </c>
      <c r="AI259" s="53">
        <v>0</v>
      </c>
      <c r="AJ259" s="53">
        <v>0</v>
      </c>
      <c r="AK259" s="53">
        <v>0</v>
      </c>
      <c r="AL259" s="53">
        <v>0</v>
      </c>
      <c r="AM259" s="53" t="str">
        <f>I259-J259-K259-L259-M259-N259-O259-P259-Q259-R259-S259-T259-U259-V259-W259-X259-Y259-Z259-AA259-AB259-AC259-AD259-AE259-AF259-AG259+AH259-AI259+AJ259+AK259-AL259</f>
        <v>0</v>
      </c>
      <c r="AN259" s="53"/>
      <c r="AO259" s="27"/>
    </row>
    <row r="260" spans="1:41">
      <c r="A260" s="44">
        <v>232</v>
      </c>
      <c r="B260" s="46" t="s">
        <v>1054</v>
      </c>
      <c r="C260" s="48" t="s">
        <v>1055</v>
      </c>
      <c r="D260" s="51" t="s">
        <v>73</v>
      </c>
      <c r="E260" s="51" t="s">
        <v>983</v>
      </c>
      <c r="F260" s="54" t="s">
        <v>1056</v>
      </c>
      <c r="G260" s="50">
        <v>2</v>
      </c>
      <c r="H260" s="51" t="s">
        <v>1057</v>
      </c>
      <c r="I260" s="53">
        <v>250000</v>
      </c>
      <c r="J260" s="53">
        <v>0</v>
      </c>
      <c r="K260" s="53">
        <v>22000</v>
      </c>
      <c r="L260" s="53">
        <v>0</v>
      </c>
      <c r="M260" s="53">
        <v>0</v>
      </c>
      <c r="N260" s="53">
        <v>0</v>
      </c>
      <c r="O260" s="53">
        <v>0</v>
      </c>
      <c r="P260" s="53">
        <v>0</v>
      </c>
      <c r="Q260" s="53">
        <v>0</v>
      </c>
      <c r="R260" s="53">
        <v>0</v>
      </c>
      <c r="S260" s="53">
        <v>0</v>
      </c>
      <c r="T260" s="53">
        <v>0</v>
      </c>
      <c r="U260" s="53">
        <v>1100</v>
      </c>
      <c r="V260" s="53">
        <v>0</v>
      </c>
      <c r="W260" s="53">
        <v>0</v>
      </c>
      <c r="X260" s="53">
        <v>0</v>
      </c>
      <c r="Y260" s="53">
        <v>0</v>
      </c>
      <c r="Z260" s="53">
        <v>0</v>
      </c>
      <c r="AA260" s="53">
        <v>0</v>
      </c>
      <c r="AB260" s="53">
        <v>0</v>
      </c>
      <c r="AC260" s="53">
        <v>0</v>
      </c>
      <c r="AD260" s="53">
        <v>0</v>
      </c>
      <c r="AE260" s="53">
        <v>0</v>
      </c>
      <c r="AF260" s="53">
        <v>0</v>
      </c>
      <c r="AG260" s="53">
        <v>0</v>
      </c>
      <c r="AH260" s="53">
        <v>0</v>
      </c>
      <c r="AI260" s="53">
        <v>0</v>
      </c>
      <c r="AJ260" s="53">
        <v>0</v>
      </c>
      <c r="AK260" s="53">
        <v>0</v>
      </c>
      <c r="AL260" s="53">
        <v>0</v>
      </c>
      <c r="AM260" s="53" t="str">
        <f>I260-J260-K260-L260-M260-N260-O260-P260-Q260-R260-S260-T260-U260-V260-W260-X260-Y260-Z260-AA260-AB260-AC260-AD260-AE260-AF260-AG260+AH260-AI260+AJ260+AK260-AL260</f>
        <v>0</v>
      </c>
      <c r="AN260" s="53"/>
      <c r="AO260" s="27"/>
    </row>
    <row r="261" spans="1:41">
      <c r="A261" s="44">
        <v>233</v>
      </c>
      <c r="B261" s="46" t="s">
        <v>1058</v>
      </c>
      <c r="C261" s="48" t="s">
        <v>1059</v>
      </c>
      <c r="D261" s="51" t="s">
        <v>73</v>
      </c>
      <c r="E261" s="51" t="s">
        <v>983</v>
      </c>
      <c r="F261" s="54" t="s">
        <v>1060</v>
      </c>
      <c r="G261" s="50">
        <v>3</v>
      </c>
      <c r="H261" s="51" t="s">
        <v>1061</v>
      </c>
      <c r="I261" s="53">
        <v>199000</v>
      </c>
      <c r="J261" s="53">
        <v>0</v>
      </c>
      <c r="K261" s="53">
        <v>22000</v>
      </c>
      <c r="L261" s="53">
        <v>0</v>
      </c>
      <c r="M261" s="53">
        <v>0</v>
      </c>
      <c r="N261" s="53">
        <v>0</v>
      </c>
      <c r="O261" s="53">
        <v>0</v>
      </c>
      <c r="P261" s="53">
        <v>0</v>
      </c>
      <c r="Q261" s="53">
        <v>0</v>
      </c>
      <c r="R261" s="53">
        <v>0</v>
      </c>
      <c r="S261" s="53">
        <v>0</v>
      </c>
      <c r="T261" s="53">
        <v>0</v>
      </c>
      <c r="U261" s="53">
        <v>1100</v>
      </c>
      <c r="V261" s="53">
        <v>0</v>
      </c>
      <c r="W261" s="53">
        <v>0</v>
      </c>
      <c r="X261" s="53">
        <v>0</v>
      </c>
      <c r="Y261" s="53">
        <v>0</v>
      </c>
      <c r="Z261" s="53">
        <v>0</v>
      </c>
      <c r="AA261" s="53">
        <v>0</v>
      </c>
      <c r="AB261" s="53">
        <v>0</v>
      </c>
      <c r="AC261" s="53">
        <v>0</v>
      </c>
      <c r="AD261" s="53">
        <v>0</v>
      </c>
      <c r="AE261" s="53">
        <v>0</v>
      </c>
      <c r="AF261" s="53">
        <v>0</v>
      </c>
      <c r="AG261" s="53">
        <v>0</v>
      </c>
      <c r="AH261" s="53">
        <v>0</v>
      </c>
      <c r="AI261" s="53">
        <v>0</v>
      </c>
      <c r="AJ261" s="53">
        <v>0</v>
      </c>
      <c r="AK261" s="53">
        <v>0</v>
      </c>
      <c r="AL261" s="53">
        <v>0</v>
      </c>
      <c r="AM261" s="53" t="str">
        <f>I261-J261-K261-L261-M261-N261-O261-P261-Q261-R261-S261-T261-U261-V261-W261-X261-Y261-Z261-AA261-AB261-AC261-AD261-AE261-AF261-AG261+AH261-AI261+AJ261+AK261-AL261</f>
        <v>0</v>
      </c>
      <c r="AN261" s="53"/>
      <c r="AO261" s="27"/>
    </row>
    <row r="262" spans="1:41">
      <c r="A262" s="44">
        <v>234</v>
      </c>
      <c r="B262" s="46" t="s">
        <v>1062</v>
      </c>
      <c r="C262" s="48" t="s">
        <v>1063</v>
      </c>
      <c r="D262" s="51" t="s">
        <v>73</v>
      </c>
      <c r="E262" s="51" t="s">
        <v>983</v>
      </c>
      <c r="F262" s="54" t="s">
        <v>1064</v>
      </c>
      <c r="G262" s="50">
        <v>3</v>
      </c>
      <c r="H262" s="51" t="s">
        <v>1065</v>
      </c>
      <c r="I262" s="53">
        <v>285000</v>
      </c>
      <c r="J262" s="53">
        <v>0</v>
      </c>
      <c r="K262" s="53">
        <v>22000</v>
      </c>
      <c r="L262" s="53">
        <v>0</v>
      </c>
      <c r="M262" s="53">
        <v>0</v>
      </c>
      <c r="N262" s="53">
        <v>0</v>
      </c>
      <c r="O262" s="53">
        <v>0</v>
      </c>
      <c r="P262" s="53">
        <v>0</v>
      </c>
      <c r="Q262" s="53">
        <v>0</v>
      </c>
      <c r="R262" s="53">
        <v>0</v>
      </c>
      <c r="S262" s="53">
        <v>0</v>
      </c>
      <c r="T262" s="53">
        <v>0</v>
      </c>
      <c r="U262" s="53">
        <v>1100</v>
      </c>
      <c r="V262" s="53">
        <v>0</v>
      </c>
      <c r="W262" s="53">
        <v>0</v>
      </c>
      <c r="X262" s="53">
        <v>0</v>
      </c>
      <c r="Y262" s="53">
        <v>0</v>
      </c>
      <c r="Z262" s="53">
        <v>0</v>
      </c>
      <c r="AA262" s="53">
        <v>0</v>
      </c>
      <c r="AB262" s="53">
        <v>0</v>
      </c>
      <c r="AC262" s="53">
        <v>0</v>
      </c>
      <c r="AD262" s="53">
        <v>0</v>
      </c>
      <c r="AE262" s="53">
        <v>0</v>
      </c>
      <c r="AF262" s="53">
        <v>0</v>
      </c>
      <c r="AG262" s="53">
        <v>0</v>
      </c>
      <c r="AH262" s="53">
        <v>0</v>
      </c>
      <c r="AI262" s="53">
        <v>0</v>
      </c>
      <c r="AJ262" s="53">
        <v>0</v>
      </c>
      <c r="AK262" s="53">
        <v>0</v>
      </c>
      <c r="AL262" s="53">
        <v>0</v>
      </c>
      <c r="AM262" s="53" t="str">
        <f>I262-J262-K262-L262-M262-N262-O262-P262-Q262-R262-S262-T262-U262-V262-W262-X262-Y262-Z262-AA262-AB262-AC262-AD262-AE262-AF262-AG262+AH262-AI262+AJ262+AK262-AL262</f>
        <v>0</v>
      </c>
      <c r="AN262" s="53"/>
      <c r="AO262" s="27"/>
    </row>
    <row r="263" spans="1:41">
      <c r="A263" s="44">
        <v>235</v>
      </c>
      <c r="B263" s="46" t="s">
        <v>1066</v>
      </c>
      <c r="C263" s="48" t="s">
        <v>1067</v>
      </c>
      <c r="D263" s="51" t="s">
        <v>73</v>
      </c>
      <c r="E263" s="51" t="s">
        <v>1068</v>
      </c>
      <c r="F263" s="54" t="s">
        <v>751</v>
      </c>
      <c r="G263" s="50">
        <v>5</v>
      </c>
      <c r="H263" s="51" t="s">
        <v>1069</v>
      </c>
      <c r="I263" s="53">
        <v>990000</v>
      </c>
      <c r="J263" s="53">
        <v>0</v>
      </c>
      <c r="K263" s="53">
        <v>27000</v>
      </c>
      <c r="L263" s="53">
        <v>0</v>
      </c>
      <c r="M263" s="53">
        <v>0</v>
      </c>
      <c r="N263" s="53">
        <v>0</v>
      </c>
      <c r="O263" s="53">
        <v>0</v>
      </c>
      <c r="P263" s="53">
        <v>0</v>
      </c>
      <c r="Q263" s="53">
        <v>0</v>
      </c>
      <c r="R263" s="53">
        <v>0</v>
      </c>
      <c r="S263" s="53">
        <v>0</v>
      </c>
      <c r="T263" s="53">
        <v>0</v>
      </c>
      <c r="U263" s="53">
        <v>1350</v>
      </c>
      <c r="V263" s="53">
        <v>0</v>
      </c>
      <c r="W263" s="53">
        <v>0</v>
      </c>
      <c r="X263" s="53">
        <v>0</v>
      </c>
      <c r="Y263" s="53">
        <v>0</v>
      </c>
      <c r="Z263" s="53">
        <v>0</v>
      </c>
      <c r="AA263" s="53">
        <v>0</v>
      </c>
      <c r="AB263" s="53">
        <v>0</v>
      </c>
      <c r="AC263" s="53">
        <v>0</v>
      </c>
      <c r="AD263" s="53">
        <v>0</v>
      </c>
      <c r="AE263" s="53">
        <v>0</v>
      </c>
      <c r="AF263" s="53">
        <v>0</v>
      </c>
      <c r="AG263" s="53">
        <v>0</v>
      </c>
      <c r="AH263" s="53">
        <v>0</v>
      </c>
      <c r="AI263" s="53">
        <v>0</v>
      </c>
      <c r="AJ263" s="53">
        <v>0</v>
      </c>
      <c r="AK263" s="53">
        <v>0</v>
      </c>
      <c r="AL263" s="53">
        <v>0</v>
      </c>
      <c r="AM263" s="53" t="str">
        <f>I263-J263-K263-L263-M263-N263-O263-P263-Q263-R263-S263-T263-U263-V263-W263-X263-Y263-Z263-AA263-AB263-AC263-AD263-AE263-AF263-AG263+AH263-AI263+AJ263+AK263-AL263</f>
        <v>0</v>
      </c>
      <c r="AN263" s="53"/>
      <c r="AO263" s="27"/>
    </row>
    <row r="264" spans="1:41">
      <c r="A264" s="44">
        <v>236</v>
      </c>
      <c r="B264" s="46" t="s">
        <v>1070</v>
      </c>
      <c r="C264" s="48" t="s">
        <v>1071</v>
      </c>
      <c r="D264" s="51" t="s">
        <v>73</v>
      </c>
      <c r="E264" s="51" t="s">
        <v>1068</v>
      </c>
      <c r="F264" s="54" t="s">
        <v>1072</v>
      </c>
      <c r="G264" s="50">
        <v>3</v>
      </c>
      <c r="H264" s="51" t="s">
        <v>1073</v>
      </c>
      <c r="I264" s="53">
        <v>332100</v>
      </c>
      <c r="J264" s="53">
        <v>0</v>
      </c>
      <c r="K264" s="53">
        <v>22000</v>
      </c>
      <c r="L264" s="53">
        <v>0</v>
      </c>
      <c r="M264" s="53">
        <v>0</v>
      </c>
      <c r="N264" s="53">
        <v>0</v>
      </c>
      <c r="O264" s="53">
        <v>0</v>
      </c>
      <c r="P264" s="53">
        <v>0</v>
      </c>
      <c r="Q264" s="53">
        <v>0</v>
      </c>
      <c r="R264" s="53">
        <v>0</v>
      </c>
      <c r="S264" s="53">
        <v>0</v>
      </c>
      <c r="T264" s="53">
        <v>0</v>
      </c>
      <c r="U264" s="53">
        <v>1100</v>
      </c>
      <c r="V264" s="53">
        <v>0</v>
      </c>
      <c r="W264" s="53">
        <v>0</v>
      </c>
      <c r="X264" s="53">
        <v>0</v>
      </c>
      <c r="Y264" s="53">
        <v>0</v>
      </c>
      <c r="Z264" s="53">
        <v>0</v>
      </c>
      <c r="AA264" s="53">
        <v>0</v>
      </c>
      <c r="AB264" s="53">
        <v>0</v>
      </c>
      <c r="AC264" s="53">
        <v>0</v>
      </c>
      <c r="AD264" s="53">
        <v>0</v>
      </c>
      <c r="AE264" s="53">
        <v>0</v>
      </c>
      <c r="AF264" s="53">
        <v>0</v>
      </c>
      <c r="AG264" s="53">
        <v>0</v>
      </c>
      <c r="AH264" s="53">
        <v>0</v>
      </c>
      <c r="AI264" s="53">
        <v>0</v>
      </c>
      <c r="AJ264" s="53">
        <v>0</v>
      </c>
      <c r="AK264" s="53">
        <v>0</v>
      </c>
      <c r="AL264" s="53">
        <v>0</v>
      </c>
      <c r="AM264" s="53" t="str">
        <f>I264-J264-K264-L264-M264-N264-O264-P264-Q264-R264-S264-T264-U264-V264-W264-X264-Y264-Z264-AA264-AB264-AC264-AD264-AE264-AF264-AG264+AH264-AI264+AJ264+AK264-AL264</f>
        <v>0</v>
      </c>
      <c r="AN264" s="53"/>
      <c r="AO264" s="27"/>
    </row>
    <row r="265" spans="1:41">
      <c r="A265" s="44">
        <v>237</v>
      </c>
      <c r="B265" s="46" t="s">
        <v>1074</v>
      </c>
      <c r="C265" s="48" t="s">
        <v>1075</v>
      </c>
      <c r="D265" s="51" t="s">
        <v>73</v>
      </c>
      <c r="E265" s="51" t="s">
        <v>1068</v>
      </c>
      <c r="F265" s="54" t="s">
        <v>927</v>
      </c>
      <c r="G265" s="50">
        <v>3</v>
      </c>
      <c r="H265" s="51" t="s">
        <v>1076</v>
      </c>
      <c r="I265" s="53">
        <v>535000</v>
      </c>
      <c r="J265" s="53">
        <v>0</v>
      </c>
      <c r="K265" s="53">
        <v>22000</v>
      </c>
      <c r="L265" s="53">
        <v>0</v>
      </c>
      <c r="M265" s="53">
        <v>0</v>
      </c>
      <c r="N265" s="53">
        <v>0</v>
      </c>
      <c r="O265" s="53">
        <v>0</v>
      </c>
      <c r="P265" s="53">
        <v>0</v>
      </c>
      <c r="Q265" s="53">
        <v>0</v>
      </c>
      <c r="R265" s="53">
        <v>0</v>
      </c>
      <c r="S265" s="53">
        <v>0</v>
      </c>
      <c r="T265" s="53">
        <v>0</v>
      </c>
      <c r="U265" s="53">
        <v>1100</v>
      </c>
      <c r="V265" s="53">
        <v>0</v>
      </c>
      <c r="W265" s="53">
        <v>0</v>
      </c>
      <c r="X265" s="53">
        <v>0</v>
      </c>
      <c r="Y265" s="53">
        <v>0</v>
      </c>
      <c r="Z265" s="53">
        <v>0</v>
      </c>
      <c r="AA265" s="53">
        <v>0</v>
      </c>
      <c r="AB265" s="53">
        <v>0</v>
      </c>
      <c r="AC265" s="53">
        <v>0</v>
      </c>
      <c r="AD265" s="53">
        <v>0</v>
      </c>
      <c r="AE265" s="53">
        <v>0</v>
      </c>
      <c r="AF265" s="53">
        <v>0</v>
      </c>
      <c r="AG265" s="53">
        <v>0</v>
      </c>
      <c r="AH265" s="53">
        <v>0</v>
      </c>
      <c r="AI265" s="53">
        <v>0</v>
      </c>
      <c r="AJ265" s="53">
        <v>0</v>
      </c>
      <c r="AK265" s="53">
        <v>0</v>
      </c>
      <c r="AL265" s="53">
        <v>0</v>
      </c>
      <c r="AM265" s="53" t="str">
        <f>I265-J265-K265-L265-M265-N265-O265-P265-Q265-R265-S265-T265-U265-V265-W265-X265-Y265-Z265-AA265-AB265-AC265-AD265-AE265-AF265-AG265+AH265-AI265+AJ265+AK265-AL265</f>
        <v>0</v>
      </c>
      <c r="AN265" s="53"/>
      <c r="AO265" s="27"/>
    </row>
    <row r="266" spans="1:41">
      <c r="A266" s="44">
        <v>238</v>
      </c>
      <c r="B266" s="46" t="s">
        <v>1077</v>
      </c>
      <c r="C266" s="48" t="s">
        <v>1078</v>
      </c>
      <c r="D266" s="51" t="s">
        <v>73</v>
      </c>
      <c r="E266" s="51" t="s">
        <v>1079</v>
      </c>
      <c r="F266" s="54" t="s">
        <v>1080</v>
      </c>
      <c r="G266" s="50">
        <v>2</v>
      </c>
      <c r="H266" s="51" t="s">
        <v>1081</v>
      </c>
      <c r="I266" s="53">
        <v>269100</v>
      </c>
      <c r="J266" s="53">
        <v>0</v>
      </c>
      <c r="K266" s="53">
        <v>22000</v>
      </c>
      <c r="L266" s="53">
        <v>0</v>
      </c>
      <c r="M266" s="53">
        <v>0</v>
      </c>
      <c r="N266" s="53">
        <v>0</v>
      </c>
      <c r="O266" s="53">
        <v>0</v>
      </c>
      <c r="P266" s="53">
        <v>0</v>
      </c>
      <c r="Q266" s="53">
        <v>0</v>
      </c>
      <c r="R266" s="53">
        <v>0</v>
      </c>
      <c r="S266" s="53">
        <v>0</v>
      </c>
      <c r="T266" s="53">
        <v>0</v>
      </c>
      <c r="U266" s="53">
        <v>1100</v>
      </c>
      <c r="V266" s="53">
        <v>0</v>
      </c>
      <c r="W266" s="53">
        <v>0</v>
      </c>
      <c r="X266" s="53">
        <v>0</v>
      </c>
      <c r="Y266" s="53">
        <v>0</v>
      </c>
      <c r="Z266" s="53">
        <v>0</v>
      </c>
      <c r="AA266" s="53">
        <v>0</v>
      </c>
      <c r="AB266" s="53">
        <v>0</v>
      </c>
      <c r="AC266" s="53">
        <v>0</v>
      </c>
      <c r="AD266" s="53">
        <v>0</v>
      </c>
      <c r="AE266" s="53">
        <v>0</v>
      </c>
      <c r="AF266" s="53">
        <v>0</v>
      </c>
      <c r="AG266" s="53">
        <v>0</v>
      </c>
      <c r="AH266" s="53">
        <v>0</v>
      </c>
      <c r="AI266" s="53">
        <v>0</v>
      </c>
      <c r="AJ266" s="53">
        <v>0</v>
      </c>
      <c r="AK266" s="53">
        <v>0</v>
      </c>
      <c r="AL266" s="53">
        <v>0</v>
      </c>
      <c r="AM266" s="53" t="str">
        <f>I266-J266-K266-L266-M266-N266-O266-P266-Q266-R266-S266-T266-U266-V266-W266-X266-Y266-Z266-AA266-AB266-AC266-AD266-AE266-AF266-AG266+AH266-AI266+AJ266+AK266-AL266</f>
        <v>0</v>
      </c>
      <c r="AN266" s="53"/>
      <c r="AO266" s="27"/>
    </row>
    <row r="267" spans="1:41">
      <c r="A267" s="44">
        <v>239</v>
      </c>
      <c r="B267" s="46" t="s">
        <v>1082</v>
      </c>
      <c r="C267" s="48" t="s">
        <v>1083</v>
      </c>
      <c r="D267" s="51" t="s">
        <v>62</v>
      </c>
      <c r="E267" s="51" t="s">
        <v>1079</v>
      </c>
      <c r="F267" s="54" t="s">
        <v>1084</v>
      </c>
      <c r="G267" s="50">
        <v>6</v>
      </c>
      <c r="H267" s="51" t="s">
        <v>1085</v>
      </c>
      <c r="I267" s="53">
        <v>0</v>
      </c>
      <c r="J267" s="53">
        <v>0</v>
      </c>
      <c r="K267" s="53">
        <v>31000</v>
      </c>
      <c r="L267" s="53">
        <v>0</v>
      </c>
      <c r="M267" s="53">
        <v>0</v>
      </c>
      <c r="N267" s="53">
        <v>0</v>
      </c>
      <c r="O267" s="53">
        <v>0</v>
      </c>
      <c r="P267" s="53">
        <v>0</v>
      </c>
      <c r="Q267" s="53">
        <v>0</v>
      </c>
      <c r="R267" s="53">
        <v>0</v>
      </c>
      <c r="S267" s="53">
        <v>0</v>
      </c>
      <c r="T267" s="53">
        <v>0</v>
      </c>
      <c r="U267" s="53">
        <v>1550</v>
      </c>
      <c r="V267" s="53">
        <v>0</v>
      </c>
      <c r="W267" s="53">
        <v>0</v>
      </c>
      <c r="X267" s="53">
        <v>0</v>
      </c>
      <c r="Y267" s="53">
        <v>16275</v>
      </c>
      <c r="Z267" s="53">
        <v>0</v>
      </c>
      <c r="AA267" s="53">
        <v>0</v>
      </c>
      <c r="AB267" s="53">
        <v>0</v>
      </c>
      <c r="AC267" s="53">
        <v>0</v>
      </c>
      <c r="AD267" s="53">
        <v>0</v>
      </c>
      <c r="AE267" s="53">
        <v>0</v>
      </c>
      <c r="AF267" s="53">
        <v>0</v>
      </c>
      <c r="AG267" s="53">
        <v>0</v>
      </c>
      <c r="AH267" s="53">
        <v>0</v>
      </c>
      <c r="AI267" s="53">
        <v>0</v>
      </c>
      <c r="AJ267" s="53">
        <v>0</v>
      </c>
      <c r="AK267" s="53">
        <v>0</v>
      </c>
      <c r="AL267" s="53">
        <v>0</v>
      </c>
      <c r="AM267" s="53" t="str">
        <f>I267-J267-K267-L267-M267-N267-O267-P267-Q267-R267-S267-T267-U267-V267-W267-X267-Y267-Z267-AA267-AB267-AC267-AD267-AE267-AF267-AG267+AH267-AI267+AJ267+AK267-AL267</f>
        <v>0</v>
      </c>
      <c r="AN267" s="53"/>
      <c r="AO267" s="27"/>
    </row>
    <row r="268" spans="1:41">
      <c r="A268" s="44">
        <v>240</v>
      </c>
      <c r="B268" s="46" t="s">
        <v>1086</v>
      </c>
      <c r="C268" s="48" t="s">
        <v>1087</v>
      </c>
      <c r="D268" s="51" t="s">
        <v>73</v>
      </c>
      <c r="E268" s="51" t="s">
        <v>1088</v>
      </c>
      <c r="F268" s="54" t="s">
        <v>1089</v>
      </c>
      <c r="G268" s="50">
        <v>2</v>
      </c>
      <c r="H268" s="51" t="s">
        <v>1090</v>
      </c>
      <c r="I268" s="53">
        <v>134100</v>
      </c>
      <c r="J268" s="53">
        <v>0</v>
      </c>
      <c r="K268" s="53">
        <v>22000</v>
      </c>
      <c r="L268" s="53">
        <v>0</v>
      </c>
      <c r="M268" s="53">
        <v>0</v>
      </c>
      <c r="N268" s="53">
        <v>0</v>
      </c>
      <c r="O268" s="53">
        <v>0</v>
      </c>
      <c r="P268" s="53">
        <v>0</v>
      </c>
      <c r="Q268" s="53">
        <v>0</v>
      </c>
      <c r="R268" s="53">
        <v>0</v>
      </c>
      <c r="S268" s="53">
        <v>0</v>
      </c>
      <c r="T268" s="53">
        <v>0</v>
      </c>
      <c r="U268" s="53">
        <v>1100</v>
      </c>
      <c r="V268" s="53">
        <v>0</v>
      </c>
      <c r="W268" s="53">
        <v>0</v>
      </c>
      <c r="X268" s="53">
        <v>0</v>
      </c>
      <c r="Y268" s="53">
        <v>0</v>
      </c>
      <c r="Z268" s="53">
        <v>0</v>
      </c>
      <c r="AA268" s="53">
        <v>0</v>
      </c>
      <c r="AB268" s="53">
        <v>0</v>
      </c>
      <c r="AC268" s="53">
        <v>0</v>
      </c>
      <c r="AD268" s="53">
        <v>0</v>
      </c>
      <c r="AE268" s="53">
        <v>0</v>
      </c>
      <c r="AF268" s="53">
        <v>0</v>
      </c>
      <c r="AG268" s="53">
        <v>0</v>
      </c>
      <c r="AH268" s="53">
        <v>0</v>
      </c>
      <c r="AI268" s="53">
        <v>0</v>
      </c>
      <c r="AJ268" s="53">
        <v>0</v>
      </c>
      <c r="AK268" s="53">
        <v>0</v>
      </c>
      <c r="AL268" s="53">
        <v>0</v>
      </c>
      <c r="AM268" s="53" t="str">
        <f>I268-J268-K268-L268-M268-N268-O268-P268-Q268-R268-S268-T268-U268-V268-W268-X268-Y268-Z268-AA268-AB268-AC268-AD268-AE268-AF268-AG268+AH268-AI268+AJ268+AK268-AL268</f>
        <v>0</v>
      </c>
      <c r="AN268" s="53"/>
      <c r="AO268" s="27"/>
    </row>
    <row r="269" spans="1:41">
      <c r="A269" s="44">
        <v>241</v>
      </c>
      <c r="B269" s="46" t="s">
        <v>1091</v>
      </c>
      <c r="C269" s="48" t="s">
        <v>1092</v>
      </c>
      <c r="D269" s="51" t="s">
        <v>73</v>
      </c>
      <c r="E269" s="51" t="s">
        <v>1088</v>
      </c>
      <c r="F269" s="54" t="s">
        <v>1093</v>
      </c>
      <c r="G269" s="50">
        <v>2</v>
      </c>
      <c r="H269" s="51" t="s">
        <v>1094</v>
      </c>
      <c r="I269" s="53">
        <v>134100</v>
      </c>
      <c r="J269" s="53">
        <v>0</v>
      </c>
      <c r="K269" s="53">
        <v>22000</v>
      </c>
      <c r="L269" s="53">
        <v>0</v>
      </c>
      <c r="M269" s="53">
        <v>0</v>
      </c>
      <c r="N269" s="53">
        <v>0</v>
      </c>
      <c r="O269" s="53">
        <v>0</v>
      </c>
      <c r="P269" s="53">
        <v>0</v>
      </c>
      <c r="Q269" s="53">
        <v>0</v>
      </c>
      <c r="R269" s="53">
        <v>0</v>
      </c>
      <c r="S269" s="53">
        <v>0</v>
      </c>
      <c r="T269" s="53">
        <v>0</v>
      </c>
      <c r="U269" s="53">
        <v>1100</v>
      </c>
      <c r="V269" s="53">
        <v>0</v>
      </c>
      <c r="W269" s="53">
        <v>0</v>
      </c>
      <c r="X269" s="53">
        <v>0</v>
      </c>
      <c r="Y269" s="53">
        <v>0</v>
      </c>
      <c r="Z269" s="53">
        <v>0</v>
      </c>
      <c r="AA269" s="53">
        <v>0</v>
      </c>
      <c r="AB269" s="53">
        <v>0</v>
      </c>
      <c r="AC269" s="53">
        <v>0</v>
      </c>
      <c r="AD269" s="53">
        <v>0</v>
      </c>
      <c r="AE269" s="53">
        <v>0</v>
      </c>
      <c r="AF269" s="53">
        <v>0</v>
      </c>
      <c r="AG269" s="53">
        <v>0</v>
      </c>
      <c r="AH269" s="53">
        <v>0</v>
      </c>
      <c r="AI269" s="53">
        <v>0</v>
      </c>
      <c r="AJ269" s="53">
        <v>0</v>
      </c>
      <c r="AK269" s="53">
        <v>0</v>
      </c>
      <c r="AL269" s="53">
        <v>0</v>
      </c>
      <c r="AM269" s="53" t="str">
        <f>I269-J269-K269-L269-M269-N269-O269-P269-Q269-R269-S269-T269-U269-V269-W269-X269-Y269-Z269-AA269-AB269-AC269-AD269-AE269-AF269-AG269+AH269-AI269+AJ269+AK269-AL269</f>
        <v>0</v>
      </c>
      <c r="AN269" s="53"/>
      <c r="AO269" s="27"/>
    </row>
    <row r="270" spans="1:41">
      <c r="A270" s="44">
        <v>242</v>
      </c>
      <c r="B270" s="46" t="s">
        <v>1095</v>
      </c>
      <c r="C270" s="48" t="s">
        <v>1096</v>
      </c>
      <c r="D270" s="51" t="s">
        <v>73</v>
      </c>
      <c r="E270" s="51" t="s">
        <v>1088</v>
      </c>
      <c r="F270" s="54" t="s">
        <v>1097</v>
      </c>
      <c r="G270" s="50">
        <v>2</v>
      </c>
      <c r="H270" s="51" t="s">
        <v>1098</v>
      </c>
      <c r="I270" s="53">
        <v>269100</v>
      </c>
      <c r="J270" s="53">
        <v>0</v>
      </c>
      <c r="K270" s="53">
        <v>22000</v>
      </c>
      <c r="L270" s="53">
        <v>0</v>
      </c>
      <c r="M270" s="53">
        <v>0</v>
      </c>
      <c r="N270" s="53">
        <v>0</v>
      </c>
      <c r="O270" s="53">
        <v>0</v>
      </c>
      <c r="P270" s="53">
        <v>0</v>
      </c>
      <c r="Q270" s="53">
        <v>0</v>
      </c>
      <c r="R270" s="53">
        <v>0</v>
      </c>
      <c r="S270" s="53">
        <v>0</v>
      </c>
      <c r="T270" s="53">
        <v>0</v>
      </c>
      <c r="U270" s="53">
        <v>1100</v>
      </c>
      <c r="V270" s="53">
        <v>0</v>
      </c>
      <c r="W270" s="53">
        <v>0</v>
      </c>
      <c r="X270" s="53">
        <v>0</v>
      </c>
      <c r="Y270" s="53">
        <v>0</v>
      </c>
      <c r="Z270" s="53">
        <v>0</v>
      </c>
      <c r="AA270" s="53">
        <v>0</v>
      </c>
      <c r="AB270" s="53">
        <v>0</v>
      </c>
      <c r="AC270" s="53">
        <v>0</v>
      </c>
      <c r="AD270" s="53">
        <v>0</v>
      </c>
      <c r="AE270" s="53">
        <v>0</v>
      </c>
      <c r="AF270" s="53">
        <v>0</v>
      </c>
      <c r="AG270" s="53">
        <v>0</v>
      </c>
      <c r="AH270" s="53">
        <v>0</v>
      </c>
      <c r="AI270" s="53">
        <v>0</v>
      </c>
      <c r="AJ270" s="53">
        <v>0</v>
      </c>
      <c r="AK270" s="53">
        <v>0</v>
      </c>
      <c r="AL270" s="53">
        <v>0</v>
      </c>
      <c r="AM270" s="53" t="str">
        <f>I270-J270-K270-L270-M270-N270-O270-P270-Q270-R270-S270-T270-U270-V270-W270-X270-Y270-Z270-AA270-AB270-AC270-AD270-AE270-AF270-AG270+AH270-AI270+AJ270+AK270-AL270</f>
        <v>0</v>
      </c>
      <c r="AN270" s="53"/>
      <c r="AO270" s="27"/>
    </row>
    <row r="271" spans="1:41">
      <c r="A271" s="44">
        <v>243</v>
      </c>
      <c r="B271" s="46" t="s">
        <v>1099</v>
      </c>
      <c r="C271" s="48" t="s">
        <v>1100</v>
      </c>
      <c r="D271" s="51" t="s">
        <v>73</v>
      </c>
      <c r="E271" s="51" t="s">
        <v>1101</v>
      </c>
      <c r="F271" s="54" t="s">
        <v>1102</v>
      </c>
      <c r="G271" s="50">
        <v>5</v>
      </c>
      <c r="H271" s="51" t="s">
        <v>1103</v>
      </c>
      <c r="I271" s="53">
        <v>1039000</v>
      </c>
      <c r="J271" s="53">
        <v>0</v>
      </c>
      <c r="K271" s="53">
        <v>27000</v>
      </c>
      <c r="L271" s="53">
        <v>0</v>
      </c>
      <c r="M271" s="53">
        <v>0</v>
      </c>
      <c r="N271" s="53">
        <v>0</v>
      </c>
      <c r="O271" s="53">
        <v>0</v>
      </c>
      <c r="P271" s="53">
        <v>0</v>
      </c>
      <c r="Q271" s="53">
        <v>0</v>
      </c>
      <c r="R271" s="53">
        <v>0</v>
      </c>
      <c r="S271" s="53">
        <v>0</v>
      </c>
      <c r="T271" s="53">
        <v>0</v>
      </c>
      <c r="U271" s="53">
        <v>1350</v>
      </c>
      <c r="V271" s="53">
        <v>0</v>
      </c>
      <c r="W271" s="53">
        <v>0</v>
      </c>
      <c r="X271" s="53">
        <v>0</v>
      </c>
      <c r="Y271" s="53">
        <v>0</v>
      </c>
      <c r="Z271" s="53">
        <v>0</v>
      </c>
      <c r="AA271" s="53">
        <v>0</v>
      </c>
      <c r="AB271" s="53">
        <v>0</v>
      </c>
      <c r="AC271" s="53">
        <v>0</v>
      </c>
      <c r="AD271" s="53">
        <v>0</v>
      </c>
      <c r="AE271" s="53">
        <v>0</v>
      </c>
      <c r="AF271" s="53">
        <v>0</v>
      </c>
      <c r="AG271" s="53">
        <v>0</v>
      </c>
      <c r="AH271" s="53">
        <v>0</v>
      </c>
      <c r="AI271" s="53">
        <v>0</v>
      </c>
      <c r="AJ271" s="53">
        <v>0</v>
      </c>
      <c r="AK271" s="53">
        <v>0</v>
      </c>
      <c r="AL271" s="53">
        <v>0</v>
      </c>
      <c r="AM271" s="53" t="str">
        <f>I271-J271-K271-L271-M271-N271-O271-P271-Q271-R271-S271-T271-U271-V271-W271-X271-Y271-Z271-AA271-AB271-AC271-AD271-AE271-AF271-AG271+AH271-AI271+AJ271+AK271-AL271</f>
        <v>0</v>
      </c>
      <c r="AN271" s="53"/>
      <c r="AO271" s="27"/>
    </row>
    <row r="272" spans="1:41">
      <c r="A272" s="44">
        <v>244</v>
      </c>
      <c r="B272" s="46" t="s">
        <v>1104</v>
      </c>
      <c r="C272" s="48" t="s">
        <v>1105</v>
      </c>
      <c r="D272" s="51" t="s">
        <v>73</v>
      </c>
      <c r="E272" s="51" t="s">
        <v>1101</v>
      </c>
      <c r="F272" s="54" t="s">
        <v>1106</v>
      </c>
      <c r="G272" s="50">
        <v>2</v>
      </c>
      <c r="H272" s="51" t="s">
        <v>1107</v>
      </c>
      <c r="I272" s="53">
        <v>149000</v>
      </c>
      <c r="J272" s="53">
        <v>0</v>
      </c>
      <c r="K272" s="53">
        <v>22000</v>
      </c>
      <c r="L272" s="53">
        <v>0</v>
      </c>
      <c r="M272" s="53">
        <v>0</v>
      </c>
      <c r="N272" s="53">
        <v>0</v>
      </c>
      <c r="O272" s="53">
        <v>0</v>
      </c>
      <c r="P272" s="53">
        <v>0</v>
      </c>
      <c r="Q272" s="53">
        <v>0</v>
      </c>
      <c r="R272" s="53">
        <v>0</v>
      </c>
      <c r="S272" s="53">
        <v>0</v>
      </c>
      <c r="T272" s="53">
        <v>0</v>
      </c>
      <c r="U272" s="53">
        <v>1100</v>
      </c>
      <c r="V272" s="53">
        <v>0</v>
      </c>
      <c r="W272" s="53">
        <v>0</v>
      </c>
      <c r="X272" s="53">
        <v>0</v>
      </c>
      <c r="Y272" s="53">
        <v>0</v>
      </c>
      <c r="Z272" s="53">
        <v>0</v>
      </c>
      <c r="AA272" s="53">
        <v>0</v>
      </c>
      <c r="AB272" s="53">
        <v>0</v>
      </c>
      <c r="AC272" s="53">
        <v>0</v>
      </c>
      <c r="AD272" s="53">
        <v>0</v>
      </c>
      <c r="AE272" s="53">
        <v>0</v>
      </c>
      <c r="AF272" s="53">
        <v>0</v>
      </c>
      <c r="AG272" s="53">
        <v>0</v>
      </c>
      <c r="AH272" s="53">
        <v>0</v>
      </c>
      <c r="AI272" s="53">
        <v>0</v>
      </c>
      <c r="AJ272" s="53">
        <v>0</v>
      </c>
      <c r="AK272" s="53">
        <v>0</v>
      </c>
      <c r="AL272" s="53">
        <v>0</v>
      </c>
      <c r="AM272" s="53" t="str">
        <f>I272-J272-K272-L272-M272-N272-O272-P272-Q272-R272-S272-T272-U272-V272-W272-X272-Y272-Z272-AA272-AB272-AC272-AD272-AE272-AF272-AG272+AH272-AI272+AJ272+AK272-AL272</f>
        <v>0</v>
      </c>
      <c r="AN272" s="53"/>
      <c r="AO272" s="27"/>
    </row>
    <row r="273" spans="1:41">
      <c r="A273" s="44">
        <v>245</v>
      </c>
      <c r="B273" s="46" t="s">
        <v>1108</v>
      </c>
      <c r="C273" s="48" t="s">
        <v>1109</v>
      </c>
      <c r="D273" s="51" t="s">
        <v>73</v>
      </c>
      <c r="E273" s="51" t="s">
        <v>1101</v>
      </c>
      <c r="F273" s="54" t="s">
        <v>1110</v>
      </c>
      <c r="G273" s="50">
        <v>2</v>
      </c>
      <c r="H273" s="51" t="s">
        <v>1111</v>
      </c>
      <c r="I273" s="53">
        <v>359100</v>
      </c>
      <c r="J273" s="53">
        <v>0</v>
      </c>
      <c r="K273" s="53">
        <v>22000</v>
      </c>
      <c r="L273" s="53">
        <v>0</v>
      </c>
      <c r="M273" s="53">
        <v>0</v>
      </c>
      <c r="N273" s="53">
        <v>0</v>
      </c>
      <c r="O273" s="53">
        <v>0</v>
      </c>
      <c r="P273" s="53">
        <v>0</v>
      </c>
      <c r="Q273" s="53">
        <v>0</v>
      </c>
      <c r="R273" s="53">
        <v>0</v>
      </c>
      <c r="S273" s="53">
        <v>0</v>
      </c>
      <c r="T273" s="53">
        <v>0</v>
      </c>
      <c r="U273" s="53">
        <v>1100</v>
      </c>
      <c r="V273" s="53">
        <v>0</v>
      </c>
      <c r="W273" s="53">
        <v>0</v>
      </c>
      <c r="X273" s="53">
        <v>0</v>
      </c>
      <c r="Y273" s="53">
        <v>0</v>
      </c>
      <c r="Z273" s="53">
        <v>0</v>
      </c>
      <c r="AA273" s="53">
        <v>0</v>
      </c>
      <c r="AB273" s="53">
        <v>0</v>
      </c>
      <c r="AC273" s="53">
        <v>0</v>
      </c>
      <c r="AD273" s="53">
        <v>0</v>
      </c>
      <c r="AE273" s="53">
        <v>0</v>
      </c>
      <c r="AF273" s="53">
        <v>0</v>
      </c>
      <c r="AG273" s="53">
        <v>0</v>
      </c>
      <c r="AH273" s="53">
        <v>0</v>
      </c>
      <c r="AI273" s="53">
        <v>0</v>
      </c>
      <c r="AJ273" s="53">
        <v>0</v>
      </c>
      <c r="AK273" s="53">
        <v>0</v>
      </c>
      <c r="AL273" s="53">
        <v>0</v>
      </c>
      <c r="AM273" s="53" t="str">
        <f>I273-J273-K273-L273-M273-N273-O273-P273-Q273-R273-S273-T273-U273-V273-W273-X273-Y273-Z273-AA273-AB273-AC273-AD273-AE273-AF273-AG273+AH273-AI273+AJ273+AK273-AL273</f>
        <v>0</v>
      </c>
      <c r="AN273" s="53"/>
      <c r="AO273" s="27"/>
    </row>
    <row r="274" spans="1:41">
      <c r="A274" s="44">
        <v>246</v>
      </c>
      <c r="B274" s="46" t="s">
        <v>1112</v>
      </c>
      <c r="C274" s="48" t="s">
        <v>1113</v>
      </c>
      <c r="D274" s="51" t="s">
        <v>73</v>
      </c>
      <c r="E274" s="51" t="s">
        <v>1101</v>
      </c>
      <c r="F274" s="54" t="s">
        <v>1114</v>
      </c>
      <c r="G274" s="50">
        <v>3</v>
      </c>
      <c r="H274" s="51" t="s">
        <v>1115</v>
      </c>
      <c r="I274" s="53">
        <v>699000</v>
      </c>
      <c r="J274" s="53">
        <v>0</v>
      </c>
      <c r="K274" s="53">
        <v>22000</v>
      </c>
      <c r="L274" s="53">
        <v>0</v>
      </c>
      <c r="M274" s="53">
        <v>0</v>
      </c>
      <c r="N274" s="53">
        <v>0</v>
      </c>
      <c r="O274" s="53">
        <v>0</v>
      </c>
      <c r="P274" s="53">
        <v>0</v>
      </c>
      <c r="Q274" s="53">
        <v>0</v>
      </c>
      <c r="R274" s="53">
        <v>0</v>
      </c>
      <c r="S274" s="53">
        <v>0</v>
      </c>
      <c r="T274" s="53">
        <v>0</v>
      </c>
      <c r="U274" s="53">
        <v>1100</v>
      </c>
      <c r="V274" s="53">
        <v>0</v>
      </c>
      <c r="W274" s="53">
        <v>0</v>
      </c>
      <c r="X274" s="53">
        <v>0</v>
      </c>
      <c r="Y274" s="53">
        <v>0</v>
      </c>
      <c r="Z274" s="53">
        <v>0</v>
      </c>
      <c r="AA274" s="53">
        <v>0</v>
      </c>
      <c r="AB274" s="53">
        <v>0</v>
      </c>
      <c r="AC274" s="53">
        <v>0</v>
      </c>
      <c r="AD274" s="53">
        <v>0</v>
      </c>
      <c r="AE274" s="53">
        <v>0</v>
      </c>
      <c r="AF274" s="53">
        <v>0</v>
      </c>
      <c r="AG274" s="53">
        <v>0</v>
      </c>
      <c r="AH274" s="53">
        <v>0</v>
      </c>
      <c r="AI274" s="53">
        <v>0</v>
      </c>
      <c r="AJ274" s="53">
        <v>0</v>
      </c>
      <c r="AK274" s="53">
        <v>0</v>
      </c>
      <c r="AL274" s="53">
        <v>0</v>
      </c>
      <c r="AM274" s="53" t="str">
        <f>I274-J274-K274-L274-M274-N274-O274-P274-Q274-R274-S274-T274-U274-V274-W274-X274-Y274-Z274-AA274-AB274-AC274-AD274-AE274-AF274-AG274+AH274-AI274+AJ274+AK274-AL274</f>
        <v>0</v>
      </c>
      <c r="AN274" s="53"/>
      <c r="AO274" s="27"/>
    </row>
    <row r="275" spans="1:41">
      <c r="A275" s="44">
        <v>247</v>
      </c>
      <c r="B275" s="46" t="s">
        <v>1116</v>
      </c>
      <c r="C275" s="48" t="s">
        <v>1117</v>
      </c>
      <c r="D275" s="51" t="s">
        <v>73</v>
      </c>
      <c r="E275" s="51" t="s">
        <v>1101</v>
      </c>
      <c r="F275" s="54" t="s">
        <v>727</v>
      </c>
      <c r="G275" s="50">
        <v>5</v>
      </c>
      <c r="H275" s="51" t="s">
        <v>1118</v>
      </c>
      <c r="I275" s="53">
        <v>1389600</v>
      </c>
      <c r="J275" s="53">
        <v>0</v>
      </c>
      <c r="K275" s="53">
        <v>27000</v>
      </c>
      <c r="L275" s="53">
        <v>0</v>
      </c>
      <c r="M275" s="53">
        <v>0</v>
      </c>
      <c r="N275" s="53">
        <v>0</v>
      </c>
      <c r="O275" s="53">
        <v>0</v>
      </c>
      <c r="P275" s="53">
        <v>0</v>
      </c>
      <c r="Q275" s="53">
        <v>0</v>
      </c>
      <c r="R275" s="53">
        <v>0</v>
      </c>
      <c r="S275" s="53">
        <v>0</v>
      </c>
      <c r="T275" s="53">
        <v>0</v>
      </c>
      <c r="U275" s="53">
        <v>1350</v>
      </c>
      <c r="V275" s="53">
        <v>0</v>
      </c>
      <c r="W275" s="53">
        <v>0</v>
      </c>
      <c r="X275" s="53">
        <v>0</v>
      </c>
      <c r="Y275" s="53">
        <v>0</v>
      </c>
      <c r="Z275" s="53">
        <v>0</v>
      </c>
      <c r="AA275" s="53">
        <v>0</v>
      </c>
      <c r="AB275" s="53">
        <v>0</v>
      </c>
      <c r="AC275" s="53">
        <v>0</v>
      </c>
      <c r="AD275" s="53">
        <v>0</v>
      </c>
      <c r="AE275" s="53">
        <v>0</v>
      </c>
      <c r="AF275" s="53">
        <v>0</v>
      </c>
      <c r="AG275" s="53">
        <v>0</v>
      </c>
      <c r="AH275" s="53">
        <v>0</v>
      </c>
      <c r="AI275" s="53">
        <v>0</v>
      </c>
      <c r="AJ275" s="53">
        <v>0</v>
      </c>
      <c r="AK275" s="53">
        <v>0</v>
      </c>
      <c r="AL275" s="53">
        <v>0</v>
      </c>
      <c r="AM275" s="53" t="str">
        <f>I275-J275-K275-L275-M275-N275-O275-P275-Q275-R275-S275-T275-U275-V275-W275-X275-Y275-Z275-AA275-AB275-AC275-AD275-AE275-AF275-AG275+AH275-AI275+AJ275+AK275-AL275</f>
        <v>0</v>
      </c>
      <c r="AN275" s="53"/>
      <c r="AO275" s="27"/>
    </row>
    <row r="276" spans="1:41">
      <c r="A276" s="44">
        <v>248</v>
      </c>
      <c r="B276" s="46" t="s">
        <v>1119</v>
      </c>
      <c r="C276" s="48" t="s">
        <v>1120</v>
      </c>
      <c r="D276" s="51" t="s">
        <v>73</v>
      </c>
      <c r="E276" s="51" t="s">
        <v>1101</v>
      </c>
      <c r="F276" s="54" t="s">
        <v>1121</v>
      </c>
      <c r="G276" s="50">
        <v>4</v>
      </c>
      <c r="H276" s="51" t="s">
        <v>1122</v>
      </c>
      <c r="I276" s="53">
        <v>629100</v>
      </c>
      <c r="J276" s="53">
        <v>0</v>
      </c>
      <c r="K276" s="53">
        <v>23000</v>
      </c>
      <c r="L276" s="53">
        <v>0</v>
      </c>
      <c r="M276" s="53">
        <v>0</v>
      </c>
      <c r="N276" s="53">
        <v>0</v>
      </c>
      <c r="O276" s="53">
        <v>0</v>
      </c>
      <c r="P276" s="53">
        <v>0</v>
      </c>
      <c r="Q276" s="53">
        <v>0</v>
      </c>
      <c r="R276" s="53">
        <v>0</v>
      </c>
      <c r="S276" s="53">
        <v>0</v>
      </c>
      <c r="T276" s="53">
        <v>0</v>
      </c>
      <c r="U276" s="53">
        <v>1150</v>
      </c>
      <c r="V276" s="53">
        <v>0</v>
      </c>
      <c r="W276" s="53">
        <v>0</v>
      </c>
      <c r="X276" s="53">
        <v>0</v>
      </c>
      <c r="Y276" s="53">
        <v>0</v>
      </c>
      <c r="Z276" s="53">
        <v>0</v>
      </c>
      <c r="AA276" s="53">
        <v>0</v>
      </c>
      <c r="AB276" s="53">
        <v>0</v>
      </c>
      <c r="AC276" s="53">
        <v>0</v>
      </c>
      <c r="AD276" s="53">
        <v>0</v>
      </c>
      <c r="AE276" s="53">
        <v>0</v>
      </c>
      <c r="AF276" s="53">
        <v>0</v>
      </c>
      <c r="AG276" s="53">
        <v>0</v>
      </c>
      <c r="AH276" s="53">
        <v>0</v>
      </c>
      <c r="AI276" s="53">
        <v>0</v>
      </c>
      <c r="AJ276" s="53">
        <v>0</v>
      </c>
      <c r="AK276" s="53">
        <v>0</v>
      </c>
      <c r="AL276" s="53">
        <v>0</v>
      </c>
      <c r="AM276" s="53" t="str">
        <f>I276-J276-K276-L276-M276-N276-O276-P276-Q276-R276-S276-T276-U276-V276-W276-X276-Y276-Z276-AA276-AB276-AC276-AD276-AE276-AF276-AG276+AH276-AI276+AJ276+AK276-AL276</f>
        <v>0</v>
      </c>
      <c r="AN276" s="53"/>
      <c r="AO276" s="27"/>
    </row>
    <row r="277" spans="1:41">
      <c r="A277" s="44">
        <v>249</v>
      </c>
      <c r="B277" s="46" t="s">
        <v>1123</v>
      </c>
      <c r="C277" s="48" t="s">
        <v>1124</v>
      </c>
      <c r="D277" s="51" t="s">
        <v>73</v>
      </c>
      <c r="E277" s="51" t="s">
        <v>1101</v>
      </c>
      <c r="F277" s="54" t="s">
        <v>1125</v>
      </c>
      <c r="G277" s="50">
        <v>2</v>
      </c>
      <c r="H277" s="51" t="s">
        <v>1126</v>
      </c>
      <c r="I277" s="53">
        <v>395100</v>
      </c>
      <c r="J277" s="53">
        <v>0</v>
      </c>
      <c r="K277" s="53">
        <v>22000</v>
      </c>
      <c r="L277" s="53">
        <v>0</v>
      </c>
      <c r="M277" s="53">
        <v>0</v>
      </c>
      <c r="N277" s="53">
        <v>0</v>
      </c>
      <c r="O277" s="53">
        <v>0</v>
      </c>
      <c r="P277" s="53">
        <v>0</v>
      </c>
      <c r="Q277" s="53">
        <v>0</v>
      </c>
      <c r="R277" s="53">
        <v>0</v>
      </c>
      <c r="S277" s="53">
        <v>0</v>
      </c>
      <c r="T277" s="53">
        <v>0</v>
      </c>
      <c r="U277" s="53">
        <v>1100</v>
      </c>
      <c r="V277" s="53">
        <v>0</v>
      </c>
      <c r="W277" s="53">
        <v>0</v>
      </c>
      <c r="X277" s="53">
        <v>0</v>
      </c>
      <c r="Y277" s="53">
        <v>0</v>
      </c>
      <c r="Z277" s="53">
        <v>0</v>
      </c>
      <c r="AA277" s="53">
        <v>0</v>
      </c>
      <c r="AB277" s="53">
        <v>0</v>
      </c>
      <c r="AC277" s="53">
        <v>0</v>
      </c>
      <c r="AD277" s="53">
        <v>0</v>
      </c>
      <c r="AE277" s="53">
        <v>0</v>
      </c>
      <c r="AF277" s="53">
        <v>0</v>
      </c>
      <c r="AG277" s="53">
        <v>0</v>
      </c>
      <c r="AH277" s="53">
        <v>0</v>
      </c>
      <c r="AI277" s="53">
        <v>0</v>
      </c>
      <c r="AJ277" s="53">
        <v>0</v>
      </c>
      <c r="AK277" s="53">
        <v>0</v>
      </c>
      <c r="AL277" s="53">
        <v>0</v>
      </c>
      <c r="AM277" s="53" t="str">
        <f>I277-J277-K277-L277-M277-N277-O277-P277-Q277-R277-S277-T277-U277-V277-W277-X277-Y277-Z277-AA277-AB277-AC277-AD277-AE277-AF277-AG277+AH277-AI277+AJ277+AK277-AL277</f>
        <v>0</v>
      </c>
      <c r="AN277" s="53"/>
      <c r="AO277" s="27"/>
    </row>
    <row r="278" spans="1:41">
      <c r="A278" s="44">
        <v>250</v>
      </c>
      <c r="B278" s="46" t="s">
        <v>1127</v>
      </c>
      <c r="C278" s="48" t="s">
        <v>1128</v>
      </c>
      <c r="D278" s="51" t="s">
        <v>73</v>
      </c>
      <c r="E278" s="51" t="s">
        <v>1101</v>
      </c>
      <c r="F278" s="54" t="s">
        <v>1129</v>
      </c>
      <c r="G278" s="50">
        <v>2</v>
      </c>
      <c r="H278" s="51" t="s">
        <v>1130</v>
      </c>
      <c r="I278" s="53">
        <v>693000</v>
      </c>
      <c r="J278" s="53">
        <v>0</v>
      </c>
      <c r="K278" s="53">
        <v>22000</v>
      </c>
      <c r="L278" s="53">
        <v>0</v>
      </c>
      <c r="M278" s="53">
        <v>0</v>
      </c>
      <c r="N278" s="53">
        <v>0</v>
      </c>
      <c r="O278" s="53">
        <v>0</v>
      </c>
      <c r="P278" s="53">
        <v>0</v>
      </c>
      <c r="Q278" s="53">
        <v>0</v>
      </c>
      <c r="R278" s="53">
        <v>0</v>
      </c>
      <c r="S278" s="53">
        <v>0</v>
      </c>
      <c r="T278" s="53">
        <v>0</v>
      </c>
      <c r="U278" s="53">
        <v>1100</v>
      </c>
      <c r="V278" s="53">
        <v>0</v>
      </c>
      <c r="W278" s="53">
        <v>0</v>
      </c>
      <c r="X278" s="53">
        <v>0</v>
      </c>
      <c r="Y278" s="53">
        <v>0</v>
      </c>
      <c r="Z278" s="53">
        <v>0</v>
      </c>
      <c r="AA278" s="53">
        <v>0</v>
      </c>
      <c r="AB278" s="53">
        <v>0</v>
      </c>
      <c r="AC278" s="53">
        <v>0</v>
      </c>
      <c r="AD278" s="53">
        <v>0</v>
      </c>
      <c r="AE278" s="53">
        <v>0</v>
      </c>
      <c r="AF278" s="53">
        <v>0</v>
      </c>
      <c r="AG278" s="53">
        <v>0</v>
      </c>
      <c r="AH278" s="53">
        <v>0</v>
      </c>
      <c r="AI278" s="53">
        <v>0</v>
      </c>
      <c r="AJ278" s="53">
        <v>0</v>
      </c>
      <c r="AK278" s="53">
        <v>0</v>
      </c>
      <c r="AL278" s="53">
        <v>0</v>
      </c>
      <c r="AM278" s="53" t="str">
        <f>I278-J278-K278-L278-M278-N278-O278-P278-Q278-R278-S278-T278-U278-V278-W278-X278-Y278-Z278-AA278-AB278-AC278-AD278-AE278-AF278-AG278+AH278-AI278+AJ278+AK278-AL278</f>
        <v>0</v>
      </c>
      <c r="AN278" s="53"/>
      <c r="AO278" s="27"/>
    </row>
    <row r="279" spans="1:41">
      <c r="A279" s="44">
        <v>251</v>
      </c>
      <c r="B279" s="46" t="s">
        <v>1131</v>
      </c>
      <c r="C279" s="48" t="s">
        <v>1132</v>
      </c>
      <c r="D279" s="51" t="s">
        <v>73</v>
      </c>
      <c r="E279" s="51" t="s">
        <v>1101</v>
      </c>
      <c r="F279" s="54" t="s">
        <v>1133</v>
      </c>
      <c r="G279" s="50">
        <v>3</v>
      </c>
      <c r="H279" s="51" t="s">
        <v>1134</v>
      </c>
      <c r="I279" s="53">
        <v>885000</v>
      </c>
      <c r="J279" s="53">
        <v>0</v>
      </c>
      <c r="K279" s="53">
        <v>22000</v>
      </c>
      <c r="L279" s="53">
        <v>0</v>
      </c>
      <c r="M279" s="53">
        <v>0</v>
      </c>
      <c r="N279" s="53">
        <v>0</v>
      </c>
      <c r="O279" s="53">
        <v>0</v>
      </c>
      <c r="P279" s="53">
        <v>0</v>
      </c>
      <c r="Q279" s="53">
        <v>0</v>
      </c>
      <c r="R279" s="53">
        <v>0</v>
      </c>
      <c r="S279" s="53">
        <v>0</v>
      </c>
      <c r="T279" s="53">
        <v>0</v>
      </c>
      <c r="U279" s="53">
        <v>1100</v>
      </c>
      <c r="V279" s="53">
        <v>0</v>
      </c>
      <c r="W279" s="53">
        <v>0</v>
      </c>
      <c r="X279" s="53">
        <v>0</v>
      </c>
      <c r="Y279" s="53">
        <v>0</v>
      </c>
      <c r="Z279" s="53">
        <v>0</v>
      </c>
      <c r="AA279" s="53">
        <v>0</v>
      </c>
      <c r="AB279" s="53">
        <v>0</v>
      </c>
      <c r="AC279" s="53">
        <v>0</v>
      </c>
      <c r="AD279" s="53">
        <v>0</v>
      </c>
      <c r="AE279" s="53">
        <v>0</v>
      </c>
      <c r="AF279" s="53">
        <v>0</v>
      </c>
      <c r="AG279" s="53">
        <v>0</v>
      </c>
      <c r="AH279" s="53">
        <v>0</v>
      </c>
      <c r="AI279" s="53">
        <v>0</v>
      </c>
      <c r="AJ279" s="53">
        <v>0</v>
      </c>
      <c r="AK279" s="53">
        <v>0</v>
      </c>
      <c r="AL279" s="53">
        <v>0</v>
      </c>
      <c r="AM279" s="53" t="str">
        <f>I279-J279-K279-L279-M279-N279-O279-P279-Q279-R279-S279-T279-U279-V279-W279-X279-Y279-Z279-AA279-AB279-AC279-AD279-AE279-AF279-AG279+AH279-AI279+AJ279+AK279-AL279</f>
        <v>0</v>
      </c>
      <c r="AN279" s="53"/>
      <c r="AO279" s="27"/>
    </row>
    <row r="280" spans="1:41">
      <c r="A280" s="44">
        <v>252</v>
      </c>
      <c r="B280" s="46" t="s">
        <v>1135</v>
      </c>
      <c r="C280" s="48" t="s">
        <v>1136</v>
      </c>
      <c r="D280" s="51" t="s">
        <v>73</v>
      </c>
      <c r="E280" s="51" t="s">
        <v>1101</v>
      </c>
      <c r="F280" s="54" t="s">
        <v>1007</v>
      </c>
      <c r="G280" s="50">
        <v>4</v>
      </c>
      <c r="H280" s="51" t="s">
        <v>1137</v>
      </c>
      <c r="I280" s="53">
        <v>238500</v>
      </c>
      <c r="J280" s="53">
        <v>0</v>
      </c>
      <c r="K280" s="53">
        <v>25000</v>
      </c>
      <c r="L280" s="53">
        <v>0</v>
      </c>
      <c r="M280" s="53">
        <v>0</v>
      </c>
      <c r="N280" s="53">
        <v>0</v>
      </c>
      <c r="O280" s="53">
        <v>0</v>
      </c>
      <c r="P280" s="53">
        <v>0</v>
      </c>
      <c r="Q280" s="53">
        <v>0</v>
      </c>
      <c r="R280" s="53">
        <v>0</v>
      </c>
      <c r="S280" s="53">
        <v>0</v>
      </c>
      <c r="T280" s="53">
        <v>0</v>
      </c>
      <c r="U280" s="53">
        <v>1250</v>
      </c>
      <c r="V280" s="53">
        <v>0</v>
      </c>
      <c r="W280" s="53">
        <v>0</v>
      </c>
      <c r="X280" s="53">
        <v>0</v>
      </c>
      <c r="Y280" s="53">
        <v>0</v>
      </c>
      <c r="Z280" s="53">
        <v>0</v>
      </c>
      <c r="AA280" s="53">
        <v>0</v>
      </c>
      <c r="AB280" s="53">
        <v>0</v>
      </c>
      <c r="AC280" s="53">
        <v>0</v>
      </c>
      <c r="AD280" s="53">
        <v>0</v>
      </c>
      <c r="AE280" s="53">
        <v>0</v>
      </c>
      <c r="AF280" s="53">
        <v>0</v>
      </c>
      <c r="AG280" s="53">
        <v>0</v>
      </c>
      <c r="AH280" s="53">
        <v>0</v>
      </c>
      <c r="AI280" s="53">
        <v>0</v>
      </c>
      <c r="AJ280" s="53">
        <v>0</v>
      </c>
      <c r="AK280" s="53">
        <v>0</v>
      </c>
      <c r="AL280" s="53">
        <v>0</v>
      </c>
      <c r="AM280" s="53" t="str">
        <f>I280-J280-K280-L280-M280-N280-O280-P280-Q280-R280-S280-T280-U280-V280-W280-X280-Y280-Z280-AA280-AB280-AC280-AD280-AE280-AF280-AG280+AH280-AI280+AJ280+AK280-AL280</f>
        <v>0</v>
      </c>
      <c r="AN280" s="53"/>
      <c r="AO280" s="27"/>
    </row>
    <row r="281" spans="1:41">
      <c r="A281" s="44">
        <v>253</v>
      </c>
      <c r="B281" s="46" t="s">
        <v>1138</v>
      </c>
      <c r="C281" s="48" t="s">
        <v>1139</v>
      </c>
      <c r="D281" s="51" t="s">
        <v>73</v>
      </c>
      <c r="E281" s="51" t="s">
        <v>1101</v>
      </c>
      <c r="F281" s="54" t="s">
        <v>966</v>
      </c>
      <c r="G281" s="50">
        <v>3</v>
      </c>
      <c r="H281" s="51" t="s">
        <v>967</v>
      </c>
      <c r="I281" s="53">
        <v>989100</v>
      </c>
      <c r="J281" s="53">
        <v>0</v>
      </c>
      <c r="K281" s="53">
        <v>22000</v>
      </c>
      <c r="L281" s="53">
        <v>0</v>
      </c>
      <c r="M281" s="53">
        <v>0</v>
      </c>
      <c r="N281" s="53">
        <v>0</v>
      </c>
      <c r="O281" s="53">
        <v>0</v>
      </c>
      <c r="P281" s="53">
        <v>0</v>
      </c>
      <c r="Q281" s="53">
        <v>0</v>
      </c>
      <c r="R281" s="53">
        <v>0</v>
      </c>
      <c r="S281" s="53">
        <v>0</v>
      </c>
      <c r="T281" s="53">
        <v>0</v>
      </c>
      <c r="U281" s="53">
        <v>1100</v>
      </c>
      <c r="V281" s="53">
        <v>0</v>
      </c>
      <c r="W281" s="53">
        <v>0</v>
      </c>
      <c r="X281" s="53">
        <v>0</v>
      </c>
      <c r="Y281" s="53">
        <v>0</v>
      </c>
      <c r="Z281" s="53">
        <v>0</v>
      </c>
      <c r="AA281" s="53">
        <v>0</v>
      </c>
      <c r="AB281" s="53">
        <v>0</v>
      </c>
      <c r="AC281" s="53">
        <v>0</v>
      </c>
      <c r="AD281" s="53">
        <v>0</v>
      </c>
      <c r="AE281" s="53">
        <v>0</v>
      </c>
      <c r="AF281" s="53">
        <v>0</v>
      </c>
      <c r="AG281" s="53">
        <v>0</v>
      </c>
      <c r="AH281" s="53">
        <v>0</v>
      </c>
      <c r="AI281" s="53">
        <v>0</v>
      </c>
      <c r="AJ281" s="53">
        <v>0</v>
      </c>
      <c r="AK281" s="53">
        <v>0</v>
      </c>
      <c r="AL281" s="53">
        <v>0</v>
      </c>
      <c r="AM281" s="53" t="str">
        <f>I281-J281-K281-L281-M281-N281-O281-P281-Q281-R281-S281-T281-U281-V281-W281-X281-Y281-Z281-AA281-AB281-AC281-AD281-AE281-AF281-AG281+AH281-AI281+AJ281+AK281-AL281</f>
        <v>0</v>
      </c>
      <c r="AN281" s="53"/>
      <c r="AO281" s="27"/>
    </row>
    <row r="282" spans="1:41">
      <c r="A282" s="44">
        <v>254</v>
      </c>
      <c r="B282" s="46" t="s">
        <v>1140</v>
      </c>
      <c r="C282" s="48" t="s">
        <v>1141</v>
      </c>
      <c r="D282" s="51" t="s">
        <v>73</v>
      </c>
      <c r="E282" s="51" t="s">
        <v>1101</v>
      </c>
      <c r="F282" s="54" t="s">
        <v>1142</v>
      </c>
      <c r="G282" s="50">
        <v>2</v>
      </c>
      <c r="H282" s="51" t="s">
        <v>1143</v>
      </c>
      <c r="I282" s="53">
        <v>179100</v>
      </c>
      <c r="J282" s="53">
        <v>0</v>
      </c>
      <c r="K282" s="53">
        <v>22000</v>
      </c>
      <c r="L282" s="53">
        <v>0</v>
      </c>
      <c r="M282" s="53">
        <v>0</v>
      </c>
      <c r="N282" s="53">
        <v>0</v>
      </c>
      <c r="O282" s="53">
        <v>0</v>
      </c>
      <c r="P282" s="53">
        <v>0</v>
      </c>
      <c r="Q282" s="53">
        <v>0</v>
      </c>
      <c r="R282" s="53">
        <v>0</v>
      </c>
      <c r="S282" s="53">
        <v>0</v>
      </c>
      <c r="T282" s="53">
        <v>0</v>
      </c>
      <c r="U282" s="53">
        <v>1100</v>
      </c>
      <c r="V282" s="53">
        <v>0</v>
      </c>
      <c r="W282" s="53">
        <v>0</v>
      </c>
      <c r="X282" s="53">
        <v>0</v>
      </c>
      <c r="Y282" s="53">
        <v>0</v>
      </c>
      <c r="Z282" s="53">
        <v>0</v>
      </c>
      <c r="AA282" s="53">
        <v>0</v>
      </c>
      <c r="AB282" s="53">
        <v>0</v>
      </c>
      <c r="AC282" s="53">
        <v>0</v>
      </c>
      <c r="AD282" s="53">
        <v>10000</v>
      </c>
      <c r="AE282" s="53">
        <v>0</v>
      </c>
      <c r="AF282" s="53">
        <v>0</v>
      </c>
      <c r="AG282" s="53">
        <v>0</v>
      </c>
      <c r="AH282" s="53">
        <v>0</v>
      </c>
      <c r="AI282" s="53">
        <v>0</v>
      </c>
      <c r="AJ282" s="53">
        <v>0</v>
      </c>
      <c r="AK282" s="53">
        <v>0</v>
      </c>
      <c r="AL282" s="53">
        <v>0</v>
      </c>
      <c r="AM282" s="53" t="str">
        <f>I282-J282-K282-L282-M282-N282-O282-P282-Q282-R282-S282-T282-U282-V282-W282-X282-Y282-Z282-AA282-AB282-AC282-AD282-AE282-AF282-AG282+AH282-AI282+AJ282+AK282-AL282</f>
        <v>0</v>
      </c>
      <c r="AN282" s="53"/>
      <c r="AO282" s="27"/>
    </row>
    <row r="283" spans="1:41">
      <c r="A283" s="44">
        <v>255</v>
      </c>
      <c r="B283" s="46" t="s">
        <v>1144</v>
      </c>
      <c r="C283" s="48" t="s">
        <v>1145</v>
      </c>
      <c r="D283" s="51" t="s">
        <v>73</v>
      </c>
      <c r="E283" s="51" t="s">
        <v>1101</v>
      </c>
      <c r="F283" s="54" t="s">
        <v>1146</v>
      </c>
      <c r="G283" s="50">
        <v>2</v>
      </c>
      <c r="H283" s="51" t="s">
        <v>1147</v>
      </c>
      <c r="I283" s="53">
        <v>149000</v>
      </c>
      <c r="J283" s="53">
        <v>0</v>
      </c>
      <c r="K283" s="53">
        <v>22000</v>
      </c>
      <c r="L283" s="53">
        <v>0</v>
      </c>
      <c r="M283" s="53">
        <v>0</v>
      </c>
      <c r="N283" s="53">
        <v>0</v>
      </c>
      <c r="O283" s="53">
        <v>0</v>
      </c>
      <c r="P283" s="53">
        <v>0</v>
      </c>
      <c r="Q283" s="53">
        <v>0</v>
      </c>
      <c r="R283" s="53">
        <v>0</v>
      </c>
      <c r="S283" s="53">
        <v>0</v>
      </c>
      <c r="T283" s="53">
        <v>0</v>
      </c>
      <c r="U283" s="53">
        <v>1100</v>
      </c>
      <c r="V283" s="53">
        <v>0</v>
      </c>
      <c r="W283" s="53">
        <v>0</v>
      </c>
      <c r="X283" s="53">
        <v>0</v>
      </c>
      <c r="Y283" s="53">
        <v>0</v>
      </c>
      <c r="Z283" s="53">
        <v>0</v>
      </c>
      <c r="AA283" s="53">
        <v>0</v>
      </c>
      <c r="AB283" s="53">
        <v>0</v>
      </c>
      <c r="AC283" s="53">
        <v>0</v>
      </c>
      <c r="AD283" s="53">
        <v>0</v>
      </c>
      <c r="AE283" s="53">
        <v>0</v>
      </c>
      <c r="AF283" s="53">
        <v>0</v>
      </c>
      <c r="AG283" s="53">
        <v>0</v>
      </c>
      <c r="AH283" s="53">
        <v>0</v>
      </c>
      <c r="AI283" s="53">
        <v>0</v>
      </c>
      <c r="AJ283" s="53">
        <v>0</v>
      </c>
      <c r="AK283" s="53">
        <v>0</v>
      </c>
      <c r="AL283" s="53">
        <v>0</v>
      </c>
      <c r="AM283" s="53" t="str">
        <f>I283-J283-K283-L283-M283-N283-O283-P283-Q283-R283-S283-T283-U283-V283-W283-X283-Y283-Z283-AA283-AB283-AC283-AD283-AE283-AF283-AG283+AH283-AI283+AJ283+AK283-AL283</f>
        <v>0</v>
      </c>
      <c r="AN283" s="53"/>
      <c r="AO283" s="27"/>
    </row>
    <row r="284" spans="1:41">
      <c r="A284" s="44">
        <v>256</v>
      </c>
      <c r="B284" s="46" t="s">
        <v>1148</v>
      </c>
      <c r="C284" s="48" t="s">
        <v>1149</v>
      </c>
      <c r="D284" s="51" t="s">
        <v>73</v>
      </c>
      <c r="E284" s="51" t="s">
        <v>1150</v>
      </c>
      <c r="F284" s="54" t="s">
        <v>1151</v>
      </c>
      <c r="G284" s="50">
        <v>2</v>
      </c>
      <c r="H284" s="51" t="s">
        <v>1152</v>
      </c>
      <c r="I284" s="53">
        <v>351000</v>
      </c>
      <c r="J284" s="53">
        <v>0</v>
      </c>
      <c r="K284" s="53">
        <v>22000</v>
      </c>
      <c r="L284" s="53">
        <v>0</v>
      </c>
      <c r="M284" s="53">
        <v>0</v>
      </c>
      <c r="N284" s="53">
        <v>0</v>
      </c>
      <c r="O284" s="53">
        <v>0</v>
      </c>
      <c r="P284" s="53">
        <v>0</v>
      </c>
      <c r="Q284" s="53">
        <v>0</v>
      </c>
      <c r="R284" s="53">
        <v>0</v>
      </c>
      <c r="S284" s="53">
        <v>0</v>
      </c>
      <c r="T284" s="53">
        <v>0</v>
      </c>
      <c r="U284" s="53">
        <v>1100</v>
      </c>
      <c r="V284" s="53">
        <v>0</v>
      </c>
      <c r="W284" s="53">
        <v>0</v>
      </c>
      <c r="X284" s="53">
        <v>0</v>
      </c>
      <c r="Y284" s="53">
        <v>0</v>
      </c>
      <c r="Z284" s="53">
        <v>0</v>
      </c>
      <c r="AA284" s="53">
        <v>0</v>
      </c>
      <c r="AB284" s="53">
        <v>0</v>
      </c>
      <c r="AC284" s="53">
        <v>0</v>
      </c>
      <c r="AD284" s="53">
        <v>0</v>
      </c>
      <c r="AE284" s="53">
        <v>0</v>
      </c>
      <c r="AF284" s="53">
        <v>0</v>
      </c>
      <c r="AG284" s="53">
        <v>0</v>
      </c>
      <c r="AH284" s="53">
        <v>0</v>
      </c>
      <c r="AI284" s="53">
        <v>0</v>
      </c>
      <c r="AJ284" s="53">
        <v>0</v>
      </c>
      <c r="AK284" s="53">
        <v>0</v>
      </c>
      <c r="AL284" s="53">
        <v>0</v>
      </c>
      <c r="AM284" s="53" t="str">
        <f>I284-J284-K284-L284-M284-N284-O284-P284-Q284-R284-S284-T284-U284-V284-W284-X284-Y284-Z284-AA284-AB284-AC284-AD284-AE284-AF284-AG284+AH284-AI284+AJ284+AK284-AL284</f>
        <v>0</v>
      </c>
      <c r="AN284" s="53"/>
      <c r="AO284" s="27"/>
    </row>
    <row r="285" spans="1:41">
      <c r="A285" s="44">
        <v>257</v>
      </c>
      <c r="B285" s="46" t="s">
        <v>1153</v>
      </c>
      <c r="C285" s="48" t="s">
        <v>1154</v>
      </c>
      <c r="D285" s="51" t="s">
        <v>73</v>
      </c>
      <c r="E285" s="51" t="s">
        <v>1150</v>
      </c>
      <c r="F285" s="54" t="s">
        <v>1155</v>
      </c>
      <c r="G285" s="50">
        <v>2</v>
      </c>
      <c r="H285" s="51" t="s">
        <v>1156</v>
      </c>
      <c r="I285" s="53">
        <v>149000</v>
      </c>
      <c r="J285" s="53">
        <v>0</v>
      </c>
      <c r="K285" s="53">
        <v>22000</v>
      </c>
      <c r="L285" s="53">
        <v>0</v>
      </c>
      <c r="M285" s="53">
        <v>0</v>
      </c>
      <c r="N285" s="53">
        <v>0</v>
      </c>
      <c r="O285" s="53">
        <v>0</v>
      </c>
      <c r="P285" s="53">
        <v>0</v>
      </c>
      <c r="Q285" s="53">
        <v>0</v>
      </c>
      <c r="R285" s="53">
        <v>0</v>
      </c>
      <c r="S285" s="53">
        <v>0</v>
      </c>
      <c r="T285" s="53">
        <v>0</v>
      </c>
      <c r="U285" s="53">
        <v>1100</v>
      </c>
      <c r="V285" s="53">
        <v>0</v>
      </c>
      <c r="W285" s="53">
        <v>0</v>
      </c>
      <c r="X285" s="53">
        <v>0</v>
      </c>
      <c r="Y285" s="53">
        <v>0</v>
      </c>
      <c r="Z285" s="53">
        <v>0</v>
      </c>
      <c r="AA285" s="53">
        <v>0</v>
      </c>
      <c r="AB285" s="53">
        <v>0</v>
      </c>
      <c r="AC285" s="53">
        <v>0</v>
      </c>
      <c r="AD285" s="53">
        <v>0</v>
      </c>
      <c r="AE285" s="53">
        <v>0</v>
      </c>
      <c r="AF285" s="53">
        <v>0</v>
      </c>
      <c r="AG285" s="53">
        <v>0</v>
      </c>
      <c r="AH285" s="53">
        <v>0</v>
      </c>
      <c r="AI285" s="53">
        <v>0</v>
      </c>
      <c r="AJ285" s="53">
        <v>0</v>
      </c>
      <c r="AK285" s="53">
        <v>0</v>
      </c>
      <c r="AL285" s="53">
        <v>0</v>
      </c>
      <c r="AM285" s="53" t="str">
        <f>I285-J285-K285-L285-M285-N285-O285-P285-Q285-R285-S285-T285-U285-V285-W285-X285-Y285-Z285-AA285-AB285-AC285-AD285-AE285-AF285-AG285+AH285-AI285+AJ285+AK285-AL285</f>
        <v>0</v>
      </c>
      <c r="AN285" s="53"/>
      <c r="AO285" s="27"/>
    </row>
    <row r="286" spans="1:41">
      <c r="A286" s="44">
        <v>258</v>
      </c>
      <c r="B286" s="46" t="s">
        <v>1157</v>
      </c>
      <c r="C286" s="48" t="s">
        <v>1158</v>
      </c>
      <c r="D286" s="51" t="s">
        <v>73</v>
      </c>
      <c r="E286" s="51" t="s">
        <v>1150</v>
      </c>
      <c r="F286" s="54" t="s">
        <v>1159</v>
      </c>
      <c r="G286" s="50">
        <v>4</v>
      </c>
      <c r="H286" s="51" t="s">
        <v>1160</v>
      </c>
      <c r="I286" s="53">
        <v>170000</v>
      </c>
      <c r="J286" s="53">
        <v>0</v>
      </c>
      <c r="K286" s="53">
        <v>25000</v>
      </c>
      <c r="L286" s="53">
        <v>0</v>
      </c>
      <c r="M286" s="53">
        <v>0</v>
      </c>
      <c r="N286" s="53">
        <v>0</v>
      </c>
      <c r="O286" s="53">
        <v>0</v>
      </c>
      <c r="P286" s="53">
        <v>0</v>
      </c>
      <c r="Q286" s="53">
        <v>0</v>
      </c>
      <c r="R286" s="53">
        <v>0</v>
      </c>
      <c r="S286" s="53">
        <v>0</v>
      </c>
      <c r="T286" s="53">
        <v>0</v>
      </c>
      <c r="U286" s="53">
        <v>1250</v>
      </c>
      <c r="V286" s="53">
        <v>0</v>
      </c>
      <c r="W286" s="53">
        <v>0</v>
      </c>
      <c r="X286" s="53">
        <v>0</v>
      </c>
      <c r="Y286" s="53">
        <v>0</v>
      </c>
      <c r="Z286" s="53">
        <v>0</v>
      </c>
      <c r="AA286" s="53">
        <v>0</v>
      </c>
      <c r="AB286" s="53">
        <v>0</v>
      </c>
      <c r="AC286" s="53">
        <v>0</v>
      </c>
      <c r="AD286" s="53">
        <v>0</v>
      </c>
      <c r="AE286" s="53">
        <v>0</v>
      </c>
      <c r="AF286" s="53">
        <v>0</v>
      </c>
      <c r="AG286" s="53">
        <v>0</v>
      </c>
      <c r="AH286" s="53">
        <v>0</v>
      </c>
      <c r="AI286" s="53">
        <v>0</v>
      </c>
      <c r="AJ286" s="53">
        <v>0</v>
      </c>
      <c r="AK286" s="53">
        <v>0</v>
      </c>
      <c r="AL286" s="53">
        <v>0</v>
      </c>
      <c r="AM286" s="53" t="str">
        <f>I286-J286-K286-L286-M286-N286-O286-P286-Q286-R286-S286-T286-U286-V286-W286-X286-Y286-Z286-AA286-AB286-AC286-AD286-AE286-AF286-AG286+AH286-AI286+AJ286+AK286-AL286</f>
        <v>0</v>
      </c>
      <c r="AN286" s="53"/>
      <c r="AO286" s="27"/>
    </row>
    <row r="287" spans="1:41">
      <c r="A287" s="44">
        <v>259</v>
      </c>
      <c r="B287" s="46" t="s">
        <v>1161</v>
      </c>
      <c r="C287" s="48" t="s">
        <v>1162</v>
      </c>
      <c r="D287" s="51" t="s">
        <v>73</v>
      </c>
      <c r="E287" s="51" t="s">
        <v>1150</v>
      </c>
      <c r="F287" s="54" t="s">
        <v>1163</v>
      </c>
      <c r="G287" s="50">
        <v>3</v>
      </c>
      <c r="H287" s="51" t="s">
        <v>1164</v>
      </c>
      <c r="I287" s="53">
        <v>299000</v>
      </c>
      <c r="J287" s="53">
        <v>0</v>
      </c>
      <c r="K287" s="53">
        <v>22000</v>
      </c>
      <c r="L287" s="53">
        <v>0</v>
      </c>
      <c r="M287" s="53">
        <v>0</v>
      </c>
      <c r="N287" s="53">
        <v>0</v>
      </c>
      <c r="O287" s="53">
        <v>0</v>
      </c>
      <c r="P287" s="53">
        <v>0</v>
      </c>
      <c r="Q287" s="53">
        <v>0</v>
      </c>
      <c r="R287" s="53">
        <v>0</v>
      </c>
      <c r="S287" s="53">
        <v>0</v>
      </c>
      <c r="T287" s="53">
        <v>0</v>
      </c>
      <c r="U287" s="53">
        <v>1100</v>
      </c>
      <c r="V287" s="53">
        <v>0</v>
      </c>
      <c r="W287" s="53">
        <v>0</v>
      </c>
      <c r="X287" s="53">
        <v>0</v>
      </c>
      <c r="Y287" s="53">
        <v>0</v>
      </c>
      <c r="Z287" s="53">
        <v>0</v>
      </c>
      <c r="AA287" s="53">
        <v>0</v>
      </c>
      <c r="AB287" s="53">
        <v>0</v>
      </c>
      <c r="AC287" s="53">
        <v>0</v>
      </c>
      <c r="AD287" s="53">
        <v>0</v>
      </c>
      <c r="AE287" s="53">
        <v>0</v>
      </c>
      <c r="AF287" s="53">
        <v>0</v>
      </c>
      <c r="AG287" s="53">
        <v>0</v>
      </c>
      <c r="AH287" s="53">
        <v>0</v>
      </c>
      <c r="AI287" s="53">
        <v>0</v>
      </c>
      <c r="AJ287" s="53">
        <v>0</v>
      </c>
      <c r="AK287" s="53">
        <v>0</v>
      </c>
      <c r="AL287" s="53">
        <v>0</v>
      </c>
      <c r="AM287" s="53" t="str">
        <f>I287-J287-K287-L287-M287-N287-O287-P287-Q287-R287-S287-T287-U287-V287-W287-X287-Y287-Z287-AA287-AB287-AC287-AD287-AE287-AF287-AG287+AH287-AI287+AJ287+AK287-AL287</f>
        <v>0</v>
      </c>
      <c r="AN287" s="53"/>
      <c r="AO287" s="27"/>
    </row>
    <row r="288" spans="1:41">
      <c r="A288" s="44">
        <v>260</v>
      </c>
      <c r="B288" s="46" t="s">
        <v>1165</v>
      </c>
      <c r="C288" s="48" t="s">
        <v>1166</v>
      </c>
      <c r="D288" s="51" t="s">
        <v>73</v>
      </c>
      <c r="E288" s="51" t="s">
        <v>1150</v>
      </c>
      <c r="F288" s="54" t="s">
        <v>388</v>
      </c>
      <c r="G288" s="50">
        <v>4</v>
      </c>
      <c r="H288" s="51" t="s">
        <v>1167</v>
      </c>
      <c r="I288" s="53">
        <v>629100</v>
      </c>
      <c r="J288" s="53">
        <v>0</v>
      </c>
      <c r="K288" s="53">
        <v>25000</v>
      </c>
      <c r="L288" s="53">
        <v>0</v>
      </c>
      <c r="M288" s="53">
        <v>0</v>
      </c>
      <c r="N288" s="53">
        <v>0</v>
      </c>
      <c r="O288" s="53">
        <v>0</v>
      </c>
      <c r="P288" s="53">
        <v>0</v>
      </c>
      <c r="Q288" s="53">
        <v>0</v>
      </c>
      <c r="R288" s="53">
        <v>0</v>
      </c>
      <c r="S288" s="53">
        <v>0</v>
      </c>
      <c r="T288" s="53">
        <v>0</v>
      </c>
      <c r="U288" s="53">
        <v>1250</v>
      </c>
      <c r="V288" s="53">
        <v>0</v>
      </c>
      <c r="W288" s="53">
        <v>0</v>
      </c>
      <c r="X288" s="53">
        <v>0</v>
      </c>
      <c r="Y288" s="53">
        <v>0</v>
      </c>
      <c r="Z288" s="53">
        <v>0</v>
      </c>
      <c r="AA288" s="53">
        <v>0</v>
      </c>
      <c r="AB288" s="53">
        <v>0</v>
      </c>
      <c r="AC288" s="53">
        <v>0</v>
      </c>
      <c r="AD288" s="53">
        <v>0</v>
      </c>
      <c r="AE288" s="53">
        <v>0</v>
      </c>
      <c r="AF288" s="53">
        <v>0</v>
      </c>
      <c r="AG288" s="53">
        <v>0</v>
      </c>
      <c r="AH288" s="53">
        <v>0</v>
      </c>
      <c r="AI288" s="53">
        <v>0</v>
      </c>
      <c r="AJ288" s="53">
        <v>0</v>
      </c>
      <c r="AK288" s="53">
        <v>0</v>
      </c>
      <c r="AL288" s="53">
        <v>0</v>
      </c>
      <c r="AM288" s="53" t="str">
        <f>I288-J288-K288-L288-M288-N288-O288-P288-Q288-R288-S288-T288-U288-V288-W288-X288-Y288-Z288-AA288-AB288-AC288-AD288-AE288-AF288-AG288+AH288-AI288+AJ288+AK288-AL288</f>
        <v>0</v>
      </c>
      <c r="AN288" s="53"/>
      <c r="AO288" s="27"/>
    </row>
    <row r="289" spans="1:41">
      <c r="A289" s="44">
        <v>261</v>
      </c>
      <c r="B289" s="46" t="s">
        <v>1168</v>
      </c>
      <c r="C289" s="48" t="s">
        <v>1169</v>
      </c>
      <c r="D289" s="51" t="s">
        <v>73</v>
      </c>
      <c r="E289" s="51" t="s">
        <v>1150</v>
      </c>
      <c r="F289" s="54" t="s">
        <v>1170</v>
      </c>
      <c r="G289" s="50">
        <v>0.5</v>
      </c>
      <c r="H289" s="51" t="s">
        <v>1171</v>
      </c>
      <c r="I289" s="53">
        <v>440100</v>
      </c>
      <c r="J289" s="53">
        <v>0</v>
      </c>
      <c r="K289" s="53">
        <v>22000</v>
      </c>
      <c r="L289" s="53">
        <v>0</v>
      </c>
      <c r="M289" s="53">
        <v>0</v>
      </c>
      <c r="N289" s="53">
        <v>0</v>
      </c>
      <c r="O289" s="53">
        <v>0</v>
      </c>
      <c r="P289" s="53">
        <v>0</v>
      </c>
      <c r="Q289" s="53">
        <v>0</v>
      </c>
      <c r="R289" s="53">
        <v>0</v>
      </c>
      <c r="S289" s="53">
        <v>0</v>
      </c>
      <c r="T289" s="53">
        <v>0</v>
      </c>
      <c r="U289" s="53">
        <v>1100</v>
      </c>
      <c r="V289" s="53">
        <v>0</v>
      </c>
      <c r="W289" s="53">
        <v>0</v>
      </c>
      <c r="X289" s="53">
        <v>0</v>
      </c>
      <c r="Y289" s="53">
        <v>0</v>
      </c>
      <c r="Z289" s="53">
        <v>0</v>
      </c>
      <c r="AA289" s="53">
        <v>0</v>
      </c>
      <c r="AB289" s="53">
        <v>0</v>
      </c>
      <c r="AC289" s="53">
        <v>0</v>
      </c>
      <c r="AD289" s="53">
        <v>0</v>
      </c>
      <c r="AE289" s="53">
        <v>0</v>
      </c>
      <c r="AF289" s="53">
        <v>0</v>
      </c>
      <c r="AG289" s="53">
        <v>0</v>
      </c>
      <c r="AH289" s="53">
        <v>0</v>
      </c>
      <c r="AI289" s="53">
        <v>0</v>
      </c>
      <c r="AJ289" s="53">
        <v>0</v>
      </c>
      <c r="AK289" s="53">
        <v>0</v>
      </c>
      <c r="AL289" s="53">
        <v>0</v>
      </c>
      <c r="AM289" s="53" t="str">
        <f>I289-J289-K289-L289-M289-N289-O289-P289-Q289-R289-S289-T289-U289-V289-W289-X289-Y289-Z289-AA289-AB289-AC289-AD289-AE289-AF289-AG289+AH289-AI289+AJ289+AK289-AL289</f>
        <v>0</v>
      </c>
      <c r="AN289" s="53"/>
      <c r="AO289" s="27"/>
    </row>
    <row r="290" spans="1:41">
      <c r="A290" s="44">
        <v>262</v>
      </c>
      <c r="B290" s="46" t="s">
        <v>1172</v>
      </c>
      <c r="C290" s="48" t="s">
        <v>1173</v>
      </c>
      <c r="D290" s="51" t="s">
        <v>73</v>
      </c>
      <c r="E290" s="51" t="s">
        <v>1150</v>
      </c>
      <c r="F290" s="54" t="s">
        <v>658</v>
      </c>
      <c r="G290" s="50">
        <v>2</v>
      </c>
      <c r="H290" s="51" t="s">
        <v>1174</v>
      </c>
      <c r="I290" s="53">
        <v>166500</v>
      </c>
      <c r="J290" s="53">
        <v>0</v>
      </c>
      <c r="K290" s="53">
        <v>22000</v>
      </c>
      <c r="L290" s="53">
        <v>0</v>
      </c>
      <c r="M290" s="53">
        <v>0</v>
      </c>
      <c r="N290" s="53">
        <v>0</v>
      </c>
      <c r="O290" s="53">
        <v>0</v>
      </c>
      <c r="P290" s="53">
        <v>0</v>
      </c>
      <c r="Q290" s="53">
        <v>0</v>
      </c>
      <c r="R290" s="53">
        <v>0</v>
      </c>
      <c r="S290" s="53">
        <v>0</v>
      </c>
      <c r="T290" s="53">
        <v>0</v>
      </c>
      <c r="U290" s="53">
        <v>1100</v>
      </c>
      <c r="V290" s="53">
        <v>0</v>
      </c>
      <c r="W290" s="53">
        <v>0</v>
      </c>
      <c r="X290" s="53">
        <v>0</v>
      </c>
      <c r="Y290" s="53">
        <v>0</v>
      </c>
      <c r="Z290" s="53">
        <v>0</v>
      </c>
      <c r="AA290" s="53">
        <v>0</v>
      </c>
      <c r="AB290" s="53">
        <v>0</v>
      </c>
      <c r="AC290" s="53">
        <v>0</v>
      </c>
      <c r="AD290" s="53">
        <v>0</v>
      </c>
      <c r="AE290" s="53">
        <v>0</v>
      </c>
      <c r="AF290" s="53">
        <v>0</v>
      </c>
      <c r="AG290" s="53">
        <v>0</v>
      </c>
      <c r="AH290" s="53">
        <v>0</v>
      </c>
      <c r="AI290" s="53">
        <v>0</v>
      </c>
      <c r="AJ290" s="53">
        <v>0</v>
      </c>
      <c r="AK290" s="53">
        <v>0</v>
      </c>
      <c r="AL290" s="53">
        <v>0</v>
      </c>
      <c r="AM290" s="53" t="str">
        <f>I290-J290-K290-L290-M290-N290-O290-P290-Q290-R290-S290-T290-U290-V290-W290-X290-Y290-Z290-AA290-AB290-AC290-AD290-AE290-AF290-AG290+AH290-AI290+AJ290+AK290-AL290</f>
        <v>0</v>
      </c>
      <c r="AN290" s="53"/>
      <c r="AO290" s="27"/>
    </row>
    <row r="291" spans="1:41">
      <c r="A291" s="44">
        <v>263</v>
      </c>
      <c r="B291" s="46" t="s">
        <v>1175</v>
      </c>
      <c r="C291" s="48" t="s">
        <v>1176</v>
      </c>
      <c r="D291" s="51" t="s">
        <v>73</v>
      </c>
      <c r="E291" s="51" t="s">
        <v>1150</v>
      </c>
      <c r="F291" s="54" t="s">
        <v>615</v>
      </c>
      <c r="G291" s="50">
        <v>2</v>
      </c>
      <c r="H291" s="51" t="s">
        <v>1177</v>
      </c>
      <c r="I291" s="53">
        <v>134100</v>
      </c>
      <c r="J291" s="53">
        <v>0</v>
      </c>
      <c r="K291" s="53">
        <v>22000</v>
      </c>
      <c r="L291" s="53">
        <v>0</v>
      </c>
      <c r="M291" s="53">
        <v>0</v>
      </c>
      <c r="N291" s="53">
        <v>0</v>
      </c>
      <c r="O291" s="53">
        <v>0</v>
      </c>
      <c r="P291" s="53">
        <v>0</v>
      </c>
      <c r="Q291" s="53">
        <v>0</v>
      </c>
      <c r="R291" s="53">
        <v>0</v>
      </c>
      <c r="S291" s="53">
        <v>0</v>
      </c>
      <c r="T291" s="53">
        <v>0</v>
      </c>
      <c r="U291" s="53">
        <v>1100</v>
      </c>
      <c r="V291" s="53">
        <v>0</v>
      </c>
      <c r="W291" s="53">
        <v>0</v>
      </c>
      <c r="X291" s="53">
        <v>0</v>
      </c>
      <c r="Y291" s="53">
        <v>0</v>
      </c>
      <c r="Z291" s="53">
        <v>0</v>
      </c>
      <c r="AA291" s="53">
        <v>0</v>
      </c>
      <c r="AB291" s="53">
        <v>0</v>
      </c>
      <c r="AC291" s="53">
        <v>0</v>
      </c>
      <c r="AD291" s="53">
        <v>0</v>
      </c>
      <c r="AE291" s="53">
        <v>0</v>
      </c>
      <c r="AF291" s="53">
        <v>0</v>
      </c>
      <c r="AG291" s="53">
        <v>0</v>
      </c>
      <c r="AH291" s="53">
        <v>0</v>
      </c>
      <c r="AI291" s="53">
        <v>0</v>
      </c>
      <c r="AJ291" s="53">
        <v>0</v>
      </c>
      <c r="AK291" s="53">
        <v>0</v>
      </c>
      <c r="AL291" s="53">
        <v>0</v>
      </c>
      <c r="AM291" s="53" t="str">
        <f>I291-J291-K291-L291-M291-N291-O291-P291-Q291-R291-S291-T291-U291-V291-W291-X291-Y291-Z291-AA291-AB291-AC291-AD291-AE291-AF291-AG291+AH291-AI291+AJ291+AK291-AL291</f>
        <v>0</v>
      </c>
      <c r="AN291" s="53"/>
      <c r="AO291" s="27"/>
    </row>
    <row r="292" spans="1:41">
      <c r="A292" s="44">
        <v>264</v>
      </c>
      <c r="B292" s="46" t="s">
        <v>1178</v>
      </c>
      <c r="C292" s="48" t="s">
        <v>1179</v>
      </c>
      <c r="D292" s="51" t="s">
        <v>73</v>
      </c>
      <c r="E292" s="51" t="s">
        <v>1150</v>
      </c>
      <c r="F292" s="54" t="s">
        <v>1146</v>
      </c>
      <c r="G292" s="50">
        <v>2</v>
      </c>
      <c r="H292" s="51" t="s">
        <v>1180</v>
      </c>
      <c r="I292" s="53">
        <v>269100</v>
      </c>
      <c r="J292" s="53">
        <v>0</v>
      </c>
      <c r="K292" s="53">
        <v>22000</v>
      </c>
      <c r="L292" s="53">
        <v>0</v>
      </c>
      <c r="M292" s="53">
        <v>0</v>
      </c>
      <c r="N292" s="53">
        <v>0</v>
      </c>
      <c r="O292" s="53">
        <v>0</v>
      </c>
      <c r="P292" s="53">
        <v>0</v>
      </c>
      <c r="Q292" s="53">
        <v>0</v>
      </c>
      <c r="R292" s="53">
        <v>0</v>
      </c>
      <c r="S292" s="53">
        <v>0</v>
      </c>
      <c r="T292" s="53">
        <v>0</v>
      </c>
      <c r="U292" s="53">
        <v>1100</v>
      </c>
      <c r="V292" s="53">
        <v>0</v>
      </c>
      <c r="W292" s="53">
        <v>0</v>
      </c>
      <c r="X292" s="53">
        <v>0</v>
      </c>
      <c r="Y292" s="53">
        <v>0</v>
      </c>
      <c r="Z292" s="53">
        <v>0</v>
      </c>
      <c r="AA292" s="53">
        <v>0</v>
      </c>
      <c r="AB292" s="53">
        <v>0</v>
      </c>
      <c r="AC292" s="53">
        <v>0</v>
      </c>
      <c r="AD292" s="53">
        <v>0</v>
      </c>
      <c r="AE292" s="53">
        <v>0</v>
      </c>
      <c r="AF292" s="53">
        <v>0</v>
      </c>
      <c r="AG292" s="53">
        <v>0</v>
      </c>
      <c r="AH292" s="53">
        <v>0</v>
      </c>
      <c r="AI292" s="53">
        <v>0</v>
      </c>
      <c r="AJ292" s="53">
        <v>0</v>
      </c>
      <c r="AK292" s="53">
        <v>0</v>
      </c>
      <c r="AL292" s="53">
        <v>0</v>
      </c>
      <c r="AM292" s="53" t="str">
        <f>I292-J292-K292-L292-M292-N292-O292-P292-Q292-R292-S292-T292-U292-V292-W292-X292-Y292-Z292-AA292-AB292-AC292-AD292-AE292-AF292-AG292+AH292-AI292+AJ292+AK292-AL292</f>
        <v>0</v>
      </c>
      <c r="AN292" s="53"/>
      <c r="AO292" s="27"/>
    </row>
    <row r="293" spans="1:41">
      <c r="A293" s="44">
        <v>265</v>
      </c>
      <c r="B293" s="46" t="s">
        <v>1181</v>
      </c>
      <c r="C293" s="48" t="s">
        <v>1182</v>
      </c>
      <c r="D293" s="51" t="s">
        <v>73</v>
      </c>
      <c r="E293" s="51" t="s">
        <v>1150</v>
      </c>
      <c r="F293" s="54" t="s">
        <v>1183</v>
      </c>
      <c r="G293" s="50">
        <v>2</v>
      </c>
      <c r="H293" s="51" t="s">
        <v>1184</v>
      </c>
      <c r="I293" s="53">
        <v>540000</v>
      </c>
      <c r="J293" s="53">
        <v>0</v>
      </c>
      <c r="K293" s="53">
        <v>22000</v>
      </c>
      <c r="L293" s="53">
        <v>0</v>
      </c>
      <c r="M293" s="53">
        <v>0</v>
      </c>
      <c r="N293" s="53">
        <v>0</v>
      </c>
      <c r="O293" s="53">
        <v>0</v>
      </c>
      <c r="P293" s="53">
        <v>0</v>
      </c>
      <c r="Q293" s="53">
        <v>0</v>
      </c>
      <c r="R293" s="53">
        <v>0</v>
      </c>
      <c r="S293" s="53">
        <v>0</v>
      </c>
      <c r="T293" s="53">
        <v>0</v>
      </c>
      <c r="U293" s="53">
        <v>1100</v>
      </c>
      <c r="V293" s="53">
        <v>0</v>
      </c>
      <c r="W293" s="53">
        <v>0</v>
      </c>
      <c r="X293" s="53">
        <v>0</v>
      </c>
      <c r="Y293" s="53">
        <v>0</v>
      </c>
      <c r="Z293" s="53">
        <v>0</v>
      </c>
      <c r="AA293" s="53">
        <v>0</v>
      </c>
      <c r="AB293" s="53">
        <v>0</v>
      </c>
      <c r="AC293" s="53">
        <v>0</v>
      </c>
      <c r="AD293" s="53">
        <v>0</v>
      </c>
      <c r="AE293" s="53">
        <v>0</v>
      </c>
      <c r="AF293" s="53">
        <v>0</v>
      </c>
      <c r="AG293" s="53">
        <v>0</v>
      </c>
      <c r="AH293" s="53">
        <v>0</v>
      </c>
      <c r="AI293" s="53">
        <v>0</v>
      </c>
      <c r="AJ293" s="53">
        <v>0</v>
      </c>
      <c r="AK293" s="53">
        <v>0</v>
      </c>
      <c r="AL293" s="53">
        <v>0</v>
      </c>
      <c r="AM293" s="53" t="str">
        <f>I293-J293-K293-L293-M293-N293-O293-P293-Q293-R293-S293-T293-U293-V293-W293-X293-Y293-Z293-AA293-AB293-AC293-AD293-AE293-AF293-AG293+AH293-AI293+AJ293+AK293-AL293</f>
        <v>0</v>
      </c>
      <c r="AN293" s="53"/>
      <c r="AO293" s="27"/>
    </row>
    <row r="294" spans="1:41">
      <c r="A294" s="44">
        <v>266</v>
      </c>
      <c r="B294" s="46" t="s">
        <v>1185</v>
      </c>
      <c r="C294" s="48" t="s">
        <v>1186</v>
      </c>
      <c r="D294" s="51" t="s">
        <v>73</v>
      </c>
      <c r="E294" s="51" t="s">
        <v>1187</v>
      </c>
      <c r="F294" s="54" t="s">
        <v>623</v>
      </c>
      <c r="G294" s="50">
        <v>4</v>
      </c>
      <c r="H294" s="51" t="s">
        <v>1188</v>
      </c>
      <c r="I294" s="53">
        <v>427500</v>
      </c>
      <c r="J294" s="53">
        <v>0</v>
      </c>
      <c r="K294" s="53">
        <v>25000</v>
      </c>
      <c r="L294" s="53">
        <v>0</v>
      </c>
      <c r="M294" s="53">
        <v>0</v>
      </c>
      <c r="N294" s="53">
        <v>0</v>
      </c>
      <c r="O294" s="53">
        <v>0</v>
      </c>
      <c r="P294" s="53">
        <v>0</v>
      </c>
      <c r="Q294" s="53">
        <v>0</v>
      </c>
      <c r="R294" s="53">
        <v>0</v>
      </c>
      <c r="S294" s="53">
        <v>0</v>
      </c>
      <c r="T294" s="53">
        <v>0</v>
      </c>
      <c r="U294" s="53">
        <v>1250</v>
      </c>
      <c r="V294" s="53">
        <v>0</v>
      </c>
      <c r="W294" s="53">
        <v>0</v>
      </c>
      <c r="X294" s="53">
        <v>0</v>
      </c>
      <c r="Y294" s="53">
        <v>0</v>
      </c>
      <c r="Z294" s="53">
        <v>0</v>
      </c>
      <c r="AA294" s="53">
        <v>0</v>
      </c>
      <c r="AB294" s="53">
        <v>0</v>
      </c>
      <c r="AC294" s="53">
        <v>0</v>
      </c>
      <c r="AD294" s="53">
        <v>0</v>
      </c>
      <c r="AE294" s="53">
        <v>0</v>
      </c>
      <c r="AF294" s="53">
        <v>0</v>
      </c>
      <c r="AG294" s="53">
        <v>0</v>
      </c>
      <c r="AH294" s="53">
        <v>0</v>
      </c>
      <c r="AI294" s="53">
        <v>0</v>
      </c>
      <c r="AJ294" s="53">
        <v>0</v>
      </c>
      <c r="AK294" s="53">
        <v>0</v>
      </c>
      <c r="AL294" s="53">
        <v>0</v>
      </c>
      <c r="AM294" s="53" t="str">
        <f>I294-J294-K294-L294-M294-N294-O294-P294-Q294-R294-S294-T294-U294-V294-W294-X294-Y294-Z294-AA294-AB294-AC294-AD294-AE294-AF294-AG294+AH294-AI294+AJ294+AK294-AL294</f>
        <v>0</v>
      </c>
      <c r="AN294" s="53"/>
      <c r="AO294" s="27"/>
    </row>
    <row r="295" spans="1:41">
      <c r="A295" s="44">
        <v>267</v>
      </c>
      <c r="B295" s="46" t="s">
        <v>1189</v>
      </c>
      <c r="C295" s="48" t="s">
        <v>1190</v>
      </c>
      <c r="D295" s="51" t="s">
        <v>73</v>
      </c>
      <c r="E295" s="51" t="s">
        <v>1187</v>
      </c>
      <c r="F295" s="54" t="s">
        <v>1191</v>
      </c>
      <c r="G295" s="50">
        <v>2</v>
      </c>
      <c r="H295" s="51" t="s">
        <v>1192</v>
      </c>
      <c r="I295" s="53">
        <v>351000</v>
      </c>
      <c r="J295" s="53">
        <v>0</v>
      </c>
      <c r="K295" s="53">
        <v>22000</v>
      </c>
      <c r="L295" s="53">
        <v>0</v>
      </c>
      <c r="M295" s="53">
        <v>0</v>
      </c>
      <c r="N295" s="53">
        <v>0</v>
      </c>
      <c r="O295" s="53">
        <v>0</v>
      </c>
      <c r="P295" s="53">
        <v>0</v>
      </c>
      <c r="Q295" s="53">
        <v>0</v>
      </c>
      <c r="R295" s="53">
        <v>0</v>
      </c>
      <c r="S295" s="53">
        <v>0</v>
      </c>
      <c r="T295" s="53">
        <v>0</v>
      </c>
      <c r="U295" s="53">
        <v>1100</v>
      </c>
      <c r="V295" s="53">
        <v>0</v>
      </c>
      <c r="W295" s="53">
        <v>0</v>
      </c>
      <c r="X295" s="53">
        <v>0</v>
      </c>
      <c r="Y295" s="53">
        <v>0</v>
      </c>
      <c r="Z295" s="53">
        <v>0</v>
      </c>
      <c r="AA295" s="53">
        <v>0</v>
      </c>
      <c r="AB295" s="53">
        <v>0</v>
      </c>
      <c r="AC295" s="53">
        <v>0</v>
      </c>
      <c r="AD295" s="53">
        <v>0</v>
      </c>
      <c r="AE295" s="53">
        <v>0</v>
      </c>
      <c r="AF295" s="53">
        <v>0</v>
      </c>
      <c r="AG295" s="53">
        <v>0</v>
      </c>
      <c r="AH295" s="53">
        <v>0</v>
      </c>
      <c r="AI295" s="53">
        <v>0</v>
      </c>
      <c r="AJ295" s="53">
        <v>0</v>
      </c>
      <c r="AK295" s="53">
        <v>0</v>
      </c>
      <c r="AL295" s="53">
        <v>0</v>
      </c>
      <c r="AM295" s="53" t="str">
        <f>I295-J295-K295-L295-M295-N295-O295-P295-Q295-R295-S295-T295-U295-V295-W295-X295-Y295-Z295-AA295-AB295-AC295-AD295-AE295-AF295-AG295+AH295-AI295+AJ295+AK295-AL295</f>
        <v>0</v>
      </c>
      <c r="AN295" s="53"/>
      <c r="AO295" s="27"/>
    </row>
    <row r="296" spans="1:41">
      <c r="A296" s="44">
        <v>268</v>
      </c>
      <c r="B296" s="46" t="s">
        <v>1193</v>
      </c>
      <c r="C296" s="48" t="s">
        <v>1194</v>
      </c>
      <c r="D296" s="51" t="s">
        <v>73</v>
      </c>
      <c r="E296" s="51" t="s">
        <v>1187</v>
      </c>
      <c r="F296" s="54" t="s">
        <v>1195</v>
      </c>
      <c r="G296" s="50">
        <v>5</v>
      </c>
      <c r="H296" s="51" t="s">
        <v>1196</v>
      </c>
      <c r="I296" s="53">
        <v>891000</v>
      </c>
      <c r="J296" s="53">
        <v>0</v>
      </c>
      <c r="K296" s="53">
        <v>27000</v>
      </c>
      <c r="L296" s="53">
        <v>0</v>
      </c>
      <c r="M296" s="53">
        <v>0</v>
      </c>
      <c r="N296" s="53">
        <v>0</v>
      </c>
      <c r="O296" s="53">
        <v>0</v>
      </c>
      <c r="P296" s="53">
        <v>0</v>
      </c>
      <c r="Q296" s="53">
        <v>0</v>
      </c>
      <c r="R296" s="53">
        <v>0</v>
      </c>
      <c r="S296" s="53">
        <v>0</v>
      </c>
      <c r="T296" s="53">
        <v>0</v>
      </c>
      <c r="U296" s="53">
        <v>1350</v>
      </c>
      <c r="V296" s="53">
        <v>0</v>
      </c>
      <c r="W296" s="53">
        <v>0</v>
      </c>
      <c r="X296" s="53">
        <v>0</v>
      </c>
      <c r="Y296" s="53">
        <v>0</v>
      </c>
      <c r="Z296" s="53">
        <v>0</v>
      </c>
      <c r="AA296" s="53">
        <v>0</v>
      </c>
      <c r="AB296" s="53">
        <v>0</v>
      </c>
      <c r="AC296" s="53">
        <v>0</v>
      </c>
      <c r="AD296" s="53">
        <v>0</v>
      </c>
      <c r="AE296" s="53">
        <v>0</v>
      </c>
      <c r="AF296" s="53">
        <v>0</v>
      </c>
      <c r="AG296" s="53">
        <v>0</v>
      </c>
      <c r="AH296" s="53">
        <v>0</v>
      </c>
      <c r="AI296" s="53">
        <v>0</v>
      </c>
      <c r="AJ296" s="53">
        <v>0</v>
      </c>
      <c r="AK296" s="53">
        <v>0</v>
      </c>
      <c r="AL296" s="53">
        <v>0</v>
      </c>
      <c r="AM296" s="53" t="str">
        <f>I296-J296-K296-L296-M296-N296-O296-P296-Q296-R296-S296-T296-U296-V296-W296-X296-Y296-Z296-AA296-AB296-AC296-AD296-AE296-AF296-AG296+AH296-AI296+AJ296+AK296-AL296</f>
        <v>0</v>
      </c>
      <c r="AN296" s="53"/>
      <c r="AO296" s="27"/>
    </row>
    <row r="297" spans="1:41">
      <c r="A297" s="44">
        <v>269</v>
      </c>
      <c r="B297" s="46" t="s">
        <v>1197</v>
      </c>
      <c r="C297" s="48" t="s">
        <v>1198</v>
      </c>
      <c r="D297" s="51" t="s">
        <v>73</v>
      </c>
      <c r="E297" s="51" t="s">
        <v>1187</v>
      </c>
      <c r="F297" s="54" t="s">
        <v>1199</v>
      </c>
      <c r="G297" s="50">
        <v>9.7</v>
      </c>
      <c r="H297" s="51" t="s">
        <v>1200</v>
      </c>
      <c r="I297" s="53">
        <v>891000</v>
      </c>
      <c r="J297" s="53">
        <v>0</v>
      </c>
      <c r="K297" s="53">
        <v>49000</v>
      </c>
      <c r="L297" s="53">
        <v>0</v>
      </c>
      <c r="M297" s="53">
        <v>0</v>
      </c>
      <c r="N297" s="53">
        <v>0</v>
      </c>
      <c r="O297" s="53">
        <v>0</v>
      </c>
      <c r="P297" s="53">
        <v>0</v>
      </c>
      <c r="Q297" s="53">
        <v>0</v>
      </c>
      <c r="R297" s="53">
        <v>0</v>
      </c>
      <c r="S297" s="53">
        <v>0</v>
      </c>
      <c r="T297" s="53">
        <v>0</v>
      </c>
      <c r="U297" s="53">
        <v>2450</v>
      </c>
      <c r="V297" s="53">
        <v>0</v>
      </c>
      <c r="W297" s="53">
        <v>0</v>
      </c>
      <c r="X297" s="53">
        <v>0</v>
      </c>
      <c r="Y297" s="53">
        <v>0</v>
      </c>
      <c r="Z297" s="53">
        <v>0</v>
      </c>
      <c r="AA297" s="53">
        <v>0</v>
      </c>
      <c r="AB297" s="53">
        <v>0</v>
      </c>
      <c r="AC297" s="53">
        <v>0</v>
      </c>
      <c r="AD297" s="53">
        <v>0</v>
      </c>
      <c r="AE297" s="53">
        <v>0</v>
      </c>
      <c r="AF297" s="53">
        <v>0</v>
      </c>
      <c r="AG297" s="53">
        <v>0</v>
      </c>
      <c r="AH297" s="53">
        <v>0</v>
      </c>
      <c r="AI297" s="53">
        <v>0</v>
      </c>
      <c r="AJ297" s="53">
        <v>0</v>
      </c>
      <c r="AK297" s="53">
        <v>0</v>
      </c>
      <c r="AL297" s="53">
        <v>0</v>
      </c>
      <c r="AM297" s="53" t="str">
        <f>I297-J297-K297-L297-M297-N297-O297-P297-Q297-R297-S297-T297-U297-V297-W297-X297-Y297-Z297-AA297-AB297-AC297-AD297-AE297-AF297-AG297+AH297-AI297+AJ297+AK297-AL297</f>
        <v>0</v>
      </c>
      <c r="AN297" s="53"/>
      <c r="AO297" s="27"/>
    </row>
    <row r="298" spans="1:41">
      <c r="A298" s="44">
        <v>270</v>
      </c>
      <c r="B298" s="46" t="s">
        <v>1201</v>
      </c>
      <c r="C298" s="48" t="s">
        <v>1202</v>
      </c>
      <c r="D298" s="51" t="s">
        <v>73</v>
      </c>
      <c r="E298" s="51" t="s">
        <v>1187</v>
      </c>
      <c r="F298" s="54" t="s">
        <v>1203</v>
      </c>
      <c r="G298" s="50">
        <v>2</v>
      </c>
      <c r="H298" s="51" t="s">
        <v>1204</v>
      </c>
      <c r="I298" s="53">
        <v>149000</v>
      </c>
      <c r="J298" s="53">
        <v>0</v>
      </c>
      <c r="K298" s="53">
        <v>22000</v>
      </c>
      <c r="L298" s="53">
        <v>0</v>
      </c>
      <c r="M298" s="53">
        <v>0</v>
      </c>
      <c r="N298" s="53">
        <v>0</v>
      </c>
      <c r="O298" s="53">
        <v>0</v>
      </c>
      <c r="P298" s="53">
        <v>0</v>
      </c>
      <c r="Q298" s="53">
        <v>0</v>
      </c>
      <c r="R298" s="53">
        <v>0</v>
      </c>
      <c r="S298" s="53">
        <v>0</v>
      </c>
      <c r="T298" s="53">
        <v>0</v>
      </c>
      <c r="U298" s="53">
        <v>1100</v>
      </c>
      <c r="V298" s="53">
        <v>0</v>
      </c>
      <c r="W298" s="53">
        <v>0</v>
      </c>
      <c r="X298" s="53">
        <v>0</v>
      </c>
      <c r="Y298" s="53">
        <v>0</v>
      </c>
      <c r="Z298" s="53">
        <v>0</v>
      </c>
      <c r="AA298" s="53">
        <v>0</v>
      </c>
      <c r="AB298" s="53">
        <v>0</v>
      </c>
      <c r="AC298" s="53">
        <v>0</v>
      </c>
      <c r="AD298" s="53">
        <v>0</v>
      </c>
      <c r="AE298" s="53">
        <v>0</v>
      </c>
      <c r="AF298" s="53">
        <v>0</v>
      </c>
      <c r="AG298" s="53">
        <v>0</v>
      </c>
      <c r="AH298" s="53">
        <v>0</v>
      </c>
      <c r="AI298" s="53">
        <v>0</v>
      </c>
      <c r="AJ298" s="53">
        <v>0</v>
      </c>
      <c r="AK298" s="53">
        <v>0</v>
      </c>
      <c r="AL298" s="53">
        <v>0</v>
      </c>
      <c r="AM298" s="53" t="str">
        <f>I298-J298-K298-L298-M298-N298-O298-P298-Q298-R298-S298-T298-U298-V298-W298-X298-Y298-Z298-AA298-AB298-AC298-AD298-AE298-AF298-AG298+AH298-AI298+AJ298+AK298-AL298</f>
        <v>0</v>
      </c>
      <c r="AN298" s="53"/>
      <c r="AO298" s="27"/>
    </row>
    <row r="299" spans="1:41">
      <c r="A299" s="44">
        <v>271</v>
      </c>
      <c r="B299" s="46" t="s">
        <v>1205</v>
      </c>
      <c r="C299" s="48" t="s">
        <v>1206</v>
      </c>
      <c r="D299" s="51" t="s">
        <v>73</v>
      </c>
      <c r="E299" s="51" t="s">
        <v>1207</v>
      </c>
      <c r="F299" s="54" t="s">
        <v>1208</v>
      </c>
      <c r="G299" s="50">
        <v>3</v>
      </c>
      <c r="H299" s="51" t="s">
        <v>1209</v>
      </c>
      <c r="I299" s="53">
        <v>0</v>
      </c>
      <c r="J299" s="53">
        <v>0</v>
      </c>
      <c r="K299" s="53">
        <v>22000</v>
      </c>
      <c r="L299" s="53">
        <v>0</v>
      </c>
      <c r="M299" s="53">
        <v>0</v>
      </c>
      <c r="N299" s="53">
        <v>0</v>
      </c>
      <c r="O299" s="53">
        <v>0</v>
      </c>
      <c r="P299" s="53">
        <v>0</v>
      </c>
      <c r="Q299" s="53">
        <v>0</v>
      </c>
      <c r="R299" s="53">
        <v>0</v>
      </c>
      <c r="S299" s="53">
        <v>0</v>
      </c>
      <c r="T299" s="53">
        <v>0</v>
      </c>
      <c r="U299" s="53">
        <v>1100</v>
      </c>
      <c r="V299" s="53">
        <v>0</v>
      </c>
      <c r="W299" s="53">
        <v>0</v>
      </c>
      <c r="X299" s="53">
        <v>0</v>
      </c>
      <c r="Y299" s="53">
        <v>0</v>
      </c>
      <c r="Z299" s="53">
        <v>0</v>
      </c>
      <c r="AA299" s="53">
        <v>0</v>
      </c>
      <c r="AB299" s="53">
        <v>0</v>
      </c>
      <c r="AC299" s="53">
        <v>0</v>
      </c>
      <c r="AD299" s="53">
        <v>0</v>
      </c>
      <c r="AE299" s="53">
        <v>0</v>
      </c>
      <c r="AF299" s="53">
        <v>0</v>
      </c>
      <c r="AG299" s="53">
        <v>0</v>
      </c>
      <c r="AH299" s="53">
        <v>0</v>
      </c>
      <c r="AI299" s="53">
        <v>0</v>
      </c>
      <c r="AJ299" s="53">
        <v>0</v>
      </c>
      <c r="AK299" s="53">
        <v>0</v>
      </c>
      <c r="AL299" s="53">
        <v>0</v>
      </c>
      <c r="AM299" s="53" t="str">
        <f>I299-J299-K299-L299-M299-N299-O299-P299-Q299-R299-S299-T299-U299-V299-W299-X299-Y299-Z299-AA299-AB299-AC299-AD299-AE299-AF299-AG299+AH299-AI299+AJ299+AK299-AL299</f>
        <v>0</v>
      </c>
      <c r="AN299" s="53"/>
      <c r="AO299" s="27"/>
    </row>
    <row r="300" spans="1:41">
      <c r="A300" s="44">
        <v>272</v>
      </c>
      <c r="B300" s="46" t="s">
        <v>1210</v>
      </c>
      <c r="C300" s="48" t="s">
        <v>1211</v>
      </c>
      <c r="D300" s="51" t="s">
        <v>62</v>
      </c>
      <c r="E300" s="51" t="s">
        <v>1207</v>
      </c>
      <c r="F300" s="54" t="s">
        <v>927</v>
      </c>
      <c r="G300" s="50">
        <v>9</v>
      </c>
      <c r="H300" s="51" t="s">
        <v>1212</v>
      </c>
      <c r="I300" s="53">
        <v>0</v>
      </c>
      <c r="J300" s="53">
        <v>0</v>
      </c>
      <c r="K300" s="53">
        <v>44000</v>
      </c>
      <c r="L300" s="53">
        <v>0</v>
      </c>
      <c r="M300" s="53">
        <v>0</v>
      </c>
      <c r="N300" s="53">
        <v>0</v>
      </c>
      <c r="O300" s="53">
        <v>0</v>
      </c>
      <c r="P300" s="53">
        <v>0</v>
      </c>
      <c r="Q300" s="53">
        <v>0</v>
      </c>
      <c r="R300" s="53">
        <v>0</v>
      </c>
      <c r="S300" s="53">
        <v>0</v>
      </c>
      <c r="T300" s="53">
        <v>0</v>
      </c>
      <c r="U300" s="53">
        <v>2200</v>
      </c>
      <c r="V300" s="53">
        <v>0</v>
      </c>
      <c r="W300" s="53">
        <v>0</v>
      </c>
      <c r="X300" s="53">
        <v>0</v>
      </c>
      <c r="Y300" s="53">
        <v>5250</v>
      </c>
      <c r="Z300" s="53">
        <v>0</v>
      </c>
      <c r="AA300" s="53">
        <v>0</v>
      </c>
      <c r="AB300" s="53">
        <v>0</v>
      </c>
      <c r="AC300" s="53">
        <v>0</v>
      </c>
      <c r="AD300" s="53">
        <v>0</v>
      </c>
      <c r="AE300" s="53">
        <v>0</v>
      </c>
      <c r="AF300" s="53">
        <v>0</v>
      </c>
      <c r="AG300" s="53">
        <v>0</v>
      </c>
      <c r="AH300" s="53">
        <v>0</v>
      </c>
      <c r="AI300" s="53">
        <v>0</v>
      </c>
      <c r="AJ300" s="53">
        <v>0</v>
      </c>
      <c r="AK300" s="53">
        <v>0</v>
      </c>
      <c r="AL300" s="53">
        <v>0</v>
      </c>
      <c r="AM300" s="53" t="str">
        <f>I300-J300-K300-L300-M300-N300-O300-P300-Q300-R300-S300-T300-U300-V300-W300-X300-Y300-Z300-AA300-AB300-AC300-AD300-AE300-AF300-AG300+AH300-AI300+AJ300+AK300-AL300</f>
        <v>0</v>
      </c>
      <c r="AN300" s="53"/>
      <c r="AO300" s="27"/>
    </row>
    <row r="301" spans="1:41">
      <c r="A301" s="44">
        <v>273</v>
      </c>
      <c r="B301" s="46" t="s">
        <v>1213</v>
      </c>
      <c r="C301" s="48" t="s">
        <v>1214</v>
      </c>
      <c r="D301" s="51" t="s">
        <v>73</v>
      </c>
      <c r="E301" s="51" t="s">
        <v>1207</v>
      </c>
      <c r="F301" s="54" t="s">
        <v>1215</v>
      </c>
      <c r="G301" s="50">
        <v>5</v>
      </c>
      <c r="H301" s="51" t="s">
        <v>1216</v>
      </c>
      <c r="I301" s="53">
        <v>649000</v>
      </c>
      <c r="J301" s="53">
        <v>0</v>
      </c>
      <c r="K301" s="53">
        <v>27000</v>
      </c>
      <c r="L301" s="53">
        <v>0</v>
      </c>
      <c r="M301" s="53">
        <v>0</v>
      </c>
      <c r="N301" s="53">
        <v>0</v>
      </c>
      <c r="O301" s="53">
        <v>0</v>
      </c>
      <c r="P301" s="53">
        <v>0</v>
      </c>
      <c r="Q301" s="53">
        <v>0</v>
      </c>
      <c r="R301" s="53">
        <v>0</v>
      </c>
      <c r="S301" s="53">
        <v>0</v>
      </c>
      <c r="T301" s="53">
        <v>0</v>
      </c>
      <c r="U301" s="53">
        <v>1350</v>
      </c>
      <c r="V301" s="53">
        <v>0</v>
      </c>
      <c r="W301" s="53">
        <v>0</v>
      </c>
      <c r="X301" s="53">
        <v>0</v>
      </c>
      <c r="Y301" s="53">
        <v>0</v>
      </c>
      <c r="Z301" s="53">
        <v>0</v>
      </c>
      <c r="AA301" s="53">
        <v>0</v>
      </c>
      <c r="AB301" s="53">
        <v>0</v>
      </c>
      <c r="AC301" s="53">
        <v>0</v>
      </c>
      <c r="AD301" s="53">
        <v>0</v>
      </c>
      <c r="AE301" s="53">
        <v>0</v>
      </c>
      <c r="AF301" s="53">
        <v>0</v>
      </c>
      <c r="AG301" s="53">
        <v>0</v>
      </c>
      <c r="AH301" s="53">
        <v>0</v>
      </c>
      <c r="AI301" s="53">
        <v>0</v>
      </c>
      <c r="AJ301" s="53">
        <v>0</v>
      </c>
      <c r="AK301" s="53">
        <v>0</v>
      </c>
      <c r="AL301" s="53">
        <v>0</v>
      </c>
      <c r="AM301" s="53" t="str">
        <f>I301-J301-K301-L301-M301-N301-O301-P301-Q301-R301-S301-T301-U301-V301-W301-X301-Y301-Z301-AA301-AB301-AC301-AD301-AE301-AF301-AG301+AH301-AI301+AJ301+AK301-AL301</f>
        <v>0</v>
      </c>
      <c r="AN301" s="53"/>
      <c r="AO301" s="27"/>
    </row>
    <row r="302" spans="1:41">
      <c r="A302" s="44">
        <v>274</v>
      </c>
      <c r="B302" s="46" t="s">
        <v>1217</v>
      </c>
      <c r="C302" s="48" t="s">
        <v>1218</v>
      </c>
      <c r="D302" s="51" t="s">
        <v>73</v>
      </c>
      <c r="E302" s="51" t="s">
        <v>1219</v>
      </c>
      <c r="F302" s="54" t="s">
        <v>293</v>
      </c>
      <c r="G302" s="50">
        <v>3</v>
      </c>
      <c r="H302" s="51" t="s">
        <v>1220</v>
      </c>
      <c r="I302" s="53">
        <v>449100</v>
      </c>
      <c r="J302" s="53">
        <v>0</v>
      </c>
      <c r="K302" s="53">
        <v>22000</v>
      </c>
      <c r="L302" s="53">
        <v>0</v>
      </c>
      <c r="M302" s="53">
        <v>0</v>
      </c>
      <c r="N302" s="53">
        <v>0</v>
      </c>
      <c r="O302" s="53">
        <v>0</v>
      </c>
      <c r="P302" s="53">
        <v>0</v>
      </c>
      <c r="Q302" s="53">
        <v>0</v>
      </c>
      <c r="R302" s="53">
        <v>0</v>
      </c>
      <c r="S302" s="53">
        <v>0</v>
      </c>
      <c r="T302" s="53">
        <v>0</v>
      </c>
      <c r="U302" s="53">
        <v>1100</v>
      </c>
      <c r="V302" s="53">
        <v>0</v>
      </c>
      <c r="W302" s="53">
        <v>0</v>
      </c>
      <c r="X302" s="53">
        <v>0</v>
      </c>
      <c r="Y302" s="53">
        <v>0</v>
      </c>
      <c r="Z302" s="53">
        <v>0</v>
      </c>
      <c r="AA302" s="53">
        <v>0</v>
      </c>
      <c r="AB302" s="53">
        <v>0</v>
      </c>
      <c r="AC302" s="53">
        <v>0</v>
      </c>
      <c r="AD302" s="53">
        <v>0</v>
      </c>
      <c r="AE302" s="53">
        <v>0</v>
      </c>
      <c r="AF302" s="53">
        <v>0</v>
      </c>
      <c r="AG302" s="53">
        <v>0</v>
      </c>
      <c r="AH302" s="53">
        <v>0</v>
      </c>
      <c r="AI302" s="53">
        <v>0</v>
      </c>
      <c r="AJ302" s="53">
        <v>0</v>
      </c>
      <c r="AK302" s="53">
        <v>0</v>
      </c>
      <c r="AL302" s="53">
        <v>0</v>
      </c>
      <c r="AM302" s="53" t="str">
        <f>I302-J302-K302-L302-M302-N302-O302-P302-Q302-R302-S302-T302-U302-V302-W302-X302-Y302-Z302-AA302-AB302-AC302-AD302-AE302-AF302-AG302+AH302-AI302+AJ302+AK302-AL302</f>
        <v>0</v>
      </c>
      <c r="AN302" s="53"/>
      <c r="AO302" s="27"/>
    </row>
    <row r="303" spans="1:41">
      <c r="A303" s="44">
        <v>275</v>
      </c>
      <c r="B303" s="46" t="s">
        <v>1221</v>
      </c>
      <c r="C303" s="48" t="s">
        <v>1222</v>
      </c>
      <c r="D303" s="51" t="s">
        <v>73</v>
      </c>
      <c r="E303" s="51" t="s">
        <v>1219</v>
      </c>
      <c r="F303" s="54" t="s">
        <v>1223</v>
      </c>
      <c r="G303" s="50">
        <v>4</v>
      </c>
      <c r="H303" s="51" t="s">
        <v>1224</v>
      </c>
      <c r="I303" s="53">
        <v>661500</v>
      </c>
      <c r="J303" s="53">
        <v>0</v>
      </c>
      <c r="K303" s="53">
        <v>25000</v>
      </c>
      <c r="L303" s="53">
        <v>0</v>
      </c>
      <c r="M303" s="53">
        <v>0</v>
      </c>
      <c r="N303" s="53">
        <v>0</v>
      </c>
      <c r="O303" s="53">
        <v>0</v>
      </c>
      <c r="P303" s="53">
        <v>0</v>
      </c>
      <c r="Q303" s="53">
        <v>0</v>
      </c>
      <c r="R303" s="53">
        <v>0</v>
      </c>
      <c r="S303" s="53">
        <v>0</v>
      </c>
      <c r="T303" s="53">
        <v>0</v>
      </c>
      <c r="U303" s="53">
        <v>1250</v>
      </c>
      <c r="V303" s="53">
        <v>0</v>
      </c>
      <c r="W303" s="53">
        <v>0</v>
      </c>
      <c r="X303" s="53">
        <v>0</v>
      </c>
      <c r="Y303" s="53">
        <v>0</v>
      </c>
      <c r="Z303" s="53">
        <v>0</v>
      </c>
      <c r="AA303" s="53">
        <v>0</v>
      </c>
      <c r="AB303" s="53">
        <v>0</v>
      </c>
      <c r="AC303" s="53">
        <v>0</v>
      </c>
      <c r="AD303" s="53">
        <v>0</v>
      </c>
      <c r="AE303" s="53">
        <v>0</v>
      </c>
      <c r="AF303" s="53">
        <v>0</v>
      </c>
      <c r="AG303" s="53">
        <v>0</v>
      </c>
      <c r="AH303" s="53">
        <v>0</v>
      </c>
      <c r="AI303" s="53">
        <v>0</v>
      </c>
      <c r="AJ303" s="53">
        <v>0</v>
      </c>
      <c r="AK303" s="53">
        <v>0</v>
      </c>
      <c r="AL303" s="53">
        <v>0</v>
      </c>
      <c r="AM303" s="53" t="str">
        <f>I303-J303-K303-L303-M303-N303-O303-P303-Q303-R303-S303-T303-U303-V303-W303-X303-Y303-Z303-AA303-AB303-AC303-AD303-AE303-AF303-AG303+AH303-AI303+AJ303+AK303-AL303</f>
        <v>0</v>
      </c>
      <c r="AN303" s="53"/>
      <c r="AO303" s="27"/>
    </row>
    <row r="304" spans="1:41">
      <c r="A304" s="44">
        <v>276</v>
      </c>
      <c r="B304" s="46" t="s">
        <v>1225</v>
      </c>
      <c r="C304" s="48" t="s">
        <v>1226</v>
      </c>
      <c r="D304" s="51" t="s">
        <v>73</v>
      </c>
      <c r="E304" s="51" t="s">
        <v>1219</v>
      </c>
      <c r="F304" s="54" t="s">
        <v>1227</v>
      </c>
      <c r="G304" s="50">
        <v>3</v>
      </c>
      <c r="H304" s="51" t="s">
        <v>1228</v>
      </c>
      <c r="I304" s="53">
        <v>719100</v>
      </c>
      <c r="J304" s="53">
        <v>0</v>
      </c>
      <c r="K304" s="53">
        <v>22000</v>
      </c>
      <c r="L304" s="53">
        <v>0</v>
      </c>
      <c r="M304" s="53">
        <v>0</v>
      </c>
      <c r="N304" s="53">
        <v>0</v>
      </c>
      <c r="O304" s="53">
        <v>0</v>
      </c>
      <c r="P304" s="53">
        <v>0</v>
      </c>
      <c r="Q304" s="53">
        <v>0</v>
      </c>
      <c r="R304" s="53">
        <v>0</v>
      </c>
      <c r="S304" s="53">
        <v>0</v>
      </c>
      <c r="T304" s="53">
        <v>0</v>
      </c>
      <c r="U304" s="53">
        <v>1100</v>
      </c>
      <c r="V304" s="53">
        <v>0</v>
      </c>
      <c r="W304" s="53">
        <v>0</v>
      </c>
      <c r="X304" s="53">
        <v>0</v>
      </c>
      <c r="Y304" s="53">
        <v>0</v>
      </c>
      <c r="Z304" s="53">
        <v>0</v>
      </c>
      <c r="AA304" s="53">
        <v>0</v>
      </c>
      <c r="AB304" s="53">
        <v>0</v>
      </c>
      <c r="AC304" s="53">
        <v>0</v>
      </c>
      <c r="AD304" s="53">
        <v>0</v>
      </c>
      <c r="AE304" s="53">
        <v>0</v>
      </c>
      <c r="AF304" s="53">
        <v>0</v>
      </c>
      <c r="AG304" s="53">
        <v>0</v>
      </c>
      <c r="AH304" s="53">
        <v>0</v>
      </c>
      <c r="AI304" s="53">
        <v>0</v>
      </c>
      <c r="AJ304" s="53">
        <v>0</v>
      </c>
      <c r="AK304" s="53">
        <v>0</v>
      </c>
      <c r="AL304" s="53">
        <v>0</v>
      </c>
      <c r="AM304" s="53" t="str">
        <f>I304-J304-K304-L304-M304-N304-O304-P304-Q304-R304-S304-T304-U304-V304-W304-X304-Y304-Z304-AA304-AB304-AC304-AD304-AE304-AF304-AG304+AH304-AI304+AJ304+AK304-AL304</f>
        <v>0</v>
      </c>
      <c r="AN304" s="53"/>
      <c r="AO304" s="27"/>
    </row>
    <row r="305" spans="1:41">
      <c r="A305" s="44">
        <v>277</v>
      </c>
      <c r="B305" s="46" t="s">
        <v>1229</v>
      </c>
      <c r="C305" s="48" t="s">
        <v>1230</v>
      </c>
      <c r="D305" s="51" t="s">
        <v>73</v>
      </c>
      <c r="E305" s="51" t="s">
        <v>1219</v>
      </c>
      <c r="F305" s="54" t="s">
        <v>1231</v>
      </c>
      <c r="G305" s="50">
        <v>3</v>
      </c>
      <c r="H305" s="51" t="s">
        <v>1232</v>
      </c>
      <c r="I305" s="53">
        <v>297000</v>
      </c>
      <c r="J305" s="53">
        <v>0</v>
      </c>
      <c r="K305" s="53">
        <v>22000</v>
      </c>
      <c r="L305" s="53">
        <v>0</v>
      </c>
      <c r="M305" s="53">
        <v>0</v>
      </c>
      <c r="N305" s="53">
        <v>0</v>
      </c>
      <c r="O305" s="53">
        <v>0</v>
      </c>
      <c r="P305" s="53">
        <v>0</v>
      </c>
      <c r="Q305" s="53">
        <v>0</v>
      </c>
      <c r="R305" s="53">
        <v>0</v>
      </c>
      <c r="S305" s="53">
        <v>0</v>
      </c>
      <c r="T305" s="53">
        <v>0</v>
      </c>
      <c r="U305" s="53">
        <v>1100</v>
      </c>
      <c r="V305" s="53">
        <v>0</v>
      </c>
      <c r="W305" s="53">
        <v>0</v>
      </c>
      <c r="X305" s="53">
        <v>0</v>
      </c>
      <c r="Y305" s="53">
        <v>0</v>
      </c>
      <c r="Z305" s="53">
        <v>0</v>
      </c>
      <c r="AA305" s="53">
        <v>0</v>
      </c>
      <c r="AB305" s="53">
        <v>0</v>
      </c>
      <c r="AC305" s="53">
        <v>0</v>
      </c>
      <c r="AD305" s="53">
        <v>0</v>
      </c>
      <c r="AE305" s="53">
        <v>0</v>
      </c>
      <c r="AF305" s="53">
        <v>0</v>
      </c>
      <c r="AG305" s="53">
        <v>0</v>
      </c>
      <c r="AH305" s="53">
        <v>0</v>
      </c>
      <c r="AI305" s="53">
        <v>0</v>
      </c>
      <c r="AJ305" s="53">
        <v>0</v>
      </c>
      <c r="AK305" s="53">
        <v>0</v>
      </c>
      <c r="AL305" s="53">
        <v>0</v>
      </c>
      <c r="AM305" s="53" t="str">
        <f>I305-J305-K305-L305-M305-N305-O305-P305-Q305-R305-S305-T305-U305-V305-W305-X305-Y305-Z305-AA305-AB305-AC305-AD305-AE305-AF305-AG305+AH305-AI305+AJ305+AK305-AL305</f>
        <v>0</v>
      </c>
      <c r="AN305" s="53"/>
      <c r="AO305" s="27"/>
    </row>
    <row r="306" spans="1:41">
      <c r="A306" s="44">
        <v>278</v>
      </c>
      <c r="B306" s="46" t="s">
        <v>1233</v>
      </c>
      <c r="C306" s="48" t="s">
        <v>1234</v>
      </c>
      <c r="D306" s="51" t="s">
        <v>73</v>
      </c>
      <c r="E306" s="51" t="s">
        <v>1235</v>
      </c>
      <c r="F306" s="54" t="s">
        <v>1236</v>
      </c>
      <c r="G306" s="50">
        <v>5</v>
      </c>
      <c r="H306" s="51" t="s">
        <v>1237</v>
      </c>
      <c r="I306" s="53">
        <v>719100</v>
      </c>
      <c r="J306" s="53">
        <v>0</v>
      </c>
      <c r="K306" s="53">
        <v>27000</v>
      </c>
      <c r="L306" s="53">
        <v>0</v>
      </c>
      <c r="M306" s="53">
        <v>0</v>
      </c>
      <c r="N306" s="53">
        <v>0</v>
      </c>
      <c r="O306" s="53">
        <v>0</v>
      </c>
      <c r="P306" s="53">
        <v>0</v>
      </c>
      <c r="Q306" s="53">
        <v>0</v>
      </c>
      <c r="R306" s="53">
        <v>0</v>
      </c>
      <c r="S306" s="53">
        <v>0</v>
      </c>
      <c r="T306" s="53">
        <v>0</v>
      </c>
      <c r="U306" s="53">
        <v>1350</v>
      </c>
      <c r="V306" s="53">
        <v>0</v>
      </c>
      <c r="W306" s="53">
        <v>0</v>
      </c>
      <c r="X306" s="53">
        <v>0</v>
      </c>
      <c r="Y306" s="53">
        <v>0</v>
      </c>
      <c r="Z306" s="53">
        <v>0</v>
      </c>
      <c r="AA306" s="53">
        <v>0</v>
      </c>
      <c r="AB306" s="53">
        <v>0</v>
      </c>
      <c r="AC306" s="53">
        <v>0</v>
      </c>
      <c r="AD306" s="53">
        <v>0</v>
      </c>
      <c r="AE306" s="53">
        <v>0</v>
      </c>
      <c r="AF306" s="53">
        <v>0</v>
      </c>
      <c r="AG306" s="53">
        <v>0</v>
      </c>
      <c r="AH306" s="53">
        <v>0</v>
      </c>
      <c r="AI306" s="53">
        <v>0</v>
      </c>
      <c r="AJ306" s="53">
        <v>0</v>
      </c>
      <c r="AK306" s="53">
        <v>0</v>
      </c>
      <c r="AL306" s="53">
        <v>0</v>
      </c>
      <c r="AM306" s="53" t="str">
        <f>I306-J306-K306-L306-M306-N306-O306-P306-Q306-R306-S306-T306-U306-V306-W306-X306-Y306-Z306-AA306-AB306-AC306-AD306-AE306-AF306-AG306+AH306-AI306+AJ306+AK306-AL306</f>
        <v>0</v>
      </c>
      <c r="AN306" s="53"/>
      <c r="AO306" s="27"/>
    </row>
    <row r="307" spans="1:41">
      <c r="A307" s="44">
        <v>279</v>
      </c>
      <c r="B307" s="46" t="s">
        <v>1238</v>
      </c>
      <c r="C307" s="48" t="s">
        <v>1239</v>
      </c>
      <c r="D307" s="51" t="s">
        <v>73</v>
      </c>
      <c r="E307" s="51" t="s">
        <v>1235</v>
      </c>
      <c r="F307" s="54" t="s">
        <v>907</v>
      </c>
      <c r="G307" s="50">
        <v>5.8</v>
      </c>
      <c r="H307" s="51" t="s">
        <v>1240</v>
      </c>
      <c r="I307" s="53">
        <v>599000</v>
      </c>
      <c r="J307" s="53">
        <v>0</v>
      </c>
      <c r="K307" s="53">
        <v>31000</v>
      </c>
      <c r="L307" s="53">
        <v>0</v>
      </c>
      <c r="M307" s="53">
        <v>0</v>
      </c>
      <c r="N307" s="53">
        <v>0</v>
      </c>
      <c r="O307" s="53">
        <v>0</v>
      </c>
      <c r="P307" s="53">
        <v>0</v>
      </c>
      <c r="Q307" s="53">
        <v>0</v>
      </c>
      <c r="R307" s="53">
        <v>0</v>
      </c>
      <c r="S307" s="53">
        <v>0</v>
      </c>
      <c r="T307" s="53">
        <v>0</v>
      </c>
      <c r="U307" s="53">
        <v>1550</v>
      </c>
      <c r="V307" s="53">
        <v>0</v>
      </c>
      <c r="W307" s="53">
        <v>0</v>
      </c>
      <c r="X307" s="53">
        <v>0</v>
      </c>
      <c r="Y307" s="53">
        <v>0</v>
      </c>
      <c r="Z307" s="53">
        <v>0</v>
      </c>
      <c r="AA307" s="53">
        <v>0</v>
      </c>
      <c r="AB307" s="53">
        <v>0</v>
      </c>
      <c r="AC307" s="53">
        <v>0</v>
      </c>
      <c r="AD307" s="53">
        <v>0</v>
      </c>
      <c r="AE307" s="53">
        <v>0</v>
      </c>
      <c r="AF307" s="53">
        <v>0</v>
      </c>
      <c r="AG307" s="53">
        <v>0</v>
      </c>
      <c r="AH307" s="53">
        <v>0</v>
      </c>
      <c r="AI307" s="53">
        <v>0</v>
      </c>
      <c r="AJ307" s="53">
        <v>0</v>
      </c>
      <c r="AK307" s="53">
        <v>0</v>
      </c>
      <c r="AL307" s="53">
        <v>0</v>
      </c>
      <c r="AM307" s="53" t="str">
        <f>I307-J307-K307-L307-M307-N307-O307-P307-Q307-R307-S307-T307-U307-V307-W307-X307-Y307-Z307-AA307-AB307-AC307-AD307-AE307-AF307-AG307+AH307-AI307+AJ307+AK307-AL307</f>
        <v>0</v>
      </c>
      <c r="AN307" s="53"/>
      <c r="AO307" s="27"/>
    </row>
    <row r="308" spans="1:41">
      <c r="A308" s="44">
        <v>280</v>
      </c>
      <c r="B308" s="46" t="s">
        <v>1241</v>
      </c>
      <c r="C308" s="48" t="s">
        <v>1242</v>
      </c>
      <c r="D308" s="51" t="s">
        <v>73</v>
      </c>
      <c r="E308" s="51" t="s">
        <v>1235</v>
      </c>
      <c r="F308" s="54" t="s">
        <v>1243</v>
      </c>
      <c r="G308" s="50">
        <v>3</v>
      </c>
      <c r="H308" s="51" t="s">
        <v>1244</v>
      </c>
      <c r="I308" s="53">
        <v>332100</v>
      </c>
      <c r="J308" s="53">
        <v>0</v>
      </c>
      <c r="K308" s="53">
        <v>22000</v>
      </c>
      <c r="L308" s="53">
        <v>0</v>
      </c>
      <c r="M308" s="53">
        <v>0</v>
      </c>
      <c r="N308" s="53">
        <v>0</v>
      </c>
      <c r="O308" s="53">
        <v>0</v>
      </c>
      <c r="P308" s="53">
        <v>0</v>
      </c>
      <c r="Q308" s="53">
        <v>0</v>
      </c>
      <c r="R308" s="53">
        <v>0</v>
      </c>
      <c r="S308" s="53">
        <v>0</v>
      </c>
      <c r="T308" s="53">
        <v>0</v>
      </c>
      <c r="U308" s="53">
        <v>1100</v>
      </c>
      <c r="V308" s="53">
        <v>0</v>
      </c>
      <c r="W308" s="53">
        <v>0</v>
      </c>
      <c r="X308" s="53">
        <v>0</v>
      </c>
      <c r="Y308" s="53">
        <v>0</v>
      </c>
      <c r="Z308" s="53">
        <v>0</v>
      </c>
      <c r="AA308" s="53">
        <v>0</v>
      </c>
      <c r="AB308" s="53">
        <v>0</v>
      </c>
      <c r="AC308" s="53">
        <v>0</v>
      </c>
      <c r="AD308" s="53">
        <v>0</v>
      </c>
      <c r="AE308" s="53">
        <v>0</v>
      </c>
      <c r="AF308" s="53">
        <v>0</v>
      </c>
      <c r="AG308" s="53">
        <v>0</v>
      </c>
      <c r="AH308" s="53">
        <v>0</v>
      </c>
      <c r="AI308" s="53">
        <v>0</v>
      </c>
      <c r="AJ308" s="53">
        <v>0</v>
      </c>
      <c r="AK308" s="53">
        <v>0</v>
      </c>
      <c r="AL308" s="53">
        <v>0</v>
      </c>
      <c r="AM308" s="53" t="str">
        <f>I308-J308-K308-L308-M308-N308-O308-P308-Q308-R308-S308-T308-U308-V308-W308-X308-Y308-Z308-AA308-AB308-AC308-AD308-AE308-AF308-AG308+AH308-AI308+AJ308+AK308-AL308</f>
        <v>0</v>
      </c>
      <c r="AN308" s="53"/>
      <c r="AO308" s="27"/>
    </row>
    <row r="309" spans="1:41">
      <c r="A309" s="44">
        <v>281</v>
      </c>
      <c r="B309" s="46" t="s">
        <v>1245</v>
      </c>
      <c r="C309" s="48" t="s">
        <v>1246</v>
      </c>
      <c r="D309" s="51" t="s">
        <v>73</v>
      </c>
      <c r="E309" s="51" t="s">
        <v>1235</v>
      </c>
      <c r="F309" s="54" t="s">
        <v>423</v>
      </c>
      <c r="G309" s="50">
        <v>2</v>
      </c>
      <c r="H309" s="51" t="s">
        <v>1247</v>
      </c>
      <c r="I309" s="53">
        <v>229500</v>
      </c>
      <c r="J309" s="53">
        <v>0</v>
      </c>
      <c r="K309" s="53">
        <v>22000</v>
      </c>
      <c r="L309" s="53">
        <v>0</v>
      </c>
      <c r="M309" s="53">
        <v>0</v>
      </c>
      <c r="N309" s="53">
        <v>0</v>
      </c>
      <c r="O309" s="53">
        <v>0</v>
      </c>
      <c r="P309" s="53">
        <v>0</v>
      </c>
      <c r="Q309" s="53">
        <v>0</v>
      </c>
      <c r="R309" s="53">
        <v>0</v>
      </c>
      <c r="S309" s="53">
        <v>0</v>
      </c>
      <c r="T309" s="53">
        <v>0</v>
      </c>
      <c r="U309" s="53">
        <v>1100</v>
      </c>
      <c r="V309" s="53">
        <v>0</v>
      </c>
      <c r="W309" s="53">
        <v>0</v>
      </c>
      <c r="X309" s="53">
        <v>0</v>
      </c>
      <c r="Y309" s="53">
        <v>0</v>
      </c>
      <c r="Z309" s="53">
        <v>0</v>
      </c>
      <c r="AA309" s="53">
        <v>0</v>
      </c>
      <c r="AB309" s="53">
        <v>0</v>
      </c>
      <c r="AC309" s="53">
        <v>0</v>
      </c>
      <c r="AD309" s="53">
        <v>0</v>
      </c>
      <c r="AE309" s="53">
        <v>0</v>
      </c>
      <c r="AF309" s="53">
        <v>0</v>
      </c>
      <c r="AG309" s="53">
        <v>0</v>
      </c>
      <c r="AH309" s="53">
        <v>0</v>
      </c>
      <c r="AI309" s="53">
        <v>0</v>
      </c>
      <c r="AJ309" s="53">
        <v>0</v>
      </c>
      <c r="AK309" s="53">
        <v>0</v>
      </c>
      <c r="AL309" s="53">
        <v>0</v>
      </c>
      <c r="AM309" s="53" t="str">
        <f>I309-J309-K309-L309-M309-N309-O309-P309-Q309-R309-S309-T309-U309-V309-W309-X309-Y309-Z309-AA309-AB309-AC309-AD309-AE309-AF309-AG309+AH309-AI309+AJ309+AK309-AL309</f>
        <v>0</v>
      </c>
      <c r="AN309" s="53"/>
      <c r="AO309" s="27"/>
    </row>
    <row r="310" spans="1:41">
      <c r="A310" s="44">
        <v>282</v>
      </c>
      <c r="B310" s="46" t="s">
        <v>1248</v>
      </c>
      <c r="C310" s="48" t="s">
        <v>1249</v>
      </c>
      <c r="D310" s="51" t="s">
        <v>73</v>
      </c>
      <c r="E310" s="51" t="s">
        <v>1235</v>
      </c>
      <c r="F310" s="54" t="s">
        <v>1250</v>
      </c>
      <c r="G310" s="50">
        <v>12</v>
      </c>
      <c r="H310" s="51" t="s">
        <v>1251</v>
      </c>
      <c r="I310" s="53">
        <v>1583000</v>
      </c>
      <c r="J310" s="53">
        <v>0</v>
      </c>
      <c r="K310" s="53">
        <v>59000</v>
      </c>
      <c r="L310" s="53">
        <v>0</v>
      </c>
      <c r="M310" s="53">
        <v>0</v>
      </c>
      <c r="N310" s="53">
        <v>0</v>
      </c>
      <c r="O310" s="53">
        <v>0</v>
      </c>
      <c r="P310" s="53">
        <v>0</v>
      </c>
      <c r="Q310" s="53">
        <v>0</v>
      </c>
      <c r="R310" s="53">
        <v>0</v>
      </c>
      <c r="S310" s="53">
        <v>0</v>
      </c>
      <c r="T310" s="53">
        <v>0</v>
      </c>
      <c r="U310" s="53">
        <v>2950</v>
      </c>
      <c r="V310" s="53">
        <v>0</v>
      </c>
      <c r="W310" s="53">
        <v>0</v>
      </c>
      <c r="X310" s="53">
        <v>0</v>
      </c>
      <c r="Y310" s="53">
        <v>0</v>
      </c>
      <c r="Z310" s="53">
        <v>0</v>
      </c>
      <c r="AA310" s="53">
        <v>0</v>
      </c>
      <c r="AB310" s="53">
        <v>0</v>
      </c>
      <c r="AC310" s="53">
        <v>0</v>
      </c>
      <c r="AD310" s="53">
        <v>0</v>
      </c>
      <c r="AE310" s="53">
        <v>0</v>
      </c>
      <c r="AF310" s="53">
        <v>0</v>
      </c>
      <c r="AG310" s="53">
        <v>0</v>
      </c>
      <c r="AH310" s="53">
        <v>0</v>
      </c>
      <c r="AI310" s="53">
        <v>0</v>
      </c>
      <c r="AJ310" s="53">
        <v>0</v>
      </c>
      <c r="AK310" s="53">
        <v>0</v>
      </c>
      <c r="AL310" s="53">
        <v>0</v>
      </c>
      <c r="AM310" s="53" t="str">
        <f>I310-J310-K310-L310-M310-N310-O310-P310-Q310-R310-S310-T310-U310-V310-W310-X310-Y310-Z310-AA310-AB310-AC310-AD310-AE310-AF310-AG310+AH310-AI310+AJ310+AK310-AL310</f>
        <v>0</v>
      </c>
      <c r="AN310" s="53"/>
      <c r="AO310" s="27"/>
    </row>
    <row r="311" spans="1:41">
      <c r="A311" s="44">
        <v>283</v>
      </c>
      <c r="B311" s="46" t="s">
        <v>1252</v>
      </c>
      <c r="C311" s="48" t="s">
        <v>1253</v>
      </c>
      <c r="D311" s="51" t="s">
        <v>73</v>
      </c>
      <c r="E311" s="51" t="s">
        <v>1254</v>
      </c>
      <c r="F311" s="54" t="s">
        <v>927</v>
      </c>
      <c r="G311" s="50">
        <v>5</v>
      </c>
      <c r="H311" s="51" t="s">
        <v>1255</v>
      </c>
      <c r="I311" s="53">
        <v>891000</v>
      </c>
      <c r="J311" s="53">
        <v>0</v>
      </c>
      <c r="K311" s="53">
        <v>27000</v>
      </c>
      <c r="L311" s="53">
        <v>0</v>
      </c>
      <c r="M311" s="53">
        <v>0</v>
      </c>
      <c r="N311" s="53">
        <v>0</v>
      </c>
      <c r="O311" s="53">
        <v>0</v>
      </c>
      <c r="P311" s="53">
        <v>0</v>
      </c>
      <c r="Q311" s="53">
        <v>0</v>
      </c>
      <c r="R311" s="53">
        <v>0</v>
      </c>
      <c r="S311" s="53">
        <v>0</v>
      </c>
      <c r="T311" s="53">
        <v>0</v>
      </c>
      <c r="U311" s="53">
        <v>1350</v>
      </c>
      <c r="V311" s="53">
        <v>0</v>
      </c>
      <c r="W311" s="53">
        <v>0</v>
      </c>
      <c r="X311" s="53">
        <v>0</v>
      </c>
      <c r="Y311" s="53">
        <v>0</v>
      </c>
      <c r="Z311" s="53">
        <v>0</v>
      </c>
      <c r="AA311" s="53">
        <v>0</v>
      </c>
      <c r="AB311" s="53">
        <v>0</v>
      </c>
      <c r="AC311" s="53">
        <v>0</v>
      </c>
      <c r="AD311" s="53">
        <v>0</v>
      </c>
      <c r="AE311" s="53">
        <v>0</v>
      </c>
      <c r="AF311" s="53">
        <v>0</v>
      </c>
      <c r="AG311" s="53">
        <v>0</v>
      </c>
      <c r="AH311" s="53">
        <v>0</v>
      </c>
      <c r="AI311" s="53">
        <v>0</v>
      </c>
      <c r="AJ311" s="53">
        <v>0</v>
      </c>
      <c r="AK311" s="53">
        <v>0</v>
      </c>
      <c r="AL311" s="53">
        <v>0</v>
      </c>
      <c r="AM311" s="53" t="str">
        <f>I311-J311-K311-L311-M311-N311-O311-P311-Q311-R311-S311-T311-U311-V311-W311-X311-Y311-Z311-AA311-AB311-AC311-AD311-AE311-AF311-AG311+AH311-AI311+AJ311+AK311-AL311</f>
        <v>0</v>
      </c>
      <c r="AN311" s="53"/>
      <c r="AO311" s="27"/>
    </row>
    <row r="312" spans="1:41">
      <c r="A312" s="44">
        <v>284</v>
      </c>
      <c r="B312" s="46" t="s">
        <v>1256</v>
      </c>
      <c r="C312" s="48" t="s">
        <v>1257</v>
      </c>
      <c r="D312" s="51" t="s">
        <v>73</v>
      </c>
      <c r="E312" s="51" t="s">
        <v>1254</v>
      </c>
      <c r="F312" s="54" t="s">
        <v>1258</v>
      </c>
      <c r="G312" s="50">
        <v>3</v>
      </c>
      <c r="H312" s="51" t="s">
        <v>1259</v>
      </c>
      <c r="I312" s="53">
        <v>332100</v>
      </c>
      <c r="J312" s="53">
        <v>0</v>
      </c>
      <c r="K312" s="53">
        <v>22000</v>
      </c>
      <c r="L312" s="53">
        <v>0</v>
      </c>
      <c r="M312" s="53">
        <v>0</v>
      </c>
      <c r="N312" s="53">
        <v>0</v>
      </c>
      <c r="O312" s="53">
        <v>0</v>
      </c>
      <c r="P312" s="53">
        <v>0</v>
      </c>
      <c r="Q312" s="53">
        <v>0</v>
      </c>
      <c r="R312" s="53">
        <v>0</v>
      </c>
      <c r="S312" s="53">
        <v>0</v>
      </c>
      <c r="T312" s="53">
        <v>0</v>
      </c>
      <c r="U312" s="53">
        <v>1100</v>
      </c>
      <c r="V312" s="53">
        <v>0</v>
      </c>
      <c r="W312" s="53">
        <v>0</v>
      </c>
      <c r="X312" s="53">
        <v>0</v>
      </c>
      <c r="Y312" s="53">
        <v>0</v>
      </c>
      <c r="Z312" s="53">
        <v>0</v>
      </c>
      <c r="AA312" s="53">
        <v>0</v>
      </c>
      <c r="AB312" s="53">
        <v>0</v>
      </c>
      <c r="AC312" s="53">
        <v>0</v>
      </c>
      <c r="AD312" s="53">
        <v>0</v>
      </c>
      <c r="AE312" s="53">
        <v>0</v>
      </c>
      <c r="AF312" s="53">
        <v>0</v>
      </c>
      <c r="AG312" s="53">
        <v>0</v>
      </c>
      <c r="AH312" s="53">
        <v>0</v>
      </c>
      <c r="AI312" s="53">
        <v>0</v>
      </c>
      <c r="AJ312" s="53">
        <v>0</v>
      </c>
      <c r="AK312" s="53">
        <v>0</v>
      </c>
      <c r="AL312" s="53">
        <v>0</v>
      </c>
      <c r="AM312" s="53" t="str">
        <f>I312-J312-K312-L312-M312-N312-O312-P312-Q312-R312-S312-T312-U312-V312-W312-X312-Y312-Z312-AA312-AB312-AC312-AD312-AE312-AF312-AG312+AH312-AI312+AJ312+AK312-AL312</f>
        <v>0</v>
      </c>
      <c r="AN312" s="53"/>
      <c r="AO312" s="27"/>
    </row>
    <row r="313" spans="1:41">
      <c r="A313" s="44">
        <v>285</v>
      </c>
      <c r="B313" s="46" t="s">
        <v>1260</v>
      </c>
      <c r="C313" s="48" t="s">
        <v>1261</v>
      </c>
      <c r="D313" s="51" t="s">
        <v>73</v>
      </c>
      <c r="E313" s="51" t="s">
        <v>1254</v>
      </c>
      <c r="F313" s="54" t="s">
        <v>1262</v>
      </c>
      <c r="G313" s="50">
        <v>2</v>
      </c>
      <c r="H313" s="51" t="s">
        <v>1263</v>
      </c>
      <c r="I313" s="53">
        <v>490500</v>
      </c>
      <c r="J313" s="53">
        <v>0</v>
      </c>
      <c r="K313" s="53">
        <v>22000</v>
      </c>
      <c r="L313" s="53">
        <v>0</v>
      </c>
      <c r="M313" s="53">
        <v>0</v>
      </c>
      <c r="N313" s="53">
        <v>0</v>
      </c>
      <c r="O313" s="53">
        <v>0</v>
      </c>
      <c r="P313" s="53">
        <v>0</v>
      </c>
      <c r="Q313" s="53">
        <v>0</v>
      </c>
      <c r="R313" s="53">
        <v>0</v>
      </c>
      <c r="S313" s="53">
        <v>0</v>
      </c>
      <c r="T313" s="53">
        <v>0</v>
      </c>
      <c r="U313" s="53">
        <v>1100</v>
      </c>
      <c r="V313" s="53">
        <v>0</v>
      </c>
      <c r="W313" s="53">
        <v>0</v>
      </c>
      <c r="X313" s="53">
        <v>0</v>
      </c>
      <c r="Y313" s="53">
        <v>0</v>
      </c>
      <c r="Z313" s="53">
        <v>0</v>
      </c>
      <c r="AA313" s="53">
        <v>0</v>
      </c>
      <c r="AB313" s="53">
        <v>0</v>
      </c>
      <c r="AC313" s="53">
        <v>0</v>
      </c>
      <c r="AD313" s="53">
        <v>0</v>
      </c>
      <c r="AE313" s="53">
        <v>0</v>
      </c>
      <c r="AF313" s="53">
        <v>0</v>
      </c>
      <c r="AG313" s="53">
        <v>0</v>
      </c>
      <c r="AH313" s="53">
        <v>0</v>
      </c>
      <c r="AI313" s="53">
        <v>0</v>
      </c>
      <c r="AJ313" s="53">
        <v>0</v>
      </c>
      <c r="AK313" s="53">
        <v>0</v>
      </c>
      <c r="AL313" s="53">
        <v>0</v>
      </c>
      <c r="AM313" s="53" t="str">
        <f>I313-J313-K313-L313-M313-N313-O313-P313-Q313-R313-S313-T313-U313-V313-W313-X313-Y313-Z313-AA313-AB313-AC313-AD313-AE313-AF313-AG313+AH313-AI313+AJ313+AK313-AL313</f>
        <v>0</v>
      </c>
      <c r="AN313" s="53"/>
      <c r="AO313" s="27"/>
    </row>
    <row r="314" spans="1:41">
      <c r="A314" s="44">
        <v>286</v>
      </c>
      <c r="B314" s="46" t="s">
        <v>1264</v>
      </c>
      <c r="C314" s="48" t="s">
        <v>1265</v>
      </c>
      <c r="D314" s="51" t="s">
        <v>62</v>
      </c>
      <c r="E314" s="51" t="s">
        <v>1254</v>
      </c>
      <c r="F314" s="54" t="s">
        <v>1266</v>
      </c>
      <c r="G314" s="50">
        <v>5</v>
      </c>
      <c r="H314" s="51" t="s">
        <v>1267</v>
      </c>
      <c r="I314" s="53">
        <v>0</v>
      </c>
      <c r="J314" s="53">
        <v>0</v>
      </c>
      <c r="K314" s="53">
        <v>27000</v>
      </c>
      <c r="L314" s="53">
        <v>0</v>
      </c>
      <c r="M314" s="53">
        <v>0</v>
      </c>
      <c r="N314" s="53">
        <v>0</v>
      </c>
      <c r="O314" s="53">
        <v>0</v>
      </c>
      <c r="P314" s="53">
        <v>0</v>
      </c>
      <c r="Q314" s="53">
        <v>0</v>
      </c>
      <c r="R314" s="53">
        <v>0</v>
      </c>
      <c r="S314" s="53">
        <v>0</v>
      </c>
      <c r="T314" s="53">
        <v>0</v>
      </c>
      <c r="U314" s="53">
        <v>1350</v>
      </c>
      <c r="V314" s="53">
        <v>0</v>
      </c>
      <c r="W314" s="53">
        <v>0</v>
      </c>
      <c r="X314" s="53">
        <v>0</v>
      </c>
      <c r="Y314" s="53">
        <v>14175</v>
      </c>
      <c r="Z314" s="53">
        <v>0</v>
      </c>
      <c r="AA314" s="53">
        <v>0</v>
      </c>
      <c r="AB314" s="53">
        <v>0</v>
      </c>
      <c r="AC314" s="53">
        <v>0</v>
      </c>
      <c r="AD314" s="53">
        <v>0</v>
      </c>
      <c r="AE314" s="53">
        <v>0</v>
      </c>
      <c r="AF314" s="53">
        <v>0</v>
      </c>
      <c r="AG314" s="53">
        <v>0</v>
      </c>
      <c r="AH314" s="53">
        <v>0</v>
      </c>
      <c r="AI314" s="53">
        <v>0</v>
      </c>
      <c r="AJ314" s="53">
        <v>0</v>
      </c>
      <c r="AK314" s="53">
        <v>0</v>
      </c>
      <c r="AL314" s="53">
        <v>0</v>
      </c>
      <c r="AM314" s="53" t="str">
        <f>I314-J314-K314-L314-M314-N314-O314-P314-Q314-R314-S314-T314-U314-V314-W314-X314-Y314-Z314-AA314-AB314-AC314-AD314-AE314-AF314-AG314+AH314-AI314+AJ314+AK314-AL314</f>
        <v>0</v>
      </c>
      <c r="AN314" s="53"/>
      <c r="AO314" s="27"/>
    </row>
    <row r="315" spans="1:41">
      <c r="A315" s="44">
        <v>287</v>
      </c>
      <c r="B315" s="46" t="s">
        <v>1268</v>
      </c>
      <c r="C315" s="48" t="s">
        <v>1269</v>
      </c>
      <c r="D315" s="51" t="s">
        <v>73</v>
      </c>
      <c r="E315" s="51" t="s">
        <v>1270</v>
      </c>
      <c r="F315" s="54" t="s">
        <v>1271</v>
      </c>
      <c r="G315" s="50">
        <v>5</v>
      </c>
      <c r="H315" s="51" t="s">
        <v>1272</v>
      </c>
      <c r="I315" s="53">
        <v>891000</v>
      </c>
      <c r="J315" s="53">
        <v>0</v>
      </c>
      <c r="K315" s="53">
        <v>27000</v>
      </c>
      <c r="L315" s="53">
        <v>0</v>
      </c>
      <c r="M315" s="53">
        <v>0</v>
      </c>
      <c r="N315" s="53">
        <v>0</v>
      </c>
      <c r="O315" s="53">
        <v>0</v>
      </c>
      <c r="P315" s="53">
        <v>0</v>
      </c>
      <c r="Q315" s="53">
        <v>0</v>
      </c>
      <c r="R315" s="53">
        <v>0</v>
      </c>
      <c r="S315" s="53">
        <v>0</v>
      </c>
      <c r="T315" s="53">
        <v>0</v>
      </c>
      <c r="U315" s="53">
        <v>1350</v>
      </c>
      <c r="V315" s="53">
        <v>0</v>
      </c>
      <c r="W315" s="53">
        <v>0</v>
      </c>
      <c r="X315" s="53">
        <v>0</v>
      </c>
      <c r="Y315" s="53">
        <v>0</v>
      </c>
      <c r="Z315" s="53">
        <v>0</v>
      </c>
      <c r="AA315" s="53">
        <v>0</v>
      </c>
      <c r="AB315" s="53">
        <v>0</v>
      </c>
      <c r="AC315" s="53">
        <v>0</v>
      </c>
      <c r="AD315" s="53">
        <v>0</v>
      </c>
      <c r="AE315" s="53">
        <v>0</v>
      </c>
      <c r="AF315" s="53">
        <v>0</v>
      </c>
      <c r="AG315" s="53">
        <v>0</v>
      </c>
      <c r="AH315" s="53">
        <v>0</v>
      </c>
      <c r="AI315" s="53">
        <v>0</v>
      </c>
      <c r="AJ315" s="53">
        <v>0</v>
      </c>
      <c r="AK315" s="53">
        <v>0</v>
      </c>
      <c r="AL315" s="53">
        <v>0</v>
      </c>
      <c r="AM315" s="53" t="str">
        <f>I315-J315-K315-L315-M315-N315-O315-P315-Q315-R315-S315-T315-U315-V315-W315-X315-Y315-Z315-AA315-AB315-AC315-AD315-AE315-AF315-AG315+AH315-AI315+AJ315+AK315-AL315</f>
        <v>0</v>
      </c>
      <c r="AN315" s="53"/>
      <c r="AO315" s="27"/>
    </row>
    <row r="316" spans="1:41">
      <c r="A316" s="44">
        <v>288</v>
      </c>
      <c r="B316" s="46" t="s">
        <v>1273</v>
      </c>
      <c r="C316" s="48" t="s">
        <v>1274</v>
      </c>
      <c r="D316" s="51" t="s">
        <v>73</v>
      </c>
      <c r="E316" s="51" t="s">
        <v>1270</v>
      </c>
      <c r="F316" s="54" t="s">
        <v>1275</v>
      </c>
      <c r="G316" s="50">
        <v>5</v>
      </c>
      <c r="H316" s="51" t="s">
        <v>1276</v>
      </c>
      <c r="I316" s="53">
        <v>891000</v>
      </c>
      <c r="J316" s="53">
        <v>0</v>
      </c>
      <c r="K316" s="53">
        <v>27000</v>
      </c>
      <c r="L316" s="53">
        <v>0</v>
      </c>
      <c r="M316" s="53">
        <v>0</v>
      </c>
      <c r="N316" s="53">
        <v>0</v>
      </c>
      <c r="O316" s="53">
        <v>0</v>
      </c>
      <c r="P316" s="53">
        <v>0</v>
      </c>
      <c r="Q316" s="53">
        <v>0</v>
      </c>
      <c r="R316" s="53">
        <v>0</v>
      </c>
      <c r="S316" s="53">
        <v>0</v>
      </c>
      <c r="T316" s="53">
        <v>0</v>
      </c>
      <c r="U316" s="53">
        <v>1350</v>
      </c>
      <c r="V316" s="53">
        <v>0</v>
      </c>
      <c r="W316" s="53">
        <v>0</v>
      </c>
      <c r="X316" s="53">
        <v>0</v>
      </c>
      <c r="Y316" s="53">
        <v>0</v>
      </c>
      <c r="Z316" s="53">
        <v>0</v>
      </c>
      <c r="AA316" s="53">
        <v>0</v>
      </c>
      <c r="AB316" s="53">
        <v>0</v>
      </c>
      <c r="AC316" s="53">
        <v>0</v>
      </c>
      <c r="AD316" s="53">
        <v>0</v>
      </c>
      <c r="AE316" s="53">
        <v>0</v>
      </c>
      <c r="AF316" s="53">
        <v>0</v>
      </c>
      <c r="AG316" s="53">
        <v>0</v>
      </c>
      <c r="AH316" s="53">
        <v>0</v>
      </c>
      <c r="AI316" s="53">
        <v>0</v>
      </c>
      <c r="AJ316" s="53">
        <v>0</v>
      </c>
      <c r="AK316" s="53">
        <v>0</v>
      </c>
      <c r="AL316" s="53">
        <v>0</v>
      </c>
      <c r="AM316" s="53" t="str">
        <f>I316-J316-K316-L316-M316-N316-O316-P316-Q316-R316-S316-T316-U316-V316-W316-X316-Y316-Z316-AA316-AB316-AC316-AD316-AE316-AF316-AG316+AH316-AI316+AJ316+AK316-AL316</f>
        <v>0</v>
      </c>
      <c r="AN316" s="53"/>
      <c r="AO316" s="27"/>
    </row>
    <row r="317" spans="1:41">
      <c r="A317" s="44">
        <v>289</v>
      </c>
      <c r="B317" s="46" t="s">
        <v>1277</v>
      </c>
      <c r="C317" s="48" t="s">
        <v>1278</v>
      </c>
      <c r="D317" s="51" t="s">
        <v>73</v>
      </c>
      <c r="E317" s="51" t="s">
        <v>1270</v>
      </c>
      <c r="F317" s="54" t="s">
        <v>1279</v>
      </c>
      <c r="G317" s="50">
        <v>2</v>
      </c>
      <c r="H317" s="51" t="s">
        <v>1280</v>
      </c>
      <c r="I317" s="53">
        <v>149000</v>
      </c>
      <c r="J317" s="53">
        <v>0</v>
      </c>
      <c r="K317" s="53">
        <v>22000</v>
      </c>
      <c r="L317" s="53">
        <v>0</v>
      </c>
      <c r="M317" s="53">
        <v>0</v>
      </c>
      <c r="N317" s="53">
        <v>0</v>
      </c>
      <c r="O317" s="53">
        <v>0</v>
      </c>
      <c r="P317" s="53">
        <v>0</v>
      </c>
      <c r="Q317" s="53">
        <v>0</v>
      </c>
      <c r="R317" s="53">
        <v>0</v>
      </c>
      <c r="S317" s="53">
        <v>0</v>
      </c>
      <c r="T317" s="53">
        <v>0</v>
      </c>
      <c r="U317" s="53">
        <v>1100</v>
      </c>
      <c r="V317" s="53">
        <v>0</v>
      </c>
      <c r="W317" s="53">
        <v>0</v>
      </c>
      <c r="X317" s="53">
        <v>0</v>
      </c>
      <c r="Y317" s="53">
        <v>0</v>
      </c>
      <c r="Z317" s="53">
        <v>0</v>
      </c>
      <c r="AA317" s="53">
        <v>0</v>
      </c>
      <c r="AB317" s="53">
        <v>0</v>
      </c>
      <c r="AC317" s="53">
        <v>0</v>
      </c>
      <c r="AD317" s="53">
        <v>0</v>
      </c>
      <c r="AE317" s="53">
        <v>0</v>
      </c>
      <c r="AF317" s="53">
        <v>0</v>
      </c>
      <c r="AG317" s="53">
        <v>0</v>
      </c>
      <c r="AH317" s="53">
        <v>0</v>
      </c>
      <c r="AI317" s="53">
        <v>0</v>
      </c>
      <c r="AJ317" s="53">
        <v>0</v>
      </c>
      <c r="AK317" s="53">
        <v>0</v>
      </c>
      <c r="AL317" s="53">
        <v>0</v>
      </c>
      <c r="AM317" s="53" t="str">
        <f>I317-J317-K317-L317-M317-N317-O317-P317-Q317-R317-S317-T317-U317-V317-W317-X317-Y317-Z317-AA317-AB317-AC317-AD317-AE317-AF317-AG317+AH317-AI317+AJ317+AK317-AL317</f>
        <v>0</v>
      </c>
      <c r="AN317" s="53"/>
      <c r="AO317" s="27"/>
    </row>
    <row r="318" spans="1:41">
      <c r="A318" s="44">
        <v>290</v>
      </c>
      <c r="B318" s="46" t="s">
        <v>1281</v>
      </c>
      <c r="C318" s="48" t="s">
        <v>1282</v>
      </c>
      <c r="D318" s="51" t="s">
        <v>73</v>
      </c>
      <c r="E318" s="51" t="s">
        <v>1270</v>
      </c>
      <c r="F318" s="54" t="s">
        <v>1283</v>
      </c>
      <c r="G318" s="50">
        <v>3</v>
      </c>
      <c r="H318" s="51" t="s">
        <v>1284</v>
      </c>
      <c r="I318" s="53">
        <v>269100</v>
      </c>
      <c r="J318" s="53">
        <v>0</v>
      </c>
      <c r="K318" s="53">
        <v>22000</v>
      </c>
      <c r="L318" s="53">
        <v>0</v>
      </c>
      <c r="M318" s="53">
        <v>0</v>
      </c>
      <c r="N318" s="53">
        <v>0</v>
      </c>
      <c r="O318" s="53">
        <v>0</v>
      </c>
      <c r="P318" s="53">
        <v>0</v>
      </c>
      <c r="Q318" s="53">
        <v>0</v>
      </c>
      <c r="R318" s="53">
        <v>0</v>
      </c>
      <c r="S318" s="53">
        <v>0</v>
      </c>
      <c r="T318" s="53">
        <v>0</v>
      </c>
      <c r="U318" s="53">
        <v>1100</v>
      </c>
      <c r="V318" s="53">
        <v>0</v>
      </c>
      <c r="W318" s="53">
        <v>0</v>
      </c>
      <c r="X318" s="53">
        <v>0</v>
      </c>
      <c r="Y318" s="53">
        <v>0</v>
      </c>
      <c r="Z318" s="53">
        <v>0</v>
      </c>
      <c r="AA318" s="53">
        <v>0</v>
      </c>
      <c r="AB318" s="53">
        <v>0</v>
      </c>
      <c r="AC318" s="53">
        <v>0</v>
      </c>
      <c r="AD318" s="53">
        <v>0</v>
      </c>
      <c r="AE318" s="53">
        <v>0</v>
      </c>
      <c r="AF318" s="53">
        <v>0</v>
      </c>
      <c r="AG318" s="53">
        <v>0</v>
      </c>
      <c r="AH318" s="53">
        <v>0</v>
      </c>
      <c r="AI318" s="53">
        <v>0</v>
      </c>
      <c r="AJ318" s="53">
        <v>0</v>
      </c>
      <c r="AK318" s="53">
        <v>0</v>
      </c>
      <c r="AL318" s="53">
        <v>0</v>
      </c>
      <c r="AM318" s="53" t="str">
        <f>I318-J318-K318-L318-M318-N318-O318-P318-Q318-R318-S318-T318-U318-V318-W318-X318-Y318-Z318-AA318-AB318-AC318-AD318-AE318-AF318-AG318+AH318-AI318+AJ318+AK318-AL318</f>
        <v>0</v>
      </c>
      <c r="AN318" s="53"/>
      <c r="AO318" s="27"/>
    </row>
    <row r="319" spans="1:41">
      <c r="A319" s="44">
        <v>291</v>
      </c>
      <c r="B319" s="46" t="s">
        <v>1285</v>
      </c>
      <c r="C319" s="48" t="s">
        <v>1286</v>
      </c>
      <c r="D319" s="51" t="s">
        <v>73</v>
      </c>
      <c r="E319" s="51" t="s">
        <v>1270</v>
      </c>
      <c r="F319" s="54" t="s">
        <v>1287</v>
      </c>
      <c r="G319" s="50">
        <v>5</v>
      </c>
      <c r="H319" s="51" t="s">
        <v>1288</v>
      </c>
      <c r="I319" s="53">
        <v>891000</v>
      </c>
      <c r="J319" s="53">
        <v>0</v>
      </c>
      <c r="K319" s="53">
        <v>27000</v>
      </c>
      <c r="L319" s="53">
        <v>0</v>
      </c>
      <c r="M319" s="53">
        <v>0</v>
      </c>
      <c r="N319" s="53">
        <v>0</v>
      </c>
      <c r="O319" s="53">
        <v>0</v>
      </c>
      <c r="P319" s="53">
        <v>0</v>
      </c>
      <c r="Q319" s="53">
        <v>0</v>
      </c>
      <c r="R319" s="53">
        <v>0</v>
      </c>
      <c r="S319" s="53">
        <v>0</v>
      </c>
      <c r="T319" s="53">
        <v>0</v>
      </c>
      <c r="U319" s="53">
        <v>1350</v>
      </c>
      <c r="V319" s="53">
        <v>0</v>
      </c>
      <c r="W319" s="53">
        <v>0</v>
      </c>
      <c r="X319" s="53">
        <v>0</v>
      </c>
      <c r="Y319" s="53">
        <v>0</v>
      </c>
      <c r="Z319" s="53">
        <v>0</v>
      </c>
      <c r="AA319" s="53">
        <v>0</v>
      </c>
      <c r="AB319" s="53">
        <v>0</v>
      </c>
      <c r="AC319" s="53">
        <v>0</v>
      </c>
      <c r="AD319" s="53">
        <v>0</v>
      </c>
      <c r="AE319" s="53">
        <v>0</v>
      </c>
      <c r="AF319" s="53">
        <v>0</v>
      </c>
      <c r="AG319" s="53">
        <v>0</v>
      </c>
      <c r="AH319" s="53">
        <v>0</v>
      </c>
      <c r="AI319" s="53">
        <v>0</v>
      </c>
      <c r="AJ319" s="53">
        <v>0</v>
      </c>
      <c r="AK319" s="53">
        <v>0</v>
      </c>
      <c r="AL319" s="53">
        <v>0</v>
      </c>
      <c r="AM319" s="53" t="str">
        <f>I319-J319-K319-L319-M319-N319-O319-P319-Q319-R319-S319-T319-U319-V319-W319-X319-Y319-Z319-AA319-AB319-AC319-AD319-AE319-AF319-AG319+AH319-AI319+AJ319+AK319-AL319</f>
        <v>0</v>
      </c>
      <c r="AN319" s="53"/>
      <c r="AO319" s="27"/>
    </row>
    <row r="320" spans="1:41">
      <c r="A320" s="44">
        <v>292</v>
      </c>
      <c r="B320" s="46" t="s">
        <v>1289</v>
      </c>
      <c r="C320" s="48" t="s">
        <v>1290</v>
      </c>
      <c r="D320" s="51" t="s">
        <v>73</v>
      </c>
      <c r="E320" s="51" t="s">
        <v>1291</v>
      </c>
      <c r="F320" s="54" t="s">
        <v>1292</v>
      </c>
      <c r="G320" s="50">
        <v>2</v>
      </c>
      <c r="H320" s="51" t="s">
        <v>1293</v>
      </c>
      <c r="I320" s="53">
        <v>351000</v>
      </c>
      <c r="J320" s="53">
        <v>0</v>
      </c>
      <c r="K320" s="53">
        <v>22000</v>
      </c>
      <c r="L320" s="53">
        <v>0</v>
      </c>
      <c r="M320" s="53">
        <v>0</v>
      </c>
      <c r="N320" s="53">
        <v>0</v>
      </c>
      <c r="O320" s="53">
        <v>0</v>
      </c>
      <c r="P320" s="53">
        <v>0</v>
      </c>
      <c r="Q320" s="53">
        <v>0</v>
      </c>
      <c r="R320" s="53">
        <v>0</v>
      </c>
      <c r="S320" s="53">
        <v>0</v>
      </c>
      <c r="T320" s="53">
        <v>0</v>
      </c>
      <c r="U320" s="53">
        <v>1100</v>
      </c>
      <c r="V320" s="53">
        <v>0</v>
      </c>
      <c r="W320" s="53">
        <v>0</v>
      </c>
      <c r="X320" s="53">
        <v>0</v>
      </c>
      <c r="Y320" s="53">
        <v>0</v>
      </c>
      <c r="Z320" s="53">
        <v>0</v>
      </c>
      <c r="AA320" s="53">
        <v>0</v>
      </c>
      <c r="AB320" s="53">
        <v>0</v>
      </c>
      <c r="AC320" s="53">
        <v>0</v>
      </c>
      <c r="AD320" s="53">
        <v>0</v>
      </c>
      <c r="AE320" s="53">
        <v>0</v>
      </c>
      <c r="AF320" s="53">
        <v>0</v>
      </c>
      <c r="AG320" s="53">
        <v>0</v>
      </c>
      <c r="AH320" s="53">
        <v>0</v>
      </c>
      <c r="AI320" s="53">
        <v>0</v>
      </c>
      <c r="AJ320" s="53">
        <v>0</v>
      </c>
      <c r="AK320" s="53">
        <v>0</v>
      </c>
      <c r="AL320" s="53">
        <v>0</v>
      </c>
      <c r="AM320" s="53" t="str">
        <f>I320-J320-K320-L320-M320-N320-O320-P320-Q320-R320-S320-T320-U320-V320-W320-X320-Y320-Z320-AA320-AB320-AC320-AD320-AE320-AF320-AG320+AH320-AI320+AJ320+AK320-AL320</f>
        <v>0</v>
      </c>
      <c r="AN320" s="53"/>
      <c r="AO320" s="27"/>
    </row>
    <row r="321" spans="1:41">
      <c r="A321" s="44">
        <v>293</v>
      </c>
      <c r="B321" s="46" t="s">
        <v>1294</v>
      </c>
      <c r="C321" s="48" t="s">
        <v>1295</v>
      </c>
      <c r="D321" s="51" t="s">
        <v>62</v>
      </c>
      <c r="E321" s="51" t="s">
        <v>1291</v>
      </c>
      <c r="F321" s="54" t="s">
        <v>1296</v>
      </c>
      <c r="G321" s="50">
        <v>4</v>
      </c>
      <c r="H321" s="51" t="s">
        <v>1297</v>
      </c>
      <c r="I321" s="53">
        <v>0</v>
      </c>
      <c r="J321" s="53">
        <v>0</v>
      </c>
      <c r="K321" s="53">
        <v>25000</v>
      </c>
      <c r="L321" s="53">
        <v>0</v>
      </c>
      <c r="M321" s="53">
        <v>0</v>
      </c>
      <c r="N321" s="53">
        <v>0</v>
      </c>
      <c r="O321" s="53">
        <v>0</v>
      </c>
      <c r="P321" s="53">
        <v>0</v>
      </c>
      <c r="Q321" s="53">
        <v>0</v>
      </c>
      <c r="R321" s="53">
        <v>0</v>
      </c>
      <c r="S321" s="53">
        <v>0</v>
      </c>
      <c r="T321" s="53">
        <v>0</v>
      </c>
      <c r="U321" s="53">
        <v>1250</v>
      </c>
      <c r="V321" s="53">
        <v>0</v>
      </c>
      <c r="W321" s="53">
        <v>0</v>
      </c>
      <c r="X321" s="53">
        <v>0</v>
      </c>
      <c r="Y321" s="53">
        <v>13125</v>
      </c>
      <c r="Z321" s="53">
        <v>0</v>
      </c>
      <c r="AA321" s="53">
        <v>0</v>
      </c>
      <c r="AB321" s="53">
        <v>0</v>
      </c>
      <c r="AC321" s="53">
        <v>0</v>
      </c>
      <c r="AD321" s="53">
        <v>0</v>
      </c>
      <c r="AE321" s="53">
        <v>0</v>
      </c>
      <c r="AF321" s="53">
        <v>0</v>
      </c>
      <c r="AG321" s="53">
        <v>0</v>
      </c>
      <c r="AH321" s="53">
        <v>0</v>
      </c>
      <c r="AI321" s="53">
        <v>0</v>
      </c>
      <c r="AJ321" s="53">
        <v>0</v>
      </c>
      <c r="AK321" s="53">
        <v>0</v>
      </c>
      <c r="AL321" s="53">
        <v>0</v>
      </c>
      <c r="AM321" s="53" t="str">
        <f>I321-J321-K321-L321-M321-N321-O321-P321-Q321-R321-S321-T321-U321-V321-W321-X321-Y321-Z321-AA321-AB321-AC321-AD321-AE321-AF321-AG321+AH321-AI321+AJ321+AK321-AL321</f>
        <v>0</v>
      </c>
      <c r="AN321" s="53"/>
      <c r="AO321" s="27"/>
    </row>
    <row r="322" spans="1:41">
      <c r="A322" s="44">
        <v>294</v>
      </c>
      <c r="B322" s="46" t="s">
        <v>1298</v>
      </c>
      <c r="C322" s="48" t="s">
        <v>1299</v>
      </c>
      <c r="D322" s="51" t="s">
        <v>62</v>
      </c>
      <c r="E322" s="51" t="s">
        <v>1291</v>
      </c>
      <c r="F322" s="54" t="s">
        <v>1300</v>
      </c>
      <c r="G322" s="50">
        <v>3</v>
      </c>
      <c r="H322" s="51" t="s">
        <v>1301</v>
      </c>
      <c r="I322" s="53">
        <v>0</v>
      </c>
      <c r="J322" s="53">
        <v>0</v>
      </c>
      <c r="K322" s="53">
        <v>22000</v>
      </c>
      <c r="L322" s="53">
        <v>0</v>
      </c>
      <c r="M322" s="53">
        <v>0</v>
      </c>
      <c r="N322" s="53">
        <v>0</v>
      </c>
      <c r="O322" s="53">
        <v>0</v>
      </c>
      <c r="P322" s="53">
        <v>0</v>
      </c>
      <c r="Q322" s="53">
        <v>0</v>
      </c>
      <c r="R322" s="53">
        <v>0</v>
      </c>
      <c r="S322" s="53">
        <v>0</v>
      </c>
      <c r="T322" s="53">
        <v>0</v>
      </c>
      <c r="U322" s="53">
        <v>1100</v>
      </c>
      <c r="V322" s="53">
        <v>0</v>
      </c>
      <c r="W322" s="53">
        <v>0</v>
      </c>
      <c r="X322" s="53">
        <v>0</v>
      </c>
      <c r="Y322" s="53">
        <v>11550</v>
      </c>
      <c r="Z322" s="53">
        <v>0</v>
      </c>
      <c r="AA322" s="53">
        <v>0</v>
      </c>
      <c r="AB322" s="53">
        <v>0</v>
      </c>
      <c r="AC322" s="53">
        <v>0</v>
      </c>
      <c r="AD322" s="53">
        <v>0</v>
      </c>
      <c r="AE322" s="53">
        <v>0</v>
      </c>
      <c r="AF322" s="53">
        <v>0</v>
      </c>
      <c r="AG322" s="53">
        <v>0</v>
      </c>
      <c r="AH322" s="53">
        <v>0</v>
      </c>
      <c r="AI322" s="53">
        <v>0</v>
      </c>
      <c r="AJ322" s="53">
        <v>0</v>
      </c>
      <c r="AK322" s="53">
        <v>0</v>
      </c>
      <c r="AL322" s="53">
        <v>0</v>
      </c>
      <c r="AM322" s="53" t="str">
        <f>I322-J322-K322-L322-M322-N322-O322-P322-Q322-R322-S322-T322-U322-V322-W322-X322-Y322-Z322-AA322-AB322-AC322-AD322-AE322-AF322-AG322+AH322-AI322+AJ322+AK322-AL322</f>
        <v>0</v>
      </c>
      <c r="AN322" s="53"/>
      <c r="AO322" s="27"/>
    </row>
    <row r="323" spans="1:41">
      <c r="A323" s="44">
        <v>295</v>
      </c>
      <c r="B323" s="46" t="s">
        <v>1302</v>
      </c>
      <c r="C323" s="48" t="s">
        <v>1303</v>
      </c>
      <c r="D323" s="51" t="s">
        <v>73</v>
      </c>
      <c r="E323" s="51" t="s">
        <v>1291</v>
      </c>
      <c r="F323" s="54" t="s">
        <v>448</v>
      </c>
      <c r="G323" s="50">
        <v>3</v>
      </c>
      <c r="H323" s="51" t="s">
        <v>1304</v>
      </c>
      <c r="I323" s="53">
        <v>229000</v>
      </c>
      <c r="J323" s="53">
        <v>0</v>
      </c>
      <c r="K323" s="53">
        <v>22000</v>
      </c>
      <c r="L323" s="53">
        <v>0</v>
      </c>
      <c r="M323" s="53">
        <v>0</v>
      </c>
      <c r="N323" s="53">
        <v>0</v>
      </c>
      <c r="O323" s="53">
        <v>0</v>
      </c>
      <c r="P323" s="53">
        <v>0</v>
      </c>
      <c r="Q323" s="53">
        <v>0</v>
      </c>
      <c r="R323" s="53">
        <v>0</v>
      </c>
      <c r="S323" s="53">
        <v>0</v>
      </c>
      <c r="T323" s="53">
        <v>0</v>
      </c>
      <c r="U323" s="53">
        <v>1100</v>
      </c>
      <c r="V323" s="53">
        <v>0</v>
      </c>
      <c r="W323" s="53">
        <v>0</v>
      </c>
      <c r="X323" s="53">
        <v>0</v>
      </c>
      <c r="Y323" s="53">
        <v>0</v>
      </c>
      <c r="Z323" s="53">
        <v>0</v>
      </c>
      <c r="AA323" s="53">
        <v>0</v>
      </c>
      <c r="AB323" s="53">
        <v>0</v>
      </c>
      <c r="AC323" s="53">
        <v>0</v>
      </c>
      <c r="AD323" s="53">
        <v>0</v>
      </c>
      <c r="AE323" s="53">
        <v>0</v>
      </c>
      <c r="AF323" s="53">
        <v>0</v>
      </c>
      <c r="AG323" s="53">
        <v>0</v>
      </c>
      <c r="AH323" s="53">
        <v>0</v>
      </c>
      <c r="AI323" s="53">
        <v>0</v>
      </c>
      <c r="AJ323" s="53">
        <v>0</v>
      </c>
      <c r="AK323" s="53">
        <v>0</v>
      </c>
      <c r="AL323" s="53">
        <v>0</v>
      </c>
      <c r="AM323" s="53" t="str">
        <f>I323-J323-K323-L323-M323-N323-O323-P323-Q323-R323-S323-T323-U323-V323-W323-X323-Y323-Z323-AA323-AB323-AC323-AD323-AE323-AF323-AG323+AH323-AI323+AJ323+AK323-AL323</f>
        <v>0</v>
      </c>
      <c r="AN323" s="53"/>
      <c r="AO323" s="27"/>
    </row>
    <row r="324" spans="1:41">
      <c r="A324" s="44">
        <v>296</v>
      </c>
      <c r="B324" s="46" t="s">
        <v>1305</v>
      </c>
      <c r="C324" s="48" t="s">
        <v>1306</v>
      </c>
      <c r="D324" s="51" t="s">
        <v>73</v>
      </c>
      <c r="E324" s="51" t="s">
        <v>1291</v>
      </c>
      <c r="F324" s="54" t="s">
        <v>448</v>
      </c>
      <c r="G324" s="50">
        <v>4</v>
      </c>
      <c r="H324" s="51" t="s">
        <v>1304</v>
      </c>
      <c r="I324" s="53">
        <v>130000</v>
      </c>
      <c r="J324" s="53">
        <v>0</v>
      </c>
      <c r="K324" s="53">
        <v>25000</v>
      </c>
      <c r="L324" s="53">
        <v>0</v>
      </c>
      <c r="M324" s="53">
        <v>0</v>
      </c>
      <c r="N324" s="53">
        <v>0</v>
      </c>
      <c r="O324" s="53">
        <v>0</v>
      </c>
      <c r="P324" s="53">
        <v>0</v>
      </c>
      <c r="Q324" s="53">
        <v>0</v>
      </c>
      <c r="R324" s="53">
        <v>0</v>
      </c>
      <c r="S324" s="53">
        <v>0</v>
      </c>
      <c r="T324" s="53">
        <v>0</v>
      </c>
      <c r="U324" s="53">
        <v>1250</v>
      </c>
      <c r="V324" s="53">
        <v>0</v>
      </c>
      <c r="W324" s="53">
        <v>0</v>
      </c>
      <c r="X324" s="53">
        <v>0</v>
      </c>
      <c r="Y324" s="53">
        <v>0</v>
      </c>
      <c r="Z324" s="53">
        <v>0</v>
      </c>
      <c r="AA324" s="53">
        <v>0</v>
      </c>
      <c r="AB324" s="53">
        <v>0</v>
      </c>
      <c r="AC324" s="53">
        <v>0</v>
      </c>
      <c r="AD324" s="53">
        <v>0</v>
      </c>
      <c r="AE324" s="53">
        <v>0</v>
      </c>
      <c r="AF324" s="53">
        <v>0</v>
      </c>
      <c r="AG324" s="53">
        <v>0</v>
      </c>
      <c r="AH324" s="53">
        <v>0</v>
      </c>
      <c r="AI324" s="53">
        <v>0</v>
      </c>
      <c r="AJ324" s="53">
        <v>0</v>
      </c>
      <c r="AK324" s="53">
        <v>0</v>
      </c>
      <c r="AL324" s="53">
        <v>0</v>
      </c>
      <c r="AM324" s="53" t="str">
        <f>I324-J324-K324-L324-M324-N324-O324-P324-Q324-R324-S324-T324-U324-V324-W324-X324-Y324-Z324-AA324-AB324-AC324-AD324-AE324-AF324-AG324+AH324-AI324+AJ324+AK324-AL324</f>
        <v>0</v>
      </c>
      <c r="AN324" s="53"/>
      <c r="AO324" s="27"/>
    </row>
    <row r="325" spans="1:41">
      <c r="A325" s="44">
        <v>297</v>
      </c>
      <c r="B325" s="46" t="s">
        <v>1307</v>
      </c>
      <c r="C325" s="48" t="s">
        <v>1308</v>
      </c>
      <c r="D325" s="51" t="s">
        <v>73</v>
      </c>
      <c r="E325" s="51" t="s">
        <v>1309</v>
      </c>
      <c r="F325" s="54" t="s">
        <v>1310</v>
      </c>
      <c r="G325" s="50">
        <v>6</v>
      </c>
      <c r="H325" s="51" t="s">
        <v>1311</v>
      </c>
      <c r="I325" s="53">
        <v>1600000</v>
      </c>
      <c r="J325" s="53">
        <v>0</v>
      </c>
      <c r="K325" s="53">
        <v>31000</v>
      </c>
      <c r="L325" s="53">
        <v>0</v>
      </c>
      <c r="M325" s="53">
        <v>0</v>
      </c>
      <c r="N325" s="53">
        <v>0</v>
      </c>
      <c r="O325" s="53">
        <v>0</v>
      </c>
      <c r="P325" s="53">
        <v>0</v>
      </c>
      <c r="Q325" s="53">
        <v>0</v>
      </c>
      <c r="R325" s="53">
        <v>0</v>
      </c>
      <c r="S325" s="53">
        <v>0</v>
      </c>
      <c r="T325" s="53">
        <v>0</v>
      </c>
      <c r="U325" s="53">
        <v>1550</v>
      </c>
      <c r="V325" s="53">
        <v>0</v>
      </c>
      <c r="W325" s="53">
        <v>0</v>
      </c>
      <c r="X325" s="53">
        <v>0</v>
      </c>
      <c r="Y325" s="53">
        <v>0</v>
      </c>
      <c r="Z325" s="53">
        <v>0</v>
      </c>
      <c r="AA325" s="53">
        <v>0</v>
      </c>
      <c r="AB325" s="53">
        <v>0</v>
      </c>
      <c r="AC325" s="53">
        <v>0</v>
      </c>
      <c r="AD325" s="53">
        <v>0</v>
      </c>
      <c r="AE325" s="53">
        <v>0</v>
      </c>
      <c r="AF325" s="53">
        <v>0</v>
      </c>
      <c r="AG325" s="53">
        <v>0</v>
      </c>
      <c r="AH325" s="53">
        <v>0</v>
      </c>
      <c r="AI325" s="53">
        <v>0</v>
      </c>
      <c r="AJ325" s="53">
        <v>0</v>
      </c>
      <c r="AK325" s="53">
        <v>0</v>
      </c>
      <c r="AL325" s="53">
        <v>0</v>
      </c>
      <c r="AM325" s="53" t="str">
        <f>I325-J325-K325-L325-M325-N325-O325-P325-Q325-R325-S325-T325-U325-V325-W325-X325-Y325-Z325-AA325-AB325-AC325-AD325-AE325-AF325-AG325+AH325-AI325+AJ325+AK325-AL325</f>
        <v>0</v>
      </c>
      <c r="AN325" s="53"/>
      <c r="AO325" s="27"/>
    </row>
    <row r="326" spans="1:41">
      <c r="A326" s="44">
        <v>298</v>
      </c>
      <c r="B326" s="46" t="s">
        <v>1312</v>
      </c>
      <c r="C326" s="48" t="s">
        <v>1313</v>
      </c>
      <c r="D326" s="51" t="s">
        <v>73</v>
      </c>
      <c r="E326" s="51" t="s">
        <v>1314</v>
      </c>
      <c r="F326" s="54" t="s">
        <v>1315</v>
      </c>
      <c r="G326" s="50">
        <v>3</v>
      </c>
      <c r="H326" s="51" t="s">
        <v>1316</v>
      </c>
      <c r="I326" s="53">
        <v>1050000</v>
      </c>
      <c r="J326" s="53">
        <v>0</v>
      </c>
      <c r="K326" s="53">
        <v>23000</v>
      </c>
      <c r="L326" s="53">
        <v>0</v>
      </c>
      <c r="M326" s="53">
        <v>0</v>
      </c>
      <c r="N326" s="53">
        <v>0</v>
      </c>
      <c r="O326" s="53">
        <v>0</v>
      </c>
      <c r="P326" s="53">
        <v>0</v>
      </c>
      <c r="Q326" s="53">
        <v>0</v>
      </c>
      <c r="R326" s="53">
        <v>0</v>
      </c>
      <c r="S326" s="53">
        <v>0</v>
      </c>
      <c r="T326" s="53">
        <v>0</v>
      </c>
      <c r="U326" s="53">
        <v>1150</v>
      </c>
      <c r="V326" s="53">
        <v>0</v>
      </c>
      <c r="W326" s="53">
        <v>0</v>
      </c>
      <c r="X326" s="53">
        <v>0</v>
      </c>
      <c r="Y326" s="53">
        <v>0</v>
      </c>
      <c r="Z326" s="53">
        <v>0</v>
      </c>
      <c r="AA326" s="53">
        <v>0</v>
      </c>
      <c r="AB326" s="53">
        <v>0</v>
      </c>
      <c r="AC326" s="53">
        <v>0</v>
      </c>
      <c r="AD326" s="53">
        <v>0</v>
      </c>
      <c r="AE326" s="53">
        <v>0</v>
      </c>
      <c r="AF326" s="53">
        <v>0</v>
      </c>
      <c r="AG326" s="53">
        <v>0</v>
      </c>
      <c r="AH326" s="53">
        <v>0</v>
      </c>
      <c r="AI326" s="53">
        <v>0</v>
      </c>
      <c r="AJ326" s="53">
        <v>0</v>
      </c>
      <c r="AK326" s="53">
        <v>0</v>
      </c>
      <c r="AL326" s="53">
        <v>0</v>
      </c>
      <c r="AM326" s="53" t="str">
        <f>I326-J326-K326-L326-M326-N326-O326-P326-Q326-R326-S326-T326-U326-V326-W326-X326-Y326-Z326-AA326-AB326-AC326-AD326-AE326-AF326-AG326+AH326-AI326+AJ326+AK326-AL326</f>
        <v>0</v>
      </c>
      <c r="AN326" s="53"/>
      <c r="AO326" s="27"/>
    </row>
    <row r="327" spans="1:41">
      <c r="A327" s="44">
        <v>299</v>
      </c>
      <c r="B327" s="46" t="s">
        <v>1317</v>
      </c>
      <c r="C327" s="48" t="s">
        <v>1318</v>
      </c>
      <c r="D327" s="51" t="s">
        <v>73</v>
      </c>
      <c r="E327" s="51" t="s">
        <v>1319</v>
      </c>
      <c r="F327" s="54" t="s">
        <v>1320</v>
      </c>
      <c r="G327" s="50">
        <v>2</v>
      </c>
      <c r="H327" s="51" t="s">
        <v>1321</v>
      </c>
      <c r="I327" s="53">
        <v>171000</v>
      </c>
      <c r="J327" s="53">
        <v>0</v>
      </c>
      <c r="K327" s="53">
        <v>22000</v>
      </c>
      <c r="L327" s="53">
        <v>0</v>
      </c>
      <c r="M327" s="53">
        <v>0</v>
      </c>
      <c r="N327" s="53">
        <v>0</v>
      </c>
      <c r="O327" s="53">
        <v>0</v>
      </c>
      <c r="P327" s="53">
        <v>0</v>
      </c>
      <c r="Q327" s="53">
        <v>0</v>
      </c>
      <c r="R327" s="53">
        <v>0</v>
      </c>
      <c r="S327" s="53">
        <v>0</v>
      </c>
      <c r="T327" s="53">
        <v>0</v>
      </c>
      <c r="U327" s="53">
        <v>1100</v>
      </c>
      <c r="V327" s="53">
        <v>0</v>
      </c>
      <c r="W327" s="53">
        <v>0</v>
      </c>
      <c r="X327" s="53">
        <v>0</v>
      </c>
      <c r="Y327" s="53">
        <v>0</v>
      </c>
      <c r="Z327" s="53">
        <v>0</v>
      </c>
      <c r="AA327" s="53">
        <v>0</v>
      </c>
      <c r="AB327" s="53">
        <v>0</v>
      </c>
      <c r="AC327" s="53">
        <v>0</v>
      </c>
      <c r="AD327" s="53">
        <v>0</v>
      </c>
      <c r="AE327" s="53">
        <v>0</v>
      </c>
      <c r="AF327" s="53">
        <v>0</v>
      </c>
      <c r="AG327" s="53">
        <v>0</v>
      </c>
      <c r="AH327" s="53">
        <v>0</v>
      </c>
      <c r="AI327" s="53">
        <v>0</v>
      </c>
      <c r="AJ327" s="53">
        <v>0</v>
      </c>
      <c r="AK327" s="53">
        <v>0</v>
      </c>
      <c r="AL327" s="53">
        <v>0</v>
      </c>
      <c r="AM327" s="53" t="str">
        <f>I327-J327-K327-L327-M327-N327-O327-P327-Q327-R327-S327-T327-U327-V327-W327-X327-Y327-Z327-AA327-AB327-AC327-AD327-AE327-AF327-AG327+AH327-AI327+AJ327+AK327-AL327</f>
        <v>0</v>
      </c>
      <c r="AN327" s="53"/>
      <c r="AO327" s="27"/>
    </row>
    <row r="328" spans="1:41">
      <c r="A328" s="44">
        <v>300</v>
      </c>
      <c r="B328" s="46" t="s">
        <v>1322</v>
      </c>
      <c r="C328" s="48" t="s">
        <v>1323</v>
      </c>
      <c r="D328" s="51" t="s">
        <v>73</v>
      </c>
      <c r="E328" s="51" t="s">
        <v>1319</v>
      </c>
      <c r="F328" s="54" t="s">
        <v>1324</v>
      </c>
      <c r="G328" s="50">
        <v>5</v>
      </c>
      <c r="H328" s="51" t="s">
        <v>1325</v>
      </c>
      <c r="I328" s="53">
        <v>503100</v>
      </c>
      <c r="J328" s="53">
        <v>0</v>
      </c>
      <c r="K328" s="53">
        <v>27000</v>
      </c>
      <c r="L328" s="53">
        <v>0</v>
      </c>
      <c r="M328" s="53">
        <v>0</v>
      </c>
      <c r="N328" s="53">
        <v>0</v>
      </c>
      <c r="O328" s="53">
        <v>0</v>
      </c>
      <c r="P328" s="53">
        <v>0</v>
      </c>
      <c r="Q328" s="53">
        <v>0</v>
      </c>
      <c r="R328" s="53">
        <v>0</v>
      </c>
      <c r="S328" s="53">
        <v>0</v>
      </c>
      <c r="T328" s="53">
        <v>0</v>
      </c>
      <c r="U328" s="53">
        <v>1350</v>
      </c>
      <c r="V328" s="53">
        <v>0</v>
      </c>
      <c r="W328" s="53">
        <v>0</v>
      </c>
      <c r="X328" s="53">
        <v>0</v>
      </c>
      <c r="Y328" s="53">
        <v>0</v>
      </c>
      <c r="Z328" s="53">
        <v>0</v>
      </c>
      <c r="AA328" s="53">
        <v>0</v>
      </c>
      <c r="AB328" s="53">
        <v>0</v>
      </c>
      <c r="AC328" s="53">
        <v>0</v>
      </c>
      <c r="AD328" s="53">
        <v>0</v>
      </c>
      <c r="AE328" s="53">
        <v>0</v>
      </c>
      <c r="AF328" s="53">
        <v>0</v>
      </c>
      <c r="AG328" s="53">
        <v>0</v>
      </c>
      <c r="AH328" s="53">
        <v>0</v>
      </c>
      <c r="AI328" s="53">
        <v>0</v>
      </c>
      <c r="AJ328" s="53">
        <v>0</v>
      </c>
      <c r="AK328" s="53">
        <v>0</v>
      </c>
      <c r="AL328" s="53">
        <v>0</v>
      </c>
      <c r="AM328" s="53" t="str">
        <f>I328-J328-K328-L328-M328-N328-O328-P328-Q328-R328-S328-T328-U328-V328-W328-X328-Y328-Z328-AA328-AB328-AC328-AD328-AE328-AF328-AG328+AH328-AI328+AJ328+AK328-AL328</f>
        <v>0</v>
      </c>
      <c r="AN328" s="53"/>
      <c r="AO328" s="27"/>
    </row>
    <row r="329" spans="1:41">
      <c r="A329" s="44">
        <v>301</v>
      </c>
      <c r="B329" s="46" t="s">
        <v>1326</v>
      </c>
      <c r="C329" s="48" t="s">
        <v>1327</v>
      </c>
      <c r="D329" s="51" t="s">
        <v>73</v>
      </c>
      <c r="E329" s="51" t="s">
        <v>1328</v>
      </c>
      <c r="F329" s="54" t="s">
        <v>1159</v>
      </c>
      <c r="G329" s="50">
        <v>2</v>
      </c>
      <c r="H329" s="51" t="s">
        <v>1329</v>
      </c>
      <c r="I329" s="53">
        <v>134100</v>
      </c>
      <c r="J329" s="53">
        <v>0</v>
      </c>
      <c r="K329" s="53">
        <v>22000</v>
      </c>
      <c r="L329" s="53">
        <v>0</v>
      </c>
      <c r="M329" s="53">
        <v>0</v>
      </c>
      <c r="N329" s="53">
        <v>0</v>
      </c>
      <c r="O329" s="53">
        <v>0</v>
      </c>
      <c r="P329" s="53">
        <v>0</v>
      </c>
      <c r="Q329" s="53">
        <v>0</v>
      </c>
      <c r="R329" s="53">
        <v>0</v>
      </c>
      <c r="S329" s="53">
        <v>0</v>
      </c>
      <c r="T329" s="53">
        <v>0</v>
      </c>
      <c r="U329" s="53">
        <v>1100</v>
      </c>
      <c r="V329" s="53">
        <v>0</v>
      </c>
      <c r="W329" s="53">
        <v>0</v>
      </c>
      <c r="X329" s="53">
        <v>0</v>
      </c>
      <c r="Y329" s="53">
        <v>0</v>
      </c>
      <c r="Z329" s="53">
        <v>0</v>
      </c>
      <c r="AA329" s="53">
        <v>0</v>
      </c>
      <c r="AB329" s="53">
        <v>0</v>
      </c>
      <c r="AC329" s="53">
        <v>0</v>
      </c>
      <c r="AD329" s="53">
        <v>0</v>
      </c>
      <c r="AE329" s="53">
        <v>0</v>
      </c>
      <c r="AF329" s="53">
        <v>0</v>
      </c>
      <c r="AG329" s="53">
        <v>0</v>
      </c>
      <c r="AH329" s="53">
        <v>0</v>
      </c>
      <c r="AI329" s="53">
        <v>0</v>
      </c>
      <c r="AJ329" s="53">
        <v>0</v>
      </c>
      <c r="AK329" s="53">
        <v>0</v>
      </c>
      <c r="AL329" s="53">
        <v>0</v>
      </c>
      <c r="AM329" s="53" t="str">
        <f>I329-J329-K329-L329-M329-N329-O329-P329-Q329-R329-S329-T329-U329-V329-W329-X329-Y329-Z329-AA329-AB329-AC329-AD329-AE329-AF329-AG329+AH329-AI329+AJ329+AK329-AL329</f>
        <v>0</v>
      </c>
      <c r="AN329" s="53"/>
      <c r="AO329" s="27"/>
    </row>
    <row r="330" spans="1:41">
      <c r="A330" s="44">
        <v>302</v>
      </c>
      <c r="B330" s="46" t="s">
        <v>1330</v>
      </c>
      <c r="C330" s="48" t="s">
        <v>1331</v>
      </c>
      <c r="D330" s="51" t="s">
        <v>62</v>
      </c>
      <c r="E330" s="51" t="s">
        <v>1332</v>
      </c>
      <c r="F330" s="54" t="s">
        <v>1333</v>
      </c>
      <c r="G330" s="50">
        <v>3</v>
      </c>
      <c r="H330" s="51" t="s">
        <v>1334</v>
      </c>
      <c r="I330" s="53">
        <v>0</v>
      </c>
      <c r="J330" s="53">
        <v>0</v>
      </c>
      <c r="K330" s="53">
        <v>22000</v>
      </c>
      <c r="L330" s="53">
        <v>0</v>
      </c>
      <c r="M330" s="53">
        <v>0</v>
      </c>
      <c r="N330" s="53">
        <v>0</v>
      </c>
      <c r="O330" s="53">
        <v>0</v>
      </c>
      <c r="P330" s="53">
        <v>0</v>
      </c>
      <c r="Q330" s="53">
        <v>0</v>
      </c>
      <c r="R330" s="53">
        <v>0</v>
      </c>
      <c r="S330" s="53">
        <v>0</v>
      </c>
      <c r="T330" s="53">
        <v>0</v>
      </c>
      <c r="U330" s="53">
        <v>1100</v>
      </c>
      <c r="V330" s="53">
        <v>0</v>
      </c>
      <c r="W330" s="53">
        <v>0</v>
      </c>
      <c r="X330" s="53">
        <v>0</v>
      </c>
      <c r="Y330" s="53">
        <v>5250</v>
      </c>
      <c r="Z330" s="53">
        <v>0</v>
      </c>
      <c r="AA330" s="53">
        <v>0</v>
      </c>
      <c r="AB330" s="53">
        <v>0</v>
      </c>
      <c r="AC330" s="53">
        <v>0</v>
      </c>
      <c r="AD330" s="53">
        <v>0</v>
      </c>
      <c r="AE330" s="53">
        <v>0</v>
      </c>
      <c r="AF330" s="53">
        <v>0</v>
      </c>
      <c r="AG330" s="53">
        <v>0</v>
      </c>
      <c r="AH330" s="53">
        <v>0</v>
      </c>
      <c r="AI330" s="53">
        <v>0</v>
      </c>
      <c r="AJ330" s="53">
        <v>0</v>
      </c>
      <c r="AK330" s="53">
        <v>0</v>
      </c>
      <c r="AL330" s="53">
        <v>0</v>
      </c>
      <c r="AM330" s="53" t="str">
        <f>I330-J330-K330-L330-M330-N330-O330-P330-Q330-R330-S330-T330-U330-V330-W330-X330-Y330-Z330-AA330-AB330-AC330-AD330-AE330-AF330-AG330+AH330-AI330+AJ330+AK330-AL330</f>
        <v>0</v>
      </c>
      <c r="AN330" s="53"/>
      <c r="AO330" s="27"/>
    </row>
    <row r="331" spans="1:41">
      <c r="A331" s="44">
        <v>303</v>
      </c>
      <c r="B331" s="46" t="s">
        <v>1335</v>
      </c>
      <c r="C331" s="48" t="s">
        <v>1336</v>
      </c>
      <c r="D331" s="51" t="s">
        <v>73</v>
      </c>
      <c r="E331" s="51" t="s">
        <v>1337</v>
      </c>
      <c r="F331" s="54" t="s">
        <v>1338</v>
      </c>
      <c r="G331" s="50">
        <v>2</v>
      </c>
      <c r="H331" s="51" t="s">
        <v>1339</v>
      </c>
      <c r="I331" s="53">
        <v>0</v>
      </c>
      <c r="J331" s="53">
        <v>0</v>
      </c>
      <c r="K331" s="53">
        <v>22000</v>
      </c>
      <c r="L331" s="53">
        <v>0</v>
      </c>
      <c r="M331" s="53">
        <v>0</v>
      </c>
      <c r="N331" s="53">
        <v>0</v>
      </c>
      <c r="O331" s="53">
        <v>0</v>
      </c>
      <c r="P331" s="53">
        <v>0</v>
      </c>
      <c r="Q331" s="53">
        <v>0</v>
      </c>
      <c r="R331" s="53">
        <v>0</v>
      </c>
      <c r="S331" s="53">
        <v>0</v>
      </c>
      <c r="T331" s="53">
        <v>0</v>
      </c>
      <c r="U331" s="53">
        <v>1100</v>
      </c>
      <c r="V331" s="53">
        <v>0</v>
      </c>
      <c r="W331" s="53">
        <v>0</v>
      </c>
      <c r="X331" s="53">
        <v>0</v>
      </c>
      <c r="Y331" s="53">
        <v>0</v>
      </c>
      <c r="Z331" s="53">
        <v>0</v>
      </c>
      <c r="AA331" s="53">
        <v>0</v>
      </c>
      <c r="AB331" s="53">
        <v>0</v>
      </c>
      <c r="AC331" s="53">
        <v>0</v>
      </c>
      <c r="AD331" s="53">
        <v>0</v>
      </c>
      <c r="AE331" s="53">
        <v>0</v>
      </c>
      <c r="AF331" s="53">
        <v>0</v>
      </c>
      <c r="AG331" s="53">
        <v>0</v>
      </c>
      <c r="AH331" s="53">
        <v>0</v>
      </c>
      <c r="AI331" s="53">
        <v>0</v>
      </c>
      <c r="AJ331" s="53">
        <v>0</v>
      </c>
      <c r="AK331" s="53">
        <v>0</v>
      </c>
      <c r="AL331" s="53">
        <v>0</v>
      </c>
      <c r="AM331" s="53" t="str">
        <f>I331-J331-K331-L331-M331-N331-O331-P331-Q331-R331-S331-T331-U331-V331-W331-X331-Y331-Z331-AA331-AB331-AC331-AD331-AE331-AF331-AG331+AH331-AI331+AJ331+AK331-AL331</f>
        <v>0</v>
      </c>
      <c r="AN331" s="53"/>
      <c r="AO331" s="27"/>
    </row>
    <row r="332" spans="1:41">
      <c r="A332" s="44">
        <v>304</v>
      </c>
      <c r="B332" s="46" t="s">
        <v>1340</v>
      </c>
      <c r="C332" s="48" t="s">
        <v>1341</v>
      </c>
      <c r="D332" s="51" t="s">
        <v>73</v>
      </c>
      <c r="E332" s="51" t="s">
        <v>1337</v>
      </c>
      <c r="F332" s="54" t="s">
        <v>1342</v>
      </c>
      <c r="G332" s="50">
        <v>5</v>
      </c>
      <c r="H332" s="51" t="s">
        <v>1343</v>
      </c>
      <c r="I332" s="53">
        <v>1039000</v>
      </c>
      <c r="J332" s="53">
        <v>0</v>
      </c>
      <c r="K332" s="53">
        <v>27000</v>
      </c>
      <c r="L332" s="53">
        <v>0</v>
      </c>
      <c r="M332" s="53">
        <v>0</v>
      </c>
      <c r="N332" s="53">
        <v>0</v>
      </c>
      <c r="O332" s="53">
        <v>0</v>
      </c>
      <c r="P332" s="53">
        <v>0</v>
      </c>
      <c r="Q332" s="53">
        <v>0</v>
      </c>
      <c r="R332" s="53">
        <v>0</v>
      </c>
      <c r="S332" s="53">
        <v>0</v>
      </c>
      <c r="T332" s="53">
        <v>0</v>
      </c>
      <c r="U332" s="53">
        <v>1350</v>
      </c>
      <c r="V332" s="53">
        <v>0</v>
      </c>
      <c r="W332" s="53">
        <v>0</v>
      </c>
      <c r="X332" s="53">
        <v>0</v>
      </c>
      <c r="Y332" s="53">
        <v>0</v>
      </c>
      <c r="Z332" s="53">
        <v>0</v>
      </c>
      <c r="AA332" s="53">
        <v>0</v>
      </c>
      <c r="AB332" s="53">
        <v>0</v>
      </c>
      <c r="AC332" s="53">
        <v>0</v>
      </c>
      <c r="AD332" s="53">
        <v>0</v>
      </c>
      <c r="AE332" s="53">
        <v>0</v>
      </c>
      <c r="AF332" s="53">
        <v>0</v>
      </c>
      <c r="AG332" s="53">
        <v>0</v>
      </c>
      <c r="AH332" s="53">
        <v>0</v>
      </c>
      <c r="AI332" s="53">
        <v>0</v>
      </c>
      <c r="AJ332" s="53">
        <v>0</v>
      </c>
      <c r="AK332" s="53">
        <v>0</v>
      </c>
      <c r="AL332" s="53">
        <v>0</v>
      </c>
      <c r="AM332" s="53" t="str">
        <f>I332-J332-K332-L332-M332-N332-O332-P332-Q332-R332-S332-T332-U332-V332-W332-X332-Y332-Z332-AA332-AB332-AC332-AD332-AE332-AF332-AG332+AH332-AI332+AJ332+AK332-AL332</f>
        <v>0</v>
      </c>
      <c r="AN332" s="53"/>
      <c r="AO332" s="27"/>
    </row>
    <row r="333" spans="1:41">
      <c r="A333" s="44">
        <v>305</v>
      </c>
      <c r="B333" s="46" t="s">
        <v>1344</v>
      </c>
      <c r="C333" s="48" t="s">
        <v>1345</v>
      </c>
      <c r="D333" s="51" t="s">
        <v>73</v>
      </c>
      <c r="E333" s="51" t="s">
        <v>1337</v>
      </c>
      <c r="F333" s="54" t="s">
        <v>1346</v>
      </c>
      <c r="G333" s="50">
        <v>2</v>
      </c>
      <c r="H333" s="51" t="s">
        <v>1347</v>
      </c>
      <c r="I333" s="53">
        <v>304100</v>
      </c>
      <c r="J333" s="53">
        <v>0</v>
      </c>
      <c r="K333" s="53">
        <v>22000</v>
      </c>
      <c r="L333" s="53">
        <v>0</v>
      </c>
      <c r="M333" s="53">
        <v>0</v>
      </c>
      <c r="N333" s="53">
        <v>0</v>
      </c>
      <c r="O333" s="53">
        <v>0</v>
      </c>
      <c r="P333" s="53">
        <v>0</v>
      </c>
      <c r="Q333" s="53">
        <v>0</v>
      </c>
      <c r="R333" s="53">
        <v>0</v>
      </c>
      <c r="S333" s="53">
        <v>0</v>
      </c>
      <c r="T333" s="53">
        <v>0</v>
      </c>
      <c r="U333" s="53">
        <v>1100</v>
      </c>
      <c r="V333" s="53">
        <v>0</v>
      </c>
      <c r="W333" s="53">
        <v>0</v>
      </c>
      <c r="X333" s="53">
        <v>0</v>
      </c>
      <c r="Y333" s="53">
        <v>0</v>
      </c>
      <c r="Z333" s="53">
        <v>0</v>
      </c>
      <c r="AA333" s="53">
        <v>0</v>
      </c>
      <c r="AB333" s="53">
        <v>0</v>
      </c>
      <c r="AC333" s="53">
        <v>0</v>
      </c>
      <c r="AD333" s="53">
        <v>0</v>
      </c>
      <c r="AE333" s="53">
        <v>0</v>
      </c>
      <c r="AF333" s="53">
        <v>0</v>
      </c>
      <c r="AG333" s="53">
        <v>0</v>
      </c>
      <c r="AH333" s="53">
        <v>0</v>
      </c>
      <c r="AI333" s="53">
        <v>0</v>
      </c>
      <c r="AJ333" s="53">
        <v>0</v>
      </c>
      <c r="AK333" s="53">
        <v>0</v>
      </c>
      <c r="AL333" s="53">
        <v>0</v>
      </c>
      <c r="AM333" s="53" t="str">
        <f>I333-J333-K333-L333-M333-N333-O333-P333-Q333-R333-S333-T333-U333-V333-W333-X333-Y333-Z333-AA333-AB333-AC333-AD333-AE333-AF333-AG333+AH333-AI333+AJ333+AK333-AL333</f>
        <v>0</v>
      </c>
      <c r="AN333" s="53"/>
      <c r="AO333" s="27"/>
    </row>
    <row r="334" spans="1:41">
      <c r="A334" s="44">
        <v>306</v>
      </c>
      <c r="B334" s="46" t="s">
        <v>1348</v>
      </c>
      <c r="C334" s="48" t="s">
        <v>1349</v>
      </c>
      <c r="D334" s="51" t="s">
        <v>62</v>
      </c>
      <c r="E334" s="51" t="s">
        <v>1337</v>
      </c>
      <c r="F334" s="54" t="s">
        <v>1350</v>
      </c>
      <c r="G334" s="50">
        <v>6</v>
      </c>
      <c r="H334" s="51" t="s">
        <v>1351</v>
      </c>
      <c r="I334" s="53">
        <v>0</v>
      </c>
      <c r="J334" s="53">
        <v>0</v>
      </c>
      <c r="K334" s="53">
        <v>31000</v>
      </c>
      <c r="L334" s="53">
        <v>0</v>
      </c>
      <c r="M334" s="53">
        <v>0</v>
      </c>
      <c r="N334" s="53">
        <v>0</v>
      </c>
      <c r="O334" s="53">
        <v>0</v>
      </c>
      <c r="P334" s="53">
        <v>0</v>
      </c>
      <c r="Q334" s="53">
        <v>0</v>
      </c>
      <c r="R334" s="53">
        <v>0</v>
      </c>
      <c r="S334" s="53">
        <v>0</v>
      </c>
      <c r="T334" s="53">
        <v>0</v>
      </c>
      <c r="U334" s="53">
        <v>1550</v>
      </c>
      <c r="V334" s="53">
        <v>0</v>
      </c>
      <c r="W334" s="53">
        <v>0</v>
      </c>
      <c r="X334" s="53">
        <v>0</v>
      </c>
      <c r="Y334" s="53">
        <v>16275</v>
      </c>
      <c r="Z334" s="53">
        <v>0</v>
      </c>
      <c r="AA334" s="53">
        <v>0</v>
      </c>
      <c r="AB334" s="53">
        <v>0</v>
      </c>
      <c r="AC334" s="53">
        <v>0</v>
      </c>
      <c r="AD334" s="53">
        <v>0</v>
      </c>
      <c r="AE334" s="53">
        <v>0</v>
      </c>
      <c r="AF334" s="53">
        <v>0</v>
      </c>
      <c r="AG334" s="53">
        <v>0</v>
      </c>
      <c r="AH334" s="53">
        <v>0</v>
      </c>
      <c r="AI334" s="53">
        <v>0</v>
      </c>
      <c r="AJ334" s="53">
        <v>0</v>
      </c>
      <c r="AK334" s="53">
        <v>0</v>
      </c>
      <c r="AL334" s="53">
        <v>0</v>
      </c>
      <c r="AM334" s="53" t="str">
        <f>I334-J334-K334-L334-M334-N334-O334-P334-Q334-R334-S334-T334-U334-V334-W334-X334-Y334-Z334-AA334-AB334-AC334-AD334-AE334-AF334-AG334+AH334-AI334+AJ334+AK334-AL334</f>
        <v>0</v>
      </c>
      <c r="AN334" s="53"/>
      <c r="AO334" s="27"/>
    </row>
    <row r="335" spans="1:41">
      <c r="A335" s="44">
        <v>307</v>
      </c>
      <c r="B335" s="46" t="s">
        <v>1352</v>
      </c>
      <c r="C335" s="48" t="s">
        <v>1353</v>
      </c>
      <c r="D335" s="51" t="s">
        <v>73</v>
      </c>
      <c r="E335" s="51" t="s">
        <v>1337</v>
      </c>
      <c r="F335" s="54" t="s">
        <v>1354</v>
      </c>
      <c r="G335" s="50">
        <v>2</v>
      </c>
      <c r="H335" s="51" t="s">
        <v>1355</v>
      </c>
      <c r="I335" s="53">
        <v>538100</v>
      </c>
      <c r="J335" s="53">
        <v>0</v>
      </c>
      <c r="K335" s="53">
        <v>22000</v>
      </c>
      <c r="L335" s="53">
        <v>0</v>
      </c>
      <c r="M335" s="53">
        <v>0</v>
      </c>
      <c r="N335" s="53">
        <v>0</v>
      </c>
      <c r="O335" s="53">
        <v>0</v>
      </c>
      <c r="P335" s="53">
        <v>0</v>
      </c>
      <c r="Q335" s="53">
        <v>0</v>
      </c>
      <c r="R335" s="53">
        <v>0</v>
      </c>
      <c r="S335" s="53">
        <v>0</v>
      </c>
      <c r="T335" s="53">
        <v>0</v>
      </c>
      <c r="U335" s="53">
        <v>1100</v>
      </c>
      <c r="V335" s="53">
        <v>0</v>
      </c>
      <c r="W335" s="53">
        <v>0</v>
      </c>
      <c r="X335" s="53">
        <v>0</v>
      </c>
      <c r="Y335" s="53">
        <v>0</v>
      </c>
      <c r="Z335" s="53">
        <v>0</v>
      </c>
      <c r="AA335" s="53">
        <v>0</v>
      </c>
      <c r="AB335" s="53">
        <v>0</v>
      </c>
      <c r="AC335" s="53">
        <v>0</v>
      </c>
      <c r="AD335" s="53">
        <v>0</v>
      </c>
      <c r="AE335" s="53">
        <v>0</v>
      </c>
      <c r="AF335" s="53">
        <v>0</v>
      </c>
      <c r="AG335" s="53">
        <v>0</v>
      </c>
      <c r="AH335" s="53">
        <v>0</v>
      </c>
      <c r="AI335" s="53">
        <v>0</v>
      </c>
      <c r="AJ335" s="53">
        <v>0</v>
      </c>
      <c r="AK335" s="53">
        <v>0</v>
      </c>
      <c r="AL335" s="53">
        <v>0</v>
      </c>
      <c r="AM335" s="53" t="str">
        <f>I335-J335-K335-L335-M335-N335-O335-P335-Q335-R335-S335-T335-U335-V335-W335-X335-Y335-Z335-AA335-AB335-AC335-AD335-AE335-AF335-AG335+AH335-AI335+AJ335+AK335-AL335</f>
        <v>0</v>
      </c>
      <c r="AN335" s="53"/>
      <c r="AO335" s="27"/>
    </row>
    <row r="336" spans="1:41">
      <c r="A336" s="44">
        <v>308</v>
      </c>
      <c r="B336" s="46" t="s">
        <v>1356</v>
      </c>
      <c r="C336" s="48" t="s">
        <v>1357</v>
      </c>
      <c r="D336" s="51" t="s">
        <v>73</v>
      </c>
      <c r="E336" s="51" t="s">
        <v>1337</v>
      </c>
      <c r="F336" s="54" t="s">
        <v>1358</v>
      </c>
      <c r="G336" s="50">
        <v>9</v>
      </c>
      <c r="H336" s="51" t="s">
        <v>1359</v>
      </c>
      <c r="I336" s="53">
        <v>1940000</v>
      </c>
      <c r="J336" s="53">
        <v>0</v>
      </c>
      <c r="K336" s="53">
        <v>40000</v>
      </c>
      <c r="L336" s="53">
        <v>0</v>
      </c>
      <c r="M336" s="53">
        <v>0</v>
      </c>
      <c r="N336" s="53">
        <v>0</v>
      </c>
      <c r="O336" s="53">
        <v>0</v>
      </c>
      <c r="P336" s="53">
        <v>0</v>
      </c>
      <c r="Q336" s="53">
        <v>0</v>
      </c>
      <c r="R336" s="53">
        <v>0</v>
      </c>
      <c r="S336" s="53">
        <v>0</v>
      </c>
      <c r="T336" s="53">
        <v>0</v>
      </c>
      <c r="U336" s="53">
        <v>2000</v>
      </c>
      <c r="V336" s="53">
        <v>0</v>
      </c>
      <c r="W336" s="53">
        <v>0</v>
      </c>
      <c r="X336" s="53">
        <v>0</v>
      </c>
      <c r="Y336" s="53">
        <v>0</v>
      </c>
      <c r="Z336" s="53">
        <v>0</v>
      </c>
      <c r="AA336" s="53">
        <v>0</v>
      </c>
      <c r="AB336" s="53">
        <v>0</v>
      </c>
      <c r="AC336" s="53">
        <v>0</v>
      </c>
      <c r="AD336" s="53">
        <v>0</v>
      </c>
      <c r="AE336" s="53">
        <v>0</v>
      </c>
      <c r="AF336" s="53">
        <v>0</v>
      </c>
      <c r="AG336" s="53">
        <v>0</v>
      </c>
      <c r="AH336" s="53">
        <v>0</v>
      </c>
      <c r="AI336" s="53">
        <v>0</v>
      </c>
      <c r="AJ336" s="53">
        <v>0</v>
      </c>
      <c r="AK336" s="53">
        <v>0</v>
      </c>
      <c r="AL336" s="53">
        <v>0</v>
      </c>
      <c r="AM336" s="53" t="str">
        <f>I336-J336-K336-L336-M336-N336-O336-P336-Q336-R336-S336-T336-U336-V336-W336-X336-Y336-Z336-AA336-AB336-AC336-AD336-AE336-AF336-AG336+AH336-AI336+AJ336+AK336-AL336</f>
        <v>0</v>
      </c>
      <c r="AN336" s="53"/>
      <c r="AO336" s="27"/>
    </row>
    <row r="337" spans="1:41">
      <c r="A337" s="44">
        <v>309</v>
      </c>
      <c r="B337" s="46" t="s">
        <v>1360</v>
      </c>
      <c r="C337" s="48" t="s">
        <v>1361</v>
      </c>
      <c r="D337" s="51" t="s">
        <v>73</v>
      </c>
      <c r="E337" s="51" t="s">
        <v>1337</v>
      </c>
      <c r="F337" s="54" t="s">
        <v>1362</v>
      </c>
      <c r="G337" s="50">
        <v>3</v>
      </c>
      <c r="H337" s="51" t="s">
        <v>1363</v>
      </c>
      <c r="I337" s="53">
        <v>270000</v>
      </c>
      <c r="J337" s="53">
        <v>0</v>
      </c>
      <c r="K337" s="53">
        <v>22000</v>
      </c>
      <c r="L337" s="53">
        <v>0</v>
      </c>
      <c r="M337" s="53">
        <v>0</v>
      </c>
      <c r="N337" s="53">
        <v>0</v>
      </c>
      <c r="O337" s="53">
        <v>0</v>
      </c>
      <c r="P337" s="53">
        <v>0</v>
      </c>
      <c r="Q337" s="53">
        <v>0</v>
      </c>
      <c r="R337" s="53">
        <v>0</v>
      </c>
      <c r="S337" s="53">
        <v>0</v>
      </c>
      <c r="T337" s="53">
        <v>0</v>
      </c>
      <c r="U337" s="53">
        <v>1100</v>
      </c>
      <c r="V337" s="53">
        <v>0</v>
      </c>
      <c r="W337" s="53">
        <v>0</v>
      </c>
      <c r="X337" s="53">
        <v>0</v>
      </c>
      <c r="Y337" s="53">
        <v>0</v>
      </c>
      <c r="Z337" s="53">
        <v>0</v>
      </c>
      <c r="AA337" s="53">
        <v>0</v>
      </c>
      <c r="AB337" s="53">
        <v>0</v>
      </c>
      <c r="AC337" s="53">
        <v>0</v>
      </c>
      <c r="AD337" s="53">
        <v>0</v>
      </c>
      <c r="AE337" s="53">
        <v>0</v>
      </c>
      <c r="AF337" s="53">
        <v>0</v>
      </c>
      <c r="AG337" s="53">
        <v>0</v>
      </c>
      <c r="AH337" s="53">
        <v>0</v>
      </c>
      <c r="AI337" s="53">
        <v>0</v>
      </c>
      <c r="AJ337" s="53">
        <v>0</v>
      </c>
      <c r="AK337" s="53">
        <v>0</v>
      </c>
      <c r="AL337" s="53">
        <v>0</v>
      </c>
      <c r="AM337" s="53" t="str">
        <f>I337-J337-K337-L337-M337-N337-O337-P337-Q337-R337-S337-T337-U337-V337-W337-X337-Y337-Z337-AA337-AB337-AC337-AD337-AE337-AF337-AG337+AH337-AI337+AJ337+AK337-AL337</f>
        <v>0</v>
      </c>
      <c r="AN337" s="53"/>
      <c r="AO337" s="27"/>
    </row>
    <row r="338" spans="1:41">
      <c r="A338" s="44">
        <v>310</v>
      </c>
      <c r="B338" s="46" t="s">
        <v>1364</v>
      </c>
      <c r="C338" s="48" t="s">
        <v>1365</v>
      </c>
      <c r="D338" s="51" t="s">
        <v>73</v>
      </c>
      <c r="E338" s="51" t="s">
        <v>1337</v>
      </c>
      <c r="F338" s="54" t="s">
        <v>1310</v>
      </c>
      <c r="G338" s="50">
        <v>8</v>
      </c>
      <c r="H338" s="51" t="s">
        <v>1366</v>
      </c>
      <c r="I338" s="53">
        <v>674100</v>
      </c>
      <c r="J338" s="53">
        <v>0</v>
      </c>
      <c r="K338" s="53">
        <v>39000</v>
      </c>
      <c r="L338" s="53">
        <v>0</v>
      </c>
      <c r="M338" s="53">
        <v>0</v>
      </c>
      <c r="N338" s="53">
        <v>0</v>
      </c>
      <c r="O338" s="53">
        <v>0</v>
      </c>
      <c r="P338" s="53">
        <v>0</v>
      </c>
      <c r="Q338" s="53">
        <v>0</v>
      </c>
      <c r="R338" s="53">
        <v>0</v>
      </c>
      <c r="S338" s="53">
        <v>0</v>
      </c>
      <c r="T338" s="53">
        <v>0</v>
      </c>
      <c r="U338" s="53">
        <v>1950</v>
      </c>
      <c r="V338" s="53">
        <v>0</v>
      </c>
      <c r="W338" s="53">
        <v>0</v>
      </c>
      <c r="X338" s="53">
        <v>0</v>
      </c>
      <c r="Y338" s="53">
        <v>0</v>
      </c>
      <c r="Z338" s="53">
        <v>0</v>
      </c>
      <c r="AA338" s="53">
        <v>0</v>
      </c>
      <c r="AB338" s="53">
        <v>0</v>
      </c>
      <c r="AC338" s="53">
        <v>0</v>
      </c>
      <c r="AD338" s="53">
        <v>0</v>
      </c>
      <c r="AE338" s="53">
        <v>0</v>
      </c>
      <c r="AF338" s="53">
        <v>0</v>
      </c>
      <c r="AG338" s="53">
        <v>0</v>
      </c>
      <c r="AH338" s="53">
        <v>0</v>
      </c>
      <c r="AI338" s="53">
        <v>0</v>
      </c>
      <c r="AJ338" s="53">
        <v>0</v>
      </c>
      <c r="AK338" s="53">
        <v>0</v>
      </c>
      <c r="AL338" s="53">
        <v>0</v>
      </c>
      <c r="AM338" s="53" t="str">
        <f>I338-J338-K338-L338-M338-N338-O338-P338-Q338-R338-S338-T338-U338-V338-W338-X338-Y338-Z338-AA338-AB338-AC338-AD338-AE338-AF338-AG338+AH338-AI338+AJ338+AK338-AL338</f>
        <v>0</v>
      </c>
      <c r="AN338" s="53"/>
      <c r="AO338" s="27"/>
    </row>
    <row r="339" spans="1:41">
      <c r="A339" s="44">
        <v>311</v>
      </c>
      <c r="B339" s="46" t="s">
        <v>1367</v>
      </c>
      <c r="C339" s="48" t="s">
        <v>1368</v>
      </c>
      <c r="D339" s="51" t="s">
        <v>73</v>
      </c>
      <c r="E339" s="51" t="s">
        <v>1337</v>
      </c>
      <c r="F339" s="54" t="s">
        <v>298</v>
      </c>
      <c r="G339" s="50">
        <v>4</v>
      </c>
      <c r="H339" s="51" t="s">
        <v>1369</v>
      </c>
      <c r="I339" s="53">
        <v>1129000</v>
      </c>
      <c r="J339" s="53">
        <v>0</v>
      </c>
      <c r="K339" s="53">
        <v>25000</v>
      </c>
      <c r="L339" s="53">
        <v>0</v>
      </c>
      <c r="M339" s="53">
        <v>0</v>
      </c>
      <c r="N339" s="53">
        <v>0</v>
      </c>
      <c r="O339" s="53">
        <v>0</v>
      </c>
      <c r="P339" s="53">
        <v>0</v>
      </c>
      <c r="Q339" s="53">
        <v>0</v>
      </c>
      <c r="R339" s="53">
        <v>0</v>
      </c>
      <c r="S339" s="53">
        <v>0</v>
      </c>
      <c r="T339" s="53">
        <v>0</v>
      </c>
      <c r="U339" s="53">
        <v>1250</v>
      </c>
      <c r="V339" s="53">
        <v>0</v>
      </c>
      <c r="W339" s="53">
        <v>0</v>
      </c>
      <c r="X339" s="53">
        <v>0</v>
      </c>
      <c r="Y339" s="53">
        <v>0</v>
      </c>
      <c r="Z339" s="53">
        <v>0</v>
      </c>
      <c r="AA339" s="53">
        <v>0</v>
      </c>
      <c r="AB339" s="53">
        <v>0</v>
      </c>
      <c r="AC339" s="53">
        <v>0</v>
      </c>
      <c r="AD339" s="53">
        <v>0</v>
      </c>
      <c r="AE339" s="53">
        <v>0</v>
      </c>
      <c r="AF339" s="53">
        <v>0</v>
      </c>
      <c r="AG339" s="53">
        <v>0</v>
      </c>
      <c r="AH339" s="53">
        <v>0</v>
      </c>
      <c r="AI339" s="53">
        <v>0</v>
      </c>
      <c r="AJ339" s="53">
        <v>0</v>
      </c>
      <c r="AK339" s="53">
        <v>0</v>
      </c>
      <c r="AL339" s="53">
        <v>0</v>
      </c>
      <c r="AM339" s="53" t="str">
        <f>I339-J339-K339-L339-M339-N339-O339-P339-Q339-R339-S339-T339-U339-V339-W339-X339-Y339-Z339-AA339-AB339-AC339-AD339-AE339-AF339-AG339+AH339-AI339+AJ339+AK339-AL339</f>
        <v>0</v>
      </c>
      <c r="AN339" s="53"/>
      <c r="AO339" s="27"/>
    </row>
    <row r="340" spans="1:41">
      <c r="A340" s="44">
        <v>312</v>
      </c>
      <c r="B340" s="46" t="s">
        <v>1370</v>
      </c>
      <c r="C340" s="48" t="s">
        <v>1371</v>
      </c>
      <c r="D340" s="51" t="s">
        <v>62</v>
      </c>
      <c r="E340" s="51" t="s">
        <v>1337</v>
      </c>
      <c r="F340" s="54" t="s">
        <v>1372</v>
      </c>
      <c r="G340" s="50">
        <v>2</v>
      </c>
      <c r="H340" s="51" t="s">
        <v>1373</v>
      </c>
      <c r="I340" s="53">
        <v>0</v>
      </c>
      <c r="J340" s="53">
        <v>0</v>
      </c>
      <c r="K340" s="53">
        <v>22000</v>
      </c>
      <c r="L340" s="53">
        <v>0</v>
      </c>
      <c r="M340" s="53">
        <v>0</v>
      </c>
      <c r="N340" s="53">
        <v>0</v>
      </c>
      <c r="O340" s="53">
        <v>0</v>
      </c>
      <c r="P340" s="53">
        <v>0</v>
      </c>
      <c r="Q340" s="53">
        <v>0</v>
      </c>
      <c r="R340" s="53">
        <v>0</v>
      </c>
      <c r="S340" s="53">
        <v>0</v>
      </c>
      <c r="T340" s="53">
        <v>0</v>
      </c>
      <c r="U340" s="53">
        <v>1100</v>
      </c>
      <c r="V340" s="53">
        <v>0</v>
      </c>
      <c r="W340" s="53">
        <v>0</v>
      </c>
      <c r="X340" s="53">
        <v>0</v>
      </c>
      <c r="Y340" s="53">
        <v>11550</v>
      </c>
      <c r="Z340" s="53">
        <v>0</v>
      </c>
      <c r="AA340" s="53">
        <v>0</v>
      </c>
      <c r="AB340" s="53">
        <v>0</v>
      </c>
      <c r="AC340" s="53">
        <v>0</v>
      </c>
      <c r="AD340" s="53">
        <v>0</v>
      </c>
      <c r="AE340" s="53">
        <v>0</v>
      </c>
      <c r="AF340" s="53">
        <v>0</v>
      </c>
      <c r="AG340" s="53">
        <v>0</v>
      </c>
      <c r="AH340" s="53">
        <v>0</v>
      </c>
      <c r="AI340" s="53">
        <v>0</v>
      </c>
      <c r="AJ340" s="53">
        <v>0</v>
      </c>
      <c r="AK340" s="53">
        <v>0</v>
      </c>
      <c r="AL340" s="53">
        <v>0</v>
      </c>
      <c r="AM340" s="53" t="str">
        <f>I340-J340-K340-L340-M340-N340-O340-P340-Q340-R340-S340-T340-U340-V340-W340-X340-Y340-Z340-AA340-AB340-AC340-AD340-AE340-AF340-AG340+AH340-AI340+AJ340+AK340-AL340</f>
        <v>0</v>
      </c>
      <c r="AN340" s="53"/>
      <c r="AO340" s="27"/>
    </row>
    <row r="341" spans="1:41">
      <c r="A341" s="44">
        <v>313</v>
      </c>
      <c r="B341" s="46" t="s">
        <v>1374</v>
      </c>
      <c r="C341" s="48" t="s">
        <v>1375</v>
      </c>
      <c r="D341" s="51" t="s">
        <v>73</v>
      </c>
      <c r="E341" s="51" t="s">
        <v>1337</v>
      </c>
      <c r="F341" s="54" t="s">
        <v>1376</v>
      </c>
      <c r="G341" s="50">
        <v>2</v>
      </c>
      <c r="H341" s="51" t="s">
        <v>1377</v>
      </c>
      <c r="I341" s="53">
        <v>199000</v>
      </c>
      <c r="J341" s="53">
        <v>0</v>
      </c>
      <c r="K341" s="53">
        <v>22000</v>
      </c>
      <c r="L341" s="53">
        <v>0</v>
      </c>
      <c r="M341" s="53">
        <v>0</v>
      </c>
      <c r="N341" s="53">
        <v>0</v>
      </c>
      <c r="O341" s="53">
        <v>0</v>
      </c>
      <c r="P341" s="53">
        <v>0</v>
      </c>
      <c r="Q341" s="53">
        <v>0</v>
      </c>
      <c r="R341" s="53">
        <v>0</v>
      </c>
      <c r="S341" s="53">
        <v>0</v>
      </c>
      <c r="T341" s="53">
        <v>0</v>
      </c>
      <c r="U341" s="53">
        <v>1100</v>
      </c>
      <c r="V341" s="53">
        <v>0</v>
      </c>
      <c r="W341" s="53">
        <v>0</v>
      </c>
      <c r="X341" s="53">
        <v>0</v>
      </c>
      <c r="Y341" s="53">
        <v>0</v>
      </c>
      <c r="Z341" s="53">
        <v>0</v>
      </c>
      <c r="AA341" s="53">
        <v>0</v>
      </c>
      <c r="AB341" s="53">
        <v>0</v>
      </c>
      <c r="AC341" s="53">
        <v>0</v>
      </c>
      <c r="AD341" s="53">
        <v>0</v>
      </c>
      <c r="AE341" s="53">
        <v>0</v>
      </c>
      <c r="AF341" s="53">
        <v>0</v>
      </c>
      <c r="AG341" s="53">
        <v>0</v>
      </c>
      <c r="AH341" s="53">
        <v>0</v>
      </c>
      <c r="AI341" s="53">
        <v>0</v>
      </c>
      <c r="AJ341" s="53">
        <v>0</v>
      </c>
      <c r="AK341" s="53">
        <v>0</v>
      </c>
      <c r="AL341" s="53">
        <v>0</v>
      </c>
      <c r="AM341" s="53" t="str">
        <f>I341-J341-K341-L341-M341-N341-O341-P341-Q341-R341-S341-T341-U341-V341-W341-X341-Y341-Z341-AA341-AB341-AC341-AD341-AE341-AF341-AG341+AH341-AI341+AJ341+AK341-AL341</f>
        <v>0</v>
      </c>
      <c r="AN341" s="53"/>
      <c r="AO341" s="27"/>
    </row>
    <row r="342" spans="1:41">
      <c r="A342" s="44">
        <v>314</v>
      </c>
      <c r="B342" s="46" t="s">
        <v>1378</v>
      </c>
      <c r="C342" s="48" t="s">
        <v>1379</v>
      </c>
      <c r="D342" s="51" t="s">
        <v>73</v>
      </c>
      <c r="E342" s="51" t="s">
        <v>1337</v>
      </c>
      <c r="F342" s="54" t="s">
        <v>298</v>
      </c>
      <c r="G342" s="50">
        <v>3</v>
      </c>
      <c r="H342" s="51" t="s">
        <v>1380</v>
      </c>
      <c r="I342" s="53">
        <v>340000</v>
      </c>
      <c r="J342" s="53">
        <v>0</v>
      </c>
      <c r="K342" s="53">
        <v>22000</v>
      </c>
      <c r="L342" s="53">
        <v>0</v>
      </c>
      <c r="M342" s="53">
        <v>0</v>
      </c>
      <c r="N342" s="53">
        <v>0</v>
      </c>
      <c r="O342" s="53">
        <v>0</v>
      </c>
      <c r="P342" s="53">
        <v>0</v>
      </c>
      <c r="Q342" s="53">
        <v>0</v>
      </c>
      <c r="R342" s="53">
        <v>0</v>
      </c>
      <c r="S342" s="53">
        <v>0</v>
      </c>
      <c r="T342" s="53">
        <v>0</v>
      </c>
      <c r="U342" s="53">
        <v>1100</v>
      </c>
      <c r="V342" s="53">
        <v>0</v>
      </c>
      <c r="W342" s="53">
        <v>0</v>
      </c>
      <c r="X342" s="53">
        <v>0</v>
      </c>
      <c r="Y342" s="53">
        <v>0</v>
      </c>
      <c r="Z342" s="53">
        <v>0</v>
      </c>
      <c r="AA342" s="53">
        <v>0</v>
      </c>
      <c r="AB342" s="53">
        <v>0</v>
      </c>
      <c r="AC342" s="53">
        <v>0</v>
      </c>
      <c r="AD342" s="53">
        <v>0</v>
      </c>
      <c r="AE342" s="53">
        <v>0</v>
      </c>
      <c r="AF342" s="53">
        <v>0</v>
      </c>
      <c r="AG342" s="53">
        <v>0</v>
      </c>
      <c r="AH342" s="53">
        <v>0</v>
      </c>
      <c r="AI342" s="53">
        <v>0</v>
      </c>
      <c r="AJ342" s="53">
        <v>0</v>
      </c>
      <c r="AK342" s="53">
        <v>0</v>
      </c>
      <c r="AL342" s="53">
        <v>0</v>
      </c>
      <c r="AM342" s="53" t="str">
        <f>I342-J342-K342-L342-M342-N342-O342-P342-Q342-R342-S342-T342-U342-V342-W342-X342-Y342-Z342-AA342-AB342-AC342-AD342-AE342-AF342-AG342+AH342-AI342+AJ342+AK342-AL342</f>
        <v>0</v>
      </c>
      <c r="AN342" s="53"/>
      <c r="AO342" s="27"/>
    </row>
    <row r="343" spans="1:41">
      <c r="A343" s="44">
        <v>315</v>
      </c>
      <c r="B343" s="46" t="s">
        <v>1381</v>
      </c>
      <c r="C343" s="48" t="s">
        <v>1382</v>
      </c>
      <c r="D343" s="51" t="s">
        <v>73</v>
      </c>
      <c r="E343" s="51" t="s">
        <v>1337</v>
      </c>
      <c r="F343" s="54" t="s">
        <v>1346</v>
      </c>
      <c r="G343" s="50">
        <v>2</v>
      </c>
      <c r="H343" s="51" t="s">
        <v>1383</v>
      </c>
      <c r="I343" s="53">
        <v>399000</v>
      </c>
      <c r="J343" s="53">
        <v>0</v>
      </c>
      <c r="K343" s="53">
        <v>22000</v>
      </c>
      <c r="L343" s="53">
        <v>0</v>
      </c>
      <c r="M343" s="53">
        <v>0</v>
      </c>
      <c r="N343" s="53">
        <v>0</v>
      </c>
      <c r="O343" s="53">
        <v>0</v>
      </c>
      <c r="P343" s="53">
        <v>0</v>
      </c>
      <c r="Q343" s="53">
        <v>0</v>
      </c>
      <c r="R343" s="53">
        <v>0</v>
      </c>
      <c r="S343" s="53">
        <v>0</v>
      </c>
      <c r="T343" s="53">
        <v>0</v>
      </c>
      <c r="U343" s="53">
        <v>1100</v>
      </c>
      <c r="V343" s="53">
        <v>0</v>
      </c>
      <c r="W343" s="53">
        <v>0</v>
      </c>
      <c r="X343" s="53">
        <v>0</v>
      </c>
      <c r="Y343" s="53">
        <v>0</v>
      </c>
      <c r="Z343" s="53">
        <v>0</v>
      </c>
      <c r="AA343" s="53">
        <v>0</v>
      </c>
      <c r="AB343" s="53">
        <v>0</v>
      </c>
      <c r="AC343" s="53">
        <v>0</v>
      </c>
      <c r="AD343" s="53">
        <v>0</v>
      </c>
      <c r="AE343" s="53">
        <v>0</v>
      </c>
      <c r="AF343" s="53">
        <v>0</v>
      </c>
      <c r="AG343" s="53">
        <v>0</v>
      </c>
      <c r="AH343" s="53">
        <v>0</v>
      </c>
      <c r="AI343" s="53">
        <v>0</v>
      </c>
      <c r="AJ343" s="53">
        <v>0</v>
      </c>
      <c r="AK343" s="53">
        <v>0</v>
      </c>
      <c r="AL343" s="53">
        <v>0</v>
      </c>
      <c r="AM343" s="53" t="str">
        <f>I343-J343-K343-L343-M343-N343-O343-P343-Q343-R343-S343-T343-U343-V343-W343-X343-Y343-Z343-AA343-AB343-AC343-AD343-AE343-AF343-AG343+AH343-AI343+AJ343+AK343-AL343</f>
        <v>0</v>
      </c>
      <c r="AN343" s="53"/>
      <c r="AO343" s="27"/>
    </row>
    <row r="344" spans="1:41">
      <c r="A344" s="44">
        <v>316</v>
      </c>
      <c r="B344" s="46" t="s">
        <v>1384</v>
      </c>
      <c r="C344" s="48" t="s">
        <v>1385</v>
      </c>
      <c r="D344" s="51" t="s">
        <v>73</v>
      </c>
      <c r="E344" s="51" t="s">
        <v>1337</v>
      </c>
      <c r="F344" s="54" t="s">
        <v>1003</v>
      </c>
      <c r="G344" s="50">
        <v>2</v>
      </c>
      <c r="H344" s="51" t="s">
        <v>1386</v>
      </c>
      <c r="I344" s="53">
        <v>289000</v>
      </c>
      <c r="J344" s="53">
        <v>0</v>
      </c>
      <c r="K344" s="53">
        <v>22000</v>
      </c>
      <c r="L344" s="53">
        <v>0</v>
      </c>
      <c r="M344" s="53">
        <v>0</v>
      </c>
      <c r="N344" s="53">
        <v>0</v>
      </c>
      <c r="O344" s="53">
        <v>0</v>
      </c>
      <c r="P344" s="53">
        <v>0</v>
      </c>
      <c r="Q344" s="53">
        <v>0</v>
      </c>
      <c r="R344" s="53">
        <v>0</v>
      </c>
      <c r="S344" s="53">
        <v>0</v>
      </c>
      <c r="T344" s="53">
        <v>0</v>
      </c>
      <c r="U344" s="53">
        <v>1100</v>
      </c>
      <c r="V344" s="53">
        <v>0</v>
      </c>
      <c r="W344" s="53">
        <v>0</v>
      </c>
      <c r="X344" s="53">
        <v>0</v>
      </c>
      <c r="Y344" s="53">
        <v>0</v>
      </c>
      <c r="Z344" s="53">
        <v>0</v>
      </c>
      <c r="AA344" s="53">
        <v>0</v>
      </c>
      <c r="AB344" s="53">
        <v>0</v>
      </c>
      <c r="AC344" s="53">
        <v>0</v>
      </c>
      <c r="AD344" s="53">
        <v>0</v>
      </c>
      <c r="AE344" s="53">
        <v>0</v>
      </c>
      <c r="AF344" s="53">
        <v>0</v>
      </c>
      <c r="AG344" s="53">
        <v>0</v>
      </c>
      <c r="AH344" s="53">
        <v>0</v>
      </c>
      <c r="AI344" s="53">
        <v>0</v>
      </c>
      <c r="AJ344" s="53">
        <v>0</v>
      </c>
      <c r="AK344" s="53">
        <v>0</v>
      </c>
      <c r="AL344" s="53">
        <v>0</v>
      </c>
      <c r="AM344" s="53" t="str">
        <f>I344-J344-K344-L344-M344-N344-O344-P344-Q344-R344-S344-T344-U344-V344-W344-X344-Y344-Z344-AA344-AB344-AC344-AD344-AE344-AF344-AG344+AH344-AI344+AJ344+AK344-AL344</f>
        <v>0</v>
      </c>
      <c r="AN344" s="53"/>
      <c r="AO344" s="27"/>
    </row>
    <row r="345" spans="1:41">
      <c r="A345" s="44">
        <v>317</v>
      </c>
      <c r="B345" s="46" t="s">
        <v>1387</v>
      </c>
      <c r="C345" s="48" t="s">
        <v>1388</v>
      </c>
      <c r="D345" s="51" t="s">
        <v>73</v>
      </c>
      <c r="E345" s="51" t="s">
        <v>1337</v>
      </c>
      <c r="F345" s="54" t="s">
        <v>1389</v>
      </c>
      <c r="G345" s="50">
        <v>3</v>
      </c>
      <c r="H345" s="51" t="s">
        <v>1390</v>
      </c>
      <c r="I345" s="53">
        <v>480000</v>
      </c>
      <c r="J345" s="53">
        <v>0</v>
      </c>
      <c r="K345" s="53">
        <v>22000</v>
      </c>
      <c r="L345" s="53">
        <v>0</v>
      </c>
      <c r="M345" s="53">
        <v>0</v>
      </c>
      <c r="N345" s="53">
        <v>0</v>
      </c>
      <c r="O345" s="53">
        <v>0</v>
      </c>
      <c r="P345" s="53">
        <v>0</v>
      </c>
      <c r="Q345" s="53">
        <v>0</v>
      </c>
      <c r="R345" s="53">
        <v>0</v>
      </c>
      <c r="S345" s="53">
        <v>0</v>
      </c>
      <c r="T345" s="53">
        <v>0</v>
      </c>
      <c r="U345" s="53">
        <v>1100</v>
      </c>
      <c r="V345" s="53">
        <v>0</v>
      </c>
      <c r="W345" s="53">
        <v>0</v>
      </c>
      <c r="X345" s="53">
        <v>0</v>
      </c>
      <c r="Y345" s="53">
        <v>0</v>
      </c>
      <c r="Z345" s="53">
        <v>0</v>
      </c>
      <c r="AA345" s="53">
        <v>0</v>
      </c>
      <c r="AB345" s="53">
        <v>0</v>
      </c>
      <c r="AC345" s="53">
        <v>0</v>
      </c>
      <c r="AD345" s="53">
        <v>0</v>
      </c>
      <c r="AE345" s="53">
        <v>0</v>
      </c>
      <c r="AF345" s="53">
        <v>0</v>
      </c>
      <c r="AG345" s="53">
        <v>0</v>
      </c>
      <c r="AH345" s="53">
        <v>0</v>
      </c>
      <c r="AI345" s="53">
        <v>0</v>
      </c>
      <c r="AJ345" s="53">
        <v>0</v>
      </c>
      <c r="AK345" s="53">
        <v>0</v>
      </c>
      <c r="AL345" s="53">
        <v>0</v>
      </c>
      <c r="AM345" s="53" t="str">
        <f>I345-J345-K345-L345-M345-N345-O345-P345-Q345-R345-S345-T345-U345-V345-W345-X345-Y345-Z345-AA345-AB345-AC345-AD345-AE345-AF345-AG345+AH345-AI345+AJ345+AK345-AL345</f>
        <v>0</v>
      </c>
      <c r="AN345" s="53"/>
      <c r="AO345" s="27"/>
    </row>
    <row r="346" spans="1:41">
      <c r="A346" s="44">
        <v>318</v>
      </c>
      <c r="B346" s="46" t="s">
        <v>1391</v>
      </c>
      <c r="C346" s="48" t="s">
        <v>1392</v>
      </c>
      <c r="D346" s="51" t="s">
        <v>73</v>
      </c>
      <c r="E346" s="51" t="s">
        <v>1337</v>
      </c>
      <c r="F346" s="54" t="s">
        <v>1393</v>
      </c>
      <c r="G346" s="50">
        <v>3</v>
      </c>
      <c r="H346" s="51" t="s">
        <v>1394</v>
      </c>
      <c r="I346" s="53">
        <v>359100</v>
      </c>
      <c r="J346" s="53">
        <v>0</v>
      </c>
      <c r="K346" s="53">
        <v>22000</v>
      </c>
      <c r="L346" s="53">
        <v>0</v>
      </c>
      <c r="M346" s="53">
        <v>0</v>
      </c>
      <c r="N346" s="53">
        <v>0</v>
      </c>
      <c r="O346" s="53">
        <v>0</v>
      </c>
      <c r="P346" s="53">
        <v>0</v>
      </c>
      <c r="Q346" s="53">
        <v>0</v>
      </c>
      <c r="R346" s="53">
        <v>0</v>
      </c>
      <c r="S346" s="53">
        <v>0</v>
      </c>
      <c r="T346" s="53">
        <v>0</v>
      </c>
      <c r="U346" s="53">
        <v>1100</v>
      </c>
      <c r="V346" s="53">
        <v>0</v>
      </c>
      <c r="W346" s="53">
        <v>0</v>
      </c>
      <c r="X346" s="53">
        <v>0</v>
      </c>
      <c r="Y346" s="53">
        <v>0</v>
      </c>
      <c r="Z346" s="53">
        <v>0</v>
      </c>
      <c r="AA346" s="53">
        <v>0</v>
      </c>
      <c r="AB346" s="53">
        <v>0</v>
      </c>
      <c r="AC346" s="53">
        <v>0</v>
      </c>
      <c r="AD346" s="53">
        <v>0</v>
      </c>
      <c r="AE346" s="53">
        <v>0</v>
      </c>
      <c r="AF346" s="53">
        <v>0</v>
      </c>
      <c r="AG346" s="53">
        <v>0</v>
      </c>
      <c r="AH346" s="53">
        <v>0</v>
      </c>
      <c r="AI346" s="53">
        <v>0</v>
      </c>
      <c r="AJ346" s="53">
        <v>0</v>
      </c>
      <c r="AK346" s="53">
        <v>0</v>
      </c>
      <c r="AL346" s="53">
        <v>0</v>
      </c>
      <c r="AM346" s="53" t="str">
        <f>I346-J346-K346-L346-M346-N346-O346-P346-Q346-R346-S346-T346-U346-V346-W346-X346-Y346-Z346-AA346-AB346-AC346-AD346-AE346-AF346-AG346+AH346-AI346+AJ346+AK346-AL346</f>
        <v>0</v>
      </c>
      <c r="AN346" s="53"/>
      <c r="AO346" s="27"/>
    </row>
    <row r="347" spans="1:41">
      <c r="A347" s="44">
        <v>319</v>
      </c>
      <c r="B347" s="46" t="s">
        <v>1395</v>
      </c>
      <c r="C347" s="48" t="s">
        <v>1396</v>
      </c>
      <c r="D347" s="51" t="s">
        <v>73</v>
      </c>
      <c r="E347" s="51" t="s">
        <v>1337</v>
      </c>
      <c r="F347" s="54" t="s">
        <v>1397</v>
      </c>
      <c r="G347" s="50">
        <v>3</v>
      </c>
      <c r="H347" s="51" t="s">
        <v>1398</v>
      </c>
      <c r="I347" s="53">
        <v>590000</v>
      </c>
      <c r="J347" s="53">
        <v>0</v>
      </c>
      <c r="K347" s="53">
        <v>22000</v>
      </c>
      <c r="L347" s="53">
        <v>0</v>
      </c>
      <c r="M347" s="53">
        <v>0</v>
      </c>
      <c r="N347" s="53">
        <v>0</v>
      </c>
      <c r="O347" s="53">
        <v>0</v>
      </c>
      <c r="P347" s="53">
        <v>0</v>
      </c>
      <c r="Q347" s="53">
        <v>0</v>
      </c>
      <c r="R347" s="53">
        <v>0</v>
      </c>
      <c r="S347" s="53">
        <v>0</v>
      </c>
      <c r="T347" s="53">
        <v>0</v>
      </c>
      <c r="U347" s="53">
        <v>1100</v>
      </c>
      <c r="V347" s="53">
        <v>0</v>
      </c>
      <c r="W347" s="53">
        <v>0</v>
      </c>
      <c r="X347" s="53">
        <v>0</v>
      </c>
      <c r="Y347" s="53">
        <v>0</v>
      </c>
      <c r="Z347" s="53">
        <v>0</v>
      </c>
      <c r="AA347" s="53">
        <v>0</v>
      </c>
      <c r="AB347" s="53">
        <v>0</v>
      </c>
      <c r="AC347" s="53">
        <v>0</v>
      </c>
      <c r="AD347" s="53">
        <v>0</v>
      </c>
      <c r="AE347" s="53">
        <v>0</v>
      </c>
      <c r="AF347" s="53">
        <v>0</v>
      </c>
      <c r="AG347" s="53">
        <v>0</v>
      </c>
      <c r="AH347" s="53">
        <v>0</v>
      </c>
      <c r="AI347" s="53">
        <v>0</v>
      </c>
      <c r="AJ347" s="53">
        <v>0</v>
      </c>
      <c r="AK347" s="53">
        <v>0</v>
      </c>
      <c r="AL347" s="53">
        <v>0</v>
      </c>
      <c r="AM347" s="53" t="str">
        <f>I347-J347-K347-L347-M347-N347-O347-P347-Q347-R347-S347-T347-U347-V347-W347-X347-Y347-Z347-AA347-AB347-AC347-AD347-AE347-AF347-AG347+AH347-AI347+AJ347+AK347-AL347</f>
        <v>0</v>
      </c>
      <c r="AN347" s="53"/>
      <c r="AO347" s="27"/>
    </row>
    <row r="348" spans="1:41">
      <c r="A348" s="44">
        <v>320</v>
      </c>
      <c r="B348" s="46" t="s">
        <v>1399</v>
      </c>
      <c r="C348" s="48" t="s">
        <v>1400</v>
      </c>
      <c r="D348" s="51" t="s">
        <v>73</v>
      </c>
      <c r="E348" s="51" t="s">
        <v>1337</v>
      </c>
      <c r="F348" s="54" t="s">
        <v>1401</v>
      </c>
      <c r="G348" s="50">
        <v>11</v>
      </c>
      <c r="H348" s="51" t="s">
        <v>1402</v>
      </c>
      <c r="I348" s="53">
        <v>2610000</v>
      </c>
      <c r="J348" s="53">
        <v>0</v>
      </c>
      <c r="K348" s="53">
        <v>54000</v>
      </c>
      <c r="L348" s="53">
        <v>0</v>
      </c>
      <c r="M348" s="53">
        <v>0</v>
      </c>
      <c r="N348" s="53">
        <v>0</v>
      </c>
      <c r="O348" s="53">
        <v>0</v>
      </c>
      <c r="P348" s="53">
        <v>0</v>
      </c>
      <c r="Q348" s="53">
        <v>0</v>
      </c>
      <c r="R348" s="53">
        <v>0</v>
      </c>
      <c r="S348" s="53">
        <v>0</v>
      </c>
      <c r="T348" s="53">
        <v>0</v>
      </c>
      <c r="U348" s="53">
        <v>2700</v>
      </c>
      <c r="V348" s="53">
        <v>0</v>
      </c>
      <c r="W348" s="53">
        <v>0</v>
      </c>
      <c r="X348" s="53">
        <v>0</v>
      </c>
      <c r="Y348" s="53">
        <v>0</v>
      </c>
      <c r="Z348" s="53">
        <v>0</v>
      </c>
      <c r="AA348" s="53">
        <v>0</v>
      </c>
      <c r="AB348" s="53">
        <v>0</v>
      </c>
      <c r="AC348" s="53">
        <v>0</v>
      </c>
      <c r="AD348" s="53">
        <v>0</v>
      </c>
      <c r="AE348" s="53">
        <v>0</v>
      </c>
      <c r="AF348" s="53">
        <v>0</v>
      </c>
      <c r="AG348" s="53">
        <v>0</v>
      </c>
      <c r="AH348" s="53">
        <v>0</v>
      </c>
      <c r="AI348" s="53">
        <v>0</v>
      </c>
      <c r="AJ348" s="53">
        <v>0</v>
      </c>
      <c r="AK348" s="53">
        <v>0</v>
      </c>
      <c r="AL348" s="53">
        <v>0</v>
      </c>
      <c r="AM348" s="53" t="str">
        <f>I348-J348-K348-L348-M348-N348-O348-P348-Q348-R348-S348-T348-U348-V348-W348-X348-Y348-Z348-AA348-AB348-AC348-AD348-AE348-AF348-AG348+AH348-AI348+AJ348+AK348-AL348</f>
        <v>0</v>
      </c>
      <c r="AN348" s="53"/>
      <c r="AO348" s="27"/>
    </row>
    <row r="349" spans="1:41">
      <c r="A349" s="44">
        <v>321</v>
      </c>
      <c r="B349" s="46" t="s">
        <v>1403</v>
      </c>
      <c r="C349" s="48" t="s">
        <v>1404</v>
      </c>
      <c r="D349" s="51" t="s">
        <v>73</v>
      </c>
      <c r="E349" s="51" t="s">
        <v>1337</v>
      </c>
      <c r="F349" s="54" t="s">
        <v>1405</v>
      </c>
      <c r="G349" s="50">
        <v>4</v>
      </c>
      <c r="H349" s="51" t="s">
        <v>1406</v>
      </c>
      <c r="I349" s="53">
        <v>256500</v>
      </c>
      <c r="J349" s="53">
        <v>0</v>
      </c>
      <c r="K349" s="53">
        <v>25000</v>
      </c>
      <c r="L349" s="53">
        <v>0</v>
      </c>
      <c r="M349" s="53">
        <v>0</v>
      </c>
      <c r="N349" s="53">
        <v>0</v>
      </c>
      <c r="O349" s="53">
        <v>0</v>
      </c>
      <c r="P349" s="53">
        <v>0</v>
      </c>
      <c r="Q349" s="53">
        <v>0</v>
      </c>
      <c r="R349" s="53">
        <v>0</v>
      </c>
      <c r="S349" s="53">
        <v>0</v>
      </c>
      <c r="T349" s="53">
        <v>0</v>
      </c>
      <c r="U349" s="53">
        <v>1250</v>
      </c>
      <c r="V349" s="53">
        <v>0</v>
      </c>
      <c r="W349" s="53">
        <v>0</v>
      </c>
      <c r="X349" s="53">
        <v>0</v>
      </c>
      <c r="Y349" s="53">
        <v>0</v>
      </c>
      <c r="Z349" s="53">
        <v>0</v>
      </c>
      <c r="AA349" s="53">
        <v>0</v>
      </c>
      <c r="AB349" s="53">
        <v>0</v>
      </c>
      <c r="AC349" s="53">
        <v>0</v>
      </c>
      <c r="AD349" s="53">
        <v>0</v>
      </c>
      <c r="AE349" s="53">
        <v>0</v>
      </c>
      <c r="AF349" s="53">
        <v>0</v>
      </c>
      <c r="AG349" s="53">
        <v>0</v>
      </c>
      <c r="AH349" s="53">
        <v>0</v>
      </c>
      <c r="AI349" s="53">
        <v>0</v>
      </c>
      <c r="AJ349" s="53">
        <v>0</v>
      </c>
      <c r="AK349" s="53">
        <v>0</v>
      </c>
      <c r="AL349" s="53">
        <v>0</v>
      </c>
      <c r="AM349" s="53" t="str">
        <f>I349-J349-K349-L349-M349-N349-O349-P349-Q349-R349-S349-T349-U349-V349-W349-X349-Y349-Z349-AA349-AB349-AC349-AD349-AE349-AF349-AG349+AH349-AI349+AJ349+AK349-AL349</f>
        <v>0</v>
      </c>
      <c r="AN349" s="53"/>
      <c r="AO349" s="27"/>
    </row>
    <row r="350" spans="1:41">
      <c r="A350" s="44">
        <v>322</v>
      </c>
      <c r="B350" s="46" t="s">
        <v>1407</v>
      </c>
      <c r="C350" s="48" t="s">
        <v>1408</v>
      </c>
      <c r="D350" s="51" t="s">
        <v>73</v>
      </c>
      <c r="E350" s="51" t="s">
        <v>1337</v>
      </c>
      <c r="F350" s="54" t="s">
        <v>931</v>
      </c>
      <c r="G350" s="50">
        <v>6</v>
      </c>
      <c r="H350" s="51" t="s">
        <v>1409</v>
      </c>
      <c r="I350" s="53">
        <v>1294200</v>
      </c>
      <c r="J350" s="53">
        <v>0</v>
      </c>
      <c r="K350" s="53">
        <v>31000</v>
      </c>
      <c r="L350" s="53">
        <v>0</v>
      </c>
      <c r="M350" s="53">
        <v>0</v>
      </c>
      <c r="N350" s="53">
        <v>0</v>
      </c>
      <c r="O350" s="53">
        <v>0</v>
      </c>
      <c r="P350" s="53">
        <v>0</v>
      </c>
      <c r="Q350" s="53">
        <v>0</v>
      </c>
      <c r="R350" s="53">
        <v>0</v>
      </c>
      <c r="S350" s="53">
        <v>0</v>
      </c>
      <c r="T350" s="53">
        <v>0</v>
      </c>
      <c r="U350" s="53">
        <v>1550</v>
      </c>
      <c r="V350" s="53">
        <v>0</v>
      </c>
      <c r="W350" s="53">
        <v>0</v>
      </c>
      <c r="X350" s="53">
        <v>0</v>
      </c>
      <c r="Y350" s="53">
        <v>0</v>
      </c>
      <c r="Z350" s="53">
        <v>0</v>
      </c>
      <c r="AA350" s="53">
        <v>0</v>
      </c>
      <c r="AB350" s="53">
        <v>0</v>
      </c>
      <c r="AC350" s="53">
        <v>0</v>
      </c>
      <c r="AD350" s="53">
        <v>0</v>
      </c>
      <c r="AE350" s="53">
        <v>0</v>
      </c>
      <c r="AF350" s="53">
        <v>0</v>
      </c>
      <c r="AG350" s="53">
        <v>0</v>
      </c>
      <c r="AH350" s="53">
        <v>0</v>
      </c>
      <c r="AI350" s="53">
        <v>0</v>
      </c>
      <c r="AJ350" s="53">
        <v>0</v>
      </c>
      <c r="AK350" s="53">
        <v>0</v>
      </c>
      <c r="AL350" s="53">
        <v>0</v>
      </c>
      <c r="AM350" s="53" t="str">
        <f>I350-J350-K350-L350-M350-N350-O350-P350-Q350-R350-S350-T350-U350-V350-W350-X350-Y350-Z350-AA350-AB350-AC350-AD350-AE350-AF350-AG350+AH350-AI350+AJ350+AK350-AL350</f>
        <v>0</v>
      </c>
      <c r="AN350" s="53"/>
      <c r="AO350" s="27"/>
    </row>
    <row r="351" spans="1:41">
      <c r="A351" s="44">
        <v>323</v>
      </c>
      <c r="B351" s="46" t="s">
        <v>1410</v>
      </c>
      <c r="C351" s="48" t="s">
        <v>1411</v>
      </c>
      <c r="D351" s="51" t="s">
        <v>73</v>
      </c>
      <c r="E351" s="51" t="s">
        <v>1412</v>
      </c>
      <c r="F351" s="54" t="s">
        <v>1413</v>
      </c>
      <c r="G351" s="50">
        <v>5</v>
      </c>
      <c r="H351" s="51" t="s">
        <v>1414</v>
      </c>
      <c r="I351" s="53">
        <v>1440000</v>
      </c>
      <c r="J351" s="53">
        <v>0</v>
      </c>
      <c r="K351" s="53">
        <v>27000</v>
      </c>
      <c r="L351" s="53">
        <v>0</v>
      </c>
      <c r="M351" s="53">
        <v>0</v>
      </c>
      <c r="N351" s="53">
        <v>0</v>
      </c>
      <c r="O351" s="53">
        <v>0</v>
      </c>
      <c r="P351" s="53">
        <v>0</v>
      </c>
      <c r="Q351" s="53">
        <v>0</v>
      </c>
      <c r="R351" s="53">
        <v>0</v>
      </c>
      <c r="S351" s="53">
        <v>0</v>
      </c>
      <c r="T351" s="53">
        <v>0</v>
      </c>
      <c r="U351" s="53">
        <v>1350</v>
      </c>
      <c r="V351" s="53">
        <v>0</v>
      </c>
      <c r="W351" s="53">
        <v>0</v>
      </c>
      <c r="X351" s="53">
        <v>0</v>
      </c>
      <c r="Y351" s="53">
        <v>0</v>
      </c>
      <c r="Z351" s="53">
        <v>0</v>
      </c>
      <c r="AA351" s="53">
        <v>0</v>
      </c>
      <c r="AB351" s="53">
        <v>0</v>
      </c>
      <c r="AC351" s="53">
        <v>0</v>
      </c>
      <c r="AD351" s="53">
        <v>0</v>
      </c>
      <c r="AE351" s="53">
        <v>0</v>
      </c>
      <c r="AF351" s="53">
        <v>0</v>
      </c>
      <c r="AG351" s="53">
        <v>0</v>
      </c>
      <c r="AH351" s="53">
        <v>0</v>
      </c>
      <c r="AI351" s="53">
        <v>0</v>
      </c>
      <c r="AJ351" s="53">
        <v>0</v>
      </c>
      <c r="AK351" s="53">
        <v>0</v>
      </c>
      <c r="AL351" s="53">
        <v>0</v>
      </c>
      <c r="AM351" s="53" t="str">
        <f>I351-J351-K351-L351-M351-N351-O351-P351-Q351-R351-S351-T351-U351-V351-W351-X351-Y351-Z351-AA351-AB351-AC351-AD351-AE351-AF351-AG351+AH351-AI351+AJ351+AK351-AL351</f>
        <v>0</v>
      </c>
      <c r="AN351" s="53"/>
      <c r="AO351" s="27"/>
    </row>
    <row r="352" spans="1:41">
      <c r="A352" s="44">
        <v>324</v>
      </c>
      <c r="B352" s="46" t="s">
        <v>1415</v>
      </c>
      <c r="C352" s="48" t="s">
        <v>1416</v>
      </c>
      <c r="D352" s="51" t="s">
        <v>73</v>
      </c>
      <c r="E352" s="51" t="s">
        <v>1412</v>
      </c>
      <c r="F352" s="54" t="s">
        <v>1417</v>
      </c>
      <c r="G352" s="50">
        <v>5</v>
      </c>
      <c r="H352" s="51" t="s">
        <v>1418</v>
      </c>
      <c r="I352" s="53">
        <v>1025000</v>
      </c>
      <c r="J352" s="53">
        <v>0</v>
      </c>
      <c r="K352" s="53">
        <v>27000</v>
      </c>
      <c r="L352" s="53">
        <v>0</v>
      </c>
      <c r="M352" s="53">
        <v>0</v>
      </c>
      <c r="N352" s="53">
        <v>0</v>
      </c>
      <c r="O352" s="53">
        <v>0</v>
      </c>
      <c r="P352" s="53">
        <v>0</v>
      </c>
      <c r="Q352" s="53">
        <v>0</v>
      </c>
      <c r="R352" s="53">
        <v>0</v>
      </c>
      <c r="S352" s="53">
        <v>0</v>
      </c>
      <c r="T352" s="53">
        <v>0</v>
      </c>
      <c r="U352" s="53">
        <v>1350</v>
      </c>
      <c r="V352" s="53">
        <v>0</v>
      </c>
      <c r="W352" s="53">
        <v>0</v>
      </c>
      <c r="X352" s="53">
        <v>0</v>
      </c>
      <c r="Y352" s="53">
        <v>0</v>
      </c>
      <c r="Z352" s="53">
        <v>0</v>
      </c>
      <c r="AA352" s="53">
        <v>0</v>
      </c>
      <c r="AB352" s="53">
        <v>0</v>
      </c>
      <c r="AC352" s="53">
        <v>0</v>
      </c>
      <c r="AD352" s="53">
        <v>0</v>
      </c>
      <c r="AE352" s="53">
        <v>0</v>
      </c>
      <c r="AF352" s="53">
        <v>0</v>
      </c>
      <c r="AG352" s="53">
        <v>0</v>
      </c>
      <c r="AH352" s="53">
        <v>0</v>
      </c>
      <c r="AI352" s="53">
        <v>0</v>
      </c>
      <c r="AJ352" s="53">
        <v>0</v>
      </c>
      <c r="AK352" s="53">
        <v>0</v>
      </c>
      <c r="AL352" s="53">
        <v>0</v>
      </c>
      <c r="AM352" s="53" t="str">
        <f>I352-J352-K352-L352-M352-N352-O352-P352-Q352-R352-S352-T352-U352-V352-W352-X352-Y352-Z352-AA352-AB352-AC352-AD352-AE352-AF352-AG352+AH352-AI352+AJ352+AK352-AL352</f>
        <v>0</v>
      </c>
      <c r="AN352" s="53"/>
      <c r="AO352" s="27"/>
    </row>
    <row r="353" spans="1:41">
      <c r="A353" s="44">
        <v>325</v>
      </c>
      <c r="B353" s="46" t="s">
        <v>1419</v>
      </c>
      <c r="C353" s="48" t="s">
        <v>1420</v>
      </c>
      <c r="D353" s="51" t="s">
        <v>73</v>
      </c>
      <c r="E353" s="51" t="s">
        <v>1412</v>
      </c>
      <c r="F353" s="54" t="s">
        <v>1372</v>
      </c>
      <c r="G353" s="50">
        <v>3</v>
      </c>
      <c r="H353" s="51" t="s">
        <v>1421</v>
      </c>
      <c r="I353" s="53">
        <v>507500</v>
      </c>
      <c r="J353" s="53">
        <v>0</v>
      </c>
      <c r="K353" s="53">
        <v>22000</v>
      </c>
      <c r="L353" s="53">
        <v>0</v>
      </c>
      <c r="M353" s="53">
        <v>0</v>
      </c>
      <c r="N353" s="53">
        <v>0</v>
      </c>
      <c r="O353" s="53">
        <v>0</v>
      </c>
      <c r="P353" s="53">
        <v>0</v>
      </c>
      <c r="Q353" s="53">
        <v>0</v>
      </c>
      <c r="R353" s="53">
        <v>0</v>
      </c>
      <c r="S353" s="53">
        <v>0</v>
      </c>
      <c r="T353" s="53">
        <v>0</v>
      </c>
      <c r="U353" s="53">
        <v>1100</v>
      </c>
      <c r="V353" s="53">
        <v>0</v>
      </c>
      <c r="W353" s="53">
        <v>0</v>
      </c>
      <c r="X353" s="53">
        <v>0</v>
      </c>
      <c r="Y353" s="53">
        <v>0</v>
      </c>
      <c r="Z353" s="53">
        <v>0</v>
      </c>
      <c r="AA353" s="53">
        <v>0</v>
      </c>
      <c r="AB353" s="53">
        <v>0</v>
      </c>
      <c r="AC353" s="53">
        <v>0</v>
      </c>
      <c r="AD353" s="53">
        <v>0</v>
      </c>
      <c r="AE353" s="53">
        <v>0</v>
      </c>
      <c r="AF353" s="53">
        <v>0</v>
      </c>
      <c r="AG353" s="53">
        <v>0</v>
      </c>
      <c r="AH353" s="53">
        <v>0</v>
      </c>
      <c r="AI353" s="53">
        <v>0</v>
      </c>
      <c r="AJ353" s="53">
        <v>0</v>
      </c>
      <c r="AK353" s="53">
        <v>0</v>
      </c>
      <c r="AL353" s="53">
        <v>0</v>
      </c>
      <c r="AM353" s="53" t="str">
        <f>I353-J353-K353-L353-M353-N353-O353-P353-Q353-R353-S353-T353-U353-V353-W353-X353-Y353-Z353-AA353-AB353-AC353-AD353-AE353-AF353-AG353+AH353-AI353+AJ353+AK353-AL353</f>
        <v>0</v>
      </c>
      <c r="AN353" s="53"/>
      <c r="AO353" s="27"/>
    </row>
    <row r="354" spans="1:41">
      <c r="A354" s="44">
        <v>326</v>
      </c>
      <c r="B354" s="46" t="s">
        <v>1422</v>
      </c>
      <c r="C354" s="48" t="s">
        <v>1423</v>
      </c>
      <c r="D354" s="51" t="s">
        <v>73</v>
      </c>
      <c r="E354" s="51" t="s">
        <v>1412</v>
      </c>
      <c r="F354" s="54" t="s">
        <v>1424</v>
      </c>
      <c r="G354" s="50">
        <v>2</v>
      </c>
      <c r="H354" s="51" t="s">
        <v>1425</v>
      </c>
      <c r="I354" s="53">
        <v>169100</v>
      </c>
      <c r="J354" s="53">
        <v>0</v>
      </c>
      <c r="K354" s="53">
        <v>22000</v>
      </c>
      <c r="L354" s="53">
        <v>0</v>
      </c>
      <c r="M354" s="53">
        <v>0</v>
      </c>
      <c r="N354" s="53">
        <v>0</v>
      </c>
      <c r="O354" s="53">
        <v>0</v>
      </c>
      <c r="P354" s="53">
        <v>0</v>
      </c>
      <c r="Q354" s="53">
        <v>0</v>
      </c>
      <c r="R354" s="53">
        <v>0</v>
      </c>
      <c r="S354" s="53">
        <v>0</v>
      </c>
      <c r="T354" s="53">
        <v>0</v>
      </c>
      <c r="U354" s="53">
        <v>1100</v>
      </c>
      <c r="V354" s="53">
        <v>0</v>
      </c>
      <c r="W354" s="53">
        <v>0</v>
      </c>
      <c r="X354" s="53">
        <v>0</v>
      </c>
      <c r="Y354" s="53">
        <v>0</v>
      </c>
      <c r="Z354" s="53">
        <v>0</v>
      </c>
      <c r="AA354" s="53">
        <v>0</v>
      </c>
      <c r="AB354" s="53">
        <v>0</v>
      </c>
      <c r="AC354" s="53">
        <v>0</v>
      </c>
      <c r="AD354" s="53">
        <v>0</v>
      </c>
      <c r="AE354" s="53">
        <v>0</v>
      </c>
      <c r="AF354" s="53">
        <v>0</v>
      </c>
      <c r="AG354" s="53">
        <v>0</v>
      </c>
      <c r="AH354" s="53">
        <v>0</v>
      </c>
      <c r="AI354" s="53">
        <v>0</v>
      </c>
      <c r="AJ354" s="53">
        <v>0</v>
      </c>
      <c r="AK354" s="53">
        <v>0</v>
      </c>
      <c r="AL354" s="53">
        <v>0</v>
      </c>
      <c r="AM354" s="53" t="str">
        <f>I354-J354-K354-L354-M354-N354-O354-P354-Q354-R354-S354-T354-U354-V354-W354-X354-Y354-Z354-AA354-AB354-AC354-AD354-AE354-AF354-AG354+AH354-AI354+AJ354+AK354-AL354</f>
        <v>0</v>
      </c>
      <c r="AN354" s="53"/>
      <c r="AO354" s="27"/>
    </row>
    <row r="355" spans="1:41">
      <c r="A355" s="44">
        <v>327</v>
      </c>
      <c r="B355" s="46" t="s">
        <v>1426</v>
      </c>
      <c r="C355" s="48" t="s">
        <v>1427</v>
      </c>
      <c r="D355" s="51" t="s">
        <v>62</v>
      </c>
      <c r="E355" s="51" t="s">
        <v>1412</v>
      </c>
      <c r="F355" s="54" t="s">
        <v>1428</v>
      </c>
      <c r="G355" s="50">
        <v>6</v>
      </c>
      <c r="H355" s="51" t="s">
        <v>1429</v>
      </c>
      <c r="I355" s="53">
        <v>0</v>
      </c>
      <c r="J355" s="53">
        <v>0</v>
      </c>
      <c r="K355" s="53">
        <v>31000</v>
      </c>
      <c r="L355" s="53">
        <v>0</v>
      </c>
      <c r="M355" s="53">
        <v>0</v>
      </c>
      <c r="N355" s="53">
        <v>0</v>
      </c>
      <c r="O355" s="53">
        <v>0</v>
      </c>
      <c r="P355" s="53">
        <v>0</v>
      </c>
      <c r="Q355" s="53">
        <v>0</v>
      </c>
      <c r="R355" s="53">
        <v>0</v>
      </c>
      <c r="S355" s="53">
        <v>0</v>
      </c>
      <c r="T355" s="53">
        <v>0</v>
      </c>
      <c r="U355" s="53">
        <v>1550</v>
      </c>
      <c r="V355" s="53">
        <v>0</v>
      </c>
      <c r="W355" s="53">
        <v>0</v>
      </c>
      <c r="X355" s="53">
        <v>0</v>
      </c>
      <c r="Y355" s="53">
        <v>16275</v>
      </c>
      <c r="Z355" s="53">
        <v>0</v>
      </c>
      <c r="AA355" s="53">
        <v>0</v>
      </c>
      <c r="AB355" s="53">
        <v>0</v>
      </c>
      <c r="AC355" s="53">
        <v>0</v>
      </c>
      <c r="AD355" s="53">
        <v>0</v>
      </c>
      <c r="AE355" s="53">
        <v>0</v>
      </c>
      <c r="AF355" s="53">
        <v>0</v>
      </c>
      <c r="AG355" s="53">
        <v>0</v>
      </c>
      <c r="AH355" s="53">
        <v>0</v>
      </c>
      <c r="AI355" s="53">
        <v>0</v>
      </c>
      <c r="AJ355" s="53">
        <v>0</v>
      </c>
      <c r="AK355" s="53">
        <v>0</v>
      </c>
      <c r="AL355" s="53">
        <v>0</v>
      </c>
      <c r="AM355" s="53" t="str">
        <f>I355-J355-K355-L355-M355-N355-O355-P355-Q355-R355-S355-T355-U355-V355-W355-X355-Y355-Z355-AA355-AB355-AC355-AD355-AE355-AF355-AG355+AH355-AI355+AJ355+AK355-AL355</f>
        <v>0</v>
      </c>
      <c r="AN355" s="53"/>
      <c r="AO355" s="27"/>
    </row>
    <row r="356" spans="1:41">
      <c r="A356" s="44">
        <v>328</v>
      </c>
      <c r="B356" s="46" t="s">
        <v>1430</v>
      </c>
      <c r="C356" s="48" t="s">
        <v>1431</v>
      </c>
      <c r="D356" s="51" t="s">
        <v>62</v>
      </c>
      <c r="E356" s="51" t="s">
        <v>1432</v>
      </c>
      <c r="F356" s="54" t="s">
        <v>1433</v>
      </c>
      <c r="G356" s="50">
        <v>5</v>
      </c>
      <c r="H356" s="51" t="s">
        <v>1434</v>
      </c>
      <c r="I356" s="53">
        <v>0</v>
      </c>
      <c r="J356" s="53">
        <v>0</v>
      </c>
      <c r="K356" s="53">
        <v>27000</v>
      </c>
      <c r="L356" s="53">
        <v>0</v>
      </c>
      <c r="M356" s="53">
        <v>0</v>
      </c>
      <c r="N356" s="53">
        <v>0</v>
      </c>
      <c r="O356" s="53">
        <v>0</v>
      </c>
      <c r="P356" s="53">
        <v>0</v>
      </c>
      <c r="Q356" s="53">
        <v>0</v>
      </c>
      <c r="R356" s="53">
        <v>0</v>
      </c>
      <c r="S356" s="53">
        <v>0</v>
      </c>
      <c r="T356" s="53">
        <v>0</v>
      </c>
      <c r="U356" s="53">
        <v>1350</v>
      </c>
      <c r="V356" s="53">
        <v>0</v>
      </c>
      <c r="W356" s="53">
        <v>0</v>
      </c>
      <c r="X356" s="53">
        <v>0</v>
      </c>
      <c r="Y356" s="53">
        <v>5250</v>
      </c>
      <c r="Z356" s="53">
        <v>0</v>
      </c>
      <c r="AA356" s="53">
        <v>0</v>
      </c>
      <c r="AB356" s="53">
        <v>0</v>
      </c>
      <c r="AC356" s="53">
        <v>0</v>
      </c>
      <c r="AD356" s="53">
        <v>0</v>
      </c>
      <c r="AE356" s="53">
        <v>0</v>
      </c>
      <c r="AF356" s="53">
        <v>0</v>
      </c>
      <c r="AG356" s="53">
        <v>0</v>
      </c>
      <c r="AH356" s="53">
        <v>0</v>
      </c>
      <c r="AI356" s="53">
        <v>0</v>
      </c>
      <c r="AJ356" s="53">
        <v>0</v>
      </c>
      <c r="AK356" s="53">
        <v>0</v>
      </c>
      <c r="AL356" s="53">
        <v>0</v>
      </c>
      <c r="AM356" s="53" t="str">
        <f>I356-J356-K356-L356-M356-N356-O356-P356-Q356-R356-S356-T356-U356-V356-W356-X356-Y356-Z356-AA356-AB356-AC356-AD356-AE356-AF356-AG356+AH356-AI356+AJ356+AK356-AL356</f>
        <v>0</v>
      </c>
      <c r="AN356" s="53"/>
      <c r="AO356" s="27"/>
    </row>
    <row r="357" spans="1:41">
      <c r="A357" s="44">
        <v>329</v>
      </c>
      <c r="B357" s="46" t="s">
        <v>1435</v>
      </c>
      <c r="C357" s="48" t="s">
        <v>1436</v>
      </c>
      <c r="D357" s="51" t="s">
        <v>73</v>
      </c>
      <c r="E357" s="51" t="s">
        <v>1432</v>
      </c>
      <c r="F357" s="54" t="s">
        <v>1437</v>
      </c>
      <c r="G357" s="50">
        <v>5</v>
      </c>
      <c r="H357" s="51" t="s">
        <v>1438</v>
      </c>
      <c r="I357" s="53">
        <v>926000</v>
      </c>
      <c r="J357" s="53">
        <v>0</v>
      </c>
      <c r="K357" s="53">
        <v>27000</v>
      </c>
      <c r="L357" s="53">
        <v>0</v>
      </c>
      <c r="M357" s="53">
        <v>0</v>
      </c>
      <c r="N357" s="53">
        <v>0</v>
      </c>
      <c r="O357" s="53">
        <v>0</v>
      </c>
      <c r="P357" s="53">
        <v>0</v>
      </c>
      <c r="Q357" s="53">
        <v>0</v>
      </c>
      <c r="R357" s="53">
        <v>0</v>
      </c>
      <c r="S357" s="53">
        <v>0</v>
      </c>
      <c r="T357" s="53">
        <v>0</v>
      </c>
      <c r="U357" s="53">
        <v>1350</v>
      </c>
      <c r="V357" s="53">
        <v>0</v>
      </c>
      <c r="W357" s="53">
        <v>0</v>
      </c>
      <c r="X357" s="53">
        <v>0</v>
      </c>
      <c r="Y357" s="53">
        <v>0</v>
      </c>
      <c r="Z357" s="53">
        <v>0</v>
      </c>
      <c r="AA357" s="53">
        <v>0</v>
      </c>
      <c r="AB357" s="53">
        <v>0</v>
      </c>
      <c r="AC357" s="53">
        <v>0</v>
      </c>
      <c r="AD357" s="53">
        <v>0</v>
      </c>
      <c r="AE357" s="53">
        <v>0</v>
      </c>
      <c r="AF357" s="53">
        <v>0</v>
      </c>
      <c r="AG357" s="53">
        <v>0</v>
      </c>
      <c r="AH357" s="53">
        <v>0</v>
      </c>
      <c r="AI357" s="53">
        <v>0</v>
      </c>
      <c r="AJ357" s="53">
        <v>0</v>
      </c>
      <c r="AK357" s="53">
        <v>0</v>
      </c>
      <c r="AL357" s="53">
        <v>0</v>
      </c>
      <c r="AM357" s="53" t="str">
        <f>I357-J357-K357-L357-M357-N357-O357-P357-Q357-R357-S357-T357-U357-V357-W357-X357-Y357-Z357-AA357-AB357-AC357-AD357-AE357-AF357-AG357+AH357-AI357+AJ357+AK357-AL357</f>
        <v>0</v>
      </c>
      <c r="AN357" s="53"/>
      <c r="AO357" s="27"/>
    </row>
    <row r="358" spans="1:41">
      <c r="A358" s="44">
        <v>330</v>
      </c>
      <c r="B358" s="46" t="s">
        <v>1439</v>
      </c>
      <c r="C358" s="48" t="s">
        <v>1440</v>
      </c>
      <c r="D358" s="51" t="s">
        <v>73</v>
      </c>
      <c r="E358" s="51" t="s">
        <v>1432</v>
      </c>
      <c r="F358" s="54" t="s">
        <v>1441</v>
      </c>
      <c r="G358" s="50">
        <v>6</v>
      </c>
      <c r="H358" s="51" t="s">
        <v>1442</v>
      </c>
      <c r="I358" s="53">
        <v>1540000</v>
      </c>
      <c r="J358" s="53">
        <v>0</v>
      </c>
      <c r="K358" s="53">
        <v>31000</v>
      </c>
      <c r="L358" s="53">
        <v>0</v>
      </c>
      <c r="M358" s="53">
        <v>0</v>
      </c>
      <c r="N358" s="53">
        <v>0</v>
      </c>
      <c r="O358" s="53">
        <v>0</v>
      </c>
      <c r="P358" s="53">
        <v>0</v>
      </c>
      <c r="Q358" s="53">
        <v>0</v>
      </c>
      <c r="R358" s="53">
        <v>0</v>
      </c>
      <c r="S358" s="53">
        <v>0</v>
      </c>
      <c r="T358" s="53">
        <v>0</v>
      </c>
      <c r="U358" s="53">
        <v>1550</v>
      </c>
      <c r="V358" s="53">
        <v>0</v>
      </c>
      <c r="W358" s="53">
        <v>0</v>
      </c>
      <c r="X358" s="53">
        <v>0</v>
      </c>
      <c r="Y358" s="53">
        <v>0</v>
      </c>
      <c r="Z358" s="53">
        <v>0</v>
      </c>
      <c r="AA358" s="53">
        <v>0</v>
      </c>
      <c r="AB358" s="53">
        <v>0</v>
      </c>
      <c r="AC358" s="53">
        <v>0</v>
      </c>
      <c r="AD358" s="53">
        <v>0</v>
      </c>
      <c r="AE358" s="53">
        <v>0</v>
      </c>
      <c r="AF358" s="53">
        <v>0</v>
      </c>
      <c r="AG358" s="53">
        <v>0</v>
      </c>
      <c r="AH358" s="53">
        <v>0</v>
      </c>
      <c r="AI358" s="53">
        <v>0</v>
      </c>
      <c r="AJ358" s="53">
        <v>0</v>
      </c>
      <c r="AK358" s="53">
        <v>0</v>
      </c>
      <c r="AL358" s="53">
        <v>0</v>
      </c>
      <c r="AM358" s="53" t="str">
        <f>I358-J358-K358-L358-M358-N358-O358-P358-Q358-R358-S358-T358-U358-V358-W358-X358-Y358-Z358-AA358-AB358-AC358-AD358-AE358-AF358-AG358+AH358-AI358+AJ358+AK358-AL358</f>
        <v>0</v>
      </c>
      <c r="AN358" s="53"/>
      <c r="AO358" s="27"/>
    </row>
    <row r="359" spans="1:41">
      <c r="A359" s="44">
        <v>331</v>
      </c>
      <c r="B359" s="46" t="s">
        <v>1443</v>
      </c>
      <c r="C359" s="48" t="s">
        <v>1444</v>
      </c>
      <c r="D359" s="51" t="s">
        <v>73</v>
      </c>
      <c r="E359" s="51" t="s">
        <v>1445</v>
      </c>
      <c r="F359" s="54" t="s">
        <v>675</v>
      </c>
      <c r="G359" s="50">
        <v>5</v>
      </c>
      <c r="H359" s="51" t="s">
        <v>1446</v>
      </c>
      <c r="I359" s="53">
        <v>1440000</v>
      </c>
      <c r="J359" s="53">
        <v>0</v>
      </c>
      <c r="K359" s="53">
        <v>27000</v>
      </c>
      <c r="L359" s="53">
        <v>0</v>
      </c>
      <c r="M359" s="53">
        <v>0</v>
      </c>
      <c r="N359" s="53">
        <v>0</v>
      </c>
      <c r="O359" s="53">
        <v>0</v>
      </c>
      <c r="P359" s="53">
        <v>0</v>
      </c>
      <c r="Q359" s="53">
        <v>0</v>
      </c>
      <c r="R359" s="53">
        <v>0</v>
      </c>
      <c r="S359" s="53">
        <v>0</v>
      </c>
      <c r="T359" s="53">
        <v>0</v>
      </c>
      <c r="U359" s="53">
        <v>1350</v>
      </c>
      <c r="V359" s="53">
        <v>0</v>
      </c>
      <c r="W359" s="53">
        <v>0</v>
      </c>
      <c r="X359" s="53">
        <v>0</v>
      </c>
      <c r="Y359" s="53">
        <v>0</v>
      </c>
      <c r="Z359" s="53">
        <v>0</v>
      </c>
      <c r="AA359" s="53">
        <v>0</v>
      </c>
      <c r="AB359" s="53">
        <v>0</v>
      </c>
      <c r="AC359" s="53">
        <v>0</v>
      </c>
      <c r="AD359" s="53">
        <v>0</v>
      </c>
      <c r="AE359" s="53">
        <v>0</v>
      </c>
      <c r="AF359" s="53">
        <v>0</v>
      </c>
      <c r="AG359" s="53">
        <v>0</v>
      </c>
      <c r="AH359" s="53">
        <v>0</v>
      </c>
      <c r="AI359" s="53">
        <v>0</v>
      </c>
      <c r="AJ359" s="53">
        <v>0</v>
      </c>
      <c r="AK359" s="53">
        <v>0</v>
      </c>
      <c r="AL359" s="53">
        <v>0</v>
      </c>
      <c r="AM359" s="53" t="str">
        <f>I359-J359-K359-L359-M359-N359-O359-P359-Q359-R359-S359-T359-U359-V359-W359-X359-Y359-Z359-AA359-AB359-AC359-AD359-AE359-AF359-AG359+AH359-AI359+AJ359+AK359-AL359</f>
        <v>0</v>
      </c>
      <c r="AN359" s="53"/>
      <c r="AO359" s="27"/>
    </row>
    <row r="360" spans="1:41">
      <c r="A360" s="44">
        <v>332</v>
      </c>
      <c r="B360" s="46" t="s">
        <v>1447</v>
      </c>
      <c r="C360" s="48" t="s">
        <v>1448</v>
      </c>
      <c r="D360" s="51" t="s">
        <v>73</v>
      </c>
      <c r="E360" s="51" t="s">
        <v>1445</v>
      </c>
      <c r="F360" s="54" t="s">
        <v>804</v>
      </c>
      <c r="G360" s="50">
        <v>5.8</v>
      </c>
      <c r="H360" s="51" t="s">
        <v>1449</v>
      </c>
      <c r="I360" s="53">
        <v>574100</v>
      </c>
      <c r="J360" s="53">
        <v>0</v>
      </c>
      <c r="K360" s="53">
        <v>31000</v>
      </c>
      <c r="L360" s="53">
        <v>0</v>
      </c>
      <c r="M360" s="53">
        <v>0</v>
      </c>
      <c r="N360" s="53">
        <v>0</v>
      </c>
      <c r="O360" s="53">
        <v>0</v>
      </c>
      <c r="P360" s="53">
        <v>0</v>
      </c>
      <c r="Q360" s="53">
        <v>0</v>
      </c>
      <c r="R360" s="53">
        <v>0</v>
      </c>
      <c r="S360" s="53">
        <v>0</v>
      </c>
      <c r="T360" s="53">
        <v>0</v>
      </c>
      <c r="U360" s="53">
        <v>1550</v>
      </c>
      <c r="V360" s="53">
        <v>0</v>
      </c>
      <c r="W360" s="53">
        <v>0</v>
      </c>
      <c r="X360" s="53">
        <v>0</v>
      </c>
      <c r="Y360" s="53">
        <v>0</v>
      </c>
      <c r="Z360" s="53">
        <v>0</v>
      </c>
      <c r="AA360" s="53">
        <v>0</v>
      </c>
      <c r="AB360" s="53">
        <v>0</v>
      </c>
      <c r="AC360" s="53">
        <v>0</v>
      </c>
      <c r="AD360" s="53">
        <v>0</v>
      </c>
      <c r="AE360" s="53">
        <v>0</v>
      </c>
      <c r="AF360" s="53">
        <v>0</v>
      </c>
      <c r="AG360" s="53">
        <v>0</v>
      </c>
      <c r="AH360" s="53">
        <v>0</v>
      </c>
      <c r="AI360" s="53">
        <v>0</v>
      </c>
      <c r="AJ360" s="53">
        <v>0</v>
      </c>
      <c r="AK360" s="53">
        <v>0</v>
      </c>
      <c r="AL360" s="53">
        <v>0</v>
      </c>
      <c r="AM360" s="53" t="str">
        <f>I360-J360-K360-L360-M360-N360-O360-P360-Q360-R360-S360-T360-U360-V360-W360-X360-Y360-Z360-AA360-AB360-AC360-AD360-AE360-AF360-AG360+AH360-AI360+AJ360+AK360-AL360</f>
        <v>0</v>
      </c>
      <c r="AN360" s="53"/>
      <c r="AO360" s="27"/>
    </row>
    <row r="361" spans="1:41">
      <c r="A361" s="44">
        <v>333</v>
      </c>
      <c r="B361" s="46" t="s">
        <v>1450</v>
      </c>
      <c r="C361" s="48" t="s">
        <v>1451</v>
      </c>
      <c r="D361" s="51" t="s">
        <v>73</v>
      </c>
      <c r="E361" s="51" t="s">
        <v>1445</v>
      </c>
      <c r="F361" s="54" t="s">
        <v>1452</v>
      </c>
      <c r="G361" s="50">
        <v>5</v>
      </c>
      <c r="H361" s="51" t="s">
        <v>1453</v>
      </c>
      <c r="I361" s="53">
        <v>835100</v>
      </c>
      <c r="J361" s="53">
        <v>0</v>
      </c>
      <c r="K361" s="53">
        <v>27000</v>
      </c>
      <c r="L361" s="53">
        <v>0</v>
      </c>
      <c r="M361" s="53">
        <v>0</v>
      </c>
      <c r="N361" s="53">
        <v>0</v>
      </c>
      <c r="O361" s="53">
        <v>0</v>
      </c>
      <c r="P361" s="53">
        <v>0</v>
      </c>
      <c r="Q361" s="53">
        <v>0</v>
      </c>
      <c r="R361" s="53">
        <v>0</v>
      </c>
      <c r="S361" s="53">
        <v>0</v>
      </c>
      <c r="T361" s="53">
        <v>0</v>
      </c>
      <c r="U361" s="53">
        <v>1350</v>
      </c>
      <c r="V361" s="53">
        <v>0</v>
      </c>
      <c r="W361" s="53">
        <v>0</v>
      </c>
      <c r="X361" s="53">
        <v>0</v>
      </c>
      <c r="Y361" s="53">
        <v>0</v>
      </c>
      <c r="Z361" s="53">
        <v>0</v>
      </c>
      <c r="AA361" s="53">
        <v>0</v>
      </c>
      <c r="AB361" s="53">
        <v>0</v>
      </c>
      <c r="AC361" s="53">
        <v>0</v>
      </c>
      <c r="AD361" s="53">
        <v>0</v>
      </c>
      <c r="AE361" s="53">
        <v>0</v>
      </c>
      <c r="AF361" s="53">
        <v>0</v>
      </c>
      <c r="AG361" s="53">
        <v>0</v>
      </c>
      <c r="AH361" s="53">
        <v>0</v>
      </c>
      <c r="AI361" s="53">
        <v>0</v>
      </c>
      <c r="AJ361" s="53">
        <v>0</v>
      </c>
      <c r="AK361" s="53">
        <v>0</v>
      </c>
      <c r="AL361" s="53">
        <v>0</v>
      </c>
      <c r="AM361" s="53" t="str">
        <f>I361-J361-K361-L361-M361-N361-O361-P361-Q361-R361-S361-T361-U361-V361-W361-X361-Y361-Z361-AA361-AB361-AC361-AD361-AE361-AF361-AG361+AH361-AI361+AJ361+AK361-AL361</f>
        <v>0</v>
      </c>
      <c r="AN361" s="53"/>
      <c r="AO361" s="27"/>
    </row>
    <row r="362" spans="1:41">
      <c r="A362" s="44">
        <v>334</v>
      </c>
      <c r="B362" s="46" t="s">
        <v>1454</v>
      </c>
      <c r="C362" s="48" t="s">
        <v>1455</v>
      </c>
      <c r="D362" s="51" t="s">
        <v>73</v>
      </c>
      <c r="E362" s="51" t="s">
        <v>1445</v>
      </c>
      <c r="F362" s="54" t="s">
        <v>1456</v>
      </c>
      <c r="G362" s="50">
        <v>6</v>
      </c>
      <c r="H362" s="51" t="s">
        <v>1457</v>
      </c>
      <c r="I362" s="53">
        <v>1305000</v>
      </c>
      <c r="J362" s="53">
        <v>0</v>
      </c>
      <c r="K362" s="53">
        <v>31000</v>
      </c>
      <c r="L362" s="53">
        <v>0</v>
      </c>
      <c r="M362" s="53">
        <v>0</v>
      </c>
      <c r="N362" s="53">
        <v>0</v>
      </c>
      <c r="O362" s="53">
        <v>0</v>
      </c>
      <c r="P362" s="53">
        <v>0</v>
      </c>
      <c r="Q362" s="53">
        <v>0</v>
      </c>
      <c r="R362" s="53">
        <v>0</v>
      </c>
      <c r="S362" s="53">
        <v>0</v>
      </c>
      <c r="T362" s="53">
        <v>0</v>
      </c>
      <c r="U362" s="53">
        <v>1550</v>
      </c>
      <c r="V362" s="53">
        <v>0</v>
      </c>
      <c r="W362" s="53">
        <v>0</v>
      </c>
      <c r="X362" s="53">
        <v>0</v>
      </c>
      <c r="Y362" s="53">
        <v>0</v>
      </c>
      <c r="Z362" s="53">
        <v>0</v>
      </c>
      <c r="AA362" s="53">
        <v>0</v>
      </c>
      <c r="AB362" s="53">
        <v>0</v>
      </c>
      <c r="AC362" s="53">
        <v>0</v>
      </c>
      <c r="AD362" s="53">
        <v>0</v>
      </c>
      <c r="AE362" s="53">
        <v>0</v>
      </c>
      <c r="AF362" s="53">
        <v>0</v>
      </c>
      <c r="AG362" s="53">
        <v>0</v>
      </c>
      <c r="AH362" s="53">
        <v>0</v>
      </c>
      <c r="AI362" s="53">
        <v>0</v>
      </c>
      <c r="AJ362" s="53">
        <v>0</v>
      </c>
      <c r="AK362" s="53">
        <v>0</v>
      </c>
      <c r="AL362" s="53">
        <v>0</v>
      </c>
      <c r="AM362" s="53" t="str">
        <f>I362-J362-K362-L362-M362-N362-O362-P362-Q362-R362-S362-T362-U362-V362-W362-X362-Y362-Z362-AA362-AB362-AC362-AD362-AE362-AF362-AG362+AH362-AI362+AJ362+AK362-AL362</f>
        <v>0</v>
      </c>
      <c r="AN362" s="53"/>
      <c r="AO362" s="27"/>
    </row>
    <row r="363" spans="1:41">
      <c r="A363" s="44">
        <v>335</v>
      </c>
      <c r="B363" s="46" t="s">
        <v>1458</v>
      </c>
      <c r="C363" s="48" t="s">
        <v>1459</v>
      </c>
      <c r="D363" s="51" t="s">
        <v>73</v>
      </c>
      <c r="E363" s="51" t="s">
        <v>1445</v>
      </c>
      <c r="F363" s="54" t="s">
        <v>1460</v>
      </c>
      <c r="G363" s="50">
        <v>7</v>
      </c>
      <c r="H363" s="51" t="s">
        <v>1461</v>
      </c>
      <c r="I363" s="53">
        <v>1850000</v>
      </c>
      <c r="J363" s="53">
        <v>0</v>
      </c>
      <c r="K363" s="53">
        <v>35000</v>
      </c>
      <c r="L363" s="53">
        <v>0</v>
      </c>
      <c r="M363" s="53">
        <v>0</v>
      </c>
      <c r="N363" s="53">
        <v>0</v>
      </c>
      <c r="O363" s="53">
        <v>0</v>
      </c>
      <c r="P363" s="53">
        <v>0</v>
      </c>
      <c r="Q363" s="53">
        <v>0</v>
      </c>
      <c r="R363" s="53">
        <v>0</v>
      </c>
      <c r="S363" s="53">
        <v>0</v>
      </c>
      <c r="T363" s="53">
        <v>0</v>
      </c>
      <c r="U363" s="53">
        <v>1750</v>
      </c>
      <c r="V363" s="53">
        <v>0</v>
      </c>
      <c r="W363" s="53">
        <v>0</v>
      </c>
      <c r="X363" s="53">
        <v>0</v>
      </c>
      <c r="Y363" s="53">
        <v>0</v>
      </c>
      <c r="Z363" s="53">
        <v>0</v>
      </c>
      <c r="AA363" s="53">
        <v>0</v>
      </c>
      <c r="AB363" s="53">
        <v>0</v>
      </c>
      <c r="AC363" s="53">
        <v>0</v>
      </c>
      <c r="AD363" s="53">
        <v>0</v>
      </c>
      <c r="AE363" s="53">
        <v>0</v>
      </c>
      <c r="AF363" s="53">
        <v>0</v>
      </c>
      <c r="AG363" s="53">
        <v>0</v>
      </c>
      <c r="AH363" s="53">
        <v>0</v>
      </c>
      <c r="AI363" s="53">
        <v>0</v>
      </c>
      <c r="AJ363" s="53">
        <v>0</v>
      </c>
      <c r="AK363" s="53">
        <v>0</v>
      </c>
      <c r="AL363" s="53">
        <v>0</v>
      </c>
      <c r="AM363" s="53" t="str">
        <f>I363-J363-K363-L363-M363-N363-O363-P363-Q363-R363-S363-T363-U363-V363-W363-X363-Y363-Z363-AA363-AB363-AC363-AD363-AE363-AF363-AG363+AH363-AI363+AJ363+AK363-AL363</f>
        <v>0</v>
      </c>
      <c r="AN363" s="53"/>
      <c r="AO363" s="27"/>
    </row>
    <row r="364" spans="1:41">
      <c r="A364" s="44">
        <v>336</v>
      </c>
      <c r="B364" s="46" t="s">
        <v>1462</v>
      </c>
      <c r="C364" s="48" t="s">
        <v>1463</v>
      </c>
      <c r="D364" s="51" t="s">
        <v>73</v>
      </c>
      <c r="E364" s="51" t="s">
        <v>1445</v>
      </c>
      <c r="F364" s="54" t="s">
        <v>1464</v>
      </c>
      <c r="G364" s="50">
        <v>4</v>
      </c>
      <c r="H364" s="51" t="s">
        <v>1465</v>
      </c>
      <c r="I364" s="53">
        <v>817100</v>
      </c>
      <c r="J364" s="53">
        <v>0</v>
      </c>
      <c r="K364" s="53">
        <v>25000</v>
      </c>
      <c r="L364" s="53">
        <v>0</v>
      </c>
      <c r="M364" s="53">
        <v>0</v>
      </c>
      <c r="N364" s="53">
        <v>0</v>
      </c>
      <c r="O364" s="53">
        <v>0</v>
      </c>
      <c r="P364" s="53">
        <v>0</v>
      </c>
      <c r="Q364" s="53">
        <v>0</v>
      </c>
      <c r="R364" s="53">
        <v>0</v>
      </c>
      <c r="S364" s="53">
        <v>0</v>
      </c>
      <c r="T364" s="53">
        <v>0</v>
      </c>
      <c r="U364" s="53">
        <v>1250</v>
      </c>
      <c r="V364" s="53">
        <v>0</v>
      </c>
      <c r="W364" s="53">
        <v>0</v>
      </c>
      <c r="X364" s="53">
        <v>0</v>
      </c>
      <c r="Y364" s="53">
        <v>0</v>
      </c>
      <c r="Z364" s="53">
        <v>0</v>
      </c>
      <c r="AA364" s="53">
        <v>0</v>
      </c>
      <c r="AB364" s="53">
        <v>0</v>
      </c>
      <c r="AC364" s="53">
        <v>0</v>
      </c>
      <c r="AD364" s="53">
        <v>0</v>
      </c>
      <c r="AE364" s="53">
        <v>0</v>
      </c>
      <c r="AF364" s="53">
        <v>0</v>
      </c>
      <c r="AG364" s="53">
        <v>0</v>
      </c>
      <c r="AH364" s="53">
        <v>0</v>
      </c>
      <c r="AI364" s="53">
        <v>0</v>
      </c>
      <c r="AJ364" s="53">
        <v>0</v>
      </c>
      <c r="AK364" s="53">
        <v>0</v>
      </c>
      <c r="AL364" s="53">
        <v>0</v>
      </c>
      <c r="AM364" s="53" t="str">
        <f>I364-J364-K364-L364-M364-N364-O364-P364-Q364-R364-S364-T364-U364-V364-W364-X364-Y364-Z364-AA364-AB364-AC364-AD364-AE364-AF364-AG364+AH364-AI364+AJ364+AK364-AL364</f>
        <v>0</v>
      </c>
      <c r="AN364" s="53"/>
      <c r="AO364" s="27"/>
    </row>
    <row r="365" spans="1:41">
      <c r="A365" s="44">
        <v>337</v>
      </c>
      <c r="B365" s="46" t="s">
        <v>1466</v>
      </c>
      <c r="C365" s="48" t="s">
        <v>1467</v>
      </c>
      <c r="D365" s="51" t="s">
        <v>73</v>
      </c>
      <c r="E365" s="51" t="s">
        <v>1445</v>
      </c>
      <c r="F365" s="54" t="s">
        <v>1468</v>
      </c>
      <c r="G365" s="50">
        <v>2</v>
      </c>
      <c r="H365" s="51" t="s">
        <v>1469</v>
      </c>
      <c r="I365" s="53">
        <v>500000</v>
      </c>
      <c r="J365" s="53">
        <v>0</v>
      </c>
      <c r="K365" s="53">
        <v>22000</v>
      </c>
      <c r="L365" s="53">
        <v>0</v>
      </c>
      <c r="M365" s="53">
        <v>0</v>
      </c>
      <c r="N365" s="53">
        <v>0</v>
      </c>
      <c r="O365" s="53">
        <v>0</v>
      </c>
      <c r="P365" s="53">
        <v>0</v>
      </c>
      <c r="Q365" s="53">
        <v>0</v>
      </c>
      <c r="R365" s="53">
        <v>0</v>
      </c>
      <c r="S365" s="53">
        <v>0</v>
      </c>
      <c r="T365" s="53">
        <v>0</v>
      </c>
      <c r="U365" s="53">
        <v>1100</v>
      </c>
      <c r="V365" s="53">
        <v>0</v>
      </c>
      <c r="W365" s="53">
        <v>0</v>
      </c>
      <c r="X365" s="53">
        <v>0</v>
      </c>
      <c r="Y365" s="53">
        <v>0</v>
      </c>
      <c r="Z365" s="53">
        <v>0</v>
      </c>
      <c r="AA365" s="53">
        <v>0</v>
      </c>
      <c r="AB365" s="53">
        <v>0</v>
      </c>
      <c r="AC365" s="53">
        <v>0</v>
      </c>
      <c r="AD365" s="53">
        <v>0</v>
      </c>
      <c r="AE365" s="53">
        <v>0</v>
      </c>
      <c r="AF365" s="53">
        <v>0</v>
      </c>
      <c r="AG365" s="53">
        <v>0</v>
      </c>
      <c r="AH365" s="53">
        <v>0</v>
      </c>
      <c r="AI365" s="53">
        <v>0</v>
      </c>
      <c r="AJ365" s="53">
        <v>0</v>
      </c>
      <c r="AK365" s="53">
        <v>0</v>
      </c>
      <c r="AL365" s="53">
        <v>0</v>
      </c>
      <c r="AM365" s="53" t="str">
        <f>I365-J365-K365-L365-M365-N365-O365-P365-Q365-R365-S365-T365-U365-V365-W365-X365-Y365-Z365-AA365-AB365-AC365-AD365-AE365-AF365-AG365+AH365-AI365+AJ365+AK365-AL365</f>
        <v>0</v>
      </c>
      <c r="AN365" s="53"/>
      <c r="AO365" s="27"/>
    </row>
    <row r="366" spans="1:41">
      <c r="A366" s="44">
        <v>338</v>
      </c>
      <c r="B366" s="46" t="s">
        <v>1470</v>
      </c>
      <c r="C366" s="48" t="s">
        <v>1471</v>
      </c>
      <c r="D366" s="51" t="s">
        <v>73</v>
      </c>
      <c r="E366" s="51" t="s">
        <v>1445</v>
      </c>
      <c r="F366" s="54" t="s">
        <v>1472</v>
      </c>
      <c r="G366" s="50">
        <v>5</v>
      </c>
      <c r="H366" s="51" t="s">
        <v>1473</v>
      </c>
      <c r="I366" s="53">
        <v>926000</v>
      </c>
      <c r="J366" s="53">
        <v>0</v>
      </c>
      <c r="K366" s="53">
        <v>27000</v>
      </c>
      <c r="L366" s="53">
        <v>0</v>
      </c>
      <c r="M366" s="53">
        <v>0</v>
      </c>
      <c r="N366" s="53">
        <v>0</v>
      </c>
      <c r="O366" s="53">
        <v>0</v>
      </c>
      <c r="P366" s="53">
        <v>0</v>
      </c>
      <c r="Q366" s="53">
        <v>0</v>
      </c>
      <c r="R366" s="53">
        <v>0</v>
      </c>
      <c r="S366" s="53">
        <v>0</v>
      </c>
      <c r="T366" s="53">
        <v>0</v>
      </c>
      <c r="U366" s="53">
        <v>1350</v>
      </c>
      <c r="V366" s="53">
        <v>0</v>
      </c>
      <c r="W366" s="53">
        <v>0</v>
      </c>
      <c r="X366" s="53">
        <v>0</v>
      </c>
      <c r="Y366" s="53">
        <v>0</v>
      </c>
      <c r="Z366" s="53">
        <v>0</v>
      </c>
      <c r="AA366" s="53">
        <v>0</v>
      </c>
      <c r="AB366" s="53">
        <v>0</v>
      </c>
      <c r="AC366" s="53">
        <v>0</v>
      </c>
      <c r="AD366" s="53">
        <v>0</v>
      </c>
      <c r="AE366" s="53">
        <v>0</v>
      </c>
      <c r="AF366" s="53">
        <v>0</v>
      </c>
      <c r="AG366" s="53">
        <v>0</v>
      </c>
      <c r="AH366" s="53">
        <v>0</v>
      </c>
      <c r="AI366" s="53">
        <v>0</v>
      </c>
      <c r="AJ366" s="53">
        <v>0</v>
      </c>
      <c r="AK366" s="53">
        <v>0</v>
      </c>
      <c r="AL366" s="53">
        <v>0</v>
      </c>
      <c r="AM366" s="53" t="str">
        <f>I366-J366-K366-L366-M366-N366-O366-P366-Q366-R366-S366-T366-U366-V366-W366-X366-Y366-Z366-AA366-AB366-AC366-AD366-AE366-AF366-AG366+AH366-AI366+AJ366+AK366-AL366</f>
        <v>0</v>
      </c>
      <c r="AN366" s="53"/>
      <c r="AO366" s="27"/>
    </row>
    <row r="367" spans="1:41">
      <c r="A367" s="44">
        <v>339</v>
      </c>
      <c r="B367" s="46" t="s">
        <v>1474</v>
      </c>
      <c r="C367" s="48" t="s">
        <v>1475</v>
      </c>
      <c r="D367" s="51" t="s">
        <v>73</v>
      </c>
      <c r="E367" s="51" t="s">
        <v>1445</v>
      </c>
      <c r="F367" s="54" t="s">
        <v>1405</v>
      </c>
      <c r="G367" s="50">
        <v>3</v>
      </c>
      <c r="H367" s="51" t="s">
        <v>1476</v>
      </c>
      <c r="I367" s="53">
        <v>292500</v>
      </c>
      <c r="J367" s="53">
        <v>0</v>
      </c>
      <c r="K367" s="53">
        <v>22000</v>
      </c>
      <c r="L367" s="53">
        <v>0</v>
      </c>
      <c r="M367" s="53">
        <v>0</v>
      </c>
      <c r="N367" s="53">
        <v>0</v>
      </c>
      <c r="O367" s="53">
        <v>0</v>
      </c>
      <c r="P367" s="53">
        <v>0</v>
      </c>
      <c r="Q367" s="53">
        <v>0</v>
      </c>
      <c r="R367" s="53">
        <v>0</v>
      </c>
      <c r="S367" s="53">
        <v>0</v>
      </c>
      <c r="T367" s="53">
        <v>0</v>
      </c>
      <c r="U367" s="53">
        <v>1100</v>
      </c>
      <c r="V367" s="53">
        <v>0</v>
      </c>
      <c r="W367" s="53">
        <v>0</v>
      </c>
      <c r="X367" s="53">
        <v>0</v>
      </c>
      <c r="Y367" s="53">
        <v>0</v>
      </c>
      <c r="Z367" s="53">
        <v>0</v>
      </c>
      <c r="AA367" s="53">
        <v>0</v>
      </c>
      <c r="AB367" s="53">
        <v>0</v>
      </c>
      <c r="AC367" s="53">
        <v>0</v>
      </c>
      <c r="AD367" s="53">
        <v>0</v>
      </c>
      <c r="AE367" s="53">
        <v>0</v>
      </c>
      <c r="AF367" s="53">
        <v>0</v>
      </c>
      <c r="AG367" s="53">
        <v>0</v>
      </c>
      <c r="AH367" s="53">
        <v>0</v>
      </c>
      <c r="AI367" s="53">
        <v>0</v>
      </c>
      <c r="AJ367" s="53">
        <v>0</v>
      </c>
      <c r="AK367" s="53">
        <v>0</v>
      </c>
      <c r="AL367" s="53">
        <v>0</v>
      </c>
      <c r="AM367" s="53" t="str">
        <f>I367-J367-K367-L367-M367-N367-O367-P367-Q367-R367-S367-T367-U367-V367-W367-X367-Y367-Z367-AA367-AB367-AC367-AD367-AE367-AF367-AG367+AH367-AI367+AJ367+AK367-AL367</f>
        <v>0</v>
      </c>
      <c r="AN367" s="53"/>
      <c r="AO367" s="27"/>
    </row>
    <row r="368" spans="1:41">
      <c r="A368" s="44">
        <v>340</v>
      </c>
      <c r="B368" s="46" t="s">
        <v>1477</v>
      </c>
      <c r="C368" s="48" t="s">
        <v>1478</v>
      </c>
      <c r="D368" s="51" t="s">
        <v>73</v>
      </c>
      <c r="E368" s="51" t="s">
        <v>1479</v>
      </c>
      <c r="F368" s="54" t="s">
        <v>1480</v>
      </c>
      <c r="G368" s="50">
        <v>5</v>
      </c>
      <c r="H368" s="51" t="s">
        <v>1481</v>
      </c>
      <c r="I368" s="53">
        <v>990000</v>
      </c>
      <c r="J368" s="53">
        <v>0</v>
      </c>
      <c r="K368" s="53">
        <v>27000</v>
      </c>
      <c r="L368" s="53">
        <v>0</v>
      </c>
      <c r="M368" s="53">
        <v>0</v>
      </c>
      <c r="N368" s="53">
        <v>0</v>
      </c>
      <c r="O368" s="53">
        <v>0</v>
      </c>
      <c r="P368" s="53">
        <v>0</v>
      </c>
      <c r="Q368" s="53">
        <v>0</v>
      </c>
      <c r="R368" s="53">
        <v>0</v>
      </c>
      <c r="S368" s="53">
        <v>0</v>
      </c>
      <c r="T368" s="53">
        <v>0</v>
      </c>
      <c r="U368" s="53">
        <v>1350</v>
      </c>
      <c r="V368" s="53">
        <v>0</v>
      </c>
      <c r="W368" s="53">
        <v>0</v>
      </c>
      <c r="X368" s="53">
        <v>0</v>
      </c>
      <c r="Y368" s="53">
        <v>0</v>
      </c>
      <c r="Z368" s="53">
        <v>0</v>
      </c>
      <c r="AA368" s="53">
        <v>0</v>
      </c>
      <c r="AB368" s="53">
        <v>0</v>
      </c>
      <c r="AC368" s="53">
        <v>0</v>
      </c>
      <c r="AD368" s="53">
        <v>0</v>
      </c>
      <c r="AE368" s="53">
        <v>0</v>
      </c>
      <c r="AF368" s="53">
        <v>0</v>
      </c>
      <c r="AG368" s="53">
        <v>0</v>
      </c>
      <c r="AH368" s="53">
        <v>0</v>
      </c>
      <c r="AI368" s="53">
        <v>0</v>
      </c>
      <c r="AJ368" s="53">
        <v>0</v>
      </c>
      <c r="AK368" s="53">
        <v>0</v>
      </c>
      <c r="AL368" s="53">
        <v>0</v>
      </c>
      <c r="AM368" s="53" t="str">
        <f>I368-J368-K368-L368-M368-N368-O368-P368-Q368-R368-S368-T368-U368-V368-W368-X368-Y368-Z368-AA368-AB368-AC368-AD368-AE368-AF368-AG368+AH368-AI368+AJ368+AK368-AL368</f>
        <v>0</v>
      </c>
      <c r="AN368" s="53"/>
      <c r="AO368" s="27"/>
    </row>
    <row r="369" spans="1:41">
      <c r="A369" s="44">
        <v>341</v>
      </c>
      <c r="B369" s="46" t="s">
        <v>1482</v>
      </c>
      <c r="C369" s="48" t="s">
        <v>1483</v>
      </c>
      <c r="D369" s="51" t="s">
        <v>73</v>
      </c>
      <c r="E369" s="51" t="s">
        <v>1479</v>
      </c>
      <c r="F369" s="54" t="s">
        <v>1484</v>
      </c>
      <c r="G369" s="50">
        <v>2</v>
      </c>
      <c r="H369" s="51" t="s">
        <v>1485</v>
      </c>
      <c r="I369" s="53">
        <v>247500</v>
      </c>
      <c r="J369" s="53">
        <v>0</v>
      </c>
      <c r="K369" s="53">
        <v>22000</v>
      </c>
      <c r="L369" s="53">
        <v>0</v>
      </c>
      <c r="M369" s="53">
        <v>0</v>
      </c>
      <c r="N369" s="53">
        <v>0</v>
      </c>
      <c r="O369" s="53">
        <v>0</v>
      </c>
      <c r="P369" s="53">
        <v>0</v>
      </c>
      <c r="Q369" s="53">
        <v>0</v>
      </c>
      <c r="R369" s="53">
        <v>0</v>
      </c>
      <c r="S369" s="53">
        <v>0</v>
      </c>
      <c r="T369" s="53">
        <v>0</v>
      </c>
      <c r="U369" s="53">
        <v>1100</v>
      </c>
      <c r="V369" s="53">
        <v>0</v>
      </c>
      <c r="W369" s="53">
        <v>0</v>
      </c>
      <c r="X369" s="53">
        <v>0</v>
      </c>
      <c r="Y369" s="53">
        <v>0</v>
      </c>
      <c r="Z369" s="53">
        <v>0</v>
      </c>
      <c r="AA369" s="53">
        <v>0</v>
      </c>
      <c r="AB369" s="53">
        <v>0</v>
      </c>
      <c r="AC369" s="53">
        <v>0</v>
      </c>
      <c r="AD369" s="53">
        <v>0</v>
      </c>
      <c r="AE369" s="53">
        <v>0</v>
      </c>
      <c r="AF369" s="53">
        <v>0</v>
      </c>
      <c r="AG369" s="53">
        <v>0</v>
      </c>
      <c r="AH369" s="53">
        <v>0</v>
      </c>
      <c r="AI369" s="53">
        <v>0</v>
      </c>
      <c r="AJ369" s="53">
        <v>0</v>
      </c>
      <c r="AK369" s="53">
        <v>0</v>
      </c>
      <c r="AL369" s="53">
        <v>0</v>
      </c>
      <c r="AM369" s="53" t="str">
        <f>I369-J369-K369-L369-M369-N369-O369-P369-Q369-R369-S369-T369-U369-V369-W369-X369-Y369-Z369-AA369-AB369-AC369-AD369-AE369-AF369-AG369+AH369-AI369+AJ369+AK369-AL369</f>
        <v>0</v>
      </c>
      <c r="AN369" s="53"/>
      <c r="AO369" s="27"/>
    </row>
    <row r="370" spans="1:41">
      <c r="A370" s="44">
        <v>342</v>
      </c>
      <c r="B370" s="46" t="s">
        <v>1486</v>
      </c>
      <c r="C370" s="48" t="s">
        <v>1487</v>
      </c>
      <c r="D370" s="51" t="s">
        <v>73</v>
      </c>
      <c r="E370" s="51" t="s">
        <v>1479</v>
      </c>
      <c r="F370" s="54" t="s">
        <v>1488</v>
      </c>
      <c r="G370" s="50">
        <v>5.8</v>
      </c>
      <c r="H370" s="51" t="s">
        <v>1489</v>
      </c>
      <c r="I370" s="53">
        <v>539100</v>
      </c>
      <c r="J370" s="53">
        <v>0</v>
      </c>
      <c r="K370" s="53">
        <v>31000</v>
      </c>
      <c r="L370" s="53">
        <v>0</v>
      </c>
      <c r="M370" s="53">
        <v>0</v>
      </c>
      <c r="N370" s="53">
        <v>0</v>
      </c>
      <c r="O370" s="53">
        <v>0</v>
      </c>
      <c r="P370" s="53">
        <v>0</v>
      </c>
      <c r="Q370" s="53">
        <v>0</v>
      </c>
      <c r="R370" s="53">
        <v>0</v>
      </c>
      <c r="S370" s="53">
        <v>0</v>
      </c>
      <c r="T370" s="53">
        <v>0</v>
      </c>
      <c r="U370" s="53">
        <v>1550</v>
      </c>
      <c r="V370" s="53">
        <v>0</v>
      </c>
      <c r="W370" s="53">
        <v>0</v>
      </c>
      <c r="X370" s="53">
        <v>0</v>
      </c>
      <c r="Y370" s="53">
        <v>0</v>
      </c>
      <c r="Z370" s="53">
        <v>0</v>
      </c>
      <c r="AA370" s="53">
        <v>0</v>
      </c>
      <c r="AB370" s="53">
        <v>0</v>
      </c>
      <c r="AC370" s="53">
        <v>0</v>
      </c>
      <c r="AD370" s="53">
        <v>0</v>
      </c>
      <c r="AE370" s="53">
        <v>0</v>
      </c>
      <c r="AF370" s="53">
        <v>0</v>
      </c>
      <c r="AG370" s="53">
        <v>0</v>
      </c>
      <c r="AH370" s="53">
        <v>0</v>
      </c>
      <c r="AI370" s="53">
        <v>0</v>
      </c>
      <c r="AJ370" s="53">
        <v>0</v>
      </c>
      <c r="AK370" s="53">
        <v>0</v>
      </c>
      <c r="AL370" s="53">
        <v>0</v>
      </c>
      <c r="AM370" s="53" t="str">
        <f>I370-J370-K370-L370-M370-N370-O370-P370-Q370-R370-S370-T370-U370-V370-W370-X370-Y370-Z370-AA370-AB370-AC370-AD370-AE370-AF370-AG370+AH370-AI370+AJ370+AK370-AL370</f>
        <v>0</v>
      </c>
      <c r="AN370" s="53"/>
      <c r="AO370" s="27"/>
    </row>
    <row r="371" spans="1:41">
      <c r="A371" s="44">
        <v>343</v>
      </c>
      <c r="B371" s="46" t="s">
        <v>1490</v>
      </c>
      <c r="C371" s="48" t="s">
        <v>1491</v>
      </c>
      <c r="D371" s="51" t="s">
        <v>73</v>
      </c>
      <c r="E371" s="51" t="s">
        <v>1479</v>
      </c>
      <c r="F371" s="54" t="s">
        <v>650</v>
      </c>
      <c r="G371" s="50">
        <v>2</v>
      </c>
      <c r="H371" s="51" t="s">
        <v>1492</v>
      </c>
      <c r="I371" s="53">
        <v>275000</v>
      </c>
      <c r="J371" s="53">
        <v>0</v>
      </c>
      <c r="K371" s="53">
        <v>22000</v>
      </c>
      <c r="L371" s="53">
        <v>0</v>
      </c>
      <c r="M371" s="53">
        <v>0</v>
      </c>
      <c r="N371" s="53">
        <v>0</v>
      </c>
      <c r="O371" s="53">
        <v>0</v>
      </c>
      <c r="P371" s="53">
        <v>0</v>
      </c>
      <c r="Q371" s="53">
        <v>0</v>
      </c>
      <c r="R371" s="53">
        <v>0</v>
      </c>
      <c r="S371" s="53">
        <v>0</v>
      </c>
      <c r="T371" s="53">
        <v>0</v>
      </c>
      <c r="U371" s="53">
        <v>1100</v>
      </c>
      <c r="V371" s="53">
        <v>0</v>
      </c>
      <c r="W371" s="53">
        <v>0</v>
      </c>
      <c r="X371" s="53">
        <v>0</v>
      </c>
      <c r="Y371" s="53">
        <v>0</v>
      </c>
      <c r="Z371" s="53">
        <v>0</v>
      </c>
      <c r="AA371" s="53">
        <v>0</v>
      </c>
      <c r="AB371" s="53">
        <v>0</v>
      </c>
      <c r="AC371" s="53">
        <v>0</v>
      </c>
      <c r="AD371" s="53">
        <v>0</v>
      </c>
      <c r="AE371" s="53">
        <v>0</v>
      </c>
      <c r="AF371" s="53">
        <v>0</v>
      </c>
      <c r="AG371" s="53">
        <v>0</v>
      </c>
      <c r="AH371" s="53">
        <v>0</v>
      </c>
      <c r="AI371" s="53">
        <v>0</v>
      </c>
      <c r="AJ371" s="53">
        <v>0</v>
      </c>
      <c r="AK371" s="53">
        <v>0</v>
      </c>
      <c r="AL371" s="53">
        <v>0</v>
      </c>
      <c r="AM371" s="53" t="str">
        <f>I371-J371-K371-L371-M371-N371-O371-P371-Q371-R371-S371-T371-U371-V371-W371-X371-Y371-Z371-AA371-AB371-AC371-AD371-AE371-AF371-AG371+AH371-AI371+AJ371+AK371-AL371</f>
        <v>0</v>
      </c>
      <c r="AN371" s="53"/>
      <c r="AO371" s="27"/>
    </row>
    <row r="372" spans="1:41">
      <c r="A372" s="44">
        <v>344</v>
      </c>
      <c r="B372" s="46" t="s">
        <v>1493</v>
      </c>
      <c r="C372" s="48" t="s">
        <v>1494</v>
      </c>
      <c r="D372" s="51" t="s">
        <v>73</v>
      </c>
      <c r="E372" s="51" t="s">
        <v>1479</v>
      </c>
      <c r="F372" s="54" t="s">
        <v>1495</v>
      </c>
      <c r="G372" s="50">
        <v>5</v>
      </c>
      <c r="H372" s="51" t="s">
        <v>1496</v>
      </c>
      <c r="I372" s="53">
        <v>891000</v>
      </c>
      <c r="J372" s="53">
        <v>0</v>
      </c>
      <c r="K372" s="53">
        <v>27000</v>
      </c>
      <c r="L372" s="53">
        <v>0</v>
      </c>
      <c r="M372" s="53">
        <v>0</v>
      </c>
      <c r="N372" s="53">
        <v>0</v>
      </c>
      <c r="O372" s="53">
        <v>0</v>
      </c>
      <c r="P372" s="53">
        <v>0</v>
      </c>
      <c r="Q372" s="53">
        <v>0</v>
      </c>
      <c r="R372" s="53">
        <v>0</v>
      </c>
      <c r="S372" s="53">
        <v>0</v>
      </c>
      <c r="T372" s="53">
        <v>0</v>
      </c>
      <c r="U372" s="53">
        <v>1350</v>
      </c>
      <c r="V372" s="53">
        <v>0</v>
      </c>
      <c r="W372" s="53">
        <v>0</v>
      </c>
      <c r="X372" s="53">
        <v>0</v>
      </c>
      <c r="Y372" s="53">
        <v>0</v>
      </c>
      <c r="Z372" s="53">
        <v>0</v>
      </c>
      <c r="AA372" s="53">
        <v>0</v>
      </c>
      <c r="AB372" s="53">
        <v>0</v>
      </c>
      <c r="AC372" s="53">
        <v>0</v>
      </c>
      <c r="AD372" s="53">
        <v>0</v>
      </c>
      <c r="AE372" s="53">
        <v>0</v>
      </c>
      <c r="AF372" s="53">
        <v>0</v>
      </c>
      <c r="AG372" s="53">
        <v>0</v>
      </c>
      <c r="AH372" s="53">
        <v>0</v>
      </c>
      <c r="AI372" s="53">
        <v>0</v>
      </c>
      <c r="AJ372" s="53">
        <v>0</v>
      </c>
      <c r="AK372" s="53">
        <v>0</v>
      </c>
      <c r="AL372" s="53">
        <v>0</v>
      </c>
      <c r="AM372" s="53" t="str">
        <f>I372-J372-K372-L372-M372-N372-O372-P372-Q372-R372-S372-T372-U372-V372-W372-X372-Y372-Z372-AA372-AB372-AC372-AD372-AE372-AF372-AG372+AH372-AI372+AJ372+AK372-AL372</f>
        <v>0</v>
      </c>
      <c r="AN372" s="53"/>
      <c r="AO372" s="27"/>
    </row>
    <row r="373" spans="1:41">
      <c r="A373" s="44">
        <v>345</v>
      </c>
      <c r="B373" s="46" t="s">
        <v>1497</v>
      </c>
      <c r="C373" s="48" t="s">
        <v>1498</v>
      </c>
      <c r="D373" s="51" t="s">
        <v>73</v>
      </c>
      <c r="E373" s="51" t="s">
        <v>1479</v>
      </c>
      <c r="F373" s="54" t="s">
        <v>1310</v>
      </c>
      <c r="G373" s="50">
        <v>3</v>
      </c>
      <c r="H373" s="51" t="s">
        <v>1499</v>
      </c>
      <c r="I373" s="53">
        <v>189000</v>
      </c>
      <c r="J373" s="53">
        <v>0</v>
      </c>
      <c r="K373" s="53">
        <v>22000</v>
      </c>
      <c r="L373" s="53">
        <v>0</v>
      </c>
      <c r="M373" s="53">
        <v>0</v>
      </c>
      <c r="N373" s="53">
        <v>0</v>
      </c>
      <c r="O373" s="53">
        <v>0</v>
      </c>
      <c r="P373" s="53">
        <v>0</v>
      </c>
      <c r="Q373" s="53">
        <v>0</v>
      </c>
      <c r="R373" s="53">
        <v>0</v>
      </c>
      <c r="S373" s="53">
        <v>0</v>
      </c>
      <c r="T373" s="53">
        <v>0</v>
      </c>
      <c r="U373" s="53">
        <v>1100</v>
      </c>
      <c r="V373" s="53">
        <v>0</v>
      </c>
      <c r="W373" s="53">
        <v>0</v>
      </c>
      <c r="X373" s="53">
        <v>0</v>
      </c>
      <c r="Y373" s="53">
        <v>0</v>
      </c>
      <c r="Z373" s="53">
        <v>0</v>
      </c>
      <c r="AA373" s="53">
        <v>0</v>
      </c>
      <c r="AB373" s="53">
        <v>0</v>
      </c>
      <c r="AC373" s="53">
        <v>0</v>
      </c>
      <c r="AD373" s="53">
        <v>0</v>
      </c>
      <c r="AE373" s="53">
        <v>0</v>
      </c>
      <c r="AF373" s="53">
        <v>0</v>
      </c>
      <c r="AG373" s="53">
        <v>0</v>
      </c>
      <c r="AH373" s="53">
        <v>0</v>
      </c>
      <c r="AI373" s="53">
        <v>0</v>
      </c>
      <c r="AJ373" s="53">
        <v>0</v>
      </c>
      <c r="AK373" s="53">
        <v>0</v>
      </c>
      <c r="AL373" s="53">
        <v>0</v>
      </c>
      <c r="AM373" s="53" t="str">
        <f>I373-J373-K373-L373-M373-N373-O373-P373-Q373-R373-S373-T373-U373-V373-W373-X373-Y373-Z373-AA373-AB373-AC373-AD373-AE373-AF373-AG373+AH373-AI373+AJ373+AK373-AL373</f>
        <v>0</v>
      </c>
      <c r="AN373" s="53"/>
      <c r="AO373" s="27"/>
    </row>
    <row r="374" spans="1:41">
      <c r="A374" s="44">
        <v>346</v>
      </c>
      <c r="B374" s="46" t="s">
        <v>1500</v>
      </c>
      <c r="C374" s="48" t="s">
        <v>1501</v>
      </c>
      <c r="D374" s="51" t="s">
        <v>73</v>
      </c>
      <c r="E374" s="51" t="s">
        <v>1479</v>
      </c>
      <c r="F374" s="54" t="s">
        <v>494</v>
      </c>
      <c r="G374" s="50">
        <v>5</v>
      </c>
      <c r="H374" s="51" t="s">
        <v>1502</v>
      </c>
      <c r="I374" s="53">
        <v>891000</v>
      </c>
      <c r="J374" s="53">
        <v>0</v>
      </c>
      <c r="K374" s="53">
        <v>27000</v>
      </c>
      <c r="L374" s="53">
        <v>0</v>
      </c>
      <c r="M374" s="53">
        <v>0</v>
      </c>
      <c r="N374" s="53">
        <v>0</v>
      </c>
      <c r="O374" s="53">
        <v>0</v>
      </c>
      <c r="P374" s="53">
        <v>0</v>
      </c>
      <c r="Q374" s="53">
        <v>0</v>
      </c>
      <c r="R374" s="53">
        <v>0</v>
      </c>
      <c r="S374" s="53">
        <v>0</v>
      </c>
      <c r="T374" s="53">
        <v>0</v>
      </c>
      <c r="U374" s="53">
        <v>1350</v>
      </c>
      <c r="V374" s="53">
        <v>0</v>
      </c>
      <c r="W374" s="53">
        <v>0</v>
      </c>
      <c r="X374" s="53">
        <v>0</v>
      </c>
      <c r="Y374" s="53">
        <v>0</v>
      </c>
      <c r="Z374" s="53">
        <v>0</v>
      </c>
      <c r="AA374" s="53">
        <v>0</v>
      </c>
      <c r="AB374" s="53">
        <v>0</v>
      </c>
      <c r="AC374" s="53">
        <v>0</v>
      </c>
      <c r="AD374" s="53">
        <v>0</v>
      </c>
      <c r="AE374" s="53">
        <v>0</v>
      </c>
      <c r="AF374" s="53">
        <v>0</v>
      </c>
      <c r="AG374" s="53">
        <v>0</v>
      </c>
      <c r="AH374" s="53">
        <v>0</v>
      </c>
      <c r="AI374" s="53">
        <v>0</v>
      </c>
      <c r="AJ374" s="53">
        <v>0</v>
      </c>
      <c r="AK374" s="53">
        <v>0</v>
      </c>
      <c r="AL374" s="53">
        <v>0</v>
      </c>
      <c r="AM374" s="53" t="str">
        <f>I374-J374-K374-L374-M374-N374-O374-P374-Q374-R374-S374-T374-U374-V374-W374-X374-Y374-Z374-AA374-AB374-AC374-AD374-AE374-AF374-AG374+AH374-AI374+AJ374+AK374-AL374</f>
        <v>0</v>
      </c>
      <c r="AN374" s="53"/>
      <c r="AO374" s="27"/>
    </row>
    <row r="375" spans="1:41">
      <c r="A375" s="44">
        <v>347</v>
      </c>
      <c r="B375" s="46" t="s">
        <v>1503</v>
      </c>
      <c r="C375" s="48" t="s">
        <v>1504</v>
      </c>
      <c r="D375" s="51" t="s">
        <v>73</v>
      </c>
      <c r="E375" s="51" t="s">
        <v>1505</v>
      </c>
      <c r="F375" s="54" t="s">
        <v>1506</v>
      </c>
      <c r="G375" s="50">
        <v>4</v>
      </c>
      <c r="H375" s="51" t="s">
        <v>1507</v>
      </c>
      <c r="I375" s="53">
        <v>629100</v>
      </c>
      <c r="J375" s="53">
        <v>0</v>
      </c>
      <c r="K375" s="53">
        <v>25000</v>
      </c>
      <c r="L375" s="53">
        <v>0</v>
      </c>
      <c r="M375" s="53">
        <v>0</v>
      </c>
      <c r="N375" s="53">
        <v>0</v>
      </c>
      <c r="O375" s="53">
        <v>0</v>
      </c>
      <c r="P375" s="53">
        <v>0</v>
      </c>
      <c r="Q375" s="53">
        <v>0</v>
      </c>
      <c r="R375" s="53">
        <v>0</v>
      </c>
      <c r="S375" s="53">
        <v>0</v>
      </c>
      <c r="T375" s="53">
        <v>0</v>
      </c>
      <c r="U375" s="53">
        <v>1250</v>
      </c>
      <c r="V375" s="53">
        <v>0</v>
      </c>
      <c r="W375" s="53">
        <v>0</v>
      </c>
      <c r="X375" s="53">
        <v>0</v>
      </c>
      <c r="Y375" s="53">
        <v>0</v>
      </c>
      <c r="Z375" s="53">
        <v>0</v>
      </c>
      <c r="AA375" s="53">
        <v>0</v>
      </c>
      <c r="AB375" s="53">
        <v>0</v>
      </c>
      <c r="AC375" s="53">
        <v>0</v>
      </c>
      <c r="AD375" s="53">
        <v>0</v>
      </c>
      <c r="AE375" s="53">
        <v>0</v>
      </c>
      <c r="AF375" s="53">
        <v>0</v>
      </c>
      <c r="AG375" s="53">
        <v>0</v>
      </c>
      <c r="AH375" s="53">
        <v>0</v>
      </c>
      <c r="AI375" s="53">
        <v>0</v>
      </c>
      <c r="AJ375" s="53">
        <v>0</v>
      </c>
      <c r="AK375" s="53">
        <v>0</v>
      </c>
      <c r="AL375" s="53">
        <v>0</v>
      </c>
      <c r="AM375" s="53" t="str">
        <f>I375-J375-K375-L375-M375-N375-O375-P375-Q375-R375-S375-T375-U375-V375-W375-X375-Y375-Z375-AA375-AB375-AC375-AD375-AE375-AF375-AG375+AH375-AI375+AJ375+AK375-AL375</f>
        <v>0</v>
      </c>
      <c r="AN375" s="53"/>
      <c r="AO375" s="27"/>
    </row>
    <row r="376" spans="1:41">
      <c r="A376" s="44">
        <v>348</v>
      </c>
      <c r="B376" s="46" t="s">
        <v>1508</v>
      </c>
      <c r="C376" s="48" t="s">
        <v>1509</v>
      </c>
      <c r="D376" s="51" t="s">
        <v>73</v>
      </c>
      <c r="E376" s="51" t="s">
        <v>1505</v>
      </c>
      <c r="F376" s="54" t="s">
        <v>1510</v>
      </c>
      <c r="G376" s="50">
        <v>3</v>
      </c>
      <c r="H376" s="51" t="s">
        <v>1511</v>
      </c>
      <c r="I376" s="53">
        <v>535500</v>
      </c>
      <c r="J376" s="53">
        <v>0</v>
      </c>
      <c r="K376" s="53">
        <v>22000</v>
      </c>
      <c r="L376" s="53">
        <v>0</v>
      </c>
      <c r="M376" s="53">
        <v>0</v>
      </c>
      <c r="N376" s="53">
        <v>0</v>
      </c>
      <c r="O376" s="53">
        <v>0</v>
      </c>
      <c r="P376" s="53">
        <v>0</v>
      </c>
      <c r="Q376" s="53">
        <v>0</v>
      </c>
      <c r="R376" s="53">
        <v>0</v>
      </c>
      <c r="S376" s="53">
        <v>0</v>
      </c>
      <c r="T376" s="53">
        <v>0</v>
      </c>
      <c r="U376" s="53">
        <v>1100</v>
      </c>
      <c r="V376" s="53">
        <v>0</v>
      </c>
      <c r="W376" s="53">
        <v>0</v>
      </c>
      <c r="X376" s="53">
        <v>0</v>
      </c>
      <c r="Y376" s="53">
        <v>0</v>
      </c>
      <c r="Z376" s="53">
        <v>0</v>
      </c>
      <c r="AA376" s="53">
        <v>0</v>
      </c>
      <c r="AB376" s="53">
        <v>0</v>
      </c>
      <c r="AC376" s="53">
        <v>0</v>
      </c>
      <c r="AD376" s="53">
        <v>0</v>
      </c>
      <c r="AE376" s="53">
        <v>0</v>
      </c>
      <c r="AF376" s="53">
        <v>0</v>
      </c>
      <c r="AG376" s="53">
        <v>0</v>
      </c>
      <c r="AH376" s="53">
        <v>0</v>
      </c>
      <c r="AI376" s="53">
        <v>0</v>
      </c>
      <c r="AJ376" s="53">
        <v>0</v>
      </c>
      <c r="AK376" s="53">
        <v>0</v>
      </c>
      <c r="AL376" s="53">
        <v>0</v>
      </c>
      <c r="AM376" s="53" t="str">
        <f>I376-J376-K376-L376-M376-N376-O376-P376-Q376-R376-S376-T376-U376-V376-W376-X376-Y376-Z376-AA376-AB376-AC376-AD376-AE376-AF376-AG376+AH376-AI376+AJ376+AK376-AL376</f>
        <v>0</v>
      </c>
      <c r="AN376" s="53"/>
      <c r="AO376" s="27"/>
    </row>
    <row r="377" spans="1:41">
      <c r="A377" s="44">
        <v>349</v>
      </c>
      <c r="B377" s="46" t="s">
        <v>1512</v>
      </c>
      <c r="C377" s="48" t="s">
        <v>1513</v>
      </c>
      <c r="D377" s="51" t="s">
        <v>73</v>
      </c>
      <c r="E377" s="51" t="s">
        <v>1505</v>
      </c>
      <c r="F377" s="54" t="s">
        <v>1514</v>
      </c>
      <c r="G377" s="50">
        <v>5</v>
      </c>
      <c r="H377" s="51" t="s">
        <v>1515</v>
      </c>
      <c r="I377" s="53">
        <v>598000</v>
      </c>
      <c r="J377" s="53">
        <v>0</v>
      </c>
      <c r="K377" s="53">
        <v>27000</v>
      </c>
      <c r="L377" s="53">
        <v>0</v>
      </c>
      <c r="M377" s="53">
        <v>0</v>
      </c>
      <c r="N377" s="53">
        <v>0</v>
      </c>
      <c r="O377" s="53">
        <v>0</v>
      </c>
      <c r="P377" s="53">
        <v>0</v>
      </c>
      <c r="Q377" s="53">
        <v>0</v>
      </c>
      <c r="R377" s="53">
        <v>0</v>
      </c>
      <c r="S377" s="53">
        <v>0</v>
      </c>
      <c r="T377" s="53">
        <v>0</v>
      </c>
      <c r="U377" s="53">
        <v>1350</v>
      </c>
      <c r="V377" s="53">
        <v>0</v>
      </c>
      <c r="W377" s="53">
        <v>0</v>
      </c>
      <c r="X377" s="53">
        <v>0</v>
      </c>
      <c r="Y377" s="53">
        <v>0</v>
      </c>
      <c r="Z377" s="53">
        <v>0</v>
      </c>
      <c r="AA377" s="53">
        <v>0</v>
      </c>
      <c r="AB377" s="53">
        <v>0</v>
      </c>
      <c r="AC377" s="53">
        <v>0</v>
      </c>
      <c r="AD377" s="53">
        <v>0</v>
      </c>
      <c r="AE377" s="53">
        <v>0</v>
      </c>
      <c r="AF377" s="53">
        <v>0</v>
      </c>
      <c r="AG377" s="53">
        <v>0</v>
      </c>
      <c r="AH377" s="53">
        <v>0</v>
      </c>
      <c r="AI377" s="53">
        <v>0</v>
      </c>
      <c r="AJ377" s="53">
        <v>0</v>
      </c>
      <c r="AK377" s="53">
        <v>0</v>
      </c>
      <c r="AL377" s="53">
        <v>0</v>
      </c>
      <c r="AM377" s="53" t="str">
        <f>I377-J377-K377-L377-M377-N377-O377-P377-Q377-R377-S377-T377-U377-V377-W377-X377-Y377-Z377-AA377-AB377-AC377-AD377-AE377-AF377-AG377+AH377-AI377+AJ377+AK377-AL377</f>
        <v>0</v>
      </c>
      <c r="AN377" s="53"/>
      <c r="AO377" s="27"/>
    </row>
    <row r="378" spans="1:41">
      <c r="A378" s="44">
        <v>350</v>
      </c>
      <c r="B378" s="46" t="s">
        <v>1516</v>
      </c>
      <c r="C378" s="48" t="s">
        <v>1517</v>
      </c>
      <c r="D378" s="51" t="s">
        <v>62</v>
      </c>
      <c r="E378" s="51" t="s">
        <v>1505</v>
      </c>
      <c r="F378" s="54" t="s">
        <v>1518</v>
      </c>
      <c r="G378" s="50">
        <v>2</v>
      </c>
      <c r="H378" s="51" t="s">
        <v>1519</v>
      </c>
      <c r="I378" s="53">
        <v>0</v>
      </c>
      <c r="J378" s="53">
        <v>0</v>
      </c>
      <c r="K378" s="53">
        <v>22000</v>
      </c>
      <c r="L378" s="53">
        <v>0</v>
      </c>
      <c r="M378" s="53">
        <v>0</v>
      </c>
      <c r="N378" s="53">
        <v>0</v>
      </c>
      <c r="O378" s="53">
        <v>0</v>
      </c>
      <c r="P378" s="53">
        <v>0</v>
      </c>
      <c r="Q378" s="53">
        <v>0</v>
      </c>
      <c r="R378" s="53">
        <v>0</v>
      </c>
      <c r="S378" s="53">
        <v>0</v>
      </c>
      <c r="T378" s="53">
        <v>0</v>
      </c>
      <c r="U378" s="53">
        <v>1100</v>
      </c>
      <c r="V378" s="53">
        <v>0</v>
      </c>
      <c r="W378" s="53">
        <v>0</v>
      </c>
      <c r="X378" s="53">
        <v>0</v>
      </c>
      <c r="Y378" s="53">
        <v>5250</v>
      </c>
      <c r="Z378" s="53">
        <v>0</v>
      </c>
      <c r="AA378" s="53">
        <v>0</v>
      </c>
      <c r="AB378" s="53">
        <v>0</v>
      </c>
      <c r="AC378" s="53">
        <v>0</v>
      </c>
      <c r="AD378" s="53">
        <v>0</v>
      </c>
      <c r="AE378" s="53">
        <v>0</v>
      </c>
      <c r="AF378" s="53">
        <v>0</v>
      </c>
      <c r="AG378" s="53">
        <v>0</v>
      </c>
      <c r="AH378" s="53">
        <v>0</v>
      </c>
      <c r="AI378" s="53">
        <v>0</v>
      </c>
      <c r="AJ378" s="53">
        <v>0</v>
      </c>
      <c r="AK378" s="53">
        <v>0</v>
      </c>
      <c r="AL378" s="53">
        <v>0</v>
      </c>
      <c r="AM378" s="53" t="str">
        <f>I378-J378-K378-L378-M378-N378-O378-P378-Q378-R378-S378-T378-U378-V378-W378-X378-Y378-Z378-AA378-AB378-AC378-AD378-AE378-AF378-AG378+AH378-AI378+AJ378+AK378-AL378</f>
        <v>0</v>
      </c>
      <c r="AN378" s="53"/>
      <c r="AO378" s="27"/>
    </row>
    <row r="379" spans="1:41">
      <c r="A379" s="44">
        <v>351</v>
      </c>
      <c r="B379" s="46" t="s">
        <v>1520</v>
      </c>
      <c r="C379" s="48" t="s">
        <v>1521</v>
      </c>
      <c r="D379" s="51" t="s">
        <v>73</v>
      </c>
      <c r="E379" s="51" t="s">
        <v>1505</v>
      </c>
      <c r="F379" s="54" t="s">
        <v>1522</v>
      </c>
      <c r="G379" s="50">
        <v>3</v>
      </c>
      <c r="H379" s="51" t="s">
        <v>1523</v>
      </c>
      <c r="I379" s="53">
        <v>297000</v>
      </c>
      <c r="J379" s="53">
        <v>0</v>
      </c>
      <c r="K379" s="53">
        <v>22000</v>
      </c>
      <c r="L379" s="53">
        <v>0</v>
      </c>
      <c r="M379" s="53">
        <v>0</v>
      </c>
      <c r="N379" s="53">
        <v>0</v>
      </c>
      <c r="O379" s="53">
        <v>0</v>
      </c>
      <c r="P379" s="53">
        <v>0</v>
      </c>
      <c r="Q379" s="53">
        <v>0</v>
      </c>
      <c r="R379" s="53">
        <v>0</v>
      </c>
      <c r="S379" s="53">
        <v>0</v>
      </c>
      <c r="T379" s="53">
        <v>0</v>
      </c>
      <c r="U379" s="53">
        <v>1100</v>
      </c>
      <c r="V379" s="53">
        <v>0</v>
      </c>
      <c r="W379" s="53">
        <v>0</v>
      </c>
      <c r="X379" s="53">
        <v>0</v>
      </c>
      <c r="Y379" s="53">
        <v>0</v>
      </c>
      <c r="Z379" s="53">
        <v>0</v>
      </c>
      <c r="AA379" s="53">
        <v>0</v>
      </c>
      <c r="AB379" s="53">
        <v>0</v>
      </c>
      <c r="AC379" s="53">
        <v>0</v>
      </c>
      <c r="AD379" s="53">
        <v>0</v>
      </c>
      <c r="AE379" s="53">
        <v>0</v>
      </c>
      <c r="AF379" s="53">
        <v>0</v>
      </c>
      <c r="AG379" s="53">
        <v>0</v>
      </c>
      <c r="AH379" s="53">
        <v>0</v>
      </c>
      <c r="AI379" s="53">
        <v>0</v>
      </c>
      <c r="AJ379" s="53">
        <v>0</v>
      </c>
      <c r="AK379" s="53">
        <v>0</v>
      </c>
      <c r="AL379" s="53">
        <v>0</v>
      </c>
      <c r="AM379" s="53" t="str">
        <f>I379-J379-K379-L379-M379-N379-O379-P379-Q379-R379-S379-T379-U379-V379-W379-X379-Y379-Z379-AA379-AB379-AC379-AD379-AE379-AF379-AG379+AH379-AI379+AJ379+AK379-AL379</f>
        <v>0</v>
      </c>
      <c r="AN379" s="53"/>
      <c r="AO379" s="27"/>
    </row>
    <row r="380" spans="1:41">
      <c r="A380" s="44">
        <v>352</v>
      </c>
      <c r="B380" s="46" t="s">
        <v>1524</v>
      </c>
      <c r="C380" s="48" t="s">
        <v>1525</v>
      </c>
      <c r="D380" s="51" t="s">
        <v>73</v>
      </c>
      <c r="E380" s="51" t="s">
        <v>1526</v>
      </c>
      <c r="F380" s="54" t="s">
        <v>1527</v>
      </c>
      <c r="G380" s="50">
        <v>5</v>
      </c>
      <c r="H380" s="51" t="s">
        <v>1528</v>
      </c>
      <c r="I380" s="53">
        <v>891000</v>
      </c>
      <c r="J380" s="53">
        <v>0</v>
      </c>
      <c r="K380" s="53">
        <v>27000</v>
      </c>
      <c r="L380" s="53">
        <v>0</v>
      </c>
      <c r="M380" s="53">
        <v>0</v>
      </c>
      <c r="N380" s="53">
        <v>0</v>
      </c>
      <c r="O380" s="53">
        <v>0</v>
      </c>
      <c r="P380" s="53">
        <v>0</v>
      </c>
      <c r="Q380" s="53">
        <v>0</v>
      </c>
      <c r="R380" s="53">
        <v>0</v>
      </c>
      <c r="S380" s="53">
        <v>0</v>
      </c>
      <c r="T380" s="53">
        <v>0</v>
      </c>
      <c r="U380" s="53">
        <v>1350</v>
      </c>
      <c r="V380" s="53">
        <v>0</v>
      </c>
      <c r="W380" s="53">
        <v>0</v>
      </c>
      <c r="X380" s="53">
        <v>0</v>
      </c>
      <c r="Y380" s="53">
        <v>0</v>
      </c>
      <c r="Z380" s="53">
        <v>0</v>
      </c>
      <c r="AA380" s="53">
        <v>0</v>
      </c>
      <c r="AB380" s="53">
        <v>0</v>
      </c>
      <c r="AC380" s="53">
        <v>0</v>
      </c>
      <c r="AD380" s="53">
        <v>0</v>
      </c>
      <c r="AE380" s="53">
        <v>0</v>
      </c>
      <c r="AF380" s="53">
        <v>0</v>
      </c>
      <c r="AG380" s="53">
        <v>0</v>
      </c>
      <c r="AH380" s="53">
        <v>0</v>
      </c>
      <c r="AI380" s="53">
        <v>0</v>
      </c>
      <c r="AJ380" s="53">
        <v>0</v>
      </c>
      <c r="AK380" s="53">
        <v>0</v>
      </c>
      <c r="AL380" s="53">
        <v>0</v>
      </c>
      <c r="AM380" s="53" t="str">
        <f>I380-J380-K380-L380-M380-N380-O380-P380-Q380-R380-S380-T380-U380-V380-W380-X380-Y380-Z380-AA380-AB380-AC380-AD380-AE380-AF380-AG380+AH380-AI380+AJ380+AK380-AL380</f>
        <v>0</v>
      </c>
      <c r="AN380" s="53"/>
      <c r="AO380" s="27"/>
    </row>
    <row r="381" spans="1:41">
      <c r="A381" s="44">
        <v>353</v>
      </c>
      <c r="B381" s="46" t="s">
        <v>1529</v>
      </c>
      <c r="C381" s="48" t="s">
        <v>1530</v>
      </c>
      <c r="D381" s="51" t="s">
        <v>62</v>
      </c>
      <c r="E381" s="51" t="s">
        <v>1526</v>
      </c>
      <c r="F381" s="54" t="s">
        <v>1350</v>
      </c>
      <c r="G381" s="50">
        <v>6</v>
      </c>
      <c r="H381" s="51" t="s">
        <v>1351</v>
      </c>
      <c r="I381" s="53">
        <v>0</v>
      </c>
      <c r="J381" s="53">
        <v>0</v>
      </c>
      <c r="K381" s="53">
        <v>31000</v>
      </c>
      <c r="L381" s="53">
        <v>0</v>
      </c>
      <c r="M381" s="53">
        <v>0</v>
      </c>
      <c r="N381" s="53">
        <v>0</v>
      </c>
      <c r="O381" s="53">
        <v>0</v>
      </c>
      <c r="P381" s="53">
        <v>0</v>
      </c>
      <c r="Q381" s="53">
        <v>0</v>
      </c>
      <c r="R381" s="53">
        <v>0</v>
      </c>
      <c r="S381" s="53">
        <v>0</v>
      </c>
      <c r="T381" s="53">
        <v>0</v>
      </c>
      <c r="U381" s="53">
        <v>1550</v>
      </c>
      <c r="V381" s="53">
        <v>0</v>
      </c>
      <c r="W381" s="53">
        <v>0</v>
      </c>
      <c r="X381" s="53">
        <v>0</v>
      </c>
      <c r="Y381" s="53">
        <v>16275</v>
      </c>
      <c r="Z381" s="53">
        <v>0</v>
      </c>
      <c r="AA381" s="53">
        <v>0</v>
      </c>
      <c r="AB381" s="53">
        <v>0</v>
      </c>
      <c r="AC381" s="53">
        <v>0</v>
      </c>
      <c r="AD381" s="53">
        <v>0</v>
      </c>
      <c r="AE381" s="53">
        <v>0</v>
      </c>
      <c r="AF381" s="53">
        <v>0</v>
      </c>
      <c r="AG381" s="53">
        <v>0</v>
      </c>
      <c r="AH381" s="53">
        <v>0</v>
      </c>
      <c r="AI381" s="53">
        <v>0</v>
      </c>
      <c r="AJ381" s="53">
        <v>0</v>
      </c>
      <c r="AK381" s="53">
        <v>0</v>
      </c>
      <c r="AL381" s="53">
        <v>0</v>
      </c>
      <c r="AM381" s="53" t="str">
        <f>I381-J381-K381-L381-M381-N381-O381-P381-Q381-R381-S381-T381-U381-V381-W381-X381-Y381-Z381-AA381-AB381-AC381-AD381-AE381-AF381-AG381+AH381-AI381+AJ381+AK381-AL381</f>
        <v>0</v>
      </c>
      <c r="AN381" s="53"/>
      <c r="AO381" s="27"/>
    </row>
    <row r="382" spans="1:41">
      <c r="A382" s="44">
        <v>354</v>
      </c>
      <c r="B382" s="46" t="s">
        <v>1531</v>
      </c>
      <c r="C382" s="48" t="s">
        <v>1532</v>
      </c>
      <c r="D382" s="51" t="s">
        <v>62</v>
      </c>
      <c r="E382" s="51" t="s">
        <v>1526</v>
      </c>
      <c r="F382" s="54" t="s">
        <v>1533</v>
      </c>
      <c r="G382" s="50">
        <v>6</v>
      </c>
      <c r="H382" s="51" t="s">
        <v>1534</v>
      </c>
      <c r="I382" s="53">
        <v>0</v>
      </c>
      <c r="J382" s="53">
        <v>0</v>
      </c>
      <c r="K382" s="53">
        <v>31000</v>
      </c>
      <c r="L382" s="53">
        <v>0</v>
      </c>
      <c r="M382" s="53">
        <v>0</v>
      </c>
      <c r="N382" s="53">
        <v>0</v>
      </c>
      <c r="O382" s="53">
        <v>0</v>
      </c>
      <c r="P382" s="53">
        <v>0</v>
      </c>
      <c r="Q382" s="53">
        <v>0</v>
      </c>
      <c r="R382" s="53">
        <v>0</v>
      </c>
      <c r="S382" s="53">
        <v>0</v>
      </c>
      <c r="T382" s="53">
        <v>0</v>
      </c>
      <c r="U382" s="53">
        <v>1550</v>
      </c>
      <c r="V382" s="53">
        <v>0</v>
      </c>
      <c r="W382" s="53">
        <v>0</v>
      </c>
      <c r="X382" s="53">
        <v>0</v>
      </c>
      <c r="Y382" s="53">
        <v>16275</v>
      </c>
      <c r="Z382" s="53">
        <v>0</v>
      </c>
      <c r="AA382" s="53">
        <v>0</v>
      </c>
      <c r="AB382" s="53">
        <v>0</v>
      </c>
      <c r="AC382" s="53">
        <v>0</v>
      </c>
      <c r="AD382" s="53">
        <v>0</v>
      </c>
      <c r="AE382" s="53">
        <v>0</v>
      </c>
      <c r="AF382" s="53">
        <v>0</v>
      </c>
      <c r="AG382" s="53">
        <v>0</v>
      </c>
      <c r="AH382" s="53">
        <v>0</v>
      </c>
      <c r="AI382" s="53">
        <v>0</v>
      </c>
      <c r="AJ382" s="53">
        <v>0</v>
      </c>
      <c r="AK382" s="53">
        <v>0</v>
      </c>
      <c r="AL382" s="53">
        <v>0</v>
      </c>
      <c r="AM382" s="53" t="str">
        <f>I382-J382-K382-L382-M382-N382-O382-P382-Q382-R382-S382-T382-U382-V382-W382-X382-Y382-Z382-AA382-AB382-AC382-AD382-AE382-AF382-AG382+AH382-AI382+AJ382+AK382-AL382</f>
        <v>0</v>
      </c>
      <c r="AN382" s="53"/>
      <c r="AO382" s="27"/>
    </row>
    <row r="383" spans="1:41">
      <c r="A383" s="44">
        <v>355</v>
      </c>
      <c r="B383" s="46" t="s">
        <v>1535</v>
      </c>
      <c r="C383" s="48" t="s">
        <v>1536</v>
      </c>
      <c r="D383" s="51" t="s">
        <v>73</v>
      </c>
      <c r="E383" s="51" t="s">
        <v>1526</v>
      </c>
      <c r="F383" s="54" t="s">
        <v>1537</v>
      </c>
      <c r="G383" s="50">
        <v>7</v>
      </c>
      <c r="H383" s="51" t="s">
        <v>1538</v>
      </c>
      <c r="I383" s="53">
        <v>1530000</v>
      </c>
      <c r="J383" s="53">
        <v>0</v>
      </c>
      <c r="K383" s="53">
        <v>35000</v>
      </c>
      <c r="L383" s="53">
        <v>0</v>
      </c>
      <c r="M383" s="53">
        <v>0</v>
      </c>
      <c r="N383" s="53">
        <v>0</v>
      </c>
      <c r="O383" s="53">
        <v>0</v>
      </c>
      <c r="P383" s="53">
        <v>0</v>
      </c>
      <c r="Q383" s="53">
        <v>0</v>
      </c>
      <c r="R383" s="53">
        <v>0</v>
      </c>
      <c r="S383" s="53">
        <v>0</v>
      </c>
      <c r="T383" s="53">
        <v>0</v>
      </c>
      <c r="U383" s="53">
        <v>1750</v>
      </c>
      <c r="V383" s="53">
        <v>0</v>
      </c>
      <c r="W383" s="53">
        <v>0</v>
      </c>
      <c r="X383" s="53">
        <v>0</v>
      </c>
      <c r="Y383" s="53">
        <v>0</v>
      </c>
      <c r="Z383" s="53">
        <v>0</v>
      </c>
      <c r="AA383" s="53">
        <v>0</v>
      </c>
      <c r="AB383" s="53">
        <v>0</v>
      </c>
      <c r="AC383" s="53">
        <v>0</v>
      </c>
      <c r="AD383" s="53">
        <v>0</v>
      </c>
      <c r="AE383" s="53">
        <v>0</v>
      </c>
      <c r="AF383" s="53">
        <v>0</v>
      </c>
      <c r="AG383" s="53">
        <v>0</v>
      </c>
      <c r="AH383" s="53">
        <v>0</v>
      </c>
      <c r="AI383" s="53">
        <v>0</v>
      </c>
      <c r="AJ383" s="53">
        <v>0</v>
      </c>
      <c r="AK383" s="53">
        <v>0</v>
      </c>
      <c r="AL383" s="53">
        <v>0</v>
      </c>
      <c r="AM383" s="53" t="str">
        <f>I383-J383-K383-L383-M383-N383-O383-P383-Q383-R383-S383-T383-U383-V383-W383-X383-Y383-Z383-AA383-AB383-AC383-AD383-AE383-AF383-AG383+AH383-AI383+AJ383+AK383-AL383</f>
        <v>0</v>
      </c>
      <c r="AN383" s="53"/>
      <c r="AO383" s="27"/>
    </row>
    <row r="384" spans="1:41">
      <c r="A384" s="44">
        <v>356</v>
      </c>
      <c r="B384" s="46" t="s">
        <v>1539</v>
      </c>
      <c r="C384" s="48" t="s">
        <v>1540</v>
      </c>
      <c r="D384" s="51" t="s">
        <v>73</v>
      </c>
      <c r="E384" s="51" t="s">
        <v>1526</v>
      </c>
      <c r="F384" s="54" t="s">
        <v>1541</v>
      </c>
      <c r="G384" s="50">
        <v>3</v>
      </c>
      <c r="H384" s="51" t="s">
        <v>1542</v>
      </c>
      <c r="I384" s="53">
        <v>269100</v>
      </c>
      <c r="J384" s="53">
        <v>0</v>
      </c>
      <c r="K384" s="53">
        <v>22000</v>
      </c>
      <c r="L384" s="53">
        <v>0</v>
      </c>
      <c r="M384" s="53">
        <v>0</v>
      </c>
      <c r="N384" s="53">
        <v>0</v>
      </c>
      <c r="O384" s="53">
        <v>0</v>
      </c>
      <c r="P384" s="53">
        <v>0</v>
      </c>
      <c r="Q384" s="53">
        <v>0</v>
      </c>
      <c r="R384" s="53">
        <v>0</v>
      </c>
      <c r="S384" s="53">
        <v>0</v>
      </c>
      <c r="T384" s="53">
        <v>0</v>
      </c>
      <c r="U384" s="53">
        <v>1100</v>
      </c>
      <c r="V384" s="53">
        <v>0</v>
      </c>
      <c r="W384" s="53">
        <v>0</v>
      </c>
      <c r="X384" s="53">
        <v>0</v>
      </c>
      <c r="Y384" s="53">
        <v>0</v>
      </c>
      <c r="Z384" s="53">
        <v>0</v>
      </c>
      <c r="AA384" s="53">
        <v>0</v>
      </c>
      <c r="AB384" s="53">
        <v>0</v>
      </c>
      <c r="AC384" s="53">
        <v>0</v>
      </c>
      <c r="AD384" s="53">
        <v>0</v>
      </c>
      <c r="AE384" s="53">
        <v>0</v>
      </c>
      <c r="AF384" s="53">
        <v>0</v>
      </c>
      <c r="AG384" s="53">
        <v>0</v>
      </c>
      <c r="AH384" s="53">
        <v>0</v>
      </c>
      <c r="AI384" s="53">
        <v>0</v>
      </c>
      <c r="AJ384" s="53">
        <v>0</v>
      </c>
      <c r="AK384" s="53">
        <v>0</v>
      </c>
      <c r="AL384" s="53">
        <v>0</v>
      </c>
      <c r="AM384" s="53" t="str">
        <f>I384-J384-K384-L384-M384-N384-O384-P384-Q384-R384-S384-T384-U384-V384-W384-X384-Y384-Z384-AA384-AB384-AC384-AD384-AE384-AF384-AG384+AH384-AI384+AJ384+AK384-AL384</f>
        <v>0</v>
      </c>
      <c r="AN384" s="53"/>
      <c r="AO384" s="27"/>
    </row>
    <row r="385" spans="1:41">
      <c r="A385" s="44">
        <v>357</v>
      </c>
      <c r="B385" s="46" t="s">
        <v>1543</v>
      </c>
      <c r="C385" s="48" t="s">
        <v>1544</v>
      </c>
      <c r="D385" s="51" t="s">
        <v>73</v>
      </c>
      <c r="E385" s="51" t="s">
        <v>1545</v>
      </c>
      <c r="F385" s="54" t="s">
        <v>1125</v>
      </c>
      <c r="G385" s="50">
        <v>5</v>
      </c>
      <c r="H385" s="51" t="s">
        <v>1546</v>
      </c>
      <c r="I385" s="53">
        <v>1440000</v>
      </c>
      <c r="J385" s="53">
        <v>0</v>
      </c>
      <c r="K385" s="53">
        <v>27000</v>
      </c>
      <c r="L385" s="53">
        <v>0</v>
      </c>
      <c r="M385" s="53">
        <v>0</v>
      </c>
      <c r="N385" s="53">
        <v>0</v>
      </c>
      <c r="O385" s="53">
        <v>0</v>
      </c>
      <c r="P385" s="53">
        <v>0</v>
      </c>
      <c r="Q385" s="53">
        <v>0</v>
      </c>
      <c r="R385" s="53">
        <v>0</v>
      </c>
      <c r="S385" s="53">
        <v>0</v>
      </c>
      <c r="T385" s="53">
        <v>0</v>
      </c>
      <c r="U385" s="53">
        <v>1350</v>
      </c>
      <c r="V385" s="53">
        <v>0</v>
      </c>
      <c r="W385" s="53">
        <v>0</v>
      </c>
      <c r="X385" s="53">
        <v>0</v>
      </c>
      <c r="Y385" s="53">
        <v>0</v>
      </c>
      <c r="Z385" s="53">
        <v>0</v>
      </c>
      <c r="AA385" s="53">
        <v>0</v>
      </c>
      <c r="AB385" s="53">
        <v>0</v>
      </c>
      <c r="AC385" s="53">
        <v>0</v>
      </c>
      <c r="AD385" s="53">
        <v>0</v>
      </c>
      <c r="AE385" s="53">
        <v>0</v>
      </c>
      <c r="AF385" s="53">
        <v>0</v>
      </c>
      <c r="AG385" s="53">
        <v>0</v>
      </c>
      <c r="AH385" s="53">
        <v>0</v>
      </c>
      <c r="AI385" s="53">
        <v>0</v>
      </c>
      <c r="AJ385" s="53">
        <v>0</v>
      </c>
      <c r="AK385" s="53">
        <v>0</v>
      </c>
      <c r="AL385" s="53">
        <v>0</v>
      </c>
      <c r="AM385" s="53" t="str">
        <f>I385-J385-K385-L385-M385-N385-O385-P385-Q385-R385-S385-T385-U385-V385-W385-X385-Y385-Z385-AA385-AB385-AC385-AD385-AE385-AF385-AG385+AH385-AI385+AJ385+AK385-AL385</f>
        <v>0</v>
      </c>
      <c r="AN385" s="53"/>
      <c r="AO385" s="27"/>
    </row>
    <row r="386" spans="1:41">
      <c r="A386" s="44">
        <v>358</v>
      </c>
      <c r="B386" s="46" t="s">
        <v>1547</v>
      </c>
      <c r="C386" s="48" t="s">
        <v>1548</v>
      </c>
      <c r="D386" s="51" t="s">
        <v>73</v>
      </c>
      <c r="E386" s="51" t="s">
        <v>1545</v>
      </c>
      <c r="F386" s="54" t="s">
        <v>987</v>
      </c>
      <c r="G386" s="50">
        <v>3</v>
      </c>
      <c r="H386" s="51" t="s">
        <v>1549</v>
      </c>
      <c r="I386" s="53">
        <v>189000</v>
      </c>
      <c r="J386" s="53">
        <v>0</v>
      </c>
      <c r="K386" s="53">
        <v>22000</v>
      </c>
      <c r="L386" s="53">
        <v>0</v>
      </c>
      <c r="M386" s="53">
        <v>0</v>
      </c>
      <c r="N386" s="53">
        <v>0</v>
      </c>
      <c r="O386" s="53">
        <v>0</v>
      </c>
      <c r="P386" s="53">
        <v>0</v>
      </c>
      <c r="Q386" s="53">
        <v>0</v>
      </c>
      <c r="R386" s="53">
        <v>0</v>
      </c>
      <c r="S386" s="53">
        <v>0</v>
      </c>
      <c r="T386" s="53">
        <v>0</v>
      </c>
      <c r="U386" s="53">
        <v>1100</v>
      </c>
      <c r="V386" s="53">
        <v>0</v>
      </c>
      <c r="W386" s="53">
        <v>0</v>
      </c>
      <c r="X386" s="53">
        <v>0</v>
      </c>
      <c r="Y386" s="53">
        <v>0</v>
      </c>
      <c r="Z386" s="53">
        <v>0</v>
      </c>
      <c r="AA386" s="53">
        <v>0</v>
      </c>
      <c r="AB386" s="53">
        <v>0</v>
      </c>
      <c r="AC386" s="53">
        <v>0</v>
      </c>
      <c r="AD386" s="53">
        <v>0</v>
      </c>
      <c r="AE386" s="53">
        <v>0</v>
      </c>
      <c r="AF386" s="53">
        <v>0</v>
      </c>
      <c r="AG386" s="53">
        <v>0</v>
      </c>
      <c r="AH386" s="53">
        <v>0</v>
      </c>
      <c r="AI386" s="53">
        <v>0</v>
      </c>
      <c r="AJ386" s="53">
        <v>0</v>
      </c>
      <c r="AK386" s="53">
        <v>0</v>
      </c>
      <c r="AL386" s="53">
        <v>0</v>
      </c>
      <c r="AM386" s="53" t="str">
        <f>I386-J386-K386-L386-M386-N386-O386-P386-Q386-R386-S386-T386-U386-V386-W386-X386-Y386-Z386-AA386-AB386-AC386-AD386-AE386-AF386-AG386+AH386-AI386+AJ386+AK386-AL386</f>
        <v>0</v>
      </c>
      <c r="AN386" s="53"/>
      <c r="AO386" s="27"/>
    </row>
    <row r="387" spans="1:41">
      <c r="A387" s="44">
        <v>359</v>
      </c>
      <c r="B387" s="46" t="s">
        <v>1550</v>
      </c>
      <c r="C387" s="48" t="s">
        <v>1551</v>
      </c>
      <c r="D387" s="51" t="s">
        <v>73</v>
      </c>
      <c r="E387" s="51" t="s">
        <v>1545</v>
      </c>
      <c r="F387" s="54" t="s">
        <v>1552</v>
      </c>
      <c r="G387" s="50">
        <v>5</v>
      </c>
      <c r="H387" s="51" t="s">
        <v>1553</v>
      </c>
      <c r="I387" s="53">
        <v>891000</v>
      </c>
      <c r="J387" s="53">
        <v>0</v>
      </c>
      <c r="K387" s="53">
        <v>27000</v>
      </c>
      <c r="L387" s="53">
        <v>0</v>
      </c>
      <c r="M387" s="53">
        <v>0</v>
      </c>
      <c r="N387" s="53">
        <v>0</v>
      </c>
      <c r="O387" s="53">
        <v>0</v>
      </c>
      <c r="P387" s="53">
        <v>0</v>
      </c>
      <c r="Q387" s="53">
        <v>0</v>
      </c>
      <c r="R387" s="53">
        <v>0</v>
      </c>
      <c r="S387" s="53">
        <v>0</v>
      </c>
      <c r="T387" s="53">
        <v>0</v>
      </c>
      <c r="U387" s="53">
        <v>1350</v>
      </c>
      <c r="V387" s="53">
        <v>0</v>
      </c>
      <c r="W387" s="53">
        <v>0</v>
      </c>
      <c r="X387" s="53">
        <v>0</v>
      </c>
      <c r="Y387" s="53">
        <v>0</v>
      </c>
      <c r="Z387" s="53">
        <v>0</v>
      </c>
      <c r="AA387" s="53">
        <v>0</v>
      </c>
      <c r="AB387" s="53">
        <v>0</v>
      </c>
      <c r="AC387" s="53">
        <v>0</v>
      </c>
      <c r="AD387" s="53">
        <v>0</v>
      </c>
      <c r="AE387" s="53">
        <v>0</v>
      </c>
      <c r="AF387" s="53">
        <v>0</v>
      </c>
      <c r="AG387" s="53">
        <v>0</v>
      </c>
      <c r="AH387" s="53">
        <v>0</v>
      </c>
      <c r="AI387" s="53">
        <v>0</v>
      </c>
      <c r="AJ387" s="53">
        <v>0</v>
      </c>
      <c r="AK387" s="53">
        <v>0</v>
      </c>
      <c r="AL387" s="53">
        <v>0</v>
      </c>
      <c r="AM387" s="53" t="str">
        <f>I387-J387-K387-L387-M387-N387-O387-P387-Q387-R387-S387-T387-U387-V387-W387-X387-Y387-Z387-AA387-AB387-AC387-AD387-AE387-AF387-AG387+AH387-AI387+AJ387+AK387-AL387</f>
        <v>0</v>
      </c>
      <c r="AN387" s="53"/>
      <c r="AO387" s="27"/>
    </row>
    <row r="388" spans="1:41">
      <c r="A388" s="44">
        <v>360</v>
      </c>
      <c r="B388" s="46" t="s">
        <v>1554</v>
      </c>
      <c r="C388" s="48" t="s">
        <v>1555</v>
      </c>
      <c r="D388" s="51" t="s">
        <v>73</v>
      </c>
      <c r="E388" s="51" t="s">
        <v>1545</v>
      </c>
      <c r="F388" s="54" t="s">
        <v>1556</v>
      </c>
      <c r="G388" s="50">
        <v>3</v>
      </c>
      <c r="H388" s="51" t="s">
        <v>1557</v>
      </c>
      <c r="I388" s="53">
        <v>135000</v>
      </c>
      <c r="J388" s="53">
        <v>0</v>
      </c>
      <c r="K388" s="53">
        <v>22000</v>
      </c>
      <c r="L388" s="53">
        <v>0</v>
      </c>
      <c r="M388" s="53">
        <v>0</v>
      </c>
      <c r="N388" s="53">
        <v>0</v>
      </c>
      <c r="O388" s="53">
        <v>0</v>
      </c>
      <c r="P388" s="53">
        <v>0</v>
      </c>
      <c r="Q388" s="53">
        <v>0</v>
      </c>
      <c r="R388" s="53">
        <v>0</v>
      </c>
      <c r="S388" s="53">
        <v>0</v>
      </c>
      <c r="T388" s="53">
        <v>0</v>
      </c>
      <c r="U388" s="53">
        <v>1100</v>
      </c>
      <c r="V388" s="53">
        <v>0</v>
      </c>
      <c r="W388" s="53">
        <v>0</v>
      </c>
      <c r="X388" s="53">
        <v>0</v>
      </c>
      <c r="Y388" s="53">
        <v>0</v>
      </c>
      <c r="Z388" s="53">
        <v>0</v>
      </c>
      <c r="AA388" s="53">
        <v>0</v>
      </c>
      <c r="AB388" s="53">
        <v>0</v>
      </c>
      <c r="AC388" s="53">
        <v>0</v>
      </c>
      <c r="AD388" s="53">
        <v>0</v>
      </c>
      <c r="AE388" s="53">
        <v>0</v>
      </c>
      <c r="AF388" s="53">
        <v>0</v>
      </c>
      <c r="AG388" s="53">
        <v>0</v>
      </c>
      <c r="AH388" s="53">
        <v>0</v>
      </c>
      <c r="AI388" s="53">
        <v>0</v>
      </c>
      <c r="AJ388" s="53">
        <v>0</v>
      </c>
      <c r="AK388" s="53">
        <v>0</v>
      </c>
      <c r="AL388" s="53">
        <v>0</v>
      </c>
      <c r="AM388" s="53" t="str">
        <f>I388-J388-K388-L388-M388-N388-O388-P388-Q388-R388-S388-T388-U388-V388-W388-X388-Y388-Z388-AA388-AB388-AC388-AD388-AE388-AF388-AG388+AH388-AI388+AJ388+AK388-AL388</f>
        <v>0</v>
      </c>
      <c r="AN388" s="53"/>
      <c r="AO388" s="27"/>
    </row>
    <row r="389" spans="1:41">
      <c r="A389" s="44">
        <v>361</v>
      </c>
      <c r="B389" s="46" t="s">
        <v>1558</v>
      </c>
      <c r="C389" s="48" t="s">
        <v>1559</v>
      </c>
      <c r="D389" s="51" t="s">
        <v>73</v>
      </c>
      <c r="E389" s="51" t="s">
        <v>1560</v>
      </c>
      <c r="F389" s="54" t="s">
        <v>1561</v>
      </c>
      <c r="G389" s="50">
        <v>5</v>
      </c>
      <c r="H389" s="51" t="s">
        <v>1562</v>
      </c>
      <c r="I389" s="53">
        <v>990000</v>
      </c>
      <c r="J389" s="53">
        <v>0</v>
      </c>
      <c r="K389" s="53">
        <v>27000</v>
      </c>
      <c r="L389" s="53">
        <v>0</v>
      </c>
      <c r="M389" s="53">
        <v>0</v>
      </c>
      <c r="N389" s="53">
        <v>0</v>
      </c>
      <c r="O389" s="53">
        <v>0</v>
      </c>
      <c r="P389" s="53">
        <v>0</v>
      </c>
      <c r="Q389" s="53">
        <v>0</v>
      </c>
      <c r="R389" s="53">
        <v>0</v>
      </c>
      <c r="S389" s="53">
        <v>0</v>
      </c>
      <c r="T389" s="53">
        <v>0</v>
      </c>
      <c r="U389" s="53">
        <v>1350</v>
      </c>
      <c r="V389" s="53">
        <v>0</v>
      </c>
      <c r="W389" s="53">
        <v>0</v>
      </c>
      <c r="X389" s="53">
        <v>0</v>
      </c>
      <c r="Y389" s="53">
        <v>0</v>
      </c>
      <c r="Z389" s="53">
        <v>0</v>
      </c>
      <c r="AA389" s="53">
        <v>0</v>
      </c>
      <c r="AB389" s="53">
        <v>0</v>
      </c>
      <c r="AC389" s="53">
        <v>0</v>
      </c>
      <c r="AD389" s="53">
        <v>0</v>
      </c>
      <c r="AE389" s="53">
        <v>0</v>
      </c>
      <c r="AF389" s="53">
        <v>0</v>
      </c>
      <c r="AG389" s="53">
        <v>0</v>
      </c>
      <c r="AH389" s="53">
        <v>0</v>
      </c>
      <c r="AI389" s="53">
        <v>0</v>
      </c>
      <c r="AJ389" s="53">
        <v>0</v>
      </c>
      <c r="AK389" s="53">
        <v>0</v>
      </c>
      <c r="AL389" s="53">
        <v>0</v>
      </c>
      <c r="AM389" s="53" t="str">
        <f>I389-J389-K389-L389-M389-N389-O389-P389-Q389-R389-S389-T389-U389-V389-W389-X389-Y389-Z389-AA389-AB389-AC389-AD389-AE389-AF389-AG389+AH389-AI389+AJ389+AK389-AL389</f>
        <v>0</v>
      </c>
      <c r="AN389" s="53"/>
      <c r="AO389" s="27"/>
    </row>
    <row r="390" spans="1:41">
      <c r="A390" s="44">
        <v>362</v>
      </c>
      <c r="B390" s="46" t="s">
        <v>1563</v>
      </c>
      <c r="C390" s="48" t="s">
        <v>1564</v>
      </c>
      <c r="D390" s="51" t="s">
        <v>73</v>
      </c>
      <c r="E390" s="51" t="s">
        <v>1560</v>
      </c>
      <c r="F390" s="54" t="s">
        <v>995</v>
      </c>
      <c r="G390" s="50">
        <v>2</v>
      </c>
      <c r="H390" s="51" t="s">
        <v>1565</v>
      </c>
      <c r="I390" s="53">
        <v>166500</v>
      </c>
      <c r="J390" s="53">
        <v>0</v>
      </c>
      <c r="K390" s="53">
        <v>22000</v>
      </c>
      <c r="L390" s="53">
        <v>0</v>
      </c>
      <c r="M390" s="53">
        <v>0</v>
      </c>
      <c r="N390" s="53">
        <v>0</v>
      </c>
      <c r="O390" s="53">
        <v>0</v>
      </c>
      <c r="P390" s="53">
        <v>0</v>
      </c>
      <c r="Q390" s="53">
        <v>0</v>
      </c>
      <c r="R390" s="53">
        <v>0</v>
      </c>
      <c r="S390" s="53">
        <v>0</v>
      </c>
      <c r="T390" s="53">
        <v>0</v>
      </c>
      <c r="U390" s="53">
        <v>1100</v>
      </c>
      <c r="V390" s="53">
        <v>0</v>
      </c>
      <c r="W390" s="53">
        <v>0</v>
      </c>
      <c r="X390" s="53">
        <v>0</v>
      </c>
      <c r="Y390" s="53">
        <v>0</v>
      </c>
      <c r="Z390" s="53">
        <v>0</v>
      </c>
      <c r="AA390" s="53">
        <v>0</v>
      </c>
      <c r="AB390" s="53">
        <v>0</v>
      </c>
      <c r="AC390" s="53">
        <v>0</v>
      </c>
      <c r="AD390" s="53">
        <v>0</v>
      </c>
      <c r="AE390" s="53">
        <v>0</v>
      </c>
      <c r="AF390" s="53">
        <v>0</v>
      </c>
      <c r="AG390" s="53">
        <v>0</v>
      </c>
      <c r="AH390" s="53">
        <v>0</v>
      </c>
      <c r="AI390" s="53">
        <v>0</v>
      </c>
      <c r="AJ390" s="53">
        <v>0</v>
      </c>
      <c r="AK390" s="53">
        <v>0</v>
      </c>
      <c r="AL390" s="53">
        <v>0</v>
      </c>
      <c r="AM390" s="53" t="str">
        <f>I390-J390-K390-L390-M390-N390-O390-P390-Q390-R390-S390-T390-U390-V390-W390-X390-Y390-Z390-AA390-AB390-AC390-AD390-AE390-AF390-AG390+AH390-AI390+AJ390+AK390-AL390</f>
        <v>0</v>
      </c>
      <c r="AN390" s="53"/>
      <c r="AO390" s="27"/>
    </row>
    <row r="391" spans="1:41">
      <c r="A391" s="44">
        <v>363</v>
      </c>
      <c r="B391" s="46" t="s">
        <v>1566</v>
      </c>
      <c r="C391" s="48" t="s">
        <v>1567</v>
      </c>
      <c r="D391" s="51" t="s">
        <v>73</v>
      </c>
      <c r="E391" s="51" t="s">
        <v>1560</v>
      </c>
      <c r="F391" s="54" t="s">
        <v>494</v>
      </c>
      <c r="G391" s="50">
        <v>2</v>
      </c>
      <c r="H391" s="51" t="s">
        <v>1568</v>
      </c>
      <c r="I391" s="53">
        <v>350000</v>
      </c>
      <c r="J391" s="53">
        <v>0</v>
      </c>
      <c r="K391" s="53">
        <v>22000</v>
      </c>
      <c r="L391" s="53">
        <v>0</v>
      </c>
      <c r="M391" s="53">
        <v>0</v>
      </c>
      <c r="N391" s="53">
        <v>0</v>
      </c>
      <c r="O391" s="53">
        <v>0</v>
      </c>
      <c r="P391" s="53">
        <v>0</v>
      </c>
      <c r="Q391" s="53">
        <v>0</v>
      </c>
      <c r="R391" s="53">
        <v>0</v>
      </c>
      <c r="S391" s="53">
        <v>0</v>
      </c>
      <c r="T391" s="53">
        <v>0</v>
      </c>
      <c r="U391" s="53">
        <v>1100</v>
      </c>
      <c r="V391" s="53">
        <v>0</v>
      </c>
      <c r="W391" s="53">
        <v>0</v>
      </c>
      <c r="X391" s="53">
        <v>0</v>
      </c>
      <c r="Y391" s="53">
        <v>0</v>
      </c>
      <c r="Z391" s="53">
        <v>0</v>
      </c>
      <c r="AA391" s="53">
        <v>0</v>
      </c>
      <c r="AB391" s="53">
        <v>0</v>
      </c>
      <c r="AC391" s="53">
        <v>0</v>
      </c>
      <c r="AD391" s="53">
        <v>0</v>
      </c>
      <c r="AE391" s="53">
        <v>0</v>
      </c>
      <c r="AF391" s="53">
        <v>0</v>
      </c>
      <c r="AG391" s="53">
        <v>0</v>
      </c>
      <c r="AH391" s="53">
        <v>0</v>
      </c>
      <c r="AI391" s="53">
        <v>0</v>
      </c>
      <c r="AJ391" s="53">
        <v>0</v>
      </c>
      <c r="AK391" s="53">
        <v>0</v>
      </c>
      <c r="AL391" s="53">
        <v>0</v>
      </c>
      <c r="AM391" s="53" t="str">
        <f>I391-J391-K391-L391-M391-N391-O391-P391-Q391-R391-S391-T391-U391-V391-W391-X391-Y391-Z391-AA391-AB391-AC391-AD391-AE391-AF391-AG391+AH391-AI391+AJ391+AK391-AL391</f>
        <v>0</v>
      </c>
      <c r="AN391" s="53"/>
      <c r="AO391" s="27"/>
    </row>
    <row r="392" spans="1:41">
      <c r="A392" s="44">
        <v>364</v>
      </c>
      <c r="B392" s="46" t="s">
        <v>1569</v>
      </c>
      <c r="C392" s="48" t="s">
        <v>1570</v>
      </c>
      <c r="D392" s="51" t="s">
        <v>73</v>
      </c>
      <c r="E392" s="51" t="s">
        <v>1560</v>
      </c>
      <c r="F392" s="54" t="s">
        <v>1243</v>
      </c>
      <c r="G392" s="50">
        <v>4</v>
      </c>
      <c r="H392" s="51" t="s">
        <v>1571</v>
      </c>
      <c r="I392" s="53">
        <v>422100</v>
      </c>
      <c r="J392" s="53">
        <v>0</v>
      </c>
      <c r="K392" s="53">
        <v>25000</v>
      </c>
      <c r="L392" s="53">
        <v>0</v>
      </c>
      <c r="M392" s="53">
        <v>0</v>
      </c>
      <c r="N392" s="53">
        <v>0</v>
      </c>
      <c r="O392" s="53">
        <v>0</v>
      </c>
      <c r="P392" s="53">
        <v>0</v>
      </c>
      <c r="Q392" s="53">
        <v>0</v>
      </c>
      <c r="R392" s="53">
        <v>0</v>
      </c>
      <c r="S392" s="53">
        <v>0</v>
      </c>
      <c r="T392" s="53">
        <v>0</v>
      </c>
      <c r="U392" s="53">
        <v>1250</v>
      </c>
      <c r="V392" s="53">
        <v>0</v>
      </c>
      <c r="W392" s="53">
        <v>0</v>
      </c>
      <c r="X392" s="53">
        <v>0</v>
      </c>
      <c r="Y392" s="53">
        <v>0</v>
      </c>
      <c r="Z392" s="53">
        <v>0</v>
      </c>
      <c r="AA392" s="53">
        <v>0</v>
      </c>
      <c r="AB392" s="53">
        <v>0</v>
      </c>
      <c r="AC392" s="53">
        <v>0</v>
      </c>
      <c r="AD392" s="53">
        <v>0</v>
      </c>
      <c r="AE392" s="53">
        <v>0</v>
      </c>
      <c r="AF392" s="53">
        <v>0</v>
      </c>
      <c r="AG392" s="53">
        <v>0</v>
      </c>
      <c r="AH392" s="53">
        <v>0</v>
      </c>
      <c r="AI392" s="53">
        <v>0</v>
      </c>
      <c r="AJ392" s="53">
        <v>0</v>
      </c>
      <c r="AK392" s="53">
        <v>0</v>
      </c>
      <c r="AL392" s="53">
        <v>0</v>
      </c>
      <c r="AM392" s="53" t="str">
        <f>I392-J392-K392-L392-M392-N392-O392-P392-Q392-R392-S392-T392-U392-V392-W392-X392-Y392-Z392-AA392-AB392-AC392-AD392-AE392-AF392-AG392+AH392-AI392+AJ392+AK392-AL392</f>
        <v>0</v>
      </c>
      <c r="AN392" s="53"/>
      <c r="AO392" s="27"/>
    </row>
    <row r="393" spans="1:41">
      <c r="A393" s="44">
        <v>365</v>
      </c>
      <c r="B393" s="46" t="s">
        <v>1572</v>
      </c>
      <c r="C393" s="48" t="s">
        <v>1573</v>
      </c>
      <c r="D393" s="51" t="s">
        <v>73</v>
      </c>
      <c r="E393" s="51" t="s">
        <v>1574</v>
      </c>
      <c r="F393" s="54" t="s">
        <v>1575</v>
      </c>
      <c r="G393" s="50">
        <v>5</v>
      </c>
      <c r="H393" s="51" t="s">
        <v>1576</v>
      </c>
      <c r="I393" s="53">
        <v>1590000</v>
      </c>
      <c r="J393" s="53">
        <v>0</v>
      </c>
      <c r="K393" s="53">
        <v>27000</v>
      </c>
      <c r="L393" s="53">
        <v>0</v>
      </c>
      <c r="M393" s="53">
        <v>0</v>
      </c>
      <c r="N393" s="53">
        <v>0</v>
      </c>
      <c r="O393" s="53">
        <v>0</v>
      </c>
      <c r="P393" s="53">
        <v>0</v>
      </c>
      <c r="Q393" s="53">
        <v>0</v>
      </c>
      <c r="R393" s="53">
        <v>0</v>
      </c>
      <c r="S393" s="53">
        <v>0</v>
      </c>
      <c r="T393" s="53">
        <v>0</v>
      </c>
      <c r="U393" s="53">
        <v>1350</v>
      </c>
      <c r="V393" s="53">
        <v>0</v>
      </c>
      <c r="W393" s="53">
        <v>0</v>
      </c>
      <c r="X393" s="53">
        <v>0</v>
      </c>
      <c r="Y393" s="53">
        <v>0</v>
      </c>
      <c r="Z393" s="53">
        <v>0</v>
      </c>
      <c r="AA393" s="53">
        <v>0</v>
      </c>
      <c r="AB393" s="53">
        <v>0</v>
      </c>
      <c r="AC393" s="53">
        <v>0</v>
      </c>
      <c r="AD393" s="53">
        <v>0</v>
      </c>
      <c r="AE393" s="53">
        <v>0</v>
      </c>
      <c r="AF393" s="53">
        <v>0</v>
      </c>
      <c r="AG393" s="53">
        <v>0</v>
      </c>
      <c r="AH393" s="53">
        <v>0</v>
      </c>
      <c r="AI393" s="53">
        <v>0</v>
      </c>
      <c r="AJ393" s="53">
        <v>0</v>
      </c>
      <c r="AK393" s="53">
        <v>0</v>
      </c>
      <c r="AL393" s="53">
        <v>0</v>
      </c>
      <c r="AM393" s="53" t="str">
        <f>I393-J393-K393-L393-M393-N393-O393-P393-Q393-R393-S393-T393-U393-V393-W393-X393-Y393-Z393-AA393-AB393-AC393-AD393-AE393-AF393-AG393+AH393-AI393+AJ393+AK393-AL393</f>
        <v>0</v>
      </c>
      <c r="AN393" s="53"/>
      <c r="AO393" s="27"/>
    </row>
    <row r="394" spans="1:41">
      <c r="A394" s="44">
        <v>366</v>
      </c>
      <c r="B394" s="46" t="s">
        <v>1577</v>
      </c>
      <c r="C394" s="48" t="s">
        <v>1578</v>
      </c>
      <c r="D394" s="51" t="s">
        <v>73</v>
      </c>
      <c r="E394" s="51" t="s">
        <v>1574</v>
      </c>
      <c r="F394" s="54" t="s">
        <v>1579</v>
      </c>
      <c r="G394" s="50">
        <v>2</v>
      </c>
      <c r="H394" s="51" t="s">
        <v>1580</v>
      </c>
      <c r="I394" s="53">
        <v>185000</v>
      </c>
      <c r="J394" s="53">
        <v>0</v>
      </c>
      <c r="K394" s="53">
        <v>22000</v>
      </c>
      <c r="L394" s="53">
        <v>0</v>
      </c>
      <c r="M394" s="53">
        <v>0</v>
      </c>
      <c r="N394" s="53">
        <v>0</v>
      </c>
      <c r="O394" s="53">
        <v>0</v>
      </c>
      <c r="P394" s="53">
        <v>0</v>
      </c>
      <c r="Q394" s="53">
        <v>0</v>
      </c>
      <c r="R394" s="53">
        <v>0</v>
      </c>
      <c r="S394" s="53">
        <v>0</v>
      </c>
      <c r="T394" s="53">
        <v>0</v>
      </c>
      <c r="U394" s="53">
        <v>1100</v>
      </c>
      <c r="V394" s="53">
        <v>0</v>
      </c>
      <c r="W394" s="53">
        <v>0</v>
      </c>
      <c r="X394" s="53">
        <v>0</v>
      </c>
      <c r="Y394" s="53">
        <v>0</v>
      </c>
      <c r="Z394" s="53">
        <v>0</v>
      </c>
      <c r="AA394" s="53">
        <v>0</v>
      </c>
      <c r="AB394" s="53">
        <v>0</v>
      </c>
      <c r="AC394" s="53">
        <v>0</v>
      </c>
      <c r="AD394" s="53">
        <v>0</v>
      </c>
      <c r="AE394" s="53">
        <v>0</v>
      </c>
      <c r="AF394" s="53">
        <v>0</v>
      </c>
      <c r="AG394" s="53">
        <v>0</v>
      </c>
      <c r="AH394" s="53">
        <v>0</v>
      </c>
      <c r="AI394" s="53">
        <v>0</v>
      </c>
      <c r="AJ394" s="53">
        <v>0</v>
      </c>
      <c r="AK394" s="53">
        <v>0</v>
      </c>
      <c r="AL394" s="53">
        <v>0</v>
      </c>
      <c r="AM394" s="53" t="str">
        <f>I394-J394-K394-L394-M394-N394-O394-P394-Q394-R394-S394-T394-U394-V394-W394-X394-Y394-Z394-AA394-AB394-AC394-AD394-AE394-AF394-AG394+AH394-AI394+AJ394+AK394-AL394</f>
        <v>0</v>
      </c>
      <c r="AN394" s="53"/>
      <c r="AO394" s="27"/>
    </row>
    <row r="395" spans="1:41">
      <c r="A395" s="44">
        <v>367</v>
      </c>
      <c r="B395" s="46" t="s">
        <v>1581</v>
      </c>
      <c r="C395" s="48" t="s">
        <v>1582</v>
      </c>
      <c r="D395" s="51" t="s">
        <v>73</v>
      </c>
      <c r="E395" s="51" t="s">
        <v>1574</v>
      </c>
      <c r="F395" s="54" t="s">
        <v>1338</v>
      </c>
      <c r="G395" s="50">
        <v>5</v>
      </c>
      <c r="H395" s="51" t="s">
        <v>1583</v>
      </c>
      <c r="I395" s="53">
        <v>1440000</v>
      </c>
      <c r="J395" s="53">
        <v>0</v>
      </c>
      <c r="K395" s="53">
        <v>27000</v>
      </c>
      <c r="L395" s="53">
        <v>0</v>
      </c>
      <c r="M395" s="53">
        <v>0</v>
      </c>
      <c r="N395" s="53">
        <v>0</v>
      </c>
      <c r="O395" s="53">
        <v>0</v>
      </c>
      <c r="P395" s="53">
        <v>0</v>
      </c>
      <c r="Q395" s="53">
        <v>0</v>
      </c>
      <c r="R395" s="53">
        <v>0</v>
      </c>
      <c r="S395" s="53">
        <v>0</v>
      </c>
      <c r="T395" s="53">
        <v>0</v>
      </c>
      <c r="U395" s="53">
        <v>1350</v>
      </c>
      <c r="V395" s="53">
        <v>0</v>
      </c>
      <c r="W395" s="53">
        <v>0</v>
      </c>
      <c r="X395" s="53">
        <v>0</v>
      </c>
      <c r="Y395" s="53">
        <v>0</v>
      </c>
      <c r="Z395" s="53">
        <v>0</v>
      </c>
      <c r="AA395" s="53">
        <v>0</v>
      </c>
      <c r="AB395" s="53">
        <v>0</v>
      </c>
      <c r="AC395" s="53">
        <v>0</v>
      </c>
      <c r="AD395" s="53">
        <v>0</v>
      </c>
      <c r="AE395" s="53">
        <v>0</v>
      </c>
      <c r="AF395" s="53">
        <v>0</v>
      </c>
      <c r="AG395" s="53">
        <v>0</v>
      </c>
      <c r="AH395" s="53">
        <v>0</v>
      </c>
      <c r="AI395" s="53">
        <v>0</v>
      </c>
      <c r="AJ395" s="53">
        <v>0</v>
      </c>
      <c r="AK395" s="53">
        <v>0</v>
      </c>
      <c r="AL395" s="53">
        <v>0</v>
      </c>
      <c r="AM395" s="53" t="str">
        <f>I395-J395-K395-L395-M395-N395-O395-P395-Q395-R395-S395-T395-U395-V395-W395-X395-Y395-Z395-AA395-AB395-AC395-AD395-AE395-AF395-AG395+AH395-AI395+AJ395+AK395-AL395</f>
        <v>0</v>
      </c>
      <c r="AN395" s="53"/>
      <c r="AO395" s="27"/>
    </row>
    <row r="396" spans="1:41">
      <c r="A396" s="44">
        <v>368</v>
      </c>
      <c r="B396" s="46" t="s">
        <v>1584</v>
      </c>
      <c r="C396" s="48" t="s">
        <v>1585</v>
      </c>
      <c r="D396" s="51" t="s">
        <v>73</v>
      </c>
      <c r="E396" s="51" t="s">
        <v>1574</v>
      </c>
      <c r="F396" s="54" t="s">
        <v>1080</v>
      </c>
      <c r="G396" s="50">
        <v>5</v>
      </c>
      <c r="H396" s="51" t="s">
        <v>1586</v>
      </c>
      <c r="I396" s="53">
        <v>891000</v>
      </c>
      <c r="J396" s="53">
        <v>0</v>
      </c>
      <c r="K396" s="53">
        <v>27000</v>
      </c>
      <c r="L396" s="53">
        <v>0</v>
      </c>
      <c r="M396" s="53">
        <v>0</v>
      </c>
      <c r="N396" s="53">
        <v>0</v>
      </c>
      <c r="O396" s="53">
        <v>0</v>
      </c>
      <c r="P396" s="53">
        <v>0</v>
      </c>
      <c r="Q396" s="53">
        <v>0</v>
      </c>
      <c r="R396" s="53">
        <v>0</v>
      </c>
      <c r="S396" s="53">
        <v>0</v>
      </c>
      <c r="T396" s="53">
        <v>0</v>
      </c>
      <c r="U396" s="53">
        <v>1350</v>
      </c>
      <c r="V396" s="53">
        <v>0</v>
      </c>
      <c r="W396" s="53">
        <v>0</v>
      </c>
      <c r="X396" s="53">
        <v>0</v>
      </c>
      <c r="Y396" s="53">
        <v>0</v>
      </c>
      <c r="Z396" s="53">
        <v>0</v>
      </c>
      <c r="AA396" s="53">
        <v>0</v>
      </c>
      <c r="AB396" s="53">
        <v>0</v>
      </c>
      <c r="AC396" s="53">
        <v>0</v>
      </c>
      <c r="AD396" s="53">
        <v>0</v>
      </c>
      <c r="AE396" s="53">
        <v>0</v>
      </c>
      <c r="AF396" s="53">
        <v>0</v>
      </c>
      <c r="AG396" s="53">
        <v>0</v>
      </c>
      <c r="AH396" s="53">
        <v>0</v>
      </c>
      <c r="AI396" s="53">
        <v>0</v>
      </c>
      <c r="AJ396" s="53">
        <v>0</v>
      </c>
      <c r="AK396" s="53">
        <v>0</v>
      </c>
      <c r="AL396" s="53">
        <v>0</v>
      </c>
      <c r="AM396" s="53" t="str">
        <f>I396-J396-K396-L396-M396-N396-O396-P396-Q396-R396-S396-T396-U396-V396-W396-X396-Y396-Z396-AA396-AB396-AC396-AD396-AE396-AF396-AG396+AH396-AI396+AJ396+AK396-AL396</f>
        <v>0</v>
      </c>
      <c r="AN396" s="53"/>
      <c r="AO396" s="27"/>
    </row>
    <row r="397" spans="1:41">
      <c r="A397" s="44">
        <v>369</v>
      </c>
      <c r="B397" s="46" t="s">
        <v>1587</v>
      </c>
      <c r="C397" s="48" t="s">
        <v>1588</v>
      </c>
      <c r="D397" s="51" t="s">
        <v>73</v>
      </c>
      <c r="E397" s="51" t="s">
        <v>1589</v>
      </c>
      <c r="F397" s="54" t="s">
        <v>1590</v>
      </c>
      <c r="G397" s="50">
        <v>5.8</v>
      </c>
      <c r="H397" s="51" t="s">
        <v>1591</v>
      </c>
      <c r="I397" s="53">
        <v>539100</v>
      </c>
      <c r="J397" s="53">
        <v>0</v>
      </c>
      <c r="K397" s="53">
        <v>31000</v>
      </c>
      <c r="L397" s="53">
        <v>0</v>
      </c>
      <c r="M397" s="53">
        <v>0</v>
      </c>
      <c r="N397" s="53">
        <v>0</v>
      </c>
      <c r="O397" s="53">
        <v>0</v>
      </c>
      <c r="P397" s="53">
        <v>0</v>
      </c>
      <c r="Q397" s="53">
        <v>0</v>
      </c>
      <c r="R397" s="53">
        <v>0</v>
      </c>
      <c r="S397" s="53">
        <v>0</v>
      </c>
      <c r="T397" s="53">
        <v>0</v>
      </c>
      <c r="U397" s="53">
        <v>1550</v>
      </c>
      <c r="V397" s="53">
        <v>0</v>
      </c>
      <c r="W397" s="53">
        <v>0</v>
      </c>
      <c r="X397" s="53">
        <v>0</v>
      </c>
      <c r="Y397" s="53">
        <v>0</v>
      </c>
      <c r="Z397" s="53">
        <v>0</v>
      </c>
      <c r="AA397" s="53">
        <v>0</v>
      </c>
      <c r="AB397" s="53">
        <v>0</v>
      </c>
      <c r="AC397" s="53">
        <v>0</v>
      </c>
      <c r="AD397" s="53">
        <v>0</v>
      </c>
      <c r="AE397" s="53">
        <v>0</v>
      </c>
      <c r="AF397" s="53">
        <v>0</v>
      </c>
      <c r="AG397" s="53">
        <v>0</v>
      </c>
      <c r="AH397" s="53">
        <v>0</v>
      </c>
      <c r="AI397" s="53">
        <v>0</v>
      </c>
      <c r="AJ397" s="53">
        <v>0</v>
      </c>
      <c r="AK397" s="53">
        <v>0</v>
      </c>
      <c r="AL397" s="53">
        <v>0</v>
      </c>
      <c r="AM397" s="53" t="str">
        <f>I397-J397-K397-L397-M397-N397-O397-P397-Q397-R397-S397-T397-U397-V397-W397-X397-Y397-Z397-AA397-AB397-AC397-AD397-AE397-AF397-AG397+AH397-AI397+AJ397+AK397-AL397</f>
        <v>0</v>
      </c>
      <c r="AN397" s="53"/>
      <c r="AO397" s="27"/>
    </row>
    <row r="398" spans="1:41">
      <c r="A398" s="44">
        <v>370</v>
      </c>
      <c r="B398" s="46" t="s">
        <v>1592</v>
      </c>
      <c r="C398" s="48" t="s">
        <v>1593</v>
      </c>
      <c r="D398" s="51" t="s">
        <v>73</v>
      </c>
      <c r="E398" s="51" t="s">
        <v>1589</v>
      </c>
      <c r="F398" s="54" t="s">
        <v>1594</v>
      </c>
      <c r="G398" s="50">
        <v>5.8</v>
      </c>
      <c r="H398" s="51" t="s">
        <v>1595</v>
      </c>
      <c r="I398" s="53">
        <v>599000</v>
      </c>
      <c r="J398" s="53">
        <v>0</v>
      </c>
      <c r="K398" s="53">
        <v>31000</v>
      </c>
      <c r="L398" s="53">
        <v>0</v>
      </c>
      <c r="M398" s="53">
        <v>0</v>
      </c>
      <c r="N398" s="53">
        <v>0</v>
      </c>
      <c r="O398" s="53">
        <v>0</v>
      </c>
      <c r="P398" s="53">
        <v>0</v>
      </c>
      <c r="Q398" s="53">
        <v>0</v>
      </c>
      <c r="R398" s="53">
        <v>0</v>
      </c>
      <c r="S398" s="53">
        <v>0</v>
      </c>
      <c r="T398" s="53">
        <v>0</v>
      </c>
      <c r="U398" s="53">
        <v>1550</v>
      </c>
      <c r="V398" s="53">
        <v>0</v>
      </c>
      <c r="W398" s="53">
        <v>0</v>
      </c>
      <c r="X398" s="53">
        <v>0</v>
      </c>
      <c r="Y398" s="53">
        <v>0</v>
      </c>
      <c r="Z398" s="53">
        <v>0</v>
      </c>
      <c r="AA398" s="53">
        <v>0</v>
      </c>
      <c r="AB398" s="53">
        <v>0</v>
      </c>
      <c r="AC398" s="53">
        <v>0</v>
      </c>
      <c r="AD398" s="53">
        <v>0</v>
      </c>
      <c r="AE398" s="53">
        <v>0</v>
      </c>
      <c r="AF398" s="53">
        <v>0</v>
      </c>
      <c r="AG398" s="53">
        <v>0</v>
      </c>
      <c r="AH398" s="53">
        <v>0</v>
      </c>
      <c r="AI398" s="53">
        <v>0</v>
      </c>
      <c r="AJ398" s="53">
        <v>0</v>
      </c>
      <c r="AK398" s="53">
        <v>0</v>
      </c>
      <c r="AL398" s="53">
        <v>0</v>
      </c>
      <c r="AM398" s="53" t="str">
        <f>I398-J398-K398-L398-M398-N398-O398-P398-Q398-R398-S398-T398-U398-V398-W398-X398-Y398-Z398-AA398-AB398-AC398-AD398-AE398-AF398-AG398+AH398-AI398+AJ398+AK398-AL398</f>
        <v>0</v>
      </c>
      <c r="AN398" s="53"/>
      <c r="AO398" s="27"/>
    </row>
    <row r="399" spans="1:41">
      <c r="A399" s="44">
        <v>371</v>
      </c>
      <c r="B399" s="46" t="s">
        <v>1596</v>
      </c>
      <c r="C399" s="48" t="s">
        <v>1597</v>
      </c>
      <c r="D399" s="51" t="s">
        <v>73</v>
      </c>
      <c r="E399" s="51" t="s">
        <v>1598</v>
      </c>
      <c r="F399" s="54" t="s">
        <v>1599</v>
      </c>
      <c r="G399" s="50">
        <v>2.6</v>
      </c>
      <c r="H399" s="51" t="s">
        <v>1600</v>
      </c>
      <c r="I399" s="53">
        <v>0</v>
      </c>
      <c r="J399" s="53">
        <v>0</v>
      </c>
      <c r="K399" s="53">
        <v>22000</v>
      </c>
      <c r="L399" s="53">
        <v>0</v>
      </c>
      <c r="M399" s="53">
        <v>0</v>
      </c>
      <c r="N399" s="53">
        <v>0</v>
      </c>
      <c r="O399" s="53">
        <v>0</v>
      </c>
      <c r="P399" s="53">
        <v>0</v>
      </c>
      <c r="Q399" s="53">
        <v>0</v>
      </c>
      <c r="R399" s="53">
        <v>0</v>
      </c>
      <c r="S399" s="53">
        <v>0</v>
      </c>
      <c r="T399" s="53">
        <v>0</v>
      </c>
      <c r="U399" s="53">
        <v>1100</v>
      </c>
      <c r="V399" s="53">
        <v>0</v>
      </c>
      <c r="W399" s="53">
        <v>0</v>
      </c>
      <c r="X399" s="53">
        <v>0</v>
      </c>
      <c r="Y399" s="53">
        <v>0</v>
      </c>
      <c r="Z399" s="53">
        <v>0</v>
      </c>
      <c r="AA399" s="53">
        <v>0</v>
      </c>
      <c r="AB399" s="53">
        <v>0</v>
      </c>
      <c r="AC399" s="53">
        <v>0</v>
      </c>
      <c r="AD399" s="53">
        <v>0</v>
      </c>
      <c r="AE399" s="53">
        <v>0</v>
      </c>
      <c r="AF399" s="53">
        <v>0</v>
      </c>
      <c r="AG399" s="53">
        <v>0</v>
      </c>
      <c r="AH399" s="53">
        <v>0</v>
      </c>
      <c r="AI399" s="53">
        <v>0</v>
      </c>
      <c r="AJ399" s="53">
        <v>0</v>
      </c>
      <c r="AK399" s="53">
        <v>0</v>
      </c>
      <c r="AL399" s="53">
        <v>0</v>
      </c>
      <c r="AM399" s="53" t="str">
        <f>I399-J399-K399-L399-M399-N399-O399-P399-Q399-R399-S399-T399-U399-V399-W399-X399-Y399-Z399-AA399-AB399-AC399-AD399-AE399-AF399-AG399+AH399-AI399+AJ399+AK399-AL399</f>
        <v>0</v>
      </c>
      <c r="AN399" s="53"/>
      <c r="AO399" s="27"/>
    </row>
    <row r="400" spans="1:41">
      <c r="A400" s="44">
        <v>372</v>
      </c>
      <c r="B400" s="46" t="s">
        <v>1601</v>
      </c>
      <c r="C400" s="48" t="s">
        <v>1602</v>
      </c>
      <c r="D400" s="51" t="s">
        <v>62</v>
      </c>
      <c r="E400" s="51" t="s">
        <v>1603</v>
      </c>
      <c r="F400" s="54" t="s">
        <v>1604</v>
      </c>
      <c r="G400" s="50">
        <v>3</v>
      </c>
      <c r="H400" s="51" t="s">
        <v>1605</v>
      </c>
      <c r="I400" s="53">
        <v>0</v>
      </c>
      <c r="J400" s="53">
        <v>0</v>
      </c>
      <c r="K400" s="53">
        <v>23000</v>
      </c>
      <c r="L400" s="53">
        <v>0</v>
      </c>
      <c r="M400" s="53">
        <v>0</v>
      </c>
      <c r="N400" s="53">
        <v>0</v>
      </c>
      <c r="O400" s="53">
        <v>0</v>
      </c>
      <c r="P400" s="53">
        <v>0</v>
      </c>
      <c r="Q400" s="53">
        <v>0</v>
      </c>
      <c r="R400" s="53">
        <v>0</v>
      </c>
      <c r="S400" s="53">
        <v>0</v>
      </c>
      <c r="T400" s="53">
        <v>0</v>
      </c>
      <c r="U400" s="53">
        <v>1150</v>
      </c>
      <c r="V400" s="53">
        <v>0</v>
      </c>
      <c r="W400" s="53">
        <v>0</v>
      </c>
      <c r="X400" s="53">
        <v>0</v>
      </c>
      <c r="Y400" s="53">
        <v>5250</v>
      </c>
      <c r="Z400" s="53">
        <v>0</v>
      </c>
      <c r="AA400" s="53">
        <v>0</v>
      </c>
      <c r="AB400" s="53">
        <v>0</v>
      </c>
      <c r="AC400" s="53">
        <v>0</v>
      </c>
      <c r="AD400" s="53">
        <v>0</v>
      </c>
      <c r="AE400" s="53">
        <v>0</v>
      </c>
      <c r="AF400" s="53">
        <v>0</v>
      </c>
      <c r="AG400" s="53">
        <v>0</v>
      </c>
      <c r="AH400" s="53">
        <v>0</v>
      </c>
      <c r="AI400" s="53">
        <v>0</v>
      </c>
      <c r="AJ400" s="53">
        <v>0</v>
      </c>
      <c r="AK400" s="53">
        <v>0</v>
      </c>
      <c r="AL400" s="53">
        <v>0</v>
      </c>
      <c r="AM400" s="53" t="str">
        <f>I400-J400-K400-L400-M400-N400-O400-P400-Q400-R400-S400-T400-U400-V400-W400-X400-Y400-Z400-AA400-AB400-AC400-AD400-AE400-AF400-AG400+AH400-AI400+AJ400+AK400-AL400</f>
        <v>0</v>
      </c>
      <c r="AN400" s="53"/>
      <c r="AO400" s="27"/>
    </row>
    <row r="401" spans="1:41">
      <c r="A401" s="44">
        <v>373</v>
      </c>
      <c r="B401" s="46" t="s">
        <v>1606</v>
      </c>
      <c r="C401" s="48" t="s">
        <v>1607</v>
      </c>
      <c r="D401" s="51" t="s">
        <v>73</v>
      </c>
      <c r="E401" s="51" t="s">
        <v>1603</v>
      </c>
      <c r="F401" s="54" t="s">
        <v>1608</v>
      </c>
      <c r="G401" s="50">
        <v>3</v>
      </c>
      <c r="H401" s="51" t="s">
        <v>1609</v>
      </c>
      <c r="I401" s="53">
        <v>717000</v>
      </c>
      <c r="J401" s="53">
        <v>0</v>
      </c>
      <c r="K401" s="53">
        <v>23000</v>
      </c>
      <c r="L401" s="53">
        <v>0</v>
      </c>
      <c r="M401" s="53">
        <v>0</v>
      </c>
      <c r="N401" s="53">
        <v>0</v>
      </c>
      <c r="O401" s="53">
        <v>0</v>
      </c>
      <c r="P401" s="53">
        <v>0</v>
      </c>
      <c r="Q401" s="53">
        <v>0</v>
      </c>
      <c r="R401" s="53">
        <v>0</v>
      </c>
      <c r="S401" s="53">
        <v>0</v>
      </c>
      <c r="T401" s="53">
        <v>0</v>
      </c>
      <c r="U401" s="53">
        <v>1150</v>
      </c>
      <c r="V401" s="53">
        <v>0</v>
      </c>
      <c r="W401" s="53">
        <v>0</v>
      </c>
      <c r="X401" s="53">
        <v>0</v>
      </c>
      <c r="Y401" s="53">
        <v>0</v>
      </c>
      <c r="Z401" s="53">
        <v>0</v>
      </c>
      <c r="AA401" s="53">
        <v>0</v>
      </c>
      <c r="AB401" s="53">
        <v>0</v>
      </c>
      <c r="AC401" s="53">
        <v>0</v>
      </c>
      <c r="AD401" s="53">
        <v>0</v>
      </c>
      <c r="AE401" s="53">
        <v>0</v>
      </c>
      <c r="AF401" s="53">
        <v>0</v>
      </c>
      <c r="AG401" s="53">
        <v>0</v>
      </c>
      <c r="AH401" s="53">
        <v>0</v>
      </c>
      <c r="AI401" s="53">
        <v>0</v>
      </c>
      <c r="AJ401" s="53">
        <v>0</v>
      </c>
      <c r="AK401" s="53">
        <v>0</v>
      </c>
      <c r="AL401" s="53">
        <v>0</v>
      </c>
      <c r="AM401" s="53" t="str">
        <f>I401-J401-K401-L401-M401-N401-O401-P401-Q401-R401-S401-T401-U401-V401-W401-X401-Y401-Z401-AA401-AB401-AC401-AD401-AE401-AF401-AG401+AH401-AI401+AJ401+AK401-AL401</f>
        <v>0</v>
      </c>
      <c r="AN401" s="53"/>
      <c r="AO401" s="27"/>
    </row>
    <row r="402" spans="1:41">
      <c r="A402" s="44">
        <v>374</v>
      </c>
      <c r="B402" s="46" t="s">
        <v>1610</v>
      </c>
      <c r="C402" s="48" t="s">
        <v>1611</v>
      </c>
      <c r="D402" s="51" t="s">
        <v>73</v>
      </c>
      <c r="E402" s="51" t="s">
        <v>1603</v>
      </c>
      <c r="F402" s="54" t="s">
        <v>1612</v>
      </c>
      <c r="G402" s="50">
        <v>7</v>
      </c>
      <c r="H402" s="51" t="s">
        <v>1613</v>
      </c>
      <c r="I402" s="53">
        <v>731600</v>
      </c>
      <c r="J402" s="53">
        <v>0</v>
      </c>
      <c r="K402" s="53">
        <v>25000</v>
      </c>
      <c r="L402" s="53">
        <v>0</v>
      </c>
      <c r="M402" s="53">
        <v>0</v>
      </c>
      <c r="N402" s="53">
        <v>0</v>
      </c>
      <c r="O402" s="53">
        <v>0</v>
      </c>
      <c r="P402" s="53">
        <v>0</v>
      </c>
      <c r="Q402" s="53">
        <v>0</v>
      </c>
      <c r="R402" s="53">
        <v>0</v>
      </c>
      <c r="S402" s="53">
        <v>0</v>
      </c>
      <c r="T402" s="53">
        <v>0</v>
      </c>
      <c r="U402" s="53">
        <v>1250</v>
      </c>
      <c r="V402" s="53">
        <v>0</v>
      </c>
      <c r="W402" s="53">
        <v>0</v>
      </c>
      <c r="X402" s="53">
        <v>0</v>
      </c>
      <c r="Y402" s="53">
        <v>0</v>
      </c>
      <c r="Z402" s="53">
        <v>0</v>
      </c>
      <c r="AA402" s="53">
        <v>0</v>
      </c>
      <c r="AB402" s="53">
        <v>0</v>
      </c>
      <c r="AC402" s="53">
        <v>0</v>
      </c>
      <c r="AD402" s="53">
        <v>0</v>
      </c>
      <c r="AE402" s="53">
        <v>0</v>
      </c>
      <c r="AF402" s="53">
        <v>0</v>
      </c>
      <c r="AG402" s="53">
        <v>0</v>
      </c>
      <c r="AH402" s="53">
        <v>0</v>
      </c>
      <c r="AI402" s="53">
        <v>0</v>
      </c>
      <c r="AJ402" s="53">
        <v>0</v>
      </c>
      <c r="AK402" s="53">
        <v>0</v>
      </c>
      <c r="AL402" s="53">
        <v>0</v>
      </c>
      <c r="AM402" s="53" t="str">
        <f>I402-J402-K402-L402-M402-N402-O402-P402-Q402-R402-S402-T402-U402-V402-W402-X402-Y402-Z402-AA402-AB402-AC402-AD402-AE402-AF402-AG402+AH402-AI402+AJ402+AK402-AL402</f>
        <v>0</v>
      </c>
      <c r="AN402" s="53"/>
      <c r="AO402" s="27"/>
    </row>
    <row r="403" spans="1:41">
      <c r="A403" s="44">
        <v>375</v>
      </c>
      <c r="B403" s="46" t="s">
        <v>1614</v>
      </c>
      <c r="C403" s="48" t="s">
        <v>1615</v>
      </c>
      <c r="D403" s="51" t="s">
        <v>62</v>
      </c>
      <c r="E403" s="51" t="s">
        <v>1603</v>
      </c>
      <c r="F403" s="54" t="s">
        <v>1616</v>
      </c>
      <c r="G403" s="50">
        <v>2</v>
      </c>
      <c r="H403" s="51" t="s">
        <v>1617</v>
      </c>
      <c r="I403" s="53">
        <v>0</v>
      </c>
      <c r="J403" s="53">
        <v>0</v>
      </c>
      <c r="K403" s="53">
        <v>23000</v>
      </c>
      <c r="L403" s="53">
        <v>0</v>
      </c>
      <c r="M403" s="53">
        <v>0</v>
      </c>
      <c r="N403" s="53">
        <v>0</v>
      </c>
      <c r="O403" s="53">
        <v>0</v>
      </c>
      <c r="P403" s="53">
        <v>0</v>
      </c>
      <c r="Q403" s="53">
        <v>0</v>
      </c>
      <c r="R403" s="53">
        <v>0</v>
      </c>
      <c r="S403" s="53">
        <v>0</v>
      </c>
      <c r="T403" s="53">
        <v>0</v>
      </c>
      <c r="U403" s="53">
        <v>1150</v>
      </c>
      <c r="V403" s="53">
        <v>0</v>
      </c>
      <c r="W403" s="53">
        <v>0</v>
      </c>
      <c r="X403" s="53">
        <v>0</v>
      </c>
      <c r="Y403" s="53">
        <v>5250</v>
      </c>
      <c r="Z403" s="53">
        <v>0</v>
      </c>
      <c r="AA403" s="53">
        <v>0</v>
      </c>
      <c r="AB403" s="53">
        <v>0</v>
      </c>
      <c r="AC403" s="53">
        <v>0</v>
      </c>
      <c r="AD403" s="53">
        <v>0</v>
      </c>
      <c r="AE403" s="53">
        <v>0</v>
      </c>
      <c r="AF403" s="53">
        <v>0</v>
      </c>
      <c r="AG403" s="53">
        <v>0</v>
      </c>
      <c r="AH403" s="53">
        <v>0</v>
      </c>
      <c r="AI403" s="53">
        <v>0</v>
      </c>
      <c r="AJ403" s="53">
        <v>0</v>
      </c>
      <c r="AK403" s="53">
        <v>0</v>
      </c>
      <c r="AL403" s="53">
        <v>0</v>
      </c>
      <c r="AM403" s="53" t="str">
        <f>I403-J403-K403-L403-M403-N403-O403-P403-Q403-R403-S403-T403-U403-V403-W403-X403-Y403-Z403-AA403-AB403-AC403-AD403-AE403-AF403-AG403+AH403-AI403+AJ403+AK403-AL403</f>
        <v>0</v>
      </c>
      <c r="AN403" s="53"/>
      <c r="AO403" s="27"/>
    </row>
    <row r="404" spans="1:41">
      <c r="A404" s="44">
        <v>376</v>
      </c>
      <c r="B404" s="46" t="s">
        <v>1618</v>
      </c>
      <c r="C404" s="48" t="s">
        <v>1619</v>
      </c>
      <c r="D404" s="51" t="s">
        <v>73</v>
      </c>
      <c r="E404" s="51" t="s">
        <v>1620</v>
      </c>
      <c r="F404" s="54" t="s">
        <v>1621</v>
      </c>
      <c r="G404" s="50">
        <v>5</v>
      </c>
      <c r="H404" s="51" t="s">
        <v>1622</v>
      </c>
      <c r="I404" s="53">
        <v>926000</v>
      </c>
      <c r="J404" s="53">
        <v>0</v>
      </c>
      <c r="K404" s="53">
        <v>23000</v>
      </c>
      <c r="L404" s="53">
        <v>0</v>
      </c>
      <c r="M404" s="53">
        <v>0</v>
      </c>
      <c r="N404" s="53">
        <v>0</v>
      </c>
      <c r="O404" s="53">
        <v>0</v>
      </c>
      <c r="P404" s="53">
        <v>0</v>
      </c>
      <c r="Q404" s="53">
        <v>0</v>
      </c>
      <c r="R404" s="53">
        <v>0</v>
      </c>
      <c r="S404" s="53">
        <v>0</v>
      </c>
      <c r="T404" s="53">
        <v>0</v>
      </c>
      <c r="U404" s="53">
        <v>1150</v>
      </c>
      <c r="V404" s="53">
        <v>0</v>
      </c>
      <c r="W404" s="53">
        <v>0</v>
      </c>
      <c r="X404" s="53">
        <v>0</v>
      </c>
      <c r="Y404" s="53">
        <v>0</v>
      </c>
      <c r="Z404" s="53">
        <v>0</v>
      </c>
      <c r="AA404" s="53">
        <v>0</v>
      </c>
      <c r="AB404" s="53">
        <v>0</v>
      </c>
      <c r="AC404" s="53">
        <v>0</v>
      </c>
      <c r="AD404" s="53">
        <v>0</v>
      </c>
      <c r="AE404" s="53">
        <v>0</v>
      </c>
      <c r="AF404" s="53">
        <v>0</v>
      </c>
      <c r="AG404" s="53">
        <v>0</v>
      </c>
      <c r="AH404" s="53">
        <v>0</v>
      </c>
      <c r="AI404" s="53">
        <v>0</v>
      </c>
      <c r="AJ404" s="53">
        <v>0</v>
      </c>
      <c r="AK404" s="53">
        <v>0</v>
      </c>
      <c r="AL404" s="53">
        <v>0</v>
      </c>
      <c r="AM404" s="53" t="str">
        <f>I404-J404-K404-L404-M404-N404-O404-P404-Q404-R404-S404-T404-U404-V404-W404-X404-Y404-Z404-AA404-AB404-AC404-AD404-AE404-AF404-AG404+AH404-AI404+AJ404+AK404-AL404</f>
        <v>0</v>
      </c>
      <c r="AN404" s="53"/>
      <c r="AO404" s="27"/>
    </row>
    <row r="405" spans="1:41">
      <c r="A405" s="44">
        <v>377</v>
      </c>
      <c r="B405" s="46" t="s">
        <v>1623</v>
      </c>
      <c r="C405" s="48" t="s">
        <v>1624</v>
      </c>
      <c r="D405" s="51" t="s">
        <v>73</v>
      </c>
      <c r="E405" s="51" t="s">
        <v>1625</v>
      </c>
      <c r="F405" s="54" t="s">
        <v>1626</v>
      </c>
      <c r="G405" s="50">
        <v>9.3</v>
      </c>
      <c r="H405" s="51" t="s">
        <v>1627</v>
      </c>
      <c r="I405" s="53">
        <v>1305000</v>
      </c>
      <c r="J405" s="53">
        <v>0</v>
      </c>
      <c r="K405" s="53">
        <v>47500</v>
      </c>
      <c r="L405" s="53">
        <v>0</v>
      </c>
      <c r="M405" s="53">
        <v>0</v>
      </c>
      <c r="N405" s="53">
        <v>0</v>
      </c>
      <c r="O405" s="53">
        <v>0</v>
      </c>
      <c r="P405" s="53">
        <v>0</v>
      </c>
      <c r="Q405" s="53">
        <v>0</v>
      </c>
      <c r="R405" s="53">
        <v>0</v>
      </c>
      <c r="S405" s="53">
        <v>0</v>
      </c>
      <c r="T405" s="53">
        <v>0</v>
      </c>
      <c r="U405" s="53">
        <v>2375</v>
      </c>
      <c r="V405" s="53">
        <v>0</v>
      </c>
      <c r="W405" s="53">
        <v>0</v>
      </c>
      <c r="X405" s="53">
        <v>0</v>
      </c>
      <c r="Y405" s="53">
        <v>0</v>
      </c>
      <c r="Z405" s="53">
        <v>0</v>
      </c>
      <c r="AA405" s="53">
        <v>0</v>
      </c>
      <c r="AB405" s="53">
        <v>0</v>
      </c>
      <c r="AC405" s="53">
        <v>0</v>
      </c>
      <c r="AD405" s="53">
        <v>0</v>
      </c>
      <c r="AE405" s="53">
        <v>0</v>
      </c>
      <c r="AF405" s="53">
        <v>0</v>
      </c>
      <c r="AG405" s="53">
        <v>0</v>
      </c>
      <c r="AH405" s="53">
        <v>0</v>
      </c>
      <c r="AI405" s="53">
        <v>0</v>
      </c>
      <c r="AJ405" s="53">
        <v>0</v>
      </c>
      <c r="AK405" s="53">
        <v>0</v>
      </c>
      <c r="AL405" s="53">
        <v>0</v>
      </c>
      <c r="AM405" s="53" t="str">
        <f>I405-J405-K405-L405-M405-N405-O405-P405-Q405-R405-S405-T405-U405-V405-W405-X405-Y405-Z405-AA405-AB405-AC405-AD405-AE405-AF405-AG405+AH405-AI405+AJ405+AK405-AL405</f>
        <v>0</v>
      </c>
      <c r="AN405" s="53"/>
      <c r="AO405" s="27"/>
    </row>
    <row r="406" spans="1:41">
      <c r="A406" s="44">
        <v>378</v>
      </c>
      <c r="B406" s="46" t="s">
        <v>1628</v>
      </c>
      <c r="C406" s="48" t="s">
        <v>1629</v>
      </c>
      <c r="D406" s="51" t="s">
        <v>73</v>
      </c>
      <c r="E406" s="51" t="s">
        <v>1625</v>
      </c>
      <c r="F406" s="54" t="s">
        <v>1630</v>
      </c>
      <c r="G406" s="50">
        <v>9.8</v>
      </c>
      <c r="H406" s="51" t="s">
        <v>1631</v>
      </c>
      <c r="I406" s="53">
        <v>926000</v>
      </c>
      <c r="J406" s="53">
        <v>0</v>
      </c>
      <c r="K406" s="53">
        <v>40000</v>
      </c>
      <c r="L406" s="53">
        <v>0</v>
      </c>
      <c r="M406" s="53">
        <v>0</v>
      </c>
      <c r="N406" s="53">
        <v>0</v>
      </c>
      <c r="O406" s="53">
        <v>0</v>
      </c>
      <c r="P406" s="53">
        <v>0</v>
      </c>
      <c r="Q406" s="53">
        <v>0</v>
      </c>
      <c r="R406" s="53">
        <v>0</v>
      </c>
      <c r="S406" s="53">
        <v>0</v>
      </c>
      <c r="T406" s="53">
        <v>0</v>
      </c>
      <c r="U406" s="53">
        <v>2000</v>
      </c>
      <c r="V406" s="53">
        <v>0</v>
      </c>
      <c r="W406" s="53">
        <v>0</v>
      </c>
      <c r="X406" s="53">
        <v>0</v>
      </c>
      <c r="Y406" s="53">
        <v>0</v>
      </c>
      <c r="Z406" s="53">
        <v>0</v>
      </c>
      <c r="AA406" s="53">
        <v>0</v>
      </c>
      <c r="AB406" s="53">
        <v>0</v>
      </c>
      <c r="AC406" s="53">
        <v>0</v>
      </c>
      <c r="AD406" s="53">
        <v>0</v>
      </c>
      <c r="AE406" s="53">
        <v>0</v>
      </c>
      <c r="AF406" s="53">
        <v>0</v>
      </c>
      <c r="AG406" s="53">
        <v>0</v>
      </c>
      <c r="AH406" s="53">
        <v>0</v>
      </c>
      <c r="AI406" s="53">
        <v>0</v>
      </c>
      <c r="AJ406" s="53">
        <v>0</v>
      </c>
      <c r="AK406" s="53">
        <v>0</v>
      </c>
      <c r="AL406" s="53">
        <v>0</v>
      </c>
      <c r="AM406" s="53" t="str">
        <f>I406-J406-K406-L406-M406-N406-O406-P406-Q406-R406-S406-T406-U406-V406-W406-X406-Y406-Z406-AA406-AB406-AC406-AD406-AE406-AF406-AG406+AH406-AI406+AJ406+AK406-AL406</f>
        <v>0</v>
      </c>
      <c r="AN406" s="53"/>
      <c r="AO406" s="27"/>
    </row>
    <row r="407" spans="1:41">
      <c r="A407" s="44">
        <v>379</v>
      </c>
      <c r="B407" s="46" t="s">
        <v>1632</v>
      </c>
      <c r="C407" s="48" t="s">
        <v>1633</v>
      </c>
      <c r="D407" s="51" t="s">
        <v>73</v>
      </c>
      <c r="E407" s="51" t="s">
        <v>1634</v>
      </c>
      <c r="F407" s="54" t="s">
        <v>1635</v>
      </c>
      <c r="G407" s="50">
        <v>2</v>
      </c>
      <c r="H407" s="51" t="s">
        <v>1636</v>
      </c>
      <c r="I407" s="53">
        <v>30000</v>
      </c>
      <c r="J407" s="53">
        <v>0</v>
      </c>
      <c r="K407" s="53">
        <v>22000</v>
      </c>
      <c r="L407" s="53">
        <v>0</v>
      </c>
      <c r="M407" s="53">
        <v>0</v>
      </c>
      <c r="N407" s="53">
        <v>0</v>
      </c>
      <c r="O407" s="53">
        <v>0</v>
      </c>
      <c r="P407" s="53">
        <v>0</v>
      </c>
      <c r="Q407" s="53">
        <v>0</v>
      </c>
      <c r="R407" s="53">
        <v>0</v>
      </c>
      <c r="S407" s="53">
        <v>0</v>
      </c>
      <c r="T407" s="53">
        <v>0</v>
      </c>
      <c r="U407" s="53">
        <v>1100</v>
      </c>
      <c r="V407" s="53">
        <v>0</v>
      </c>
      <c r="W407" s="53">
        <v>0</v>
      </c>
      <c r="X407" s="53">
        <v>0</v>
      </c>
      <c r="Y407" s="53">
        <v>11550</v>
      </c>
      <c r="Z407" s="53">
        <v>0</v>
      </c>
      <c r="AA407" s="53">
        <v>0</v>
      </c>
      <c r="AB407" s="53">
        <v>0</v>
      </c>
      <c r="AC407" s="53">
        <v>0</v>
      </c>
      <c r="AD407" s="53">
        <v>0</v>
      </c>
      <c r="AE407" s="53">
        <v>0</v>
      </c>
      <c r="AF407" s="53">
        <v>0</v>
      </c>
      <c r="AG407" s="53">
        <v>0</v>
      </c>
      <c r="AH407" s="53">
        <v>0</v>
      </c>
      <c r="AI407" s="53">
        <v>0</v>
      </c>
      <c r="AJ407" s="53">
        <v>0</v>
      </c>
      <c r="AK407" s="53">
        <v>0</v>
      </c>
      <c r="AL407" s="53">
        <v>0</v>
      </c>
      <c r="AM407" s="53" t="str">
        <f>I407-J407-K407-L407-M407-N407-O407-P407-Q407-R407-S407-T407-U407-V407-W407-X407-Y407-Z407-AA407-AB407-AC407-AD407-AE407-AF407-AG407+AH407-AI407+AJ407+AK407-AL407</f>
        <v>0</v>
      </c>
      <c r="AN407" s="53"/>
      <c r="AO407" s="27"/>
    </row>
    <row r="408" spans="1:41">
      <c r="A408" s="44">
        <v>380</v>
      </c>
      <c r="B408" s="46" t="s">
        <v>1637</v>
      </c>
      <c r="C408" s="48" t="s">
        <v>1638</v>
      </c>
      <c r="D408" s="51" t="s">
        <v>62</v>
      </c>
      <c r="E408" s="51" t="s">
        <v>1634</v>
      </c>
      <c r="F408" s="54" t="s">
        <v>1639</v>
      </c>
      <c r="G408" s="50">
        <v>3</v>
      </c>
      <c r="H408" s="51" t="s">
        <v>1640</v>
      </c>
      <c r="I408" s="53">
        <v>0</v>
      </c>
      <c r="J408" s="53">
        <v>0</v>
      </c>
      <c r="K408" s="53">
        <v>22000</v>
      </c>
      <c r="L408" s="53">
        <v>0</v>
      </c>
      <c r="M408" s="53">
        <v>0</v>
      </c>
      <c r="N408" s="53">
        <v>0</v>
      </c>
      <c r="O408" s="53">
        <v>0</v>
      </c>
      <c r="P408" s="53">
        <v>0</v>
      </c>
      <c r="Q408" s="53">
        <v>0</v>
      </c>
      <c r="R408" s="53">
        <v>0</v>
      </c>
      <c r="S408" s="53">
        <v>0</v>
      </c>
      <c r="T408" s="53">
        <v>0</v>
      </c>
      <c r="U408" s="53">
        <v>1100</v>
      </c>
      <c r="V408" s="53">
        <v>0</v>
      </c>
      <c r="W408" s="53">
        <v>0</v>
      </c>
      <c r="X408" s="53">
        <v>0</v>
      </c>
      <c r="Y408" s="53">
        <v>5250</v>
      </c>
      <c r="Z408" s="53">
        <v>0</v>
      </c>
      <c r="AA408" s="53">
        <v>0</v>
      </c>
      <c r="AB408" s="53">
        <v>0</v>
      </c>
      <c r="AC408" s="53">
        <v>0</v>
      </c>
      <c r="AD408" s="53">
        <v>0</v>
      </c>
      <c r="AE408" s="53">
        <v>0</v>
      </c>
      <c r="AF408" s="53">
        <v>0</v>
      </c>
      <c r="AG408" s="53">
        <v>0</v>
      </c>
      <c r="AH408" s="53">
        <v>0</v>
      </c>
      <c r="AI408" s="53">
        <v>0</v>
      </c>
      <c r="AJ408" s="53">
        <v>0</v>
      </c>
      <c r="AK408" s="53">
        <v>0</v>
      </c>
      <c r="AL408" s="53">
        <v>0</v>
      </c>
      <c r="AM408" s="53" t="str">
        <f>I408-J408-K408-L408-M408-N408-O408-P408-Q408-R408-S408-T408-U408-V408-W408-X408-Y408-Z408-AA408-AB408-AC408-AD408-AE408-AF408-AG408+AH408-AI408+AJ408+AK408-AL408</f>
        <v>0</v>
      </c>
      <c r="AN408" s="53"/>
      <c r="AO408" s="27"/>
    </row>
    <row r="409" spans="1:41">
      <c r="A409" s="44">
        <v>381</v>
      </c>
      <c r="B409" s="46" t="s">
        <v>1641</v>
      </c>
      <c r="C409" s="48" t="s">
        <v>1642</v>
      </c>
      <c r="D409" s="51" t="s">
        <v>73</v>
      </c>
      <c r="E409" s="51" t="s">
        <v>1634</v>
      </c>
      <c r="F409" s="54" t="s">
        <v>1643</v>
      </c>
      <c r="G409" s="50">
        <v>2</v>
      </c>
      <c r="H409" s="51" t="s">
        <v>1644</v>
      </c>
      <c r="I409" s="53">
        <v>574100</v>
      </c>
      <c r="J409" s="53">
        <v>0</v>
      </c>
      <c r="K409" s="53">
        <v>22000</v>
      </c>
      <c r="L409" s="53">
        <v>0</v>
      </c>
      <c r="M409" s="53">
        <v>0</v>
      </c>
      <c r="N409" s="53">
        <v>0</v>
      </c>
      <c r="O409" s="53">
        <v>0</v>
      </c>
      <c r="P409" s="53">
        <v>0</v>
      </c>
      <c r="Q409" s="53">
        <v>0</v>
      </c>
      <c r="R409" s="53">
        <v>0</v>
      </c>
      <c r="S409" s="53">
        <v>0</v>
      </c>
      <c r="T409" s="53">
        <v>0</v>
      </c>
      <c r="U409" s="53">
        <v>1100</v>
      </c>
      <c r="V409" s="53">
        <v>0</v>
      </c>
      <c r="W409" s="53">
        <v>0</v>
      </c>
      <c r="X409" s="53">
        <v>0</v>
      </c>
      <c r="Y409" s="53">
        <v>0</v>
      </c>
      <c r="Z409" s="53">
        <v>0</v>
      </c>
      <c r="AA409" s="53">
        <v>0</v>
      </c>
      <c r="AB409" s="53">
        <v>0</v>
      </c>
      <c r="AC409" s="53">
        <v>0</v>
      </c>
      <c r="AD409" s="53">
        <v>0</v>
      </c>
      <c r="AE409" s="53">
        <v>0</v>
      </c>
      <c r="AF409" s="53">
        <v>0</v>
      </c>
      <c r="AG409" s="53">
        <v>0</v>
      </c>
      <c r="AH409" s="53">
        <v>0</v>
      </c>
      <c r="AI409" s="53">
        <v>0</v>
      </c>
      <c r="AJ409" s="53">
        <v>0</v>
      </c>
      <c r="AK409" s="53">
        <v>0</v>
      </c>
      <c r="AL409" s="53">
        <v>0</v>
      </c>
      <c r="AM409" s="53" t="str">
        <f>I409-J409-K409-L409-M409-N409-O409-P409-Q409-R409-S409-T409-U409-V409-W409-X409-Y409-Z409-AA409-AB409-AC409-AD409-AE409-AF409-AG409+AH409-AI409+AJ409+AK409-AL409</f>
        <v>0</v>
      </c>
      <c r="AN409" s="53"/>
      <c r="AO409" s="27"/>
    </row>
    <row r="410" spans="1:41">
      <c r="A410" s="44">
        <v>382</v>
      </c>
      <c r="B410" s="46" t="s">
        <v>1645</v>
      </c>
      <c r="C410" s="48" t="s">
        <v>1646</v>
      </c>
      <c r="D410" s="51" t="s">
        <v>62</v>
      </c>
      <c r="E410" s="51" t="s">
        <v>1634</v>
      </c>
      <c r="F410" s="54" t="s">
        <v>1647</v>
      </c>
      <c r="G410" s="50">
        <v>10</v>
      </c>
      <c r="H410" s="51" t="s">
        <v>1648</v>
      </c>
      <c r="I410" s="53">
        <v>0</v>
      </c>
      <c r="J410" s="53">
        <v>0</v>
      </c>
      <c r="K410" s="53">
        <v>40000</v>
      </c>
      <c r="L410" s="53">
        <v>0</v>
      </c>
      <c r="M410" s="53">
        <v>0</v>
      </c>
      <c r="N410" s="53">
        <v>0</v>
      </c>
      <c r="O410" s="53">
        <v>0</v>
      </c>
      <c r="P410" s="53">
        <v>0</v>
      </c>
      <c r="Q410" s="53">
        <v>0</v>
      </c>
      <c r="R410" s="53">
        <v>0</v>
      </c>
      <c r="S410" s="53">
        <v>0</v>
      </c>
      <c r="T410" s="53">
        <v>0</v>
      </c>
      <c r="U410" s="53">
        <v>2000</v>
      </c>
      <c r="V410" s="53">
        <v>0</v>
      </c>
      <c r="W410" s="53">
        <v>0</v>
      </c>
      <c r="X410" s="53">
        <v>0</v>
      </c>
      <c r="Y410" s="53">
        <v>5250</v>
      </c>
      <c r="Z410" s="53">
        <v>0</v>
      </c>
      <c r="AA410" s="53">
        <v>0</v>
      </c>
      <c r="AB410" s="53">
        <v>0</v>
      </c>
      <c r="AC410" s="53">
        <v>0</v>
      </c>
      <c r="AD410" s="53">
        <v>0</v>
      </c>
      <c r="AE410" s="53">
        <v>0</v>
      </c>
      <c r="AF410" s="53">
        <v>0</v>
      </c>
      <c r="AG410" s="53">
        <v>0</v>
      </c>
      <c r="AH410" s="53">
        <v>0</v>
      </c>
      <c r="AI410" s="53">
        <v>0</v>
      </c>
      <c r="AJ410" s="53">
        <v>0</v>
      </c>
      <c r="AK410" s="53">
        <v>0</v>
      </c>
      <c r="AL410" s="53">
        <v>0</v>
      </c>
      <c r="AM410" s="53" t="str">
        <f>I410-J410-K410-L410-M410-N410-O410-P410-Q410-R410-S410-T410-U410-V410-W410-X410-Y410-Z410-AA410-AB410-AC410-AD410-AE410-AF410-AG410+AH410-AI410+AJ410+AK410-AL410</f>
        <v>0</v>
      </c>
      <c r="AN410" s="53"/>
      <c r="AO410" s="27"/>
    </row>
    <row r="411" spans="1:41">
      <c r="A411" s="44">
        <v>383</v>
      </c>
      <c r="B411" s="46" t="s">
        <v>1649</v>
      </c>
      <c r="C411" s="48" t="s">
        <v>1650</v>
      </c>
      <c r="D411" s="51" t="s">
        <v>73</v>
      </c>
      <c r="E411" s="51" t="s">
        <v>1651</v>
      </c>
      <c r="F411" s="54" t="s">
        <v>763</v>
      </c>
      <c r="G411" s="50">
        <v>3</v>
      </c>
      <c r="H411" s="51" t="s">
        <v>1652</v>
      </c>
      <c r="I411" s="53">
        <v>570500</v>
      </c>
      <c r="J411" s="53">
        <v>0</v>
      </c>
      <c r="K411" s="53">
        <v>22000</v>
      </c>
      <c r="L411" s="53">
        <v>0</v>
      </c>
      <c r="M411" s="53">
        <v>0</v>
      </c>
      <c r="N411" s="53">
        <v>0</v>
      </c>
      <c r="O411" s="53">
        <v>0</v>
      </c>
      <c r="P411" s="53">
        <v>0</v>
      </c>
      <c r="Q411" s="53">
        <v>0</v>
      </c>
      <c r="R411" s="53">
        <v>0</v>
      </c>
      <c r="S411" s="53">
        <v>0</v>
      </c>
      <c r="T411" s="53">
        <v>0</v>
      </c>
      <c r="U411" s="53">
        <v>1100</v>
      </c>
      <c r="V411" s="53">
        <v>0</v>
      </c>
      <c r="W411" s="53">
        <v>0</v>
      </c>
      <c r="X411" s="53">
        <v>0</v>
      </c>
      <c r="Y411" s="53">
        <v>0</v>
      </c>
      <c r="Z411" s="53">
        <v>0</v>
      </c>
      <c r="AA411" s="53">
        <v>0</v>
      </c>
      <c r="AB411" s="53">
        <v>0</v>
      </c>
      <c r="AC411" s="53">
        <v>0</v>
      </c>
      <c r="AD411" s="53">
        <v>0</v>
      </c>
      <c r="AE411" s="53">
        <v>0</v>
      </c>
      <c r="AF411" s="53">
        <v>0</v>
      </c>
      <c r="AG411" s="53">
        <v>0</v>
      </c>
      <c r="AH411" s="53">
        <v>0</v>
      </c>
      <c r="AI411" s="53">
        <v>0</v>
      </c>
      <c r="AJ411" s="53">
        <v>0</v>
      </c>
      <c r="AK411" s="53">
        <v>0</v>
      </c>
      <c r="AL411" s="53">
        <v>0</v>
      </c>
      <c r="AM411" s="53" t="str">
        <f>I411-J411-K411-L411-M411-N411-O411-P411-Q411-R411-S411-T411-U411-V411-W411-X411-Y411-Z411-AA411-AB411-AC411-AD411-AE411-AF411-AG411+AH411-AI411+AJ411+AK411-AL411</f>
        <v>0</v>
      </c>
      <c r="AN411" s="53"/>
      <c r="AO411" s="27"/>
    </row>
    <row r="412" spans="1:41">
      <c r="A412" s="44">
        <v>384</v>
      </c>
      <c r="B412" s="46" t="s">
        <v>1653</v>
      </c>
      <c r="C412" s="48" t="s">
        <v>1654</v>
      </c>
      <c r="D412" s="51" t="s">
        <v>73</v>
      </c>
      <c r="E412" s="51" t="s">
        <v>1655</v>
      </c>
      <c r="F412" s="54" t="s">
        <v>1656</v>
      </c>
      <c r="G412" s="50">
        <v>2</v>
      </c>
      <c r="H412" s="51" t="s">
        <v>1657</v>
      </c>
      <c r="I412" s="53">
        <v>363500</v>
      </c>
      <c r="J412" s="53">
        <v>0</v>
      </c>
      <c r="K412" s="53">
        <v>22000</v>
      </c>
      <c r="L412" s="53">
        <v>0</v>
      </c>
      <c r="M412" s="53">
        <v>0</v>
      </c>
      <c r="N412" s="53">
        <v>0</v>
      </c>
      <c r="O412" s="53">
        <v>0</v>
      </c>
      <c r="P412" s="53">
        <v>0</v>
      </c>
      <c r="Q412" s="53">
        <v>0</v>
      </c>
      <c r="R412" s="53">
        <v>0</v>
      </c>
      <c r="S412" s="53">
        <v>0</v>
      </c>
      <c r="T412" s="53">
        <v>0</v>
      </c>
      <c r="U412" s="53">
        <v>1100</v>
      </c>
      <c r="V412" s="53">
        <v>0</v>
      </c>
      <c r="W412" s="53">
        <v>0</v>
      </c>
      <c r="X412" s="53">
        <v>0</v>
      </c>
      <c r="Y412" s="53">
        <v>0</v>
      </c>
      <c r="Z412" s="53">
        <v>0</v>
      </c>
      <c r="AA412" s="53">
        <v>0</v>
      </c>
      <c r="AB412" s="53">
        <v>0</v>
      </c>
      <c r="AC412" s="53">
        <v>0</v>
      </c>
      <c r="AD412" s="53">
        <v>0</v>
      </c>
      <c r="AE412" s="53">
        <v>0</v>
      </c>
      <c r="AF412" s="53">
        <v>0</v>
      </c>
      <c r="AG412" s="53">
        <v>0</v>
      </c>
      <c r="AH412" s="53">
        <v>0</v>
      </c>
      <c r="AI412" s="53">
        <v>0</v>
      </c>
      <c r="AJ412" s="53">
        <v>0</v>
      </c>
      <c r="AK412" s="53">
        <v>0</v>
      </c>
      <c r="AL412" s="53">
        <v>0</v>
      </c>
      <c r="AM412" s="53" t="str">
        <f>I412-J412-K412-L412-M412-N412-O412-P412-Q412-R412-S412-T412-U412-V412-W412-X412-Y412-Z412-AA412-AB412-AC412-AD412-AE412-AF412-AG412+AH412-AI412+AJ412+AK412-AL412</f>
        <v>0</v>
      </c>
      <c r="AN412" s="53"/>
      <c r="AO412" s="27"/>
    </row>
    <row r="413" spans="1:41">
      <c r="A413" s="44">
        <v>385</v>
      </c>
      <c r="B413" s="46" t="s">
        <v>1658</v>
      </c>
      <c r="C413" s="48" t="s">
        <v>1659</v>
      </c>
      <c r="D413" s="51" t="s">
        <v>73</v>
      </c>
      <c r="E413" s="51" t="s">
        <v>1655</v>
      </c>
      <c r="F413" s="54" t="s">
        <v>1660</v>
      </c>
      <c r="G413" s="50">
        <v>4</v>
      </c>
      <c r="H413" s="51" t="s">
        <v>1661</v>
      </c>
      <c r="I413" s="53">
        <v>690200</v>
      </c>
      <c r="J413" s="53">
        <v>0</v>
      </c>
      <c r="K413" s="53">
        <v>25000</v>
      </c>
      <c r="L413" s="53">
        <v>0</v>
      </c>
      <c r="M413" s="53">
        <v>0</v>
      </c>
      <c r="N413" s="53">
        <v>0</v>
      </c>
      <c r="O413" s="53">
        <v>0</v>
      </c>
      <c r="P413" s="53">
        <v>0</v>
      </c>
      <c r="Q413" s="53">
        <v>0</v>
      </c>
      <c r="R413" s="53">
        <v>0</v>
      </c>
      <c r="S413" s="53">
        <v>0</v>
      </c>
      <c r="T413" s="53">
        <v>0</v>
      </c>
      <c r="U413" s="53">
        <v>1250</v>
      </c>
      <c r="V413" s="53">
        <v>0</v>
      </c>
      <c r="W413" s="53">
        <v>0</v>
      </c>
      <c r="X413" s="53">
        <v>0</v>
      </c>
      <c r="Y413" s="53">
        <v>0</v>
      </c>
      <c r="Z413" s="53">
        <v>0</v>
      </c>
      <c r="AA413" s="53">
        <v>0</v>
      </c>
      <c r="AB413" s="53">
        <v>0</v>
      </c>
      <c r="AC413" s="53">
        <v>0</v>
      </c>
      <c r="AD413" s="53">
        <v>0</v>
      </c>
      <c r="AE413" s="53">
        <v>0</v>
      </c>
      <c r="AF413" s="53">
        <v>0</v>
      </c>
      <c r="AG413" s="53">
        <v>0</v>
      </c>
      <c r="AH413" s="53">
        <v>0</v>
      </c>
      <c r="AI413" s="53">
        <v>0</v>
      </c>
      <c r="AJ413" s="53">
        <v>0</v>
      </c>
      <c r="AK413" s="53">
        <v>0</v>
      </c>
      <c r="AL413" s="53">
        <v>0</v>
      </c>
      <c r="AM413" s="53" t="str">
        <f>I413-J413-K413-L413-M413-N413-O413-P413-Q413-R413-S413-T413-U413-V413-W413-X413-Y413-Z413-AA413-AB413-AC413-AD413-AE413-AF413-AG413+AH413-AI413+AJ413+AK413-AL413</f>
        <v>0</v>
      </c>
      <c r="AN413" s="53"/>
      <c r="AO413" s="27"/>
    </row>
    <row r="414" spans="1:41">
      <c r="A414" s="44">
        <v>386</v>
      </c>
      <c r="B414" s="46" t="s">
        <v>1662</v>
      </c>
      <c r="C414" s="48" t="s">
        <v>1663</v>
      </c>
      <c r="D414" s="51" t="s">
        <v>73</v>
      </c>
      <c r="E414" s="51" t="s">
        <v>1655</v>
      </c>
      <c r="F414" s="54" t="s">
        <v>1664</v>
      </c>
      <c r="G414" s="50">
        <v>3</v>
      </c>
      <c r="H414" s="51" t="s">
        <v>1665</v>
      </c>
      <c r="I414" s="53">
        <v>754100</v>
      </c>
      <c r="J414" s="53">
        <v>0</v>
      </c>
      <c r="K414" s="53">
        <v>22000</v>
      </c>
      <c r="L414" s="53">
        <v>0</v>
      </c>
      <c r="M414" s="53">
        <v>0</v>
      </c>
      <c r="N414" s="53">
        <v>0</v>
      </c>
      <c r="O414" s="53">
        <v>0</v>
      </c>
      <c r="P414" s="53">
        <v>0</v>
      </c>
      <c r="Q414" s="53">
        <v>0</v>
      </c>
      <c r="R414" s="53">
        <v>0</v>
      </c>
      <c r="S414" s="53">
        <v>0</v>
      </c>
      <c r="T414" s="53">
        <v>0</v>
      </c>
      <c r="U414" s="53">
        <v>1100</v>
      </c>
      <c r="V414" s="53">
        <v>0</v>
      </c>
      <c r="W414" s="53">
        <v>0</v>
      </c>
      <c r="X414" s="53">
        <v>0</v>
      </c>
      <c r="Y414" s="53">
        <v>0</v>
      </c>
      <c r="Z414" s="53">
        <v>0</v>
      </c>
      <c r="AA414" s="53">
        <v>0</v>
      </c>
      <c r="AB414" s="53">
        <v>0</v>
      </c>
      <c r="AC414" s="53">
        <v>0</v>
      </c>
      <c r="AD414" s="53">
        <v>0</v>
      </c>
      <c r="AE414" s="53">
        <v>0</v>
      </c>
      <c r="AF414" s="53">
        <v>0</v>
      </c>
      <c r="AG414" s="53">
        <v>0</v>
      </c>
      <c r="AH414" s="53">
        <v>0</v>
      </c>
      <c r="AI414" s="53">
        <v>0</v>
      </c>
      <c r="AJ414" s="53">
        <v>0</v>
      </c>
      <c r="AK414" s="53">
        <v>0</v>
      </c>
      <c r="AL414" s="53">
        <v>0</v>
      </c>
      <c r="AM414" s="53" t="str">
        <f>I414-J414-K414-L414-M414-N414-O414-P414-Q414-R414-S414-T414-U414-V414-W414-X414-Y414-Z414-AA414-AB414-AC414-AD414-AE414-AF414-AG414+AH414-AI414+AJ414+AK414-AL414</f>
        <v>0</v>
      </c>
      <c r="AN414" s="53"/>
      <c r="AO414" s="27"/>
    </row>
    <row r="415" spans="1:41">
      <c r="A415" s="44">
        <v>387</v>
      </c>
      <c r="B415" s="46" t="s">
        <v>1666</v>
      </c>
      <c r="C415" s="48" t="s">
        <v>1667</v>
      </c>
      <c r="D415" s="51" t="s">
        <v>73</v>
      </c>
      <c r="E415" s="51" t="s">
        <v>1655</v>
      </c>
      <c r="F415" s="54" t="s">
        <v>1668</v>
      </c>
      <c r="G415" s="50">
        <v>2</v>
      </c>
      <c r="H415" s="51" t="s">
        <v>1669</v>
      </c>
      <c r="I415" s="53">
        <v>734000</v>
      </c>
      <c r="J415" s="53">
        <v>0</v>
      </c>
      <c r="K415" s="53">
        <v>22000</v>
      </c>
      <c r="L415" s="53">
        <v>0</v>
      </c>
      <c r="M415" s="53">
        <v>0</v>
      </c>
      <c r="N415" s="53">
        <v>0</v>
      </c>
      <c r="O415" s="53">
        <v>0</v>
      </c>
      <c r="P415" s="53">
        <v>0</v>
      </c>
      <c r="Q415" s="53">
        <v>0</v>
      </c>
      <c r="R415" s="53">
        <v>0</v>
      </c>
      <c r="S415" s="53">
        <v>0</v>
      </c>
      <c r="T415" s="53">
        <v>0</v>
      </c>
      <c r="U415" s="53">
        <v>1100</v>
      </c>
      <c r="V415" s="53">
        <v>0</v>
      </c>
      <c r="W415" s="53">
        <v>0</v>
      </c>
      <c r="X415" s="53">
        <v>0</v>
      </c>
      <c r="Y415" s="53">
        <v>0</v>
      </c>
      <c r="Z415" s="53">
        <v>0</v>
      </c>
      <c r="AA415" s="53">
        <v>0</v>
      </c>
      <c r="AB415" s="53">
        <v>0</v>
      </c>
      <c r="AC415" s="53">
        <v>0</v>
      </c>
      <c r="AD415" s="53">
        <v>0</v>
      </c>
      <c r="AE415" s="53">
        <v>0</v>
      </c>
      <c r="AF415" s="53">
        <v>0</v>
      </c>
      <c r="AG415" s="53">
        <v>0</v>
      </c>
      <c r="AH415" s="53">
        <v>0</v>
      </c>
      <c r="AI415" s="53">
        <v>0</v>
      </c>
      <c r="AJ415" s="53">
        <v>0</v>
      </c>
      <c r="AK415" s="53">
        <v>0</v>
      </c>
      <c r="AL415" s="53">
        <v>0</v>
      </c>
      <c r="AM415" s="53" t="str">
        <f>I415-J415-K415-L415-M415-N415-O415-P415-Q415-R415-S415-T415-U415-V415-W415-X415-Y415-Z415-AA415-AB415-AC415-AD415-AE415-AF415-AG415+AH415-AI415+AJ415+AK415-AL415</f>
        <v>0</v>
      </c>
      <c r="AN415" s="53"/>
      <c r="AO415" s="27"/>
    </row>
    <row r="416" spans="1:41">
      <c r="A416" s="44">
        <v>388</v>
      </c>
      <c r="B416" s="46" t="s">
        <v>1670</v>
      </c>
      <c r="C416" s="48" t="s">
        <v>1671</v>
      </c>
      <c r="D416" s="51" t="s">
        <v>73</v>
      </c>
      <c r="E416" s="51" t="s">
        <v>1655</v>
      </c>
      <c r="F416" s="54" t="s">
        <v>1672</v>
      </c>
      <c r="G416" s="50">
        <v>6</v>
      </c>
      <c r="H416" s="51" t="s">
        <v>1673</v>
      </c>
      <c r="I416" s="53">
        <v>1499000</v>
      </c>
      <c r="J416" s="53">
        <v>0</v>
      </c>
      <c r="K416" s="53">
        <v>31000</v>
      </c>
      <c r="L416" s="53">
        <v>0</v>
      </c>
      <c r="M416" s="53">
        <v>0</v>
      </c>
      <c r="N416" s="53">
        <v>0</v>
      </c>
      <c r="O416" s="53">
        <v>0</v>
      </c>
      <c r="P416" s="53">
        <v>0</v>
      </c>
      <c r="Q416" s="53">
        <v>0</v>
      </c>
      <c r="R416" s="53">
        <v>0</v>
      </c>
      <c r="S416" s="53">
        <v>0</v>
      </c>
      <c r="T416" s="53">
        <v>0</v>
      </c>
      <c r="U416" s="53">
        <v>1550</v>
      </c>
      <c r="V416" s="53">
        <v>0</v>
      </c>
      <c r="W416" s="53">
        <v>0</v>
      </c>
      <c r="X416" s="53">
        <v>0</v>
      </c>
      <c r="Y416" s="53">
        <v>0</v>
      </c>
      <c r="Z416" s="53">
        <v>0</v>
      </c>
      <c r="AA416" s="53">
        <v>0</v>
      </c>
      <c r="AB416" s="53">
        <v>0</v>
      </c>
      <c r="AC416" s="53">
        <v>0</v>
      </c>
      <c r="AD416" s="53">
        <v>0</v>
      </c>
      <c r="AE416" s="53">
        <v>0</v>
      </c>
      <c r="AF416" s="53">
        <v>0</v>
      </c>
      <c r="AG416" s="53">
        <v>0</v>
      </c>
      <c r="AH416" s="53">
        <v>0</v>
      </c>
      <c r="AI416" s="53">
        <v>0</v>
      </c>
      <c r="AJ416" s="53">
        <v>0</v>
      </c>
      <c r="AK416" s="53">
        <v>0</v>
      </c>
      <c r="AL416" s="53">
        <v>0</v>
      </c>
      <c r="AM416" s="53" t="str">
        <f>I416-J416-K416-L416-M416-N416-O416-P416-Q416-R416-S416-T416-U416-V416-W416-X416-Y416-Z416-AA416-AB416-AC416-AD416-AE416-AF416-AG416+AH416-AI416+AJ416+AK416-AL416</f>
        <v>0</v>
      </c>
      <c r="AN416" s="53"/>
      <c r="AO416" s="27"/>
    </row>
    <row r="417" spans="1:41">
      <c r="A417" s="44">
        <v>389</v>
      </c>
      <c r="B417" s="46" t="s">
        <v>1674</v>
      </c>
      <c r="C417" s="48" t="s">
        <v>1675</v>
      </c>
      <c r="D417" s="51" t="s">
        <v>73</v>
      </c>
      <c r="E417" s="51" t="s">
        <v>1655</v>
      </c>
      <c r="F417" s="54" t="s">
        <v>1159</v>
      </c>
      <c r="G417" s="50">
        <v>2</v>
      </c>
      <c r="H417" s="51" t="s">
        <v>1676</v>
      </c>
      <c r="I417" s="53">
        <v>255500</v>
      </c>
      <c r="J417" s="53">
        <v>0</v>
      </c>
      <c r="K417" s="53">
        <v>22000</v>
      </c>
      <c r="L417" s="53">
        <v>0</v>
      </c>
      <c r="M417" s="53">
        <v>0</v>
      </c>
      <c r="N417" s="53">
        <v>0</v>
      </c>
      <c r="O417" s="53">
        <v>0</v>
      </c>
      <c r="P417" s="53">
        <v>0</v>
      </c>
      <c r="Q417" s="53">
        <v>0</v>
      </c>
      <c r="R417" s="53">
        <v>0</v>
      </c>
      <c r="S417" s="53">
        <v>0</v>
      </c>
      <c r="T417" s="53">
        <v>0</v>
      </c>
      <c r="U417" s="53">
        <v>1100</v>
      </c>
      <c r="V417" s="53">
        <v>0</v>
      </c>
      <c r="W417" s="53">
        <v>0</v>
      </c>
      <c r="X417" s="53">
        <v>0</v>
      </c>
      <c r="Y417" s="53">
        <v>0</v>
      </c>
      <c r="Z417" s="53">
        <v>0</v>
      </c>
      <c r="AA417" s="53">
        <v>0</v>
      </c>
      <c r="AB417" s="53">
        <v>0</v>
      </c>
      <c r="AC417" s="53">
        <v>0</v>
      </c>
      <c r="AD417" s="53">
        <v>0</v>
      </c>
      <c r="AE417" s="53">
        <v>0</v>
      </c>
      <c r="AF417" s="53">
        <v>0</v>
      </c>
      <c r="AG417" s="53">
        <v>0</v>
      </c>
      <c r="AH417" s="53">
        <v>0</v>
      </c>
      <c r="AI417" s="53">
        <v>0</v>
      </c>
      <c r="AJ417" s="53">
        <v>0</v>
      </c>
      <c r="AK417" s="53">
        <v>0</v>
      </c>
      <c r="AL417" s="53">
        <v>0</v>
      </c>
      <c r="AM417" s="53" t="str">
        <f>I417-J417-K417-L417-M417-N417-O417-P417-Q417-R417-S417-T417-U417-V417-W417-X417-Y417-Z417-AA417-AB417-AC417-AD417-AE417-AF417-AG417+AH417-AI417+AJ417+AK417-AL417</f>
        <v>0</v>
      </c>
      <c r="AN417" s="53"/>
      <c r="AO417" s="27"/>
    </row>
    <row r="418" spans="1:41">
      <c r="A418" s="44">
        <v>390</v>
      </c>
      <c r="B418" s="46" t="s">
        <v>1677</v>
      </c>
      <c r="C418" s="48" t="s">
        <v>1678</v>
      </c>
      <c r="D418" s="51" t="s">
        <v>73</v>
      </c>
      <c r="E418" s="51" t="s">
        <v>1655</v>
      </c>
      <c r="F418" s="54" t="s">
        <v>1679</v>
      </c>
      <c r="G418" s="50">
        <v>8</v>
      </c>
      <c r="H418" s="51" t="s">
        <v>1680</v>
      </c>
      <c r="I418" s="53">
        <v>1548000</v>
      </c>
      <c r="J418" s="53">
        <v>0</v>
      </c>
      <c r="K418" s="53">
        <v>39000</v>
      </c>
      <c r="L418" s="53">
        <v>0</v>
      </c>
      <c r="M418" s="53">
        <v>0</v>
      </c>
      <c r="N418" s="53">
        <v>0</v>
      </c>
      <c r="O418" s="53">
        <v>0</v>
      </c>
      <c r="P418" s="53">
        <v>0</v>
      </c>
      <c r="Q418" s="53">
        <v>0</v>
      </c>
      <c r="R418" s="53">
        <v>0</v>
      </c>
      <c r="S418" s="53">
        <v>0</v>
      </c>
      <c r="T418" s="53">
        <v>0</v>
      </c>
      <c r="U418" s="53">
        <v>1950</v>
      </c>
      <c r="V418" s="53">
        <v>0</v>
      </c>
      <c r="W418" s="53">
        <v>0</v>
      </c>
      <c r="X418" s="53">
        <v>0</v>
      </c>
      <c r="Y418" s="53">
        <v>0</v>
      </c>
      <c r="Z418" s="53">
        <v>0</v>
      </c>
      <c r="AA418" s="53">
        <v>0</v>
      </c>
      <c r="AB418" s="53">
        <v>0</v>
      </c>
      <c r="AC418" s="53">
        <v>0</v>
      </c>
      <c r="AD418" s="53">
        <v>0</v>
      </c>
      <c r="AE418" s="53">
        <v>0</v>
      </c>
      <c r="AF418" s="53">
        <v>0</v>
      </c>
      <c r="AG418" s="53">
        <v>0</v>
      </c>
      <c r="AH418" s="53">
        <v>0</v>
      </c>
      <c r="AI418" s="53">
        <v>0</v>
      </c>
      <c r="AJ418" s="53">
        <v>0</v>
      </c>
      <c r="AK418" s="53">
        <v>0</v>
      </c>
      <c r="AL418" s="53">
        <v>0</v>
      </c>
      <c r="AM418" s="53" t="str">
        <f>I418-J418-K418-L418-M418-N418-O418-P418-Q418-R418-S418-T418-U418-V418-W418-X418-Y418-Z418-AA418-AB418-AC418-AD418-AE418-AF418-AG418+AH418-AI418+AJ418+AK418-AL418</f>
        <v>0</v>
      </c>
      <c r="AN418" s="53"/>
      <c r="AO418" s="27"/>
    </row>
    <row r="419" spans="1:41">
      <c r="A419" s="44">
        <v>391</v>
      </c>
      <c r="B419" s="46" t="s">
        <v>1681</v>
      </c>
      <c r="C419" s="48" t="s">
        <v>1682</v>
      </c>
      <c r="D419" s="51" t="s">
        <v>73</v>
      </c>
      <c r="E419" s="51" t="s">
        <v>1655</v>
      </c>
      <c r="F419" s="54" t="s">
        <v>1683</v>
      </c>
      <c r="G419" s="50">
        <v>9</v>
      </c>
      <c r="H419" s="51" t="s">
        <v>1684</v>
      </c>
      <c r="I419" s="53">
        <v>1091700</v>
      </c>
      <c r="J419" s="53">
        <v>0</v>
      </c>
      <c r="K419" s="53">
        <v>44000</v>
      </c>
      <c r="L419" s="53">
        <v>0</v>
      </c>
      <c r="M419" s="53">
        <v>0</v>
      </c>
      <c r="N419" s="53">
        <v>0</v>
      </c>
      <c r="O419" s="53">
        <v>0</v>
      </c>
      <c r="P419" s="53">
        <v>0</v>
      </c>
      <c r="Q419" s="53">
        <v>0</v>
      </c>
      <c r="R419" s="53">
        <v>0</v>
      </c>
      <c r="S419" s="53">
        <v>0</v>
      </c>
      <c r="T419" s="53">
        <v>0</v>
      </c>
      <c r="U419" s="53">
        <v>2200</v>
      </c>
      <c r="V419" s="53">
        <v>0</v>
      </c>
      <c r="W419" s="53">
        <v>0</v>
      </c>
      <c r="X419" s="53">
        <v>0</v>
      </c>
      <c r="Y419" s="53">
        <v>0</v>
      </c>
      <c r="Z419" s="53">
        <v>0</v>
      </c>
      <c r="AA419" s="53">
        <v>0</v>
      </c>
      <c r="AB419" s="53">
        <v>0</v>
      </c>
      <c r="AC419" s="53">
        <v>0</v>
      </c>
      <c r="AD419" s="53">
        <v>0</v>
      </c>
      <c r="AE419" s="53">
        <v>0</v>
      </c>
      <c r="AF419" s="53">
        <v>0</v>
      </c>
      <c r="AG419" s="53">
        <v>0</v>
      </c>
      <c r="AH419" s="53">
        <v>0</v>
      </c>
      <c r="AI419" s="53">
        <v>0</v>
      </c>
      <c r="AJ419" s="53">
        <v>0</v>
      </c>
      <c r="AK419" s="53">
        <v>0</v>
      </c>
      <c r="AL419" s="53">
        <v>0</v>
      </c>
      <c r="AM419" s="53" t="str">
        <f>I419-J419-K419-L419-M419-N419-O419-P419-Q419-R419-S419-T419-U419-V419-W419-X419-Y419-Z419-AA419-AB419-AC419-AD419-AE419-AF419-AG419+AH419-AI419+AJ419+AK419-AL419</f>
        <v>0</v>
      </c>
      <c r="AN419" s="53"/>
      <c r="AO419" s="27"/>
    </row>
    <row r="420" spans="1:41">
      <c r="A420" s="44">
        <v>392</v>
      </c>
      <c r="B420" s="46" t="s">
        <v>1685</v>
      </c>
      <c r="C420" s="48" t="s">
        <v>1686</v>
      </c>
      <c r="D420" s="51" t="s">
        <v>73</v>
      </c>
      <c r="E420" s="51" t="s">
        <v>1655</v>
      </c>
      <c r="F420" s="54" t="s">
        <v>1687</v>
      </c>
      <c r="G420" s="50">
        <v>7</v>
      </c>
      <c r="H420" s="51" t="s">
        <v>1688</v>
      </c>
      <c r="I420" s="53">
        <v>2346080</v>
      </c>
      <c r="J420" s="53">
        <v>0</v>
      </c>
      <c r="K420" s="53">
        <v>35000</v>
      </c>
      <c r="L420" s="53">
        <v>0</v>
      </c>
      <c r="M420" s="53">
        <v>0</v>
      </c>
      <c r="N420" s="53">
        <v>0</v>
      </c>
      <c r="O420" s="53">
        <v>0</v>
      </c>
      <c r="P420" s="53">
        <v>0</v>
      </c>
      <c r="Q420" s="53">
        <v>0</v>
      </c>
      <c r="R420" s="53">
        <v>0</v>
      </c>
      <c r="S420" s="53">
        <v>0</v>
      </c>
      <c r="T420" s="53">
        <v>0</v>
      </c>
      <c r="U420" s="53">
        <v>1750</v>
      </c>
      <c r="V420" s="53">
        <v>0</v>
      </c>
      <c r="W420" s="53">
        <v>0</v>
      </c>
      <c r="X420" s="53">
        <v>0</v>
      </c>
      <c r="Y420" s="53">
        <v>0</v>
      </c>
      <c r="Z420" s="53">
        <v>0</v>
      </c>
      <c r="AA420" s="53">
        <v>0</v>
      </c>
      <c r="AB420" s="53">
        <v>0</v>
      </c>
      <c r="AC420" s="53">
        <v>0</v>
      </c>
      <c r="AD420" s="53">
        <v>0</v>
      </c>
      <c r="AE420" s="53">
        <v>0</v>
      </c>
      <c r="AF420" s="53">
        <v>0</v>
      </c>
      <c r="AG420" s="53">
        <v>0</v>
      </c>
      <c r="AH420" s="53">
        <v>0</v>
      </c>
      <c r="AI420" s="53">
        <v>0</v>
      </c>
      <c r="AJ420" s="53">
        <v>0</v>
      </c>
      <c r="AK420" s="53">
        <v>0</v>
      </c>
      <c r="AL420" s="53">
        <v>0</v>
      </c>
      <c r="AM420" s="53" t="str">
        <f>I420-J420-K420-L420-M420-N420-O420-P420-Q420-R420-S420-T420-U420-V420-W420-X420-Y420-Z420-AA420-AB420-AC420-AD420-AE420-AF420-AG420+AH420-AI420+AJ420+AK420-AL420</f>
        <v>0</v>
      </c>
      <c r="AN420" s="53"/>
      <c r="AO420" s="27"/>
    </row>
    <row r="421" spans="1:41">
      <c r="A421" s="44">
        <v>393</v>
      </c>
      <c r="B421" s="46" t="s">
        <v>1689</v>
      </c>
      <c r="C421" s="48" t="s">
        <v>1690</v>
      </c>
      <c r="D421" s="51" t="s">
        <v>73</v>
      </c>
      <c r="E421" s="51" t="s">
        <v>1655</v>
      </c>
      <c r="F421" s="54" t="s">
        <v>1691</v>
      </c>
      <c r="G421" s="50">
        <v>8</v>
      </c>
      <c r="H421" s="51" t="s">
        <v>1692</v>
      </c>
      <c r="I421" s="53">
        <v>2020000</v>
      </c>
      <c r="J421" s="53">
        <v>0</v>
      </c>
      <c r="K421" s="53">
        <v>39000</v>
      </c>
      <c r="L421" s="53">
        <v>0</v>
      </c>
      <c r="M421" s="53">
        <v>0</v>
      </c>
      <c r="N421" s="53">
        <v>0</v>
      </c>
      <c r="O421" s="53">
        <v>0</v>
      </c>
      <c r="P421" s="53">
        <v>0</v>
      </c>
      <c r="Q421" s="53">
        <v>0</v>
      </c>
      <c r="R421" s="53">
        <v>0</v>
      </c>
      <c r="S421" s="53">
        <v>0</v>
      </c>
      <c r="T421" s="53">
        <v>0</v>
      </c>
      <c r="U421" s="53">
        <v>1950</v>
      </c>
      <c r="V421" s="53">
        <v>0</v>
      </c>
      <c r="W421" s="53">
        <v>0</v>
      </c>
      <c r="X421" s="53">
        <v>0</v>
      </c>
      <c r="Y421" s="53">
        <v>0</v>
      </c>
      <c r="Z421" s="53">
        <v>0</v>
      </c>
      <c r="AA421" s="53">
        <v>0</v>
      </c>
      <c r="AB421" s="53">
        <v>0</v>
      </c>
      <c r="AC421" s="53">
        <v>0</v>
      </c>
      <c r="AD421" s="53">
        <v>0</v>
      </c>
      <c r="AE421" s="53">
        <v>0</v>
      </c>
      <c r="AF421" s="53">
        <v>0</v>
      </c>
      <c r="AG421" s="53">
        <v>0</v>
      </c>
      <c r="AH421" s="53">
        <v>0</v>
      </c>
      <c r="AI421" s="53">
        <v>0</v>
      </c>
      <c r="AJ421" s="53">
        <v>0</v>
      </c>
      <c r="AK421" s="53">
        <v>0</v>
      </c>
      <c r="AL421" s="53">
        <v>0</v>
      </c>
      <c r="AM421" s="53" t="str">
        <f>I421-J421-K421-L421-M421-N421-O421-P421-Q421-R421-S421-T421-U421-V421-W421-X421-Y421-Z421-AA421-AB421-AC421-AD421-AE421-AF421-AG421+AH421-AI421+AJ421+AK421-AL421</f>
        <v>0</v>
      </c>
      <c r="AN421" s="53"/>
      <c r="AO421" s="27"/>
    </row>
    <row r="422" spans="1:41">
      <c r="A422" s="44">
        <v>394</v>
      </c>
      <c r="B422" s="46" t="s">
        <v>1693</v>
      </c>
      <c r="C422" s="48" t="s">
        <v>1694</v>
      </c>
      <c r="D422" s="51" t="s">
        <v>73</v>
      </c>
      <c r="E422" s="51" t="s">
        <v>1655</v>
      </c>
      <c r="F422" s="54" t="s">
        <v>1695</v>
      </c>
      <c r="G422" s="50">
        <v>2</v>
      </c>
      <c r="H422" s="51" t="s">
        <v>1696</v>
      </c>
      <c r="I422" s="53">
        <v>367100</v>
      </c>
      <c r="J422" s="53">
        <v>0</v>
      </c>
      <c r="K422" s="53">
        <v>22000</v>
      </c>
      <c r="L422" s="53">
        <v>0</v>
      </c>
      <c r="M422" s="53">
        <v>0</v>
      </c>
      <c r="N422" s="53">
        <v>0</v>
      </c>
      <c r="O422" s="53">
        <v>0</v>
      </c>
      <c r="P422" s="53">
        <v>0</v>
      </c>
      <c r="Q422" s="53">
        <v>0</v>
      </c>
      <c r="R422" s="53">
        <v>0</v>
      </c>
      <c r="S422" s="53">
        <v>0</v>
      </c>
      <c r="T422" s="53">
        <v>0</v>
      </c>
      <c r="U422" s="53">
        <v>1100</v>
      </c>
      <c r="V422" s="53">
        <v>0</v>
      </c>
      <c r="W422" s="53">
        <v>0</v>
      </c>
      <c r="X422" s="53">
        <v>0</v>
      </c>
      <c r="Y422" s="53">
        <v>0</v>
      </c>
      <c r="Z422" s="53">
        <v>0</v>
      </c>
      <c r="AA422" s="53">
        <v>0</v>
      </c>
      <c r="AB422" s="53">
        <v>0</v>
      </c>
      <c r="AC422" s="53">
        <v>0</v>
      </c>
      <c r="AD422" s="53">
        <v>0</v>
      </c>
      <c r="AE422" s="53">
        <v>0</v>
      </c>
      <c r="AF422" s="53">
        <v>0</v>
      </c>
      <c r="AG422" s="53">
        <v>0</v>
      </c>
      <c r="AH422" s="53">
        <v>0</v>
      </c>
      <c r="AI422" s="53">
        <v>0</v>
      </c>
      <c r="AJ422" s="53">
        <v>0</v>
      </c>
      <c r="AK422" s="53">
        <v>0</v>
      </c>
      <c r="AL422" s="53">
        <v>0</v>
      </c>
      <c r="AM422" s="53" t="str">
        <f>I422-J422-K422-L422-M422-N422-O422-P422-Q422-R422-S422-T422-U422-V422-W422-X422-Y422-Z422-AA422-AB422-AC422-AD422-AE422-AF422-AG422+AH422-AI422+AJ422+AK422-AL422</f>
        <v>0</v>
      </c>
      <c r="AN422" s="53"/>
      <c r="AO422" s="27"/>
    </row>
    <row r="423" spans="1:41">
      <c r="A423" s="44">
        <v>395</v>
      </c>
      <c r="B423" s="46" t="s">
        <v>1697</v>
      </c>
      <c r="C423" s="48" t="s">
        <v>1698</v>
      </c>
      <c r="D423" s="51" t="s">
        <v>73</v>
      </c>
      <c r="E423" s="51" t="s">
        <v>1655</v>
      </c>
      <c r="F423" s="54" t="s">
        <v>1699</v>
      </c>
      <c r="G423" s="50">
        <v>3</v>
      </c>
      <c r="H423" s="51" t="s">
        <v>1700</v>
      </c>
      <c r="I423" s="53">
        <v>327500</v>
      </c>
      <c r="J423" s="53">
        <v>0</v>
      </c>
      <c r="K423" s="53">
        <v>22000</v>
      </c>
      <c r="L423" s="53">
        <v>0</v>
      </c>
      <c r="M423" s="53">
        <v>0</v>
      </c>
      <c r="N423" s="53">
        <v>0</v>
      </c>
      <c r="O423" s="53">
        <v>0</v>
      </c>
      <c r="P423" s="53">
        <v>0</v>
      </c>
      <c r="Q423" s="53">
        <v>0</v>
      </c>
      <c r="R423" s="53">
        <v>0</v>
      </c>
      <c r="S423" s="53">
        <v>0</v>
      </c>
      <c r="T423" s="53">
        <v>0</v>
      </c>
      <c r="U423" s="53">
        <v>1100</v>
      </c>
      <c r="V423" s="53">
        <v>0</v>
      </c>
      <c r="W423" s="53">
        <v>0</v>
      </c>
      <c r="X423" s="53">
        <v>0</v>
      </c>
      <c r="Y423" s="53">
        <v>0</v>
      </c>
      <c r="Z423" s="53">
        <v>0</v>
      </c>
      <c r="AA423" s="53">
        <v>0</v>
      </c>
      <c r="AB423" s="53">
        <v>0</v>
      </c>
      <c r="AC423" s="53">
        <v>0</v>
      </c>
      <c r="AD423" s="53">
        <v>0</v>
      </c>
      <c r="AE423" s="53">
        <v>0</v>
      </c>
      <c r="AF423" s="53">
        <v>0</v>
      </c>
      <c r="AG423" s="53">
        <v>0</v>
      </c>
      <c r="AH423" s="53">
        <v>0</v>
      </c>
      <c r="AI423" s="53">
        <v>0</v>
      </c>
      <c r="AJ423" s="53">
        <v>0</v>
      </c>
      <c r="AK423" s="53">
        <v>0</v>
      </c>
      <c r="AL423" s="53">
        <v>0</v>
      </c>
      <c r="AM423" s="53" t="str">
        <f>I423-J423-K423-L423-M423-N423-O423-P423-Q423-R423-S423-T423-U423-V423-W423-X423-Y423-Z423-AA423-AB423-AC423-AD423-AE423-AF423-AG423+AH423-AI423+AJ423+AK423-AL423</f>
        <v>0</v>
      </c>
      <c r="AN423" s="53"/>
      <c r="AO423" s="27"/>
    </row>
    <row r="424" spans="1:41">
      <c r="A424" s="44">
        <v>396</v>
      </c>
      <c r="B424" s="46" t="s">
        <v>1701</v>
      </c>
      <c r="C424" s="48" t="s">
        <v>1702</v>
      </c>
      <c r="D424" s="51" t="s">
        <v>73</v>
      </c>
      <c r="E424" s="51" t="s">
        <v>1655</v>
      </c>
      <c r="F424" s="54" t="s">
        <v>1703</v>
      </c>
      <c r="G424" s="50">
        <v>2</v>
      </c>
      <c r="H424" s="51" t="s">
        <v>1704</v>
      </c>
      <c r="I424" s="53">
        <v>277100</v>
      </c>
      <c r="J424" s="53">
        <v>0</v>
      </c>
      <c r="K424" s="53">
        <v>22000</v>
      </c>
      <c r="L424" s="53">
        <v>0</v>
      </c>
      <c r="M424" s="53">
        <v>0</v>
      </c>
      <c r="N424" s="53">
        <v>0</v>
      </c>
      <c r="O424" s="53">
        <v>0</v>
      </c>
      <c r="P424" s="53">
        <v>0</v>
      </c>
      <c r="Q424" s="53">
        <v>0</v>
      </c>
      <c r="R424" s="53">
        <v>0</v>
      </c>
      <c r="S424" s="53">
        <v>0</v>
      </c>
      <c r="T424" s="53">
        <v>0</v>
      </c>
      <c r="U424" s="53">
        <v>1100</v>
      </c>
      <c r="V424" s="53">
        <v>0</v>
      </c>
      <c r="W424" s="53">
        <v>0</v>
      </c>
      <c r="X424" s="53">
        <v>0</v>
      </c>
      <c r="Y424" s="53">
        <v>0</v>
      </c>
      <c r="Z424" s="53">
        <v>0</v>
      </c>
      <c r="AA424" s="53">
        <v>0</v>
      </c>
      <c r="AB424" s="53">
        <v>0</v>
      </c>
      <c r="AC424" s="53">
        <v>0</v>
      </c>
      <c r="AD424" s="53">
        <v>0</v>
      </c>
      <c r="AE424" s="53">
        <v>0</v>
      </c>
      <c r="AF424" s="53">
        <v>0</v>
      </c>
      <c r="AG424" s="53">
        <v>0</v>
      </c>
      <c r="AH424" s="53">
        <v>0</v>
      </c>
      <c r="AI424" s="53">
        <v>0</v>
      </c>
      <c r="AJ424" s="53">
        <v>0</v>
      </c>
      <c r="AK424" s="53">
        <v>0</v>
      </c>
      <c r="AL424" s="53">
        <v>0</v>
      </c>
      <c r="AM424" s="53" t="str">
        <f>I424-J424-K424-L424-M424-N424-O424-P424-Q424-R424-S424-T424-U424-V424-W424-X424-Y424-Z424-AA424-AB424-AC424-AD424-AE424-AF424-AG424+AH424-AI424+AJ424+AK424-AL424</f>
        <v>0</v>
      </c>
      <c r="AN424" s="53"/>
      <c r="AO424" s="27"/>
    </row>
    <row r="425" spans="1:41">
      <c r="A425" s="44">
        <v>397</v>
      </c>
      <c r="B425" s="46" t="s">
        <v>1705</v>
      </c>
      <c r="C425" s="48" t="s">
        <v>1706</v>
      </c>
      <c r="D425" s="51" t="s">
        <v>73</v>
      </c>
      <c r="E425" s="51" t="s">
        <v>1655</v>
      </c>
      <c r="F425" s="54" t="s">
        <v>1707</v>
      </c>
      <c r="G425" s="50">
        <v>3</v>
      </c>
      <c r="H425" s="51" t="s">
        <v>1708</v>
      </c>
      <c r="I425" s="53">
        <v>304100</v>
      </c>
      <c r="J425" s="53">
        <v>0</v>
      </c>
      <c r="K425" s="53">
        <v>22000</v>
      </c>
      <c r="L425" s="53">
        <v>0</v>
      </c>
      <c r="M425" s="53">
        <v>0</v>
      </c>
      <c r="N425" s="53">
        <v>0</v>
      </c>
      <c r="O425" s="53">
        <v>0</v>
      </c>
      <c r="P425" s="53">
        <v>0</v>
      </c>
      <c r="Q425" s="53">
        <v>0</v>
      </c>
      <c r="R425" s="53">
        <v>0</v>
      </c>
      <c r="S425" s="53">
        <v>0</v>
      </c>
      <c r="T425" s="53">
        <v>0</v>
      </c>
      <c r="U425" s="53">
        <v>1100</v>
      </c>
      <c r="V425" s="53">
        <v>0</v>
      </c>
      <c r="W425" s="53">
        <v>0</v>
      </c>
      <c r="X425" s="53">
        <v>0</v>
      </c>
      <c r="Y425" s="53">
        <v>0</v>
      </c>
      <c r="Z425" s="53">
        <v>0</v>
      </c>
      <c r="AA425" s="53">
        <v>0</v>
      </c>
      <c r="AB425" s="53">
        <v>0</v>
      </c>
      <c r="AC425" s="53">
        <v>0</v>
      </c>
      <c r="AD425" s="53">
        <v>0</v>
      </c>
      <c r="AE425" s="53">
        <v>0</v>
      </c>
      <c r="AF425" s="53">
        <v>0</v>
      </c>
      <c r="AG425" s="53">
        <v>0</v>
      </c>
      <c r="AH425" s="53">
        <v>0</v>
      </c>
      <c r="AI425" s="53">
        <v>0</v>
      </c>
      <c r="AJ425" s="53">
        <v>0</v>
      </c>
      <c r="AK425" s="53">
        <v>0</v>
      </c>
      <c r="AL425" s="53">
        <v>0</v>
      </c>
      <c r="AM425" s="53" t="str">
        <f>I425-J425-K425-L425-M425-N425-O425-P425-Q425-R425-S425-T425-U425-V425-W425-X425-Y425-Z425-AA425-AB425-AC425-AD425-AE425-AF425-AG425+AH425-AI425+AJ425+AK425-AL425</f>
        <v>0</v>
      </c>
      <c r="AN425" s="53"/>
      <c r="AO425" s="27"/>
    </row>
    <row r="426" spans="1:41">
      <c r="A426" s="44">
        <v>398</v>
      </c>
      <c r="B426" s="46" t="s">
        <v>1709</v>
      </c>
      <c r="C426" s="48" t="s">
        <v>1710</v>
      </c>
      <c r="D426" s="51" t="s">
        <v>73</v>
      </c>
      <c r="E426" s="51" t="s">
        <v>1655</v>
      </c>
      <c r="F426" s="54" t="s">
        <v>1522</v>
      </c>
      <c r="G426" s="50">
        <v>2</v>
      </c>
      <c r="H426" s="51" t="s">
        <v>1711</v>
      </c>
      <c r="I426" s="53">
        <v>425000</v>
      </c>
      <c r="J426" s="53">
        <v>0</v>
      </c>
      <c r="K426" s="53">
        <v>22000</v>
      </c>
      <c r="L426" s="53">
        <v>0</v>
      </c>
      <c r="M426" s="53">
        <v>0</v>
      </c>
      <c r="N426" s="53">
        <v>0</v>
      </c>
      <c r="O426" s="53">
        <v>0</v>
      </c>
      <c r="P426" s="53">
        <v>0</v>
      </c>
      <c r="Q426" s="53">
        <v>0</v>
      </c>
      <c r="R426" s="53">
        <v>0</v>
      </c>
      <c r="S426" s="53">
        <v>0</v>
      </c>
      <c r="T426" s="53">
        <v>0</v>
      </c>
      <c r="U426" s="53">
        <v>1100</v>
      </c>
      <c r="V426" s="53">
        <v>0</v>
      </c>
      <c r="W426" s="53">
        <v>0</v>
      </c>
      <c r="X426" s="53">
        <v>0</v>
      </c>
      <c r="Y426" s="53">
        <v>0</v>
      </c>
      <c r="Z426" s="53">
        <v>0</v>
      </c>
      <c r="AA426" s="53">
        <v>0</v>
      </c>
      <c r="AB426" s="53">
        <v>0</v>
      </c>
      <c r="AC426" s="53">
        <v>0</v>
      </c>
      <c r="AD426" s="53">
        <v>0</v>
      </c>
      <c r="AE426" s="53">
        <v>0</v>
      </c>
      <c r="AF426" s="53">
        <v>0</v>
      </c>
      <c r="AG426" s="53">
        <v>0</v>
      </c>
      <c r="AH426" s="53">
        <v>0</v>
      </c>
      <c r="AI426" s="53">
        <v>0</v>
      </c>
      <c r="AJ426" s="53">
        <v>0</v>
      </c>
      <c r="AK426" s="53">
        <v>0</v>
      </c>
      <c r="AL426" s="53">
        <v>0</v>
      </c>
      <c r="AM426" s="53" t="str">
        <f>I426-J426-K426-L426-M426-N426-O426-P426-Q426-R426-S426-T426-U426-V426-W426-X426-Y426-Z426-AA426-AB426-AC426-AD426-AE426-AF426-AG426+AH426-AI426+AJ426+AK426-AL426</f>
        <v>0</v>
      </c>
      <c r="AN426" s="53"/>
      <c r="AO426" s="27"/>
    </row>
    <row r="427" spans="1:41">
      <c r="A427" s="44">
        <v>399</v>
      </c>
      <c r="B427" s="46" t="s">
        <v>1712</v>
      </c>
      <c r="C427" s="48" t="s">
        <v>1713</v>
      </c>
      <c r="D427" s="51" t="s">
        <v>73</v>
      </c>
      <c r="E427" s="51" t="s">
        <v>1655</v>
      </c>
      <c r="F427" s="54" t="s">
        <v>1714</v>
      </c>
      <c r="G427" s="50">
        <v>6</v>
      </c>
      <c r="H427" s="51" t="s">
        <v>1715</v>
      </c>
      <c r="I427" s="53">
        <v>961100</v>
      </c>
      <c r="J427" s="53">
        <v>0</v>
      </c>
      <c r="K427" s="53">
        <v>31000</v>
      </c>
      <c r="L427" s="53">
        <v>0</v>
      </c>
      <c r="M427" s="53">
        <v>0</v>
      </c>
      <c r="N427" s="53">
        <v>0</v>
      </c>
      <c r="O427" s="53">
        <v>0</v>
      </c>
      <c r="P427" s="53">
        <v>0</v>
      </c>
      <c r="Q427" s="53">
        <v>0</v>
      </c>
      <c r="R427" s="53">
        <v>0</v>
      </c>
      <c r="S427" s="53">
        <v>0</v>
      </c>
      <c r="T427" s="53">
        <v>0</v>
      </c>
      <c r="U427" s="53">
        <v>1550</v>
      </c>
      <c r="V427" s="53">
        <v>0</v>
      </c>
      <c r="W427" s="53">
        <v>0</v>
      </c>
      <c r="X427" s="53">
        <v>0</v>
      </c>
      <c r="Y427" s="53">
        <v>0</v>
      </c>
      <c r="Z427" s="53">
        <v>0</v>
      </c>
      <c r="AA427" s="53">
        <v>0</v>
      </c>
      <c r="AB427" s="53">
        <v>0</v>
      </c>
      <c r="AC427" s="53">
        <v>0</v>
      </c>
      <c r="AD427" s="53">
        <v>0</v>
      </c>
      <c r="AE427" s="53">
        <v>0</v>
      </c>
      <c r="AF427" s="53">
        <v>0</v>
      </c>
      <c r="AG427" s="53">
        <v>0</v>
      </c>
      <c r="AH427" s="53">
        <v>0</v>
      </c>
      <c r="AI427" s="53">
        <v>0</v>
      </c>
      <c r="AJ427" s="53">
        <v>0</v>
      </c>
      <c r="AK427" s="53">
        <v>0</v>
      </c>
      <c r="AL427" s="53">
        <v>0</v>
      </c>
      <c r="AM427" s="53" t="str">
        <f>I427-J427-K427-L427-M427-N427-O427-P427-Q427-R427-S427-T427-U427-V427-W427-X427-Y427-Z427-AA427-AB427-AC427-AD427-AE427-AF427-AG427+AH427-AI427+AJ427+AK427-AL427</f>
        <v>0</v>
      </c>
      <c r="AN427" s="53"/>
      <c r="AO427" s="27"/>
    </row>
    <row r="428" spans="1:41">
      <c r="A428" s="44">
        <v>400</v>
      </c>
      <c r="B428" s="46" t="s">
        <v>1716</v>
      </c>
      <c r="C428" s="48" t="s">
        <v>1717</v>
      </c>
      <c r="D428" s="51" t="s">
        <v>73</v>
      </c>
      <c r="E428" s="51" t="s">
        <v>1655</v>
      </c>
      <c r="F428" s="54" t="s">
        <v>1271</v>
      </c>
      <c r="G428" s="50">
        <v>5</v>
      </c>
      <c r="H428" s="51" t="s">
        <v>1718</v>
      </c>
      <c r="I428" s="53">
        <v>1006100</v>
      </c>
      <c r="J428" s="53">
        <v>0</v>
      </c>
      <c r="K428" s="53">
        <v>27000</v>
      </c>
      <c r="L428" s="53">
        <v>0</v>
      </c>
      <c r="M428" s="53">
        <v>0</v>
      </c>
      <c r="N428" s="53">
        <v>0</v>
      </c>
      <c r="O428" s="53">
        <v>0</v>
      </c>
      <c r="P428" s="53">
        <v>0</v>
      </c>
      <c r="Q428" s="53">
        <v>0</v>
      </c>
      <c r="R428" s="53">
        <v>0</v>
      </c>
      <c r="S428" s="53">
        <v>0</v>
      </c>
      <c r="T428" s="53">
        <v>0</v>
      </c>
      <c r="U428" s="53">
        <v>1350</v>
      </c>
      <c r="V428" s="53">
        <v>0</v>
      </c>
      <c r="W428" s="53">
        <v>0</v>
      </c>
      <c r="X428" s="53">
        <v>0</v>
      </c>
      <c r="Y428" s="53">
        <v>0</v>
      </c>
      <c r="Z428" s="53">
        <v>0</v>
      </c>
      <c r="AA428" s="53">
        <v>0</v>
      </c>
      <c r="AB428" s="53">
        <v>0</v>
      </c>
      <c r="AC428" s="53">
        <v>0</v>
      </c>
      <c r="AD428" s="53">
        <v>0</v>
      </c>
      <c r="AE428" s="53">
        <v>0</v>
      </c>
      <c r="AF428" s="53">
        <v>0</v>
      </c>
      <c r="AG428" s="53">
        <v>0</v>
      </c>
      <c r="AH428" s="53">
        <v>0</v>
      </c>
      <c r="AI428" s="53">
        <v>0</v>
      </c>
      <c r="AJ428" s="53">
        <v>0</v>
      </c>
      <c r="AK428" s="53">
        <v>0</v>
      </c>
      <c r="AL428" s="53">
        <v>0</v>
      </c>
      <c r="AM428" s="53" t="str">
        <f>I428-J428-K428-L428-M428-N428-O428-P428-Q428-R428-S428-T428-U428-V428-W428-X428-Y428-Z428-AA428-AB428-AC428-AD428-AE428-AF428-AG428+AH428-AI428+AJ428+AK428-AL428</f>
        <v>0</v>
      </c>
      <c r="AN428" s="53"/>
      <c r="AO428" s="27"/>
    </row>
    <row r="429" spans="1:41">
      <c r="A429" s="44">
        <v>401</v>
      </c>
      <c r="B429" s="46" t="s">
        <v>1719</v>
      </c>
      <c r="C429" s="48" t="s">
        <v>1720</v>
      </c>
      <c r="D429" s="51" t="s">
        <v>73</v>
      </c>
      <c r="E429" s="51" t="s">
        <v>1721</v>
      </c>
      <c r="F429" s="54" t="s">
        <v>1722</v>
      </c>
      <c r="G429" s="50">
        <v>2</v>
      </c>
      <c r="H429" s="51" t="s">
        <v>1723</v>
      </c>
      <c r="I429" s="53">
        <v>304000</v>
      </c>
      <c r="J429" s="53">
        <v>0</v>
      </c>
      <c r="K429" s="53">
        <v>22000</v>
      </c>
      <c r="L429" s="53">
        <v>0</v>
      </c>
      <c r="M429" s="53">
        <v>0</v>
      </c>
      <c r="N429" s="53">
        <v>0</v>
      </c>
      <c r="O429" s="53">
        <v>0</v>
      </c>
      <c r="P429" s="53">
        <v>0</v>
      </c>
      <c r="Q429" s="53">
        <v>0</v>
      </c>
      <c r="R429" s="53">
        <v>0</v>
      </c>
      <c r="S429" s="53">
        <v>0</v>
      </c>
      <c r="T429" s="53">
        <v>0</v>
      </c>
      <c r="U429" s="53">
        <v>1100</v>
      </c>
      <c r="V429" s="53">
        <v>0</v>
      </c>
      <c r="W429" s="53">
        <v>0</v>
      </c>
      <c r="X429" s="53">
        <v>0</v>
      </c>
      <c r="Y429" s="53">
        <v>0</v>
      </c>
      <c r="Z429" s="53">
        <v>0</v>
      </c>
      <c r="AA429" s="53">
        <v>0</v>
      </c>
      <c r="AB429" s="53">
        <v>0</v>
      </c>
      <c r="AC429" s="53">
        <v>0</v>
      </c>
      <c r="AD429" s="53">
        <v>0</v>
      </c>
      <c r="AE429" s="53">
        <v>0</v>
      </c>
      <c r="AF429" s="53">
        <v>0</v>
      </c>
      <c r="AG429" s="53">
        <v>0</v>
      </c>
      <c r="AH429" s="53">
        <v>0</v>
      </c>
      <c r="AI429" s="53">
        <v>0</v>
      </c>
      <c r="AJ429" s="53">
        <v>0</v>
      </c>
      <c r="AK429" s="53">
        <v>0</v>
      </c>
      <c r="AL429" s="53">
        <v>0</v>
      </c>
      <c r="AM429" s="53" t="str">
        <f>I429-J429-K429-L429-M429-N429-O429-P429-Q429-R429-S429-T429-U429-V429-W429-X429-Y429-Z429-AA429-AB429-AC429-AD429-AE429-AF429-AG429+AH429-AI429+AJ429+AK429-AL429</f>
        <v>0</v>
      </c>
      <c r="AN429" s="53"/>
      <c r="AO429" s="27"/>
    </row>
    <row r="430" spans="1:41">
      <c r="A430" s="44">
        <v>402</v>
      </c>
      <c r="B430" s="46" t="s">
        <v>1724</v>
      </c>
      <c r="C430" s="48" t="s">
        <v>1725</v>
      </c>
      <c r="D430" s="51" t="s">
        <v>73</v>
      </c>
      <c r="E430" s="51" t="s">
        <v>1721</v>
      </c>
      <c r="F430" s="54" t="s">
        <v>1726</v>
      </c>
      <c r="G430" s="50">
        <v>5</v>
      </c>
      <c r="H430" s="51" t="s">
        <v>1727</v>
      </c>
      <c r="I430" s="53">
        <v>1750000</v>
      </c>
      <c r="J430" s="53">
        <v>0</v>
      </c>
      <c r="K430" s="53">
        <v>27000</v>
      </c>
      <c r="L430" s="53">
        <v>0</v>
      </c>
      <c r="M430" s="53">
        <v>0</v>
      </c>
      <c r="N430" s="53">
        <v>0</v>
      </c>
      <c r="O430" s="53">
        <v>0</v>
      </c>
      <c r="P430" s="53">
        <v>0</v>
      </c>
      <c r="Q430" s="53">
        <v>0</v>
      </c>
      <c r="R430" s="53">
        <v>0</v>
      </c>
      <c r="S430" s="53">
        <v>0</v>
      </c>
      <c r="T430" s="53">
        <v>0</v>
      </c>
      <c r="U430" s="53">
        <v>1350</v>
      </c>
      <c r="V430" s="53">
        <v>0</v>
      </c>
      <c r="W430" s="53">
        <v>0</v>
      </c>
      <c r="X430" s="53">
        <v>0</v>
      </c>
      <c r="Y430" s="53">
        <v>0</v>
      </c>
      <c r="Z430" s="53">
        <v>0</v>
      </c>
      <c r="AA430" s="53">
        <v>0</v>
      </c>
      <c r="AB430" s="53">
        <v>0</v>
      </c>
      <c r="AC430" s="53">
        <v>0</v>
      </c>
      <c r="AD430" s="53">
        <v>0</v>
      </c>
      <c r="AE430" s="53">
        <v>0</v>
      </c>
      <c r="AF430" s="53">
        <v>0</v>
      </c>
      <c r="AG430" s="53">
        <v>0</v>
      </c>
      <c r="AH430" s="53">
        <v>0</v>
      </c>
      <c r="AI430" s="53">
        <v>0</v>
      </c>
      <c r="AJ430" s="53">
        <v>0</v>
      </c>
      <c r="AK430" s="53">
        <v>0</v>
      </c>
      <c r="AL430" s="53">
        <v>0</v>
      </c>
      <c r="AM430" s="53" t="str">
        <f>I430-J430-K430-L430-M430-N430-O430-P430-Q430-R430-S430-T430-U430-V430-W430-X430-Y430-Z430-AA430-AB430-AC430-AD430-AE430-AF430-AG430+AH430-AI430+AJ430+AK430-AL430</f>
        <v>0</v>
      </c>
      <c r="AN430" s="53"/>
      <c r="AO430" s="27"/>
    </row>
    <row r="431" spans="1:41">
      <c r="A431" s="44">
        <v>403</v>
      </c>
      <c r="B431" s="46" t="s">
        <v>1728</v>
      </c>
      <c r="C431" s="48" t="s">
        <v>1729</v>
      </c>
      <c r="D431" s="51" t="s">
        <v>73</v>
      </c>
      <c r="E431" s="51" t="s">
        <v>1721</v>
      </c>
      <c r="F431" s="54" t="s">
        <v>1730</v>
      </c>
      <c r="G431" s="50">
        <v>2</v>
      </c>
      <c r="H431" s="51" t="s">
        <v>1731</v>
      </c>
      <c r="I431" s="53">
        <v>304100</v>
      </c>
      <c r="J431" s="53">
        <v>0</v>
      </c>
      <c r="K431" s="53">
        <v>22000</v>
      </c>
      <c r="L431" s="53">
        <v>0</v>
      </c>
      <c r="M431" s="53">
        <v>0</v>
      </c>
      <c r="N431" s="53">
        <v>0</v>
      </c>
      <c r="O431" s="53">
        <v>0</v>
      </c>
      <c r="P431" s="53">
        <v>0</v>
      </c>
      <c r="Q431" s="53">
        <v>0</v>
      </c>
      <c r="R431" s="53">
        <v>0</v>
      </c>
      <c r="S431" s="53">
        <v>0</v>
      </c>
      <c r="T431" s="53">
        <v>0</v>
      </c>
      <c r="U431" s="53">
        <v>1100</v>
      </c>
      <c r="V431" s="53">
        <v>0</v>
      </c>
      <c r="W431" s="53">
        <v>0</v>
      </c>
      <c r="X431" s="53">
        <v>0</v>
      </c>
      <c r="Y431" s="53">
        <v>0</v>
      </c>
      <c r="Z431" s="53">
        <v>0</v>
      </c>
      <c r="AA431" s="53">
        <v>0</v>
      </c>
      <c r="AB431" s="53">
        <v>0</v>
      </c>
      <c r="AC431" s="53">
        <v>0</v>
      </c>
      <c r="AD431" s="53">
        <v>0</v>
      </c>
      <c r="AE431" s="53">
        <v>0</v>
      </c>
      <c r="AF431" s="53">
        <v>0</v>
      </c>
      <c r="AG431" s="53">
        <v>0</v>
      </c>
      <c r="AH431" s="53">
        <v>0</v>
      </c>
      <c r="AI431" s="53">
        <v>0</v>
      </c>
      <c r="AJ431" s="53">
        <v>0</v>
      </c>
      <c r="AK431" s="53">
        <v>0</v>
      </c>
      <c r="AL431" s="53">
        <v>0</v>
      </c>
      <c r="AM431" s="53" t="str">
        <f>I431-J431-K431-L431-M431-N431-O431-P431-Q431-R431-S431-T431-U431-V431-W431-X431-Y431-Z431-AA431-AB431-AC431-AD431-AE431-AF431-AG431+AH431-AI431+AJ431+AK431-AL431</f>
        <v>0</v>
      </c>
      <c r="AN431" s="53"/>
      <c r="AO431" s="27"/>
    </row>
    <row r="432" spans="1:41">
      <c r="A432" s="44">
        <v>404</v>
      </c>
      <c r="B432" s="46" t="s">
        <v>1732</v>
      </c>
      <c r="C432" s="48" t="s">
        <v>1733</v>
      </c>
      <c r="D432" s="51" t="s">
        <v>73</v>
      </c>
      <c r="E432" s="51" t="s">
        <v>1721</v>
      </c>
      <c r="F432" s="54" t="s">
        <v>402</v>
      </c>
      <c r="G432" s="50">
        <v>3</v>
      </c>
      <c r="H432" s="51" t="s">
        <v>1734</v>
      </c>
      <c r="I432" s="53">
        <v>630000</v>
      </c>
      <c r="J432" s="53">
        <v>0</v>
      </c>
      <c r="K432" s="53">
        <v>22000</v>
      </c>
      <c r="L432" s="53">
        <v>0</v>
      </c>
      <c r="M432" s="53">
        <v>0</v>
      </c>
      <c r="N432" s="53">
        <v>0</v>
      </c>
      <c r="O432" s="53">
        <v>0</v>
      </c>
      <c r="P432" s="53">
        <v>0</v>
      </c>
      <c r="Q432" s="53">
        <v>0</v>
      </c>
      <c r="R432" s="53">
        <v>0</v>
      </c>
      <c r="S432" s="53">
        <v>0</v>
      </c>
      <c r="T432" s="53">
        <v>0</v>
      </c>
      <c r="U432" s="53">
        <v>1100</v>
      </c>
      <c r="V432" s="53">
        <v>0</v>
      </c>
      <c r="W432" s="53">
        <v>0</v>
      </c>
      <c r="X432" s="53">
        <v>0</v>
      </c>
      <c r="Y432" s="53">
        <v>0</v>
      </c>
      <c r="Z432" s="53">
        <v>0</v>
      </c>
      <c r="AA432" s="53">
        <v>0</v>
      </c>
      <c r="AB432" s="53">
        <v>0</v>
      </c>
      <c r="AC432" s="53">
        <v>0</v>
      </c>
      <c r="AD432" s="53">
        <v>0</v>
      </c>
      <c r="AE432" s="53">
        <v>0</v>
      </c>
      <c r="AF432" s="53">
        <v>0</v>
      </c>
      <c r="AG432" s="53">
        <v>0</v>
      </c>
      <c r="AH432" s="53">
        <v>0</v>
      </c>
      <c r="AI432" s="53">
        <v>0</v>
      </c>
      <c r="AJ432" s="53">
        <v>0</v>
      </c>
      <c r="AK432" s="53">
        <v>0</v>
      </c>
      <c r="AL432" s="53">
        <v>0</v>
      </c>
      <c r="AM432" s="53" t="str">
        <f>I432-J432-K432-L432-M432-N432-O432-P432-Q432-R432-S432-T432-U432-V432-W432-X432-Y432-Z432-AA432-AB432-AC432-AD432-AE432-AF432-AG432+AH432-AI432+AJ432+AK432-AL432</f>
        <v>0</v>
      </c>
      <c r="AN432" s="53"/>
      <c r="AO432" s="27"/>
    </row>
    <row r="433" spans="1:41">
      <c r="A433" s="44">
        <v>405</v>
      </c>
      <c r="B433" s="46" t="s">
        <v>1735</v>
      </c>
      <c r="C433" s="48" t="s">
        <v>1736</v>
      </c>
      <c r="D433" s="51" t="s">
        <v>62</v>
      </c>
      <c r="E433" s="51" t="s">
        <v>1721</v>
      </c>
      <c r="F433" s="54" t="s">
        <v>1737</v>
      </c>
      <c r="G433" s="50">
        <v>7</v>
      </c>
      <c r="H433" s="51" t="s">
        <v>1738</v>
      </c>
      <c r="I433" s="53">
        <v>0</v>
      </c>
      <c r="J433" s="53">
        <v>0</v>
      </c>
      <c r="K433" s="53">
        <v>35000</v>
      </c>
      <c r="L433" s="53">
        <v>0</v>
      </c>
      <c r="M433" s="53">
        <v>0</v>
      </c>
      <c r="N433" s="53">
        <v>0</v>
      </c>
      <c r="O433" s="53">
        <v>0</v>
      </c>
      <c r="P433" s="53">
        <v>0</v>
      </c>
      <c r="Q433" s="53">
        <v>0</v>
      </c>
      <c r="R433" s="53">
        <v>0</v>
      </c>
      <c r="S433" s="53">
        <v>0</v>
      </c>
      <c r="T433" s="53">
        <v>0</v>
      </c>
      <c r="U433" s="53">
        <v>1750</v>
      </c>
      <c r="V433" s="53">
        <v>0</v>
      </c>
      <c r="W433" s="53">
        <v>0</v>
      </c>
      <c r="X433" s="53">
        <v>0</v>
      </c>
      <c r="Y433" s="53">
        <v>5250</v>
      </c>
      <c r="Z433" s="53">
        <v>0</v>
      </c>
      <c r="AA433" s="53">
        <v>0</v>
      </c>
      <c r="AB433" s="53">
        <v>0</v>
      </c>
      <c r="AC433" s="53">
        <v>0</v>
      </c>
      <c r="AD433" s="53">
        <v>0</v>
      </c>
      <c r="AE433" s="53">
        <v>0</v>
      </c>
      <c r="AF433" s="53">
        <v>0</v>
      </c>
      <c r="AG433" s="53">
        <v>0</v>
      </c>
      <c r="AH433" s="53">
        <v>0</v>
      </c>
      <c r="AI433" s="53">
        <v>0</v>
      </c>
      <c r="AJ433" s="53">
        <v>0</v>
      </c>
      <c r="AK433" s="53">
        <v>0</v>
      </c>
      <c r="AL433" s="53">
        <v>0</v>
      </c>
      <c r="AM433" s="53" t="str">
        <f>I433-J433-K433-L433-M433-N433-O433-P433-Q433-R433-S433-T433-U433-V433-W433-X433-Y433-Z433-AA433-AB433-AC433-AD433-AE433-AF433-AG433+AH433-AI433+AJ433+AK433-AL433</f>
        <v>0</v>
      </c>
      <c r="AN433" s="53"/>
      <c r="AO433" s="27"/>
    </row>
    <row r="434" spans="1:41">
      <c r="A434" s="44">
        <v>406</v>
      </c>
      <c r="B434" s="46" t="s">
        <v>1739</v>
      </c>
      <c r="C434" s="48" t="s">
        <v>1740</v>
      </c>
      <c r="D434" s="51" t="s">
        <v>73</v>
      </c>
      <c r="E434" s="51" t="s">
        <v>1721</v>
      </c>
      <c r="F434" s="54" t="s">
        <v>1737</v>
      </c>
      <c r="G434" s="50">
        <v>3</v>
      </c>
      <c r="H434" s="51" t="s">
        <v>1741</v>
      </c>
      <c r="I434" s="53">
        <v>570500</v>
      </c>
      <c r="J434" s="53">
        <v>0</v>
      </c>
      <c r="K434" s="53">
        <v>22000</v>
      </c>
      <c r="L434" s="53">
        <v>0</v>
      </c>
      <c r="M434" s="53">
        <v>0</v>
      </c>
      <c r="N434" s="53">
        <v>0</v>
      </c>
      <c r="O434" s="53">
        <v>0</v>
      </c>
      <c r="P434" s="53">
        <v>0</v>
      </c>
      <c r="Q434" s="53">
        <v>0</v>
      </c>
      <c r="R434" s="53">
        <v>0</v>
      </c>
      <c r="S434" s="53">
        <v>0</v>
      </c>
      <c r="T434" s="53">
        <v>0</v>
      </c>
      <c r="U434" s="53">
        <v>1100</v>
      </c>
      <c r="V434" s="53">
        <v>0</v>
      </c>
      <c r="W434" s="53">
        <v>0</v>
      </c>
      <c r="X434" s="53">
        <v>0</v>
      </c>
      <c r="Y434" s="53">
        <v>0</v>
      </c>
      <c r="Z434" s="53">
        <v>0</v>
      </c>
      <c r="AA434" s="53">
        <v>0</v>
      </c>
      <c r="AB434" s="53">
        <v>0</v>
      </c>
      <c r="AC434" s="53">
        <v>0</v>
      </c>
      <c r="AD434" s="53">
        <v>0</v>
      </c>
      <c r="AE434" s="53">
        <v>0</v>
      </c>
      <c r="AF434" s="53">
        <v>0</v>
      </c>
      <c r="AG434" s="53">
        <v>0</v>
      </c>
      <c r="AH434" s="53">
        <v>0</v>
      </c>
      <c r="AI434" s="53">
        <v>0</v>
      </c>
      <c r="AJ434" s="53">
        <v>0</v>
      </c>
      <c r="AK434" s="53">
        <v>0</v>
      </c>
      <c r="AL434" s="53">
        <v>0</v>
      </c>
      <c r="AM434" s="53" t="str">
        <f>I434-J434-K434-L434-M434-N434-O434-P434-Q434-R434-S434-T434-U434-V434-W434-X434-Y434-Z434-AA434-AB434-AC434-AD434-AE434-AF434-AG434+AH434-AI434+AJ434+AK434-AL434</f>
        <v>0</v>
      </c>
      <c r="AN434" s="53"/>
      <c r="AO434" s="27"/>
    </row>
    <row r="435" spans="1:41">
      <c r="A435" s="44">
        <v>407</v>
      </c>
      <c r="B435" s="46" t="s">
        <v>1742</v>
      </c>
      <c r="C435" s="48" t="s">
        <v>1743</v>
      </c>
      <c r="D435" s="51" t="s">
        <v>73</v>
      </c>
      <c r="E435" s="51" t="s">
        <v>1721</v>
      </c>
      <c r="F435" s="54" t="s">
        <v>1744</v>
      </c>
      <c r="G435" s="50">
        <v>2</v>
      </c>
      <c r="H435" s="51" t="s">
        <v>1745</v>
      </c>
      <c r="I435" s="53">
        <v>354000</v>
      </c>
      <c r="J435" s="53">
        <v>0</v>
      </c>
      <c r="K435" s="53">
        <v>22000</v>
      </c>
      <c r="L435" s="53">
        <v>0</v>
      </c>
      <c r="M435" s="53">
        <v>0</v>
      </c>
      <c r="N435" s="53">
        <v>0</v>
      </c>
      <c r="O435" s="53">
        <v>0</v>
      </c>
      <c r="P435" s="53">
        <v>0</v>
      </c>
      <c r="Q435" s="53">
        <v>0</v>
      </c>
      <c r="R435" s="53">
        <v>0</v>
      </c>
      <c r="S435" s="53">
        <v>0</v>
      </c>
      <c r="T435" s="53">
        <v>0</v>
      </c>
      <c r="U435" s="53">
        <v>1100</v>
      </c>
      <c r="V435" s="53">
        <v>0</v>
      </c>
      <c r="W435" s="53">
        <v>0</v>
      </c>
      <c r="X435" s="53">
        <v>0</v>
      </c>
      <c r="Y435" s="53">
        <v>0</v>
      </c>
      <c r="Z435" s="53">
        <v>0</v>
      </c>
      <c r="AA435" s="53">
        <v>0</v>
      </c>
      <c r="AB435" s="53">
        <v>0</v>
      </c>
      <c r="AC435" s="53">
        <v>0</v>
      </c>
      <c r="AD435" s="53">
        <v>0</v>
      </c>
      <c r="AE435" s="53">
        <v>0</v>
      </c>
      <c r="AF435" s="53">
        <v>0</v>
      </c>
      <c r="AG435" s="53">
        <v>0</v>
      </c>
      <c r="AH435" s="53">
        <v>0</v>
      </c>
      <c r="AI435" s="53">
        <v>0</v>
      </c>
      <c r="AJ435" s="53">
        <v>0</v>
      </c>
      <c r="AK435" s="53">
        <v>0</v>
      </c>
      <c r="AL435" s="53">
        <v>0</v>
      </c>
      <c r="AM435" s="53" t="str">
        <f>I435-J435-K435-L435-M435-N435-O435-P435-Q435-R435-S435-T435-U435-V435-W435-X435-Y435-Z435-AA435-AB435-AC435-AD435-AE435-AF435-AG435+AH435-AI435+AJ435+AK435-AL435</f>
        <v>0</v>
      </c>
      <c r="AN435" s="53"/>
      <c r="AO435" s="27"/>
    </row>
    <row r="436" spans="1:41">
      <c r="A436" s="44">
        <v>408</v>
      </c>
      <c r="B436" s="46" t="s">
        <v>1746</v>
      </c>
      <c r="C436" s="48" t="s">
        <v>1747</v>
      </c>
      <c r="D436" s="51" t="s">
        <v>73</v>
      </c>
      <c r="E436" s="51" t="s">
        <v>1721</v>
      </c>
      <c r="F436" s="54" t="s">
        <v>1748</v>
      </c>
      <c r="G436" s="50">
        <v>5.8</v>
      </c>
      <c r="H436" s="51" t="s">
        <v>1749</v>
      </c>
      <c r="I436" s="53">
        <v>634000</v>
      </c>
      <c r="J436" s="53">
        <v>0</v>
      </c>
      <c r="K436" s="53">
        <v>31000</v>
      </c>
      <c r="L436" s="53">
        <v>0</v>
      </c>
      <c r="M436" s="53">
        <v>0</v>
      </c>
      <c r="N436" s="53">
        <v>0</v>
      </c>
      <c r="O436" s="53">
        <v>0</v>
      </c>
      <c r="P436" s="53">
        <v>0</v>
      </c>
      <c r="Q436" s="53">
        <v>0</v>
      </c>
      <c r="R436" s="53">
        <v>0</v>
      </c>
      <c r="S436" s="53">
        <v>0</v>
      </c>
      <c r="T436" s="53">
        <v>0</v>
      </c>
      <c r="U436" s="53">
        <v>1550</v>
      </c>
      <c r="V436" s="53">
        <v>0</v>
      </c>
      <c r="W436" s="53">
        <v>0</v>
      </c>
      <c r="X436" s="53">
        <v>0</v>
      </c>
      <c r="Y436" s="53">
        <v>0</v>
      </c>
      <c r="Z436" s="53">
        <v>0</v>
      </c>
      <c r="AA436" s="53">
        <v>0</v>
      </c>
      <c r="AB436" s="53">
        <v>0</v>
      </c>
      <c r="AC436" s="53">
        <v>0</v>
      </c>
      <c r="AD436" s="53">
        <v>0</v>
      </c>
      <c r="AE436" s="53">
        <v>0</v>
      </c>
      <c r="AF436" s="53">
        <v>0</v>
      </c>
      <c r="AG436" s="53">
        <v>0</v>
      </c>
      <c r="AH436" s="53">
        <v>0</v>
      </c>
      <c r="AI436" s="53">
        <v>0</v>
      </c>
      <c r="AJ436" s="53">
        <v>0</v>
      </c>
      <c r="AK436" s="53">
        <v>0</v>
      </c>
      <c r="AL436" s="53">
        <v>0</v>
      </c>
      <c r="AM436" s="53" t="str">
        <f>I436-J436-K436-L436-M436-N436-O436-P436-Q436-R436-S436-T436-U436-V436-W436-X436-Y436-Z436-AA436-AB436-AC436-AD436-AE436-AF436-AG436+AH436-AI436+AJ436+AK436-AL436</f>
        <v>0</v>
      </c>
      <c r="AN436" s="53"/>
      <c r="AO436" s="27"/>
    </row>
    <row r="437" spans="1:41">
      <c r="A437" s="44">
        <v>409</v>
      </c>
      <c r="B437" s="46" t="s">
        <v>1750</v>
      </c>
      <c r="C437" s="48" t="s">
        <v>1751</v>
      </c>
      <c r="D437" s="51" t="s">
        <v>73</v>
      </c>
      <c r="E437" s="51" t="s">
        <v>1752</v>
      </c>
      <c r="F437" s="54" t="s">
        <v>1753</v>
      </c>
      <c r="G437" s="50">
        <v>5.8</v>
      </c>
      <c r="H437" s="51" t="s">
        <v>1754</v>
      </c>
      <c r="I437" s="53">
        <v>574100</v>
      </c>
      <c r="J437" s="53">
        <v>0</v>
      </c>
      <c r="K437" s="53">
        <v>31000</v>
      </c>
      <c r="L437" s="53">
        <v>0</v>
      </c>
      <c r="M437" s="53">
        <v>0</v>
      </c>
      <c r="N437" s="53">
        <v>0</v>
      </c>
      <c r="O437" s="53">
        <v>0</v>
      </c>
      <c r="P437" s="53">
        <v>0</v>
      </c>
      <c r="Q437" s="53">
        <v>0</v>
      </c>
      <c r="R437" s="53">
        <v>0</v>
      </c>
      <c r="S437" s="53">
        <v>0</v>
      </c>
      <c r="T437" s="53">
        <v>0</v>
      </c>
      <c r="U437" s="53">
        <v>1550</v>
      </c>
      <c r="V437" s="53">
        <v>0</v>
      </c>
      <c r="W437" s="53">
        <v>0</v>
      </c>
      <c r="X437" s="53">
        <v>0</v>
      </c>
      <c r="Y437" s="53">
        <v>0</v>
      </c>
      <c r="Z437" s="53">
        <v>0</v>
      </c>
      <c r="AA437" s="53">
        <v>0</v>
      </c>
      <c r="AB437" s="53">
        <v>0</v>
      </c>
      <c r="AC437" s="53">
        <v>0</v>
      </c>
      <c r="AD437" s="53">
        <v>0</v>
      </c>
      <c r="AE437" s="53">
        <v>0</v>
      </c>
      <c r="AF437" s="53">
        <v>0</v>
      </c>
      <c r="AG437" s="53">
        <v>0</v>
      </c>
      <c r="AH437" s="53">
        <v>0</v>
      </c>
      <c r="AI437" s="53">
        <v>0</v>
      </c>
      <c r="AJ437" s="53">
        <v>0</v>
      </c>
      <c r="AK437" s="53">
        <v>0</v>
      </c>
      <c r="AL437" s="53">
        <v>0</v>
      </c>
      <c r="AM437" s="53" t="str">
        <f>I437-J437-K437-L437-M437-N437-O437-P437-Q437-R437-S437-T437-U437-V437-W437-X437-Y437-Z437-AA437-AB437-AC437-AD437-AE437-AF437-AG437+AH437-AI437+AJ437+AK437-AL437</f>
        <v>0</v>
      </c>
      <c r="AN437" s="53"/>
      <c r="AO437" s="27"/>
    </row>
    <row r="438" spans="1:41">
      <c r="A438" s="44">
        <v>410</v>
      </c>
      <c r="B438" s="46" t="s">
        <v>1755</v>
      </c>
      <c r="C438" s="48" t="s">
        <v>1756</v>
      </c>
      <c r="D438" s="51" t="s">
        <v>73</v>
      </c>
      <c r="E438" s="51" t="s">
        <v>1752</v>
      </c>
      <c r="F438" s="54" t="s">
        <v>759</v>
      </c>
      <c r="G438" s="50">
        <v>2</v>
      </c>
      <c r="H438" s="51" t="s">
        <v>1757</v>
      </c>
      <c r="I438" s="53">
        <v>574100</v>
      </c>
      <c r="J438" s="53">
        <v>0</v>
      </c>
      <c r="K438" s="53">
        <v>22000</v>
      </c>
      <c r="L438" s="53">
        <v>0</v>
      </c>
      <c r="M438" s="53">
        <v>0</v>
      </c>
      <c r="N438" s="53">
        <v>0</v>
      </c>
      <c r="O438" s="53">
        <v>0</v>
      </c>
      <c r="P438" s="53">
        <v>0</v>
      </c>
      <c r="Q438" s="53">
        <v>0</v>
      </c>
      <c r="R438" s="53">
        <v>0</v>
      </c>
      <c r="S438" s="53">
        <v>0</v>
      </c>
      <c r="T438" s="53">
        <v>0</v>
      </c>
      <c r="U438" s="53">
        <v>1100</v>
      </c>
      <c r="V438" s="53">
        <v>0</v>
      </c>
      <c r="W438" s="53">
        <v>0</v>
      </c>
      <c r="X438" s="53">
        <v>0</v>
      </c>
      <c r="Y438" s="53">
        <v>0</v>
      </c>
      <c r="Z438" s="53">
        <v>0</v>
      </c>
      <c r="AA438" s="53">
        <v>0</v>
      </c>
      <c r="AB438" s="53">
        <v>0</v>
      </c>
      <c r="AC438" s="53">
        <v>0</v>
      </c>
      <c r="AD438" s="53">
        <v>0</v>
      </c>
      <c r="AE438" s="53">
        <v>0</v>
      </c>
      <c r="AF438" s="53">
        <v>0</v>
      </c>
      <c r="AG438" s="53">
        <v>0</v>
      </c>
      <c r="AH438" s="53">
        <v>0</v>
      </c>
      <c r="AI438" s="53">
        <v>0</v>
      </c>
      <c r="AJ438" s="53">
        <v>0</v>
      </c>
      <c r="AK438" s="53">
        <v>0</v>
      </c>
      <c r="AL438" s="53">
        <v>0</v>
      </c>
      <c r="AM438" s="53" t="str">
        <f>I438-J438-K438-L438-M438-N438-O438-P438-Q438-R438-S438-T438-U438-V438-W438-X438-Y438-Z438-AA438-AB438-AC438-AD438-AE438-AF438-AG438+AH438-AI438+AJ438+AK438-AL438</f>
        <v>0</v>
      </c>
      <c r="AN438" s="53"/>
      <c r="AO438" s="27"/>
    </row>
    <row r="439" spans="1:41">
      <c r="A439" s="44">
        <v>411</v>
      </c>
      <c r="B439" s="46" t="s">
        <v>1758</v>
      </c>
      <c r="C439" s="48" t="s">
        <v>1759</v>
      </c>
      <c r="D439" s="51" t="s">
        <v>62</v>
      </c>
      <c r="E439" s="51" t="s">
        <v>1752</v>
      </c>
      <c r="F439" s="54" t="s">
        <v>1760</v>
      </c>
      <c r="G439" s="50">
        <v>2</v>
      </c>
      <c r="H439" s="51" t="s">
        <v>1761</v>
      </c>
      <c r="I439" s="53">
        <v>0</v>
      </c>
      <c r="J439" s="53">
        <v>0</v>
      </c>
      <c r="K439" s="53">
        <v>22000</v>
      </c>
      <c r="L439" s="53">
        <v>0</v>
      </c>
      <c r="M439" s="53">
        <v>0</v>
      </c>
      <c r="N439" s="53">
        <v>0</v>
      </c>
      <c r="O439" s="53">
        <v>0</v>
      </c>
      <c r="P439" s="53">
        <v>0</v>
      </c>
      <c r="Q439" s="53">
        <v>0</v>
      </c>
      <c r="R439" s="53">
        <v>0</v>
      </c>
      <c r="S439" s="53">
        <v>0</v>
      </c>
      <c r="T439" s="53">
        <v>0</v>
      </c>
      <c r="U439" s="53">
        <v>1100</v>
      </c>
      <c r="V439" s="53">
        <v>0</v>
      </c>
      <c r="W439" s="53">
        <v>0</v>
      </c>
      <c r="X439" s="53">
        <v>0</v>
      </c>
      <c r="Y439" s="53">
        <v>11550</v>
      </c>
      <c r="Z439" s="53">
        <v>0</v>
      </c>
      <c r="AA439" s="53">
        <v>0</v>
      </c>
      <c r="AB439" s="53">
        <v>0</v>
      </c>
      <c r="AC439" s="53">
        <v>0</v>
      </c>
      <c r="AD439" s="53">
        <v>0</v>
      </c>
      <c r="AE439" s="53">
        <v>0</v>
      </c>
      <c r="AF439" s="53">
        <v>0</v>
      </c>
      <c r="AG439" s="53">
        <v>0</v>
      </c>
      <c r="AH439" s="53">
        <v>0</v>
      </c>
      <c r="AI439" s="53">
        <v>0</v>
      </c>
      <c r="AJ439" s="53">
        <v>0</v>
      </c>
      <c r="AK439" s="53">
        <v>0</v>
      </c>
      <c r="AL439" s="53">
        <v>0</v>
      </c>
      <c r="AM439" s="53" t="str">
        <f>I439-J439-K439-L439-M439-N439-O439-P439-Q439-R439-S439-T439-U439-V439-W439-X439-Y439-Z439-AA439-AB439-AC439-AD439-AE439-AF439-AG439+AH439-AI439+AJ439+AK439-AL439</f>
        <v>0</v>
      </c>
      <c r="AN439" s="53"/>
      <c r="AO439" s="27"/>
    </row>
    <row r="440" spans="1:41">
      <c r="A440" s="44">
        <v>412</v>
      </c>
      <c r="B440" s="46" t="s">
        <v>1762</v>
      </c>
      <c r="C440" s="48" t="s">
        <v>1763</v>
      </c>
      <c r="D440" s="51" t="s">
        <v>73</v>
      </c>
      <c r="E440" s="51" t="s">
        <v>1752</v>
      </c>
      <c r="F440" s="54" t="s">
        <v>1093</v>
      </c>
      <c r="G440" s="50">
        <v>2</v>
      </c>
      <c r="H440" s="51" t="s">
        <v>1764</v>
      </c>
      <c r="I440" s="53">
        <v>304100</v>
      </c>
      <c r="J440" s="53">
        <v>0</v>
      </c>
      <c r="K440" s="53">
        <v>22000</v>
      </c>
      <c r="L440" s="53">
        <v>0</v>
      </c>
      <c r="M440" s="53">
        <v>0</v>
      </c>
      <c r="N440" s="53">
        <v>0</v>
      </c>
      <c r="O440" s="53">
        <v>0</v>
      </c>
      <c r="P440" s="53">
        <v>0</v>
      </c>
      <c r="Q440" s="53">
        <v>0</v>
      </c>
      <c r="R440" s="53">
        <v>0</v>
      </c>
      <c r="S440" s="53">
        <v>0</v>
      </c>
      <c r="T440" s="53">
        <v>0</v>
      </c>
      <c r="U440" s="53">
        <v>1100</v>
      </c>
      <c r="V440" s="53">
        <v>0</v>
      </c>
      <c r="W440" s="53">
        <v>0</v>
      </c>
      <c r="X440" s="53">
        <v>0</v>
      </c>
      <c r="Y440" s="53">
        <v>0</v>
      </c>
      <c r="Z440" s="53">
        <v>0</v>
      </c>
      <c r="AA440" s="53">
        <v>0</v>
      </c>
      <c r="AB440" s="53">
        <v>0</v>
      </c>
      <c r="AC440" s="53">
        <v>0</v>
      </c>
      <c r="AD440" s="53">
        <v>0</v>
      </c>
      <c r="AE440" s="53">
        <v>0</v>
      </c>
      <c r="AF440" s="53">
        <v>0</v>
      </c>
      <c r="AG440" s="53">
        <v>0</v>
      </c>
      <c r="AH440" s="53">
        <v>0</v>
      </c>
      <c r="AI440" s="53">
        <v>0</v>
      </c>
      <c r="AJ440" s="53">
        <v>0</v>
      </c>
      <c r="AK440" s="53">
        <v>0</v>
      </c>
      <c r="AL440" s="53">
        <v>0</v>
      </c>
      <c r="AM440" s="53" t="str">
        <f>I440-J440-K440-L440-M440-N440-O440-P440-Q440-R440-S440-T440-U440-V440-W440-X440-Y440-Z440-AA440-AB440-AC440-AD440-AE440-AF440-AG440+AH440-AI440+AJ440+AK440-AL440</f>
        <v>0</v>
      </c>
      <c r="AN440" s="53"/>
      <c r="AO440" s="27"/>
    </row>
    <row r="441" spans="1:41">
      <c r="A441" s="44">
        <v>413</v>
      </c>
      <c r="B441" s="46" t="s">
        <v>1765</v>
      </c>
      <c r="C441" s="48" t="s">
        <v>1766</v>
      </c>
      <c r="D441" s="51" t="s">
        <v>73</v>
      </c>
      <c r="E441" s="51" t="s">
        <v>1767</v>
      </c>
      <c r="F441" s="54" t="s">
        <v>1768</v>
      </c>
      <c r="G441" s="50">
        <v>4</v>
      </c>
      <c r="H441" s="51" t="s">
        <v>1769</v>
      </c>
      <c r="I441" s="53">
        <v>574100</v>
      </c>
      <c r="J441" s="53">
        <v>0</v>
      </c>
      <c r="K441" s="53">
        <v>25000</v>
      </c>
      <c r="L441" s="53">
        <v>0</v>
      </c>
      <c r="M441" s="53">
        <v>0</v>
      </c>
      <c r="N441" s="53">
        <v>0</v>
      </c>
      <c r="O441" s="53">
        <v>0</v>
      </c>
      <c r="P441" s="53">
        <v>0</v>
      </c>
      <c r="Q441" s="53">
        <v>0</v>
      </c>
      <c r="R441" s="53">
        <v>0</v>
      </c>
      <c r="S441" s="53">
        <v>0</v>
      </c>
      <c r="T441" s="53">
        <v>0</v>
      </c>
      <c r="U441" s="53">
        <v>1250</v>
      </c>
      <c r="V441" s="53">
        <v>0</v>
      </c>
      <c r="W441" s="53">
        <v>0</v>
      </c>
      <c r="X441" s="53">
        <v>0</v>
      </c>
      <c r="Y441" s="53">
        <v>0</v>
      </c>
      <c r="Z441" s="53">
        <v>0</v>
      </c>
      <c r="AA441" s="53">
        <v>0</v>
      </c>
      <c r="AB441" s="53">
        <v>0</v>
      </c>
      <c r="AC441" s="53">
        <v>0</v>
      </c>
      <c r="AD441" s="53">
        <v>0</v>
      </c>
      <c r="AE441" s="53">
        <v>0</v>
      </c>
      <c r="AF441" s="53">
        <v>0</v>
      </c>
      <c r="AG441" s="53">
        <v>0</v>
      </c>
      <c r="AH441" s="53">
        <v>0</v>
      </c>
      <c r="AI441" s="53">
        <v>0</v>
      </c>
      <c r="AJ441" s="53">
        <v>0</v>
      </c>
      <c r="AK441" s="53">
        <v>0</v>
      </c>
      <c r="AL441" s="53">
        <v>0</v>
      </c>
      <c r="AM441" s="53" t="str">
        <f>I441-J441-K441-L441-M441-N441-O441-P441-Q441-R441-S441-T441-U441-V441-W441-X441-Y441-Z441-AA441-AB441-AC441-AD441-AE441-AF441-AG441+AH441-AI441+AJ441+AK441-AL441</f>
        <v>0</v>
      </c>
      <c r="AN441" s="53"/>
      <c r="AO441" s="27"/>
    </row>
    <row r="442" spans="1:41">
      <c r="A442" s="44">
        <v>414</v>
      </c>
      <c r="B442" s="46" t="s">
        <v>1770</v>
      </c>
      <c r="C442" s="48" t="s">
        <v>1771</v>
      </c>
      <c r="D442" s="51" t="s">
        <v>73</v>
      </c>
      <c r="E442" s="51" t="s">
        <v>1767</v>
      </c>
      <c r="F442" s="54" t="s">
        <v>1772</v>
      </c>
      <c r="G442" s="50">
        <v>13</v>
      </c>
      <c r="H442" s="51" t="s">
        <v>1773</v>
      </c>
      <c r="I442" s="53">
        <v>2785000</v>
      </c>
      <c r="J442" s="53">
        <v>0</v>
      </c>
      <c r="K442" s="53">
        <v>64000</v>
      </c>
      <c r="L442" s="53">
        <v>0</v>
      </c>
      <c r="M442" s="53">
        <v>0</v>
      </c>
      <c r="N442" s="53">
        <v>0</v>
      </c>
      <c r="O442" s="53">
        <v>0</v>
      </c>
      <c r="P442" s="53">
        <v>0</v>
      </c>
      <c r="Q442" s="53">
        <v>0</v>
      </c>
      <c r="R442" s="53">
        <v>0</v>
      </c>
      <c r="S442" s="53">
        <v>0</v>
      </c>
      <c r="T442" s="53">
        <v>0</v>
      </c>
      <c r="U442" s="53">
        <v>3200</v>
      </c>
      <c r="V442" s="53">
        <v>0</v>
      </c>
      <c r="W442" s="53">
        <v>0</v>
      </c>
      <c r="X442" s="53">
        <v>0</v>
      </c>
      <c r="Y442" s="53">
        <v>0</v>
      </c>
      <c r="Z442" s="53">
        <v>0</v>
      </c>
      <c r="AA442" s="53">
        <v>0</v>
      </c>
      <c r="AB442" s="53">
        <v>0</v>
      </c>
      <c r="AC442" s="53">
        <v>0</v>
      </c>
      <c r="AD442" s="53">
        <v>0</v>
      </c>
      <c r="AE442" s="53">
        <v>0</v>
      </c>
      <c r="AF442" s="53">
        <v>0</v>
      </c>
      <c r="AG442" s="53">
        <v>0</v>
      </c>
      <c r="AH442" s="53">
        <v>0</v>
      </c>
      <c r="AI442" s="53">
        <v>0</v>
      </c>
      <c r="AJ442" s="53">
        <v>0</v>
      </c>
      <c r="AK442" s="53">
        <v>0</v>
      </c>
      <c r="AL442" s="53">
        <v>0</v>
      </c>
      <c r="AM442" s="53" t="str">
        <f>I442-J442-K442-L442-M442-N442-O442-P442-Q442-R442-S442-T442-U442-V442-W442-X442-Y442-Z442-AA442-AB442-AC442-AD442-AE442-AF442-AG442+AH442-AI442+AJ442+AK442-AL442</f>
        <v>0</v>
      </c>
      <c r="AN442" s="53"/>
      <c r="AO442" s="27"/>
    </row>
    <row r="443" spans="1:41">
      <c r="A443" s="44">
        <v>415</v>
      </c>
      <c r="B443" s="46" t="s">
        <v>1774</v>
      </c>
      <c r="C443" s="48" t="s">
        <v>1775</v>
      </c>
      <c r="D443" s="51" t="s">
        <v>73</v>
      </c>
      <c r="E443" s="51" t="s">
        <v>1767</v>
      </c>
      <c r="F443" s="54" t="s">
        <v>1034</v>
      </c>
      <c r="G443" s="50">
        <v>2</v>
      </c>
      <c r="H443" s="51" t="s">
        <v>1776</v>
      </c>
      <c r="I443" s="53">
        <v>304100</v>
      </c>
      <c r="J443" s="53">
        <v>0</v>
      </c>
      <c r="K443" s="53">
        <v>22000</v>
      </c>
      <c r="L443" s="53">
        <v>0</v>
      </c>
      <c r="M443" s="53">
        <v>0</v>
      </c>
      <c r="N443" s="53">
        <v>0</v>
      </c>
      <c r="O443" s="53">
        <v>0</v>
      </c>
      <c r="P443" s="53">
        <v>0</v>
      </c>
      <c r="Q443" s="53">
        <v>0</v>
      </c>
      <c r="R443" s="53">
        <v>0</v>
      </c>
      <c r="S443" s="53">
        <v>0</v>
      </c>
      <c r="T443" s="53">
        <v>0</v>
      </c>
      <c r="U443" s="53">
        <v>1100</v>
      </c>
      <c r="V443" s="53">
        <v>0</v>
      </c>
      <c r="W443" s="53">
        <v>0</v>
      </c>
      <c r="X443" s="53">
        <v>0</v>
      </c>
      <c r="Y443" s="53">
        <v>0</v>
      </c>
      <c r="Z443" s="53">
        <v>0</v>
      </c>
      <c r="AA443" s="53">
        <v>0</v>
      </c>
      <c r="AB443" s="53">
        <v>0</v>
      </c>
      <c r="AC443" s="53">
        <v>0</v>
      </c>
      <c r="AD443" s="53">
        <v>0</v>
      </c>
      <c r="AE443" s="53">
        <v>0</v>
      </c>
      <c r="AF443" s="53">
        <v>0</v>
      </c>
      <c r="AG443" s="53">
        <v>0</v>
      </c>
      <c r="AH443" s="53">
        <v>0</v>
      </c>
      <c r="AI443" s="53">
        <v>0</v>
      </c>
      <c r="AJ443" s="53">
        <v>0</v>
      </c>
      <c r="AK443" s="53">
        <v>0</v>
      </c>
      <c r="AL443" s="53">
        <v>0</v>
      </c>
      <c r="AM443" s="53" t="str">
        <f>I443-J443-K443-L443-M443-N443-O443-P443-Q443-R443-S443-T443-U443-V443-W443-X443-Y443-Z443-AA443-AB443-AC443-AD443-AE443-AF443-AG443+AH443-AI443+AJ443+AK443-AL443</f>
        <v>0</v>
      </c>
      <c r="AN443" s="53"/>
      <c r="AO443" s="27"/>
    </row>
    <row r="444" spans="1:41">
      <c r="A444" s="44">
        <v>416</v>
      </c>
      <c r="B444" s="46" t="s">
        <v>1777</v>
      </c>
      <c r="C444" s="48" t="s">
        <v>1778</v>
      </c>
      <c r="D444" s="51" t="s">
        <v>73</v>
      </c>
      <c r="E444" s="51" t="s">
        <v>1767</v>
      </c>
      <c r="F444" s="54" t="s">
        <v>999</v>
      </c>
      <c r="G444" s="50">
        <v>3</v>
      </c>
      <c r="H444" s="51" t="s">
        <v>1779</v>
      </c>
      <c r="I444" s="53">
        <v>570500</v>
      </c>
      <c r="J444" s="53">
        <v>0</v>
      </c>
      <c r="K444" s="53">
        <v>22000</v>
      </c>
      <c r="L444" s="53">
        <v>0</v>
      </c>
      <c r="M444" s="53">
        <v>0</v>
      </c>
      <c r="N444" s="53">
        <v>0</v>
      </c>
      <c r="O444" s="53">
        <v>0</v>
      </c>
      <c r="P444" s="53">
        <v>0</v>
      </c>
      <c r="Q444" s="53">
        <v>0</v>
      </c>
      <c r="R444" s="53">
        <v>0</v>
      </c>
      <c r="S444" s="53">
        <v>0</v>
      </c>
      <c r="T444" s="53">
        <v>0</v>
      </c>
      <c r="U444" s="53">
        <v>1100</v>
      </c>
      <c r="V444" s="53">
        <v>0</v>
      </c>
      <c r="W444" s="53">
        <v>0</v>
      </c>
      <c r="X444" s="53">
        <v>0</v>
      </c>
      <c r="Y444" s="53">
        <v>0</v>
      </c>
      <c r="Z444" s="53">
        <v>0</v>
      </c>
      <c r="AA444" s="53">
        <v>0</v>
      </c>
      <c r="AB444" s="53">
        <v>0</v>
      </c>
      <c r="AC444" s="53">
        <v>0</v>
      </c>
      <c r="AD444" s="53">
        <v>0</v>
      </c>
      <c r="AE444" s="53">
        <v>0</v>
      </c>
      <c r="AF444" s="53">
        <v>0</v>
      </c>
      <c r="AG444" s="53">
        <v>0</v>
      </c>
      <c r="AH444" s="53">
        <v>0</v>
      </c>
      <c r="AI444" s="53">
        <v>0</v>
      </c>
      <c r="AJ444" s="53">
        <v>0</v>
      </c>
      <c r="AK444" s="53">
        <v>0</v>
      </c>
      <c r="AL444" s="53">
        <v>0</v>
      </c>
      <c r="AM444" s="53" t="str">
        <f>I444-J444-K444-L444-M444-N444-O444-P444-Q444-R444-S444-T444-U444-V444-W444-X444-Y444-Z444-AA444-AB444-AC444-AD444-AE444-AF444-AG444+AH444-AI444+AJ444+AK444-AL444</f>
        <v>0</v>
      </c>
      <c r="AN444" s="53"/>
      <c r="AO444" s="27"/>
    </row>
    <row r="445" spans="1:41">
      <c r="A445" s="44">
        <v>417</v>
      </c>
      <c r="B445" s="46" t="s">
        <v>1780</v>
      </c>
      <c r="C445" s="48" t="s">
        <v>1781</v>
      </c>
      <c r="D445" s="51" t="s">
        <v>62</v>
      </c>
      <c r="E445" s="51" t="s">
        <v>1767</v>
      </c>
      <c r="F445" s="54" t="s">
        <v>1782</v>
      </c>
      <c r="G445" s="50">
        <v>5</v>
      </c>
      <c r="H445" s="51" t="s">
        <v>1783</v>
      </c>
      <c r="I445" s="53">
        <v>0</v>
      </c>
      <c r="J445" s="53">
        <v>0</v>
      </c>
      <c r="K445" s="53">
        <v>27000</v>
      </c>
      <c r="L445" s="53">
        <v>0</v>
      </c>
      <c r="M445" s="53">
        <v>0</v>
      </c>
      <c r="N445" s="53">
        <v>0</v>
      </c>
      <c r="O445" s="53">
        <v>0</v>
      </c>
      <c r="P445" s="53">
        <v>0</v>
      </c>
      <c r="Q445" s="53">
        <v>0</v>
      </c>
      <c r="R445" s="53">
        <v>0</v>
      </c>
      <c r="S445" s="53">
        <v>0</v>
      </c>
      <c r="T445" s="53">
        <v>0</v>
      </c>
      <c r="U445" s="53">
        <v>1350</v>
      </c>
      <c r="V445" s="53">
        <v>0</v>
      </c>
      <c r="W445" s="53">
        <v>0</v>
      </c>
      <c r="X445" s="53">
        <v>0</v>
      </c>
      <c r="Y445" s="53">
        <v>14175</v>
      </c>
      <c r="Z445" s="53">
        <v>0</v>
      </c>
      <c r="AA445" s="53">
        <v>0</v>
      </c>
      <c r="AB445" s="53">
        <v>0</v>
      </c>
      <c r="AC445" s="53">
        <v>0</v>
      </c>
      <c r="AD445" s="53">
        <v>0</v>
      </c>
      <c r="AE445" s="53">
        <v>0</v>
      </c>
      <c r="AF445" s="53">
        <v>0</v>
      </c>
      <c r="AG445" s="53">
        <v>0</v>
      </c>
      <c r="AH445" s="53">
        <v>0</v>
      </c>
      <c r="AI445" s="53">
        <v>0</v>
      </c>
      <c r="AJ445" s="53">
        <v>0</v>
      </c>
      <c r="AK445" s="53">
        <v>0</v>
      </c>
      <c r="AL445" s="53">
        <v>0</v>
      </c>
      <c r="AM445" s="53" t="str">
        <f>I445-J445-K445-L445-M445-N445-O445-P445-Q445-R445-S445-T445-U445-V445-W445-X445-Y445-Z445-AA445-AB445-AC445-AD445-AE445-AF445-AG445+AH445-AI445+AJ445+AK445-AL445</f>
        <v>0</v>
      </c>
      <c r="AN445" s="53"/>
      <c r="AO445" s="27"/>
    </row>
    <row r="446" spans="1:41">
      <c r="A446" s="44">
        <v>418</v>
      </c>
      <c r="B446" s="46" t="s">
        <v>1784</v>
      </c>
      <c r="C446" s="48" t="s">
        <v>1785</v>
      </c>
      <c r="D446" s="51" t="s">
        <v>73</v>
      </c>
      <c r="E446" s="51" t="s">
        <v>1767</v>
      </c>
      <c r="F446" s="54" t="s">
        <v>1786</v>
      </c>
      <c r="G446" s="50">
        <v>12</v>
      </c>
      <c r="H446" s="51" t="s">
        <v>1787</v>
      </c>
      <c r="I446" s="53">
        <v>2849000</v>
      </c>
      <c r="J446" s="53">
        <v>0</v>
      </c>
      <c r="K446" s="53">
        <v>59000</v>
      </c>
      <c r="L446" s="53">
        <v>0</v>
      </c>
      <c r="M446" s="53">
        <v>0</v>
      </c>
      <c r="N446" s="53">
        <v>0</v>
      </c>
      <c r="O446" s="53">
        <v>0</v>
      </c>
      <c r="P446" s="53">
        <v>0</v>
      </c>
      <c r="Q446" s="53">
        <v>0</v>
      </c>
      <c r="R446" s="53">
        <v>0</v>
      </c>
      <c r="S446" s="53">
        <v>0</v>
      </c>
      <c r="T446" s="53">
        <v>0</v>
      </c>
      <c r="U446" s="53">
        <v>2950</v>
      </c>
      <c r="V446" s="53">
        <v>0</v>
      </c>
      <c r="W446" s="53">
        <v>0</v>
      </c>
      <c r="X446" s="53">
        <v>0</v>
      </c>
      <c r="Y446" s="53">
        <v>0</v>
      </c>
      <c r="Z446" s="53">
        <v>0</v>
      </c>
      <c r="AA446" s="53">
        <v>0</v>
      </c>
      <c r="AB446" s="53">
        <v>0</v>
      </c>
      <c r="AC446" s="53">
        <v>0</v>
      </c>
      <c r="AD446" s="53">
        <v>0</v>
      </c>
      <c r="AE446" s="53">
        <v>0</v>
      </c>
      <c r="AF446" s="53">
        <v>0</v>
      </c>
      <c r="AG446" s="53">
        <v>0</v>
      </c>
      <c r="AH446" s="53">
        <v>0</v>
      </c>
      <c r="AI446" s="53">
        <v>0</v>
      </c>
      <c r="AJ446" s="53">
        <v>0</v>
      </c>
      <c r="AK446" s="53">
        <v>0</v>
      </c>
      <c r="AL446" s="53">
        <v>0</v>
      </c>
      <c r="AM446" s="53" t="str">
        <f>I446-J446-K446-L446-M446-N446-O446-P446-Q446-R446-S446-T446-U446-V446-W446-X446-Y446-Z446-AA446-AB446-AC446-AD446-AE446-AF446-AG446+AH446-AI446+AJ446+AK446-AL446</f>
        <v>0</v>
      </c>
      <c r="AN446" s="53"/>
      <c r="AO446" s="27"/>
    </row>
    <row r="447" spans="1:41">
      <c r="A447" s="44">
        <v>419</v>
      </c>
      <c r="B447" s="46" t="s">
        <v>1788</v>
      </c>
      <c r="C447" s="48" t="s">
        <v>1789</v>
      </c>
      <c r="D447" s="51" t="s">
        <v>73</v>
      </c>
      <c r="E447" s="51" t="s">
        <v>1790</v>
      </c>
      <c r="F447" s="54" t="s">
        <v>1791</v>
      </c>
      <c r="G447" s="50">
        <v>3</v>
      </c>
      <c r="H447" s="51" t="s">
        <v>1792</v>
      </c>
      <c r="I447" s="53">
        <v>630000</v>
      </c>
      <c r="J447" s="53">
        <v>0</v>
      </c>
      <c r="K447" s="53">
        <v>22000</v>
      </c>
      <c r="L447" s="53">
        <v>0</v>
      </c>
      <c r="M447" s="53">
        <v>0</v>
      </c>
      <c r="N447" s="53">
        <v>0</v>
      </c>
      <c r="O447" s="53">
        <v>0</v>
      </c>
      <c r="P447" s="53">
        <v>0</v>
      </c>
      <c r="Q447" s="53">
        <v>0</v>
      </c>
      <c r="R447" s="53">
        <v>0</v>
      </c>
      <c r="S447" s="53">
        <v>0</v>
      </c>
      <c r="T447" s="53">
        <v>0</v>
      </c>
      <c r="U447" s="53">
        <v>1100</v>
      </c>
      <c r="V447" s="53">
        <v>0</v>
      </c>
      <c r="W447" s="53">
        <v>0</v>
      </c>
      <c r="X447" s="53">
        <v>0</v>
      </c>
      <c r="Y447" s="53">
        <v>0</v>
      </c>
      <c r="Z447" s="53">
        <v>0</v>
      </c>
      <c r="AA447" s="53">
        <v>0</v>
      </c>
      <c r="AB447" s="53">
        <v>0</v>
      </c>
      <c r="AC447" s="53">
        <v>0</v>
      </c>
      <c r="AD447" s="53">
        <v>0</v>
      </c>
      <c r="AE447" s="53">
        <v>0</v>
      </c>
      <c r="AF447" s="53">
        <v>0</v>
      </c>
      <c r="AG447" s="53">
        <v>0</v>
      </c>
      <c r="AH447" s="53">
        <v>0</v>
      </c>
      <c r="AI447" s="53">
        <v>0</v>
      </c>
      <c r="AJ447" s="53">
        <v>0</v>
      </c>
      <c r="AK447" s="53">
        <v>0</v>
      </c>
      <c r="AL447" s="53">
        <v>0</v>
      </c>
      <c r="AM447" s="53" t="str">
        <f>I447-J447-K447-L447-M447-N447-O447-P447-Q447-R447-S447-T447-U447-V447-W447-X447-Y447-Z447-AA447-AB447-AC447-AD447-AE447-AF447-AG447+AH447-AI447+AJ447+AK447-AL447</f>
        <v>0</v>
      </c>
      <c r="AN447" s="53"/>
      <c r="AO447" s="27"/>
    </row>
    <row r="448" spans="1:41">
      <c r="A448" s="44">
        <v>420</v>
      </c>
      <c r="B448" s="46" t="s">
        <v>1793</v>
      </c>
      <c r="C448" s="48" t="s">
        <v>1794</v>
      </c>
      <c r="D448" s="51" t="s">
        <v>73</v>
      </c>
      <c r="E448" s="51" t="s">
        <v>1790</v>
      </c>
      <c r="F448" s="54" t="s">
        <v>1695</v>
      </c>
      <c r="G448" s="50">
        <v>5</v>
      </c>
      <c r="H448" s="51" t="s">
        <v>1795</v>
      </c>
      <c r="I448" s="53">
        <v>1025000</v>
      </c>
      <c r="J448" s="53">
        <v>0</v>
      </c>
      <c r="K448" s="53">
        <v>27000</v>
      </c>
      <c r="L448" s="53">
        <v>0</v>
      </c>
      <c r="M448" s="53">
        <v>0</v>
      </c>
      <c r="N448" s="53">
        <v>0</v>
      </c>
      <c r="O448" s="53">
        <v>0</v>
      </c>
      <c r="P448" s="53">
        <v>0</v>
      </c>
      <c r="Q448" s="53">
        <v>0</v>
      </c>
      <c r="R448" s="53">
        <v>0</v>
      </c>
      <c r="S448" s="53">
        <v>0</v>
      </c>
      <c r="T448" s="53">
        <v>0</v>
      </c>
      <c r="U448" s="53">
        <v>1350</v>
      </c>
      <c r="V448" s="53">
        <v>0</v>
      </c>
      <c r="W448" s="53">
        <v>0</v>
      </c>
      <c r="X448" s="53">
        <v>0</v>
      </c>
      <c r="Y448" s="53">
        <v>0</v>
      </c>
      <c r="Z448" s="53">
        <v>0</v>
      </c>
      <c r="AA448" s="53">
        <v>0</v>
      </c>
      <c r="AB448" s="53">
        <v>0</v>
      </c>
      <c r="AC448" s="53">
        <v>0</v>
      </c>
      <c r="AD448" s="53">
        <v>0</v>
      </c>
      <c r="AE448" s="53">
        <v>0</v>
      </c>
      <c r="AF448" s="53">
        <v>0</v>
      </c>
      <c r="AG448" s="53">
        <v>0</v>
      </c>
      <c r="AH448" s="53">
        <v>0</v>
      </c>
      <c r="AI448" s="53">
        <v>0</v>
      </c>
      <c r="AJ448" s="53">
        <v>0</v>
      </c>
      <c r="AK448" s="53">
        <v>0</v>
      </c>
      <c r="AL448" s="53">
        <v>0</v>
      </c>
      <c r="AM448" s="53" t="str">
        <f>I448-J448-K448-L448-M448-N448-O448-P448-Q448-R448-S448-T448-U448-V448-W448-X448-Y448-Z448-AA448-AB448-AC448-AD448-AE448-AF448-AG448+AH448-AI448+AJ448+AK448-AL448</f>
        <v>0</v>
      </c>
      <c r="AN448" s="53"/>
      <c r="AO448" s="27"/>
    </row>
    <row r="449" spans="1:41">
      <c r="A449" s="44">
        <v>421</v>
      </c>
      <c r="B449" s="46" t="s">
        <v>1796</v>
      </c>
      <c r="C449" s="48" t="s">
        <v>1797</v>
      </c>
      <c r="D449" s="51" t="s">
        <v>62</v>
      </c>
      <c r="E449" s="51" t="s">
        <v>1790</v>
      </c>
      <c r="F449" s="54" t="s">
        <v>1768</v>
      </c>
      <c r="G449" s="50">
        <v>3</v>
      </c>
      <c r="H449" s="51" t="s">
        <v>1798</v>
      </c>
      <c r="I449" s="53">
        <v>0</v>
      </c>
      <c r="J449" s="53">
        <v>0</v>
      </c>
      <c r="K449" s="53">
        <v>22000</v>
      </c>
      <c r="L449" s="53">
        <v>0</v>
      </c>
      <c r="M449" s="53">
        <v>0</v>
      </c>
      <c r="N449" s="53">
        <v>0</v>
      </c>
      <c r="O449" s="53">
        <v>0</v>
      </c>
      <c r="P449" s="53">
        <v>0</v>
      </c>
      <c r="Q449" s="53">
        <v>0</v>
      </c>
      <c r="R449" s="53">
        <v>0</v>
      </c>
      <c r="S449" s="53">
        <v>0</v>
      </c>
      <c r="T449" s="53">
        <v>0</v>
      </c>
      <c r="U449" s="53">
        <v>1100</v>
      </c>
      <c r="V449" s="53">
        <v>0</v>
      </c>
      <c r="W449" s="53">
        <v>0</v>
      </c>
      <c r="X449" s="53">
        <v>0</v>
      </c>
      <c r="Y449" s="53">
        <v>5250</v>
      </c>
      <c r="Z449" s="53">
        <v>0</v>
      </c>
      <c r="AA449" s="53">
        <v>0</v>
      </c>
      <c r="AB449" s="53">
        <v>0</v>
      </c>
      <c r="AC449" s="53">
        <v>0</v>
      </c>
      <c r="AD449" s="53">
        <v>0</v>
      </c>
      <c r="AE449" s="53">
        <v>0</v>
      </c>
      <c r="AF449" s="53">
        <v>0</v>
      </c>
      <c r="AG449" s="53">
        <v>0</v>
      </c>
      <c r="AH449" s="53">
        <v>0</v>
      </c>
      <c r="AI449" s="53">
        <v>0</v>
      </c>
      <c r="AJ449" s="53">
        <v>0</v>
      </c>
      <c r="AK449" s="53">
        <v>0</v>
      </c>
      <c r="AL449" s="53">
        <v>0</v>
      </c>
      <c r="AM449" s="53" t="str">
        <f>I449-J449-K449-L449-M449-N449-O449-P449-Q449-R449-S449-T449-U449-V449-W449-X449-Y449-Z449-AA449-AB449-AC449-AD449-AE449-AF449-AG449+AH449-AI449+AJ449+AK449-AL449</f>
        <v>0</v>
      </c>
      <c r="AN449" s="53"/>
      <c r="AO449" s="27"/>
    </row>
    <row r="450" spans="1:41">
      <c r="A450" s="44">
        <v>422</v>
      </c>
      <c r="B450" s="46" t="s">
        <v>1799</v>
      </c>
      <c r="C450" s="48" t="s">
        <v>1800</v>
      </c>
      <c r="D450" s="51" t="s">
        <v>73</v>
      </c>
      <c r="E450" s="51" t="s">
        <v>1790</v>
      </c>
      <c r="F450" s="54" t="s">
        <v>64</v>
      </c>
      <c r="G450" s="50">
        <v>3</v>
      </c>
      <c r="H450" s="51" t="s">
        <v>1801</v>
      </c>
      <c r="I450" s="53">
        <v>630000</v>
      </c>
      <c r="J450" s="53">
        <v>0</v>
      </c>
      <c r="K450" s="53">
        <v>22000</v>
      </c>
      <c r="L450" s="53">
        <v>0</v>
      </c>
      <c r="M450" s="53">
        <v>0</v>
      </c>
      <c r="N450" s="53">
        <v>0</v>
      </c>
      <c r="O450" s="53">
        <v>0</v>
      </c>
      <c r="P450" s="53">
        <v>0</v>
      </c>
      <c r="Q450" s="53">
        <v>0</v>
      </c>
      <c r="R450" s="53">
        <v>0</v>
      </c>
      <c r="S450" s="53">
        <v>0</v>
      </c>
      <c r="T450" s="53">
        <v>0</v>
      </c>
      <c r="U450" s="53">
        <v>1100</v>
      </c>
      <c r="V450" s="53">
        <v>0</v>
      </c>
      <c r="W450" s="53">
        <v>0</v>
      </c>
      <c r="X450" s="53">
        <v>0</v>
      </c>
      <c r="Y450" s="53">
        <v>0</v>
      </c>
      <c r="Z450" s="53">
        <v>0</v>
      </c>
      <c r="AA450" s="53">
        <v>0</v>
      </c>
      <c r="AB450" s="53">
        <v>0</v>
      </c>
      <c r="AC450" s="53">
        <v>0</v>
      </c>
      <c r="AD450" s="53">
        <v>0</v>
      </c>
      <c r="AE450" s="53">
        <v>0</v>
      </c>
      <c r="AF450" s="53">
        <v>0</v>
      </c>
      <c r="AG450" s="53">
        <v>0</v>
      </c>
      <c r="AH450" s="53">
        <v>0</v>
      </c>
      <c r="AI450" s="53">
        <v>0</v>
      </c>
      <c r="AJ450" s="53">
        <v>0</v>
      </c>
      <c r="AK450" s="53">
        <v>0</v>
      </c>
      <c r="AL450" s="53">
        <v>0</v>
      </c>
      <c r="AM450" s="53" t="str">
        <f>I450-J450-K450-L450-M450-N450-O450-P450-Q450-R450-S450-T450-U450-V450-W450-X450-Y450-Z450-AA450-AB450-AC450-AD450-AE450-AF450-AG450+AH450-AI450+AJ450+AK450-AL450</f>
        <v>0</v>
      </c>
      <c r="AN450" s="53"/>
      <c r="AO450" s="27"/>
    </row>
    <row r="451" spans="1:41">
      <c r="A451" s="44">
        <v>423</v>
      </c>
      <c r="B451" s="46" t="s">
        <v>1802</v>
      </c>
      <c r="C451" s="48" t="s">
        <v>1803</v>
      </c>
      <c r="D451" s="51" t="s">
        <v>73</v>
      </c>
      <c r="E451" s="51" t="s">
        <v>1790</v>
      </c>
      <c r="F451" s="54" t="s">
        <v>1608</v>
      </c>
      <c r="G451" s="50">
        <v>3</v>
      </c>
      <c r="H451" s="51" t="s">
        <v>1804</v>
      </c>
      <c r="I451" s="53">
        <v>570500</v>
      </c>
      <c r="J451" s="53">
        <v>0</v>
      </c>
      <c r="K451" s="53">
        <v>22000</v>
      </c>
      <c r="L451" s="53">
        <v>0</v>
      </c>
      <c r="M451" s="53">
        <v>0</v>
      </c>
      <c r="N451" s="53">
        <v>0</v>
      </c>
      <c r="O451" s="53">
        <v>0</v>
      </c>
      <c r="P451" s="53">
        <v>0</v>
      </c>
      <c r="Q451" s="53">
        <v>0</v>
      </c>
      <c r="R451" s="53">
        <v>0</v>
      </c>
      <c r="S451" s="53">
        <v>0</v>
      </c>
      <c r="T451" s="53">
        <v>0</v>
      </c>
      <c r="U451" s="53">
        <v>1100</v>
      </c>
      <c r="V451" s="53">
        <v>0</v>
      </c>
      <c r="W451" s="53">
        <v>0</v>
      </c>
      <c r="X451" s="53">
        <v>0</v>
      </c>
      <c r="Y451" s="53">
        <v>0</v>
      </c>
      <c r="Z451" s="53">
        <v>0</v>
      </c>
      <c r="AA451" s="53">
        <v>0</v>
      </c>
      <c r="AB451" s="53">
        <v>0</v>
      </c>
      <c r="AC451" s="53">
        <v>0</v>
      </c>
      <c r="AD451" s="53">
        <v>0</v>
      </c>
      <c r="AE451" s="53">
        <v>0</v>
      </c>
      <c r="AF451" s="53">
        <v>0</v>
      </c>
      <c r="AG451" s="53">
        <v>0</v>
      </c>
      <c r="AH451" s="53">
        <v>0</v>
      </c>
      <c r="AI451" s="53">
        <v>0</v>
      </c>
      <c r="AJ451" s="53">
        <v>0</v>
      </c>
      <c r="AK451" s="53">
        <v>0</v>
      </c>
      <c r="AL451" s="53">
        <v>0</v>
      </c>
      <c r="AM451" s="53" t="str">
        <f>I451-J451-K451-L451-M451-N451-O451-P451-Q451-R451-S451-T451-U451-V451-W451-X451-Y451-Z451-AA451-AB451-AC451-AD451-AE451-AF451-AG451+AH451-AI451+AJ451+AK451-AL451</f>
        <v>0</v>
      </c>
      <c r="AN451" s="53"/>
      <c r="AO451" s="27"/>
    </row>
    <row r="452" spans="1:41">
      <c r="A452" s="44">
        <v>424</v>
      </c>
      <c r="B452" s="46" t="s">
        <v>1805</v>
      </c>
      <c r="C452" s="48" t="s">
        <v>1806</v>
      </c>
      <c r="D452" s="51" t="s">
        <v>73</v>
      </c>
      <c r="E452" s="51" t="s">
        <v>1790</v>
      </c>
      <c r="F452" s="54" t="s">
        <v>1807</v>
      </c>
      <c r="G452" s="50">
        <v>7</v>
      </c>
      <c r="H452" s="51" t="s">
        <v>1808</v>
      </c>
      <c r="I452" s="53">
        <v>1700000</v>
      </c>
      <c r="J452" s="53">
        <v>0</v>
      </c>
      <c r="K452" s="53">
        <v>35000</v>
      </c>
      <c r="L452" s="53">
        <v>0</v>
      </c>
      <c r="M452" s="53">
        <v>0</v>
      </c>
      <c r="N452" s="53">
        <v>0</v>
      </c>
      <c r="O452" s="53">
        <v>0</v>
      </c>
      <c r="P452" s="53">
        <v>0</v>
      </c>
      <c r="Q452" s="53">
        <v>0</v>
      </c>
      <c r="R452" s="53">
        <v>0</v>
      </c>
      <c r="S452" s="53">
        <v>0</v>
      </c>
      <c r="T452" s="53">
        <v>0</v>
      </c>
      <c r="U452" s="53">
        <v>1750</v>
      </c>
      <c r="V452" s="53">
        <v>0</v>
      </c>
      <c r="W452" s="53">
        <v>0</v>
      </c>
      <c r="X452" s="53">
        <v>0</v>
      </c>
      <c r="Y452" s="53">
        <v>0</v>
      </c>
      <c r="Z452" s="53">
        <v>0</v>
      </c>
      <c r="AA452" s="53">
        <v>0</v>
      </c>
      <c r="AB452" s="53">
        <v>0</v>
      </c>
      <c r="AC452" s="53">
        <v>0</v>
      </c>
      <c r="AD452" s="53">
        <v>0</v>
      </c>
      <c r="AE452" s="53">
        <v>0</v>
      </c>
      <c r="AF452" s="53">
        <v>0</v>
      </c>
      <c r="AG452" s="53">
        <v>0</v>
      </c>
      <c r="AH452" s="53">
        <v>0</v>
      </c>
      <c r="AI452" s="53">
        <v>0</v>
      </c>
      <c r="AJ452" s="53">
        <v>0</v>
      </c>
      <c r="AK452" s="53">
        <v>0</v>
      </c>
      <c r="AL452" s="53">
        <v>0</v>
      </c>
      <c r="AM452" s="53" t="str">
        <f>I452-J452-K452-L452-M452-N452-O452-P452-Q452-R452-S452-T452-U452-V452-W452-X452-Y452-Z452-AA452-AB452-AC452-AD452-AE452-AF452-AG452+AH452-AI452+AJ452+AK452-AL452</f>
        <v>0</v>
      </c>
      <c r="AN452" s="53"/>
      <c r="AO452" s="27"/>
    </row>
    <row r="453" spans="1:41">
      <c r="A453" s="44">
        <v>425</v>
      </c>
      <c r="B453" s="46" t="s">
        <v>1809</v>
      </c>
      <c r="C453" s="48" t="s">
        <v>1810</v>
      </c>
      <c r="D453" s="51" t="s">
        <v>73</v>
      </c>
      <c r="E453" s="51" t="s">
        <v>1811</v>
      </c>
      <c r="F453" s="54" t="s">
        <v>830</v>
      </c>
      <c r="G453" s="50">
        <v>5</v>
      </c>
      <c r="H453" s="51" t="s">
        <v>1812</v>
      </c>
      <c r="I453" s="53">
        <v>421100</v>
      </c>
      <c r="J453" s="53">
        <v>0</v>
      </c>
      <c r="K453" s="53">
        <v>27000</v>
      </c>
      <c r="L453" s="53">
        <v>0</v>
      </c>
      <c r="M453" s="53">
        <v>0</v>
      </c>
      <c r="N453" s="53">
        <v>0</v>
      </c>
      <c r="O453" s="53">
        <v>0</v>
      </c>
      <c r="P453" s="53">
        <v>0</v>
      </c>
      <c r="Q453" s="53">
        <v>0</v>
      </c>
      <c r="R453" s="53">
        <v>0</v>
      </c>
      <c r="S453" s="53">
        <v>0</v>
      </c>
      <c r="T453" s="53">
        <v>0</v>
      </c>
      <c r="U453" s="53">
        <v>1350</v>
      </c>
      <c r="V453" s="53">
        <v>0</v>
      </c>
      <c r="W453" s="53">
        <v>0</v>
      </c>
      <c r="X453" s="53">
        <v>0</v>
      </c>
      <c r="Y453" s="53">
        <v>0</v>
      </c>
      <c r="Z453" s="53">
        <v>0</v>
      </c>
      <c r="AA453" s="53">
        <v>0</v>
      </c>
      <c r="AB453" s="53">
        <v>0</v>
      </c>
      <c r="AC453" s="53">
        <v>0</v>
      </c>
      <c r="AD453" s="53">
        <v>0</v>
      </c>
      <c r="AE453" s="53">
        <v>0</v>
      </c>
      <c r="AF453" s="53">
        <v>0</v>
      </c>
      <c r="AG453" s="53">
        <v>0</v>
      </c>
      <c r="AH453" s="53">
        <v>0</v>
      </c>
      <c r="AI453" s="53">
        <v>0</v>
      </c>
      <c r="AJ453" s="53">
        <v>0</v>
      </c>
      <c r="AK453" s="53">
        <v>0</v>
      </c>
      <c r="AL453" s="53">
        <v>0</v>
      </c>
      <c r="AM453" s="53" t="str">
        <f>I453-J453-K453-L453-M453-N453-O453-P453-Q453-R453-S453-T453-U453-V453-W453-X453-Y453-Z453-AA453-AB453-AC453-AD453-AE453-AF453-AG453+AH453-AI453+AJ453+AK453-AL453</f>
        <v>0</v>
      </c>
      <c r="AN453" s="53"/>
      <c r="AO453" s="27"/>
    </row>
    <row r="454" spans="1:41">
      <c r="A454" s="44">
        <v>426</v>
      </c>
      <c r="B454" s="46" t="s">
        <v>1813</v>
      </c>
      <c r="C454" s="48" t="s">
        <v>1814</v>
      </c>
      <c r="D454" s="51" t="s">
        <v>73</v>
      </c>
      <c r="E454" s="51" t="s">
        <v>1811</v>
      </c>
      <c r="F454" s="54" t="s">
        <v>1815</v>
      </c>
      <c r="G454" s="50">
        <v>7</v>
      </c>
      <c r="H454" s="51" t="s">
        <v>1816</v>
      </c>
      <c r="I454" s="53">
        <v>1251000</v>
      </c>
      <c r="J454" s="53">
        <v>0</v>
      </c>
      <c r="K454" s="53">
        <v>35000</v>
      </c>
      <c r="L454" s="53">
        <v>0</v>
      </c>
      <c r="M454" s="53">
        <v>0</v>
      </c>
      <c r="N454" s="53">
        <v>0</v>
      </c>
      <c r="O454" s="53">
        <v>0</v>
      </c>
      <c r="P454" s="53">
        <v>0</v>
      </c>
      <c r="Q454" s="53">
        <v>0</v>
      </c>
      <c r="R454" s="53">
        <v>0</v>
      </c>
      <c r="S454" s="53">
        <v>0</v>
      </c>
      <c r="T454" s="53">
        <v>0</v>
      </c>
      <c r="U454" s="53">
        <v>1750</v>
      </c>
      <c r="V454" s="53">
        <v>0</v>
      </c>
      <c r="W454" s="53">
        <v>0</v>
      </c>
      <c r="X454" s="53">
        <v>0</v>
      </c>
      <c r="Y454" s="53">
        <v>0</v>
      </c>
      <c r="Z454" s="53">
        <v>0</v>
      </c>
      <c r="AA454" s="53">
        <v>0</v>
      </c>
      <c r="AB454" s="53">
        <v>0</v>
      </c>
      <c r="AC454" s="53">
        <v>0</v>
      </c>
      <c r="AD454" s="53">
        <v>0</v>
      </c>
      <c r="AE454" s="53">
        <v>0</v>
      </c>
      <c r="AF454" s="53">
        <v>0</v>
      </c>
      <c r="AG454" s="53">
        <v>0</v>
      </c>
      <c r="AH454" s="53">
        <v>0</v>
      </c>
      <c r="AI454" s="53">
        <v>0</v>
      </c>
      <c r="AJ454" s="53">
        <v>0</v>
      </c>
      <c r="AK454" s="53">
        <v>0</v>
      </c>
      <c r="AL454" s="53">
        <v>0</v>
      </c>
      <c r="AM454" s="53" t="str">
        <f>I454-J454-K454-L454-M454-N454-O454-P454-Q454-R454-S454-T454-U454-V454-W454-X454-Y454-Z454-AA454-AB454-AC454-AD454-AE454-AF454-AG454+AH454-AI454+AJ454+AK454-AL454</f>
        <v>0</v>
      </c>
      <c r="AN454" s="53"/>
      <c r="AO454" s="27"/>
    </row>
    <row r="455" spans="1:41">
      <c r="A455" s="44">
        <v>427</v>
      </c>
      <c r="B455" s="46" t="s">
        <v>1817</v>
      </c>
      <c r="C455" s="48" t="s">
        <v>1818</v>
      </c>
      <c r="D455" s="51" t="s">
        <v>73</v>
      </c>
      <c r="E455" s="51" t="s">
        <v>1819</v>
      </c>
      <c r="F455" s="54" t="s">
        <v>1820</v>
      </c>
      <c r="G455" s="50">
        <v>3</v>
      </c>
      <c r="H455" s="51" t="s">
        <v>1821</v>
      </c>
      <c r="I455" s="53">
        <v>318500</v>
      </c>
      <c r="J455" s="53">
        <v>0</v>
      </c>
      <c r="K455" s="53">
        <v>22000</v>
      </c>
      <c r="L455" s="53">
        <v>0</v>
      </c>
      <c r="M455" s="53">
        <v>0</v>
      </c>
      <c r="N455" s="53">
        <v>0</v>
      </c>
      <c r="O455" s="53">
        <v>0</v>
      </c>
      <c r="P455" s="53">
        <v>0</v>
      </c>
      <c r="Q455" s="53">
        <v>0</v>
      </c>
      <c r="R455" s="53">
        <v>0</v>
      </c>
      <c r="S455" s="53">
        <v>0</v>
      </c>
      <c r="T455" s="53">
        <v>0</v>
      </c>
      <c r="U455" s="53">
        <v>1100</v>
      </c>
      <c r="V455" s="53">
        <v>0</v>
      </c>
      <c r="W455" s="53">
        <v>0</v>
      </c>
      <c r="X455" s="53">
        <v>0</v>
      </c>
      <c r="Y455" s="53">
        <v>0</v>
      </c>
      <c r="Z455" s="53">
        <v>0</v>
      </c>
      <c r="AA455" s="53">
        <v>0</v>
      </c>
      <c r="AB455" s="53">
        <v>0</v>
      </c>
      <c r="AC455" s="53">
        <v>0</v>
      </c>
      <c r="AD455" s="53">
        <v>0</v>
      </c>
      <c r="AE455" s="53">
        <v>0</v>
      </c>
      <c r="AF455" s="53">
        <v>0</v>
      </c>
      <c r="AG455" s="53">
        <v>0</v>
      </c>
      <c r="AH455" s="53">
        <v>0</v>
      </c>
      <c r="AI455" s="53">
        <v>0</v>
      </c>
      <c r="AJ455" s="53">
        <v>0</v>
      </c>
      <c r="AK455" s="53">
        <v>0</v>
      </c>
      <c r="AL455" s="53">
        <v>0</v>
      </c>
      <c r="AM455" s="53" t="str">
        <f>I455-J455-K455-L455-M455-N455-O455-P455-Q455-R455-S455-T455-U455-V455-W455-X455-Y455-Z455-AA455-AB455-AC455-AD455-AE455-AF455-AG455+AH455-AI455+AJ455+AK455-AL455</f>
        <v>0</v>
      </c>
      <c r="AN455" s="53"/>
      <c r="AO455" s="27"/>
    </row>
    <row r="456" spans="1:41">
      <c r="A456" s="44">
        <v>428</v>
      </c>
      <c r="B456" s="46" t="s">
        <v>1822</v>
      </c>
      <c r="C456" s="48" t="s">
        <v>1823</v>
      </c>
      <c r="D456" s="51" t="s">
        <v>73</v>
      </c>
      <c r="E456" s="51" t="s">
        <v>1819</v>
      </c>
      <c r="F456" s="54" t="s">
        <v>1495</v>
      </c>
      <c r="G456" s="50">
        <v>5</v>
      </c>
      <c r="H456" s="51" t="s">
        <v>1824</v>
      </c>
      <c r="I456" s="53">
        <v>30000</v>
      </c>
      <c r="J456" s="53">
        <v>0</v>
      </c>
      <c r="K456" s="53">
        <v>27000</v>
      </c>
      <c r="L456" s="53">
        <v>0</v>
      </c>
      <c r="M456" s="53">
        <v>0</v>
      </c>
      <c r="N456" s="53">
        <v>0</v>
      </c>
      <c r="O456" s="53">
        <v>0</v>
      </c>
      <c r="P456" s="53">
        <v>0</v>
      </c>
      <c r="Q456" s="53">
        <v>0</v>
      </c>
      <c r="R456" s="53">
        <v>0</v>
      </c>
      <c r="S456" s="53">
        <v>0</v>
      </c>
      <c r="T456" s="53">
        <v>0</v>
      </c>
      <c r="U456" s="53">
        <v>1350</v>
      </c>
      <c r="V456" s="53">
        <v>0</v>
      </c>
      <c r="W456" s="53">
        <v>0</v>
      </c>
      <c r="X456" s="53">
        <v>0</v>
      </c>
      <c r="Y456" s="53">
        <v>14175</v>
      </c>
      <c r="Z456" s="53">
        <v>0</v>
      </c>
      <c r="AA456" s="53">
        <v>0</v>
      </c>
      <c r="AB456" s="53">
        <v>0</v>
      </c>
      <c r="AC456" s="53">
        <v>0</v>
      </c>
      <c r="AD456" s="53">
        <v>0</v>
      </c>
      <c r="AE456" s="53">
        <v>0</v>
      </c>
      <c r="AF456" s="53">
        <v>0</v>
      </c>
      <c r="AG456" s="53">
        <v>0</v>
      </c>
      <c r="AH456" s="53">
        <v>0</v>
      </c>
      <c r="AI456" s="53">
        <v>0</v>
      </c>
      <c r="AJ456" s="53">
        <v>0</v>
      </c>
      <c r="AK456" s="53">
        <v>0</v>
      </c>
      <c r="AL456" s="53">
        <v>0</v>
      </c>
      <c r="AM456" s="53" t="str">
        <f>I456-J456-K456-L456-M456-N456-O456-P456-Q456-R456-S456-T456-U456-V456-W456-X456-Y456-Z456-AA456-AB456-AC456-AD456-AE456-AF456-AG456+AH456-AI456+AJ456+AK456-AL456</f>
        <v>0</v>
      </c>
      <c r="AN456" s="53"/>
      <c r="AO456" s="27"/>
    </row>
    <row r="457" spans="1:41">
      <c r="A457" s="44">
        <v>429</v>
      </c>
      <c r="B457" s="46" t="s">
        <v>1825</v>
      </c>
      <c r="C457" s="48" t="s">
        <v>1826</v>
      </c>
      <c r="D457" s="51" t="s">
        <v>73</v>
      </c>
      <c r="E457" s="51" t="s">
        <v>1827</v>
      </c>
      <c r="F457" s="54" t="s">
        <v>1828</v>
      </c>
      <c r="G457" s="50">
        <v>5</v>
      </c>
      <c r="H457" s="51" t="s">
        <v>1829</v>
      </c>
      <c r="I457" s="53">
        <v>970100</v>
      </c>
      <c r="J457" s="53">
        <v>0</v>
      </c>
      <c r="K457" s="53">
        <v>27000</v>
      </c>
      <c r="L457" s="53">
        <v>0</v>
      </c>
      <c r="M457" s="53">
        <v>0</v>
      </c>
      <c r="N457" s="53">
        <v>0</v>
      </c>
      <c r="O457" s="53">
        <v>0</v>
      </c>
      <c r="P457" s="53">
        <v>0</v>
      </c>
      <c r="Q457" s="53">
        <v>0</v>
      </c>
      <c r="R457" s="53">
        <v>0</v>
      </c>
      <c r="S457" s="53">
        <v>0</v>
      </c>
      <c r="T457" s="53">
        <v>0</v>
      </c>
      <c r="U457" s="53">
        <v>1350</v>
      </c>
      <c r="V457" s="53">
        <v>0</v>
      </c>
      <c r="W457" s="53">
        <v>0</v>
      </c>
      <c r="X457" s="53">
        <v>0</v>
      </c>
      <c r="Y457" s="53">
        <v>0</v>
      </c>
      <c r="Z457" s="53">
        <v>0</v>
      </c>
      <c r="AA457" s="53">
        <v>0</v>
      </c>
      <c r="AB457" s="53">
        <v>0</v>
      </c>
      <c r="AC457" s="53">
        <v>0</v>
      </c>
      <c r="AD457" s="53">
        <v>0</v>
      </c>
      <c r="AE457" s="53">
        <v>0</v>
      </c>
      <c r="AF457" s="53">
        <v>0</v>
      </c>
      <c r="AG457" s="53">
        <v>0</v>
      </c>
      <c r="AH457" s="53">
        <v>0</v>
      </c>
      <c r="AI457" s="53">
        <v>0</v>
      </c>
      <c r="AJ457" s="53">
        <v>0</v>
      </c>
      <c r="AK457" s="53">
        <v>0</v>
      </c>
      <c r="AL457" s="53">
        <v>0</v>
      </c>
      <c r="AM457" s="53" t="str">
        <f>I457-J457-K457-L457-M457-N457-O457-P457-Q457-R457-S457-T457-U457-V457-W457-X457-Y457-Z457-AA457-AB457-AC457-AD457-AE457-AF457-AG457+AH457-AI457+AJ457+AK457-AL457</f>
        <v>0</v>
      </c>
      <c r="AN457" s="53"/>
      <c r="AO457" s="27"/>
    </row>
    <row r="458" spans="1:41">
      <c r="A458" s="44">
        <v>430</v>
      </c>
      <c r="B458" s="46" t="s">
        <v>1830</v>
      </c>
      <c r="C458" s="48" t="s">
        <v>1831</v>
      </c>
      <c r="D458" s="51" t="s">
        <v>73</v>
      </c>
      <c r="E458" s="51" t="s">
        <v>1827</v>
      </c>
      <c r="F458" s="54" t="s">
        <v>1832</v>
      </c>
      <c r="G458" s="50">
        <v>3</v>
      </c>
      <c r="H458" s="51" t="s">
        <v>1833</v>
      </c>
      <c r="I458" s="53">
        <v>291500</v>
      </c>
      <c r="J458" s="53">
        <v>0</v>
      </c>
      <c r="K458" s="53">
        <v>22000</v>
      </c>
      <c r="L458" s="53">
        <v>0</v>
      </c>
      <c r="M458" s="53">
        <v>0</v>
      </c>
      <c r="N458" s="53">
        <v>0</v>
      </c>
      <c r="O458" s="53">
        <v>0</v>
      </c>
      <c r="P458" s="53">
        <v>0</v>
      </c>
      <c r="Q458" s="53">
        <v>0</v>
      </c>
      <c r="R458" s="53">
        <v>0</v>
      </c>
      <c r="S458" s="53">
        <v>0</v>
      </c>
      <c r="T458" s="53">
        <v>0</v>
      </c>
      <c r="U458" s="53">
        <v>1100</v>
      </c>
      <c r="V458" s="53">
        <v>0</v>
      </c>
      <c r="W458" s="53">
        <v>0</v>
      </c>
      <c r="X458" s="53">
        <v>0</v>
      </c>
      <c r="Y458" s="53">
        <v>0</v>
      </c>
      <c r="Z458" s="53">
        <v>0</v>
      </c>
      <c r="AA458" s="53">
        <v>0</v>
      </c>
      <c r="AB458" s="53">
        <v>0</v>
      </c>
      <c r="AC458" s="53">
        <v>0</v>
      </c>
      <c r="AD458" s="53">
        <v>0</v>
      </c>
      <c r="AE458" s="53">
        <v>0</v>
      </c>
      <c r="AF458" s="53">
        <v>0</v>
      </c>
      <c r="AG458" s="53">
        <v>0</v>
      </c>
      <c r="AH458" s="53">
        <v>0</v>
      </c>
      <c r="AI458" s="53">
        <v>0</v>
      </c>
      <c r="AJ458" s="53">
        <v>0</v>
      </c>
      <c r="AK458" s="53">
        <v>0</v>
      </c>
      <c r="AL458" s="53">
        <v>0</v>
      </c>
      <c r="AM458" s="53" t="str">
        <f>I458-J458-K458-L458-M458-N458-O458-P458-Q458-R458-S458-T458-U458-V458-W458-X458-Y458-Z458-AA458-AB458-AC458-AD458-AE458-AF458-AG458+AH458-AI458+AJ458+AK458-AL458</f>
        <v>0</v>
      </c>
      <c r="AN458" s="53"/>
      <c r="AO458" s="27"/>
    </row>
    <row r="459" spans="1:41">
      <c r="A459" s="44">
        <v>431</v>
      </c>
      <c r="B459" s="46" t="s">
        <v>1834</v>
      </c>
      <c r="C459" s="48" t="s">
        <v>1835</v>
      </c>
      <c r="D459" s="51" t="s">
        <v>73</v>
      </c>
      <c r="E459" s="51" t="s">
        <v>1827</v>
      </c>
      <c r="F459" s="54" t="s">
        <v>1836</v>
      </c>
      <c r="G459" s="50">
        <v>3</v>
      </c>
      <c r="H459" s="51" t="s">
        <v>1837</v>
      </c>
      <c r="I459" s="53">
        <v>304100</v>
      </c>
      <c r="J459" s="53">
        <v>0</v>
      </c>
      <c r="K459" s="53">
        <v>22000</v>
      </c>
      <c r="L459" s="53">
        <v>0</v>
      </c>
      <c r="M459" s="53">
        <v>0</v>
      </c>
      <c r="N459" s="53">
        <v>0</v>
      </c>
      <c r="O459" s="53">
        <v>0</v>
      </c>
      <c r="P459" s="53">
        <v>0</v>
      </c>
      <c r="Q459" s="53">
        <v>0</v>
      </c>
      <c r="R459" s="53">
        <v>0</v>
      </c>
      <c r="S459" s="53">
        <v>0</v>
      </c>
      <c r="T459" s="53">
        <v>0</v>
      </c>
      <c r="U459" s="53">
        <v>1100</v>
      </c>
      <c r="V459" s="53">
        <v>0</v>
      </c>
      <c r="W459" s="53">
        <v>0</v>
      </c>
      <c r="X459" s="53">
        <v>0</v>
      </c>
      <c r="Y459" s="53">
        <v>0</v>
      </c>
      <c r="Z459" s="53">
        <v>0</v>
      </c>
      <c r="AA459" s="53">
        <v>0</v>
      </c>
      <c r="AB459" s="53">
        <v>0</v>
      </c>
      <c r="AC459" s="53">
        <v>0</v>
      </c>
      <c r="AD459" s="53">
        <v>0</v>
      </c>
      <c r="AE459" s="53">
        <v>0</v>
      </c>
      <c r="AF459" s="53">
        <v>0</v>
      </c>
      <c r="AG459" s="53">
        <v>0</v>
      </c>
      <c r="AH459" s="53">
        <v>0</v>
      </c>
      <c r="AI459" s="53">
        <v>0</v>
      </c>
      <c r="AJ459" s="53">
        <v>0</v>
      </c>
      <c r="AK459" s="53">
        <v>0</v>
      </c>
      <c r="AL459" s="53">
        <v>0</v>
      </c>
      <c r="AM459" s="53" t="str">
        <f>I459-J459-K459-L459-M459-N459-O459-P459-Q459-R459-S459-T459-U459-V459-W459-X459-Y459-Z459-AA459-AB459-AC459-AD459-AE459-AF459-AG459+AH459-AI459+AJ459+AK459-AL459</f>
        <v>0</v>
      </c>
      <c r="AN459" s="53"/>
      <c r="AO459" s="27"/>
    </row>
    <row r="460" spans="1:41">
      <c r="A460" s="44">
        <v>432</v>
      </c>
      <c r="B460" s="46" t="s">
        <v>1838</v>
      </c>
      <c r="C460" s="48" t="s">
        <v>1839</v>
      </c>
      <c r="D460" s="51" t="s">
        <v>73</v>
      </c>
      <c r="E460" s="51" t="s">
        <v>1827</v>
      </c>
      <c r="F460" s="54" t="s">
        <v>1026</v>
      </c>
      <c r="G460" s="50">
        <v>2</v>
      </c>
      <c r="H460" s="51" t="s">
        <v>1840</v>
      </c>
      <c r="I460" s="53">
        <v>201500</v>
      </c>
      <c r="J460" s="53">
        <v>0</v>
      </c>
      <c r="K460" s="53">
        <v>22000</v>
      </c>
      <c r="L460" s="53">
        <v>0</v>
      </c>
      <c r="M460" s="53">
        <v>0</v>
      </c>
      <c r="N460" s="53">
        <v>0</v>
      </c>
      <c r="O460" s="53">
        <v>0</v>
      </c>
      <c r="P460" s="53">
        <v>0</v>
      </c>
      <c r="Q460" s="53">
        <v>0</v>
      </c>
      <c r="R460" s="53">
        <v>0</v>
      </c>
      <c r="S460" s="53">
        <v>0</v>
      </c>
      <c r="T460" s="53">
        <v>0</v>
      </c>
      <c r="U460" s="53">
        <v>1100</v>
      </c>
      <c r="V460" s="53">
        <v>0</v>
      </c>
      <c r="W460" s="53">
        <v>0</v>
      </c>
      <c r="X460" s="53">
        <v>0</v>
      </c>
      <c r="Y460" s="53">
        <v>0</v>
      </c>
      <c r="Z460" s="53">
        <v>0</v>
      </c>
      <c r="AA460" s="53">
        <v>0</v>
      </c>
      <c r="AB460" s="53">
        <v>0</v>
      </c>
      <c r="AC460" s="53">
        <v>0</v>
      </c>
      <c r="AD460" s="53">
        <v>0</v>
      </c>
      <c r="AE460" s="53">
        <v>0</v>
      </c>
      <c r="AF460" s="53">
        <v>0</v>
      </c>
      <c r="AG460" s="53">
        <v>0</v>
      </c>
      <c r="AH460" s="53">
        <v>0</v>
      </c>
      <c r="AI460" s="53">
        <v>0</v>
      </c>
      <c r="AJ460" s="53">
        <v>0</v>
      </c>
      <c r="AK460" s="53">
        <v>0</v>
      </c>
      <c r="AL460" s="53">
        <v>0</v>
      </c>
      <c r="AM460" s="53" t="str">
        <f>I460-J460-K460-L460-M460-N460-O460-P460-Q460-R460-S460-T460-U460-V460-W460-X460-Y460-Z460-AA460-AB460-AC460-AD460-AE460-AF460-AG460+AH460-AI460+AJ460+AK460-AL460</f>
        <v>0</v>
      </c>
      <c r="AN460" s="53"/>
      <c r="AO460" s="27"/>
    </row>
    <row r="461" spans="1:41">
      <c r="A461" s="44">
        <v>433</v>
      </c>
      <c r="B461" s="46" t="s">
        <v>1841</v>
      </c>
      <c r="C461" s="48" t="s">
        <v>1842</v>
      </c>
      <c r="D461" s="51" t="s">
        <v>73</v>
      </c>
      <c r="E461" s="51" t="s">
        <v>1827</v>
      </c>
      <c r="F461" s="54" t="s">
        <v>388</v>
      </c>
      <c r="G461" s="50">
        <v>3</v>
      </c>
      <c r="H461" s="51" t="s">
        <v>1843</v>
      </c>
      <c r="I461" s="53">
        <v>574100</v>
      </c>
      <c r="J461" s="53">
        <v>0</v>
      </c>
      <c r="K461" s="53">
        <v>23000</v>
      </c>
      <c r="L461" s="53">
        <v>0</v>
      </c>
      <c r="M461" s="53">
        <v>0</v>
      </c>
      <c r="N461" s="53">
        <v>0</v>
      </c>
      <c r="O461" s="53">
        <v>0</v>
      </c>
      <c r="P461" s="53">
        <v>0</v>
      </c>
      <c r="Q461" s="53">
        <v>0</v>
      </c>
      <c r="R461" s="53">
        <v>0</v>
      </c>
      <c r="S461" s="53">
        <v>0</v>
      </c>
      <c r="T461" s="53">
        <v>0</v>
      </c>
      <c r="U461" s="53">
        <v>1150</v>
      </c>
      <c r="V461" s="53">
        <v>0</v>
      </c>
      <c r="W461" s="53">
        <v>0</v>
      </c>
      <c r="X461" s="53">
        <v>0</v>
      </c>
      <c r="Y461" s="53">
        <v>0</v>
      </c>
      <c r="Z461" s="53">
        <v>0</v>
      </c>
      <c r="AA461" s="53">
        <v>0</v>
      </c>
      <c r="AB461" s="53">
        <v>0</v>
      </c>
      <c r="AC461" s="53">
        <v>0</v>
      </c>
      <c r="AD461" s="53">
        <v>0</v>
      </c>
      <c r="AE461" s="53">
        <v>0</v>
      </c>
      <c r="AF461" s="53">
        <v>0</v>
      </c>
      <c r="AG461" s="53">
        <v>0</v>
      </c>
      <c r="AH461" s="53">
        <v>0</v>
      </c>
      <c r="AI461" s="53">
        <v>0</v>
      </c>
      <c r="AJ461" s="53">
        <v>0</v>
      </c>
      <c r="AK461" s="53">
        <v>0</v>
      </c>
      <c r="AL461" s="53">
        <v>0</v>
      </c>
      <c r="AM461" s="53" t="str">
        <f>I461-J461-K461-L461-M461-N461-O461-P461-Q461-R461-S461-T461-U461-V461-W461-X461-Y461-Z461-AA461-AB461-AC461-AD461-AE461-AF461-AG461+AH461-AI461+AJ461+AK461-AL461</f>
        <v>0</v>
      </c>
      <c r="AN461" s="53"/>
      <c r="AO461" s="27"/>
    </row>
    <row r="462" spans="1:41">
      <c r="A462" s="44">
        <v>434</v>
      </c>
      <c r="B462" s="46" t="s">
        <v>1844</v>
      </c>
      <c r="C462" s="48" t="s">
        <v>1845</v>
      </c>
      <c r="D462" s="51" t="s">
        <v>73</v>
      </c>
      <c r="E462" s="51" t="s">
        <v>1827</v>
      </c>
      <c r="F462" s="54" t="s">
        <v>1846</v>
      </c>
      <c r="G462" s="50">
        <v>9</v>
      </c>
      <c r="H462" s="51" t="s">
        <v>1847</v>
      </c>
      <c r="I462" s="53">
        <v>1498000</v>
      </c>
      <c r="J462" s="53">
        <v>0</v>
      </c>
      <c r="K462" s="53">
        <v>40000</v>
      </c>
      <c r="L462" s="53">
        <v>0</v>
      </c>
      <c r="M462" s="53">
        <v>0</v>
      </c>
      <c r="N462" s="53">
        <v>0</v>
      </c>
      <c r="O462" s="53">
        <v>0</v>
      </c>
      <c r="P462" s="53">
        <v>0</v>
      </c>
      <c r="Q462" s="53">
        <v>0</v>
      </c>
      <c r="R462" s="53">
        <v>0</v>
      </c>
      <c r="S462" s="53">
        <v>0</v>
      </c>
      <c r="T462" s="53">
        <v>0</v>
      </c>
      <c r="U462" s="53">
        <v>2000</v>
      </c>
      <c r="V462" s="53">
        <v>0</v>
      </c>
      <c r="W462" s="53">
        <v>0</v>
      </c>
      <c r="X462" s="53">
        <v>0</v>
      </c>
      <c r="Y462" s="53">
        <v>0</v>
      </c>
      <c r="Z462" s="53">
        <v>0</v>
      </c>
      <c r="AA462" s="53">
        <v>0</v>
      </c>
      <c r="AB462" s="53">
        <v>0</v>
      </c>
      <c r="AC462" s="53">
        <v>0</v>
      </c>
      <c r="AD462" s="53">
        <v>0</v>
      </c>
      <c r="AE462" s="53">
        <v>0</v>
      </c>
      <c r="AF462" s="53">
        <v>0</v>
      </c>
      <c r="AG462" s="53">
        <v>0</v>
      </c>
      <c r="AH462" s="53">
        <v>0</v>
      </c>
      <c r="AI462" s="53">
        <v>0</v>
      </c>
      <c r="AJ462" s="53">
        <v>0</v>
      </c>
      <c r="AK462" s="53">
        <v>0</v>
      </c>
      <c r="AL462" s="53">
        <v>0</v>
      </c>
      <c r="AM462" s="53" t="str">
        <f>I462-J462-K462-L462-M462-N462-O462-P462-Q462-R462-S462-T462-U462-V462-W462-X462-Y462-Z462-AA462-AB462-AC462-AD462-AE462-AF462-AG462+AH462-AI462+AJ462+AK462-AL462</f>
        <v>0</v>
      </c>
      <c r="AN462" s="53"/>
      <c r="AO462" s="27"/>
    </row>
    <row r="463" spans="1:41">
      <c r="A463" s="44">
        <v>435</v>
      </c>
      <c r="B463" s="46" t="s">
        <v>1848</v>
      </c>
      <c r="C463" s="48" t="s">
        <v>1849</v>
      </c>
      <c r="D463" s="51" t="s">
        <v>73</v>
      </c>
      <c r="E463" s="51" t="s">
        <v>1827</v>
      </c>
      <c r="F463" s="54" t="s">
        <v>1125</v>
      </c>
      <c r="G463" s="50">
        <v>4</v>
      </c>
      <c r="H463" s="51" t="s">
        <v>1850</v>
      </c>
      <c r="I463" s="53">
        <v>510000</v>
      </c>
      <c r="J463" s="53">
        <v>0</v>
      </c>
      <c r="K463" s="53">
        <v>25000</v>
      </c>
      <c r="L463" s="53">
        <v>0</v>
      </c>
      <c r="M463" s="53">
        <v>0</v>
      </c>
      <c r="N463" s="53">
        <v>0</v>
      </c>
      <c r="O463" s="53">
        <v>0</v>
      </c>
      <c r="P463" s="53">
        <v>0</v>
      </c>
      <c r="Q463" s="53">
        <v>0</v>
      </c>
      <c r="R463" s="53">
        <v>0</v>
      </c>
      <c r="S463" s="53">
        <v>0</v>
      </c>
      <c r="T463" s="53">
        <v>0</v>
      </c>
      <c r="U463" s="53">
        <v>1250</v>
      </c>
      <c r="V463" s="53">
        <v>0</v>
      </c>
      <c r="W463" s="53">
        <v>0</v>
      </c>
      <c r="X463" s="53">
        <v>0</v>
      </c>
      <c r="Y463" s="53">
        <v>0</v>
      </c>
      <c r="Z463" s="53">
        <v>0</v>
      </c>
      <c r="AA463" s="53">
        <v>0</v>
      </c>
      <c r="AB463" s="53">
        <v>0</v>
      </c>
      <c r="AC463" s="53">
        <v>0</v>
      </c>
      <c r="AD463" s="53">
        <v>0</v>
      </c>
      <c r="AE463" s="53">
        <v>0</v>
      </c>
      <c r="AF463" s="53">
        <v>0</v>
      </c>
      <c r="AG463" s="53">
        <v>0</v>
      </c>
      <c r="AH463" s="53">
        <v>0</v>
      </c>
      <c r="AI463" s="53">
        <v>0</v>
      </c>
      <c r="AJ463" s="53">
        <v>0</v>
      </c>
      <c r="AK463" s="53">
        <v>0</v>
      </c>
      <c r="AL463" s="53">
        <v>0</v>
      </c>
      <c r="AM463" s="53" t="str">
        <f>I463-J463-K463-L463-M463-N463-O463-P463-Q463-R463-S463-T463-U463-V463-W463-X463-Y463-Z463-AA463-AB463-AC463-AD463-AE463-AF463-AG463+AH463-AI463+AJ463+AK463-AL463</f>
        <v>0</v>
      </c>
      <c r="AN463" s="53"/>
      <c r="AO463" s="27"/>
    </row>
    <row r="464" spans="1:41">
      <c r="A464" s="44">
        <v>436</v>
      </c>
      <c r="B464" s="46" t="s">
        <v>1851</v>
      </c>
      <c r="C464" s="48" t="s">
        <v>1852</v>
      </c>
      <c r="D464" s="51" t="s">
        <v>73</v>
      </c>
      <c r="E464" s="51" t="s">
        <v>1827</v>
      </c>
      <c r="F464" s="54" t="s">
        <v>1853</v>
      </c>
      <c r="G464" s="50">
        <v>3</v>
      </c>
      <c r="H464" s="51" t="s">
        <v>1854</v>
      </c>
      <c r="I464" s="53">
        <v>320000</v>
      </c>
      <c r="J464" s="53">
        <v>0</v>
      </c>
      <c r="K464" s="53">
        <v>22000</v>
      </c>
      <c r="L464" s="53">
        <v>0</v>
      </c>
      <c r="M464" s="53">
        <v>0</v>
      </c>
      <c r="N464" s="53">
        <v>0</v>
      </c>
      <c r="O464" s="53">
        <v>0</v>
      </c>
      <c r="P464" s="53">
        <v>0</v>
      </c>
      <c r="Q464" s="53">
        <v>0</v>
      </c>
      <c r="R464" s="53">
        <v>0</v>
      </c>
      <c r="S464" s="53">
        <v>0</v>
      </c>
      <c r="T464" s="53">
        <v>0</v>
      </c>
      <c r="U464" s="53">
        <v>1100</v>
      </c>
      <c r="V464" s="53">
        <v>0</v>
      </c>
      <c r="W464" s="53">
        <v>0</v>
      </c>
      <c r="X464" s="53">
        <v>0</v>
      </c>
      <c r="Y464" s="53">
        <v>0</v>
      </c>
      <c r="Z464" s="53">
        <v>0</v>
      </c>
      <c r="AA464" s="53">
        <v>0</v>
      </c>
      <c r="AB464" s="53">
        <v>0</v>
      </c>
      <c r="AC464" s="53">
        <v>0</v>
      </c>
      <c r="AD464" s="53">
        <v>0</v>
      </c>
      <c r="AE464" s="53">
        <v>0</v>
      </c>
      <c r="AF464" s="53">
        <v>0</v>
      </c>
      <c r="AG464" s="53">
        <v>0</v>
      </c>
      <c r="AH464" s="53">
        <v>0</v>
      </c>
      <c r="AI464" s="53">
        <v>0</v>
      </c>
      <c r="AJ464" s="53">
        <v>0</v>
      </c>
      <c r="AK464" s="53">
        <v>0</v>
      </c>
      <c r="AL464" s="53">
        <v>0</v>
      </c>
      <c r="AM464" s="53" t="str">
        <f>I464-J464-K464-L464-M464-N464-O464-P464-Q464-R464-S464-T464-U464-V464-W464-X464-Y464-Z464-AA464-AB464-AC464-AD464-AE464-AF464-AG464+AH464-AI464+AJ464+AK464-AL464</f>
        <v>0</v>
      </c>
      <c r="AN464" s="53"/>
      <c r="AO464" s="27"/>
    </row>
    <row r="465" spans="1:41">
      <c r="A465" s="44">
        <v>437</v>
      </c>
      <c r="B465" s="46" t="s">
        <v>1855</v>
      </c>
      <c r="C465" s="48" t="s">
        <v>1856</v>
      </c>
      <c r="D465" s="51" t="s">
        <v>73</v>
      </c>
      <c r="E465" s="51" t="s">
        <v>1827</v>
      </c>
      <c r="F465" s="54" t="s">
        <v>1857</v>
      </c>
      <c r="G465" s="50">
        <v>7</v>
      </c>
      <c r="H465" s="51" t="s">
        <v>1858</v>
      </c>
      <c r="I465" s="53">
        <v>1449000</v>
      </c>
      <c r="J465" s="53">
        <v>0</v>
      </c>
      <c r="K465" s="53">
        <v>35000</v>
      </c>
      <c r="L465" s="53">
        <v>0</v>
      </c>
      <c r="M465" s="53">
        <v>0</v>
      </c>
      <c r="N465" s="53">
        <v>0</v>
      </c>
      <c r="O465" s="53">
        <v>0</v>
      </c>
      <c r="P465" s="53">
        <v>0</v>
      </c>
      <c r="Q465" s="53">
        <v>0</v>
      </c>
      <c r="R465" s="53">
        <v>0</v>
      </c>
      <c r="S465" s="53">
        <v>0</v>
      </c>
      <c r="T465" s="53">
        <v>0</v>
      </c>
      <c r="U465" s="53">
        <v>1750</v>
      </c>
      <c r="V465" s="53">
        <v>0</v>
      </c>
      <c r="W465" s="53">
        <v>0</v>
      </c>
      <c r="X465" s="53">
        <v>0</v>
      </c>
      <c r="Y465" s="53">
        <v>0</v>
      </c>
      <c r="Z465" s="53">
        <v>0</v>
      </c>
      <c r="AA465" s="53">
        <v>0</v>
      </c>
      <c r="AB465" s="53">
        <v>0</v>
      </c>
      <c r="AC465" s="53">
        <v>0</v>
      </c>
      <c r="AD465" s="53">
        <v>0</v>
      </c>
      <c r="AE465" s="53">
        <v>0</v>
      </c>
      <c r="AF465" s="53">
        <v>0</v>
      </c>
      <c r="AG465" s="53">
        <v>0</v>
      </c>
      <c r="AH465" s="53">
        <v>0</v>
      </c>
      <c r="AI465" s="53">
        <v>0</v>
      </c>
      <c r="AJ465" s="53">
        <v>0</v>
      </c>
      <c r="AK465" s="53">
        <v>0</v>
      </c>
      <c r="AL465" s="53">
        <v>0</v>
      </c>
      <c r="AM465" s="53" t="str">
        <f>I465-J465-K465-L465-M465-N465-O465-P465-Q465-R465-S465-T465-U465-V465-W465-X465-Y465-Z465-AA465-AB465-AC465-AD465-AE465-AF465-AG465+AH465-AI465+AJ465+AK465-AL465</f>
        <v>0</v>
      </c>
      <c r="AN465" s="53"/>
      <c r="AO465" s="27"/>
    </row>
    <row r="466" spans="1:41">
      <c r="A466" s="44">
        <v>438</v>
      </c>
      <c r="B466" s="46" t="s">
        <v>1859</v>
      </c>
      <c r="C466" s="48" t="s">
        <v>1860</v>
      </c>
      <c r="D466" s="51" t="s">
        <v>73</v>
      </c>
      <c r="E466" s="51" t="s">
        <v>1827</v>
      </c>
      <c r="F466" s="54" t="s">
        <v>1861</v>
      </c>
      <c r="G466" s="50">
        <v>2</v>
      </c>
      <c r="H466" s="51" t="s">
        <v>1862</v>
      </c>
      <c r="I466" s="53">
        <v>322100</v>
      </c>
      <c r="J466" s="53">
        <v>0</v>
      </c>
      <c r="K466" s="53">
        <v>22000</v>
      </c>
      <c r="L466" s="53">
        <v>0</v>
      </c>
      <c r="M466" s="53">
        <v>0</v>
      </c>
      <c r="N466" s="53">
        <v>0</v>
      </c>
      <c r="O466" s="53">
        <v>0</v>
      </c>
      <c r="P466" s="53">
        <v>0</v>
      </c>
      <c r="Q466" s="53">
        <v>0</v>
      </c>
      <c r="R466" s="53">
        <v>0</v>
      </c>
      <c r="S466" s="53">
        <v>0</v>
      </c>
      <c r="T466" s="53">
        <v>0</v>
      </c>
      <c r="U466" s="53">
        <v>1100</v>
      </c>
      <c r="V466" s="53">
        <v>0</v>
      </c>
      <c r="W466" s="53">
        <v>0</v>
      </c>
      <c r="X466" s="53">
        <v>0</v>
      </c>
      <c r="Y466" s="53">
        <v>0</v>
      </c>
      <c r="Z466" s="53">
        <v>0</v>
      </c>
      <c r="AA466" s="53">
        <v>0</v>
      </c>
      <c r="AB466" s="53">
        <v>0</v>
      </c>
      <c r="AC466" s="53">
        <v>0</v>
      </c>
      <c r="AD466" s="53">
        <v>0</v>
      </c>
      <c r="AE466" s="53">
        <v>0</v>
      </c>
      <c r="AF466" s="53">
        <v>0</v>
      </c>
      <c r="AG466" s="53">
        <v>0</v>
      </c>
      <c r="AH466" s="53">
        <v>0</v>
      </c>
      <c r="AI466" s="53">
        <v>0</v>
      </c>
      <c r="AJ466" s="53">
        <v>0</v>
      </c>
      <c r="AK466" s="53">
        <v>0</v>
      </c>
      <c r="AL466" s="53">
        <v>0</v>
      </c>
      <c r="AM466" s="53" t="str">
        <f>I466-J466-K466-L466-M466-N466-O466-P466-Q466-R466-S466-T466-U466-V466-W466-X466-Y466-Z466-AA466-AB466-AC466-AD466-AE466-AF466-AG466+AH466-AI466+AJ466+AK466-AL466</f>
        <v>0</v>
      </c>
      <c r="AN466" s="53"/>
      <c r="AO466" s="27"/>
    </row>
    <row r="467" spans="1:41">
      <c r="A467" s="44">
        <v>439</v>
      </c>
      <c r="B467" s="46" t="s">
        <v>1863</v>
      </c>
      <c r="C467" s="48" t="s">
        <v>1864</v>
      </c>
      <c r="D467" s="51" t="s">
        <v>73</v>
      </c>
      <c r="E467" s="51" t="s">
        <v>1827</v>
      </c>
      <c r="F467" s="54" t="s">
        <v>1865</v>
      </c>
      <c r="G467" s="50">
        <v>2</v>
      </c>
      <c r="H467" s="51" t="s">
        <v>1866</v>
      </c>
      <c r="I467" s="53">
        <v>304100</v>
      </c>
      <c r="J467" s="53">
        <v>0</v>
      </c>
      <c r="K467" s="53">
        <v>22000</v>
      </c>
      <c r="L467" s="53">
        <v>0</v>
      </c>
      <c r="M467" s="53">
        <v>0</v>
      </c>
      <c r="N467" s="53">
        <v>0</v>
      </c>
      <c r="O467" s="53">
        <v>0</v>
      </c>
      <c r="P467" s="53">
        <v>0</v>
      </c>
      <c r="Q467" s="53">
        <v>0</v>
      </c>
      <c r="R467" s="53">
        <v>0</v>
      </c>
      <c r="S467" s="53">
        <v>0</v>
      </c>
      <c r="T467" s="53">
        <v>0</v>
      </c>
      <c r="U467" s="53">
        <v>1100</v>
      </c>
      <c r="V467" s="53">
        <v>0</v>
      </c>
      <c r="W467" s="53">
        <v>0</v>
      </c>
      <c r="X467" s="53">
        <v>0</v>
      </c>
      <c r="Y467" s="53">
        <v>0</v>
      </c>
      <c r="Z467" s="53">
        <v>0</v>
      </c>
      <c r="AA467" s="53">
        <v>0</v>
      </c>
      <c r="AB467" s="53">
        <v>0</v>
      </c>
      <c r="AC467" s="53">
        <v>0</v>
      </c>
      <c r="AD467" s="53">
        <v>0</v>
      </c>
      <c r="AE467" s="53">
        <v>0</v>
      </c>
      <c r="AF467" s="53">
        <v>0</v>
      </c>
      <c r="AG467" s="53">
        <v>0</v>
      </c>
      <c r="AH467" s="53">
        <v>0</v>
      </c>
      <c r="AI467" s="53">
        <v>0</v>
      </c>
      <c r="AJ467" s="53">
        <v>0</v>
      </c>
      <c r="AK467" s="53">
        <v>0</v>
      </c>
      <c r="AL467" s="53">
        <v>0</v>
      </c>
      <c r="AM467" s="53" t="str">
        <f>I467-J467-K467-L467-M467-N467-O467-P467-Q467-R467-S467-T467-U467-V467-W467-X467-Y467-Z467-AA467-AB467-AC467-AD467-AE467-AF467-AG467+AH467-AI467+AJ467+AK467-AL467</f>
        <v>0</v>
      </c>
      <c r="AN467" s="53"/>
      <c r="AO467" s="27"/>
    </row>
    <row r="468" spans="1:41">
      <c r="A468" s="44">
        <v>440</v>
      </c>
      <c r="B468" s="46" t="s">
        <v>1867</v>
      </c>
      <c r="C468" s="48" t="s">
        <v>1868</v>
      </c>
      <c r="D468" s="51" t="s">
        <v>73</v>
      </c>
      <c r="E468" s="51" t="s">
        <v>1827</v>
      </c>
      <c r="F468" s="54" t="s">
        <v>1869</v>
      </c>
      <c r="G468" s="50">
        <v>3</v>
      </c>
      <c r="H468" s="51" t="s">
        <v>1870</v>
      </c>
      <c r="I468" s="53">
        <v>570500</v>
      </c>
      <c r="J468" s="53">
        <v>0</v>
      </c>
      <c r="K468" s="53">
        <v>22000</v>
      </c>
      <c r="L468" s="53">
        <v>0</v>
      </c>
      <c r="M468" s="53">
        <v>0</v>
      </c>
      <c r="N468" s="53">
        <v>0</v>
      </c>
      <c r="O468" s="53">
        <v>0</v>
      </c>
      <c r="P468" s="53">
        <v>0</v>
      </c>
      <c r="Q468" s="53">
        <v>0</v>
      </c>
      <c r="R468" s="53">
        <v>0</v>
      </c>
      <c r="S468" s="53">
        <v>0</v>
      </c>
      <c r="T468" s="53">
        <v>0</v>
      </c>
      <c r="U468" s="53">
        <v>1100</v>
      </c>
      <c r="V468" s="53">
        <v>0</v>
      </c>
      <c r="W468" s="53">
        <v>0</v>
      </c>
      <c r="X468" s="53">
        <v>0</v>
      </c>
      <c r="Y468" s="53">
        <v>0</v>
      </c>
      <c r="Z468" s="53">
        <v>0</v>
      </c>
      <c r="AA468" s="53">
        <v>0</v>
      </c>
      <c r="AB468" s="53">
        <v>0</v>
      </c>
      <c r="AC468" s="53">
        <v>0</v>
      </c>
      <c r="AD468" s="53">
        <v>0</v>
      </c>
      <c r="AE468" s="53">
        <v>0</v>
      </c>
      <c r="AF468" s="53">
        <v>0</v>
      </c>
      <c r="AG468" s="53">
        <v>0</v>
      </c>
      <c r="AH468" s="53">
        <v>0</v>
      </c>
      <c r="AI468" s="53">
        <v>0</v>
      </c>
      <c r="AJ468" s="53">
        <v>0</v>
      </c>
      <c r="AK468" s="53">
        <v>0</v>
      </c>
      <c r="AL468" s="53">
        <v>0</v>
      </c>
      <c r="AM468" s="53" t="str">
        <f>I468-J468-K468-L468-M468-N468-O468-P468-Q468-R468-S468-T468-U468-V468-W468-X468-Y468-Z468-AA468-AB468-AC468-AD468-AE468-AF468-AG468+AH468-AI468+AJ468+AK468-AL468</f>
        <v>0</v>
      </c>
      <c r="AN468" s="53"/>
      <c r="AO468" s="27"/>
    </row>
    <row r="469" spans="1:41">
      <c r="A469" s="44">
        <v>441</v>
      </c>
      <c r="B469" s="46" t="s">
        <v>1871</v>
      </c>
      <c r="C469" s="48" t="s">
        <v>1872</v>
      </c>
      <c r="D469" s="51" t="s">
        <v>73</v>
      </c>
      <c r="E469" s="51" t="s">
        <v>1873</v>
      </c>
      <c r="F469" s="54" t="s">
        <v>1472</v>
      </c>
      <c r="G469" s="50">
        <v>2</v>
      </c>
      <c r="H469" s="51" t="s">
        <v>1874</v>
      </c>
      <c r="I469" s="53">
        <v>574100</v>
      </c>
      <c r="J469" s="53">
        <v>0</v>
      </c>
      <c r="K469" s="53">
        <v>23000</v>
      </c>
      <c r="L469" s="53">
        <v>0</v>
      </c>
      <c r="M469" s="53">
        <v>0</v>
      </c>
      <c r="N469" s="53">
        <v>0</v>
      </c>
      <c r="O469" s="53">
        <v>0</v>
      </c>
      <c r="P469" s="53">
        <v>0</v>
      </c>
      <c r="Q469" s="53">
        <v>0</v>
      </c>
      <c r="R469" s="53">
        <v>0</v>
      </c>
      <c r="S469" s="53">
        <v>0</v>
      </c>
      <c r="T469" s="53">
        <v>0</v>
      </c>
      <c r="U469" s="53">
        <v>1150</v>
      </c>
      <c r="V469" s="53">
        <v>0</v>
      </c>
      <c r="W469" s="53">
        <v>0</v>
      </c>
      <c r="X469" s="53">
        <v>0</v>
      </c>
      <c r="Y469" s="53">
        <v>0</v>
      </c>
      <c r="Z469" s="53">
        <v>0</v>
      </c>
      <c r="AA469" s="53">
        <v>0</v>
      </c>
      <c r="AB469" s="53">
        <v>0</v>
      </c>
      <c r="AC469" s="53">
        <v>0</v>
      </c>
      <c r="AD469" s="53">
        <v>0</v>
      </c>
      <c r="AE469" s="53">
        <v>0</v>
      </c>
      <c r="AF469" s="53">
        <v>0</v>
      </c>
      <c r="AG469" s="53">
        <v>0</v>
      </c>
      <c r="AH469" s="53">
        <v>0</v>
      </c>
      <c r="AI469" s="53">
        <v>0</v>
      </c>
      <c r="AJ469" s="53">
        <v>0</v>
      </c>
      <c r="AK469" s="53">
        <v>0</v>
      </c>
      <c r="AL469" s="53">
        <v>0</v>
      </c>
      <c r="AM469" s="53" t="str">
        <f>I469-J469-K469-L469-M469-N469-O469-P469-Q469-R469-S469-T469-U469-V469-W469-X469-Y469-Z469-AA469-AB469-AC469-AD469-AE469-AF469-AG469+AH469-AI469+AJ469+AK469-AL469</f>
        <v>0</v>
      </c>
      <c r="AN469" s="53"/>
      <c r="AO469" s="27"/>
    </row>
    <row r="470" spans="1:41">
      <c r="A470" s="44">
        <v>442</v>
      </c>
      <c r="B470" s="46" t="s">
        <v>1875</v>
      </c>
      <c r="C470" s="48" t="s">
        <v>1876</v>
      </c>
      <c r="D470" s="51" t="s">
        <v>73</v>
      </c>
      <c r="E470" s="51" t="s">
        <v>1873</v>
      </c>
      <c r="F470" s="54" t="s">
        <v>966</v>
      </c>
      <c r="G470" s="50">
        <v>13</v>
      </c>
      <c r="H470" s="51" t="s">
        <v>967</v>
      </c>
      <c r="I470" s="53">
        <v>2034000</v>
      </c>
      <c r="J470" s="53">
        <v>0</v>
      </c>
      <c r="K470" s="53">
        <v>64000</v>
      </c>
      <c r="L470" s="53">
        <v>0</v>
      </c>
      <c r="M470" s="53">
        <v>0</v>
      </c>
      <c r="N470" s="53">
        <v>0</v>
      </c>
      <c r="O470" s="53">
        <v>0</v>
      </c>
      <c r="P470" s="53">
        <v>0</v>
      </c>
      <c r="Q470" s="53">
        <v>0</v>
      </c>
      <c r="R470" s="53">
        <v>0</v>
      </c>
      <c r="S470" s="53">
        <v>0</v>
      </c>
      <c r="T470" s="53">
        <v>0</v>
      </c>
      <c r="U470" s="53">
        <v>3200</v>
      </c>
      <c r="V470" s="53">
        <v>0</v>
      </c>
      <c r="W470" s="53">
        <v>0</v>
      </c>
      <c r="X470" s="53">
        <v>0</v>
      </c>
      <c r="Y470" s="53">
        <v>0</v>
      </c>
      <c r="Z470" s="53">
        <v>0</v>
      </c>
      <c r="AA470" s="53">
        <v>0</v>
      </c>
      <c r="AB470" s="53">
        <v>0</v>
      </c>
      <c r="AC470" s="53">
        <v>0</v>
      </c>
      <c r="AD470" s="53">
        <v>0</v>
      </c>
      <c r="AE470" s="53">
        <v>0</v>
      </c>
      <c r="AF470" s="53">
        <v>0</v>
      </c>
      <c r="AG470" s="53">
        <v>0</v>
      </c>
      <c r="AH470" s="53">
        <v>0</v>
      </c>
      <c r="AI470" s="53">
        <v>0</v>
      </c>
      <c r="AJ470" s="53">
        <v>0</v>
      </c>
      <c r="AK470" s="53">
        <v>0</v>
      </c>
      <c r="AL470" s="53">
        <v>0</v>
      </c>
      <c r="AM470" s="53" t="str">
        <f>I470-J470-K470-L470-M470-N470-O470-P470-Q470-R470-S470-T470-U470-V470-W470-X470-Y470-Z470-AA470-AB470-AC470-AD470-AE470-AF470-AG470+AH470-AI470+AJ470+AK470-AL470</f>
        <v>0</v>
      </c>
      <c r="AN470" s="53"/>
      <c r="AO470" s="27"/>
    </row>
    <row r="471" spans="1:41">
      <c r="A471" s="44">
        <v>443</v>
      </c>
      <c r="B471" s="46" t="s">
        <v>1877</v>
      </c>
      <c r="C471" s="48" t="s">
        <v>1878</v>
      </c>
      <c r="D471" s="51" t="s">
        <v>73</v>
      </c>
      <c r="E471" s="51" t="s">
        <v>1873</v>
      </c>
      <c r="F471" s="54" t="s">
        <v>1879</v>
      </c>
      <c r="G471" s="50">
        <v>5</v>
      </c>
      <c r="H471" s="51" t="s">
        <v>1880</v>
      </c>
      <c r="I471" s="53">
        <v>926000</v>
      </c>
      <c r="J471" s="53">
        <v>0</v>
      </c>
      <c r="K471" s="53">
        <v>27000</v>
      </c>
      <c r="L471" s="53">
        <v>0</v>
      </c>
      <c r="M471" s="53">
        <v>0</v>
      </c>
      <c r="N471" s="53">
        <v>0</v>
      </c>
      <c r="O471" s="53">
        <v>0</v>
      </c>
      <c r="P471" s="53">
        <v>0</v>
      </c>
      <c r="Q471" s="53">
        <v>0</v>
      </c>
      <c r="R471" s="53">
        <v>0</v>
      </c>
      <c r="S471" s="53">
        <v>0</v>
      </c>
      <c r="T471" s="53">
        <v>0</v>
      </c>
      <c r="U471" s="53">
        <v>1350</v>
      </c>
      <c r="V471" s="53">
        <v>0</v>
      </c>
      <c r="W471" s="53">
        <v>0</v>
      </c>
      <c r="X471" s="53">
        <v>0</v>
      </c>
      <c r="Y471" s="53">
        <v>0</v>
      </c>
      <c r="Z471" s="53">
        <v>0</v>
      </c>
      <c r="AA471" s="53">
        <v>0</v>
      </c>
      <c r="AB471" s="53">
        <v>0</v>
      </c>
      <c r="AC471" s="53">
        <v>0</v>
      </c>
      <c r="AD471" s="53">
        <v>0</v>
      </c>
      <c r="AE471" s="53">
        <v>0</v>
      </c>
      <c r="AF471" s="53">
        <v>0</v>
      </c>
      <c r="AG471" s="53">
        <v>0</v>
      </c>
      <c r="AH471" s="53">
        <v>0</v>
      </c>
      <c r="AI471" s="53">
        <v>0</v>
      </c>
      <c r="AJ471" s="53">
        <v>0</v>
      </c>
      <c r="AK471" s="53">
        <v>0</v>
      </c>
      <c r="AL471" s="53">
        <v>0</v>
      </c>
      <c r="AM471" s="53" t="str">
        <f>I471-J471-K471-L471-M471-N471-O471-P471-Q471-R471-S471-T471-U471-V471-W471-X471-Y471-Z471-AA471-AB471-AC471-AD471-AE471-AF471-AG471+AH471-AI471+AJ471+AK471-AL471</f>
        <v>0</v>
      </c>
      <c r="AN471" s="53"/>
      <c r="AO471" s="27"/>
    </row>
    <row r="472" spans="1:41">
      <c r="A472" s="44">
        <v>444</v>
      </c>
      <c r="B472" s="46" t="s">
        <v>1881</v>
      </c>
      <c r="C472" s="48" t="s">
        <v>1882</v>
      </c>
      <c r="D472" s="51" t="s">
        <v>62</v>
      </c>
      <c r="E472" s="51" t="s">
        <v>1873</v>
      </c>
      <c r="F472" s="54" t="s">
        <v>1883</v>
      </c>
      <c r="G472" s="50">
        <v>11</v>
      </c>
      <c r="H472" s="51" t="s">
        <v>1884</v>
      </c>
      <c r="I472" s="53">
        <v>0</v>
      </c>
      <c r="J472" s="53">
        <v>0</v>
      </c>
      <c r="K472" s="53">
        <v>44000</v>
      </c>
      <c r="L472" s="53">
        <v>0</v>
      </c>
      <c r="M472" s="53">
        <v>0</v>
      </c>
      <c r="N472" s="53">
        <v>0</v>
      </c>
      <c r="O472" s="53">
        <v>0</v>
      </c>
      <c r="P472" s="53">
        <v>0</v>
      </c>
      <c r="Q472" s="53">
        <v>0</v>
      </c>
      <c r="R472" s="53">
        <v>0</v>
      </c>
      <c r="S472" s="53">
        <v>0</v>
      </c>
      <c r="T472" s="53">
        <v>0</v>
      </c>
      <c r="U472" s="53">
        <v>2200</v>
      </c>
      <c r="V472" s="53">
        <v>0</v>
      </c>
      <c r="W472" s="53">
        <v>0</v>
      </c>
      <c r="X472" s="53">
        <v>0</v>
      </c>
      <c r="Y472" s="53">
        <v>23100</v>
      </c>
      <c r="Z472" s="53">
        <v>0</v>
      </c>
      <c r="AA472" s="53">
        <v>0</v>
      </c>
      <c r="AB472" s="53">
        <v>0</v>
      </c>
      <c r="AC472" s="53">
        <v>0</v>
      </c>
      <c r="AD472" s="53">
        <v>0</v>
      </c>
      <c r="AE472" s="53">
        <v>0</v>
      </c>
      <c r="AF472" s="53">
        <v>0</v>
      </c>
      <c r="AG472" s="53">
        <v>0</v>
      </c>
      <c r="AH472" s="53">
        <v>0</v>
      </c>
      <c r="AI472" s="53">
        <v>0</v>
      </c>
      <c r="AJ472" s="53">
        <v>0</v>
      </c>
      <c r="AK472" s="53">
        <v>0</v>
      </c>
      <c r="AL472" s="53">
        <v>0</v>
      </c>
      <c r="AM472" s="53" t="str">
        <f>I472-J472-K472-L472-M472-N472-O472-P472-Q472-R472-S472-T472-U472-V472-W472-X472-Y472-Z472-AA472-AB472-AC472-AD472-AE472-AF472-AG472+AH472-AI472+AJ472+AK472-AL472</f>
        <v>0</v>
      </c>
      <c r="AN472" s="53"/>
      <c r="AO472" s="27"/>
    </row>
    <row r="473" spans="1:41">
      <c r="A473" s="44">
        <v>445</v>
      </c>
      <c r="B473" s="46" t="s">
        <v>1885</v>
      </c>
      <c r="C473" s="48" t="s">
        <v>1886</v>
      </c>
      <c r="D473" s="51" t="s">
        <v>73</v>
      </c>
      <c r="E473" s="51" t="s">
        <v>1873</v>
      </c>
      <c r="F473" s="54" t="s">
        <v>1887</v>
      </c>
      <c r="G473" s="50">
        <v>3</v>
      </c>
      <c r="H473" s="51" t="s">
        <v>1888</v>
      </c>
      <c r="I473" s="53">
        <v>331000</v>
      </c>
      <c r="J473" s="53">
        <v>0</v>
      </c>
      <c r="K473" s="53">
        <v>22000</v>
      </c>
      <c r="L473" s="53">
        <v>0</v>
      </c>
      <c r="M473" s="53">
        <v>0</v>
      </c>
      <c r="N473" s="53">
        <v>0</v>
      </c>
      <c r="O473" s="53">
        <v>0</v>
      </c>
      <c r="P473" s="53">
        <v>0</v>
      </c>
      <c r="Q473" s="53">
        <v>0</v>
      </c>
      <c r="R473" s="53">
        <v>0</v>
      </c>
      <c r="S473" s="53">
        <v>0</v>
      </c>
      <c r="T473" s="53">
        <v>0</v>
      </c>
      <c r="U473" s="53">
        <v>1100</v>
      </c>
      <c r="V473" s="53">
        <v>0</v>
      </c>
      <c r="W473" s="53">
        <v>0</v>
      </c>
      <c r="X473" s="53">
        <v>0</v>
      </c>
      <c r="Y473" s="53">
        <v>0</v>
      </c>
      <c r="Z473" s="53">
        <v>0</v>
      </c>
      <c r="AA473" s="53">
        <v>0</v>
      </c>
      <c r="AB473" s="53">
        <v>0</v>
      </c>
      <c r="AC473" s="53">
        <v>0</v>
      </c>
      <c r="AD473" s="53">
        <v>0</v>
      </c>
      <c r="AE473" s="53">
        <v>0</v>
      </c>
      <c r="AF473" s="53">
        <v>0</v>
      </c>
      <c r="AG473" s="53">
        <v>0</v>
      </c>
      <c r="AH473" s="53">
        <v>0</v>
      </c>
      <c r="AI473" s="53">
        <v>0</v>
      </c>
      <c r="AJ473" s="53">
        <v>0</v>
      </c>
      <c r="AK473" s="53">
        <v>0</v>
      </c>
      <c r="AL473" s="53">
        <v>0</v>
      </c>
      <c r="AM473" s="53" t="str">
        <f>I473-J473-K473-L473-M473-N473-O473-P473-Q473-R473-S473-T473-U473-V473-W473-X473-Y473-Z473-AA473-AB473-AC473-AD473-AE473-AF473-AG473+AH473-AI473+AJ473+AK473-AL473</f>
        <v>0</v>
      </c>
      <c r="AN473" s="53"/>
      <c r="AO473" s="27"/>
    </row>
    <row r="474" spans="1:41">
      <c r="A474" s="44">
        <v>446</v>
      </c>
      <c r="B474" s="46" t="s">
        <v>1889</v>
      </c>
      <c r="C474" s="48" t="s">
        <v>1890</v>
      </c>
      <c r="D474" s="51" t="s">
        <v>73</v>
      </c>
      <c r="E474" s="51" t="s">
        <v>1873</v>
      </c>
      <c r="F474" s="54" t="s">
        <v>1891</v>
      </c>
      <c r="G474" s="50">
        <v>5</v>
      </c>
      <c r="H474" s="51" t="s">
        <v>1892</v>
      </c>
      <c r="I474" s="53">
        <v>926000</v>
      </c>
      <c r="J474" s="53">
        <v>0</v>
      </c>
      <c r="K474" s="53">
        <v>27000</v>
      </c>
      <c r="L474" s="53">
        <v>0</v>
      </c>
      <c r="M474" s="53">
        <v>0</v>
      </c>
      <c r="N474" s="53">
        <v>0</v>
      </c>
      <c r="O474" s="53">
        <v>0</v>
      </c>
      <c r="P474" s="53">
        <v>0</v>
      </c>
      <c r="Q474" s="53">
        <v>0</v>
      </c>
      <c r="R474" s="53">
        <v>0</v>
      </c>
      <c r="S474" s="53">
        <v>0</v>
      </c>
      <c r="T474" s="53">
        <v>0</v>
      </c>
      <c r="U474" s="53">
        <v>1350</v>
      </c>
      <c r="V474" s="53">
        <v>0</v>
      </c>
      <c r="W474" s="53">
        <v>0</v>
      </c>
      <c r="X474" s="53">
        <v>0</v>
      </c>
      <c r="Y474" s="53">
        <v>0</v>
      </c>
      <c r="Z474" s="53">
        <v>0</v>
      </c>
      <c r="AA474" s="53">
        <v>0</v>
      </c>
      <c r="AB474" s="53">
        <v>0</v>
      </c>
      <c r="AC474" s="53">
        <v>0</v>
      </c>
      <c r="AD474" s="53">
        <v>0</v>
      </c>
      <c r="AE474" s="53">
        <v>0</v>
      </c>
      <c r="AF474" s="53">
        <v>0</v>
      </c>
      <c r="AG474" s="53">
        <v>0</v>
      </c>
      <c r="AH474" s="53">
        <v>0</v>
      </c>
      <c r="AI474" s="53">
        <v>0</v>
      </c>
      <c r="AJ474" s="53">
        <v>0</v>
      </c>
      <c r="AK474" s="53">
        <v>0</v>
      </c>
      <c r="AL474" s="53">
        <v>0</v>
      </c>
      <c r="AM474" s="53" t="str">
        <f>I474-J474-K474-L474-M474-N474-O474-P474-Q474-R474-S474-T474-U474-V474-W474-X474-Y474-Z474-AA474-AB474-AC474-AD474-AE474-AF474-AG474+AH474-AI474+AJ474+AK474-AL474</f>
        <v>0</v>
      </c>
      <c r="AN474" s="53"/>
      <c r="AO474" s="27"/>
    </row>
    <row r="475" spans="1:41">
      <c r="A475" s="44">
        <v>447</v>
      </c>
      <c r="B475" s="46" t="s">
        <v>1893</v>
      </c>
      <c r="C475" s="48" t="s">
        <v>1894</v>
      </c>
      <c r="D475" s="51" t="s">
        <v>73</v>
      </c>
      <c r="E475" s="51" t="s">
        <v>1895</v>
      </c>
      <c r="F475" s="54" t="s">
        <v>1820</v>
      </c>
      <c r="G475" s="50">
        <v>5</v>
      </c>
      <c r="H475" s="51" t="s">
        <v>1896</v>
      </c>
      <c r="I475" s="53">
        <v>926000</v>
      </c>
      <c r="J475" s="53">
        <v>0</v>
      </c>
      <c r="K475" s="53">
        <v>27000</v>
      </c>
      <c r="L475" s="53">
        <v>0</v>
      </c>
      <c r="M475" s="53">
        <v>0</v>
      </c>
      <c r="N475" s="53">
        <v>0</v>
      </c>
      <c r="O475" s="53">
        <v>0</v>
      </c>
      <c r="P475" s="53">
        <v>0</v>
      </c>
      <c r="Q475" s="53">
        <v>0</v>
      </c>
      <c r="R475" s="53">
        <v>0</v>
      </c>
      <c r="S475" s="53">
        <v>0</v>
      </c>
      <c r="T475" s="53">
        <v>0</v>
      </c>
      <c r="U475" s="53">
        <v>1350</v>
      </c>
      <c r="V475" s="53">
        <v>0</v>
      </c>
      <c r="W475" s="53">
        <v>0</v>
      </c>
      <c r="X475" s="53">
        <v>0</v>
      </c>
      <c r="Y475" s="53">
        <v>0</v>
      </c>
      <c r="Z475" s="53">
        <v>0</v>
      </c>
      <c r="AA475" s="53">
        <v>0</v>
      </c>
      <c r="AB475" s="53">
        <v>0</v>
      </c>
      <c r="AC475" s="53">
        <v>0</v>
      </c>
      <c r="AD475" s="53">
        <v>0</v>
      </c>
      <c r="AE475" s="53">
        <v>0</v>
      </c>
      <c r="AF475" s="53">
        <v>0</v>
      </c>
      <c r="AG475" s="53">
        <v>0</v>
      </c>
      <c r="AH475" s="53">
        <v>0</v>
      </c>
      <c r="AI475" s="53">
        <v>0</v>
      </c>
      <c r="AJ475" s="53">
        <v>0</v>
      </c>
      <c r="AK475" s="53">
        <v>0</v>
      </c>
      <c r="AL475" s="53">
        <v>0</v>
      </c>
      <c r="AM475" s="53" t="str">
        <f>I475-J475-K475-L475-M475-N475-O475-P475-Q475-R475-S475-T475-U475-V475-W475-X475-Y475-Z475-AA475-AB475-AC475-AD475-AE475-AF475-AG475+AH475-AI475+AJ475+AK475-AL475</f>
        <v>0</v>
      </c>
      <c r="AN475" s="53"/>
      <c r="AO475" s="27"/>
    </row>
    <row r="476" spans="1:41">
      <c r="A476" s="44">
        <v>448</v>
      </c>
      <c r="B476" s="46" t="s">
        <v>1897</v>
      </c>
      <c r="C476" s="48" t="s">
        <v>1898</v>
      </c>
      <c r="D476" s="51" t="s">
        <v>73</v>
      </c>
      <c r="E476" s="51" t="s">
        <v>1895</v>
      </c>
      <c r="F476" s="54" t="s">
        <v>1899</v>
      </c>
      <c r="G476" s="50">
        <v>5.8</v>
      </c>
      <c r="H476" s="51" t="s">
        <v>1900</v>
      </c>
      <c r="I476" s="53">
        <v>574100</v>
      </c>
      <c r="J476" s="53">
        <v>0</v>
      </c>
      <c r="K476" s="53">
        <v>31000</v>
      </c>
      <c r="L476" s="53">
        <v>0</v>
      </c>
      <c r="M476" s="53">
        <v>0</v>
      </c>
      <c r="N476" s="53">
        <v>0</v>
      </c>
      <c r="O476" s="53">
        <v>0</v>
      </c>
      <c r="P476" s="53">
        <v>0</v>
      </c>
      <c r="Q476" s="53">
        <v>0</v>
      </c>
      <c r="R476" s="53">
        <v>0</v>
      </c>
      <c r="S476" s="53">
        <v>0</v>
      </c>
      <c r="T476" s="53">
        <v>0</v>
      </c>
      <c r="U476" s="53">
        <v>1550</v>
      </c>
      <c r="V476" s="53">
        <v>0</v>
      </c>
      <c r="W476" s="53">
        <v>0</v>
      </c>
      <c r="X476" s="53">
        <v>0</v>
      </c>
      <c r="Y476" s="53">
        <v>0</v>
      </c>
      <c r="Z476" s="53">
        <v>0</v>
      </c>
      <c r="AA476" s="53">
        <v>0</v>
      </c>
      <c r="AB476" s="53">
        <v>0</v>
      </c>
      <c r="AC476" s="53">
        <v>0</v>
      </c>
      <c r="AD476" s="53">
        <v>0</v>
      </c>
      <c r="AE476" s="53">
        <v>0</v>
      </c>
      <c r="AF476" s="53">
        <v>0</v>
      </c>
      <c r="AG476" s="53">
        <v>0</v>
      </c>
      <c r="AH476" s="53">
        <v>0</v>
      </c>
      <c r="AI476" s="53">
        <v>0</v>
      </c>
      <c r="AJ476" s="53">
        <v>0</v>
      </c>
      <c r="AK476" s="53">
        <v>0</v>
      </c>
      <c r="AL476" s="53">
        <v>0</v>
      </c>
      <c r="AM476" s="53" t="str">
        <f>I476-J476-K476-L476-M476-N476-O476-P476-Q476-R476-S476-T476-U476-V476-W476-X476-Y476-Z476-AA476-AB476-AC476-AD476-AE476-AF476-AG476+AH476-AI476+AJ476+AK476-AL476</f>
        <v>0</v>
      </c>
      <c r="AN476" s="53"/>
      <c r="AO476" s="27"/>
    </row>
    <row r="477" spans="1:41">
      <c r="A477" s="44">
        <v>449</v>
      </c>
      <c r="B477" s="46" t="s">
        <v>1901</v>
      </c>
      <c r="C477" s="48" t="s">
        <v>1902</v>
      </c>
      <c r="D477" s="51" t="s">
        <v>73</v>
      </c>
      <c r="E477" s="51" t="s">
        <v>1895</v>
      </c>
      <c r="F477" s="54" t="s">
        <v>1903</v>
      </c>
      <c r="G477" s="50">
        <v>9.2</v>
      </c>
      <c r="H477" s="51" t="s">
        <v>1904</v>
      </c>
      <c r="I477" s="53">
        <v>926000</v>
      </c>
      <c r="J477" s="53">
        <v>0</v>
      </c>
      <c r="K477" s="53">
        <v>49000</v>
      </c>
      <c r="L477" s="53">
        <v>0</v>
      </c>
      <c r="M477" s="53">
        <v>0</v>
      </c>
      <c r="N477" s="53">
        <v>0</v>
      </c>
      <c r="O477" s="53">
        <v>0</v>
      </c>
      <c r="P477" s="53">
        <v>0</v>
      </c>
      <c r="Q477" s="53">
        <v>0</v>
      </c>
      <c r="R477" s="53">
        <v>0</v>
      </c>
      <c r="S477" s="53">
        <v>0</v>
      </c>
      <c r="T477" s="53">
        <v>0</v>
      </c>
      <c r="U477" s="53">
        <v>2450</v>
      </c>
      <c r="V477" s="53">
        <v>0</v>
      </c>
      <c r="W477" s="53">
        <v>0</v>
      </c>
      <c r="X477" s="53">
        <v>0</v>
      </c>
      <c r="Y477" s="53">
        <v>0</v>
      </c>
      <c r="Z477" s="53">
        <v>0</v>
      </c>
      <c r="AA477" s="53">
        <v>0</v>
      </c>
      <c r="AB477" s="53">
        <v>0</v>
      </c>
      <c r="AC477" s="53">
        <v>0</v>
      </c>
      <c r="AD477" s="53">
        <v>0</v>
      </c>
      <c r="AE477" s="53">
        <v>0</v>
      </c>
      <c r="AF477" s="53">
        <v>0</v>
      </c>
      <c r="AG477" s="53">
        <v>0</v>
      </c>
      <c r="AH477" s="53">
        <v>0</v>
      </c>
      <c r="AI477" s="53">
        <v>0</v>
      </c>
      <c r="AJ477" s="53">
        <v>0</v>
      </c>
      <c r="AK477" s="53">
        <v>0</v>
      </c>
      <c r="AL477" s="53">
        <v>0</v>
      </c>
      <c r="AM477" s="53" t="str">
        <f>I477-J477-K477-L477-M477-N477-O477-P477-Q477-R477-S477-T477-U477-V477-W477-X477-Y477-Z477-AA477-AB477-AC477-AD477-AE477-AF477-AG477+AH477-AI477+AJ477+AK477-AL477</f>
        <v>0</v>
      </c>
      <c r="AN477" s="53"/>
      <c r="AO477" s="27"/>
    </row>
    <row r="478" spans="1:41">
      <c r="A478" s="44">
        <v>450</v>
      </c>
      <c r="B478" s="46" t="s">
        <v>1905</v>
      </c>
      <c r="C478" s="48" t="s">
        <v>1906</v>
      </c>
      <c r="D478" s="51" t="s">
        <v>73</v>
      </c>
      <c r="E478" s="51" t="s">
        <v>1907</v>
      </c>
      <c r="F478" s="54" t="s">
        <v>987</v>
      </c>
      <c r="G478" s="50">
        <v>2</v>
      </c>
      <c r="H478" s="51" t="s">
        <v>1908</v>
      </c>
      <c r="I478" s="53">
        <v>200000</v>
      </c>
      <c r="J478" s="53">
        <v>0</v>
      </c>
      <c r="K478" s="53">
        <v>23000</v>
      </c>
      <c r="L478" s="53">
        <v>0</v>
      </c>
      <c r="M478" s="53">
        <v>0</v>
      </c>
      <c r="N478" s="53">
        <v>0</v>
      </c>
      <c r="O478" s="53">
        <v>0</v>
      </c>
      <c r="P478" s="53">
        <v>0</v>
      </c>
      <c r="Q478" s="53">
        <v>0</v>
      </c>
      <c r="R478" s="53">
        <v>0</v>
      </c>
      <c r="S478" s="53">
        <v>0</v>
      </c>
      <c r="T478" s="53">
        <v>0</v>
      </c>
      <c r="U478" s="53">
        <v>1150</v>
      </c>
      <c r="V478" s="53">
        <v>0</v>
      </c>
      <c r="W478" s="53">
        <v>0</v>
      </c>
      <c r="X478" s="53">
        <v>0</v>
      </c>
      <c r="Y478" s="53">
        <v>0</v>
      </c>
      <c r="Z478" s="53">
        <v>0</v>
      </c>
      <c r="AA478" s="53">
        <v>0</v>
      </c>
      <c r="AB478" s="53">
        <v>0</v>
      </c>
      <c r="AC478" s="53">
        <v>0</v>
      </c>
      <c r="AD478" s="53">
        <v>0</v>
      </c>
      <c r="AE478" s="53">
        <v>0</v>
      </c>
      <c r="AF478" s="53">
        <v>0</v>
      </c>
      <c r="AG478" s="53">
        <v>0</v>
      </c>
      <c r="AH478" s="53">
        <v>0</v>
      </c>
      <c r="AI478" s="53">
        <v>0</v>
      </c>
      <c r="AJ478" s="53">
        <v>0</v>
      </c>
      <c r="AK478" s="53">
        <v>0</v>
      </c>
      <c r="AL478" s="53">
        <v>0</v>
      </c>
      <c r="AM478" s="53" t="str">
        <f>I478-J478-K478-L478-M478-N478-O478-P478-Q478-R478-S478-T478-U478-V478-W478-X478-Y478-Z478-AA478-AB478-AC478-AD478-AE478-AF478-AG478+AH478-AI478+AJ478+AK478-AL478</f>
        <v>0</v>
      </c>
      <c r="AN478" s="53"/>
      <c r="AO478" s="27"/>
    </row>
    <row r="479" spans="1:41">
      <c r="A479" s="44">
        <v>451</v>
      </c>
      <c r="B479" s="46" t="s">
        <v>1909</v>
      </c>
      <c r="C479" s="48" t="s">
        <v>1910</v>
      </c>
      <c r="D479" s="51" t="s">
        <v>73</v>
      </c>
      <c r="E479" s="51" t="s">
        <v>1911</v>
      </c>
      <c r="F479" s="54" t="s">
        <v>509</v>
      </c>
      <c r="G479" s="50">
        <v>3</v>
      </c>
      <c r="H479" s="51" t="s">
        <v>1912</v>
      </c>
      <c r="I479" s="53">
        <v>1110000</v>
      </c>
      <c r="J479" s="53">
        <v>0</v>
      </c>
      <c r="K479" s="53">
        <v>22000</v>
      </c>
      <c r="L479" s="53">
        <v>0</v>
      </c>
      <c r="M479" s="53">
        <v>0</v>
      </c>
      <c r="N479" s="53">
        <v>0</v>
      </c>
      <c r="O479" s="53">
        <v>0</v>
      </c>
      <c r="P479" s="53">
        <v>0</v>
      </c>
      <c r="Q479" s="53">
        <v>0</v>
      </c>
      <c r="R479" s="53">
        <v>0</v>
      </c>
      <c r="S479" s="53">
        <v>0</v>
      </c>
      <c r="T479" s="53">
        <v>0</v>
      </c>
      <c r="U479" s="53">
        <v>1100</v>
      </c>
      <c r="V479" s="53">
        <v>0</v>
      </c>
      <c r="W479" s="53">
        <v>0</v>
      </c>
      <c r="X479" s="53">
        <v>0</v>
      </c>
      <c r="Y479" s="53">
        <v>0</v>
      </c>
      <c r="Z479" s="53">
        <v>0</v>
      </c>
      <c r="AA479" s="53">
        <v>0</v>
      </c>
      <c r="AB479" s="53">
        <v>0</v>
      </c>
      <c r="AC479" s="53">
        <v>0</v>
      </c>
      <c r="AD479" s="53">
        <v>0</v>
      </c>
      <c r="AE479" s="53">
        <v>0</v>
      </c>
      <c r="AF479" s="53">
        <v>0</v>
      </c>
      <c r="AG479" s="53">
        <v>0</v>
      </c>
      <c r="AH479" s="53">
        <v>0</v>
      </c>
      <c r="AI479" s="53">
        <v>0</v>
      </c>
      <c r="AJ479" s="53">
        <v>0</v>
      </c>
      <c r="AK479" s="53">
        <v>0</v>
      </c>
      <c r="AL479" s="53">
        <v>0</v>
      </c>
      <c r="AM479" s="53" t="str">
        <f>I479-J479-K479-L479-M479-N479-O479-P479-Q479-R479-S479-T479-U479-V479-W479-X479-Y479-Z479-AA479-AB479-AC479-AD479-AE479-AF479-AG479+AH479-AI479+AJ479+AK479-AL479</f>
        <v>0</v>
      </c>
      <c r="AN479" s="53"/>
      <c r="AO479" s="27"/>
    </row>
    <row r="480" spans="1:41">
      <c r="A480" s="44">
        <v>452</v>
      </c>
      <c r="B480" s="46" t="s">
        <v>1913</v>
      </c>
      <c r="C480" s="48" t="s">
        <v>1914</v>
      </c>
      <c r="D480" s="51" t="s">
        <v>73</v>
      </c>
      <c r="E480" s="51" t="s">
        <v>1915</v>
      </c>
      <c r="F480" s="54" t="s">
        <v>1916</v>
      </c>
      <c r="G480" s="50">
        <v>5</v>
      </c>
      <c r="H480" s="51" t="s">
        <v>1917</v>
      </c>
      <c r="I480" s="53">
        <v>1039000</v>
      </c>
      <c r="J480" s="53">
        <v>0</v>
      </c>
      <c r="K480" s="53">
        <v>27000</v>
      </c>
      <c r="L480" s="53">
        <v>0</v>
      </c>
      <c r="M480" s="53">
        <v>0</v>
      </c>
      <c r="N480" s="53">
        <v>0</v>
      </c>
      <c r="O480" s="53">
        <v>0</v>
      </c>
      <c r="P480" s="53">
        <v>0</v>
      </c>
      <c r="Q480" s="53">
        <v>0</v>
      </c>
      <c r="R480" s="53">
        <v>0</v>
      </c>
      <c r="S480" s="53">
        <v>0</v>
      </c>
      <c r="T480" s="53">
        <v>0</v>
      </c>
      <c r="U480" s="53">
        <v>1350</v>
      </c>
      <c r="V480" s="53">
        <v>0</v>
      </c>
      <c r="W480" s="53">
        <v>0</v>
      </c>
      <c r="X480" s="53">
        <v>0</v>
      </c>
      <c r="Y480" s="53">
        <v>0</v>
      </c>
      <c r="Z480" s="53">
        <v>0</v>
      </c>
      <c r="AA480" s="53">
        <v>0</v>
      </c>
      <c r="AB480" s="53">
        <v>0</v>
      </c>
      <c r="AC480" s="53">
        <v>0</v>
      </c>
      <c r="AD480" s="53">
        <v>0</v>
      </c>
      <c r="AE480" s="53">
        <v>0</v>
      </c>
      <c r="AF480" s="53">
        <v>0</v>
      </c>
      <c r="AG480" s="53">
        <v>0</v>
      </c>
      <c r="AH480" s="53">
        <v>0</v>
      </c>
      <c r="AI480" s="53">
        <v>0</v>
      </c>
      <c r="AJ480" s="53">
        <v>0</v>
      </c>
      <c r="AK480" s="53">
        <v>0</v>
      </c>
      <c r="AL480" s="53">
        <v>0</v>
      </c>
      <c r="AM480" s="53" t="str">
        <f>I480-J480-K480-L480-M480-N480-O480-P480-Q480-R480-S480-T480-U480-V480-W480-X480-Y480-Z480-AA480-AB480-AC480-AD480-AE480-AF480-AG480+AH480-AI480+AJ480+AK480-AL480</f>
        <v>0</v>
      </c>
      <c r="AN480" s="53"/>
      <c r="AO480" s="27"/>
    </row>
    <row r="481" spans="1:41">
      <c r="A481" s="44">
        <v>453</v>
      </c>
      <c r="B481" s="46" t="s">
        <v>1918</v>
      </c>
      <c r="C481" s="48" t="s">
        <v>1919</v>
      </c>
      <c r="D481" s="51" t="s">
        <v>73</v>
      </c>
      <c r="E481" s="51" t="s">
        <v>1915</v>
      </c>
      <c r="F481" s="54" t="s">
        <v>1920</v>
      </c>
      <c r="G481" s="50">
        <v>5</v>
      </c>
      <c r="H481" s="51" t="s">
        <v>1921</v>
      </c>
      <c r="I481" s="53">
        <v>1669000</v>
      </c>
      <c r="J481" s="53">
        <v>0</v>
      </c>
      <c r="K481" s="53">
        <v>27000</v>
      </c>
      <c r="L481" s="53">
        <v>0</v>
      </c>
      <c r="M481" s="53">
        <v>0</v>
      </c>
      <c r="N481" s="53">
        <v>0</v>
      </c>
      <c r="O481" s="53">
        <v>0</v>
      </c>
      <c r="P481" s="53">
        <v>0</v>
      </c>
      <c r="Q481" s="53">
        <v>0</v>
      </c>
      <c r="R481" s="53">
        <v>0</v>
      </c>
      <c r="S481" s="53">
        <v>0</v>
      </c>
      <c r="T481" s="53">
        <v>0</v>
      </c>
      <c r="U481" s="53">
        <v>1350</v>
      </c>
      <c r="V481" s="53">
        <v>0</v>
      </c>
      <c r="W481" s="53">
        <v>0</v>
      </c>
      <c r="X481" s="53">
        <v>0</v>
      </c>
      <c r="Y481" s="53">
        <v>0</v>
      </c>
      <c r="Z481" s="53">
        <v>0</v>
      </c>
      <c r="AA481" s="53">
        <v>0</v>
      </c>
      <c r="AB481" s="53">
        <v>0</v>
      </c>
      <c r="AC481" s="53">
        <v>0</v>
      </c>
      <c r="AD481" s="53">
        <v>0</v>
      </c>
      <c r="AE481" s="53">
        <v>0</v>
      </c>
      <c r="AF481" s="53">
        <v>0</v>
      </c>
      <c r="AG481" s="53">
        <v>0</v>
      </c>
      <c r="AH481" s="53">
        <v>0</v>
      </c>
      <c r="AI481" s="53">
        <v>0</v>
      </c>
      <c r="AJ481" s="53">
        <v>0</v>
      </c>
      <c r="AK481" s="53">
        <v>0</v>
      </c>
      <c r="AL481" s="53">
        <v>0</v>
      </c>
      <c r="AM481" s="53" t="str">
        <f>I481-J481-K481-L481-M481-N481-O481-P481-Q481-R481-S481-T481-U481-V481-W481-X481-Y481-Z481-AA481-AB481-AC481-AD481-AE481-AF481-AG481+AH481-AI481+AJ481+AK481-AL481</f>
        <v>0</v>
      </c>
      <c r="AN481" s="53"/>
      <c r="AO481" s="27"/>
    </row>
    <row r="482" spans="1:41">
      <c r="A482" s="44">
        <v>454</v>
      </c>
      <c r="B482" s="46" t="s">
        <v>1922</v>
      </c>
      <c r="C482" s="48" t="s">
        <v>1923</v>
      </c>
      <c r="D482" s="51" t="s">
        <v>73</v>
      </c>
      <c r="E482" s="51" t="s">
        <v>1915</v>
      </c>
      <c r="F482" s="54" t="s">
        <v>1924</v>
      </c>
      <c r="G482" s="50">
        <v>8</v>
      </c>
      <c r="H482" s="51" t="s">
        <v>1925</v>
      </c>
      <c r="I482" s="53">
        <v>1013000</v>
      </c>
      <c r="J482" s="53">
        <v>0</v>
      </c>
      <c r="K482" s="53">
        <v>39000</v>
      </c>
      <c r="L482" s="53">
        <v>0</v>
      </c>
      <c r="M482" s="53">
        <v>0</v>
      </c>
      <c r="N482" s="53">
        <v>0</v>
      </c>
      <c r="O482" s="53">
        <v>0</v>
      </c>
      <c r="P482" s="53">
        <v>0</v>
      </c>
      <c r="Q482" s="53">
        <v>0</v>
      </c>
      <c r="R482" s="53">
        <v>0</v>
      </c>
      <c r="S482" s="53">
        <v>0</v>
      </c>
      <c r="T482" s="53">
        <v>0</v>
      </c>
      <c r="U482" s="53">
        <v>1950</v>
      </c>
      <c r="V482" s="53">
        <v>0</v>
      </c>
      <c r="W482" s="53">
        <v>0</v>
      </c>
      <c r="X482" s="53">
        <v>0</v>
      </c>
      <c r="Y482" s="53">
        <v>0</v>
      </c>
      <c r="Z482" s="53">
        <v>0</v>
      </c>
      <c r="AA482" s="53">
        <v>0</v>
      </c>
      <c r="AB482" s="53">
        <v>0</v>
      </c>
      <c r="AC482" s="53">
        <v>0</v>
      </c>
      <c r="AD482" s="53">
        <v>0</v>
      </c>
      <c r="AE482" s="53">
        <v>0</v>
      </c>
      <c r="AF482" s="53">
        <v>0</v>
      </c>
      <c r="AG482" s="53">
        <v>0</v>
      </c>
      <c r="AH482" s="53">
        <v>0</v>
      </c>
      <c r="AI482" s="53">
        <v>0</v>
      </c>
      <c r="AJ482" s="53">
        <v>0</v>
      </c>
      <c r="AK482" s="53">
        <v>0</v>
      </c>
      <c r="AL482" s="53">
        <v>0</v>
      </c>
      <c r="AM482" s="53" t="str">
        <f>I482-J482-K482-L482-M482-N482-O482-P482-Q482-R482-S482-T482-U482-V482-W482-X482-Y482-Z482-AA482-AB482-AC482-AD482-AE482-AF482-AG482+AH482-AI482+AJ482+AK482-AL482</f>
        <v>0</v>
      </c>
      <c r="AN482" s="53"/>
      <c r="AO482" s="27"/>
    </row>
    <row r="483" spans="1:41">
      <c r="A483" s="44">
        <v>455</v>
      </c>
      <c r="B483" s="46" t="s">
        <v>1926</v>
      </c>
      <c r="C483" s="48" t="s">
        <v>1927</v>
      </c>
      <c r="D483" s="51" t="s">
        <v>73</v>
      </c>
      <c r="E483" s="51" t="s">
        <v>1915</v>
      </c>
      <c r="F483" s="54" t="s">
        <v>738</v>
      </c>
      <c r="G483" s="50">
        <v>2</v>
      </c>
      <c r="H483" s="51" t="s">
        <v>1928</v>
      </c>
      <c r="I483" s="53">
        <v>296000</v>
      </c>
      <c r="J483" s="53">
        <v>0</v>
      </c>
      <c r="K483" s="53">
        <v>22000</v>
      </c>
      <c r="L483" s="53">
        <v>0</v>
      </c>
      <c r="M483" s="53">
        <v>0</v>
      </c>
      <c r="N483" s="53">
        <v>0</v>
      </c>
      <c r="O483" s="53">
        <v>0</v>
      </c>
      <c r="P483" s="53">
        <v>0</v>
      </c>
      <c r="Q483" s="53">
        <v>0</v>
      </c>
      <c r="R483" s="53">
        <v>0</v>
      </c>
      <c r="S483" s="53">
        <v>0</v>
      </c>
      <c r="T483" s="53">
        <v>0</v>
      </c>
      <c r="U483" s="53">
        <v>1100</v>
      </c>
      <c r="V483" s="53">
        <v>0</v>
      </c>
      <c r="W483" s="53">
        <v>0</v>
      </c>
      <c r="X483" s="53">
        <v>0</v>
      </c>
      <c r="Y483" s="53">
        <v>0</v>
      </c>
      <c r="Z483" s="53">
        <v>0</v>
      </c>
      <c r="AA483" s="53">
        <v>0</v>
      </c>
      <c r="AB483" s="53">
        <v>0</v>
      </c>
      <c r="AC483" s="53">
        <v>0</v>
      </c>
      <c r="AD483" s="53">
        <v>0</v>
      </c>
      <c r="AE483" s="53">
        <v>0</v>
      </c>
      <c r="AF483" s="53">
        <v>0</v>
      </c>
      <c r="AG483" s="53">
        <v>0</v>
      </c>
      <c r="AH483" s="53">
        <v>0</v>
      </c>
      <c r="AI483" s="53">
        <v>0</v>
      </c>
      <c r="AJ483" s="53">
        <v>0</v>
      </c>
      <c r="AK483" s="53">
        <v>0</v>
      </c>
      <c r="AL483" s="53">
        <v>0</v>
      </c>
      <c r="AM483" s="53" t="str">
        <f>I483-J483-K483-L483-M483-N483-O483-P483-Q483-R483-S483-T483-U483-V483-W483-X483-Y483-Z483-AA483-AB483-AC483-AD483-AE483-AF483-AG483+AH483-AI483+AJ483+AK483-AL483</f>
        <v>0</v>
      </c>
      <c r="AN483" s="53"/>
      <c r="AO483" s="27"/>
    </row>
    <row r="484" spans="1:41">
      <c r="A484" s="44">
        <v>456</v>
      </c>
      <c r="B484" s="46" t="s">
        <v>1929</v>
      </c>
      <c r="C484" s="48" t="s">
        <v>1930</v>
      </c>
      <c r="D484" s="51" t="s">
        <v>73</v>
      </c>
      <c r="E484" s="51" t="s">
        <v>1915</v>
      </c>
      <c r="F484" s="54" t="s">
        <v>1931</v>
      </c>
      <c r="G484" s="50">
        <v>7</v>
      </c>
      <c r="H484" s="51" t="s">
        <v>1932</v>
      </c>
      <c r="I484" s="53">
        <v>1350000</v>
      </c>
      <c r="J484" s="53">
        <v>0</v>
      </c>
      <c r="K484" s="53">
        <v>35000</v>
      </c>
      <c r="L484" s="53">
        <v>0</v>
      </c>
      <c r="M484" s="53">
        <v>0</v>
      </c>
      <c r="N484" s="53">
        <v>0</v>
      </c>
      <c r="O484" s="53">
        <v>0</v>
      </c>
      <c r="P484" s="53">
        <v>0</v>
      </c>
      <c r="Q484" s="53">
        <v>0</v>
      </c>
      <c r="R484" s="53">
        <v>0</v>
      </c>
      <c r="S484" s="53">
        <v>0</v>
      </c>
      <c r="T484" s="53">
        <v>0</v>
      </c>
      <c r="U484" s="53">
        <v>1750</v>
      </c>
      <c r="V484" s="53">
        <v>0</v>
      </c>
      <c r="W484" s="53">
        <v>0</v>
      </c>
      <c r="X484" s="53">
        <v>0</v>
      </c>
      <c r="Y484" s="53">
        <v>0</v>
      </c>
      <c r="Z484" s="53">
        <v>0</v>
      </c>
      <c r="AA484" s="53">
        <v>0</v>
      </c>
      <c r="AB484" s="53">
        <v>0</v>
      </c>
      <c r="AC484" s="53">
        <v>0</v>
      </c>
      <c r="AD484" s="53">
        <v>0</v>
      </c>
      <c r="AE484" s="53">
        <v>0</v>
      </c>
      <c r="AF484" s="53">
        <v>0</v>
      </c>
      <c r="AG484" s="53">
        <v>0</v>
      </c>
      <c r="AH484" s="53">
        <v>0</v>
      </c>
      <c r="AI484" s="53">
        <v>0</v>
      </c>
      <c r="AJ484" s="53">
        <v>0</v>
      </c>
      <c r="AK484" s="53">
        <v>0</v>
      </c>
      <c r="AL484" s="53">
        <v>0</v>
      </c>
      <c r="AM484" s="53" t="str">
        <f>I484-J484-K484-L484-M484-N484-O484-P484-Q484-R484-S484-T484-U484-V484-W484-X484-Y484-Z484-AA484-AB484-AC484-AD484-AE484-AF484-AG484+AH484-AI484+AJ484+AK484-AL484</f>
        <v>0</v>
      </c>
      <c r="AN484" s="53"/>
      <c r="AO484" s="27"/>
    </row>
    <row r="485" spans="1:41">
      <c r="A485" s="44">
        <v>457</v>
      </c>
      <c r="B485" s="46" t="s">
        <v>1933</v>
      </c>
      <c r="C485" s="48" t="s">
        <v>1934</v>
      </c>
      <c r="D485" s="51" t="s">
        <v>73</v>
      </c>
      <c r="E485" s="51" t="s">
        <v>1915</v>
      </c>
      <c r="F485" s="54" t="s">
        <v>710</v>
      </c>
      <c r="G485" s="50">
        <v>4</v>
      </c>
      <c r="H485" s="51" t="s">
        <v>1935</v>
      </c>
      <c r="I485" s="53">
        <v>494000</v>
      </c>
      <c r="J485" s="53">
        <v>0</v>
      </c>
      <c r="K485" s="53">
        <v>25000</v>
      </c>
      <c r="L485" s="53">
        <v>0</v>
      </c>
      <c r="M485" s="53">
        <v>0</v>
      </c>
      <c r="N485" s="53">
        <v>0</v>
      </c>
      <c r="O485" s="53">
        <v>0</v>
      </c>
      <c r="P485" s="53">
        <v>0</v>
      </c>
      <c r="Q485" s="53">
        <v>0</v>
      </c>
      <c r="R485" s="53">
        <v>0</v>
      </c>
      <c r="S485" s="53">
        <v>0</v>
      </c>
      <c r="T485" s="53">
        <v>0</v>
      </c>
      <c r="U485" s="53">
        <v>1250</v>
      </c>
      <c r="V485" s="53">
        <v>0</v>
      </c>
      <c r="W485" s="53">
        <v>0</v>
      </c>
      <c r="X485" s="53">
        <v>0</v>
      </c>
      <c r="Y485" s="53">
        <v>0</v>
      </c>
      <c r="Z485" s="53">
        <v>0</v>
      </c>
      <c r="AA485" s="53">
        <v>0</v>
      </c>
      <c r="AB485" s="53">
        <v>0</v>
      </c>
      <c r="AC485" s="53">
        <v>0</v>
      </c>
      <c r="AD485" s="53">
        <v>0</v>
      </c>
      <c r="AE485" s="53">
        <v>0</v>
      </c>
      <c r="AF485" s="53">
        <v>0</v>
      </c>
      <c r="AG485" s="53">
        <v>0</v>
      </c>
      <c r="AH485" s="53">
        <v>0</v>
      </c>
      <c r="AI485" s="53">
        <v>0</v>
      </c>
      <c r="AJ485" s="53">
        <v>0</v>
      </c>
      <c r="AK485" s="53">
        <v>0</v>
      </c>
      <c r="AL485" s="53">
        <v>0</v>
      </c>
      <c r="AM485" s="53" t="str">
        <f>I485-J485-K485-L485-M485-N485-O485-P485-Q485-R485-S485-T485-U485-V485-W485-X485-Y485-Z485-AA485-AB485-AC485-AD485-AE485-AF485-AG485+AH485-AI485+AJ485+AK485-AL485</f>
        <v>0</v>
      </c>
      <c r="AN485" s="53"/>
      <c r="AO485" s="27"/>
    </row>
    <row r="486" spans="1:41">
      <c r="A486" s="44">
        <v>458</v>
      </c>
      <c r="B486" s="46" t="s">
        <v>1936</v>
      </c>
      <c r="C486" s="48" t="s">
        <v>1937</v>
      </c>
      <c r="D486" s="51" t="s">
        <v>73</v>
      </c>
      <c r="E486" s="51" t="s">
        <v>1915</v>
      </c>
      <c r="F486" s="54" t="s">
        <v>1397</v>
      </c>
      <c r="G486" s="50">
        <v>2</v>
      </c>
      <c r="H486" s="51" t="s">
        <v>1938</v>
      </c>
      <c r="I486" s="53">
        <v>201500</v>
      </c>
      <c r="J486" s="53">
        <v>0</v>
      </c>
      <c r="K486" s="53">
        <v>22000</v>
      </c>
      <c r="L486" s="53">
        <v>0</v>
      </c>
      <c r="M486" s="53">
        <v>0</v>
      </c>
      <c r="N486" s="53">
        <v>0</v>
      </c>
      <c r="O486" s="53">
        <v>0</v>
      </c>
      <c r="P486" s="53">
        <v>0</v>
      </c>
      <c r="Q486" s="53">
        <v>0</v>
      </c>
      <c r="R486" s="53">
        <v>0</v>
      </c>
      <c r="S486" s="53">
        <v>0</v>
      </c>
      <c r="T486" s="53">
        <v>0</v>
      </c>
      <c r="U486" s="53">
        <v>1100</v>
      </c>
      <c r="V486" s="53">
        <v>0</v>
      </c>
      <c r="W486" s="53">
        <v>0</v>
      </c>
      <c r="X486" s="53">
        <v>0</v>
      </c>
      <c r="Y486" s="53">
        <v>0</v>
      </c>
      <c r="Z486" s="53">
        <v>0</v>
      </c>
      <c r="AA486" s="53">
        <v>0</v>
      </c>
      <c r="AB486" s="53">
        <v>0</v>
      </c>
      <c r="AC486" s="53">
        <v>0</v>
      </c>
      <c r="AD486" s="53">
        <v>0</v>
      </c>
      <c r="AE486" s="53">
        <v>0</v>
      </c>
      <c r="AF486" s="53">
        <v>0</v>
      </c>
      <c r="AG486" s="53">
        <v>0</v>
      </c>
      <c r="AH486" s="53">
        <v>0</v>
      </c>
      <c r="AI486" s="53">
        <v>0</v>
      </c>
      <c r="AJ486" s="53">
        <v>0</v>
      </c>
      <c r="AK486" s="53">
        <v>0</v>
      </c>
      <c r="AL486" s="53">
        <v>0</v>
      </c>
      <c r="AM486" s="53" t="str">
        <f>I486-J486-K486-L486-M486-N486-O486-P486-Q486-R486-S486-T486-U486-V486-W486-X486-Y486-Z486-AA486-AB486-AC486-AD486-AE486-AF486-AG486+AH486-AI486+AJ486+AK486-AL486</f>
        <v>0</v>
      </c>
      <c r="AN486" s="53"/>
      <c r="AO486" s="27"/>
    </row>
    <row r="487" spans="1:41">
      <c r="A487" s="44">
        <v>459</v>
      </c>
      <c r="B487" s="46" t="s">
        <v>1939</v>
      </c>
      <c r="C487" s="48" t="s">
        <v>1940</v>
      </c>
      <c r="D487" s="51" t="s">
        <v>73</v>
      </c>
      <c r="E487" s="51" t="s">
        <v>1915</v>
      </c>
      <c r="F487" s="54" t="s">
        <v>1941</v>
      </c>
      <c r="G487" s="50">
        <v>3</v>
      </c>
      <c r="H487" s="51" t="s">
        <v>1942</v>
      </c>
      <c r="I487" s="53">
        <v>791000</v>
      </c>
      <c r="J487" s="53">
        <v>0</v>
      </c>
      <c r="K487" s="53">
        <v>22000</v>
      </c>
      <c r="L487" s="53">
        <v>0</v>
      </c>
      <c r="M487" s="53">
        <v>0</v>
      </c>
      <c r="N487" s="53">
        <v>0</v>
      </c>
      <c r="O487" s="53">
        <v>0</v>
      </c>
      <c r="P487" s="53">
        <v>0</v>
      </c>
      <c r="Q487" s="53">
        <v>0</v>
      </c>
      <c r="R487" s="53">
        <v>0</v>
      </c>
      <c r="S487" s="53">
        <v>0</v>
      </c>
      <c r="T487" s="53">
        <v>0</v>
      </c>
      <c r="U487" s="53">
        <v>1100</v>
      </c>
      <c r="V487" s="53">
        <v>0</v>
      </c>
      <c r="W487" s="53">
        <v>0</v>
      </c>
      <c r="X487" s="53">
        <v>0</v>
      </c>
      <c r="Y487" s="53">
        <v>0</v>
      </c>
      <c r="Z487" s="53">
        <v>0</v>
      </c>
      <c r="AA487" s="53">
        <v>0</v>
      </c>
      <c r="AB487" s="53">
        <v>0</v>
      </c>
      <c r="AC487" s="53">
        <v>0</v>
      </c>
      <c r="AD487" s="53">
        <v>0</v>
      </c>
      <c r="AE487" s="53">
        <v>0</v>
      </c>
      <c r="AF487" s="53">
        <v>0</v>
      </c>
      <c r="AG487" s="53">
        <v>0</v>
      </c>
      <c r="AH487" s="53">
        <v>0</v>
      </c>
      <c r="AI487" s="53">
        <v>0</v>
      </c>
      <c r="AJ487" s="53">
        <v>0</v>
      </c>
      <c r="AK487" s="53">
        <v>0</v>
      </c>
      <c r="AL487" s="53">
        <v>0</v>
      </c>
      <c r="AM487" s="53" t="str">
        <f>I487-J487-K487-L487-M487-N487-O487-P487-Q487-R487-S487-T487-U487-V487-W487-X487-Y487-Z487-AA487-AB487-AC487-AD487-AE487-AF487-AG487+AH487-AI487+AJ487+AK487-AL487</f>
        <v>0</v>
      </c>
      <c r="AN487" s="53"/>
      <c r="AO487" s="27"/>
    </row>
    <row r="488" spans="1:41">
      <c r="A488" s="44">
        <v>460</v>
      </c>
      <c r="B488" s="46" t="s">
        <v>1943</v>
      </c>
      <c r="C488" s="48" t="s">
        <v>1944</v>
      </c>
      <c r="D488" s="51" t="s">
        <v>62</v>
      </c>
      <c r="E488" s="51" t="s">
        <v>1915</v>
      </c>
      <c r="F488" s="54" t="s">
        <v>1945</v>
      </c>
      <c r="G488" s="50">
        <v>2</v>
      </c>
      <c r="H488" s="51" t="s">
        <v>1946</v>
      </c>
      <c r="I488" s="53">
        <v>0</v>
      </c>
      <c r="J488" s="53">
        <v>0</v>
      </c>
      <c r="K488" s="53">
        <v>22000</v>
      </c>
      <c r="L488" s="53">
        <v>0</v>
      </c>
      <c r="M488" s="53">
        <v>0</v>
      </c>
      <c r="N488" s="53">
        <v>0</v>
      </c>
      <c r="O488" s="53">
        <v>0</v>
      </c>
      <c r="P488" s="53">
        <v>0</v>
      </c>
      <c r="Q488" s="53">
        <v>0</v>
      </c>
      <c r="R488" s="53">
        <v>0</v>
      </c>
      <c r="S488" s="53">
        <v>0</v>
      </c>
      <c r="T488" s="53">
        <v>0</v>
      </c>
      <c r="U488" s="53">
        <v>1100</v>
      </c>
      <c r="V488" s="53">
        <v>0</v>
      </c>
      <c r="W488" s="53">
        <v>0</v>
      </c>
      <c r="X488" s="53">
        <v>0</v>
      </c>
      <c r="Y488" s="53">
        <v>11550</v>
      </c>
      <c r="Z488" s="53">
        <v>0</v>
      </c>
      <c r="AA488" s="53">
        <v>0</v>
      </c>
      <c r="AB488" s="53">
        <v>0</v>
      </c>
      <c r="AC488" s="53">
        <v>0</v>
      </c>
      <c r="AD488" s="53">
        <v>0</v>
      </c>
      <c r="AE488" s="53">
        <v>0</v>
      </c>
      <c r="AF488" s="53">
        <v>0</v>
      </c>
      <c r="AG488" s="53">
        <v>0</v>
      </c>
      <c r="AH488" s="53">
        <v>0</v>
      </c>
      <c r="AI488" s="53">
        <v>0</v>
      </c>
      <c r="AJ488" s="53">
        <v>0</v>
      </c>
      <c r="AK488" s="53">
        <v>0</v>
      </c>
      <c r="AL488" s="53">
        <v>0</v>
      </c>
      <c r="AM488" s="53" t="str">
        <f>I488-J488-K488-L488-M488-N488-O488-P488-Q488-R488-S488-T488-U488-V488-W488-X488-Y488-Z488-AA488-AB488-AC488-AD488-AE488-AF488-AG488+AH488-AI488+AJ488+AK488-AL488</f>
        <v>0</v>
      </c>
      <c r="AN488" s="53"/>
      <c r="AO488" s="27"/>
    </row>
    <row r="489" spans="1:41">
      <c r="A489" s="44">
        <v>461</v>
      </c>
      <c r="B489" s="46" t="s">
        <v>1947</v>
      </c>
      <c r="C489" s="48" t="s">
        <v>1948</v>
      </c>
      <c r="D489" s="51" t="s">
        <v>73</v>
      </c>
      <c r="E489" s="51" t="s">
        <v>1915</v>
      </c>
      <c r="F489" s="54" t="s">
        <v>1949</v>
      </c>
      <c r="G489" s="50">
        <v>3</v>
      </c>
      <c r="H489" s="51" t="s">
        <v>1950</v>
      </c>
      <c r="I489" s="53">
        <v>169100</v>
      </c>
      <c r="J489" s="53">
        <v>0</v>
      </c>
      <c r="K489" s="53">
        <v>22000</v>
      </c>
      <c r="L489" s="53">
        <v>0</v>
      </c>
      <c r="M489" s="53">
        <v>0</v>
      </c>
      <c r="N489" s="53">
        <v>0</v>
      </c>
      <c r="O489" s="53">
        <v>0</v>
      </c>
      <c r="P489" s="53">
        <v>0</v>
      </c>
      <c r="Q489" s="53">
        <v>0</v>
      </c>
      <c r="R489" s="53">
        <v>0</v>
      </c>
      <c r="S489" s="53">
        <v>0</v>
      </c>
      <c r="T489" s="53">
        <v>0</v>
      </c>
      <c r="U489" s="53">
        <v>1100</v>
      </c>
      <c r="V489" s="53">
        <v>0</v>
      </c>
      <c r="W489" s="53">
        <v>0</v>
      </c>
      <c r="X489" s="53">
        <v>0</v>
      </c>
      <c r="Y489" s="53">
        <v>0</v>
      </c>
      <c r="Z489" s="53">
        <v>0</v>
      </c>
      <c r="AA489" s="53">
        <v>0</v>
      </c>
      <c r="AB489" s="53">
        <v>0</v>
      </c>
      <c r="AC489" s="53">
        <v>0</v>
      </c>
      <c r="AD489" s="53">
        <v>0</v>
      </c>
      <c r="AE489" s="53">
        <v>0</v>
      </c>
      <c r="AF489" s="53">
        <v>0</v>
      </c>
      <c r="AG489" s="53">
        <v>0</v>
      </c>
      <c r="AH489" s="53">
        <v>0</v>
      </c>
      <c r="AI489" s="53">
        <v>0</v>
      </c>
      <c r="AJ489" s="53">
        <v>0</v>
      </c>
      <c r="AK489" s="53">
        <v>0</v>
      </c>
      <c r="AL489" s="53">
        <v>0</v>
      </c>
      <c r="AM489" s="53" t="str">
        <f>I489-J489-K489-L489-M489-N489-O489-P489-Q489-R489-S489-T489-U489-V489-W489-X489-Y489-Z489-AA489-AB489-AC489-AD489-AE489-AF489-AG489+AH489-AI489+AJ489+AK489-AL489</f>
        <v>0</v>
      </c>
      <c r="AN489" s="53"/>
      <c r="AO489" s="27"/>
    </row>
    <row r="490" spans="1:41">
      <c r="A490" s="44">
        <v>462</v>
      </c>
      <c r="B490" s="46" t="s">
        <v>1951</v>
      </c>
      <c r="C490" s="48" t="s">
        <v>1952</v>
      </c>
      <c r="D490" s="51" t="s">
        <v>73</v>
      </c>
      <c r="E490" s="51" t="s">
        <v>1915</v>
      </c>
      <c r="F490" s="54" t="s">
        <v>1953</v>
      </c>
      <c r="G490" s="50">
        <v>2</v>
      </c>
      <c r="H490" s="51" t="s">
        <v>1954</v>
      </c>
      <c r="I490" s="53">
        <v>304100</v>
      </c>
      <c r="J490" s="53">
        <v>0</v>
      </c>
      <c r="K490" s="53">
        <v>22000</v>
      </c>
      <c r="L490" s="53">
        <v>0</v>
      </c>
      <c r="M490" s="53">
        <v>0</v>
      </c>
      <c r="N490" s="53">
        <v>0</v>
      </c>
      <c r="O490" s="53">
        <v>0</v>
      </c>
      <c r="P490" s="53">
        <v>0</v>
      </c>
      <c r="Q490" s="53">
        <v>0</v>
      </c>
      <c r="R490" s="53">
        <v>0</v>
      </c>
      <c r="S490" s="53">
        <v>0</v>
      </c>
      <c r="T490" s="53">
        <v>0</v>
      </c>
      <c r="U490" s="53">
        <v>1100</v>
      </c>
      <c r="V490" s="53">
        <v>0</v>
      </c>
      <c r="W490" s="53">
        <v>0</v>
      </c>
      <c r="X490" s="53">
        <v>0</v>
      </c>
      <c r="Y490" s="53">
        <v>0</v>
      </c>
      <c r="Z490" s="53">
        <v>0</v>
      </c>
      <c r="AA490" s="53">
        <v>0</v>
      </c>
      <c r="AB490" s="53">
        <v>0</v>
      </c>
      <c r="AC490" s="53">
        <v>0</v>
      </c>
      <c r="AD490" s="53">
        <v>0</v>
      </c>
      <c r="AE490" s="53">
        <v>0</v>
      </c>
      <c r="AF490" s="53">
        <v>0</v>
      </c>
      <c r="AG490" s="53">
        <v>0</v>
      </c>
      <c r="AH490" s="53">
        <v>0</v>
      </c>
      <c r="AI490" s="53">
        <v>0</v>
      </c>
      <c r="AJ490" s="53">
        <v>0</v>
      </c>
      <c r="AK490" s="53">
        <v>0</v>
      </c>
      <c r="AL490" s="53">
        <v>0</v>
      </c>
      <c r="AM490" s="53" t="str">
        <f>I490-J490-K490-L490-M490-N490-O490-P490-Q490-R490-S490-T490-U490-V490-W490-X490-Y490-Z490-AA490-AB490-AC490-AD490-AE490-AF490-AG490+AH490-AI490+AJ490+AK490-AL490</f>
        <v>0</v>
      </c>
      <c r="AN490" s="53"/>
      <c r="AO490" s="27"/>
    </row>
    <row r="491" spans="1:41">
      <c r="A491" s="44">
        <v>463</v>
      </c>
      <c r="B491" s="46" t="s">
        <v>1955</v>
      </c>
      <c r="C491" s="48" t="s">
        <v>1956</v>
      </c>
      <c r="D491" s="51" t="s">
        <v>73</v>
      </c>
      <c r="E491" s="51" t="s">
        <v>1957</v>
      </c>
      <c r="F491" s="54" t="s">
        <v>293</v>
      </c>
      <c r="G491" s="50">
        <v>5.8</v>
      </c>
      <c r="H491" s="51" t="s">
        <v>1958</v>
      </c>
      <c r="I491" s="53">
        <v>574100</v>
      </c>
      <c r="J491" s="53">
        <v>0</v>
      </c>
      <c r="K491" s="53">
        <v>31000</v>
      </c>
      <c r="L491" s="53">
        <v>0</v>
      </c>
      <c r="M491" s="53">
        <v>0</v>
      </c>
      <c r="N491" s="53">
        <v>0</v>
      </c>
      <c r="O491" s="53">
        <v>0</v>
      </c>
      <c r="P491" s="53">
        <v>0</v>
      </c>
      <c r="Q491" s="53">
        <v>0</v>
      </c>
      <c r="R491" s="53">
        <v>0</v>
      </c>
      <c r="S491" s="53">
        <v>0</v>
      </c>
      <c r="T491" s="53">
        <v>0</v>
      </c>
      <c r="U491" s="53">
        <v>1550</v>
      </c>
      <c r="V491" s="53">
        <v>0</v>
      </c>
      <c r="W491" s="53">
        <v>0</v>
      </c>
      <c r="X491" s="53">
        <v>0</v>
      </c>
      <c r="Y491" s="53">
        <v>0</v>
      </c>
      <c r="Z491" s="53">
        <v>0</v>
      </c>
      <c r="AA491" s="53">
        <v>0</v>
      </c>
      <c r="AB491" s="53">
        <v>0</v>
      </c>
      <c r="AC491" s="53">
        <v>0</v>
      </c>
      <c r="AD491" s="53">
        <v>0</v>
      </c>
      <c r="AE491" s="53">
        <v>0</v>
      </c>
      <c r="AF491" s="53">
        <v>0</v>
      </c>
      <c r="AG491" s="53">
        <v>0</v>
      </c>
      <c r="AH491" s="53">
        <v>0</v>
      </c>
      <c r="AI491" s="53">
        <v>0</v>
      </c>
      <c r="AJ491" s="53">
        <v>0</v>
      </c>
      <c r="AK491" s="53">
        <v>0</v>
      </c>
      <c r="AL491" s="53">
        <v>0</v>
      </c>
      <c r="AM491" s="53" t="str">
        <f>I491-J491-K491-L491-M491-N491-O491-P491-Q491-R491-S491-T491-U491-V491-W491-X491-Y491-Z491-AA491-AB491-AC491-AD491-AE491-AF491-AG491+AH491-AI491+AJ491+AK491-AL491</f>
        <v>0</v>
      </c>
      <c r="AN491" s="53"/>
      <c r="AO491" s="27"/>
    </row>
    <row r="492" spans="1:41">
      <c r="A492" s="44">
        <v>464</v>
      </c>
      <c r="B492" s="46" t="s">
        <v>1959</v>
      </c>
      <c r="C492" s="48" t="s">
        <v>1960</v>
      </c>
      <c r="D492" s="51" t="s">
        <v>73</v>
      </c>
      <c r="E492" s="51" t="s">
        <v>1957</v>
      </c>
      <c r="F492" s="54" t="s">
        <v>1961</v>
      </c>
      <c r="G492" s="50">
        <v>9</v>
      </c>
      <c r="H492" s="51" t="s">
        <v>1962</v>
      </c>
      <c r="I492" s="53">
        <v>1134000</v>
      </c>
      <c r="J492" s="53">
        <v>0</v>
      </c>
      <c r="K492" s="53">
        <v>44000</v>
      </c>
      <c r="L492" s="53">
        <v>0</v>
      </c>
      <c r="M492" s="53">
        <v>0</v>
      </c>
      <c r="N492" s="53">
        <v>0</v>
      </c>
      <c r="O492" s="53">
        <v>0</v>
      </c>
      <c r="P492" s="53">
        <v>0</v>
      </c>
      <c r="Q492" s="53">
        <v>0</v>
      </c>
      <c r="R492" s="53">
        <v>0</v>
      </c>
      <c r="S492" s="53">
        <v>0</v>
      </c>
      <c r="T492" s="53">
        <v>0</v>
      </c>
      <c r="U492" s="53">
        <v>2200</v>
      </c>
      <c r="V492" s="53">
        <v>0</v>
      </c>
      <c r="W492" s="53">
        <v>0</v>
      </c>
      <c r="X492" s="53">
        <v>0</v>
      </c>
      <c r="Y492" s="53">
        <v>0</v>
      </c>
      <c r="Z492" s="53">
        <v>0</v>
      </c>
      <c r="AA492" s="53">
        <v>0</v>
      </c>
      <c r="AB492" s="53">
        <v>0</v>
      </c>
      <c r="AC492" s="53">
        <v>0</v>
      </c>
      <c r="AD492" s="53">
        <v>0</v>
      </c>
      <c r="AE492" s="53">
        <v>0</v>
      </c>
      <c r="AF492" s="53">
        <v>0</v>
      </c>
      <c r="AG492" s="53">
        <v>0</v>
      </c>
      <c r="AH492" s="53">
        <v>0</v>
      </c>
      <c r="AI492" s="53">
        <v>0</v>
      </c>
      <c r="AJ492" s="53">
        <v>0</v>
      </c>
      <c r="AK492" s="53">
        <v>0</v>
      </c>
      <c r="AL492" s="53">
        <v>0</v>
      </c>
      <c r="AM492" s="53" t="str">
        <f>I492-J492-K492-L492-M492-N492-O492-P492-Q492-R492-S492-T492-U492-V492-W492-X492-Y492-Z492-AA492-AB492-AC492-AD492-AE492-AF492-AG492+AH492-AI492+AJ492+AK492-AL492</f>
        <v>0</v>
      </c>
      <c r="AN492" s="53"/>
      <c r="AO492" s="27"/>
    </row>
    <row r="493" spans="1:41">
      <c r="A493" s="44">
        <v>465</v>
      </c>
      <c r="B493" s="46" t="s">
        <v>1963</v>
      </c>
      <c r="C493" s="48" t="s">
        <v>1964</v>
      </c>
      <c r="D493" s="51" t="s">
        <v>73</v>
      </c>
      <c r="E493" s="51" t="s">
        <v>1957</v>
      </c>
      <c r="F493" s="54" t="s">
        <v>995</v>
      </c>
      <c r="G493" s="50">
        <v>2</v>
      </c>
      <c r="H493" s="51" t="s">
        <v>1965</v>
      </c>
      <c r="I493" s="53">
        <v>255500</v>
      </c>
      <c r="J493" s="53">
        <v>0</v>
      </c>
      <c r="K493" s="53">
        <v>22000</v>
      </c>
      <c r="L493" s="53">
        <v>0</v>
      </c>
      <c r="M493" s="53">
        <v>0</v>
      </c>
      <c r="N493" s="53">
        <v>0</v>
      </c>
      <c r="O493" s="53">
        <v>0</v>
      </c>
      <c r="P493" s="53">
        <v>0</v>
      </c>
      <c r="Q493" s="53">
        <v>0</v>
      </c>
      <c r="R493" s="53">
        <v>0</v>
      </c>
      <c r="S493" s="53">
        <v>0</v>
      </c>
      <c r="T493" s="53">
        <v>0</v>
      </c>
      <c r="U493" s="53">
        <v>1100</v>
      </c>
      <c r="V493" s="53">
        <v>0</v>
      </c>
      <c r="W493" s="53">
        <v>0</v>
      </c>
      <c r="X493" s="53">
        <v>0</v>
      </c>
      <c r="Y493" s="53">
        <v>0</v>
      </c>
      <c r="Z493" s="53">
        <v>0</v>
      </c>
      <c r="AA493" s="53">
        <v>0</v>
      </c>
      <c r="AB493" s="53">
        <v>0</v>
      </c>
      <c r="AC493" s="53">
        <v>0</v>
      </c>
      <c r="AD493" s="53">
        <v>0</v>
      </c>
      <c r="AE493" s="53">
        <v>0</v>
      </c>
      <c r="AF493" s="53">
        <v>0</v>
      </c>
      <c r="AG493" s="53">
        <v>0</v>
      </c>
      <c r="AH493" s="53">
        <v>0</v>
      </c>
      <c r="AI493" s="53">
        <v>0</v>
      </c>
      <c r="AJ493" s="53">
        <v>0</v>
      </c>
      <c r="AK493" s="53">
        <v>0</v>
      </c>
      <c r="AL493" s="53">
        <v>0</v>
      </c>
      <c r="AM493" s="53" t="str">
        <f>I493-J493-K493-L493-M493-N493-O493-P493-Q493-R493-S493-T493-U493-V493-W493-X493-Y493-Z493-AA493-AB493-AC493-AD493-AE493-AF493-AG493+AH493-AI493+AJ493+AK493-AL493</f>
        <v>0</v>
      </c>
      <c r="AN493" s="53"/>
      <c r="AO493" s="27"/>
    </row>
    <row r="494" spans="1:41">
      <c r="A494" s="44">
        <v>466</v>
      </c>
      <c r="B494" s="46" t="s">
        <v>1966</v>
      </c>
      <c r="C494" s="48" t="s">
        <v>1967</v>
      </c>
      <c r="D494" s="51" t="s">
        <v>73</v>
      </c>
      <c r="E494" s="51" t="s">
        <v>1957</v>
      </c>
      <c r="F494" s="54" t="s">
        <v>1968</v>
      </c>
      <c r="G494" s="50">
        <v>4</v>
      </c>
      <c r="H494" s="51" t="s">
        <v>1969</v>
      </c>
      <c r="I494" s="53">
        <v>605600</v>
      </c>
      <c r="J494" s="53">
        <v>0</v>
      </c>
      <c r="K494" s="53">
        <v>25000</v>
      </c>
      <c r="L494" s="53">
        <v>0</v>
      </c>
      <c r="M494" s="53">
        <v>0</v>
      </c>
      <c r="N494" s="53">
        <v>0</v>
      </c>
      <c r="O494" s="53">
        <v>0</v>
      </c>
      <c r="P494" s="53">
        <v>0</v>
      </c>
      <c r="Q494" s="53">
        <v>0</v>
      </c>
      <c r="R494" s="53">
        <v>0</v>
      </c>
      <c r="S494" s="53">
        <v>0</v>
      </c>
      <c r="T494" s="53">
        <v>0</v>
      </c>
      <c r="U494" s="53">
        <v>1250</v>
      </c>
      <c r="V494" s="53">
        <v>0</v>
      </c>
      <c r="W494" s="53">
        <v>0</v>
      </c>
      <c r="X494" s="53">
        <v>0</v>
      </c>
      <c r="Y494" s="53">
        <v>0</v>
      </c>
      <c r="Z494" s="53">
        <v>0</v>
      </c>
      <c r="AA494" s="53">
        <v>0</v>
      </c>
      <c r="AB494" s="53">
        <v>0</v>
      </c>
      <c r="AC494" s="53">
        <v>0</v>
      </c>
      <c r="AD494" s="53">
        <v>0</v>
      </c>
      <c r="AE494" s="53">
        <v>0</v>
      </c>
      <c r="AF494" s="53">
        <v>0</v>
      </c>
      <c r="AG494" s="53">
        <v>0</v>
      </c>
      <c r="AH494" s="53">
        <v>0</v>
      </c>
      <c r="AI494" s="53">
        <v>0</v>
      </c>
      <c r="AJ494" s="53">
        <v>0</v>
      </c>
      <c r="AK494" s="53">
        <v>0</v>
      </c>
      <c r="AL494" s="53">
        <v>0</v>
      </c>
      <c r="AM494" s="53" t="str">
        <f>I494-J494-K494-L494-M494-N494-O494-P494-Q494-R494-S494-T494-U494-V494-W494-X494-Y494-Z494-AA494-AB494-AC494-AD494-AE494-AF494-AG494+AH494-AI494+AJ494+AK494-AL494</f>
        <v>0</v>
      </c>
      <c r="AN494" s="53"/>
      <c r="AO494" s="27"/>
    </row>
    <row r="495" spans="1:41">
      <c r="A495" s="44">
        <v>467</v>
      </c>
      <c r="B495" s="46" t="s">
        <v>1970</v>
      </c>
      <c r="C495" s="48" t="s">
        <v>1971</v>
      </c>
      <c r="D495" s="51" t="s">
        <v>62</v>
      </c>
      <c r="E495" s="51" t="s">
        <v>1957</v>
      </c>
      <c r="F495" s="54" t="s">
        <v>796</v>
      </c>
      <c r="G495" s="50">
        <v>3</v>
      </c>
      <c r="H495" s="51" t="s">
        <v>1935</v>
      </c>
      <c r="I495" s="53">
        <v>0</v>
      </c>
      <c r="J495" s="53">
        <v>0</v>
      </c>
      <c r="K495" s="53">
        <v>22000</v>
      </c>
      <c r="L495" s="53">
        <v>0</v>
      </c>
      <c r="M495" s="53">
        <v>0</v>
      </c>
      <c r="N495" s="53">
        <v>0</v>
      </c>
      <c r="O495" s="53">
        <v>0</v>
      </c>
      <c r="P495" s="53">
        <v>0</v>
      </c>
      <c r="Q495" s="53">
        <v>0</v>
      </c>
      <c r="R495" s="53">
        <v>0</v>
      </c>
      <c r="S495" s="53">
        <v>0</v>
      </c>
      <c r="T495" s="53">
        <v>0</v>
      </c>
      <c r="U495" s="53">
        <v>1100</v>
      </c>
      <c r="V495" s="53">
        <v>0</v>
      </c>
      <c r="W495" s="53">
        <v>0</v>
      </c>
      <c r="X495" s="53">
        <v>0</v>
      </c>
      <c r="Y495" s="53">
        <v>5250</v>
      </c>
      <c r="Z495" s="53">
        <v>0</v>
      </c>
      <c r="AA495" s="53">
        <v>0</v>
      </c>
      <c r="AB495" s="53">
        <v>0</v>
      </c>
      <c r="AC495" s="53">
        <v>0</v>
      </c>
      <c r="AD495" s="53">
        <v>0</v>
      </c>
      <c r="AE495" s="53">
        <v>0</v>
      </c>
      <c r="AF495" s="53">
        <v>0</v>
      </c>
      <c r="AG495" s="53">
        <v>0</v>
      </c>
      <c r="AH495" s="53">
        <v>0</v>
      </c>
      <c r="AI495" s="53">
        <v>0</v>
      </c>
      <c r="AJ495" s="53">
        <v>0</v>
      </c>
      <c r="AK495" s="53">
        <v>0</v>
      </c>
      <c r="AL495" s="53">
        <v>0</v>
      </c>
      <c r="AM495" s="53" t="str">
        <f>I495-J495-K495-L495-M495-N495-O495-P495-Q495-R495-S495-T495-U495-V495-W495-X495-Y495-Z495-AA495-AB495-AC495-AD495-AE495-AF495-AG495+AH495-AI495+AJ495+AK495-AL495</f>
        <v>0</v>
      </c>
      <c r="AN495" s="53"/>
      <c r="AO495" s="27"/>
    </row>
    <row r="496" spans="1:41">
      <c r="A496" s="44">
        <v>468</v>
      </c>
      <c r="B496" s="46" t="s">
        <v>1972</v>
      </c>
      <c r="C496" s="48" t="s">
        <v>1973</v>
      </c>
      <c r="D496" s="51" t="s">
        <v>73</v>
      </c>
      <c r="E496" s="51" t="s">
        <v>1957</v>
      </c>
      <c r="F496" s="54" t="s">
        <v>1974</v>
      </c>
      <c r="G496" s="50">
        <v>6</v>
      </c>
      <c r="H496" s="51" t="s">
        <v>1975</v>
      </c>
      <c r="I496" s="53">
        <v>723500</v>
      </c>
      <c r="J496" s="53">
        <v>0</v>
      </c>
      <c r="K496" s="53">
        <v>31000</v>
      </c>
      <c r="L496" s="53">
        <v>0</v>
      </c>
      <c r="M496" s="53">
        <v>0</v>
      </c>
      <c r="N496" s="53">
        <v>0</v>
      </c>
      <c r="O496" s="53">
        <v>0</v>
      </c>
      <c r="P496" s="53">
        <v>0</v>
      </c>
      <c r="Q496" s="53">
        <v>0</v>
      </c>
      <c r="R496" s="53">
        <v>0</v>
      </c>
      <c r="S496" s="53">
        <v>0</v>
      </c>
      <c r="T496" s="53">
        <v>0</v>
      </c>
      <c r="U496" s="53">
        <v>1550</v>
      </c>
      <c r="V496" s="53">
        <v>0</v>
      </c>
      <c r="W496" s="53">
        <v>0</v>
      </c>
      <c r="X496" s="53">
        <v>0</v>
      </c>
      <c r="Y496" s="53">
        <v>0</v>
      </c>
      <c r="Z496" s="53">
        <v>0</v>
      </c>
      <c r="AA496" s="53">
        <v>0</v>
      </c>
      <c r="AB496" s="53">
        <v>0</v>
      </c>
      <c r="AC496" s="53">
        <v>0</v>
      </c>
      <c r="AD496" s="53">
        <v>0</v>
      </c>
      <c r="AE496" s="53">
        <v>0</v>
      </c>
      <c r="AF496" s="53">
        <v>0</v>
      </c>
      <c r="AG496" s="53">
        <v>0</v>
      </c>
      <c r="AH496" s="53">
        <v>0</v>
      </c>
      <c r="AI496" s="53">
        <v>0</v>
      </c>
      <c r="AJ496" s="53">
        <v>0</v>
      </c>
      <c r="AK496" s="53">
        <v>0</v>
      </c>
      <c r="AL496" s="53">
        <v>0</v>
      </c>
      <c r="AM496" s="53" t="str">
        <f>I496-J496-K496-L496-M496-N496-O496-P496-Q496-R496-S496-T496-U496-V496-W496-X496-Y496-Z496-AA496-AB496-AC496-AD496-AE496-AF496-AG496+AH496-AI496+AJ496+AK496-AL496</f>
        <v>0</v>
      </c>
      <c r="AN496" s="53"/>
      <c r="AO496" s="27"/>
    </row>
    <row r="497" spans="1:41">
      <c r="A497" s="44">
        <v>469</v>
      </c>
      <c r="B497" s="46" t="s">
        <v>1976</v>
      </c>
      <c r="C497" s="48" t="s">
        <v>1977</v>
      </c>
      <c r="D497" s="51" t="s">
        <v>62</v>
      </c>
      <c r="E497" s="51" t="s">
        <v>1978</v>
      </c>
      <c r="F497" s="54" t="s">
        <v>1979</v>
      </c>
      <c r="G497" s="50">
        <v>3</v>
      </c>
      <c r="H497" s="51" t="s">
        <v>1980</v>
      </c>
      <c r="I497" s="53">
        <v>0</v>
      </c>
      <c r="J497" s="53">
        <v>0</v>
      </c>
      <c r="K497" s="53">
        <v>22000</v>
      </c>
      <c r="L497" s="53">
        <v>0</v>
      </c>
      <c r="M497" s="53">
        <v>0</v>
      </c>
      <c r="N497" s="53">
        <v>0</v>
      </c>
      <c r="O497" s="53">
        <v>0</v>
      </c>
      <c r="P497" s="53">
        <v>0</v>
      </c>
      <c r="Q497" s="53">
        <v>0</v>
      </c>
      <c r="R497" s="53">
        <v>0</v>
      </c>
      <c r="S497" s="53">
        <v>0</v>
      </c>
      <c r="T497" s="53">
        <v>0</v>
      </c>
      <c r="U497" s="53">
        <v>1100</v>
      </c>
      <c r="V497" s="53">
        <v>0</v>
      </c>
      <c r="W497" s="53">
        <v>0</v>
      </c>
      <c r="X497" s="53">
        <v>0</v>
      </c>
      <c r="Y497" s="53">
        <v>11550</v>
      </c>
      <c r="Z497" s="53">
        <v>0</v>
      </c>
      <c r="AA497" s="53">
        <v>0</v>
      </c>
      <c r="AB497" s="53">
        <v>0</v>
      </c>
      <c r="AC497" s="53">
        <v>0</v>
      </c>
      <c r="AD497" s="53">
        <v>0</v>
      </c>
      <c r="AE497" s="53">
        <v>0</v>
      </c>
      <c r="AF497" s="53">
        <v>0</v>
      </c>
      <c r="AG497" s="53">
        <v>0</v>
      </c>
      <c r="AH497" s="53">
        <v>0</v>
      </c>
      <c r="AI497" s="53">
        <v>0</v>
      </c>
      <c r="AJ497" s="53">
        <v>0</v>
      </c>
      <c r="AK497" s="53">
        <v>0</v>
      </c>
      <c r="AL497" s="53">
        <v>0</v>
      </c>
      <c r="AM497" s="53" t="str">
        <f>I497-J497-K497-L497-M497-N497-O497-P497-Q497-R497-S497-T497-U497-V497-W497-X497-Y497-Z497-AA497-AB497-AC497-AD497-AE497-AF497-AG497+AH497-AI497+AJ497+AK497-AL497</f>
        <v>0</v>
      </c>
      <c r="AN497" s="53"/>
      <c r="AO497" s="27"/>
    </row>
    <row r="498" spans="1:41">
      <c r="A498" s="44">
        <v>470</v>
      </c>
      <c r="B498" s="46" t="s">
        <v>1981</v>
      </c>
      <c r="C498" s="48" t="s">
        <v>1982</v>
      </c>
      <c r="D498" s="51" t="s">
        <v>73</v>
      </c>
      <c r="E498" s="51" t="s">
        <v>1978</v>
      </c>
      <c r="F498" s="54" t="s">
        <v>1983</v>
      </c>
      <c r="G498" s="50">
        <v>5</v>
      </c>
      <c r="H498" s="51" t="s">
        <v>1984</v>
      </c>
      <c r="I498" s="53">
        <v>926000</v>
      </c>
      <c r="J498" s="53">
        <v>0</v>
      </c>
      <c r="K498" s="53">
        <v>27000</v>
      </c>
      <c r="L498" s="53">
        <v>0</v>
      </c>
      <c r="M498" s="53">
        <v>0</v>
      </c>
      <c r="N498" s="53">
        <v>0</v>
      </c>
      <c r="O498" s="53">
        <v>0</v>
      </c>
      <c r="P498" s="53">
        <v>0</v>
      </c>
      <c r="Q498" s="53">
        <v>0</v>
      </c>
      <c r="R498" s="53">
        <v>0</v>
      </c>
      <c r="S498" s="53">
        <v>0</v>
      </c>
      <c r="T498" s="53">
        <v>0</v>
      </c>
      <c r="U498" s="53">
        <v>1350</v>
      </c>
      <c r="V498" s="53">
        <v>0</v>
      </c>
      <c r="W498" s="53">
        <v>0</v>
      </c>
      <c r="X498" s="53">
        <v>0</v>
      </c>
      <c r="Y498" s="53">
        <v>0</v>
      </c>
      <c r="Z498" s="53">
        <v>0</v>
      </c>
      <c r="AA498" s="53">
        <v>0</v>
      </c>
      <c r="AB498" s="53">
        <v>0</v>
      </c>
      <c r="AC498" s="53">
        <v>0</v>
      </c>
      <c r="AD498" s="53">
        <v>0</v>
      </c>
      <c r="AE498" s="53">
        <v>0</v>
      </c>
      <c r="AF498" s="53">
        <v>0</v>
      </c>
      <c r="AG498" s="53">
        <v>0</v>
      </c>
      <c r="AH498" s="53">
        <v>0</v>
      </c>
      <c r="AI498" s="53">
        <v>0</v>
      </c>
      <c r="AJ498" s="53">
        <v>0</v>
      </c>
      <c r="AK498" s="53">
        <v>0</v>
      </c>
      <c r="AL498" s="53">
        <v>0</v>
      </c>
      <c r="AM498" s="53" t="str">
        <f>I498-J498-K498-L498-M498-N498-O498-P498-Q498-R498-S498-T498-U498-V498-W498-X498-Y498-Z498-AA498-AB498-AC498-AD498-AE498-AF498-AG498+AH498-AI498+AJ498+AK498-AL498</f>
        <v>0</v>
      </c>
      <c r="AN498" s="53"/>
      <c r="AO498" s="27"/>
    </row>
    <row r="499" spans="1:41">
      <c r="A499" s="44">
        <v>471</v>
      </c>
      <c r="B499" s="46" t="s">
        <v>1985</v>
      </c>
      <c r="C499" s="48" t="s">
        <v>1986</v>
      </c>
      <c r="D499" s="51" t="s">
        <v>73</v>
      </c>
      <c r="E499" s="51" t="s">
        <v>1978</v>
      </c>
      <c r="F499" s="54" t="s">
        <v>1048</v>
      </c>
      <c r="G499" s="50">
        <v>2</v>
      </c>
      <c r="H499" s="51" t="s">
        <v>1987</v>
      </c>
      <c r="I499" s="53">
        <v>453500</v>
      </c>
      <c r="J499" s="53">
        <v>0</v>
      </c>
      <c r="K499" s="53">
        <v>22000</v>
      </c>
      <c r="L499" s="53">
        <v>0</v>
      </c>
      <c r="M499" s="53">
        <v>0</v>
      </c>
      <c r="N499" s="53">
        <v>0</v>
      </c>
      <c r="O499" s="53">
        <v>0</v>
      </c>
      <c r="P499" s="53">
        <v>0</v>
      </c>
      <c r="Q499" s="53">
        <v>0</v>
      </c>
      <c r="R499" s="53">
        <v>0</v>
      </c>
      <c r="S499" s="53">
        <v>0</v>
      </c>
      <c r="T499" s="53">
        <v>0</v>
      </c>
      <c r="U499" s="53">
        <v>1100</v>
      </c>
      <c r="V499" s="53">
        <v>0</v>
      </c>
      <c r="W499" s="53">
        <v>0</v>
      </c>
      <c r="X499" s="53">
        <v>0</v>
      </c>
      <c r="Y499" s="53">
        <v>0</v>
      </c>
      <c r="Z499" s="53">
        <v>0</v>
      </c>
      <c r="AA499" s="53">
        <v>0</v>
      </c>
      <c r="AB499" s="53">
        <v>0</v>
      </c>
      <c r="AC499" s="53">
        <v>0</v>
      </c>
      <c r="AD499" s="53">
        <v>0</v>
      </c>
      <c r="AE499" s="53">
        <v>0</v>
      </c>
      <c r="AF499" s="53">
        <v>0</v>
      </c>
      <c r="AG499" s="53">
        <v>0</v>
      </c>
      <c r="AH499" s="53">
        <v>0</v>
      </c>
      <c r="AI499" s="53">
        <v>0</v>
      </c>
      <c r="AJ499" s="53">
        <v>0</v>
      </c>
      <c r="AK499" s="53">
        <v>0</v>
      </c>
      <c r="AL499" s="53">
        <v>0</v>
      </c>
      <c r="AM499" s="53" t="str">
        <f>I499-J499-K499-L499-M499-N499-O499-P499-Q499-R499-S499-T499-U499-V499-W499-X499-Y499-Z499-AA499-AB499-AC499-AD499-AE499-AF499-AG499+AH499-AI499+AJ499+AK499-AL499</f>
        <v>0</v>
      </c>
      <c r="AN499" s="53"/>
      <c r="AO499" s="27"/>
    </row>
    <row r="500" spans="1:41">
      <c r="A500" s="44">
        <v>472</v>
      </c>
      <c r="B500" s="46" t="s">
        <v>1988</v>
      </c>
      <c r="C500" s="48" t="s">
        <v>1989</v>
      </c>
      <c r="D500" s="51" t="s">
        <v>73</v>
      </c>
      <c r="E500" s="51" t="s">
        <v>1990</v>
      </c>
      <c r="F500" s="54" t="s">
        <v>1991</v>
      </c>
      <c r="G500" s="50">
        <v>3</v>
      </c>
      <c r="H500" s="51" t="s">
        <v>1992</v>
      </c>
      <c r="I500" s="53">
        <v>0</v>
      </c>
      <c r="J500" s="53">
        <v>0</v>
      </c>
      <c r="K500" s="53">
        <v>22000</v>
      </c>
      <c r="L500" s="53">
        <v>0</v>
      </c>
      <c r="M500" s="53">
        <v>0</v>
      </c>
      <c r="N500" s="53">
        <v>0</v>
      </c>
      <c r="O500" s="53">
        <v>0</v>
      </c>
      <c r="P500" s="53">
        <v>0</v>
      </c>
      <c r="Q500" s="53">
        <v>0</v>
      </c>
      <c r="R500" s="53">
        <v>0</v>
      </c>
      <c r="S500" s="53">
        <v>0</v>
      </c>
      <c r="T500" s="53">
        <v>0</v>
      </c>
      <c r="U500" s="53">
        <v>1100</v>
      </c>
      <c r="V500" s="53">
        <v>0</v>
      </c>
      <c r="W500" s="53">
        <v>0</v>
      </c>
      <c r="X500" s="53">
        <v>0</v>
      </c>
      <c r="Y500" s="53">
        <v>11550</v>
      </c>
      <c r="Z500" s="53">
        <v>0</v>
      </c>
      <c r="AA500" s="53">
        <v>0</v>
      </c>
      <c r="AB500" s="53">
        <v>0</v>
      </c>
      <c r="AC500" s="53">
        <v>0</v>
      </c>
      <c r="AD500" s="53">
        <v>0</v>
      </c>
      <c r="AE500" s="53">
        <v>0</v>
      </c>
      <c r="AF500" s="53">
        <v>0</v>
      </c>
      <c r="AG500" s="53">
        <v>0</v>
      </c>
      <c r="AH500" s="53">
        <v>0</v>
      </c>
      <c r="AI500" s="53">
        <v>0</v>
      </c>
      <c r="AJ500" s="53">
        <v>0</v>
      </c>
      <c r="AK500" s="53">
        <v>0</v>
      </c>
      <c r="AL500" s="53">
        <v>0</v>
      </c>
      <c r="AM500" s="53" t="str">
        <f>I500-J500-K500-L500-M500-N500-O500-P500-Q500-R500-S500-T500-U500-V500-W500-X500-Y500-Z500-AA500-AB500-AC500-AD500-AE500-AF500-AG500+AH500-AI500+AJ500+AK500-AL500</f>
        <v>0</v>
      </c>
      <c r="AN500" s="53"/>
      <c r="AO500" s="27"/>
    </row>
    <row r="501" spans="1:41">
      <c r="A501" s="44">
        <v>473</v>
      </c>
      <c r="B501" s="46" t="s">
        <v>1993</v>
      </c>
      <c r="C501" s="48" t="s">
        <v>1994</v>
      </c>
      <c r="D501" s="51" t="s">
        <v>73</v>
      </c>
      <c r="E501" s="51" t="s">
        <v>1990</v>
      </c>
      <c r="F501" s="54" t="s">
        <v>1995</v>
      </c>
      <c r="G501" s="50">
        <v>5</v>
      </c>
      <c r="H501" s="51" t="s">
        <v>1996</v>
      </c>
      <c r="I501" s="53">
        <v>0</v>
      </c>
      <c r="J501" s="53">
        <v>0</v>
      </c>
      <c r="K501" s="53">
        <v>27000</v>
      </c>
      <c r="L501" s="53">
        <v>0</v>
      </c>
      <c r="M501" s="53">
        <v>0</v>
      </c>
      <c r="N501" s="53">
        <v>0</v>
      </c>
      <c r="O501" s="53">
        <v>0</v>
      </c>
      <c r="P501" s="53">
        <v>0</v>
      </c>
      <c r="Q501" s="53">
        <v>0</v>
      </c>
      <c r="R501" s="53">
        <v>0</v>
      </c>
      <c r="S501" s="53">
        <v>0</v>
      </c>
      <c r="T501" s="53">
        <v>0</v>
      </c>
      <c r="U501" s="53">
        <v>1350</v>
      </c>
      <c r="V501" s="53">
        <v>0</v>
      </c>
      <c r="W501" s="53">
        <v>0</v>
      </c>
      <c r="X501" s="53">
        <v>0</v>
      </c>
      <c r="Y501" s="53">
        <v>14175</v>
      </c>
      <c r="Z501" s="53">
        <v>0</v>
      </c>
      <c r="AA501" s="53">
        <v>0</v>
      </c>
      <c r="AB501" s="53">
        <v>0</v>
      </c>
      <c r="AC501" s="53">
        <v>0</v>
      </c>
      <c r="AD501" s="53">
        <v>0</v>
      </c>
      <c r="AE501" s="53">
        <v>0</v>
      </c>
      <c r="AF501" s="53">
        <v>0</v>
      </c>
      <c r="AG501" s="53">
        <v>0</v>
      </c>
      <c r="AH501" s="53">
        <v>0</v>
      </c>
      <c r="AI501" s="53">
        <v>0</v>
      </c>
      <c r="AJ501" s="53">
        <v>0</v>
      </c>
      <c r="AK501" s="53">
        <v>0</v>
      </c>
      <c r="AL501" s="53">
        <v>0</v>
      </c>
      <c r="AM501" s="53" t="str">
        <f>I501-J501-K501-L501-M501-N501-O501-P501-Q501-R501-S501-T501-U501-V501-W501-X501-Y501-Z501-AA501-AB501-AC501-AD501-AE501-AF501-AG501+AH501-AI501+AJ501+AK501-AL501</f>
        <v>0</v>
      </c>
      <c r="AN501" s="53"/>
      <c r="AO501" s="27"/>
    </row>
    <row r="502" spans="1:41">
      <c r="A502" s="44">
        <v>474</v>
      </c>
      <c r="B502" s="46" t="s">
        <v>1997</v>
      </c>
      <c r="C502" s="48" t="s">
        <v>1998</v>
      </c>
      <c r="D502" s="51" t="s">
        <v>73</v>
      </c>
      <c r="E502" s="51" t="s">
        <v>1990</v>
      </c>
      <c r="F502" s="54" t="s">
        <v>1999</v>
      </c>
      <c r="G502" s="50">
        <v>4</v>
      </c>
      <c r="H502" s="51" t="s">
        <v>2000</v>
      </c>
      <c r="I502" s="53">
        <v>0</v>
      </c>
      <c r="J502" s="53">
        <v>0</v>
      </c>
      <c r="K502" s="53">
        <v>25000</v>
      </c>
      <c r="L502" s="53">
        <v>0</v>
      </c>
      <c r="M502" s="53">
        <v>0</v>
      </c>
      <c r="N502" s="53">
        <v>0</v>
      </c>
      <c r="O502" s="53">
        <v>0</v>
      </c>
      <c r="P502" s="53">
        <v>0</v>
      </c>
      <c r="Q502" s="53">
        <v>0</v>
      </c>
      <c r="R502" s="53">
        <v>0</v>
      </c>
      <c r="S502" s="53">
        <v>0</v>
      </c>
      <c r="T502" s="53">
        <v>0</v>
      </c>
      <c r="U502" s="53">
        <v>1250</v>
      </c>
      <c r="V502" s="53">
        <v>0</v>
      </c>
      <c r="W502" s="53">
        <v>0</v>
      </c>
      <c r="X502" s="53">
        <v>0</v>
      </c>
      <c r="Y502" s="53">
        <v>13125</v>
      </c>
      <c r="Z502" s="53">
        <v>0</v>
      </c>
      <c r="AA502" s="53">
        <v>0</v>
      </c>
      <c r="AB502" s="53">
        <v>0</v>
      </c>
      <c r="AC502" s="53">
        <v>0</v>
      </c>
      <c r="AD502" s="53">
        <v>0</v>
      </c>
      <c r="AE502" s="53">
        <v>0</v>
      </c>
      <c r="AF502" s="53">
        <v>0</v>
      </c>
      <c r="AG502" s="53">
        <v>0</v>
      </c>
      <c r="AH502" s="53">
        <v>0</v>
      </c>
      <c r="AI502" s="53">
        <v>0</v>
      </c>
      <c r="AJ502" s="53">
        <v>0</v>
      </c>
      <c r="AK502" s="53">
        <v>0</v>
      </c>
      <c r="AL502" s="53">
        <v>0</v>
      </c>
      <c r="AM502" s="53" t="str">
        <f>I502-J502-K502-L502-M502-N502-O502-P502-Q502-R502-S502-T502-U502-V502-W502-X502-Y502-Z502-AA502-AB502-AC502-AD502-AE502-AF502-AG502+AH502-AI502+AJ502+AK502-AL502</f>
        <v>0</v>
      </c>
      <c r="AN502" s="53"/>
      <c r="AO502" s="27"/>
    </row>
    <row r="503" spans="1:41">
      <c r="A503" s="44">
        <v>475</v>
      </c>
      <c r="B503" s="46" t="s">
        <v>2001</v>
      </c>
      <c r="C503" s="48" t="s">
        <v>2002</v>
      </c>
      <c r="D503" s="51" t="s">
        <v>73</v>
      </c>
      <c r="E503" s="51" t="s">
        <v>1990</v>
      </c>
      <c r="F503" s="54" t="s">
        <v>2003</v>
      </c>
      <c r="G503" s="50">
        <v>5</v>
      </c>
      <c r="H503" s="51" t="s">
        <v>2004</v>
      </c>
      <c r="I503" s="53">
        <v>0</v>
      </c>
      <c r="J503" s="53">
        <v>0</v>
      </c>
      <c r="K503" s="53">
        <v>27000</v>
      </c>
      <c r="L503" s="53">
        <v>0</v>
      </c>
      <c r="M503" s="53">
        <v>0</v>
      </c>
      <c r="N503" s="53">
        <v>0</v>
      </c>
      <c r="O503" s="53">
        <v>0</v>
      </c>
      <c r="P503" s="53">
        <v>0</v>
      </c>
      <c r="Q503" s="53">
        <v>0</v>
      </c>
      <c r="R503" s="53">
        <v>0</v>
      </c>
      <c r="S503" s="53">
        <v>0</v>
      </c>
      <c r="T503" s="53">
        <v>0</v>
      </c>
      <c r="U503" s="53">
        <v>1350</v>
      </c>
      <c r="V503" s="53">
        <v>0</v>
      </c>
      <c r="W503" s="53">
        <v>0</v>
      </c>
      <c r="X503" s="53">
        <v>0</v>
      </c>
      <c r="Y503" s="53">
        <v>14175</v>
      </c>
      <c r="Z503" s="53">
        <v>0</v>
      </c>
      <c r="AA503" s="53">
        <v>0</v>
      </c>
      <c r="AB503" s="53">
        <v>0</v>
      </c>
      <c r="AC503" s="53">
        <v>0</v>
      </c>
      <c r="AD503" s="53">
        <v>0</v>
      </c>
      <c r="AE503" s="53">
        <v>0</v>
      </c>
      <c r="AF503" s="53">
        <v>0</v>
      </c>
      <c r="AG503" s="53">
        <v>0</v>
      </c>
      <c r="AH503" s="53">
        <v>0</v>
      </c>
      <c r="AI503" s="53">
        <v>0</v>
      </c>
      <c r="AJ503" s="53">
        <v>0</v>
      </c>
      <c r="AK503" s="53">
        <v>0</v>
      </c>
      <c r="AL503" s="53">
        <v>0</v>
      </c>
      <c r="AM503" s="53" t="str">
        <f>I503-J503-K503-L503-M503-N503-O503-P503-Q503-R503-S503-T503-U503-V503-W503-X503-Y503-Z503-AA503-AB503-AC503-AD503-AE503-AF503-AG503+AH503-AI503+AJ503+AK503-AL503</f>
        <v>0</v>
      </c>
      <c r="AN503" s="53"/>
      <c r="AO503" s="27"/>
    </row>
    <row r="504" spans="1:41">
      <c r="A504" s="44">
        <v>476</v>
      </c>
      <c r="B504" s="46" t="s">
        <v>2005</v>
      </c>
      <c r="C504" s="48" t="s">
        <v>2006</v>
      </c>
      <c r="D504" s="51" t="s">
        <v>73</v>
      </c>
      <c r="E504" s="51" t="s">
        <v>2007</v>
      </c>
      <c r="F504" s="54" t="s">
        <v>1869</v>
      </c>
      <c r="G504" s="50">
        <v>14</v>
      </c>
      <c r="H504" s="51" t="s">
        <v>2008</v>
      </c>
      <c r="I504" s="53">
        <v>1113300</v>
      </c>
      <c r="J504" s="53">
        <v>0</v>
      </c>
      <c r="K504" s="53">
        <v>69000</v>
      </c>
      <c r="L504" s="53">
        <v>0</v>
      </c>
      <c r="M504" s="53">
        <v>0</v>
      </c>
      <c r="N504" s="53">
        <v>0</v>
      </c>
      <c r="O504" s="53">
        <v>0</v>
      </c>
      <c r="P504" s="53">
        <v>0</v>
      </c>
      <c r="Q504" s="53">
        <v>0</v>
      </c>
      <c r="R504" s="53">
        <v>0</v>
      </c>
      <c r="S504" s="53">
        <v>0</v>
      </c>
      <c r="T504" s="53">
        <v>0</v>
      </c>
      <c r="U504" s="53">
        <v>3450</v>
      </c>
      <c r="V504" s="53">
        <v>0</v>
      </c>
      <c r="W504" s="53">
        <v>0</v>
      </c>
      <c r="X504" s="53">
        <v>0</v>
      </c>
      <c r="Y504" s="53">
        <v>0</v>
      </c>
      <c r="Z504" s="53">
        <v>0</v>
      </c>
      <c r="AA504" s="53">
        <v>0</v>
      </c>
      <c r="AB504" s="53">
        <v>0</v>
      </c>
      <c r="AC504" s="53">
        <v>0</v>
      </c>
      <c r="AD504" s="53">
        <v>0</v>
      </c>
      <c r="AE504" s="53">
        <v>0</v>
      </c>
      <c r="AF504" s="53">
        <v>0</v>
      </c>
      <c r="AG504" s="53">
        <v>0</v>
      </c>
      <c r="AH504" s="53">
        <v>0</v>
      </c>
      <c r="AI504" s="53">
        <v>0</v>
      </c>
      <c r="AJ504" s="53">
        <v>0</v>
      </c>
      <c r="AK504" s="53">
        <v>0</v>
      </c>
      <c r="AL504" s="53">
        <v>0</v>
      </c>
      <c r="AM504" s="53" t="str">
        <f>I504-J504-K504-L504-M504-N504-O504-P504-Q504-R504-S504-T504-U504-V504-W504-X504-Y504-Z504-AA504-AB504-AC504-AD504-AE504-AF504-AG504+AH504-AI504+AJ504+AK504-AL504</f>
        <v>0</v>
      </c>
      <c r="AN504" s="53"/>
      <c r="AO504" s="27"/>
    </row>
    <row r="505" spans="1:41">
      <c r="A505" s="44">
        <v>477</v>
      </c>
      <c r="B505" s="46" t="s">
        <v>2009</v>
      </c>
      <c r="C505" s="48" t="s">
        <v>2010</v>
      </c>
      <c r="D505" s="51" t="s">
        <v>73</v>
      </c>
      <c r="E505" s="51" t="s">
        <v>2007</v>
      </c>
      <c r="F505" s="54" t="s">
        <v>327</v>
      </c>
      <c r="G505" s="50">
        <v>3</v>
      </c>
      <c r="H505" s="51" t="s">
        <v>2011</v>
      </c>
      <c r="I505" s="53">
        <v>664100</v>
      </c>
      <c r="J505" s="53">
        <v>0</v>
      </c>
      <c r="K505" s="53">
        <v>23000</v>
      </c>
      <c r="L505" s="53">
        <v>0</v>
      </c>
      <c r="M505" s="53">
        <v>0</v>
      </c>
      <c r="N505" s="53">
        <v>0</v>
      </c>
      <c r="O505" s="53">
        <v>0</v>
      </c>
      <c r="P505" s="53">
        <v>0</v>
      </c>
      <c r="Q505" s="53">
        <v>0</v>
      </c>
      <c r="R505" s="53">
        <v>0</v>
      </c>
      <c r="S505" s="53">
        <v>0</v>
      </c>
      <c r="T505" s="53">
        <v>0</v>
      </c>
      <c r="U505" s="53">
        <v>1150</v>
      </c>
      <c r="V505" s="53">
        <v>0</v>
      </c>
      <c r="W505" s="53">
        <v>0</v>
      </c>
      <c r="X505" s="53">
        <v>0</v>
      </c>
      <c r="Y505" s="53">
        <v>0</v>
      </c>
      <c r="Z505" s="53">
        <v>0</v>
      </c>
      <c r="AA505" s="53">
        <v>0</v>
      </c>
      <c r="AB505" s="53">
        <v>0</v>
      </c>
      <c r="AC505" s="53">
        <v>0</v>
      </c>
      <c r="AD505" s="53">
        <v>0</v>
      </c>
      <c r="AE505" s="53">
        <v>0</v>
      </c>
      <c r="AF505" s="53">
        <v>0</v>
      </c>
      <c r="AG505" s="53">
        <v>0</v>
      </c>
      <c r="AH505" s="53">
        <v>0</v>
      </c>
      <c r="AI505" s="53">
        <v>0</v>
      </c>
      <c r="AJ505" s="53">
        <v>0</v>
      </c>
      <c r="AK505" s="53">
        <v>0</v>
      </c>
      <c r="AL505" s="53">
        <v>0</v>
      </c>
      <c r="AM505" s="53" t="str">
        <f>I505-J505-K505-L505-M505-N505-O505-P505-Q505-R505-S505-T505-U505-V505-W505-X505-Y505-Z505-AA505-AB505-AC505-AD505-AE505-AF505-AG505+AH505-AI505+AJ505+AK505-AL505</f>
        <v>0</v>
      </c>
      <c r="AN505" s="53"/>
      <c r="AO505" s="27"/>
    </row>
    <row r="506" spans="1:41">
      <c r="A506" s="44">
        <v>478</v>
      </c>
      <c r="B506" s="46" t="s">
        <v>2012</v>
      </c>
      <c r="C506" s="48" t="s">
        <v>2013</v>
      </c>
      <c r="D506" s="51" t="s">
        <v>73</v>
      </c>
      <c r="E506" s="51" t="s">
        <v>2007</v>
      </c>
      <c r="F506" s="54" t="s">
        <v>509</v>
      </c>
      <c r="G506" s="50">
        <v>3</v>
      </c>
      <c r="H506" s="51" t="s">
        <v>2014</v>
      </c>
      <c r="I506" s="53">
        <v>214100</v>
      </c>
      <c r="J506" s="53">
        <v>0</v>
      </c>
      <c r="K506" s="53">
        <v>22000</v>
      </c>
      <c r="L506" s="53">
        <v>0</v>
      </c>
      <c r="M506" s="53">
        <v>0</v>
      </c>
      <c r="N506" s="53">
        <v>0</v>
      </c>
      <c r="O506" s="53">
        <v>0</v>
      </c>
      <c r="P506" s="53">
        <v>0</v>
      </c>
      <c r="Q506" s="53">
        <v>0</v>
      </c>
      <c r="R506" s="53">
        <v>0</v>
      </c>
      <c r="S506" s="53">
        <v>0</v>
      </c>
      <c r="T506" s="53">
        <v>0</v>
      </c>
      <c r="U506" s="53">
        <v>1100</v>
      </c>
      <c r="V506" s="53">
        <v>0</v>
      </c>
      <c r="W506" s="53">
        <v>0</v>
      </c>
      <c r="X506" s="53">
        <v>0</v>
      </c>
      <c r="Y506" s="53">
        <v>0</v>
      </c>
      <c r="Z506" s="53">
        <v>0</v>
      </c>
      <c r="AA506" s="53">
        <v>0</v>
      </c>
      <c r="AB506" s="53">
        <v>0</v>
      </c>
      <c r="AC506" s="53">
        <v>0</v>
      </c>
      <c r="AD506" s="53">
        <v>0</v>
      </c>
      <c r="AE506" s="53">
        <v>0</v>
      </c>
      <c r="AF506" s="53">
        <v>0</v>
      </c>
      <c r="AG506" s="53">
        <v>0</v>
      </c>
      <c r="AH506" s="53">
        <v>0</v>
      </c>
      <c r="AI506" s="53">
        <v>0</v>
      </c>
      <c r="AJ506" s="53">
        <v>0</v>
      </c>
      <c r="AK506" s="53">
        <v>0</v>
      </c>
      <c r="AL506" s="53">
        <v>0</v>
      </c>
      <c r="AM506" s="53" t="str">
        <f>I506-J506-K506-L506-M506-N506-O506-P506-Q506-R506-S506-T506-U506-V506-W506-X506-Y506-Z506-AA506-AB506-AC506-AD506-AE506-AF506-AG506+AH506-AI506+AJ506+AK506-AL506</f>
        <v>0</v>
      </c>
      <c r="AN506" s="53"/>
      <c r="AO506" s="27"/>
    </row>
    <row r="507" spans="1:41">
      <c r="A507" s="44">
        <v>479</v>
      </c>
      <c r="B507" s="46" t="s">
        <v>2015</v>
      </c>
      <c r="C507" s="48" t="s">
        <v>2016</v>
      </c>
      <c r="D507" s="51" t="s">
        <v>73</v>
      </c>
      <c r="E507" s="51" t="s">
        <v>2017</v>
      </c>
      <c r="F507" s="54" t="s">
        <v>2018</v>
      </c>
      <c r="G507" s="50">
        <v>3</v>
      </c>
      <c r="H507" s="51" t="s">
        <v>2019</v>
      </c>
      <c r="I507" s="53">
        <v>623400</v>
      </c>
      <c r="J507" s="53">
        <v>0</v>
      </c>
      <c r="K507" s="53">
        <v>22000</v>
      </c>
      <c r="L507" s="53">
        <v>0</v>
      </c>
      <c r="M507" s="53">
        <v>0</v>
      </c>
      <c r="N507" s="53">
        <v>0</v>
      </c>
      <c r="O507" s="53">
        <v>0</v>
      </c>
      <c r="P507" s="53">
        <v>0</v>
      </c>
      <c r="Q507" s="53">
        <v>0</v>
      </c>
      <c r="R507" s="53">
        <v>0</v>
      </c>
      <c r="S507" s="53">
        <v>0</v>
      </c>
      <c r="T507" s="53">
        <v>0</v>
      </c>
      <c r="U507" s="53">
        <v>1100</v>
      </c>
      <c r="V507" s="53">
        <v>0</v>
      </c>
      <c r="W507" s="53">
        <v>0</v>
      </c>
      <c r="X507" s="53">
        <v>0</v>
      </c>
      <c r="Y507" s="53">
        <v>0</v>
      </c>
      <c r="Z507" s="53">
        <v>0</v>
      </c>
      <c r="AA507" s="53">
        <v>0</v>
      </c>
      <c r="AB507" s="53">
        <v>0</v>
      </c>
      <c r="AC507" s="53">
        <v>0</v>
      </c>
      <c r="AD507" s="53">
        <v>0</v>
      </c>
      <c r="AE507" s="53">
        <v>0</v>
      </c>
      <c r="AF507" s="53">
        <v>0</v>
      </c>
      <c r="AG507" s="53">
        <v>0</v>
      </c>
      <c r="AH507" s="53">
        <v>0</v>
      </c>
      <c r="AI507" s="53">
        <v>0</v>
      </c>
      <c r="AJ507" s="53">
        <v>0</v>
      </c>
      <c r="AK507" s="53">
        <v>0</v>
      </c>
      <c r="AL507" s="53">
        <v>0</v>
      </c>
      <c r="AM507" s="53" t="str">
        <f>I507-J507-K507-L507-M507-N507-O507-P507-Q507-R507-S507-T507-U507-V507-W507-X507-Y507-Z507-AA507-AB507-AC507-AD507-AE507-AF507-AG507+AH507-AI507+AJ507+AK507-AL507</f>
        <v>0</v>
      </c>
      <c r="AN507" s="53"/>
      <c r="AO507" s="27"/>
    </row>
    <row r="508" spans="1:41">
      <c r="A508" s="44">
        <v>480</v>
      </c>
      <c r="B508" s="46" t="s">
        <v>2020</v>
      </c>
      <c r="C508" s="48" t="s">
        <v>2021</v>
      </c>
      <c r="D508" s="51" t="s">
        <v>73</v>
      </c>
      <c r="E508" s="51" t="s">
        <v>2022</v>
      </c>
      <c r="F508" s="54" t="s">
        <v>2023</v>
      </c>
      <c r="G508" s="50">
        <v>5</v>
      </c>
      <c r="H508" s="51" t="s">
        <v>2024</v>
      </c>
      <c r="I508" s="53">
        <v>0</v>
      </c>
      <c r="J508" s="53">
        <v>0</v>
      </c>
      <c r="K508" s="53">
        <v>23000</v>
      </c>
      <c r="L508" s="53">
        <v>0</v>
      </c>
      <c r="M508" s="53">
        <v>0</v>
      </c>
      <c r="N508" s="53">
        <v>0</v>
      </c>
      <c r="O508" s="53">
        <v>0</v>
      </c>
      <c r="P508" s="53">
        <v>0</v>
      </c>
      <c r="Q508" s="53">
        <v>0</v>
      </c>
      <c r="R508" s="53">
        <v>0</v>
      </c>
      <c r="S508" s="53">
        <v>0</v>
      </c>
      <c r="T508" s="53">
        <v>0</v>
      </c>
      <c r="U508" s="53">
        <v>1150</v>
      </c>
      <c r="V508" s="53">
        <v>0</v>
      </c>
      <c r="W508" s="53">
        <v>0</v>
      </c>
      <c r="X508" s="53">
        <v>0</v>
      </c>
      <c r="Y508" s="53">
        <v>5250</v>
      </c>
      <c r="Z508" s="53">
        <v>0</v>
      </c>
      <c r="AA508" s="53">
        <v>0</v>
      </c>
      <c r="AB508" s="53">
        <v>0</v>
      </c>
      <c r="AC508" s="53">
        <v>0</v>
      </c>
      <c r="AD508" s="53">
        <v>0</v>
      </c>
      <c r="AE508" s="53">
        <v>0</v>
      </c>
      <c r="AF508" s="53">
        <v>0</v>
      </c>
      <c r="AG508" s="53">
        <v>0</v>
      </c>
      <c r="AH508" s="53">
        <v>0</v>
      </c>
      <c r="AI508" s="53">
        <v>0</v>
      </c>
      <c r="AJ508" s="53">
        <v>0</v>
      </c>
      <c r="AK508" s="53">
        <v>0</v>
      </c>
      <c r="AL508" s="53">
        <v>0</v>
      </c>
      <c r="AM508" s="53" t="str">
        <f>I508-J508-K508-L508-M508-N508-O508-P508-Q508-R508-S508-T508-U508-V508-W508-X508-Y508-Z508-AA508-AB508-AC508-AD508-AE508-AF508-AG508+AH508-AI508+AJ508+AK508-AL508</f>
        <v>0</v>
      </c>
      <c r="AN508" s="53"/>
      <c r="AO508" s="27"/>
    </row>
    <row r="509" spans="1:41">
      <c r="A509" s="44">
        <v>481</v>
      </c>
      <c r="B509" s="46" t="s">
        <v>2025</v>
      </c>
      <c r="C509" s="48" t="s">
        <v>2026</v>
      </c>
      <c r="D509" s="51" t="s">
        <v>73</v>
      </c>
      <c r="E509" s="51" t="s">
        <v>2022</v>
      </c>
      <c r="F509" s="54" t="s">
        <v>2027</v>
      </c>
      <c r="G509" s="50">
        <v>3</v>
      </c>
      <c r="H509" s="51" t="s">
        <v>2028</v>
      </c>
      <c r="I509" s="53">
        <v>0</v>
      </c>
      <c r="J509" s="53">
        <v>0</v>
      </c>
      <c r="K509" s="53">
        <v>22000</v>
      </c>
      <c r="L509" s="53">
        <v>0</v>
      </c>
      <c r="M509" s="53">
        <v>0</v>
      </c>
      <c r="N509" s="53">
        <v>0</v>
      </c>
      <c r="O509" s="53">
        <v>0</v>
      </c>
      <c r="P509" s="53">
        <v>0</v>
      </c>
      <c r="Q509" s="53">
        <v>0</v>
      </c>
      <c r="R509" s="53">
        <v>0</v>
      </c>
      <c r="S509" s="53">
        <v>0</v>
      </c>
      <c r="T509" s="53">
        <v>0</v>
      </c>
      <c r="U509" s="53">
        <v>1100</v>
      </c>
      <c r="V509" s="53">
        <v>0</v>
      </c>
      <c r="W509" s="53">
        <v>0</v>
      </c>
      <c r="X509" s="53">
        <v>0</v>
      </c>
      <c r="Y509" s="53">
        <v>11550</v>
      </c>
      <c r="Z509" s="53">
        <v>0</v>
      </c>
      <c r="AA509" s="53">
        <v>0</v>
      </c>
      <c r="AB509" s="53">
        <v>0</v>
      </c>
      <c r="AC509" s="53">
        <v>0</v>
      </c>
      <c r="AD509" s="53">
        <v>0</v>
      </c>
      <c r="AE509" s="53">
        <v>0</v>
      </c>
      <c r="AF509" s="53">
        <v>0</v>
      </c>
      <c r="AG509" s="53">
        <v>0</v>
      </c>
      <c r="AH509" s="53">
        <v>0</v>
      </c>
      <c r="AI509" s="53">
        <v>0</v>
      </c>
      <c r="AJ509" s="53">
        <v>0</v>
      </c>
      <c r="AK509" s="53">
        <v>0</v>
      </c>
      <c r="AL509" s="53">
        <v>0</v>
      </c>
      <c r="AM509" s="53" t="str">
        <f>I509-J509-K509-L509-M509-N509-O509-P509-Q509-R509-S509-T509-U509-V509-W509-X509-Y509-Z509-AA509-AB509-AC509-AD509-AE509-AF509-AG509+AH509-AI509+AJ509+AK509-AL509</f>
        <v>0</v>
      </c>
      <c r="AN509" s="53"/>
      <c r="AO509" s="27"/>
    </row>
    <row r="510" spans="1:41">
      <c r="A510" s="44">
        <v>482</v>
      </c>
      <c r="B510" s="46" t="s">
        <v>2029</v>
      </c>
      <c r="C510" s="48" t="s">
        <v>2030</v>
      </c>
      <c r="D510" s="51" t="s">
        <v>73</v>
      </c>
      <c r="E510" s="51" t="s">
        <v>2031</v>
      </c>
      <c r="F510" s="54" t="s">
        <v>2032</v>
      </c>
      <c r="G510" s="50">
        <v>3</v>
      </c>
      <c r="H510" s="51" t="s">
        <v>2033</v>
      </c>
      <c r="I510" s="53">
        <v>0</v>
      </c>
      <c r="J510" s="53">
        <v>0</v>
      </c>
      <c r="K510" s="53">
        <v>22000</v>
      </c>
      <c r="L510" s="53">
        <v>0</v>
      </c>
      <c r="M510" s="53">
        <v>0</v>
      </c>
      <c r="N510" s="53">
        <v>0</v>
      </c>
      <c r="O510" s="53">
        <v>0</v>
      </c>
      <c r="P510" s="53">
        <v>0</v>
      </c>
      <c r="Q510" s="53">
        <v>0</v>
      </c>
      <c r="R510" s="53">
        <v>0</v>
      </c>
      <c r="S510" s="53">
        <v>0</v>
      </c>
      <c r="T510" s="53">
        <v>0</v>
      </c>
      <c r="U510" s="53">
        <v>1100</v>
      </c>
      <c r="V510" s="53">
        <v>0</v>
      </c>
      <c r="W510" s="53">
        <v>0</v>
      </c>
      <c r="X510" s="53">
        <v>0</v>
      </c>
      <c r="Y510" s="53">
        <v>11550</v>
      </c>
      <c r="Z510" s="53">
        <v>0</v>
      </c>
      <c r="AA510" s="53">
        <v>0</v>
      </c>
      <c r="AB510" s="53">
        <v>0</v>
      </c>
      <c r="AC510" s="53">
        <v>0</v>
      </c>
      <c r="AD510" s="53">
        <v>0</v>
      </c>
      <c r="AE510" s="53">
        <v>0</v>
      </c>
      <c r="AF510" s="53">
        <v>0</v>
      </c>
      <c r="AG510" s="53">
        <v>0</v>
      </c>
      <c r="AH510" s="53">
        <v>0</v>
      </c>
      <c r="AI510" s="53">
        <v>0</v>
      </c>
      <c r="AJ510" s="53">
        <v>0</v>
      </c>
      <c r="AK510" s="53">
        <v>0</v>
      </c>
      <c r="AL510" s="53">
        <v>0</v>
      </c>
      <c r="AM510" s="53" t="str">
        <f>I510-J510-K510-L510-M510-N510-O510-P510-Q510-R510-S510-T510-U510-V510-W510-X510-Y510-Z510-AA510-AB510-AC510-AD510-AE510-AF510-AG510+AH510-AI510+AJ510+AK510-AL510</f>
        <v>0</v>
      </c>
      <c r="AN510" s="53"/>
      <c r="AO510" s="27"/>
    </row>
    <row r="511" spans="1:41">
      <c r="A511" s="44">
        <v>483</v>
      </c>
      <c r="B511" s="46" t="s">
        <v>2034</v>
      </c>
      <c r="C511" s="48" t="s">
        <v>2035</v>
      </c>
      <c r="D511" s="51" t="s">
        <v>73</v>
      </c>
      <c r="E511" s="51" t="s">
        <v>2031</v>
      </c>
      <c r="F511" s="54" t="s">
        <v>2036</v>
      </c>
      <c r="G511" s="50">
        <v>3</v>
      </c>
      <c r="H511" s="51" t="s">
        <v>2037</v>
      </c>
      <c r="I511" s="53">
        <v>0</v>
      </c>
      <c r="J511" s="53">
        <v>0</v>
      </c>
      <c r="K511" s="53">
        <v>22000</v>
      </c>
      <c r="L511" s="53">
        <v>0</v>
      </c>
      <c r="M511" s="53">
        <v>0</v>
      </c>
      <c r="N511" s="53">
        <v>0</v>
      </c>
      <c r="O511" s="53">
        <v>0</v>
      </c>
      <c r="P511" s="53">
        <v>0</v>
      </c>
      <c r="Q511" s="53">
        <v>0</v>
      </c>
      <c r="R511" s="53">
        <v>0</v>
      </c>
      <c r="S511" s="53">
        <v>0</v>
      </c>
      <c r="T511" s="53">
        <v>0</v>
      </c>
      <c r="U511" s="53">
        <v>1100</v>
      </c>
      <c r="V511" s="53">
        <v>0</v>
      </c>
      <c r="W511" s="53">
        <v>0</v>
      </c>
      <c r="X511" s="53">
        <v>0</v>
      </c>
      <c r="Y511" s="53">
        <v>11550</v>
      </c>
      <c r="Z511" s="53">
        <v>0</v>
      </c>
      <c r="AA511" s="53">
        <v>0</v>
      </c>
      <c r="AB511" s="53">
        <v>0</v>
      </c>
      <c r="AC511" s="53">
        <v>0</v>
      </c>
      <c r="AD511" s="53">
        <v>0</v>
      </c>
      <c r="AE511" s="53">
        <v>0</v>
      </c>
      <c r="AF511" s="53">
        <v>0</v>
      </c>
      <c r="AG511" s="53">
        <v>0</v>
      </c>
      <c r="AH511" s="53">
        <v>0</v>
      </c>
      <c r="AI511" s="53">
        <v>0</v>
      </c>
      <c r="AJ511" s="53">
        <v>0</v>
      </c>
      <c r="AK511" s="53">
        <v>0</v>
      </c>
      <c r="AL511" s="53">
        <v>0</v>
      </c>
      <c r="AM511" s="53" t="str">
        <f>I511-J511-K511-L511-M511-N511-O511-P511-Q511-R511-S511-T511-U511-V511-W511-X511-Y511-Z511-AA511-AB511-AC511-AD511-AE511-AF511-AG511+AH511-AI511+AJ511+AK511-AL511</f>
        <v>0</v>
      </c>
      <c r="AN511" s="53"/>
      <c r="AO511" s="27"/>
    </row>
    <row r="512" spans="1:41">
      <c r="A512" s="44">
        <v>484</v>
      </c>
      <c r="B512" s="46" t="s">
        <v>2038</v>
      </c>
      <c r="C512" s="48" t="s">
        <v>2039</v>
      </c>
      <c r="D512" s="51" t="s">
        <v>73</v>
      </c>
      <c r="E512" s="51" t="s">
        <v>2031</v>
      </c>
      <c r="F512" s="54" t="s">
        <v>2040</v>
      </c>
      <c r="G512" s="50">
        <v>3</v>
      </c>
      <c r="H512" s="51" t="s">
        <v>2041</v>
      </c>
      <c r="I512" s="53">
        <v>0</v>
      </c>
      <c r="J512" s="53">
        <v>0</v>
      </c>
      <c r="K512" s="53">
        <v>22000</v>
      </c>
      <c r="L512" s="53">
        <v>0</v>
      </c>
      <c r="M512" s="53">
        <v>0</v>
      </c>
      <c r="N512" s="53">
        <v>0</v>
      </c>
      <c r="O512" s="53">
        <v>0</v>
      </c>
      <c r="P512" s="53">
        <v>0</v>
      </c>
      <c r="Q512" s="53">
        <v>0</v>
      </c>
      <c r="R512" s="53">
        <v>0</v>
      </c>
      <c r="S512" s="53">
        <v>0</v>
      </c>
      <c r="T512" s="53">
        <v>0</v>
      </c>
      <c r="U512" s="53">
        <v>1100</v>
      </c>
      <c r="V512" s="53">
        <v>0</v>
      </c>
      <c r="W512" s="53">
        <v>0</v>
      </c>
      <c r="X512" s="53">
        <v>0</v>
      </c>
      <c r="Y512" s="53">
        <v>11550</v>
      </c>
      <c r="Z512" s="53">
        <v>0</v>
      </c>
      <c r="AA512" s="53">
        <v>0</v>
      </c>
      <c r="AB512" s="53">
        <v>0</v>
      </c>
      <c r="AC512" s="53">
        <v>0</v>
      </c>
      <c r="AD512" s="53">
        <v>0</v>
      </c>
      <c r="AE512" s="53">
        <v>0</v>
      </c>
      <c r="AF512" s="53">
        <v>0</v>
      </c>
      <c r="AG512" s="53">
        <v>0</v>
      </c>
      <c r="AH512" s="53">
        <v>0</v>
      </c>
      <c r="AI512" s="53">
        <v>0</v>
      </c>
      <c r="AJ512" s="53">
        <v>0</v>
      </c>
      <c r="AK512" s="53">
        <v>0</v>
      </c>
      <c r="AL512" s="53">
        <v>0</v>
      </c>
      <c r="AM512" s="53" t="str">
        <f>I512-J512-K512-L512-M512-N512-O512-P512-Q512-R512-S512-T512-U512-V512-W512-X512-Y512-Z512-AA512-AB512-AC512-AD512-AE512-AF512-AG512+AH512-AI512+AJ512+AK512-AL512</f>
        <v>0</v>
      </c>
      <c r="AN512" s="53"/>
      <c r="AO512" s="27"/>
    </row>
    <row r="513" spans="1:41">
      <c r="A513" s="44">
        <v>485</v>
      </c>
      <c r="B513" s="46" t="s">
        <v>2042</v>
      </c>
      <c r="C513" s="48" t="s">
        <v>2043</v>
      </c>
      <c r="D513" s="51" t="s">
        <v>73</v>
      </c>
      <c r="E513" s="51" t="s">
        <v>2031</v>
      </c>
      <c r="F513" s="54" t="s">
        <v>2044</v>
      </c>
      <c r="G513" s="50">
        <v>3</v>
      </c>
      <c r="H513" s="51" t="s">
        <v>2045</v>
      </c>
      <c r="I513" s="53">
        <v>0</v>
      </c>
      <c r="J513" s="53">
        <v>0</v>
      </c>
      <c r="K513" s="53">
        <v>22000</v>
      </c>
      <c r="L513" s="53">
        <v>0</v>
      </c>
      <c r="M513" s="53">
        <v>0</v>
      </c>
      <c r="N513" s="53">
        <v>0</v>
      </c>
      <c r="O513" s="53">
        <v>0</v>
      </c>
      <c r="P513" s="53">
        <v>0</v>
      </c>
      <c r="Q513" s="53">
        <v>0</v>
      </c>
      <c r="R513" s="53">
        <v>0</v>
      </c>
      <c r="S513" s="53">
        <v>0</v>
      </c>
      <c r="T513" s="53">
        <v>0</v>
      </c>
      <c r="U513" s="53">
        <v>1100</v>
      </c>
      <c r="V513" s="53">
        <v>0</v>
      </c>
      <c r="W513" s="53">
        <v>0</v>
      </c>
      <c r="X513" s="53">
        <v>0</v>
      </c>
      <c r="Y513" s="53">
        <v>5250</v>
      </c>
      <c r="Z513" s="53">
        <v>0</v>
      </c>
      <c r="AA513" s="53">
        <v>0</v>
      </c>
      <c r="AB513" s="53">
        <v>0</v>
      </c>
      <c r="AC513" s="53">
        <v>0</v>
      </c>
      <c r="AD513" s="53">
        <v>0</v>
      </c>
      <c r="AE513" s="53">
        <v>0</v>
      </c>
      <c r="AF513" s="53">
        <v>0</v>
      </c>
      <c r="AG513" s="53">
        <v>0</v>
      </c>
      <c r="AH513" s="53">
        <v>0</v>
      </c>
      <c r="AI513" s="53">
        <v>0</v>
      </c>
      <c r="AJ513" s="53">
        <v>0</v>
      </c>
      <c r="AK513" s="53">
        <v>0</v>
      </c>
      <c r="AL513" s="53">
        <v>0</v>
      </c>
      <c r="AM513" s="53" t="str">
        <f>I513-J513-K513-L513-M513-N513-O513-P513-Q513-R513-S513-T513-U513-V513-W513-X513-Y513-Z513-AA513-AB513-AC513-AD513-AE513-AF513-AG513+AH513-AI513+AJ513+AK513-AL513</f>
        <v>0</v>
      </c>
      <c r="AN513" s="53"/>
      <c r="AO513" s="27"/>
    </row>
    <row r="514" spans="1:41">
      <c r="A514" s="44">
        <v>486</v>
      </c>
      <c r="B514" s="46" t="s">
        <v>2046</v>
      </c>
      <c r="C514" s="48" t="s">
        <v>2047</v>
      </c>
      <c r="D514" s="51" t="s">
        <v>73</v>
      </c>
      <c r="E514" s="51" t="s">
        <v>2031</v>
      </c>
      <c r="F514" s="54" t="s">
        <v>2048</v>
      </c>
      <c r="G514" s="50">
        <v>3</v>
      </c>
      <c r="H514" s="51" t="s">
        <v>2049</v>
      </c>
      <c r="I514" s="53">
        <v>0</v>
      </c>
      <c r="J514" s="53">
        <v>0</v>
      </c>
      <c r="K514" s="53">
        <v>22000</v>
      </c>
      <c r="L514" s="53">
        <v>0</v>
      </c>
      <c r="M514" s="53">
        <v>0</v>
      </c>
      <c r="N514" s="53">
        <v>0</v>
      </c>
      <c r="O514" s="53">
        <v>0</v>
      </c>
      <c r="P514" s="53">
        <v>0</v>
      </c>
      <c r="Q514" s="53">
        <v>0</v>
      </c>
      <c r="R514" s="53">
        <v>0</v>
      </c>
      <c r="S514" s="53">
        <v>0</v>
      </c>
      <c r="T514" s="53">
        <v>0</v>
      </c>
      <c r="U514" s="53">
        <v>1100</v>
      </c>
      <c r="V514" s="53">
        <v>0</v>
      </c>
      <c r="W514" s="53">
        <v>0</v>
      </c>
      <c r="X514" s="53">
        <v>0</v>
      </c>
      <c r="Y514" s="53">
        <v>0</v>
      </c>
      <c r="Z514" s="53">
        <v>0</v>
      </c>
      <c r="AA514" s="53">
        <v>0</v>
      </c>
      <c r="AB514" s="53">
        <v>0</v>
      </c>
      <c r="AC514" s="53">
        <v>0</v>
      </c>
      <c r="AD514" s="53">
        <v>0</v>
      </c>
      <c r="AE514" s="53">
        <v>0</v>
      </c>
      <c r="AF514" s="53">
        <v>0</v>
      </c>
      <c r="AG514" s="53">
        <v>0</v>
      </c>
      <c r="AH514" s="53">
        <v>0</v>
      </c>
      <c r="AI514" s="53">
        <v>0</v>
      </c>
      <c r="AJ514" s="53">
        <v>0</v>
      </c>
      <c r="AK514" s="53">
        <v>0</v>
      </c>
      <c r="AL514" s="53">
        <v>0</v>
      </c>
      <c r="AM514" s="53" t="str">
        <f>I514-J514-K514-L514-M514-N514-O514-P514-Q514-R514-S514-T514-U514-V514-W514-X514-Y514-Z514-AA514-AB514-AC514-AD514-AE514-AF514-AG514+AH514-AI514+AJ514+AK514-AL514</f>
        <v>0</v>
      </c>
      <c r="AN514" s="53"/>
      <c r="AO514" s="27"/>
    </row>
    <row r="515" spans="1:41">
      <c r="A515" s="44">
        <v>487</v>
      </c>
      <c r="B515" s="46" t="s">
        <v>2050</v>
      </c>
      <c r="C515" s="48" t="s">
        <v>2051</v>
      </c>
      <c r="D515" s="51" t="s">
        <v>73</v>
      </c>
      <c r="E515" s="51" t="s">
        <v>2031</v>
      </c>
      <c r="F515" s="54" t="s">
        <v>2052</v>
      </c>
      <c r="G515" s="50">
        <v>3</v>
      </c>
      <c r="H515" s="51" t="s">
        <v>2053</v>
      </c>
      <c r="I515" s="53">
        <v>0</v>
      </c>
      <c r="J515" s="53">
        <v>0</v>
      </c>
      <c r="K515" s="53">
        <v>22000</v>
      </c>
      <c r="L515" s="53">
        <v>0</v>
      </c>
      <c r="M515" s="53">
        <v>0</v>
      </c>
      <c r="N515" s="53">
        <v>0</v>
      </c>
      <c r="O515" s="53">
        <v>0</v>
      </c>
      <c r="P515" s="53">
        <v>0</v>
      </c>
      <c r="Q515" s="53">
        <v>0</v>
      </c>
      <c r="R515" s="53">
        <v>0</v>
      </c>
      <c r="S515" s="53">
        <v>0</v>
      </c>
      <c r="T515" s="53">
        <v>0</v>
      </c>
      <c r="U515" s="53">
        <v>1100</v>
      </c>
      <c r="V515" s="53">
        <v>0</v>
      </c>
      <c r="W515" s="53">
        <v>0</v>
      </c>
      <c r="X515" s="53">
        <v>0</v>
      </c>
      <c r="Y515" s="53">
        <v>11550</v>
      </c>
      <c r="Z515" s="53">
        <v>0</v>
      </c>
      <c r="AA515" s="53">
        <v>0</v>
      </c>
      <c r="AB515" s="53">
        <v>0</v>
      </c>
      <c r="AC515" s="53">
        <v>0</v>
      </c>
      <c r="AD515" s="53">
        <v>0</v>
      </c>
      <c r="AE515" s="53">
        <v>0</v>
      </c>
      <c r="AF515" s="53">
        <v>0</v>
      </c>
      <c r="AG515" s="53">
        <v>0</v>
      </c>
      <c r="AH515" s="53">
        <v>0</v>
      </c>
      <c r="AI515" s="53">
        <v>0</v>
      </c>
      <c r="AJ515" s="53">
        <v>0</v>
      </c>
      <c r="AK515" s="53">
        <v>0</v>
      </c>
      <c r="AL515" s="53">
        <v>0</v>
      </c>
      <c r="AM515" s="53" t="str">
        <f>I515-J515-K515-L515-M515-N515-O515-P515-Q515-R515-S515-T515-U515-V515-W515-X515-Y515-Z515-AA515-AB515-AC515-AD515-AE515-AF515-AG515+AH515-AI515+AJ515+AK515-AL515</f>
        <v>0</v>
      </c>
      <c r="AN515" s="53"/>
      <c r="AO515" s="27"/>
    </row>
    <row r="516" spans="1:41">
      <c r="A516" s="44">
        <v>488</v>
      </c>
      <c r="B516" s="46" t="s">
        <v>2054</v>
      </c>
      <c r="C516" s="48" t="s">
        <v>2055</v>
      </c>
      <c r="D516" s="51" t="s">
        <v>73</v>
      </c>
      <c r="E516" s="51" t="s">
        <v>2031</v>
      </c>
      <c r="F516" s="54" t="s">
        <v>2056</v>
      </c>
      <c r="G516" s="50">
        <v>3</v>
      </c>
      <c r="H516" s="51" t="s">
        <v>2057</v>
      </c>
      <c r="I516" s="53">
        <v>0</v>
      </c>
      <c r="J516" s="53">
        <v>0</v>
      </c>
      <c r="K516" s="53">
        <v>22000</v>
      </c>
      <c r="L516" s="53">
        <v>0</v>
      </c>
      <c r="M516" s="53">
        <v>0</v>
      </c>
      <c r="N516" s="53">
        <v>0</v>
      </c>
      <c r="O516" s="53">
        <v>0</v>
      </c>
      <c r="P516" s="53">
        <v>0</v>
      </c>
      <c r="Q516" s="53">
        <v>0</v>
      </c>
      <c r="R516" s="53">
        <v>0</v>
      </c>
      <c r="S516" s="53">
        <v>0</v>
      </c>
      <c r="T516" s="53">
        <v>0</v>
      </c>
      <c r="U516" s="53">
        <v>1100</v>
      </c>
      <c r="V516" s="53">
        <v>0</v>
      </c>
      <c r="W516" s="53">
        <v>0</v>
      </c>
      <c r="X516" s="53">
        <v>0</v>
      </c>
      <c r="Y516" s="53">
        <v>0</v>
      </c>
      <c r="Z516" s="53">
        <v>0</v>
      </c>
      <c r="AA516" s="53">
        <v>0</v>
      </c>
      <c r="AB516" s="53">
        <v>0</v>
      </c>
      <c r="AC516" s="53">
        <v>0</v>
      </c>
      <c r="AD516" s="53">
        <v>0</v>
      </c>
      <c r="AE516" s="53">
        <v>0</v>
      </c>
      <c r="AF516" s="53">
        <v>0</v>
      </c>
      <c r="AG516" s="53">
        <v>0</v>
      </c>
      <c r="AH516" s="53">
        <v>0</v>
      </c>
      <c r="AI516" s="53">
        <v>0</v>
      </c>
      <c r="AJ516" s="53">
        <v>0</v>
      </c>
      <c r="AK516" s="53">
        <v>0</v>
      </c>
      <c r="AL516" s="53">
        <v>0</v>
      </c>
      <c r="AM516" s="53" t="str">
        <f>I516-J516-K516-L516-M516-N516-O516-P516-Q516-R516-S516-T516-U516-V516-W516-X516-Y516-Z516-AA516-AB516-AC516-AD516-AE516-AF516-AG516+AH516-AI516+AJ516+AK516-AL516</f>
        <v>0</v>
      </c>
      <c r="AN516" s="53"/>
      <c r="AO516" s="27"/>
    </row>
    <row r="517" spans="1:41">
      <c r="A517" s="44">
        <v>489</v>
      </c>
      <c r="B517" s="46" t="s">
        <v>2058</v>
      </c>
      <c r="C517" s="48" t="s">
        <v>2059</v>
      </c>
      <c r="D517" s="51" t="s">
        <v>73</v>
      </c>
      <c r="E517" s="51" t="s">
        <v>2031</v>
      </c>
      <c r="F517" s="54" t="s">
        <v>2060</v>
      </c>
      <c r="G517" s="50">
        <v>5</v>
      </c>
      <c r="H517" s="51" t="s">
        <v>2061</v>
      </c>
      <c r="I517" s="53">
        <v>0</v>
      </c>
      <c r="J517" s="53">
        <v>0</v>
      </c>
      <c r="K517" s="53">
        <v>23000</v>
      </c>
      <c r="L517" s="53">
        <v>0</v>
      </c>
      <c r="M517" s="53">
        <v>0</v>
      </c>
      <c r="N517" s="53">
        <v>0</v>
      </c>
      <c r="O517" s="53">
        <v>0</v>
      </c>
      <c r="P517" s="53">
        <v>0</v>
      </c>
      <c r="Q517" s="53">
        <v>0</v>
      </c>
      <c r="R517" s="53">
        <v>0</v>
      </c>
      <c r="S517" s="53">
        <v>0</v>
      </c>
      <c r="T517" s="53">
        <v>0</v>
      </c>
      <c r="U517" s="53">
        <v>1150</v>
      </c>
      <c r="V517" s="53">
        <v>0</v>
      </c>
      <c r="W517" s="53">
        <v>0</v>
      </c>
      <c r="X517" s="53">
        <v>0</v>
      </c>
      <c r="Y517" s="53">
        <v>0</v>
      </c>
      <c r="Z517" s="53">
        <v>0</v>
      </c>
      <c r="AA517" s="53">
        <v>0</v>
      </c>
      <c r="AB517" s="53">
        <v>0</v>
      </c>
      <c r="AC517" s="53">
        <v>0</v>
      </c>
      <c r="AD517" s="53">
        <v>0</v>
      </c>
      <c r="AE517" s="53">
        <v>0</v>
      </c>
      <c r="AF517" s="53">
        <v>0</v>
      </c>
      <c r="AG517" s="53">
        <v>0</v>
      </c>
      <c r="AH517" s="53">
        <v>0</v>
      </c>
      <c r="AI517" s="53">
        <v>0</v>
      </c>
      <c r="AJ517" s="53">
        <v>0</v>
      </c>
      <c r="AK517" s="53">
        <v>0</v>
      </c>
      <c r="AL517" s="53">
        <v>0</v>
      </c>
      <c r="AM517" s="53" t="str">
        <f>I517-J517-K517-L517-M517-N517-O517-P517-Q517-R517-S517-T517-U517-V517-W517-X517-Y517-Z517-AA517-AB517-AC517-AD517-AE517-AF517-AG517+AH517-AI517+AJ517+AK517-AL517</f>
        <v>0</v>
      </c>
      <c r="AN517" s="53"/>
      <c r="AO517" s="27"/>
    </row>
    <row r="518" spans="1:41">
      <c r="A518" s="44">
        <v>490</v>
      </c>
      <c r="B518" s="46" t="s">
        <v>2062</v>
      </c>
      <c r="C518" s="48" t="s">
        <v>2063</v>
      </c>
      <c r="D518" s="51" t="s">
        <v>73</v>
      </c>
      <c r="E518" s="51" t="s">
        <v>2064</v>
      </c>
      <c r="F518" s="54" t="s">
        <v>2065</v>
      </c>
      <c r="G518" s="50">
        <v>3</v>
      </c>
      <c r="H518" s="51" t="s">
        <v>2066</v>
      </c>
      <c r="I518" s="53">
        <v>0</v>
      </c>
      <c r="J518" s="53">
        <v>0</v>
      </c>
      <c r="K518" s="53">
        <v>22000</v>
      </c>
      <c r="L518" s="53">
        <v>0</v>
      </c>
      <c r="M518" s="53">
        <v>0</v>
      </c>
      <c r="N518" s="53">
        <v>0</v>
      </c>
      <c r="O518" s="53">
        <v>0</v>
      </c>
      <c r="P518" s="53">
        <v>0</v>
      </c>
      <c r="Q518" s="53">
        <v>0</v>
      </c>
      <c r="R518" s="53">
        <v>0</v>
      </c>
      <c r="S518" s="53">
        <v>0</v>
      </c>
      <c r="T518" s="53">
        <v>0</v>
      </c>
      <c r="U518" s="53">
        <v>1100</v>
      </c>
      <c r="V518" s="53">
        <v>0</v>
      </c>
      <c r="W518" s="53">
        <v>0</v>
      </c>
      <c r="X518" s="53">
        <v>0</v>
      </c>
      <c r="Y518" s="53">
        <v>11550</v>
      </c>
      <c r="Z518" s="53">
        <v>0</v>
      </c>
      <c r="AA518" s="53">
        <v>0</v>
      </c>
      <c r="AB518" s="53">
        <v>0</v>
      </c>
      <c r="AC518" s="53">
        <v>0</v>
      </c>
      <c r="AD518" s="53">
        <v>0</v>
      </c>
      <c r="AE518" s="53">
        <v>0</v>
      </c>
      <c r="AF518" s="53">
        <v>0</v>
      </c>
      <c r="AG518" s="53">
        <v>0</v>
      </c>
      <c r="AH518" s="53">
        <v>0</v>
      </c>
      <c r="AI518" s="53">
        <v>0</v>
      </c>
      <c r="AJ518" s="53">
        <v>0</v>
      </c>
      <c r="AK518" s="53">
        <v>0</v>
      </c>
      <c r="AL518" s="53">
        <v>0</v>
      </c>
      <c r="AM518" s="53" t="str">
        <f>I518-J518-K518-L518-M518-N518-O518-P518-Q518-R518-S518-T518-U518-V518-W518-X518-Y518-Z518-AA518-AB518-AC518-AD518-AE518-AF518-AG518+AH518-AI518+AJ518+AK518-AL518</f>
        <v>0</v>
      </c>
      <c r="AN518" s="53"/>
      <c r="AO518" s="27"/>
    </row>
    <row r="519" spans="1:41">
      <c r="A519" s="44">
        <v>491</v>
      </c>
      <c r="B519" s="46" t="s">
        <v>2067</v>
      </c>
      <c r="C519" s="48" t="s">
        <v>2068</v>
      </c>
      <c r="D519" s="51" t="s">
        <v>62</v>
      </c>
      <c r="E519" s="51" t="s">
        <v>2069</v>
      </c>
      <c r="F519" s="54" t="s">
        <v>2070</v>
      </c>
      <c r="G519" s="50">
        <v>8</v>
      </c>
      <c r="H519" s="51" t="s">
        <v>2071</v>
      </c>
      <c r="I519" s="53">
        <v>0</v>
      </c>
      <c r="J519" s="53">
        <v>0</v>
      </c>
      <c r="K519" s="53">
        <v>26000</v>
      </c>
      <c r="L519" s="53">
        <v>0</v>
      </c>
      <c r="M519" s="53">
        <v>0</v>
      </c>
      <c r="N519" s="53">
        <v>0</v>
      </c>
      <c r="O519" s="53">
        <v>0</v>
      </c>
      <c r="P519" s="53">
        <v>0</v>
      </c>
      <c r="Q519" s="53">
        <v>0</v>
      </c>
      <c r="R519" s="53">
        <v>0</v>
      </c>
      <c r="S519" s="53">
        <v>0</v>
      </c>
      <c r="T519" s="53">
        <v>0</v>
      </c>
      <c r="U519" s="53">
        <v>1300</v>
      </c>
      <c r="V519" s="53">
        <v>0</v>
      </c>
      <c r="W519" s="53">
        <v>0</v>
      </c>
      <c r="X519" s="53">
        <v>0</v>
      </c>
      <c r="Y519" s="53">
        <v>5250</v>
      </c>
      <c r="Z519" s="53">
        <v>0</v>
      </c>
      <c r="AA519" s="53">
        <v>0</v>
      </c>
      <c r="AB519" s="53">
        <v>0</v>
      </c>
      <c r="AC519" s="53">
        <v>0</v>
      </c>
      <c r="AD519" s="53">
        <v>0</v>
      </c>
      <c r="AE519" s="53">
        <v>0</v>
      </c>
      <c r="AF519" s="53">
        <v>0</v>
      </c>
      <c r="AG519" s="53">
        <v>0</v>
      </c>
      <c r="AH519" s="53">
        <v>0</v>
      </c>
      <c r="AI519" s="53">
        <v>0</v>
      </c>
      <c r="AJ519" s="53">
        <v>0</v>
      </c>
      <c r="AK519" s="53">
        <v>0</v>
      </c>
      <c r="AL519" s="53">
        <v>0</v>
      </c>
      <c r="AM519" s="53" t="str">
        <f>I519-J519-K519-L519-M519-N519-O519-P519-Q519-R519-S519-T519-U519-V519-W519-X519-Y519-Z519-AA519-AB519-AC519-AD519-AE519-AF519-AG519+AH519-AI519+AJ519+AK519-AL519</f>
        <v>0</v>
      </c>
      <c r="AN519" s="53"/>
      <c r="AO519" s="27"/>
    </row>
    <row r="520" spans="1:41">
      <c r="A520" s="44">
        <v>492</v>
      </c>
      <c r="B520" s="46" t="s">
        <v>2072</v>
      </c>
      <c r="C520" s="48" t="s">
        <v>2073</v>
      </c>
      <c r="D520" s="51" t="s">
        <v>73</v>
      </c>
      <c r="E520" s="51" t="s">
        <v>2074</v>
      </c>
      <c r="F520" s="54" t="s">
        <v>2075</v>
      </c>
      <c r="G520" s="50">
        <v>3</v>
      </c>
      <c r="H520" s="51" t="s">
        <v>2076</v>
      </c>
      <c r="I520" s="53">
        <v>630000</v>
      </c>
      <c r="J520" s="53">
        <v>0</v>
      </c>
      <c r="K520" s="53">
        <v>23000</v>
      </c>
      <c r="L520" s="53">
        <v>0</v>
      </c>
      <c r="M520" s="53">
        <v>0</v>
      </c>
      <c r="N520" s="53">
        <v>0</v>
      </c>
      <c r="O520" s="53">
        <v>0</v>
      </c>
      <c r="P520" s="53">
        <v>0</v>
      </c>
      <c r="Q520" s="53">
        <v>0</v>
      </c>
      <c r="R520" s="53">
        <v>0</v>
      </c>
      <c r="S520" s="53">
        <v>0</v>
      </c>
      <c r="T520" s="53">
        <v>0</v>
      </c>
      <c r="U520" s="53">
        <v>1150</v>
      </c>
      <c r="V520" s="53">
        <v>0</v>
      </c>
      <c r="W520" s="53">
        <v>0</v>
      </c>
      <c r="X520" s="53">
        <v>0</v>
      </c>
      <c r="Y520" s="53">
        <v>0</v>
      </c>
      <c r="Z520" s="53">
        <v>0</v>
      </c>
      <c r="AA520" s="53">
        <v>0</v>
      </c>
      <c r="AB520" s="53">
        <v>0</v>
      </c>
      <c r="AC520" s="53">
        <v>0</v>
      </c>
      <c r="AD520" s="53">
        <v>0</v>
      </c>
      <c r="AE520" s="53">
        <v>0</v>
      </c>
      <c r="AF520" s="53">
        <v>0</v>
      </c>
      <c r="AG520" s="53">
        <v>0</v>
      </c>
      <c r="AH520" s="53">
        <v>0</v>
      </c>
      <c r="AI520" s="53">
        <v>0</v>
      </c>
      <c r="AJ520" s="53">
        <v>0</v>
      </c>
      <c r="AK520" s="53">
        <v>0</v>
      </c>
      <c r="AL520" s="53">
        <v>0</v>
      </c>
      <c r="AM520" s="53" t="str">
        <f>I520-J520-K520-L520-M520-N520-O520-P520-Q520-R520-S520-T520-U520-V520-W520-X520-Y520-Z520-AA520-AB520-AC520-AD520-AE520-AF520-AG520+AH520-AI520+AJ520+AK520-AL520</f>
        <v>0</v>
      </c>
      <c r="AN520" s="53"/>
      <c r="AO520" s="27"/>
    </row>
    <row r="521" spans="1:41">
      <c r="A521" s="44">
        <v>493</v>
      </c>
      <c r="B521" s="46" t="s">
        <v>2077</v>
      </c>
      <c r="C521" s="48" t="s">
        <v>2078</v>
      </c>
      <c r="D521" s="51" t="s">
        <v>73</v>
      </c>
      <c r="E521" s="51" t="s">
        <v>2074</v>
      </c>
      <c r="F521" s="54" t="s">
        <v>2079</v>
      </c>
      <c r="G521" s="50">
        <v>5</v>
      </c>
      <c r="H521" s="51" t="s">
        <v>2080</v>
      </c>
      <c r="I521" s="53">
        <v>599000</v>
      </c>
      <c r="J521" s="53">
        <v>0</v>
      </c>
      <c r="K521" s="53">
        <v>23000</v>
      </c>
      <c r="L521" s="53">
        <v>0</v>
      </c>
      <c r="M521" s="53">
        <v>0</v>
      </c>
      <c r="N521" s="53">
        <v>0</v>
      </c>
      <c r="O521" s="53">
        <v>0</v>
      </c>
      <c r="P521" s="53">
        <v>0</v>
      </c>
      <c r="Q521" s="53">
        <v>0</v>
      </c>
      <c r="R521" s="53">
        <v>0</v>
      </c>
      <c r="S521" s="53">
        <v>0</v>
      </c>
      <c r="T521" s="53">
        <v>0</v>
      </c>
      <c r="U521" s="53">
        <v>1150</v>
      </c>
      <c r="V521" s="53">
        <v>0</v>
      </c>
      <c r="W521" s="53">
        <v>0</v>
      </c>
      <c r="X521" s="53">
        <v>0</v>
      </c>
      <c r="Y521" s="53">
        <v>0</v>
      </c>
      <c r="Z521" s="53">
        <v>0</v>
      </c>
      <c r="AA521" s="53">
        <v>0</v>
      </c>
      <c r="AB521" s="53">
        <v>0</v>
      </c>
      <c r="AC521" s="53">
        <v>0</v>
      </c>
      <c r="AD521" s="53">
        <v>0</v>
      </c>
      <c r="AE521" s="53">
        <v>0</v>
      </c>
      <c r="AF521" s="53">
        <v>0</v>
      </c>
      <c r="AG521" s="53">
        <v>0</v>
      </c>
      <c r="AH521" s="53">
        <v>0</v>
      </c>
      <c r="AI521" s="53">
        <v>0</v>
      </c>
      <c r="AJ521" s="53">
        <v>0</v>
      </c>
      <c r="AK521" s="53">
        <v>0</v>
      </c>
      <c r="AL521" s="53">
        <v>0</v>
      </c>
      <c r="AM521" s="53" t="str">
        <f>I521-J521-K521-L521-M521-N521-O521-P521-Q521-R521-S521-T521-U521-V521-W521-X521-Y521-Z521-AA521-AB521-AC521-AD521-AE521-AF521-AG521+AH521-AI521+AJ521+AK521-AL521</f>
        <v>0</v>
      </c>
      <c r="AN521" s="53"/>
      <c r="AO521" s="27"/>
    </row>
    <row r="522" spans="1:41">
      <c r="A522" s="44">
        <v>494</v>
      </c>
      <c r="B522" s="46" t="s">
        <v>2081</v>
      </c>
      <c r="C522" s="48" t="s">
        <v>2082</v>
      </c>
      <c r="D522" s="51" t="s">
        <v>73</v>
      </c>
      <c r="E522" s="51" t="s">
        <v>2083</v>
      </c>
      <c r="F522" s="54" t="s">
        <v>2084</v>
      </c>
      <c r="G522" s="50">
        <v>9</v>
      </c>
      <c r="H522" s="51" t="s">
        <v>2085</v>
      </c>
      <c r="I522" s="53">
        <v>1940000</v>
      </c>
      <c r="J522" s="53">
        <v>0</v>
      </c>
      <c r="K522" s="53">
        <v>44000</v>
      </c>
      <c r="L522" s="53">
        <v>0</v>
      </c>
      <c r="M522" s="53">
        <v>0</v>
      </c>
      <c r="N522" s="53">
        <v>0</v>
      </c>
      <c r="O522" s="53">
        <v>0</v>
      </c>
      <c r="P522" s="53">
        <v>0</v>
      </c>
      <c r="Q522" s="53">
        <v>0</v>
      </c>
      <c r="R522" s="53">
        <v>0</v>
      </c>
      <c r="S522" s="53">
        <v>0</v>
      </c>
      <c r="T522" s="53">
        <v>0</v>
      </c>
      <c r="U522" s="53">
        <v>2200</v>
      </c>
      <c r="V522" s="53">
        <v>0</v>
      </c>
      <c r="W522" s="53">
        <v>0</v>
      </c>
      <c r="X522" s="53">
        <v>0</v>
      </c>
      <c r="Y522" s="53">
        <v>0</v>
      </c>
      <c r="Z522" s="53">
        <v>0</v>
      </c>
      <c r="AA522" s="53">
        <v>0</v>
      </c>
      <c r="AB522" s="53">
        <v>0</v>
      </c>
      <c r="AC522" s="53">
        <v>0</v>
      </c>
      <c r="AD522" s="53">
        <v>0</v>
      </c>
      <c r="AE522" s="53">
        <v>0</v>
      </c>
      <c r="AF522" s="53">
        <v>0</v>
      </c>
      <c r="AG522" s="53">
        <v>0</v>
      </c>
      <c r="AH522" s="53">
        <v>0</v>
      </c>
      <c r="AI522" s="53">
        <v>0</v>
      </c>
      <c r="AJ522" s="53">
        <v>0</v>
      </c>
      <c r="AK522" s="53">
        <v>0</v>
      </c>
      <c r="AL522" s="53">
        <v>0</v>
      </c>
      <c r="AM522" s="53" t="str">
        <f>I522-J522-K522-L522-M522-N522-O522-P522-Q522-R522-S522-T522-U522-V522-W522-X522-Y522-Z522-AA522-AB522-AC522-AD522-AE522-AF522-AG522+AH522-AI522+AJ522+AK522-AL522</f>
        <v>0</v>
      </c>
      <c r="AN522" s="53"/>
      <c r="AO522" s="27"/>
    </row>
    <row r="523" spans="1:41">
      <c r="A523" s="44">
        <v>495</v>
      </c>
      <c r="B523" s="46" t="s">
        <v>2086</v>
      </c>
      <c r="C523" s="48" t="s">
        <v>2087</v>
      </c>
      <c r="D523" s="51" t="s">
        <v>73</v>
      </c>
      <c r="E523" s="51" t="s">
        <v>2083</v>
      </c>
      <c r="F523" s="54" t="s">
        <v>2088</v>
      </c>
      <c r="G523" s="50">
        <v>3</v>
      </c>
      <c r="H523" s="51" t="s">
        <v>2089</v>
      </c>
      <c r="I523" s="53">
        <v>0</v>
      </c>
      <c r="J523" s="53">
        <v>0</v>
      </c>
      <c r="K523" s="53">
        <v>22000</v>
      </c>
      <c r="L523" s="53">
        <v>0</v>
      </c>
      <c r="M523" s="53">
        <v>0</v>
      </c>
      <c r="N523" s="53">
        <v>0</v>
      </c>
      <c r="O523" s="53">
        <v>0</v>
      </c>
      <c r="P523" s="53">
        <v>0</v>
      </c>
      <c r="Q523" s="53">
        <v>0</v>
      </c>
      <c r="R523" s="53">
        <v>0</v>
      </c>
      <c r="S523" s="53">
        <v>0</v>
      </c>
      <c r="T523" s="53">
        <v>0</v>
      </c>
      <c r="U523" s="53">
        <v>1100</v>
      </c>
      <c r="V523" s="53">
        <v>0</v>
      </c>
      <c r="W523" s="53">
        <v>0</v>
      </c>
      <c r="X523" s="53">
        <v>0</v>
      </c>
      <c r="Y523" s="53">
        <v>11550</v>
      </c>
      <c r="Z523" s="53">
        <v>0</v>
      </c>
      <c r="AA523" s="53">
        <v>0</v>
      </c>
      <c r="AB523" s="53">
        <v>0</v>
      </c>
      <c r="AC523" s="53">
        <v>0</v>
      </c>
      <c r="AD523" s="53">
        <v>0</v>
      </c>
      <c r="AE523" s="53">
        <v>0</v>
      </c>
      <c r="AF523" s="53">
        <v>0</v>
      </c>
      <c r="AG523" s="53">
        <v>0</v>
      </c>
      <c r="AH523" s="53">
        <v>0</v>
      </c>
      <c r="AI523" s="53">
        <v>0</v>
      </c>
      <c r="AJ523" s="53">
        <v>0</v>
      </c>
      <c r="AK523" s="53">
        <v>0</v>
      </c>
      <c r="AL523" s="53">
        <v>0</v>
      </c>
      <c r="AM523" s="53" t="str">
        <f>I523-J523-K523-L523-M523-N523-O523-P523-Q523-R523-S523-T523-U523-V523-W523-X523-Y523-Z523-AA523-AB523-AC523-AD523-AE523-AF523-AG523+AH523-AI523+AJ523+AK523-AL523</f>
        <v>0</v>
      </c>
      <c r="AN523" s="53"/>
      <c r="AO523" s="27"/>
    </row>
    <row r="524" spans="1:41">
      <c r="A524" s="44">
        <v>496</v>
      </c>
      <c r="B524" s="46" t="s">
        <v>2090</v>
      </c>
      <c r="C524" s="48" t="s">
        <v>2091</v>
      </c>
      <c r="D524" s="51" t="s">
        <v>73</v>
      </c>
      <c r="E524" s="51" t="s">
        <v>2092</v>
      </c>
      <c r="F524" s="54" t="s">
        <v>2093</v>
      </c>
      <c r="G524" s="50">
        <v>3</v>
      </c>
      <c r="H524" s="51" t="s">
        <v>2094</v>
      </c>
      <c r="I524" s="53">
        <v>214100</v>
      </c>
      <c r="J524" s="53">
        <v>0</v>
      </c>
      <c r="K524" s="53">
        <v>22000</v>
      </c>
      <c r="L524" s="53">
        <v>0</v>
      </c>
      <c r="M524" s="53">
        <v>0</v>
      </c>
      <c r="N524" s="53">
        <v>0</v>
      </c>
      <c r="O524" s="53">
        <v>0</v>
      </c>
      <c r="P524" s="53">
        <v>0</v>
      </c>
      <c r="Q524" s="53">
        <v>0</v>
      </c>
      <c r="R524" s="53">
        <v>0</v>
      </c>
      <c r="S524" s="53">
        <v>0</v>
      </c>
      <c r="T524" s="53">
        <v>0</v>
      </c>
      <c r="U524" s="53">
        <v>1100</v>
      </c>
      <c r="V524" s="53">
        <v>0</v>
      </c>
      <c r="W524" s="53">
        <v>0</v>
      </c>
      <c r="X524" s="53">
        <v>0</v>
      </c>
      <c r="Y524" s="53">
        <v>0</v>
      </c>
      <c r="Z524" s="53">
        <v>0</v>
      </c>
      <c r="AA524" s="53">
        <v>0</v>
      </c>
      <c r="AB524" s="53">
        <v>0</v>
      </c>
      <c r="AC524" s="53">
        <v>0</v>
      </c>
      <c r="AD524" s="53">
        <v>0</v>
      </c>
      <c r="AE524" s="53">
        <v>0</v>
      </c>
      <c r="AF524" s="53">
        <v>0</v>
      </c>
      <c r="AG524" s="53">
        <v>0</v>
      </c>
      <c r="AH524" s="53">
        <v>0</v>
      </c>
      <c r="AI524" s="53">
        <v>0</v>
      </c>
      <c r="AJ524" s="53">
        <v>0</v>
      </c>
      <c r="AK524" s="53">
        <v>0</v>
      </c>
      <c r="AL524" s="53">
        <v>0</v>
      </c>
      <c r="AM524" s="53" t="str">
        <f>I524-J524-K524-L524-M524-N524-O524-P524-Q524-R524-S524-T524-U524-V524-W524-X524-Y524-Z524-AA524-AB524-AC524-AD524-AE524-AF524-AG524+AH524-AI524+AJ524+AK524-AL524</f>
        <v>0</v>
      </c>
      <c r="AN524" s="53"/>
      <c r="AO524" s="27"/>
    </row>
    <row r="525" spans="1:41">
      <c r="A525" s="44">
        <v>497</v>
      </c>
      <c r="B525" s="46" t="s">
        <v>2095</v>
      </c>
      <c r="C525" s="48" t="s">
        <v>2096</v>
      </c>
      <c r="D525" s="51" t="s">
        <v>73</v>
      </c>
      <c r="E525" s="51" t="s">
        <v>2092</v>
      </c>
      <c r="F525" s="54" t="s">
        <v>2097</v>
      </c>
      <c r="G525" s="50">
        <v>4</v>
      </c>
      <c r="H525" s="51" t="s">
        <v>2098</v>
      </c>
      <c r="I525" s="53">
        <v>574100</v>
      </c>
      <c r="J525" s="53">
        <v>0</v>
      </c>
      <c r="K525" s="53">
        <v>25000</v>
      </c>
      <c r="L525" s="53">
        <v>0</v>
      </c>
      <c r="M525" s="53">
        <v>0</v>
      </c>
      <c r="N525" s="53">
        <v>0</v>
      </c>
      <c r="O525" s="53">
        <v>0</v>
      </c>
      <c r="P525" s="53">
        <v>0</v>
      </c>
      <c r="Q525" s="53">
        <v>0</v>
      </c>
      <c r="R525" s="53">
        <v>0</v>
      </c>
      <c r="S525" s="53">
        <v>0</v>
      </c>
      <c r="T525" s="53">
        <v>0</v>
      </c>
      <c r="U525" s="53">
        <v>1250</v>
      </c>
      <c r="V525" s="53">
        <v>0</v>
      </c>
      <c r="W525" s="53">
        <v>0</v>
      </c>
      <c r="X525" s="53">
        <v>0</v>
      </c>
      <c r="Y525" s="53">
        <v>0</v>
      </c>
      <c r="Z525" s="53">
        <v>0</v>
      </c>
      <c r="AA525" s="53">
        <v>0</v>
      </c>
      <c r="AB525" s="53">
        <v>0</v>
      </c>
      <c r="AC525" s="53">
        <v>0</v>
      </c>
      <c r="AD525" s="53">
        <v>0</v>
      </c>
      <c r="AE525" s="53">
        <v>0</v>
      </c>
      <c r="AF525" s="53">
        <v>0</v>
      </c>
      <c r="AG525" s="53">
        <v>0</v>
      </c>
      <c r="AH525" s="53">
        <v>0</v>
      </c>
      <c r="AI525" s="53">
        <v>0</v>
      </c>
      <c r="AJ525" s="53">
        <v>0</v>
      </c>
      <c r="AK525" s="53">
        <v>0</v>
      </c>
      <c r="AL525" s="53">
        <v>0</v>
      </c>
      <c r="AM525" s="53" t="str">
        <f>I525-J525-K525-L525-M525-N525-O525-P525-Q525-R525-S525-T525-U525-V525-W525-X525-Y525-Z525-AA525-AB525-AC525-AD525-AE525-AF525-AG525+AH525-AI525+AJ525+AK525-AL525</f>
        <v>0</v>
      </c>
      <c r="AN525" s="53"/>
      <c r="AO525" s="27"/>
    </row>
    <row r="526" spans="1:41">
      <c r="A526" s="44">
        <v>498</v>
      </c>
      <c r="B526" s="46" t="s">
        <v>2099</v>
      </c>
      <c r="C526" s="48" t="s">
        <v>2100</v>
      </c>
      <c r="D526" s="51" t="s">
        <v>73</v>
      </c>
      <c r="E526" s="51" t="s">
        <v>2092</v>
      </c>
      <c r="F526" s="54" t="s">
        <v>2101</v>
      </c>
      <c r="G526" s="50">
        <v>2</v>
      </c>
      <c r="H526" s="51" t="s">
        <v>2102</v>
      </c>
      <c r="I526" s="53">
        <v>184000</v>
      </c>
      <c r="J526" s="53">
        <v>0</v>
      </c>
      <c r="K526" s="53">
        <v>22000</v>
      </c>
      <c r="L526" s="53">
        <v>0</v>
      </c>
      <c r="M526" s="53">
        <v>0</v>
      </c>
      <c r="N526" s="53">
        <v>0</v>
      </c>
      <c r="O526" s="53">
        <v>0</v>
      </c>
      <c r="P526" s="53">
        <v>0</v>
      </c>
      <c r="Q526" s="53">
        <v>0</v>
      </c>
      <c r="R526" s="53">
        <v>0</v>
      </c>
      <c r="S526" s="53">
        <v>0</v>
      </c>
      <c r="T526" s="53">
        <v>0</v>
      </c>
      <c r="U526" s="53">
        <v>1100</v>
      </c>
      <c r="V526" s="53">
        <v>0</v>
      </c>
      <c r="W526" s="53">
        <v>0</v>
      </c>
      <c r="X526" s="53">
        <v>0</v>
      </c>
      <c r="Y526" s="53">
        <v>0</v>
      </c>
      <c r="Z526" s="53">
        <v>0</v>
      </c>
      <c r="AA526" s="53">
        <v>0</v>
      </c>
      <c r="AB526" s="53">
        <v>0</v>
      </c>
      <c r="AC526" s="53">
        <v>0</v>
      </c>
      <c r="AD526" s="53">
        <v>0</v>
      </c>
      <c r="AE526" s="53">
        <v>0</v>
      </c>
      <c r="AF526" s="53">
        <v>0</v>
      </c>
      <c r="AG526" s="53">
        <v>0</v>
      </c>
      <c r="AH526" s="53">
        <v>0</v>
      </c>
      <c r="AI526" s="53">
        <v>0</v>
      </c>
      <c r="AJ526" s="53">
        <v>0</v>
      </c>
      <c r="AK526" s="53">
        <v>0</v>
      </c>
      <c r="AL526" s="53">
        <v>0</v>
      </c>
      <c r="AM526" s="53" t="str">
        <f>I526-J526-K526-L526-M526-N526-O526-P526-Q526-R526-S526-T526-U526-V526-W526-X526-Y526-Z526-AA526-AB526-AC526-AD526-AE526-AF526-AG526+AH526-AI526+AJ526+AK526-AL526</f>
        <v>0</v>
      </c>
      <c r="AN526" s="53"/>
      <c r="AO526" s="27"/>
    </row>
    <row r="527" spans="1:41">
      <c r="A527" s="44">
        <v>499</v>
      </c>
      <c r="B527" s="46" t="s">
        <v>2103</v>
      </c>
      <c r="C527" s="48" t="s">
        <v>2104</v>
      </c>
      <c r="D527" s="51" t="s">
        <v>73</v>
      </c>
      <c r="E527" s="51" t="s">
        <v>2092</v>
      </c>
      <c r="F527" s="54" t="s">
        <v>923</v>
      </c>
      <c r="G527" s="50">
        <v>3</v>
      </c>
      <c r="H527" s="51" t="s">
        <v>2105</v>
      </c>
      <c r="I527" s="53">
        <v>367100</v>
      </c>
      <c r="J527" s="53">
        <v>0</v>
      </c>
      <c r="K527" s="53">
        <v>22000</v>
      </c>
      <c r="L527" s="53">
        <v>0</v>
      </c>
      <c r="M527" s="53">
        <v>0</v>
      </c>
      <c r="N527" s="53">
        <v>0</v>
      </c>
      <c r="O527" s="53">
        <v>0</v>
      </c>
      <c r="P527" s="53">
        <v>0</v>
      </c>
      <c r="Q527" s="53">
        <v>0</v>
      </c>
      <c r="R527" s="53">
        <v>0</v>
      </c>
      <c r="S527" s="53">
        <v>0</v>
      </c>
      <c r="T527" s="53">
        <v>0</v>
      </c>
      <c r="U527" s="53">
        <v>1100</v>
      </c>
      <c r="V527" s="53">
        <v>0</v>
      </c>
      <c r="W527" s="53">
        <v>0</v>
      </c>
      <c r="X527" s="53">
        <v>0</v>
      </c>
      <c r="Y527" s="53">
        <v>0</v>
      </c>
      <c r="Z527" s="53">
        <v>0</v>
      </c>
      <c r="AA527" s="53">
        <v>0</v>
      </c>
      <c r="AB527" s="53">
        <v>0</v>
      </c>
      <c r="AC527" s="53">
        <v>0</v>
      </c>
      <c r="AD527" s="53">
        <v>0</v>
      </c>
      <c r="AE527" s="53">
        <v>0</v>
      </c>
      <c r="AF527" s="53">
        <v>0</v>
      </c>
      <c r="AG527" s="53">
        <v>0</v>
      </c>
      <c r="AH527" s="53">
        <v>0</v>
      </c>
      <c r="AI527" s="53">
        <v>0</v>
      </c>
      <c r="AJ527" s="53">
        <v>0</v>
      </c>
      <c r="AK527" s="53">
        <v>0</v>
      </c>
      <c r="AL527" s="53">
        <v>0</v>
      </c>
      <c r="AM527" s="53" t="str">
        <f>I527-J527-K527-L527-M527-N527-O527-P527-Q527-R527-S527-T527-U527-V527-W527-X527-Y527-Z527-AA527-AB527-AC527-AD527-AE527-AF527-AG527+AH527-AI527+AJ527+AK527-AL527</f>
        <v>0</v>
      </c>
      <c r="AN527" s="53"/>
      <c r="AO527" s="27"/>
    </row>
    <row r="528" spans="1:41">
      <c r="A528" s="44">
        <v>500</v>
      </c>
      <c r="B528" s="46" t="s">
        <v>2106</v>
      </c>
      <c r="C528" s="48" t="s">
        <v>2107</v>
      </c>
      <c r="D528" s="51" t="s">
        <v>73</v>
      </c>
      <c r="E528" s="51" t="s">
        <v>2092</v>
      </c>
      <c r="F528" s="54" t="s">
        <v>2108</v>
      </c>
      <c r="G528" s="50">
        <v>3</v>
      </c>
      <c r="H528" s="51" t="s">
        <v>2109</v>
      </c>
      <c r="I528" s="53">
        <v>304100</v>
      </c>
      <c r="J528" s="53">
        <v>0</v>
      </c>
      <c r="K528" s="53">
        <v>22000</v>
      </c>
      <c r="L528" s="53">
        <v>0</v>
      </c>
      <c r="M528" s="53">
        <v>0</v>
      </c>
      <c r="N528" s="53">
        <v>0</v>
      </c>
      <c r="O528" s="53">
        <v>0</v>
      </c>
      <c r="P528" s="53">
        <v>0</v>
      </c>
      <c r="Q528" s="53">
        <v>0</v>
      </c>
      <c r="R528" s="53">
        <v>0</v>
      </c>
      <c r="S528" s="53">
        <v>0</v>
      </c>
      <c r="T528" s="53">
        <v>0</v>
      </c>
      <c r="U528" s="53">
        <v>1100</v>
      </c>
      <c r="V528" s="53">
        <v>0</v>
      </c>
      <c r="W528" s="53">
        <v>0</v>
      </c>
      <c r="X528" s="53">
        <v>0</v>
      </c>
      <c r="Y528" s="53">
        <v>0</v>
      </c>
      <c r="Z528" s="53">
        <v>0</v>
      </c>
      <c r="AA528" s="53">
        <v>0</v>
      </c>
      <c r="AB528" s="53">
        <v>0</v>
      </c>
      <c r="AC528" s="53">
        <v>0</v>
      </c>
      <c r="AD528" s="53">
        <v>0</v>
      </c>
      <c r="AE528" s="53">
        <v>0</v>
      </c>
      <c r="AF528" s="53">
        <v>0</v>
      </c>
      <c r="AG528" s="53">
        <v>0</v>
      </c>
      <c r="AH528" s="53">
        <v>0</v>
      </c>
      <c r="AI528" s="53">
        <v>0</v>
      </c>
      <c r="AJ528" s="53">
        <v>0</v>
      </c>
      <c r="AK528" s="53">
        <v>0</v>
      </c>
      <c r="AL528" s="53">
        <v>0</v>
      </c>
      <c r="AM528" s="53" t="str">
        <f>I528-J528-K528-L528-M528-N528-O528-P528-Q528-R528-S528-T528-U528-V528-W528-X528-Y528-Z528-AA528-AB528-AC528-AD528-AE528-AF528-AG528+AH528-AI528+AJ528+AK528-AL528</f>
        <v>0</v>
      </c>
      <c r="AN528" s="53"/>
      <c r="AO528" s="27"/>
    </row>
    <row r="529" spans="1:41">
      <c r="A529" s="44">
        <v>501</v>
      </c>
      <c r="B529" s="46" t="s">
        <v>2110</v>
      </c>
      <c r="C529" s="48" t="s">
        <v>2111</v>
      </c>
      <c r="D529" s="51" t="s">
        <v>73</v>
      </c>
      <c r="E529" s="51" t="s">
        <v>2092</v>
      </c>
      <c r="F529" s="54" t="s">
        <v>2112</v>
      </c>
      <c r="G529" s="50">
        <v>3</v>
      </c>
      <c r="H529" s="51" t="s">
        <v>2113</v>
      </c>
      <c r="I529" s="53">
        <v>304100</v>
      </c>
      <c r="J529" s="53">
        <v>0</v>
      </c>
      <c r="K529" s="53">
        <v>22000</v>
      </c>
      <c r="L529" s="53">
        <v>0</v>
      </c>
      <c r="M529" s="53">
        <v>0</v>
      </c>
      <c r="N529" s="53">
        <v>0</v>
      </c>
      <c r="O529" s="53">
        <v>0</v>
      </c>
      <c r="P529" s="53">
        <v>0</v>
      </c>
      <c r="Q529" s="53">
        <v>0</v>
      </c>
      <c r="R529" s="53">
        <v>0</v>
      </c>
      <c r="S529" s="53">
        <v>0</v>
      </c>
      <c r="T529" s="53">
        <v>0</v>
      </c>
      <c r="U529" s="53">
        <v>1100</v>
      </c>
      <c r="V529" s="53">
        <v>0</v>
      </c>
      <c r="W529" s="53">
        <v>0</v>
      </c>
      <c r="X529" s="53">
        <v>0</v>
      </c>
      <c r="Y529" s="53">
        <v>0</v>
      </c>
      <c r="Z529" s="53">
        <v>0</v>
      </c>
      <c r="AA529" s="53">
        <v>0</v>
      </c>
      <c r="AB529" s="53">
        <v>0</v>
      </c>
      <c r="AC529" s="53">
        <v>0</v>
      </c>
      <c r="AD529" s="53">
        <v>0</v>
      </c>
      <c r="AE529" s="53">
        <v>0</v>
      </c>
      <c r="AF529" s="53">
        <v>0</v>
      </c>
      <c r="AG529" s="53">
        <v>0</v>
      </c>
      <c r="AH529" s="53">
        <v>0</v>
      </c>
      <c r="AI529" s="53">
        <v>0</v>
      </c>
      <c r="AJ529" s="53">
        <v>0</v>
      </c>
      <c r="AK529" s="53">
        <v>0</v>
      </c>
      <c r="AL529" s="53">
        <v>0</v>
      </c>
      <c r="AM529" s="53" t="str">
        <f>I529-J529-K529-L529-M529-N529-O529-P529-Q529-R529-S529-T529-U529-V529-W529-X529-Y529-Z529-AA529-AB529-AC529-AD529-AE529-AF529-AG529+AH529-AI529+AJ529+AK529-AL529</f>
        <v>0</v>
      </c>
      <c r="AN529" s="53"/>
      <c r="AO529" s="27"/>
    </row>
    <row r="530" spans="1:41">
      <c r="A530" s="44">
        <v>502</v>
      </c>
      <c r="B530" s="46" t="s">
        <v>2114</v>
      </c>
      <c r="C530" s="48" t="s">
        <v>2115</v>
      </c>
      <c r="D530" s="51" t="s">
        <v>73</v>
      </c>
      <c r="E530" s="51" t="s">
        <v>2092</v>
      </c>
      <c r="F530" s="54" t="s">
        <v>2116</v>
      </c>
      <c r="G530" s="50">
        <v>2</v>
      </c>
      <c r="H530" s="51" t="s">
        <v>2117</v>
      </c>
      <c r="I530" s="53">
        <v>264000</v>
      </c>
      <c r="J530" s="53">
        <v>0</v>
      </c>
      <c r="K530" s="53">
        <v>22000</v>
      </c>
      <c r="L530" s="53">
        <v>0</v>
      </c>
      <c r="M530" s="53">
        <v>0</v>
      </c>
      <c r="N530" s="53">
        <v>0</v>
      </c>
      <c r="O530" s="53">
        <v>0</v>
      </c>
      <c r="P530" s="53">
        <v>0</v>
      </c>
      <c r="Q530" s="53">
        <v>0</v>
      </c>
      <c r="R530" s="53">
        <v>0</v>
      </c>
      <c r="S530" s="53">
        <v>0</v>
      </c>
      <c r="T530" s="53">
        <v>0</v>
      </c>
      <c r="U530" s="53">
        <v>1100</v>
      </c>
      <c r="V530" s="53">
        <v>0</v>
      </c>
      <c r="W530" s="53">
        <v>0</v>
      </c>
      <c r="X530" s="53">
        <v>0</v>
      </c>
      <c r="Y530" s="53">
        <v>0</v>
      </c>
      <c r="Z530" s="53">
        <v>0</v>
      </c>
      <c r="AA530" s="53">
        <v>0</v>
      </c>
      <c r="AB530" s="53">
        <v>0</v>
      </c>
      <c r="AC530" s="53">
        <v>0</v>
      </c>
      <c r="AD530" s="53">
        <v>0</v>
      </c>
      <c r="AE530" s="53">
        <v>0</v>
      </c>
      <c r="AF530" s="53">
        <v>0</v>
      </c>
      <c r="AG530" s="53">
        <v>0</v>
      </c>
      <c r="AH530" s="53">
        <v>0</v>
      </c>
      <c r="AI530" s="53">
        <v>0</v>
      </c>
      <c r="AJ530" s="53">
        <v>0</v>
      </c>
      <c r="AK530" s="53">
        <v>0</v>
      </c>
      <c r="AL530" s="53">
        <v>0</v>
      </c>
      <c r="AM530" s="53" t="str">
        <f>I530-J530-K530-L530-M530-N530-O530-P530-Q530-R530-S530-T530-U530-V530-W530-X530-Y530-Z530-AA530-AB530-AC530-AD530-AE530-AF530-AG530+AH530-AI530+AJ530+AK530-AL530</f>
        <v>0</v>
      </c>
      <c r="AN530" s="53"/>
      <c r="AO530" s="27"/>
    </row>
    <row r="531" spans="1:41">
      <c r="A531" s="44">
        <v>503</v>
      </c>
      <c r="B531" s="46" t="s">
        <v>2118</v>
      </c>
      <c r="C531" s="48" t="s">
        <v>2119</v>
      </c>
      <c r="D531" s="51" t="s">
        <v>73</v>
      </c>
      <c r="E531" s="51" t="s">
        <v>2092</v>
      </c>
      <c r="F531" s="54" t="s">
        <v>927</v>
      </c>
      <c r="G531" s="50">
        <v>3</v>
      </c>
      <c r="H531" s="51" t="s">
        <v>2120</v>
      </c>
      <c r="I531" s="53">
        <v>507500</v>
      </c>
      <c r="J531" s="53">
        <v>0</v>
      </c>
      <c r="K531" s="53">
        <v>22000</v>
      </c>
      <c r="L531" s="53">
        <v>0</v>
      </c>
      <c r="M531" s="53">
        <v>0</v>
      </c>
      <c r="N531" s="53">
        <v>0</v>
      </c>
      <c r="O531" s="53">
        <v>0</v>
      </c>
      <c r="P531" s="53">
        <v>0</v>
      </c>
      <c r="Q531" s="53">
        <v>0</v>
      </c>
      <c r="R531" s="53">
        <v>0</v>
      </c>
      <c r="S531" s="53">
        <v>0</v>
      </c>
      <c r="T531" s="53">
        <v>0</v>
      </c>
      <c r="U531" s="53">
        <v>1100</v>
      </c>
      <c r="V531" s="53">
        <v>0</v>
      </c>
      <c r="W531" s="53">
        <v>0</v>
      </c>
      <c r="X531" s="53">
        <v>0</v>
      </c>
      <c r="Y531" s="53">
        <v>0</v>
      </c>
      <c r="Z531" s="53">
        <v>0</v>
      </c>
      <c r="AA531" s="53">
        <v>0</v>
      </c>
      <c r="AB531" s="53">
        <v>0</v>
      </c>
      <c r="AC531" s="53">
        <v>0</v>
      </c>
      <c r="AD531" s="53">
        <v>0</v>
      </c>
      <c r="AE531" s="53">
        <v>0</v>
      </c>
      <c r="AF531" s="53">
        <v>0</v>
      </c>
      <c r="AG531" s="53">
        <v>0</v>
      </c>
      <c r="AH531" s="53">
        <v>0</v>
      </c>
      <c r="AI531" s="53">
        <v>0</v>
      </c>
      <c r="AJ531" s="53">
        <v>0</v>
      </c>
      <c r="AK531" s="53">
        <v>0</v>
      </c>
      <c r="AL531" s="53">
        <v>0</v>
      </c>
      <c r="AM531" s="53" t="str">
        <f>I531-J531-K531-L531-M531-N531-O531-P531-Q531-R531-S531-T531-U531-V531-W531-X531-Y531-Z531-AA531-AB531-AC531-AD531-AE531-AF531-AG531+AH531-AI531+AJ531+AK531-AL531</f>
        <v>0</v>
      </c>
      <c r="AN531" s="53"/>
      <c r="AO531" s="27"/>
    </row>
    <row r="532" spans="1:41">
      <c r="A532" s="44">
        <v>504</v>
      </c>
      <c r="B532" s="46" t="s">
        <v>2121</v>
      </c>
      <c r="C532" s="48" t="s">
        <v>2122</v>
      </c>
      <c r="D532" s="51" t="s">
        <v>73</v>
      </c>
      <c r="E532" s="51" t="s">
        <v>2092</v>
      </c>
      <c r="F532" s="54" t="s">
        <v>1664</v>
      </c>
      <c r="G532" s="50">
        <v>8</v>
      </c>
      <c r="H532" s="51" t="s">
        <v>2123</v>
      </c>
      <c r="I532" s="53">
        <v>1129000</v>
      </c>
      <c r="J532" s="53">
        <v>0</v>
      </c>
      <c r="K532" s="53">
        <v>39000</v>
      </c>
      <c r="L532" s="53">
        <v>0</v>
      </c>
      <c r="M532" s="53">
        <v>0</v>
      </c>
      <c r="N532" s="53">
        <v>0</v>
      </c>
      <c r="O532" s="53">
        <v>0</v>
      </c>
      <c r="P532" s="53">
        <v>0</v>
      </c>
      <c r="Q532" s="53">
        <v>0</v>
      </c>
      <c r="R532" s="53">
        <v>0</v>
      </c>
      <c r="S532" s="53">
        <v>0</v>
      </c>
      <c r="T532" s="53">
        <v>0</v>
      </c>
      <c r="U532" s="53">
        <v>1950</v>
      </c>
      <c r="V532" s="53">
        <v>0</v>
      </c>
      <c r="W532" s="53">
        <v>0</v>
      </c>
      <c r="X532" s="53">
        <v>0</v>
      </c>
      <c r="Y532" s="53">
        <v>0</v>
      </c>
      <c r="Z532" s="53">
        <v>0</v>
      </c>
      <c r="AA532" s="53">
        <v>0</v>
      </c>
      <c r="AB532" s="53">
        <v>0</v>
      </c>
      <c r="AC532" s="53">
        <v>0</v>
      </c>
      <c r="AD532" s="53">
        <v>0</v>
      </c>
      <c r="AE532" s="53">
        <v>0</v>
      </c>
      <c r="AF532" s="53">
        <v>0</v>
      </c>
      <c r="AG532" s="53">
        <v>0</v>
      </c>
      <c r="AH532" s="53">
        <v>0</v>
      </c>
      <c r="AI532" s="53">
        <v>0</v>
      </c>
      <c r="AJ532" s="53">
        <v>0</v>
      </c>
      <c r="AK532" s="53">
        <v>0</v>
      </c>
      <c r="AL532" s="53">
        <v>0</v>
      </c>
      <c r="AM532" s="53" t="str">
        <f>I532-J532-K532-L532-M532-N532-O532-P532-Q532-R532-S532-T532-U532-V532-W532-X532-Y532-Z532-AA532-AB532-AC532-AD532-AE532-AF532-AG532+AH532-AI532+AJ532+AK532-AL532</f>
        <v>0</v>
      </c>
      <c r="AN532" s="53"/>
      <c r="AO532" s="27"/>
    </row>
    <row r="533" spans="1:41">
      <c r="A533" s="44">
        <v>505</v>
      </c>
      <c r="B533" s="46" t="s">
        <v>2124</v>
      </c>
      <c r="C533" s="48" t="s">
        <v>2125</v>
      </c>
      <c r="D533" s="51" t="s">
        <v>73</v>
      </c>
      <c r="E533" s="51" t="s">
        <v>2092</v>
      </c>
      <c r="F533" s="54" t="s">
        <v>2126</v>
      </c>
      <c r="G533" s="50">
        <v>5</v>
      </c>
      <c r="H533" s="51" t="s">
        <v>2127</v>
      </c>
      <c r="I533" s="53">
        <v>1350000</v>
      </c>
      <c r="J533" s="53">
        <v>0</v>
      </c>
      <c r="K533" s="53">
        <v>27000</v>
      </c>
      <c r="L533" s="53">
        <v>0</v>
      </c>
      <c r="M533" s="53">
        <v>0</v>
      </c>
      <c r="N533" s="53">
        <v>0</v>
      </c>
      <c r="O533" s="53">
        <v>0</v>
      </c>
      <c r="P533" s="53">
        <v>0</v>
      </c>
      <c r="Q533" s="53">
        <v>0</v>
      </c>
      <c r="R533" s="53">
        <v>0</v>
      </c>
      <c r="S533" s="53">
        <v>0</v>
      </c>
      <c r="T533" s="53">
        <v>0</v>
      </c>
      <c r="U533" s="53">
        <v>1350</v>
      </c>
      <c r="V533" s="53">
        <v>0</v>
      </c>
      <c r="W533" s="53">
        <v>0</v>
      </c>
      <c r="X533" s="53">
        <v>0</v>
      </c>
      <c r="Y533" s="53">
        <v>0</v>
      </c>
      <c r="Z533" s="53">
        <v>0</v>
      </c>
      <c r="AA533" s="53">
        <v>0</v>
      </c>
      <c r="AB533" s="53">
        <v>0</v>
      </c>
      <c r="AC533" s="53">
        <v>0</v>
      </c>
      <c r="AD533" s="53">
        <v>0</v>
      </c>
      <c r="AE533" s="53">
        <v>0</v>
      </c>
      <c r="AF533" s="53">
        <v>0</v>
      </c>
      <c r="AG533" s="53">
        <v>0</v>
      </c>
      <c r="AH533" s="53">
        <v>0</v>
      </c>
      <c r="AI533" s="53">
        <v>0</v>
      </c>
      <c r="AJ533" s="53">
        <v>0</v>
      </c>
      <c r="AK533" s="53">
        <v>0</v>
      </c>
      <c r="AL533" s="53">
        <v>0</v>
      </c>
      <c r="AM533" s="53" t="str">
        <f>I533-J533-K533-L533-M533-N533-O533-P533-Q533-R533-S533-T533-U533-V533-W533-X533-Y533-Z533-AA533-AB533-AC533-AD533-AE533-AF533-AG533+AH533-AI533+AJ533+AK533-AL533</f>
        <v>0</v>
      </c>
      <c r="AN533" s="53"/>
      <c r="AO533" s="27"/>
    </row>
    <row r="534" spans="1:41">
      <c r="A534" s="44">
        <v>506</v>
      </c>
      <c r="B534" s="46" t="s">
        <v>2128</v>
      </c>
      <c r="C534" s="48" t="s">
        <v>2129</v>
      </c>
      <c r="D534" s="51" t="s">
        <v>73</v>
      </c>
      <c r="E534" s="51" t="s">
        <v>2092</v>
      </c>
      <c r="F534" s="54" t="s">
        <v>411</v>
      </c>
      <c r="G534" s="50">
        <v>5</v>
      </c>
      <c r="H534" s="51" t="s">
        <v>2130</v>
      </c>
      <c r="I534" s="53">
        <v>1449000</v>
      </c>
      <c r="J534" s="53">
        <v>0</v>
      </c>
      <c r="K534" s="53">
        <v>27000</v>
      </c>
      <c r="L534" s="53">
        <v>0</v>
      </c>
      <c r="M534" s="53">
        <v>0</v>
      </c>
      <c r="N534" s="53">
        <v>0</v>
      </c>
      <c r="O534" s="53">
        <v>0</v>
      </c>
      <c r="P534" s="53">
        <v>0</v>
      </c>
      <c r="Q534" s="53">
        <v>0</v>
      </c>
      <c r="R534" s="53">
        <v>0</v>
      </c>
      <c r="S534" s="53">
        <v>0</v>
      </c>
      <c r="T534" s="53">
        <v>0</v>
      </c>
      <c r="U534" s="53">
        <v>1350</v>
      </c>
      <c r="V534" s="53">
        <v>0</v>
      </c>
      <c r="W534" s="53">
        <v>0</v>
      </c>
      <c r="X534" s="53">
        <v>0</v>
      </c>
      <c r="Y534" s="53">
        <v>0</v>
      </c>
      <c r="Z534" s="53">
        <v>0</v>
      </c>
      <c r="AA534" s="53">
        <v>0</v>
      </c>
      <c r="AB534" s="53">
        <v>0</v>
      </c>
      <c r="AC534" s="53">
        <v>0</v>
      </c>
      <c r="AD534" s="53">
        <v>0</v>
      </c>
      <c r="AE534" s="53">
        <v>0</v>
      </c>
      <c r="AF534" s="53">
        <v>0</v>
      </c>
      <c r="AG534" s="53">
        <v>0</v>
      </c>
      <c r="AH534" s="53">
        <v>0</v>
      </c>
      <c r="AI534" s="53">
        <v>0</v>
      </c>
      <c r="AJ534" s="53">
        <v>0</v>
      </c>
      <c r="AK534" s="53">
        <v>0</v>
      </c>
      <c r="AL534" s="53">
        <v>0</v>
      </c>
      <c r="AM534" s="53" t="str">
        <f>I534-J534-K534-L534-M534-N534-O534-P534-Q534-R534-S534-T534-U534-V534-W534-X534-Y534-Z534-AA534-AB534-AC534-AD534-AE534-AF534-AG534+AH534-AI534+AJ534+AK534-AL534</f>
        <v>0</v>
      </c>
      <c r="AN534" s="53"/>
      <c r="AO534" s="27"/>
    </row>
    <row r="535" spans="1:41">
      <c r="A535" s="44">
        <v>507</v>
      </c>
      <c r="B535" s="46" t="s">
        <v>2131</v>
      </c>
      <c r="C535" s="48" t="s">
        <v>2132</v>
      </c>
      <c r="D535" s="51" t="s">
        <v>73</v>
      </c>
      <c r="E535" s="51" t="s">
        <v>2092</v>
      </c>
      <c r="F535" s="54" t="s">
        <v>1464</v>
      </c>
      <c r="G535" s="50">
        <v>2</v>
      </c>
      <c r="H535" s="51" t="s">
        <v>2133</v>
      </c>
      <c r="I535" s="53">
        <v>274000</v>
      </c>
      <c r="J535" s="53">
        <v>0</v>
      </c>
      <c r="K535" s="53">
        <v>22000</v>
      </c>
      <c r="L535" s="53">
        <v>0</v>
      </c>
      <c r="M535" s="53">
        <v>0</v>
      </c>
      <c r="N535" s="53">
        <v>0</v>
      </c>
      <c r="O535" s="53">
        <v>0</v>
      </c>
      <c r="P535" s="53">
        <v>0</v>
      </c>
      <c r="Q535" s="53">
        <v>0</v>
      </c>
      <c r="R535" s="53">
        <v>0</v>
      </c>
      <c r="S535" s="53">
        <v>0</v>
      </c>
      <c r="T535" s="53">
        <v>0</v>
      </c>
      <c r="U535" s="53">
        <v>1100</v>
      </c>
      <c r="V535" s="53">
        <v>0</v>
      </c>
      <c r="W535" s="53">
        <v>0</v>
      </c>
      <c r="X535" s="53">
        <v>0</v>
      </c>
      <c r="Y535" s="53">
        <v>0</v>
      </c>
      <c r="Z535" s="53">
        <v>0</v>
      </c>
      <c r="AA535" s="53">
        <v>0</v>
      </c>
      <c r="AB535" s="53">
        <v>0</v>
      </c>
      <c r="AC535" s="53">
        <v>0</v>
      </c>
      <c r="AD535" s="53">
        <v>0</v>
      </c>
      <c r="AE535" s="53">
        <v>0</v>
      </c>
      <c r="AF535" s="53">
        <v>0</v>
      </c>
      <c r="AG535" s="53">
        <v>0</v>
      </c>
      <c r="AH535" s="53">
        <v>0</v>
      </c>
      <c r="AI535" s="53">
        <v>0</v>
      </c>
      <c r="AJ535" s="53">
        <v>0</v>
      </c>
      <c r="AK535" s="53">
        <v>0</v>
      </c>
      <c r="AL535" s="53">
        <v>0</v>
      </c>
      <c r="AM535" s="53" t="str">
        <f>I535-J535-K535-L535-M535-N535-O535-P535-Q535-R535-S535-T535-U535-V535-W535-X535-Y535-Z535-AA535-AB535-AC535-AD535-AE535-AF535-AG535+AH535-AI535+AJ535+AK535-AL535</f>
        <v>0</v>
      </c>
      <c r="AN535" s="53"/>
      <c r="AO535" s="27"/>
    </row>
    <row r="536" spans="1:41">
      <c r="A536" s="44">
        <v>508</v>
      </c>
      <c r="B536" s="46" t="s">
        <v>2134</v>
      </c>
      <c r="C536" s="48" t="s">
        <v>2135</v>
      </c>
      <c r="D536" s="51" t="s">
        <v>73</v>
      </c>
      <c r="E536" s="51" t="s">
        <v>2136</v>
      </c>
      <c r="F536" s="54" t="s">
        <v>2137</v>
      </c>
      <c r="G536" s="50">
        <v>2</v>
      </c>
      <c r="H536" s="51" t="s">
        <v>2138</v>
      </c>
      <c r="I536" s="53">
        <v>220000</v>
      </c>
      <c r="J536" s="53">
        <v>0</v>
      </c>
      <c r="K536" s="53">
        <v>22000</v>
      </c>
      <c r="L536" s="53">
        <v>0</v>
      </c>
      <c r="M536" s="53">
        <v>0</v>
      </c>
      <c r="N536" s="53">
        <v>0</v>
      </c>
      <c r="O536" s="53">
        <v>0</v>
      </c>
      <c r="P536" s="53">
        <v>0</v>
      </c>
      <c r="Q536" s="53">
        <v>0</v>
      </c>
      <c r="R536" s="53">
        <v>0</v>
      </c>
      <c r="S536" s="53">
        <v>0</v>
      </c>
      <c r="T536" s="53">
        <v>0</v>
      </c>
      <c r="U536" s="53">
        <v>1100</v>
      </c>
      <c r="V536" s="53">
        <v>0</v>
      </c>
      <c r="W536" s="53">
        <v>0</v>
      </c>
      <c r="X536" s="53">
        <v>0</v>
      </c>
      <c r="Y536" s="53">
        <v>0</v>
      </c>
      <c r="Z536" s="53">
        <v>0</v>
      </c>
      <c r="AA536" s="53">
        <v>0</v>
      </c>
      <c r="AB536" s="53">
        <v>0</v>
      </c>
      <c r="AC536" s="53">
        <v>0</v>
      </c>
      <c r="AD536" s="53">
        <v>0</v>
      </c>
      <c r="AE536" s="53">
        <v>0</v>
      </c>
      <c r="AF536" s="53">
        <v>0</v>
      </c>
      <c r="AG536" s="53">
        <v>0</v>
      </c>
      <c r="AH536" s="53">
        <v>0</v>
      </c>
      <c r="AI536" s="53">
        <v>0</v>
      </c>
      <c r="AJ536" s="53">
        <v>0</v>
      </c>
      <c r="AK536" s="53">
        <v>0</v>
      </c>
      <c r="AL536" s="53">
        <v>0</v>
      </c>
      <c r="AM536" s="53" t="str">
        <f>I536-J536-K536-L536-M536-N536-O536-P536-Q536-R536-S536-T536-U536-V536-W536-X536-Y536-Z536-AA536-AB536-AC536-AD536-AE536-AF536-AG536+AH536-AI536+AJ536+AK536-AL536</f>
        <v>0</v>
      </c>
      <c r="AN536" s="53"/>
      <c r="AO536" s="27"/>
    </row>
    <row r="537" spans="1:41">
      <c r="A537" s="44">
        <v>509</v>
      </c>
      <c r="B537" s="46" t="s">
        <v>2139</v>
      </c>
      <c r="C537" s="48" t="s">
        <v>2140</v>
      </c>
      <c r="D537" s="51" t="s">
        <v>73</v>
      </c>
      <c r="E537" s="51" t="s">
        <v>2136</v>
      </c>
      <c r="F537" s="54" t="s">
        <v>2141</v>
      </c>
      <c r="G537" s="50">
        <v>6</v>
      </c>
      <c r="H537" s="51" t="s">
        <v>2142</v>
      </c>
      <c r="I537" s="53">
        <v>1450000</v>
      </c>
      <c r="J537" s="53">
        <v>0</v>
      </c>
      <c r="K537" s="53">
        <v>31000</v>
      </c>
      <c r="L537" s="53">
        <v>0</v>
      </c>
      <c r="M537" s="53">
        <v>0</v>
      </c>
      <c r="N537" s="53">
        <v>0</v>
      </c>
      <c r="O537" s="53">
        <v>0</v>
      </c>
      <c r="P537" s="53">
        <v>0</v>
      </c>
      <c r="Q537" s="53">
        <v>0</v>
      </c>
      <c r="R537" s="53">
        <v>0</v>
      </c>
      <c r="S537" s="53">
        <v>0</v>
      </c>
      <c r="T537" s="53">
        <v>0</v>
      </c>
      <c r="U537" s="53">
        <v>1550</v>
      </c>
      <c r="V537" s="53">
        <v>0</v>
      </c>
      <c r="W537" s="53">
        <v>0</v>
      </c>
      <c r="X537" s="53">
        <v>0</v>
      </c>
      <c r="Y537" s="53">
        <v>0</v>
      </c>
      <c r="Z537" s="53">
        <v>0</v>
      </c>
      <c r="AA537" s="53">
        <v>0</v>
      </c>
      <c r="AB537" s="53">
        <v>0</v>
      </c>
      <c r="AC537" s="53">
        <v>0</v>
      </c>
      <c r="AD537" s="53">
        <v>0</v>
      </c>
      <c r="AE537" s="53">
        <v>0</v>
      </c>
      <c r="AF537" s="53">
        <v>0</v>
      </c>
      <c r="AG537" s="53">
        <v>0</v>
      </c>
      <c r="AH537" s="53">
        <v>0</v>
      </c>
      <c r="AI537" s="53">
        <v>0</v>
      </c>
      <c r="AJ537" s="53">
        <v>0</v>
      </c>
      <c r="AK537" s="53">
        <v>0</v>
      </c>
      <c r="AL537" s="53">
        <v>0</v>
      </c>
      <c r="AM537" s="53" t="str">
        <f>I537-J537-K537-L537-M537-N537-O537-P537-Q537-R537-S537-T537-U537-V537-W537-X537-Y537-Z537-AA537-AB537-AC537-AD537-AE537-AF537-AG537+AH537-AI537+AJ537+AK537-AL537</f>
        <v>0</v>
      </c>
      <c r="AN537" s="53"/>
      <c r="AO537" s="27"/>
    </row>
    <row r="538" spans="1:41">
      <c r="A538" s="44">
        <v>510</v>
      </c>
      <c r="B538" s="46" t="s">
        <v>2143</v>
      </c>
      <c r="C538" s="48" t="s">
        <v>2144</v>
      </c>
      <c r="D538" s="51" t="s">
        <v>73</v>
      </c>
      <c r="E538" s="51" t="s">
        <v>2136</v>
      </c>
      <c r="F538" s="54" t="s">
        <v>2145</v>
      </c>
      <c r="G538" s="50">
        <v>5</v>
      </c>
      <c r="H538" s="51" t="s">
        <v>2146</v>
      </c>
      <c r="I538" s="53">
        <v>1440000</v>
      </c>
      <c r="J538" s="53">
        <v>0</v>
      </c>
      <c r="K538" s="53">
        <v>27000</v>
      </c>
      <c r="L538" s="53">
        <v>0</v>
      </c>
      <c r="M538" s="53">
        <v>0</v>
      </c>
      <c r="N538" s="53">
        <v>0</v>
      </c>
      <c r="O538" s="53">
        <v>0</v>
      </c>
      <c r="P538" s="53">
        <v>0</v>
      </c>
      <c r="Q538" s="53">
        <v>0</v>
      </c>
      <c r="R538" s="53">
        <v>0</v>
      </c>
      <c r="S538" s="53">
        <v>0</v>
      </c>
      <c r="T538" s="53">
        <v>0</v>
      </c>
      <c r="U538" s="53">
        <v>1350</v>
      </c>
      <c r="V538" s="53">
        <v>0</v>
      </c>
      <c r="W538" s="53">
        <v>0</v>
      </c>
      <c r="X538" s="53">
        <v>0</v>
      </c>
      <c r="Y538" s="53">
        <v>0</v>
      </c>
      <c r="Z538" s="53">
        <v>0</v>
      </c>
      <c r="AA538" s="53">
        <v>0</v>
      </c>
      <c r="AB538" s="53">
        <v>0</v>
      </c>
      <c r="AC538" s="53">
        <v>0</v>
      </c>
      <c r="AD538" s="53">
        <v>0</v>
      </c>
      <c r="AE538" s="53">
        <v>0</v>
      </c>
      <c r="AF538" s="53">
        <v>0</v>
      </c>
      <c r="AG538" s="53">
        <v>0</v>
      </c>
      <c r="AH538" s="53">
        <v>0</v>
      </c>
      <c r="AI538" s="53">
        <v>0</v>
      </c>
      <c r="AJ538" s="53">
        <v>0</v>
      </c>
      <c r="AK538" s="53">
        <v>0</v>
      </c>
      <c r="AL538" s="53">
        <v>0</v>
      </c>
      <c r="AM538" s="53" t="str">
        <f>I538-J538-K538-L538-M538-N538-O538-P538-Q538-R538-S538-T538-U538-V538-W538-X538-Y538-Z538-AA538-AB538-AC538-AD538-AE538-AF538-AG538+AH538-AI538+AJ538+AK538-AL538</f>
        <v>0</v>
      </c>
      <c r="AN538" s="53"/>
      <c r="AO538" s="27"/>
    </row>
    <row r="539" spans="1:41">
      <c r="A539" s="44">
        <v>511</v>
      </c>
      <c r="B539" s="46" t="s">
        <v>2147</v>
      </c>
      <c r="C539" s="48" t="s">
        <v>2148</v>
      </c>
      <c r="D539" s="51" t="s">
        <v>73</v>
      </c>
      <c r="E539" s="51" t="s">
        <v>2136</v>
      </c>
      <c r="F539" s="54" t="s">
        <v>2149</v>
      </c>
      <c r="G539" s="50">
        <v>6</v>
      </c>
      <c r="H539" s="51" t="s">
        <v>2150</v>
      </c>
      <c r="I539" s="53">
        <v>980000</v>
      </c>
      <c r="J539" s="53">
        <v>0</v>
      </c>
      <c r="K539" s="53">
        <v>31000</v>
      </c>
      <c r="L539" s="53">
        <v>0</v>
      </c>
      <c r="M539" s="53">
        <v>0</v>
      </c>
      <c r="N539" s="53">
        <v>0</v>
      </c>
      <c r="O539" s="53">
        <v>0</v>
      </c>
      <c r="P539" s="53">
        <v>0</v>
      </c>
      <c r="Q539" s="53">
        <v>0</v>
      </c>
      <c r="R539" s="53">
        <v>0</v>
      </c>
      <c r="S539" s="53">
        <v>0</v>
      </c>
      <c r="T539" s="53">
        <v>0</v>
      </c>
      <c r="U539" s="53">
        <v>1550</v>
      </c>
      <c r="V539" s="53">
        <v>0</v>
      </c>
      <c r="W539" s="53">
        <v>0</v>
      </c>
      <c r="X539" s="53">
        <v>0</v>
      </c>
      <c r="Y539" s="53">
        <v>0</v>
      </c>
      <c r="Z539" s="53">
        <v>0</v>
      </c>
      <c r="AA539" s="53">
        <v>0</v>
      </c>
      <c r="AB539" s="53">
        <v>0</v>
      </c>
      <c r="AC539" s="53">
        <v>0</v>
      </c>
      <c r="AD539" s="53">
        <v>0</v>
      </c>
      <c r="AE539" s="53">
        <v>0</v>
      </c>
      <c r="AF539" s="53">
        <v>0</v>
      </c>
      <c r="AG539" s="53">
        <v>0</v>
      </c>
      <c r="AH539" s="53">
        <v>0</v>
      </c>
      <c r="AI539" s="53">
        <v>0</v>
      </c>
      <c r="AJ539" s="53">
        <v>0</v>
      </c>
      <c r="AK539" s="53">
        <v>0</v>
      </c>
      <c r="AL539" s="53">
        <v>0</v>
      </c>
      <c r="AM539" s="53" t="str">
        <f>I539-J539-K539-L539-M539-N539-O539-P539-Q539-R539-S539-T539-U539-V539-W539-X539-Y539-Z539-AA539-AB539-AC539-AD539-AE539-AF539-AG539+AH539-AI539+AJ539+AK539-AL539</f>
        <v>0</v>
      </c>
      <c r="AN539" s="53"/>
      <c r="AO539" s="27"/>
    </row>
    <row r="540" spans="1:41">
      <c r="A540" s="44">
        <v>512</v>
      </c>
      <c r="B540" s="46" t="s">
        <v>2151</v>
      </c>
      <c r="C540" s="48" t="s">
        <v>2152</v>
      </c>
      <c r="D540" s="51" t="s">
        <v>73</v>
      </c>
      <c r="E540" s="51" t="s">
        <v>2136</v>
      </c>
      <c r="F540" s="54" t="s">
        <v>2153</v>
      </c>
      <c r="G540" s="50">
        <v>5</v>
      </c>
      <c r="H540" s="51" t="s">
        <v>2154</v>
      </c>
      <c r="I540" s="53">
        <v>926000</v>
      </c>
      <c r="J540" s="53">
        <v>0</v>
      </c>
      <c r="K540" s="53">
        <v>27000</v>
      </c>
      <c r="L540" s="53">
        <v>0</v>
      </c>
      <c r="M540" s="53">
        <v>0</v>
      </c>
      <c r="N540" s="53">
        <v>0</v>
      </c>
      <c r="O540" s="53">
        <v>0</v>
      </c>
      <c r="P540" s="53">
        <v>0</v>
      </c>
      <c r="Q540" s="53">
        <v>0</v>
      </c>
      <c r="R540" s="53">
        <v>0</v>
      </c>
      <c r="S540" s="53">
        <v>0</v>
      </c>
      <c r="T540" s="53">
        <v>0</v>
      </c>
      <c r="U540" s="53">
        <v>1350</v>
      </c>
      <c r="V540" s="53">
        <v>0</v>
      </c>
      <c r="W540" s="53">
        <v>0</v>
      </c>
      <c r="X540" s="53">
        <v>0</v>
      </c>
      <c r="Y540" s="53">
        <v>0</v>
      </c>
      <c r="Z540" s="53">
        <v>0</v>
      </c>
      <c r="AA540" s="53">
        <v>0</v>
      </c>
      <c r="AB540" s="53">
        <v>0</v>
      </c>
      <c r="AC540" s="53">
        <v>0</v>
      </c>
      <c r="AD540" s="53">
        <v>0</v>
      </c>
      <c r="AE540" s="53">
        <v>0</v>
      </c>
      <c r="AF540" s="53">
        <v>0</v>
      </c>
      <c r="AG540" s="53">
        <v>0</v>
      </c>
      <c r="AH540" s="53">
        <v>0</v>
      </c>
      <c r="AI540" s="53">
        <v>0</v>
      </c>
      <c r="AJ540" s="53">
        <v>0</v>
      </c>
      <c r="AK540" s="53">
        <v>0</v>
      </c>
      <c r="AL540" s="53">
        <v>0</v>
      </c>
      <c r="AM540" s="53" t="str">
        <f>I540-J540-K540-L540-M540-N540-O540-P540-Q540-R540-S540-T540-U540-V540-W540-X540-Y540-Z540-AA540-AB540-AC540-AD540-AE540-AF540-AG540+AH540-AI540+AJ540+AK540-AL540</f>
        <v>0</v>
      </c>
      <c r="AN540" s="53"/>
      <c r="AO540" s="27"/>
    </row>
    <row r="541" spans="1:41">
      <c r="A541" s="44">
        <v>513</v>
      </c>
      <c r="B541" s="46" t="s">
        <v>2155</v>
      </c>
      <c r="C541" s="48" t="s">
        <v>2156</v>
      </c>
      <c r="D541" s="51" t="s">
        <v>73</v>
      </c>
      <c r="E541" s="51" t="s">
        <v>2157</v>
      </c>
      <c r="F541" s="54" t="s">
        <v>2158</v>
      </c>
      <c r="G541" s="50">
        <v>6</v>
      </c>
      <c r="H541" s="51" t="s">
        <v>2159</v>
      </c>
      <c r="I541" s="53">
        <v>1450000</v>
      </c>
      <c r="J541" s="53">
        <v>0</v>
      </c>
      <c r="K541" s="53">
        <v>31000</v>
      </c>
      <c r="L541" s="53">
        <v>0</v>
      </c>
      <c r="M541" s="53">
        <v>0</v>
      </c>
      <c r="N541" s="53">
        <v>0</v>
      </c>
      <c r="O541" s="53">
        <v>0</v>
      </c>
      <c r="P541" s="53">
        <v>0</v>
      </c>
      <c r="Q541" s="53">
        <v>0</v>
      </c>
      <c r="R541" s="53">
        <v>0</v>
      </c>
      <c r="S541" s="53">
        <v>0</v>
      </c>
      <c r="T541" s="53">
        <v>0</v>
      </c>
      <c r="U541" s="53">
        <v>1550</v>
      </c>
      <c r="V541" s="53">
        <v>0</v>
      </c>
      <c r="W541" s="53">
        <v>0</v>
      </c>
      <c r="X541" s="53">
        <v>0</v>
      </c>
      <c r="Y541" s="53">
        <v>0</v>
      </c>
      <c r="Z541" s="53">
        <v>0</v>
      </c>
      <c r="AA541" s="53">
        <v>0</v>
      </c>
      <c r="AB541" s="53">
        <v>0</v>
      </c>
      <c r="AC541" s="53">
        <v>0</v>
      </c>
      <c r="AD541" s="53">
        <v>0</v>
      </c>
      <c r="AE541" s="53">
        <v>0</v>
      </c>
      <c r="AF541" s="53">
        <v>0</v>
      </c>
      <c r="AG541" s="53">
        <v>0</v>
      </c>
      <c r="AH541" s="53">
        <v>0</v>
      </c>
      <c r="AI541" s="53">
        <v>0</v>
      </c>
      <c r="AJ541" s="53">
        <v>0</v>
      </c>
      <c r="AK541" s="53">
        <v>0</v>
      </c>
      <c r="AL541" s="53">
        <v>0</v>
      </c>
      <c r="AM541" s="53" t="str">
        <f>I541-J541-K541-L541-M541-N541-O541-P541-Q541-R541-S541-T541-U541-V541-W541-X541-Y541-Z541-AA541-AB541-AC541-AD541-AE541-AF541-AG541+AH541-AI541+AJ541+AK541-AL541</f>
        <v>0</v>
      </c>
      <c r="AN541" s="53"/>
      <c r="AO541" s="27"/>
    </row>
    <row r="542" spans="1:41">
      <c r="A542" s="44">
        <v>514</v>
      </c>
      <c r="B542" s="46" t="s">
        <v>2160</v>
      </c>
      <c r="C542" s="48" t="s">
        <v>2161</v>
      </c>
      <c r="D542" s="51" t="s">
        <v>73</v>
      </c>
      <c r="E542" s="51" t="s">
        <v>2157</v>
      </c>
      <c r="F542" s="54" t="s">
        <v>188</v>
      </c>
      <c r="G542" s="50">
        <v>3</v>
      </c>
      <c r="H542" s="51" t="s">
        <v>2162</v>
      </c>
      <c r="I542" s="53">
        <v>664100</v>
      </c>
      <c r="J542" s="53">
        <v>0</v>
      </c>
      <c r="K542" s="53">
        <v>22000</v>
      </c>
      <c r="L542" s="53">
        <v>0</v>
      </c>
      <c r="M542" s="53">
        <v>0</v>
      </c>
      <c r="N542" s="53">
        <v>0</v>
      </c>
      <c r="O542" s="53">
        <v>0</v>
      </c>
      <c r="P542" s="53">
        <v>0</v>
      </c>
      <c r="Q542" s="53">
        <v>0</v>
      </c>
      <c r="R542" s="53">
        <v>0</v>
      </c>
      <c r="S542" s="53">
        <v>0</v>
      </c>
      <c r="T542" s="53">
        <v>0</v>
      </c>
      <c r="U542" s="53">
        <v>1100</v>
      </c>
      <c r="V542" s="53">
        <v>0</v>
      </c>
      <c r="W542" s="53">
        <v>0</v>
      </c>
      <c r="X542" s="53">
        <v>0</v>
      </c>
      <c r="Y542" s="53">
        <v>0</v>
      </c>
      <c r="Z542" s="53">
        <v>0</v>
      </c>
      <c r="AA542" s="53">
        <v>0</v>
      </c>
      <c r="AB542" s="53">
        <v>0</v>
      </c>
      <c r="AC542" s="53">
        <v>0</v>
      </c>
      <c r="AD542" s="53">
        <v>0</v>
      </c>
      <c r="AE542" s="53">
        <v>0</v>
      </c>
      <c r="AF542" s="53">
        <v>0</v>
      </c>
      <c r="AG542" s="53">
        <v>0</v>
      </c>
      <c r="AH542" s="53">
        <v>0</v>
      </c>
      <c r="AI542" s="53">
        <v>0</v>
      </c>
      <c r="AJ542" s="53">
        <v>0</v>
      </c>
      <c r="AK542" s="53">
        <v>0</v>
      </c>
      <c r="AL542" s="53">
        <v>0</v>
      </c>
      <c r="AM542" s="53" t="str">
        <f>I542-J542-K542-L542-M542-N542-O542-P542-Q542-R542-S542-T542-U542-V542-W542-X542-Y542-Z542-AA542-AB542-AC542-AD542-AE542-AF542-AG542+AH542-AI542+AJ542+AK542-AL542</f>
        <v>0</v>
      </c>
      <c r="AN542" s="53"/>
      <c r="AO542" s="27"/>
    </row>
    <row r="543" spans="1:41">
      <c r="A543" s="44">
        <v>515</v>
      </c>
      <c r="B543" s="46" t="s">
        <v>2163</v>
      </c>
      <c r="C543" s="48" t="s">
        <v>2164</v>
      </c>
      <c r="D543" s="51" t="s">
        <v>73</v>
      </c>
      <c r="E543" s="51" t="s">
        <v>2165</v>
      </c>
      <c r="F543" s="54" t="s">
        <v>2166</v>
      </c>
      <c r="G543" s="50">
        <v>3</v>
      </c>
      <c r="H543" s="51" t="s">
        <v>2167</v>
      </c>
      <c r="I543" s="53">
        <v>367100</v>
      </c>
      <c r="J543" s="53">
        <v>0</v>
      </c>
      <c r="K543" s="53">
        <v>22000</v>
      </c>
      <c r="L543" s="53">
        <v>0</v>
      </c>
      <c r="M543" s="53">
        <v>0</v>
      </c>
      <c r="N543" s="53">
        <v>0</v>
      </c>
      <c r="O543" s="53">
        <v>0</v>
      </c>
      <c r="P543" s="53">
        <v>0</v>
      </c>
      <c r="Q543" s="53">
        <v>0</v>
      </c>
      <c r="R543" s="53">
        <v>0</v>
      </c>
      <c r="S543" s="53">
        <v>0</v>
      </c>
      <c r="T543" s="53">
        <v>0</v>
      </c>
      <c r="U543" s="53">
        <v>1100</v>
      </c>
      <c r="V543" s="53">
        <v>0</v>
      </c>
      <c r="W543" s="53">
        <v>0</v>
      </c>
      <c r="X543" s="53">
        <v>0</v>
      </c>
      <c r="Y543" s="53">
        <v>0</v>
      </c>
      <c r="Z543" s="53">
        <v>0</v>
      </c>
      <c r="AA543" s="53">
        <v>0</v>
      </c>
      <c r="AB543" s="53">
        <v>0</v>
      </c>
      <c r="AC543" s="53">
        <v>0</v>
      </c>
      <c r="AD543" s="53">
        <v>0</v>
      </c>
      <c r="AE543" s="53">
        <v>0</v>
      </c>
      <c r="AF543" s="53">
        <v>0</v>
      </c>
      <c r="AG543" s="53">
        <v>0</v>
      </c>
      <c r="AH543" s="53">
        <v>0</v>
      </c>
      <c r="AI543" s="53">
        <v>0</v>
      </c>
      <c r="AJ543" s="53">
        <v>0</v>
      </c>
      <c r="AK543" s="53">
        <v>0</v>
      </c>
      <c r="AL543" s="53">
        <v>0</v>
      </c>
      <c r="AM543" s="53" t="str">
        <f>I543-J543-K543-L543-M543-N543-O543-P543-Q543-R543-S543-T543-U543-V543-W543-X543-Y543-Z543-AA543-AB543-AC543-AD543-AE543-AF543-AG543+AH543-AI543+AJ543+AK543-AL543</f>
        <v>0</v>
      </c>
      <c r="AN543" s="53"/>
      <c r="AO543" s="27"/>
    </row>
    <row r="544" spans="1:41">
      <c r="A544" s="44">
        <v>516</v>
      </c>
      <c r="B544" s="46" t="s">
        <v>2168</v>
      </c>
      <c r="C544" s="48" t="s">
        <v>2169</v>
      </c>
      <c r="D544" s="51" t="s">
        <v>73</v>
      </c>
      <c r="E544" s="51" t="s">
        <v>2165</v>
      </c>
      <c r="F544" s="54" t="s">
        <v>2170</v>
      </c>
      <c r="G544" s="50">
        <v>4</v>
      </c>
      <c r="H544" s="51" t="s">
        <v>2171</v>
      </c>
      <c r="I544" s="53">
        <v>462500</v>
      </c>
      <c r="J544" s="53">
        <v>0</v>
      </c>
      <c r="K544" s="53">
        <v>25000</v>
      </c>
      <c r="L544" s="53">
        <v>0</v>
      </c>
      <c r="M544" s="53">
        <v>0</v>
      </c>
      <c r="N544" s="53">
        <v>0</v>
      </c>
      <c r="O544" s="53">
        <v>0</v>
      </c>
      <c r="P544" s="53">
        <v>0</v>
      </c>
      <c r="Q544" s="53">
        <v>0</v>
      </c>
      <c r="R544" s="53">
        <v>0</v>
      </c>
      <c r="S544" s="53">
        <v>0</v>
      </c>
      <c r="T544" s="53">
        <v>0</v>
      </c>
      <c r="U544" s="53">
        <v>1250</v>
      </c>
      <c r="V544" s="53">
        <v>0</v>
      </c>
      <c r="W544" s="53">
        <v>0</v>
      </c>
      <c r="X544" s="53">
        <v>0</v>
      </c>
      <c r="Y544" s="53">
        <v>0</v>
      </c>
      <c r="Z544" s="53">
        <v>0</v>
      </c>
      <c r="AA544" s="53">
        <v>0</v>
      </c>
      <c r="AB544" s="53">
        <v>0</v>
      </c>
      <c r="AC544" s="53">
        <v>0</v>
      </c>
      <c r="AD544" s="53">
        <v>0</v>
      </c>
      <c r="AE544" s="53">
        <v>0</v>
      </c>
      <c r="AF544" s="53">
        <v>0</v>
      </c>
      <c r="AG544" s="53">
        <v>0</v>
      </c>
      <c r="AH544" s="53">
        <v>0</v>
      </c>
      <c r="AI544" s="53">
        <v>0</v>
      </c>
      <c r="AJ544" s="53">
        <v>0</v>
      </c>
      <c r="AK544" s="53">
        <v>0</v>
      </c>
      <c r="AL544" s="53">
        <v>0</v>
      </c>
      <c r="AM544" s="53" t="str">
        <f>I544-J544-K544-L544-M544-N544-O544-P544-Q544-R544-S544-T544-U544-V544-W544-X544-Y544-Z544-AA544-AB544-AC544-AD544-AE544-AF544-AG544+AH544-AI544+AJ544+AK544-AL544</f>
        <v>0</v>
      </c>
      <c r="AN544" s="53"/>
      <c r="AO544" s="27"/>
    </row>
    <row r="545" spans="1:41">
      <c r="A545" s="44">
        <v>517</v>
      </c>
      <c r="B545" s="46" t="s">
        <v>2172</v>
      </c>
      <c r="C545" s="48" t="s">
        <v>2173</v>
      </c>
      <c r="D545" s="51" t="s">
        <v>73</v>
      </c>
      <c r="E545" s="51" t="s">
        <v>2165</v>
      </c>
      <c r="F545" s="54" t="s">
        <v>2174</v>
      </c>
      <c r="G545" s="50">
        <v>2</v>
      </c>
      <c r="H545" s="51" t="s">
        <v>2175</v>
      </c>
      <c r="I545" s="53">
        <v>574100</v>
      </c>
      <c r="J545" s="53">
        <v>0</v>
      </c>
      <c r="K545" s="53">
        <v>22000</v>
      </c>
      <c r="L545" s="53">
        <v>0</v>
      </c>
      <c r="M545" s="53">
        <v>0</v>
      </c>
      <c r="N545" s="53">
        <v>0</v>
      </c>
      <c r="O545" s="53">
        <v>0</v>
      </c>
      <c r="P545" s="53">
        <v>0</v>
      </c>
      <c r="Q545" s="53">
        <v>0</v>
      </c>
      <c r="R545" s="53">
        <v>0</v>
      </c>
      <c r="S545" s="53">
        <v>0</v>
      </c>
      <c r="T545" s="53">
        <v>0</v>
      </c>
      <c r="U545" s="53">
        <v>1100</v>
      </c>
      <c r="V545" s="53">
        <v>0</v>
      </c>
      <c r="W545" s="53">
        <v>0</v>
      </c>
      <c r="X545" s="53">
        <v>0</v>
      </c>
      <c r="Y545" s="53">
        <v>0</v>
      </c>
      <c r="Z545" s="53">
        <v>0</v>
      </c>
      <c r="AA545" s="53">
        <v>0</v>
      </c>
      <c r="AB545" s="53">
        <v>0</v>
      </c>
      <c r="AC545" s="53">
        <v>0</v>
      </c>
      <c r="AD545" s="53">
        <v>0</v>
      </c>
      <c r="AE545" s="53">
        <v>0</v>
      </c>
      <c r="AF545" s="53">
        <v>0</v>
      </c>
      <c r="AG545" s="53">
        <v>0</v>
      </c>
      <c r="AH545" s="53">
        <v>0</v>
      </c>
      <c r="AI545" s="53">
        <v>0</v>
      </c>
      <c r="AJ545" s="53">
        <v>0</v>
      </c>
      <c r="AK545" s="53">
        <v>0</v>
      </c>
      <c r="AL545" s="53">
        <v>0</v>
      </c>
      <c r="AM545" s="53" t="str">
        <f>I545-J545-K545-L545-M545-N545-O545-P545-Q545-R545-S545-T545-U545-V545-W545-X545-Y545-Z545-AA545-AB545-AC545-AD545-AE545-AF545-AG545+AH545-AI545+AJ545+AK545-AL545</f>
        <v>0</v>
      </c>
      <c r="AN545" s="53"/>
      <c r="AO545" s="27"/>
    </row>
    <row r="546" spans="1:41">
      <c r="A546" s="44">
        <v>518</v>
      </c>
      <c r="B546" s="46" t="s">
        <v>2176</v>
      </c>
      <c r="C546" s="48" t="s">
        <v>2177</v>
      </c>
      <c r="D546" s="51" t="s">
        <v>73</v>
      </c>
      <c r="E546" s="51" t="s">
        <v>2165</v>
      </c>
      <c r="F546" s="54" t="s">
        <v>2178</v>
      </c>
      <c r="G546" s="50">
        <v>2</v>
      </c>
      <c r="H546" s="51" t="s">
        <v>2179</v>
      </c>
      <c r="I546" s="53">
        <v>682100</v>
      </c>
      <c r="J546" s="53">
        <v>0</v>
      </c>
      <c r="K546" s="53">
        <v>22000</v>
      </c>
      <c r="L546" s="53">
        <v>0</v>
      </c>
      <c r="M546" s="53">
        <v>0</v>
      </c>
      <c r="N546" s="53">
        <v>0</v>
      </c>
      <c r="O546" s="53">
        <v>0</v>
      </c>
      <c r="P546" s="53">
        <v>0</v>
      </c>
      <c r="Q546" s="53">
        <v>0</v>
      </c>
      <c r="R546" s="53">
        <v>0</v>
      </c>
      <c r="S546" s="53">
        <v>0</v>
      </c>
      <c r="T546" s="53">
        <v>0</v>
      </c>
      <c r="U546" s="53">
        <v>1100</v>
      </c>
      <c r="V546" s="53">
        <v>0</v>
      </c>
      <c r="W546" s="53">
        <v>0</v>
      </c>
      <c r="X546" s="53">
        <v>0</v>
      </c>
      <c r="Y546" s="53">
        <v>0</v>
      </c>
      <c r="Z546" s="53">
        <v>0</v>
      </c>
      <c r="AA546" s="53">
        <v>0</v>
      </c>
      <c r="AB546" s="53">
        <v>0</v>
      </c>
      <c r="AC546" s="53">
        <v>0</v>
      </c>
      <c r="AD546" s="53">
        <v>0</v>
      </c>
      <c r="AE546" s="53">
        <v>0</v>
      </c>
      <c r="AF546" s="53">
        <v>0</v>
      </c>
      <c r="AG546" s="53">
        <v>0</v>
      </c>
      <c r="AH546" s="53">
        <v>0</v>
      </c>
      <c r="AI546" s="53">
        <v>0</v>
      </c>
      <c r="AJ546" s="53">
        <v>0</v>
      </c>
      <c r="AK546" s="53">
        <v>0</v>
      </c>
      <c r="AL546" s="53">
        <v>0</v>
      </c>
      <c r="AM546" s="53" t="str">
        <f>I546-J546-K546-L546-M546-N546-O546-P546-Q546-R546-S546-T546-U546-V546-W546-X546-Y546-Z546-AA546-AB546-AC546-AD546-AE546-AF546-AG546+AH546-AI546+AJ546+AK546-AL546</f>
        <v>0</v>
      </c>
      <c r="AN546" s="53"/>
      <c r="AO546" s="27"/>
    </row>
    <row r="547" spans="1:41">
      <c r="A547" s="44">
        <v>519</v>
      </c>
      <c r="B547" s="46" t="s">
        <v>2180</v>
      </c>
      <c r="C547" s="48" t="s">
        <v>2181</v>
      </c>
      <c r="D547" s="51" t="s">
        <v>73</v>
      </c>
      <c r="E547" s="51" t="s">
        <v>2165</v>
      </c>
      <c r="F547" s="54" t="s">
        <v>2182</v>
      </c>
      <c r="G547" s="50">
        <v>6</v>
      </c>
      <c r="H547" s="51" t="s">
        <v>2183</v>
      </c>
      <c r="I547" s="53">
        <v>575000</v>
      </c>
      <c r="J547" s="53">
        <v>0</v>
      </c>
      <c r="K547" s="53">
        <v>31000</v>
      </c>
      <c r="L547" s="53">
        <v>0</v>
      </c>
      <c r="M547" s="53">
        <v>0</v>
      </c>
      <c r="N547" s="53">
        <v>0</v>
      </c>
      <c r="O547" s="53">
        <v>0</v>
      </c>
      <c r="P547" s="53">
        <v>0</v>
      </c>
      <c r="Q547" s="53">
        <v>0</v>
      </c>
      <c r="R547" s="53">
        <v>0</v>
      </c>
      <c r="S547" s="53">
        <v>0</v>
      </c>
      <c r="T547" s="53">
        <v>0</v>
      </c>
      <c r="U547" s="53">
        <v>1550</v>
      </c>
      <c r="V547" s="53">
        <v>0</v>
      </c>
      <c r="W547" s="53">
        <v>0</v>
      </c>
      <c r="X547" s="53">
        <v>0</v>
      </c>
      <c r="Y547" s="53">
        <v>0</v>
      </c>
      <c r="Z547" s="53">
        <v>0</v>
      </c>
      <c r="AA547" s="53">
        <v>0</v>
      </c>
      <c r="AB547" s="53">
        <v>0</v>
      </c>
      <c r="AC547" s="53">
        <v>0</v>
      </c>
      <c r="AD547" s="53">
        <v>0</v>
      </c>
      <c r="AE547" s="53">
        <v>0</v>
      </c>
      <c r="AF547" s="53">
        <v>0</v>
      </c>
      <c r="AG547" s="53">
        <v>0</v>
      </c>
      <c r="AH547" s="53">
        <v>0</v>
      </c>
      <c r="AI547" s="53">
        <v>0</v>
      </c>
      <c r="AJ547" s="53">
        <v>0</v>
      </c>
      <c r="AK547" s="53">
        <v>0</v>
      </c>
      <c r="AL547" s="53">
        <v>0</v>
      </c>
      <c r="AM547" s="53" t="str">
        <f>I547-J547-K547-L547-M547-N547-O547-P547-Q547-R547-S547-T547-U547-V547-W547-X547-Y547-Z547-AA547-AB547-AC547-AD547-AE547-AF547-AG547+AH547-AI547+AJ547+AK547-AL547</f>
        <v>0</v>
      </c>
      <c r="AN547" s="53"/>
      <c r="AO547" s="27"/>
    </row>
    <row r="548" spans="1:41">
      <c r="A548" s="44">
        <v>520</v>
      </c>
      <c r="B548" s="46" t="s">
        <v>2184</v>
      </c>
      <c r="C548" s="48" t="s">
        <v>2185</v>
      </c>
      <c r="D548" s="51" t="s">
        <v>73</v>
      </c>
      <c r="E548" s="51" t="s">
        <v>2165</v>
      </c>
      <c r="F548" s="54" t="s">
        <v>490</v>
      </c>
      <c r="G548" s="50">
        <v>6</v>
      </c>
      <c r="H548" s="51" t="s">
        <v>2186</v>
      </c>
      <c r="I548" s="53">
        <v>845000</v>
      </c>
      <c r="J548" s="53">
        <v>0</v>
      </c>
      <c r="K548" s="53">
        <v>31000</v>
      </c>
      <c r="L548" s="53">
        <v>0</v>
      </c>
      <c r="M548" s="53">
        <v>0</v>
      </c>
      <c r="N548" s="53">
        <v>0</v>
      </c>
      <c r="O548" s="53">
        <v>0</v>
      </c>
      <c r="P548" s="53">
        <v>0</v>
      </c>
      <c r="Q548" s="53">
        <v>0</v>
      </c>
      <c r="R548" s="53">
        <v>0</v>
      </c>
      <c r="S548" s="53">
        <v>0</v>
      </c>
      <c r="T548" s="53">
        <v>0</v>
      </c>
      <c r="U548" s="53">
        <v>1550</v>
      </c>
      <c r="V548" s="53">
        <v>0</v>
      </c>
      <c r="W548" s="53">
        <v>0</v>
      </c>
      <c r="X548" s="53">
        <v>0</v>
      </c>
      <c r="Y548" s="53">
        <v>0</v>
      </c>
      <c r="Z548" s="53">
        <v>0</v>
      </c>
      <c r="AA548" s="53">
        <v>0</v>
      </c>
      <c r="AB548" s="53">
        <v>0</v>
      </c>
      <c r="AC548" s="53">
        <v>0</v>
      </c>
      <c r="AD548" s="53">
        <v>0</v>
      </c>
      <c r="AE548" s="53">
        <v>0</v>
      </c>
      <c r="AF548" s="53">
        <v>0</v>
      </c>
      <c r="AG548" s="53">
        <v>0</v>
      </c>
      <c r="AH548" s="53">
        <v>0</v>
      </c>
      <c r="AI548" s="53">
        <v>0</v>
      </c>
      <c r="AJ548" s="53">
        <v>0</v>
      </c>
      <c r="AK548" s="53">
        <v>0</v>
      </c>
      <c r="AL548" s="53">
        <v>0</v>
      </c>
      <c r="AM548" s="53" t="str">
        <f>I548-J548-K548-L548-M548-N548-O548-P548-Q548-R548-S548-T548-U548-V548-W548-X548-Y548-Z548-AA548-AB548-AC548-AD548-AE548-AF548-AG548+AH548-AI548+AJ548+AK548-AL548</f>
        <v>0</v>
      </c>
      <c r="AN548" s="53"/>
      <c r="AO548" s="27"/>
    </row>
    <row r="549" spans="1:41">
      <c r="A549" s="44">
        <v>521</v>
      </c>
      <c r="B549" s="46" t="s">
        <v>2187</v>
      </c>
      <c r="C549" s="48" t="s">
        <v>2188</v>
      </c>
      <c r="D549" s="51" t="s">
        <v>73</v>
      </c>
      <c r="E549" s="51" t="s">
        <v>2165</v>
      </c>
      <c r="F549" s="54" t="s">
        <v>2189</v>
      </c>
      <c r="G549" s="50">
        <v>3</v>
      </c>
      <c r="H549" s="51" t="s">
        <v>2190</v>
      </c>
      <c r="I549" s="53">
        <v>183500</v>
      </c>
      <c r="J549" s="53">
        <v>0</v>
      </c>
      <c r="K549" s="53">
        <v>22000</v>
      </c>
      <c r="L549" s="53">
        <v>0</v>
      </c>
      <c r="M549" s="53">
        <v>0</v>
      </c>
      <c r="N549" s="53">
        <v>0</v>
      </c>
      <c r="O549" s="53">
        <v>0</v>
      </c>
      <c r="P549" s="53">
        <v>0</v>
      </c>
      <c r="Q549" s="53">
        <v>0</v>
      </c>
      <c r="R549" s="53">
        <v>0</v>
      </c>
      <c r="S549" s="53">
        <v>0</v>
      </c>
      <c r="T549" s="53">
        <v>0</v>
      </c>
      <c r="U549" s="53">
        <v>1100</v>
      </c>
      <c r="V549" s="53">
        <v>0</v>
      </c>
      <c r="W549" s="53">
        <v>0</v>
      </c>
      <c r="X549" s="53">
        <v>0</v>
      </c>
      <c r="Y549" s="53">
        <v>0</v>
      </c>
      <c r="Z549" s="53">
        <v>0</v>
      </c>
      <c r="AA549" s="53">
        <v>0</v>
      </c>
      <c r="AB549" s="53">
        <v>0</v>
      </c>
      <c r="AC549" s="53">
        <v>0</v>
      </c>
      <c r="AD549" s="53">
        <v>0</v>
      </c>
      <c r="AE549" s="53">
        <v>0</v>
      </c>
      <c r="AF549" s="53">
        <v>0</v>
      </c>
      <c r="AG549" s="53">
        <v>0</v>
      </c>
      <c r="AH549" s="53">
        <v>0</v>
      </c>
      <c r="AI549" s="53">
        <v>0</v>
      </c>
      <c r="AJ549" s="53">
        <v>0</v>
      </c>
      <c r="AK549" s="53">
        <v>0</v>
      </c>
      <c r="AL549" s="53">
        <v>0</v>
      </c>
      <c r="AM549" s="53" t="str">
        <f>I549-J549-K549-L549-M549-N549-O549-P549-Q549-R549-S549-T549-U549-V549-W549-X549-Y549-Z549-AA549-AB549-AC549-AD549-AE549-AF549-AG549+AH549-AI549+AJ549+AK549-AL549</f>
        <v>0</v>
      </c>
      <c r="AN549" s="53"/>
      <c r="AO549" s="27"/>
    </row>
    <row r="550" spans="1:41">
      <c r="A550" s="44">
        <v>522</v>
      </c>
      <c r="B550" s="46" t="s">
        <v>2191</v>
      </c>
      <c r="C550" s="48" t="s">
        <v>2192</v>
      </c>
      <c r="D550" s="51" t="s">
        <v>73</v>
      </c>
      <c r="E550" s="51" t="s">
        <v>2165</v>
      </c>
      <c r="F550" s="54" t="s">
        <v>2193</v>
      </c>
      <c r="G550" s="50">
        <v>6</v>
      </c>
      <c r="H550" s="51" t="s">
        <v>2194</v>
      </c>
      <c r="I550" s="53">
        <v>1415000</v>
      </c>
      <c r="J550" s="53">
        <v>0</v>
      </c>
      <c r="K550" s="53">
        <v>24000</v>
      </c>
      <c r="L550" s="53">
        <v>0</v>
      </c>
      <c r="M550" s="53">
        <v>0</v>
      </c>
      <c r="N550" s="53">
        <v>0</v>
      </c>
      <c r="O550" s="53">
        <v>0</v>
      </c>
      <c r="P550" s="53">
        <v>0</v>
      </c>
      <c r="Q550" s="53">
        <v>0</v>
      </c>
      <c r="R550" s="53">
        <v>0</v>
      </c>
      <c r="S550" s="53">
        <v>0</v>
      </c>
      <c r="T550" s="53">
        <v>0</v>
      </c>
      <c r="U550" s="53">
        <v>1200</v>
      </c>
      <c r="V550" s="53">
        <v>0</v>
      </c>
      <c r="W550" s="53">
        <v>0</v>
      </c>
      <c r="X550" s="53">
        <v>0</v>
      </c>
      <c r="Y550" s="53">
        <v>0</v>
      </c>
      <c r="Z550" s="53">
        <v>0</v>
      </c>
      <c r="AA550" s="53">
        <v>0</v>
      </c>
      <c r="AB550" s="53">
        <v>0</v>
      </c>
      <c r="AC550" s="53">
        <v>0</v>
      </c>
      <c r="AD550" s="53">
        <v>0</v>
      </c>
      <c r="AE550" s="53">
        <v>0</v>
      </c>
      <c r="AF550" s="53">
        <v>0</v>
      </c>
      <c r="AG550" s="53">
        <v>0</v>
      </c>
      <c r="AH550" s="53">
        <v>0</v>
      </c>
      <c r="AI550" s="53">
        <v>0</v>
      </c>
      <c r="AJ550" s="53">
        <v>0</v>
      </c>
      <c r="AK550" s="53">
        <v>0</v>
      </c>
      <c r="AL550" s="53">
        <v>0</v>
      </c>
      <c r="AM550" s="53" t="str">
        <f>I550-J550-K550-L550-M550-N550-O550-P550-Q550-R550-S550-T550-U550-V550-W550-X550-Y550-Z550-AA550-AB550-AC550-AD550-AE550-AF550-AG550+AH550-AI550+AJ550+AK550-AL550</f>
        <v>0</v>
      </c>
      <c r="AN550" s="53"/>
      <c r="AO550" s="27"/>
    </row>
    <row r="551" spans="1:41">
      <c r="A551" s="44">
        <v>523</v>
      </c>
      <c r="B551" s="46" t="s">
        <v>2195</v>
      </c>
      <c r="C551" s="48" t="s">
        <v>2196</v>
      </c>
      <c r="D551" s="51" t="s">
        <v>73</v>
      </c>
      <c r="E551" s="51" t="s">
        <v>2165</v>
      </c>
      <c r="F551" s="54" t="s">
        <v>2197</v>
      </c>
      <c r="G551" s="50">
        <v>9</v>
      </c>
      <c r="H551" s="51" t="s">
        <v>2198</v>
      </c>
      <c r="I551" s="53">
        <v>1940000</v>
      </c>
      <c r="J551" s="53">
        <v>0</v>
      </c>
      <c r="K551" s="53">
        <v>40000</v>
      </c>
      <c r="L551" s="53">
        <v>0</v>
      </c>
      <c r="M551" s="53">
        <v>0</v>
      </c>
      <c r="N551" s="53">
        <v>0</v>
      </c>
      <c r="O551" s="53">
        <v>0</v>
      </c>
      <c r="P551" s="53">
        <v>0</v>
      </c>
      <c r="Q551" s="53">
        <v>0</v>
      </c>
      <c r="R551" s="53">
        <v>0</v>
      </c>
      <c r="S551" s="53">
        <v>0</v>
      </c>
      <c r="T551" s="53">
        <v>0</v>
      </c>
      <c r="U551" s="53">
        <v>2000</v>
      </c>
      <c r="V551" s="53">
        <v>0</v>
      </c>
      <c r="W551" s="53">
        <v>0</v>
      </c>
      <c r="X551" s="53">
        <v>0</v>
      </c>
      <c r="Y551" s="53">
        <v>0</v>
      </c>
      <c r="Z551" s="53">
        <v>0</v>
      </c>
      <c r="AA551" s="53">
        <v>0</v>
      </c>
      <c r="AB551" s="53">
        <v>0</v>
      </c>
      <c r="AC551" s="53">
        <v>0</v>
      </c>
      <c r="AD551" s="53">
        <v>0</v>
      </c>
      <c r="AE551" s="53">
        <v>0</v>
      </c>
      <c r="AF551" s="53">
        <v>0</v>
      </c>
      <c r="AG551" s="53">
        <v>0</v>
      </c>
      <c r="AH551" s="53">
        <v>0</v>
      </c>
      <c r="AI551" s="53">
        <v>0</v>
      </c>
      <c r="AJ551" s="53">
        <v>0</v>
      </c>
      <c r="AK551" s="53">
        <v>0</v>
      </c>
      <c r="AL551" s="53">
        <v>0</v>
      </c>
      <c r="AM551" s="53" t="str">
        <f>I551-J551-K551-L551-M551-N551-O551-P551-Q551-R551-S551-T551-U551-V551-W551-X551-Y551-Z551-AA551-AB551-AC551-AD551-AE551-AF551-AG551+AH551-AI551+AJ551+AK551-AL551</f>
        <v>0</v>
      </c>
      <c r="AN551" s="53"/>
      <c r="AO551" s="27"/>
    </row>
    <row r="552" spans="1:41">
      <c r="A552" s="44">
        <v>524</v>
      </c>
      <c r="B552" s="46" t="s">
        <v>2199</v>
      </c>
      <c r="C552" s="48" t="s">
        <v>2200</v>
      </c>
      <c r="D552" s="51" t="s">
        <v>73</v>
      </c>
      <c r="E552" s="51" t="s">
        <v>2165</v>
      </c>
      <c r="F552" s="54" t="s">
        <v>907</v>
      </c>
      <c r="G552" s="50">
        <v>5</v>
      </c>
      <c r="H552" s="51" t="s">
        <v>2201</v>
      </c>
      <c r="I552" s="53">
        <v>754100</v>
      </c>
      <c r="J552" s="53">
        <v>0</v>
      </c>
      <c r="K552" s="53">
        <v>27000</v>
      </c>
      <c r="L552" s="53">
        <v>0</v>
      </c>
      <c r="M552" s="53">
        <v>0</v>
      </c>
      <c r="N552" s="53">
        <v>0</v>
      </c>
      <c r="O552" s="53">
        <v>0</v>
      </c>
      <c r="P552" s="53">
        <v>0</v>
      </c>
      <c r="Q552" s="53">
        <v>0</v>
      </c>
      <c r="R552" s="53">
        <v>0</v>
      </c>
      <c r="S552" s="53">
        <v>0</v>
      </c>
      <c r="T552" s="53">
        <v>0</v>
      </c>
      <c r="U552" s="53">
        <v>1350</v>
      </c>
      <c r="V552" s="53">
        <v>0</v>
      </c>
      <c r="W552" s="53">
        <v>0</v>
      </c>
      <c r="X552" s="53">
        <v>0</v>
      </c>
      <c r="Y552" s="53">
        <v>0</v>
      </c>
      <c r="Z552" s="53">
        <v>0</v>
      </c>
      <c r="AA552" s="53">
        <v>0</v>
      </c>
      <c r="AB552" s="53">
        <v>0</v>
      </c>
      <c r="AC552" s="53">
        <v>0</v>
      </c>
      <c r="AD552" s="53">
        <v>0</v>
      </c>
      <c r="AE552" s="53">
        <v>0</v>
      </c>
      <c r="AF552" s="53">
        <v>0</v>
      </c>
      <c r="AG552" s="53">
        <v>0</v>
      </c>
      <c r="AH552" s="53">
        <v>0</v>
      </c>
      <c r="AI552" s="53">
        <v>0</v>
      </c>
      <c r="AJ552" s="53">
        <v>0</v>
      </c>
      <c r="AK552" s="53">
        <v>0</v>
      </c>
      <c r="AL552" s="53">
        <v>0</v>
      </c>
      <c r="AM552" s="53" t="str">
        <f>I552-J552-K552-L552-M552-N552-O552-P552-Q552-R552-S552-T552-U552-V552-W552-X552-Y552-Z552-AA552-AB552-AC552-AD552-AE552-AF552-AG552+AH552-AI552+AJ552+AK552-AL552</f>
        <v>0</v>
      </c>
      <c r="AN552" s="53"/>
      <c r="AO552" s="27"/>
    </row>
    <row r="553" spans="1:41">
      <c r="A553" s="44">
        <v>525</v>
      </c>
      <c r="B553" s="46" t="s">
        <v>2202</v>
      </c>
      <c r="C553" s="48" t="s">
        <v>2203</v>
      </c>
      <c r="D553" s="51" t="s">
        <v>73</v>
      </c>
      <c r="E553" s="51" t="s">
        <v>2165</v>
      </c>
      <c r="F553" s="54" t="s">
        <v>2204</v>
      </c>
      <c r="G553" s="50">
        <v>3</v>
      </c>
      <c r="H553" s="51" t="s">
        <v>2205</v>
      </c>
      <c r="I553" s="53">
        <v>435500</v>
      </c>
      <c r="J553" s="53">
        <v>0</v>
      </c>
      <c r="K553" s="53">
        <v>22000</v>
      </c>
      <c r="L553" s="53">
        <v>0</v>
      </c>
      <c r="M553" s="53">
        <v>0</v>
      </c>
      <c r="N553" s="53">
        <v>0</v>
      </c>
      <c r="O553" s="53">
        <v>0</v>
      </c>
      <c r="P553" s="53">
        <v>0</v>
      </c>
      <c r="Q553" s="53">
        <v>0</v>
      </c>
      <c r="R553" s="53">
        <v>0</v>
      </c>
      <c r="S553" s="53">
        <v>0</v>
      </c>
      <c r="T553" s="53">
        <v>0</v>
      </c>
      <c r="U553" s="53">
        <v>1100</v>
      </c>
      <c r="V553" s="53">
        <v>0</v>
      </c>
      <c r="W553" s="53">
        <v>0</v>
      </c>
      <c r="X553" s="53">
        <v>0</v>
      </c>
      <c r="Y553" s="53">
        <v>0</v>
      </c>
      <c r="Z553" s="53">
        <v>0</v>
      </c>
      <c r="AA553" s="53">
        <v>0</v>
      </c>
      <c r="AB553" s="53">
        <v>0</v>
      </c>
      <c r="AC553" s="53">
        <v>0</v>
      </c>
      <c r="AD553" s="53">
        <v>0</v>
      </c>
      <c r="AE553" s="53">
        <v>0</v>
      </c>
      <c r="AF553" s="53">
        <v>0</v>
      </c>
      <c r="AG553" s="53">
        <v>0</v>
      </c>
      <c r="AH553" s="53">
        <v>0</v>
      </c>
      <c r="AI553" s="53">
        <v>0</v>
      </c>
      <c r="AJ553" s="53">
        <v>0</v>
      </c>
      <c r="AK553" s="53">
        <v>0</v>
      </c>
      <c r="AL553" s="53">
        <v>0</v>
      </c>
      <c r="AM553" s="53" t="str">
        <f>I553-J553-K553-L553-M553-N553-O553-P553-Q553-R553-S553-T553-U553-V553-W553-X553-Y553-Z553-AA553-AB553-AC553-AD553-AE553-AF553-AG553+AH553-AI553+AJ553+AK553-AL553</f>
        <v>0</v>
      </c>
      <c r="AN553" s="53"/>
      <c r="AO553" s="27"/>
    </row>
    <row r="554" spans="1:41">
      <c r="A554" s="44">
        <v>526</v>
      </c>
      <c r="B554" s="46" t="s">
        <v>2206</v>
      </c>
      <c r="C554" s="48" t="s">
        <v>2207</v>
      </c>
      <c r="D554" s="51" t="s">
        <v>73</v>
      </c>
      <c r="E554" s="51" t="s">
        <v>2165</v>
      </c>
      <c r="F554" s="54" t="s">
        <v>2208</v>
      </c>
      <c r="G554" s="50">
        <v>4</v>
      </c>
      <c r="H554" s="51" t="s">
        <v>2209</v>
      </c>
      <c r="I554" s="53">
        <v>664100</v>
      </c>
      <c r="J554" s="53">
        <v>0</v>
      </c>
      <c r="K554" s="53">
        <v>25000</v>
      </c>
      <c r="L554" s="53">
        <v>0</v>
      </c>
      <c r="M554" s="53">
        <v>0</v>
      </c>
      <c r="N554" s="53">
        <v>0</v>
      </c>
      <c r="O554" s="53">
        <v>0</v>
      </c>
      <c r="P554" s="53">
        <v>0</v>
      </c>
      <c r="Q554" s="53">
        <v>0</v>
      </c>
      <c r="R554" s="53">
        <v>0</v>
      </c>
      <c r="S554" s="53">
        <v>0</v>
      </c>
      <c r="T554" s="53">
        <v>0</v>
      </c>
      <c r="U554" s="53">
        <v>1250</v>
      </c>
      <c r="V554" s="53">
        <v>0</v>
      </c>
      <c r="W554" s="53">
        <v>0</v>
      </c>
      <c r="X554" s="53">
        <v>0</v>
      </c>
      <c r="Y554" s="53">
        <v>0</v>
      </c>
      <c r="Z554" s="53">
        <v>0</v>
      </c>
      <c r="AA554" s="53">
        <v>0</v>
      </c>
      <c r="AB554" s="53">
        <v>0</v>
      </c>
      <c r="AC554" s="53">
        <v>0</v>
      </c>
      <c r="AD554" s="53">
        <v>0</v>
      </c>
      <c r="AE554" s="53">
        <v>0</v>
      </c>
      <c r="AF554" s="53">
        <v>0</v>
      </c>
      <c r="AG554" s="53">
        <v>0</v>
      </c>
      <c r="AH554" s="53">
        <v>0</v>
      </c>
      <c r="AI554" s="53">
        <v>0</v>
      </c>
      <c r="AJ554" s="53">
        <v>0</v>
      </c>
      <c r="AK554" s="53">
        <v>0</v>
      </c>
      <c r="AL554" s="53">
        <v>0</v>
      </c>
      <c r="AM554" s="53" t="str">
        <f>I554-J554-K554-L554-M554-N554-O554-P554-Q554-R554-S554-T554-U554-V554-W554-X554-Y554-Z554-AA554-AB554-AC554-AD554-AE554-AF554-AG554+AH554-AI554+AJ554+AK554-AL554</f>
        <v>0</v>
      </c>
      <c r="AN554" s="53"/>
      <c r="AO554" s="27"/>
    </row>
    <row r="555" spans="1:41">
      <c r="A555" s="44">
        <v>527</v>
      </c>
      <c r="B555" s="46" t="s">
        <v>2210</v>
      </c>
      <c r="C555" s="48" t="s">
        <v>2211</v>
      </c>
      <c r="D555" s="51" t="s">
        <v>73</v>
      </c>
      <c r="E555" s="51" t="s">
        <v>2165</v>
      </c>
      <c r="F555" s="54" t="s">
        <v>2212</v>
      </c>
      <c r="G555" s="50">
        <v>5</v>
      </c>
      <c r="H555" s="51" t="s">
        <v>2213</v>
      </c>
      <c r="I555" s="53">
        <v>1538000</v>
      </c>
      <c r="J555" s="53">
        <v>0</v>
      </c>
      <c r="K555" s="53">
        <v>27000</v>
      </c>
      <c r="L555" s="53">
        <v>0</v>
      </c>
      <c r="M555" s="53">
        <v>0</v>
      </c>
      <c r="N555" s="53">
        <v>0</v>
      </c>
      <c r="O555" s="53">
        <v>0</v>
      </c>
      <c r="P555" s="53">
        <v>0</v>
      </c>
      <c r="Q555" s="53">
        <v>0</v>
      </c>
      <c r="R555" s="53">
        <v>0</v>
      </c>
      <c r="S555" s="53">
        <v>0</v>
      </c>
      <c r="T555" s="53">
        <v>0</v>
      </c>
      <c r="U555" s="53">
        <v>1350</v>
      </c>
      <c r="V555" s="53">
        <v>0</v>
      </c>
      <c r="W555" s="53">
        <v>0</v>
      </c>
      <c r="X555" s="53">
        <v>0</v>
      </c>
      <c r="Y555" s="53">
        <v>0</v>
      </c>
      <c r="Z555" s="53">
        <v>0</v>
      </c>
      <c r="AA555" s="53">
        <v>0</v>
      </c>
      <c r="AB555" s="53">
        <v>0</v>
      </c>
      <c r="AC555" s="53">
        <v>0</v>
      </c>
      <c r="AD555" s="53">
        <v>0</v>
      </c>
      <c r="AE555" s="53">
        <v>0</v>
      </c>
      <c r="AF555" s="53">
        <v>0</v>
      </c>
      <c r="AG555" s="53">
        <v>0</v>
      </c>
      <c r="AH555" s="53">
        <v>0</v>
      </c>
      <c r="AI555" s="53">
        <v>0</v>
      </c>
      <c r="AJ555" s="53">
        <v>0</v>
      </c>
      <c r="AK555" s="53">
        <v>0</v>
      </c>
      <c r="AL555" s="53">
        <v>0</v>
      </c>
      <c r="AM555" s="53" t="str">
        <f>I555-J555-K555-L555-M555-N555-O555-P555-Q555-R555-S555-T555-U555-V555-W555-X555-Y555-Z555-AA555-AB555-AC555-AD555-AE555-AF555-AG555+AH555-AI555+AJ555+AK555-AL555</f>
        <v>0</v>
      </c>
      <c r="AN555" s="53"/>
      <c r="AO555" s="27"/>
    </row>
    <row r="556" spans="1:41">
      <c r="A556" s="44">
        <v>528</v>
      </c>
      <c r="B556" s="46" t="s">
        <v>2214</v>
      </c>
      <c r="C556" s="48" t="s">
        <v>2215</v>
      </c>
      <c r="D556" s="51" t="s">
        <v>73</v>
      </c>
      <c r="E556" s="51" t="s">
        <v>2165</v>
      </c>
      <c r="F556" s="54" t="s">
        <v>2216</v>
      </c>
      <c r="G556" s="50">
        <v>5.8</v>
      </c>
      <c r="H556" s="51" t="s">
        <v>2217</v>
      </c>
      <c r="I556" s="53">
        <v>574100</v>
      </c>
      <c r="J556" s="53">
        <v>0</v>
      </c>
      <c r="K556" s="53">
        <v>31000</v>
      </c>
      <c r="L556" s="53">
        <v>0</v>
      </c>
      <c r="M556" s="53">
        <v>0</v>
      </c>
      <c r="N556" s="53">
        <v>0</v>
      </c>
      <c r="O556" s="53">
        <v>0</v>
      </c>
      <c r="P556" s="53">
        <v>0</v>
      </c>
      <c r="Q556" s="53">
        <v>0</v>
      </c>
      <c r="R556" s="53">
        <v>0</v>
      </c>
      <c r="S556" s="53">
        <v>0</v>
      </c>
      <c r="T556" s="53">
        <v>0</v>
      </c>
      <c r="U556" s="53">
        <v>1550</v>
      </c>
      <c r="V556" s="53">
        <v>0</v>
      </c>
      <c r="W556" s="53">
        <v>0</v>
      </c>
      <c r="X556" s="53">
        <v>0</v>
      </c>
      <c r="Y556" s="53">
        <v>0</v>
      </c>
      <c r="Z556" s="53">
        <v>0</v>
      </c>
      <c r="AA556" s="53">
        <v>0</v>
      </c>
      <c r="AB556" s="53">
        <v>0</v>
      </c>
      <c r="AC556" s="53">
        <v>0</v>
      </c>
      <c r="AD556" s="53">
        <v>0</v>
      </c>
      <c r="AE556" s="53">
        <v>0</v>
      </c>
      <c r="AF556" s="53">
        <v>0</v>
      </c>
      <c r="AG556" s="53">
        <v>0</v>
      </c>
      <c r="AH556" s="53">
        <v>0</v>
      </c>
      <c r="AI556" s="53">
        <v>0</v>
      </c>
      <c r="AJ556" s="53">
        <v>0</v>
      </c>
      <c r="AK556" s="53">
        <v>0</v>
      </c>
      <c r="AL556" s="53">
        <v>0</v>
      </c>
      <c r="AM556" s="53" t="str">
        <f>I556-J556-K556-L556-M556-N556-O556-P556-Q556-R556-S556-T556-U556-V556-W556-X556-Y556-Z556-AA556-AB556-AC556-AD556-AE556-AF556-AG556+AH556-AI556+AJ556+AK556-AL556</f>
        <v>0</v>
      </c>
      <c r="AN556" s="53"/>
      <c r="AO556" s="27"/>
    </row>
    <row r="557" spans="1:41">
      <c r="A557" s="44">
        <v>529</v>
      </c>
      <c r="B557" s="46" t="s">
        <v>2218</v>
      </c>
      <c r="C557" s="48" t="s">
        <v>2219</v>
      </c>
      <c r="D557" s="51" t="s">
        <v>73</v>
      </c>
      <c r="E557" s="51" t="s">
        <v>2165</v>
      </c>
      <c r="F557" s="54" t="s">
        <v>2220</v>
      </c>
      <c r="G557" s="50">
        <v>7</v>
      </c>
      <c r="H557" s="51" t="s">
        <v>2221</v>
      </c>
      <c r="I557" s="53">
        <v>1251000</v>
      </c>
      <c r="J557" s="53">
        <v>0</v>
      </c>
      <c r="K557" s="53">
        <v>35000</v>
      </c>
      <c r="L557" s="53">
        <v>0</v>
      </c>
      <c r="M557" s="53">
        <v>0</v>
      </c>
      <c r="N557" s="53">
        <v>0</v>
      </c>
      <c r="O557" s="53">
        <v>0</v>
      </c>
      <c r="P557" s="53">
        <v>0</v>
      </c>
      <c r="Q557" s="53">
        <v>0</v>
      </c>
      <c r="R557" s="53">
        <v>0</v>
      </c>
      <c r="S557" s="53">
        <v>0</v>
      </c>
      <c r="T557" s="53">
        <v>0</v>
      </c>
      <c r="U557" s="53">
        <v>1750</v>
      </c>
      <c r="V557" s="53">
        <v>0</v>
      </c>
      <c r="W557" s="53">
        <v>0</v>
      </c>
      <c r="X557" s="53">
        <v>0</v>
      </c>
      <c r="Y557" s="53">
        <v>0</v>
      </c>
      <c r="Z557" s="53">
        <v>0</v>
      </c>
      <c r="AA557" s="53">
        <v>0</v>
      </c>
      <c r="AB557" s="53">
        <v>0</v>
      </c>
      <c r="AC557" s="53">
        <v>0</v>
      </c>
      <c r="AD557" s="53">
        <v>0</v>
      </c>
      <c r="AE557" s="53">
        <v>0</v>
      </c>
      <c r="AF557" s="53">
        <v>0</v>
      </c>
      <c r="AG557" s="53">
        <v>0</v>
      </c>
      <c r="AH557" s="53">
        <v>0</v>
      </c>
      <c r="AI557" s="53">
        <v>0</v>
      </c>
      <c r="AJ557" s="53">
        <v>0</v>
      </c>
      <c r="AK557" s="53">
        <v>0</v>
      </c>
      <c r="AL557" s="53">
        <v>0</v>
      </c>
      <c r="AM557" s="53" t="str">
        <f>I557-J557-K557-L557-M557-N557-O557-P557-Q557-R557-S557-T557-U557-V557-W557-X557-Y557-Z557-AA557-AB557-AC557-AD557-AE557-AF557-AG557+AH557-AI557+AJ557+AK557-AL557</f>
        <v>0</v>
      </c>
      <c r="AN557" s="53"/>
      <c r="AO557" s="27"/>
    </row>
    <row r="558" spans="1:41">
      <c r="A558" s="44">
        <v>530</v>
      </c>
      <c r="B558" s="46" t="s">
        <v>2222</v>
      </c>
      <c r="C558" s="48" t="s">
        <v>2223</v>
      </c>
      <c r="D558" s="51" t="s">
        <v>73</v>
      </c>
      <c r="E558" s="51" t="s">
        <v>2165</v>
      </c>
      <c r="F558" s="54" t="s">
        <v>2224</v>
      </c>
      <c r="G558" s="50">
        <v>6</v>
      </c>
      <c r="H558" s="51" t="s">
        <v>2225</v>
      </c>
      <c r="I558" s="53">
        <v>1349000</v>
      </c>
      <c r="J558" s="53">
        <v>0</v>
      </c>
      <c r="K558" s="53">
        <v>31000</v>
      </c>
      <c r="L558" s="53">
        <v>0</v>
      </c>
      <c r="M558" s="53">
        <v>0</v>
      </c>
      <c r="N558" s="53">
        <v>0</v>
      </c>
      <c r="O558" s="53">
        <v>0</v>
      </c>
      <c r="P558" s="53">
        <v>0</v>
      </c>
      <c r="Q558" s="53">
        <v>0</v>
      </c>
      <c r="R558" s="53">
        <v>0</v>
      </c>
      <c r="S558" s="53">
        <v>0</v>
      </c>
      <c r="T558" s="53">
        <v>0</v>
      </c>
      <c r="U558" s="53">
        <v>1550</v>
      </c>
      <c r="V558" s="53">
        <v>0</v>
      </c>
      <c r="W558" s="53">
        <v>0</v>
      </c>
      <c r="X558" s="53">
        <v>0</v>
      </c>
      <c r="Y558" s="53">
        <v>0</v>
      </c>
      <c r="Z558" s="53">
        <v>0</v>
      </c>
      <c r="AA558" s="53">
        <v>0</v>
      </c>
      <c r="AB558" s="53">
        <v>0</v>
      </c>
      <c r="AC558" s="53">
        <v>0</v>
      </c>
      <c r="AD558" s="53">
        <v>0</v>
      </c>
      <c r="AE558" s="53">
        <v>0</v>
      </c>
      <c r="AF558" s="53">
        <v>0</v>
      </c>
      <c r="AG558" s="53">
        <v>0</v>
      </c>
      <c r="AH558" s="53">
        <v>0</v>
      </c>
      <c r="AI558" s="53">
        <v>0</v>
      </c>
      <c r="AJ558" s="53">
        <v>0</v>
      </c>
      <c r="AK558" s="53">
        <v>0</v>
      </c>
      <c r="AL558" s="53">
        <v>0</v>
      </c>
      <c r="AM558" s="53" t="str">
        <f>I558-J558-K558-L558-M558-N558-O558-P558-Q558-R558-S558-T558-U558-V558-W558-X558-Y558-Z558-AA558-AB558-AC558-AD558-AE558-AF558-AG558+AH558-AI558+AJ558+AK558-AL558</f>
        <v>0</v>
      </c>
      <c r="AN558" s="53"/>
      <c r="AO558" s="27"/>
    </row>
    <row r="559" spans="1:41">
      <c r="A559" s="44">
        <v>531</v>
      </c>
      <c r="B559" s="46" t="s">
        <v>2226</v>
      </c>
      <c r="C559" s="48" t="s">
        <v>2227</v>
      </c>
      <c r="D559" s="51" t="s">
        <v>73</v>
      </c>
      <c r="E559" s="51" t="s">
        <v>2165</v>
      </c>
      <c r="F559" s="54" t="s">
        <v>2228</v>
      </c>
      <c r="G559" s="50">
        <v>9</v>
      </c>
      <c r="H559" s="51" t="s">
        <v>2229</v>
      </c>
      <c r="I559" s="53">
        <v>2082100</v>
      </c>
      <c r="J559" s="53">
        <v>0</v>
      </c>
      <c r="K559" s="53">
        <v>40000</v>
      </c>
      <c r="L559" s="53">
        <v>0</v>
      </c>
      <c r="M559" s="53">
        <v>0</v>
      </c>
      <c r="N559" s="53">
        <v>0</v>
      </c>
      <c r="O559" s="53">
        <v>0</v>
      </c>
      <c r="P559" s="53">
        <v>0</v>
      </c>
      <c r="Q559" s="53">
        <v>0</v>
      </c>
      <c r="R559" s="53">
        <v>0</v>
      </c>
      <c r="S559" s="53">
        <v>0</v>
      </c>
      <c r="T559" s="53">
        <v>0</v>
      </c>
      <c r="U559" s="53">
        <v>2000</v>
      </c>
      <c r="V559" s="53">
        <v>0</v>
      </c>
      <c r="W559" s="53">
        <v>0</v>
      </c>
      <c r="X559" s="53">
        <v>0</v>
      </c>
      <c r="Y559" s="53">
        <v>0</v>
      </c>
      <c r="Z559" s="53">
        <v>0</v>
      </c>
      <c r="AA559" s="53">
        <v>0</v>
      </c>
      <c r="AB559" s="53">
        <v>0</v>
      </c>
      <c r="AC559" s="53">
        <v>0</v>
      </c>
      <c r="AD559" s="53">
        <v>0</v>
      </c>
      <c r="AE559" s="53">
        <v>0</v>
      </c>
      <c r="AF559" s="53">
        <v>0</v>
      </c>
      <c r="AG559" s="53">
        <v>0</v>
      </c>
      <c r="AH559" s="53">
        <v>0</v>
      </c>
      <c r="AI559" s="53">
        <v>0</v>
      </c>
      <c r="AJ559" s="53">
        <v>0</v>
      </c>
      <c r="AK559" s="53">
        <v>0</v>
      </c>
      <c r="AL559" s="53">
        <v>0</v>
      </c>
      <c r="AM559" s="53" t="str">
        <f>I559-J559-K559-L559-M559-N559-O559-P559-Q559-R559-S559-T559-U559-V559-W559-X559-Y559-Z559-AA559-AB559-AC559-AD559-AE559-AF559-AG559+AH559-AI559+AJ559+AK559-AL559</f>
        <v>0</v>
      </c>
      <c r="AN559" s="53"/>
      <c r="AO559" s="27"/>
    </row>
    <row r="560" spans="1:41">
      <c r="A560" s="44">
        <v>532</v>
      </c>
      <c r="B560" s="46" t="s">
        <v>2230</v>
      </c>
      <c r="C560" s="48" t="s">
        <v>2231</v>
      </c>
      <c r="D560" s="51" t="s">
        <v>73</v>
      </c>
      <c r="E560" s="51" t="s">
        <v>2232</v>
      </c>
      <c r="F560" s="54" t="s">
        <v>2233</v>
      </c>
      <c r="G560" s="50">
        <v>7</v>
      </c>
      <c r="H560" s="51" t="s">
        <v>2234</v>
      </c>
      <c r="I560" s="53">
        <v>1251000</v>
      </c>
      <c r="J560" s="53">
        <v>0</v>
      </c>
      <c r="K560" s="53">
        <v>35000</v>
      </c>
      <c r="L560" s="53">
        <v>0</v>
      </c>
      <c r="M560" s="53">
        <v>0</v>
      </c>
      <c r="N560" s="53">
        <v>0</v>
      </c>
      <c r="O560" s="53">
        <v>0</v>
      </c>
      <c r="P560" s="53">
        <v>0</v>
      </c>
      <c r="Q560" s="53">
        <v>0</v>
      </c>
      <c r="R560" s="53">
        <v>0</v>
      </c>
      <c r="S560" s="53">
        <v>0</v>
      </c>
      <c r="T560" s="53">
        <v>0</v>
      </c>
      <c r="U560" s="53">
        <v>1750</v>
      </c>
      <c r="V560" s="53">
        <v>0</v>
      </c>
      <c r="W560" s="53">
        <v>0</v>
      </c>
      <c r="X560" s="53">
        <v>0</v>
      </c>
      <c r="Y560" s="53">
        <v>0</v>
      </c>
      <c r="Z560" s="53">
        <v>0</v>
      </c>
      <c r="AA560" s="53">
        <v>0</v>
      </c>
      <c r="AB560" s="53">
        <v>0</v>
      </c>
      <c r="AC560" s="53">
        <v>0</v>
      </c>
      <c r="AD560" s="53">
        <v>0</v>
      </c>
      <c r="AE560" s="53">
        <v>0</v>
      </c>
      <c r="AF560" s="53">
        <v>0</v>
      </c>
      <c r="AG560" s="53">
        <v>0</v>
      </c>
      <c r="AH560" s="53">
        <v>0</v>
      </c>
      <c r="AI560" s="53">
        <v>0</v>
      </c>
      <c r="AJ560" s="53">
        <v>0</v>
      </c>
      <c r="AK560" s="53">
        <v>0</v>
      </c>
      <c r="AL560" s="53">
        <v>0</v>
      </c>
      <c r="AM560" s="53" t="str">
        <f>I560-J560-K560-L560-M560-N560-O560-P560-Q560-R560-S560-T560-U560-V560-W560-X560-Y560-Z560-AA560-AB560-AC560-AD560-AE560-AF560-AG560+AH560-AI560+AJ560+AK560-AL560</f>
        <v>0</v>
      </c>
      <c r="AN560" s="53"/>
      <c r="AO560" s="27"/>
    </row>
    <row r="561" spans="1:41">
      <c r="A561" s="44">
        <v>533</v>
      </c>
      <c r="B561" s="46" t="s">
        <v>2235</v>
      </c>
      <c r="C561" s="48" t="s">
        <v>2236</v>
      </c>
      <c r="D561" s="51" t="s">
        <v>73</v>
      </c>
      <c r="E561" s="51" t="s">
        <v>2232</v>
      </c>
      <c r="F561" s="54" t="s">
        <v>2237</v>
      </c>
      <c r="G561" s="50">
        <v>5</v>
      </c>
      <c r="H561" s="51" t="s">
        <v>2238</v>
      </c>
      <c r="I561" s="53">
        <v>926000</v>
      </c>
      <c r="J561" s="53">
        <v>0</v>
      </c>
      <c r="K561" s="53">
        <v>27000</v>
      </c>
      <c r="L561" s="53">
        <v>0</v>
      </c>
      <c r="M561" s="53">
        <v>0</v>
      </c>
      <c r="N561" s="53">
        <v>0</v>
      </c>
      <c r="O561" s="53">
        <v>0</v>
      </c>
      <c r="P561" s="53">
        <v>0</v>
      </c>
      <c r="Q561" s="53">
        <v>0</v>
      </c>
      <c r="R561" s="53">
        <v>0</v>
      </c>
      <c r="S561" s="53">
        <v>0</v>
      </c>
      <c r="T561" s="53">
        <v>0</v>
      </c>
      <c r="U561" s="53">
        <v>1350</v>
      </c>
      <c r="V561" s="53">
        <v>0</v>
      </c>
      <c r="W561" s="53">
        <v>0</v>
      </c>
      <c r="X561" s="53">
        <v>0</v>
      </c>
      <c r="Y561" s="53">
        <v>0</v>
      </c>
      <c r="Z561" s="53">
        <v>0</v>
      </c>
      <c r="AA561" s="53">
        <v>0</v>
      </c>
      <c r="AB561" s="53">
        <v>0</v>
      </c>
      <c r="AC561" s="53">
        <v>0</v>
      </c>
      <c r="AD561" s="53">
        <v>0</v>
      </c>
      <c r="AE561" s="53">
        <v>0</v>
      </c>
      <c r="AF561" s="53">
        <v>0</v>
      </c>
      <c r="AG561" s="53">
        <v>0</v>
      </c>
      <c r="AH561" s="53">
        <v>0</v>
      </c>
      <c r="AI561" s="53">
        <v>0</v>
      </c>
      <c r="AJ561" s="53">
        <v>0</v>
      </c>
      <c r="AK561" s="53">
        <v>0</v>
      </c>
      <c r="AL561" s="53">
        <v>0</v>
      </c>
      <c r="AM561" s="53" t="str">
        <f>I561-J561-K561-L561-M561-N561-O561-P561-Q561-R561-S561-T561-U561-V561-W561-X561-Y561-Z561-AA561-AB561-AC561-AD561-AE561-AF561-AG561+AH561-AI561+AJ561+AK561-AL561</f>
        <v>0</v>
      </c>
      <c r="AN561" s="53"/>
      <c r="AO561" s="27"/>
    </row>
    <row r="562" spans="1:41">
      <c r="A562" s="44">
        <v>534</v>
      </c>
      <c r="B562" s="46" t="s">
        <v>2239</v>
      </c>
      <c r="C562" s="48" t="s">
        <v>2240</v>
      </c>
      <c r="D562" s="51" t="s">
        <v>73</v>
      </c>
      <c r="E562" s="51" t="s">
        <v>2232</v>
      </c>
      <c r="F562" s="54" t="s">
        <v>2241</v>
      </c>
      <c r="G562" s="50">
        <v>2</v>
      </c>
      <c r="H562" s="51" t="s">
        <v>2242</v>
      </c>
      <c r="I562" s="53">
        <v>304000</v>
      </c>
      <c r="J562" s="53">
        <v>0</v>
      </c>
      <c r="K562" s="53">
        <v>22000</v>
      </c>
      <c r="L562" s="53">
        <v>0</v>
      </c>
      <c r="M562" s="53">
        <v>0</v>
      </c>
      <c r="N562" s="53">
        <v>0</v>
      </c>
      <c r="O562" s="53">
        <v>0</v>
      </c>
      <c r="P562" s="53">
        <v>0</v>
      </c>
      <c r="Q562" s="53">
        <v>0</v>
      </c>
      <c r="R562" s="53">
        <v>0</v>
      </c>
      <c r="S562" s="53">
        <v>0</v>
      </c>
      <c r="T562" s="53">
        <v>0</v>
      </c>
      <c r="U562" s="53">
        <v>1100</v>
      </c>
      <c r="V562" s="53">
        <v>0</v>
      </c>
      <c r="W562" s="53">
        <v>0</v>
      </c>
      <c r="X562" s="53">
        <v>0</v>
      </c>
      <c r="Y562" s="53">
        <v>0</v>
      </c>
      <c r="Z562" s="53">
        <v>0</v>
      </c>
      <c r="AA562" s="53">
        <v>0</v>
      </c>
      <c r="AB562" s="53">
        <v>0</v>
      </c>
      <c r="AC562" s="53">
        <v>0</v>
      </c>
      <c r="AD562" s="53">
        <v>0</v>
      </c>
      <c r="AE562" s="53">
        <v>0</v>
      </c>
      <c r="AF562" s="53">
        <v>0</v>
      </c>
      <c r="AG562" s="53">
        <v>0</v>
      </c>
      <c r="AH562" s="53">
        <v>0</v>
      </c>
      <c r="AI562" s="53">
        <v>0</v>
      </c>
      <c r="AJ562" s="53">
        <v>0</v>
      </c>
      <c r="AK562" s="53">
        <v>0</v>
      </c>
      <c r="AL562" s="53">
        <v>0</v>
      </c>
      <c r="AM562" s="53" t="str">
        <f>I562-J562-K562-L562-M562-N562-O562-P562-Q562-R562-S562-T562-U562-V562-W562-X562-Y562-Z562-AA562-AB562-AC562-AD562-AE562-AF562-AG562+AH562-AI562+AJ562+AK562-AL562</f>
        <v>0</v>
      </c>
      <c r="AN562" s="53"/>
      <c r="AO562" s="27"/>
    </row>
    <row r="563" spans="1:41">
      <c r="A563" s="44">
        <v>535</v>
      </c>
      <c r="B563" s="46" t="s">
        <v>2243</v>
      </c>
      <c r="C563" s="48" t="s">
        <v>2244</v>
      </c>
      <c r="D563" s="51" t="s">
        <v>73</v>
      </c>
      <c r="E563" s="51" t="s">
        <v>2232</v>
      </c>
      <c r="F563" s="54" t="s">
        <v>2245</v>
      </c>
      <c r="G563" s="50">
        <v>5</v>
      </c>
      <c r="H563" s="51" t="s">
        <v>2246</v>
      </c>
      <c r="I563" s="53">
        <v>926000</v>
      </c>
      <c r="J563" s="53">
        <v>0</v>
      </c>
      <c r="K563" s="53">
        <v>27000</v>
      </c>
      <c r="L563" s="53">
        <v>0</v>
      </c>
      <c r="M563" s="53">
        <v>0</v>
      </c>
      <c r="N563" s="53">
        <v>0</v>
      </c>
      <c r="O563" s="53">
        <v>0</v>
      </c>
      <c r="P563" s="53">
        <v>0</v>
      </c>
      <c r="Q563" s="53">
        <v>0</v>
      </c>
      <c r="R563" s="53">
        <v>0</v>
      </c>
      <c r="S563" s="53">
        <v>0</v>
      </c>
      <c r="T563" s="53">
        <v>0</v>
      </c>
      <c r="U563" s="53">
        <v>1350</v>
      </c>
      <c r="V563" s="53">
        <v>0</v>
      </c>
      <c r="W563" s="53">
        <v>0</v>
      </c>
      <c r="X563" s="53">
        <v>0</v>
      </c>
      <c r="Y563" s="53">
        <v>0</v>
      </c>
      <c r="Z563" s="53">
        <v>0</v>
      </c>
      <c r="AA563" s="53">
        <v>0</v>
      </c>
      <c r="AB563" s="53">
        <v>0</v>
      </c>
      <c r="AC563" s="53">
        <v>0</v>
      </c>
      <c r="AD563" s="53">
        <v>0</v>
      </c>
      <c r="AE563" s="53">
        <v>0</v>
      </c>
      <c r="AF563" s="53">
        <v>0</v>
      </c>
      <c r="AG563" s="53">
        <v>0</v>
      </c>
      <c r="AH563" s="53">
        <v>0</v>
      </c>
      <c r="AI563" s="53">
        <v>0</v>
      </c>
      <c r="AJ563" s="53">
        <v>0</v>
      </c>
      <c r="AK563" s="53">
        <v>0</v>
      </c>
      <c r="AL563" s="53">
        <v>0</v>
      </c>
      <c r="AM563" s="53" t="str">
        <f>I563-J563-K563-L563-M563-N563-O563-P563-Q563-R563-S563-T563-U563-V563-W563-X563-Y563-Z563-AA563-AB563-AC563-AD563-AE563-AF563-AG563+AH563-AI563+AJ563+AK563-AL563</f>
        <v>0</v>
      </c>
      <c r="AN563" s="53"/>
      <c r="AO563" s="27"/>
    </row>
    <row r="564" spans="1:41">
      <c r="A564" s="44">
        <v>536</v>
      </c>
      <c r="B564" s="46" t="s">
        <v>2247</v>
      </c>
      <c r="C564" s="48" t="s">
        <v>2248</v>
      </c>
      <c r="D564" s="51" t="s">
        <v>73</v>
      </c>
      <c r="E564" s="51" t="s">
        <v>2232</v>
      </c>
      <c r="F564" s="54" t="s">
        <v>1820</v>
      </c>
      <c r="G564" s="50">
        <v>3</v>
      </c>
      <c r="H564" s="51" t="s">
        <v>2249</v>
      </c>
      <c r="I564" s="53">
        <v>570500</v>
      </c>
      <c r="J564" s="53">
        <v>0</v>
      </c>
      <c r="K564" s="53">
        <v>22000</v>
      </c>
      <c r="L564" s="53">
        <v>0</v>
      </c>
      <c r="M564" s="53">
        <v>0</v>
      </c>
      <c r="N564" s="53">
        <v>0</v>
      </c>
      <c r="O564" s="53">
        <v>0</v>
      </c>
      <c r="P564" s="53">
        <v>0</v>
      </c>
      <c r="Q564" s="53">
        <v>0</v>
      </c>
      <c r="R564" s="53">
        <v>0</v>
      </c>
      <c r="S564" s="53">
        <v>0</v>
      </c>
      <c r="T564" s="53">
        <v>0</v>
      </c>
      <c r="U564" s="53">
        <v>1100</v>
      </c>
      <c r="V564" s="53">
        <v>0</v>
      </c>
      <c r="W564" s="53">
        <v>0</v>
      </c>
      <c r="X564" s="53">
        <v>0</v>
      </c>
      <c r="Y564" s="53">
        <v>0</v>
      </c>
      <c r="Z564" s="53">
        <v>0</v>
      </c>
      <c r="AA564" s="53">
        <v>0</v>
      </c>
      <c r="AB564" s="53">
        <v>0</v>
      </c>
      <c r="AC564" s="53">
        <v>0</v>
      </c>
      <c r="AD564" s="53">
        <v>0</v>
      </c>
      <c r="AE564" s="53">
        <v>0</v>
      </c>
      <c r="AF564" s="53">
        <v>0</v>
      </c>
      <c r="AG564" s="53">
        <v>0</v>
      </c>
      <c r="AH564" s="53">
        <v>0</v>
      </c>
      <c r="AI564" s="53">
        <v>0</v>
      </c>
      <c r="AJ564" s="53">
        <v>0</v>
      </c>
      <c r="AK564" s="53">
        <v>0</v>
      </c>
      <c r="AL564" s="53">
        <v>0</v>
      </c>
      <c r="AM564" s="53" t="str">
        <f>I564-J564-K564-L564-M564-N564-O564-P564-Q564-R564-S564-T564-U564-V564-W564-X564-Y564-Z564-AA564-AB564-AC564-AD564-AE564-AF564-AG564+AH564-AI564+AJ564+AK564-AL564</f>
        <v>0</v>
      </c>
      <c r="AN564" s="53"/>
      <c r="AO564" s="27"/>
    </row>
    <row r="565" spans="1:41">
      <c r="A565" s="44">
        <v>537</v>
      </c>
      <c r="B565" s="46" t="s">
        <v>2250</v>
      </c>
      <c r="C565" s="48" t="s">
        <v>2251</v>
      </c>
      <c r="D565" s="51" t="s">
        <v>73</v>
      </c>
      <c r="E565" s="51" t="s">
        <v>2232</v>
      </c>
      <c r="F565" s="54" t="s">
        <v>2252</v>
      </c>
      <c r="G565" s="50">
        <v>7.5</v>
      </c>
      <c r="H565" s="51" t="s">
        <v>2253</v>
      </c>
      <c r="I565" s="53">
        <v>926000</v>
      </c>
      <c r="J565" s="53">
        <v>0</v>
      </c>
      <c r="K565" s="53">
        <v>39000</v>
      </c>
      <c r="L565" s="53">
        <v>0</v>
      </c>
      <c r="M565" s="53">
        <v>0</v>
      </c>
      <c r="N565" s="53">
        <v>0</v>
      </c>
      <c r="O565" s="53">
        <v>0</v>
      </c>
      <c r="P565" s="53">
        <v>0</v>
      </c>
      <c r="Q565" s="53">
        <v>0</v>
      </c>
      <c r="R565" s="53">
        <v>0</v>
      </c>
      <c r="S565" s="53">
        <v>0</v>
      </c>
      <c r="T565" s="53">
        <v>0</v>
      </c>
      <c r="U565" s="53">
        <v>1950</v>
      </c>
      <c r="V565" s="53">
        <v>0</v>
      </c>
      <c r="W565" s="53">
        <v>0</v>
      </c>
      <c r="X565" s="53">
        <v>0</v>
      </c>
      <c r="Y565" s="53">
        <v>0</v>
      </c>
      <c r="Z565" s="53">
        <v>0</v>
      </c>
      <c r="AA565" s="53">
        <v>0</v>
      </c>
      <c r="AB565" s="53">
        <v>0</v>
      </c>
      <c r="AC565" s="53">
        <v>0</v>
      </c>
      <c r="AD565" s="53">
        <v>0</v>
      </c>
      <c r="AE565" s="53">
        <v>0</v>
      </c>
      <c r="AF565" s="53">
        <v>0</v>
      </c>
      <c r="AG565" s="53">
        <v>0</v>
      </c>
      <c r="AH565" s="53">
        <v>0</v>
      </c>
      <c r="AI565" s="53">
        <v>0</v>
      </c>
      <c r="AJ565" s="53">
        <v>0</v>
      </c>
      <c r="AK565" s="53">
        <v>0</v>
      </c>
      <c r="AL565" s="53">
        <v>0</v>
      </c>
      <c r="AM565" s="53" t="str">
        <f>I565-J565-K565-L565-M565-N565-O565-P565-Q565-R565-S565-T565-U565-V565-W565-X565-Y565-Z565-AA565-AB565-AC565-AD565-AE565-AF565-AG565+AH565-AI565+AJ565+AK565-AL565</f>
        <v>0</v>
      </c>
      <c r="AN565" s="53"/>
      <c r="AO565" s="27"/>
    </row>
    <row r="566" spans="1:41">
      <c r="A566" s="44">
        <v>538</v>
      </c>
      <c r="B566" s="46" t="s">
        <v>2254</v>
      </c>
      <c r="C566" s="48" t="s">
        <v>2255</v>
      </c>
      <c r="D566" s="51" t="s">
        <v>73</v>
      </c>
      <c r="E566" s="51" t="s">
        <v>2232</v>
      </c>
      <c r="F566" s="54" t="s">
        <v>2256</v>
      </c>
      <c r="G566" s="50">
        <v>5</v>
      </c>
      <c r="H566" s="51" t="s">
        <v>2257</v>
      </c>
      <c r="I566" s="53">
        <v>926000</v>
      </c>
      <c r="J566" s="53">
        <v>0</v>
      </c>
      <c r="K566" s="53">
        <v>27000</v>
      </c>
      <c r="L566" s="53">
        <v>0</v>
      </c>
      <c r="M566" s="53">
        <v>0</v>
      </c>
      <c r="N566" s="53">
        <v>0</v>
      </c>
      <c r="O566" s="53">
        <v>0</v>
      </c>
      <c r="P566" s="53">
        <v>0</v>
      </c>
      <c r="Q566" s="53">
        <v>0</v>
      </c>
      <c r="R566" s="53">
        <v>0</v>
      </c>
      <c r="S566" s="53">
        <v>0</v>
      </c>
      <c r="T566" s="53">
        <v>0</v>
      </c>
      <c r="U566" s="53">
        <v>1350</v>
      </c>
      <c r="V566" s="53">
        <v>0</v>
      </c>
      <c r="W566" s="53">
        <v>0</v>
      </c>
      <c r="X566" s="53">
        <v>0</v>
      </c>
      <c r="Y566" s="53">
        <v>0</v>
      </c>
      <c r="Z566" s="53">
        <v>0</v>
      </c>
      <c r="AA566" s="53">
        <v>0</v>
      </c>
      <c r="AB566" s="53">
        <v>0</v>
      </c>
      <c r="AC566" s="53">
        <v>0</v>
      </c>
      <c r="AD566" s="53">
        <v>0</v>
      </c>
      <c r="AE566" s="53">
        <v>0</v>
      </c>
      <c r="AF566" s="53">
        <v>0</v>
      </c>
      <c r="AG566" s="53">
        <v>0</v>
      </c>
      <c r="AH566" s="53">
        <v>0</v>
      </c>
      <c r="AI566" s="53">
        <v>0</v>
      </c>
      <c r="AJ566" s="53">
        <v>0</v>
      </c>
      <c r="AK566" s="53">
        <v>0</v>
      </c>
      <c r="AL566" s="53">
        <v>0</v>
      </c>
      <c r="AM566" s="53" t="str">
        <f>I566-J566-K566-L566-M566-N566-O566-P566-Q566-R566-S566-T566-U566-V566-W566-X566-Y566-Z566-AA566-AB566-AC566-AD566-AE566-AF566-AG566+AH566-AI566+AJ566+AK566-AL566</f>
        <v>0</v>
      </c>
      <c r="AN566" s="53"/>
      <c r="AO566" s="27"/>
    </row>
    <row r="567" spans="1:41">
      <c r="A567" s="44">
        <v>539</v>
      </c>
      <c r="B567" s="46" t="s">
        <v>2258</v>
      </c>
      <c r="C567" s="48" t="s">
        <v>2259</v>
      </c>
      <c r="D567" s="51" t="s">
        <v>73</v>
      </c>
      <c r="E567" s="51" t="s">
        <v>2232</v>
      </c>
      <c r="F567" s="54" t="s">
        <v>1346</v>
      </c>
      <c r="G567" s="50">
        <v>12</v>
      </c>
      <c r="H567" s="51" t="s">
        <v>2260</v>
      </c>
      <c r="I567" s="53">
        <v>2142000</v>
      </c>
      <c r="J567" s="53">
        <v>0</v>
      </c>
      <c r="K567" s="53">
        <v>30000</v>
      </c>
      <c r="L567" s="53">
        <v>0</v>
      </c>
      <c r="M567" s="53">
        <v>0</v>
      </c>
      <c r="N567" s="53">
        <v>0</v>
      </c>
      <c r="O567" s="53">
        <v>0</v>
      </c>
      <c r="P567" s="53">
        <v>0</v>
      </c>
      <c r="Q567" s="53">
        <v>0</v>
      </c>
      <c r="R567" s="53">
        <v>0</v>
      </c>
      <c r="S567" s="53">
        <v>0</v>
      </c>
      <c r="T567" s="53">
        <v>0</v>
      </c>
      <c r="U567" s="53">
        <v>1500</v>
      </c>
      <c r="V567" s="53">
        <v>0</v>
      </c>
      <c r="W567" s="53">
        <v>0</v>
      </c>
      <c r="X567" s="53">
        <v>0</v>
      </c>
      <c r="Y567" s="53">
        <v>0</v>
      </c>
      <c r="Z567" s="53">
        <v>0</v>
      </c>
      <c r="AA567" s="53">
        <v>0</v>
      </c>
      <c r="AB567" s="53">
        <v>0</v>
      </c>
      <c r="AC567" s="53">
        <v>0</v>
      </c>
      <c r="AD567" s="53">
        <v>0</v>
      </c>
      <c r="AE567" s="53">
        <v>0</v>
      </c>
      <c r="AF567" s="53">
        <v>0</v>
      </c>
      <c r="AG567" s="53">
        <v>0</v>
      </c>
      <c r="AH567" s="53">
        <v>0</v>
      </c>
      <c r="AI567" s="53">
        <v>0</v>
      </c>
      <c r="AJ567" s="53">
        <v>0</v>
      </c>
      <c r="AK567" s="53">
        <v>0</v>
      </c>
      <c r="AL567" s="53">
        <v>0</v>
      </c>
      <c r="AM567" s="53" t="str">
        <f>I567-J567-K567-L567-M567-N567-O567-P567-Q567-R567-S567-T567-U567-V567-W567-X567-Y567-Z567-AA567-AB567-AC567-AD567-AE567-AF567-AG567+AH567-AI567+AJ567+AK567-AL567</f>
        <v>0</v>
      </c>
      <c r="AN567" s="53"/>
      <c r="AO567" s="27"/>
    </row>
    <row r="568" spans="1:41">
      <c r="A568" s="44">
        <v>540</v>
      </c>
      <c r="B568" s="46" t="s">
        <v>2261</v>
      </c>
      <c r="C568" s="48" t="s">
        <v>2262</v>
      </c>
      <c r="D568" s="51" t="s">
        <v>73</v>
      </c>
      <c r="E568" s="51" t="s">
        <v>2232</v>
      </c>
      <c r="F568" s="54" t="s">
        <v>1159</v>
      </c>
      <c r="G568" s="50">
        <v>3</v>
      </c>
      <c r="H568" s="51" t="s">
        <v>2263</v>
      </c>
      <c r="I568" s="53">
        <v>570500</v>
      </c>
      <c r="J568" s="53">
        <v>0</v>
      </c>
      <c r="K568" s="53">
        <v>22000</v>
      </c>
      <c r="L568" s="53">
        <v>0</v>
      </c>
      <c r="M568" s="53">
        <v>0</v>
      </c>
      <c r="N568" s="53">
        <v>0</v>
      </c>
      <c r="O568" s="53">
        <v>0</v>
      </c>
      <c r="P568" s="53">
        <v>0</v>
      </c>
      <c r="Q568" s="53">
        <v>0</v>
      </c>
      <c r="R568" s="53">
        <v>0</v>
      </c>
      <c r="S568" s="53">
        <v>0</v>
      </c>
      <c r="T568" s="53">
        <v>0</v>
      </c>
      <c r="U568" s="53">
        <v>1100</v>
      </c>
      <c r="V568" s="53">
        <v>0</v>
      </c>
      <c r="W568" s="53">
        <v>0</v>
      </c>
      <c r="X568" s="53">
        <v>0</v>
      </c>
      <c r="Y568" s="53">
        <v>0</v>
      </c>
      <c r="Z568" s="53">
        <v>0</v>
      </c>
      <c r="AA568" s="53">
        <v>0</v>
      </c>
      <c r="AB568" s="53">
        <v>0</v>
      </c>
      <c r="AC568" s="53">
        <v>0</v>
      </c>
      <c r="AD568" s="53">
        <v>0</v>
      </c>
      <c r="AE568" s="53">
        <v>0</v>
      </c>
      <c r="AF568" s="53">
        <v>0</v>
      </c>
      <c r="AG568" s="53">
        <v>0</v>
      </c>
      <c r="AH568" s="53">
        <v>0</v>
      </c>
      <c r="AI568" s="53">
        <v>0</v>
      </c>
      <c r="AJ568" s="53">
        <v>0</v>
      </c>
      <c r="AK568" s="53">
        <v>0</v>
      </c>
      <c r="AL568" s="53">
        <v>0</v>
      </c>
      <c r="AM568" s="53" t="str">
        <f>I568-J568-K568-L568-M568-N568-O568-P568-Q568-R568-S568-T568-U568-V568-W568-X568-Y568-Z568-AA568-AB568-AC568-AD568-AE568-AF568-AG568+AH568-AI568+AJ568+AK568-AL568</f>
        <v>0</v>
      </c>
      <c r="AN568" s="53"/>
      <c r="AO568" s="27"/>
    </row>
    <row r="569" spans="1:41">
      <c r="A569" s="44">
        <v>541</v>
      </c>
      <c r="B569" s="46" t="s">
        <v>2264</v>
      </c>
      <c r="C569" s="48" t="s">
        <v>2265</v>
      </c>
      <c r="D569" s="51" t="s">
        <v>73</v>
      </c>
      <c r="E569" s="51" t="s">
        <v>2266</v>
      </c>
      <c r="F569" s="54" t="s">
        <v>2267</v>
      </c>
      <c r="G569" s="50">
        <v>8</v>
      </c>
      <c r="H569" s="51" t="s">
        <v>2268</v>
      </c>
      <c r="I569" s="53">
        <v>2369000</v>
      </c>
      <c r="J569" s="53">
        <v>0</v>
      </c>
      <c r="K569" s="53">
        <v>39000</v>
      </c>
      <c r="L569" s="53">
        <v>0</v>
      </c>
      <c r="M569" s="53">
        <v>0</v>
      </c>
      <c r="N569" s="53">
        <v>0</v>
      </c>
      <c r="O569" s="53">
        <v>0</v>
      </c>
      <c r="P569" s="53">
        <v>0</v>
      </c>
      <c r="Q569" s="53">
        <v>0</v>
      </c>
      <c r="R569" s="53">
        <v>0</v>
      </c>
      <c r="S569" s="53">
        <v>0</v>
      </c>
      <c r="T569" s="53">
        <v>0</v>
      </c>
      <c r="U569" s="53">
        <v>1950</v>
      </c>
      <c r="V569" s="53">
        <v>0</v>
      </c>
      <c r="W569" s="53">
        <v>0</v>
      </c>
      <c r="X569" s="53">
        <v>0</v>
      </c>
      <c r="Y569" s="53">
        <v>0</v>
      </c>
      <c r="Z569" s="53">
        <v>0</v>
      </c>
      <c r="AA569" s="53">
        <v>0</v>
      </c>
      <c r="AB569" s="53">
        <v>0</v>
      </c>
      <c r="AC569" s="53">
        <v>0</v>
      </c>
      <c r="AD569" s="53">
        <v>0</v>
      </c>
      <c r="AE569" s="53">
        <v>0</v>
      </c>
      <c r="AF569" s="53">
        <v>0</v>
      </c>
      <c r="AG569" s="53">
        <v>0</v>
      </c>
      <c r="AH569" s="53">
        <v>0</v>
      </c>
      <c r="AI569" s="53">
        <v>0</v>
      </c>
      <c r="AJ569" s="53">
        <v>0</v>
      </c>
      <c r="AK569" s="53">
        <v>0</v>
      </c>
      <c r="AL569" s="53">
        <v>0</v>
      </c>
      <c r="AM569" s="53" t="str">
        <f>I569-J569-K569-L569-M569-N569-O569-P569-Q569-R569-S569-T569-U569-V569-W569-X569-Y569-Z569-AA569-AB569-AC569-AD569-AE569-AF569-AG569+AH569-AI569+AJ569+AK569-AL569</f>
        <v>0</v>
      </c>
      <c r="AN569" s="53"/>
      <c r="AO569" s="27"/>
    </row>
    <row r="570" spans="1:41">
      <c r="A570" s="44">
        <v>542</v>
      </c>
      <c r="B570" s="46" t="s">
        <v>2269</v>
      </c>
      <c r="C570" s="48" t="s">
        <v>2270</v>
      </c>
      <c r="D570" s="51" t="s">
        <v>73</v>
      </c>
      <c r="E570" s="51" t="s">
        <v>2266</v>
      </c>
      <c r="F570" s="54" t="s">
        <v>2271</v>
      </c>
      <c r="G570" s="50">
        <v>8</v>
      </c>
      <c r="H570" s="51" t="s">
        <v>2272</v>
      </c>
      <c r="I570" s="53">
        <v>1440000</v>
      </c>
      <c r="J570" s="53">
        <v>0</v>
      </c>
      <c r="K570" s="53">
        <v>39000</v>
      </c>
      <c r="L570" s="53">
        <v>0</v>
      </c>
      <c r="M570" s="53">
        <v>0</v>
      </c>
      <c r="N570" s="53">
        <v>0</v>
      </c>
      <c r="O570" s="53">
        <v>0</v>
      </c>
      <c r="P570" s="53">
        <v>0</v>
      </c>
      <c r="Q570" s="53">
        <v>0</v>
      </c>
      <c r="R570" s="53">
        <v>0</v>
      </c>
      <c r="S570" s="53">
        <v>0</v>
      </c>
      <c r="T570" s="53">
        <v>0</v>
      </c>
      <c r="U570" s="53">
        <v>1950</v>
      </c>
      <c r="V570" s="53">
        <v>0</v>
      </c>
      <c r="W570" s="53">
        <v>0</v>
      </c>
      <c r="X570" s="53">
        <v>0</v>
      </c>
      <c r="Y570" s="53">
        <v>0</v>
      </c>
      <c r="Z570" s="53">
        <v>0</v>
      </c>
      <c r="AA570" s="53">
        <v>0</v>
      </c>
      <c r="AB570" s="53">
        <v>0</v>
      </c>
      <c r="AC570" s="53">
        <v>0</v>
      </c>
      <c r="AD570" s="53">
        <v>0</v>
      </c>
      <c r="AE570" s="53">
        <v>0</v>
      </c>
      <c r="AF570" s="53">
        <v>0</v>
      </c>
      <c r="AG570" s="53">
        <v>0</v>
      </c>
      <c r="AH570" s="53">
        <v>0</v>
      </c>
      <c r="AI570" s="53">
        <v>0</v>
      </c>
      <c r="AJ570" s="53">
        <v>0</v>
      </c>
      <c r="AK570" s="53">
        <v>0</v>
      </c>
      <c r="AL570" s="53">
        <v>0</v>
      </c>
      <c r="AM570" s="53" t="str">
        <f>I570-J570-K570-L570-M570-N570-O570-P570-Q570-R570-S570-T570-U570-V570-W570-X570-Y570-Z570-AA570-AB570-AC570-AD570-AE570-AF570-AG570+AH570-AI570+AJ570+AK570-AL570</f>
        <v>0</v>
      </c>
      <c r="AN570" s="53"/>
      <c r="AO570" s="27"/>
    </row>
    <row r="571" spans="1:41">
      <c r="A571" s="44">
        <v>543</v>
      </c>
      <c r="B571" s="46" t="s">
        <v>2273</v>
      </c>
      <c r="C571" s="48" t="s">
        <v>2274</v>
      </c>
      <c r="D571" s="51" t="s">
        <v>73</v>
      </c>
      <c r="E571" s="51" t="s">
        <v>2275</v>
      </c>
      <c r="F571" s="54" t="s">
        <v>2276</v>
      </c>
      <c r="G571" s="50">
        <v>1.5</v>
      </c>
      <c r="H571" s="51" t="s">
        <v>2277</v>
      </c>
      <c r="I571" s="53">
        <v>1950000</v>
      </c>
      <c r="J571" s="53">
        <v>0</v>
      </c>
      <c r="K571" s="53">
        <v>22000</v>
      </c>
      <c r="L571" s="53">
        <v>0</v>
      </c>
      <c r="M571" s="53">
        <v>0</v>
      </c>
      <c r="N571" s="53">
        <v>0</v>
      </c>
      <c r="O571" s="53">
        <v>0</v>
      </c>
      <c r="P571" s="53">
        <v>0</v>
      </c>
      <c r="Q571" s="53">
        <v>0</v>
      </c>
      <c r="R571" s="53">
        <v>0</v>
      </c>
      <c r="S571" s="53">
        <v>0</v>
      </c>
      <c r="T571" s="53">
        <v>0</v>
      </c>
      <c r="U571" s="53">
        <v>1100</v>
      </c>
      <c r="V571" s="53">
        <v>0</v>
      </c>
      <c r="W571" s="53">
        <v>0</v>
      </c>
      <c r="X571" s="53">
        <v>0</v>
      </c>
      <c r="Y571" s="53">
        <v>0</v>
      </c>
      <c r="Z571" s="53">
        <v>0</v>
      </c>
      <c r="AA571" s="53">
        <v>0</v>
      </c>
      <c r="AB571" s="53">
        <v>0</v>
      </c>
      <c r="AC571" s="53">
        <v>0</v>
      </c>
      <c r="AD571" s="53">
        <v>0</v>
      </c>
      <c r="AE571" s="53">
        <v>0</v>
      </c>
      <c r="AF571" s="53">
        <v>0</v>
      </c>
      <c r="AG571" s="53">
        <v>0</v>
      </c>
      <c r="AH571" s="53">
        <v>0</v>
      </c>
      <c r="AI571" s="53">
        <v>0</v>
      </c>
      <c r="AJ571" s="53">
        <v>0</v>
      </c>
      <c r="AK571" s="53">
        <v>0</v>
      </c>
      <c r="AL571" s="53">
        <v>0</v>
      </c>
      <c r="AM571" s="53" t="str">
        <f>I571-J571-K571-L571-M571-N571-O571-P571-Q571-R571-S571-T571-U571-V571-W571-X571-Y571-Z571-AA571-AB571-AC571-AD571-AE571-AF571-AG571+AH571-AI571+AJ571+AK571-AL571</f>
        <v>0</v>
      </c>
      <c r="AN571" s="53"/>
      <c r="AO571" s="27"/>
    </row>
    <row r="572" spans="1:41">
      <c r="A572" s="44">
        <v>544</v>
      </c>
      <c r="B572" s="46" t="s">
        <v>2278</v>
      </c>
      <c r="C572" s="48" t="s">
        <v>2279</v>
      </c>
      <c r="D572" s="51" t="s">
        <v>73</v>
      </c>
      <c r="E572" s="51" t="s">
        <v>2275</v>
      </c>
      <c r="F572" s="54" t="s">
        <v>2280</v>
      </c>
      <c r="G572" s="50">
        <v>3</v>
      </c>
      <c r="H572" s="51" t="s">
        <v>2281</v>
      </c>
      <c r="I572" s="53">
        <v>435500</v>
      </c>
      <c r="J572" s="53">
        <v>0</v>
      </c>
      <c r="K572" s="53">
        <v>22000</v>
      </c>
      <c r="L572" s="53">
        <v>0</v>
      </c>
      <c r="M572" s="53">
        <v>0</v>
      </c>
      <c r="N572" s="53">
        <v>0</v>
      </c>
      <c r="O572" s="53">
        <v>0</v>
      </c>
      <c r="P572" s="53">
        <v>0</v>
      </c>
      <c r="Q572" s="53">
        <v>0</v>
      </c>
      <c r="R572" s="53">
        <v>0</v>
      </c>
      <c r="S572" s="53">
        <v>0</v>
      </c>
      <c r="T572" s="53">
        <v>0</v>
      </c>
      <c r="U572" s="53">
        <v>1100</v>
      </c>
      <c r="V572" s="53">
        <v>0</v>
      </c>
      <c r="W572" s="53">
        <v>0</v>
      </c>
      <c r="X572" s="53">
        <v>0</v>
      </c>
      <c r="Y572" s="53">
        <v>0</v>
      </c>
      <c r="Z572" s="53">
        <v>0</v>
      </c>
      <c r="AA572" s="53">
        <v>0</v>
      </c>
      <c r="AB572" s="53">
        <v>0</v>
      </c>
      <c r="AC572" s="53">
        <v>0</v>
      </c>
      <c r="AD572" s="53">
        <v>0</v>
      </c>
      <c r="AE572" s="53">
        <v>0</v>
      </c>
      <c r="AF572" s="53">
        <v>0</v>
      </c>
      <c r="AG572" s="53">
        <v>0</v>
      </c>
      <c r="AH572" s="53">
        <v>0</v>
      </c>
      <c r="AI572" s="53">
        <v>0</v>
      </c>
      <c r="AJ572" s="53">
        <v>0</v>
      </c>
      <c r="AK572" s="53">
        <v>0</v>
      </c>
      <c r="AL572" s="53">
        <v>0</v>
      </c>
      <c r="AM572" s="53" t="str">
        <f>I572-J572-K572-L572-M572-N572-O572-P572-Q572-R572-S572-T572-U572-V572-W572-X572-Y572-Z572-AA572-AB572-AC572-AD572-AE572-AF572-AG572+AH572-AI572+AJ572+AK572-AL572</f>
        <v>0</v>
      </c>
      <c r="AN572" s="53"/>
      <c r="AO572" s="27"/>
    </row>
    <row r="573" spans="1:41">
      <c r="A573" s="44">
        <v>545</v>
      </c>
      <c r="B573" s="46" t="s">
        <v>2282</v>
      </c>
      <c r="C573" s="48" t="s">
        <v>2283</v>
      </c>
      <c r="D573" s="51" t="s">
        <v>73</v>
      </c>
      <c r="E573" s="51" t="s">
        <v>2275</v>
      </c>
      <c r="F573" s="54" t="s">
        <v>2284</v>
      </c>
      <c r="G573" s="50">
        <v>5</v>
      </c>
      <c r="H573" s="51" t="s">
        <v>2285</v>
      </c>
      <c r="I573" s="53">
        <v>575000</v>
      </c>
      <c r="J573" s="53">
        <v>0</v>
      </c>
      <c r="K573" s="53">
        <v>27000</v>
      </c>
      <c r="L573" s="53">
        <v>0</v>
      </c>
      <c r="M573" s="53">
        <v>0</v>
      </c>
      <c r="N573" s="53">
        <v>0</v>
      </c>
      <c r="O573" s="53">
        <v>0</v>
      </c>
      <c r="P573" s="53">
        <v>0</v>
      </c>
      <c r="Q573" s="53">
        <v>0</v>
      </c>
      <c r="R573" s="53">
        <v>0</v>
      </c>
      <c r="S573" s="53">
        <v>0</v>
      </c>
      <c r="T573" s="53">
        <v>0</v>
      </c>
      <c r="U573" s="53">
        <v>1350</v>
      </c>
      <c r="V573" s="53">
        <v>0</v>
      </c>
      <c r="W573" s="53">
        <v>0</v>
      </c>
      <c r="X573" s="53">
        <v>0</v>
      </c>
      <c r="Y573" s="53">
        <v>0</v>
      </c>
      <c r="Z573" s="53">
        <v>0</v>
      </c>
      <c r="AA573" s="53">
        <v>0</v>
      </c>
      <c r="AB573" s="53">
        <v>0</v>
      </c>
      <c r="AC573" s="53">
        <v>0</v>
      </c>
      <c r="AD573" s="53">
        <v>0</v>
      </c>
      <c r="AE573" s="53">
        <v>0</v>
      </c>
      <c r="AF573" s="53">
        <v>0</v>
      </c>
      <c r="AG573" s="53">
        <v>0</v>
      </c>
      <c r="AH573" s="53">
        <v>0</v>
      </c>
      <c r="AI573" s="53">
        <v>0</v>
      </c>
      <c r="AJ573" s="53">
        <v>0</v>
      </c>
      <c r="AK573" s="53">
        <v>0</v>
      </c>
      <c r="AL573" s="53">
        <v>0</v>
      </c>
      <c r="AM573" s="53" t="str">
        <f>I573-J573-K573-L573-M573-N573-O573-P573-Q573-R573-S573-T573-U573-V573-W573-X573-Y573-Z573-AA573-AB573-AC573-AD573-AE573-AF573-AG573+AH573-AI573+AJ573+AK573-AL573</f>
        <v>0</v>
      </c>
      <c r="AN573" s="53"/>
      <c r="AO573" s="27"/>
    </row>
    <row r="574" spans="1:41">
      <c r="A574" s="44">
        <v>546</v>
      </c>
      <c r="B574" s="46" t="s">
        <v>2286</v>
      </c>
      <c r="C574" s="48" t="s">
        <v>2287</v>
      </c>
      <c r="D574" s="51" t="s">
        <v>73</v>
      </c>
      <c r="E574" s="51" t="s">
        <v>2275</v>
      </c>
      <c r="F574" s="54" t="s">
        <v>2288</v>
      </c>
      <c r="G574" s="50">
        <v>3</v>
      </c>
      <c r="H574" s="51" t="s">
        <v>2289</v>
      </c>
      <c r="I574" s="53">
        <v>794000</v>
      </c>
      <c r="J574" s="53">
        <v>0</v>
      </c>
      <c r="K574" s="53">
        <v>22000</v>
      </c>
      <c r="L574" s="53">
        <v>0</v>
      </c>
      <c r="M574" s="53">
        <v>0</v>
      </c>
      <c r="N574" s="53">
        <v>0</v>
      </c>
      <c r="O574" s="53">
        <v>0</v>
      </c>
      <c r="P574" s="53">
        <v>0</v>
      </c>
      <c r="Q574" s="53">
        <v>0</v>
      </c>
      <c r="R574" s="53">
        <v>0</v>
      </c>
      <c r="S574" s="53">
        <v>0</v>
      </c>
      <c r="T574" s="53">
        <v>0</v>
      </c>
      <c r="U574" s="53">
        <v>1100</v>
      </c>
      <c r="V574" s="53">
        <v>0</v>
      </c>
      <c r="W574" s="53">
        <v>0</v>
      </c>
      <c r="X574" s="53">
        <v>0</v>
      </c>
      <c r="Y574" s="53">
        <v>0</v>
      </c>
      <c r="Z574" s="53">
        <v>0</v>
      </c>
      <c r="AA574" s="53">
        <v>0</v>
      </c>
      <c r="AB574" s="53">
        <v>0</v>
      </c>
      <c r="AC574" s="53">
        <v>0</v>
      </c>
      <c r="AD574" s="53">
        <v>0</v>
      </c>
      <c r="AE574" s="53">
        <v>0</v>
      </c>
      <c r="AF574" s="53">
        <v>0</v>
      </c>
      <c r="AG574" s="53">
        <v>0</v>
      </c>
      <c r="AH574" s="53">
        <v>0</v>
      </c>
      <c r="AI574" s="53">
        <v>0</v>
      </c>
      <c r="AJ574" s="53">
        <v>0</v>
      </c>
      <c r="AK574" s="53">
        <v>0</v>
      </c>
      <c r="AL574" s="53">
        <v>0</v>
      </c>
      <c r="AM574" s="53" t="str">
        <f>I574-J574-K574-L574-M574-N574-O574-P574-Q574-R574-S574-T574-U574-V574-W574-X574-Y574-Z574-AA574-AB574-AC574-AD574-AE574-AF574-AG574+AH574-AI574+AJ574+AK574-AL574</f>
        <v>0</v>
      </c>
      <c r="AN574" s="53"/>
      <c r="AO574" s="27"/>
    </row>
    <row r="575" spans="1:41">
      <c r="A575" s="44">
        <v>547</v>
      </c>
      <c r="B575" s="46" t="s">
        <v>2290</v>
      </c>
      <c r="C575" s="48" t="s">
        <v>2291</v>
      </c>
      <c r="D575" s="51" t="s">
        <v>73</v>
      </c>
      <c r="E575" s="51" t="s">
        <v>2275</v>
      </c>
      <c r="F575" s="54" t="s">
        <v>1151</v>
      </c>
      <c r="G575" s="50">
        <v>3</v>
      </c>
      <c r="H575" s="51" t="s">
        <v>2292</v>
      </c>
      <c r="I575" s="53">
        <v>430100</v>
      </c>
      <c r="J575" s="53">
        <v>0</v>
      </c>
      <c r="K575" s="53">
        <v>22000</v>
      </c>
      <c r="L575" s="53">
        <v>0</v>
      </c>
      <c r="M575" s="53">
        <v>0</v>
      </c>
      <c r="N575" s="53">
        <v>0</v>
      </c>
      <c r="O575" s="53">
        <v>0</v>
      </c>
      <c r="P575" s="53">
        <v>0</v>
      </c>
      <c r="Q575" s="53">
        <v>0</v>
      </c>
      <c r="R575" s="53">
        <v>0</v>
      </c>
      <c r="S575" s="53">
        <v>0</v>
      </c>
      <c r="T575" s="53">
        <v>0</v>
      </c>
      <c r="U575" s="53">
        <v>1100</v>
      </c>
      <c r="V575" s="53">
        <v>0</v>
      </c>
      <c r="W575" s="53">
        <v>0</v>
      </c>
      <c r="X575" s="53">
        <v>0</v>
      </c>
      <c r="Y575" s="53">
        <v>0</v>
      </c>
      <c r="Z575" s="53">
        <v>0</v>
      </c>
      <c r="AA575" s="53">
        <v>0</v>
      </c>
      <c r="AB575" s="53">
        <v>0</v>
      </c>
      <c r="AC575" s="53">
        <v>0</v>
      </c>
      <c r="AD575" s="53">
        <v>0</v>
      </c>
      <c r="AE575" s="53">
        <v>0</v>
      </c>
      <c r="AF575" s="53">
        <v>0</v>
      </c>
      <c r="AG575" s="53">
        <v>0</v>
      </c>
      <c r="AH575" s="53">
        <v>0</v>
      </c>
      <c r="AI575" s="53">
        <v>0</v>
      </c>
      <c r="AJ575" s="53">
        <v>0</v>
      </c>
      <c r="AK575" s="53">
        <v>0</v>
      </c>
      <c r="AL575" s="53">
        <v>0</v>
      </c>
      <c r="AM575" s="53" t="str">
        <f>I575-J575-K575-L575-M575-N575-O575-P575-Q575-R575-S575-T575-U575-V575-W575-X575-Y575-Z575-AA575-AB575-AC575-AD575-AE575-AF575-AG575+AH575-AI575+AJ575+AK575-AL575</f>
        <v>0</v>
      </c>
      <c r="AN575" s="53"/>
      <c r="AO575" s="27"/>
    </row>
    <row r="576" spans="1:41">
      <c r="A576" s="44">
        <v>548</v>
      </c>
      <c r="B576" s="46" t="s">
        <v>2293</v>
      </c>
      <c r="C576" s="48" t="s">
        <v>2294</v>
      </c>
      <c r="D576" s="51" t="s">
        <v>73</v>
      </c>
      <c r="E576" s="51" t="s">
        <v>2275</v>
      </c>
      <c r="F576" s="54" t="s">
        <v>2295</v>
      </c>
      <c r="G576" s="50">
        <v>3</v>
      </c>
      <c r="H576" s="51" t="s">
        <v>2296</v>
      </c>
      <c r="I576" s="53">
        <v>604000</v>
      </c>
      <c r="J576" s="53">
        <v>0</v>
      </c>
      <c r="K576" s="53">
        <v>22000</v>
      </c>
      <c r="L576" s="53">
        <v>0</v>
      </c>
      <c r="M576" s="53">
        <v>0</v>
      </c>
      <c r="N576" s="53">
        <v>0</v>
      </c>
      <c r="O576" s="53">
        <v>0</v>
      </c>
      <c r="P576" s="53">
        <v>0</v>
      </c>
      <c r="Q576" s="53">
        <v>0</v>
      </c>
      <c r="R576" s="53">
        <v>0</v>
      </c>
      <c r="S576" s="53">
        <v>0</v>
      </c>
      <c r="T576" s="53">
        <v>0</v>
      </c>
      <c r="U576" s="53">
        <v>1100</v>
      </c>
      <c r="V576" s="53">
        <v>0</v>
      </c>
      <c r="W576" s="53">
        <v>0</v>
      </c>
      <c r="X576" s="53">
        <v>0</v>
      </c>
      <c r="Y576" s="53">
        <v>0</v>
      </c>
      <c r="Z576" s="53">
        <v>0</v>
      </c>
      <c r="AA576" s="53">
        <v>0</v>
      </c>
      <c r="AB576" s="53">
        <v>0</v>
      </c>
      <c r="AC576" s="53">
        <v>0</v>
      </c>
      <c r="AD576" s="53">
        <v>0</v>
      </c>
      <c r="AE576" s="53">
        <v>0</v>
      </c>
      <c r="AF576" s="53">
        <v>0</v>
      </c>
      <c r="AG576" s="53">
        <v>0</v>
      </c>
      <c r="AH576" s="53">
        <v>0</v>
      </c>
      <c r="AI576" s="53">
        <v>0</v>
      </c>
      <c r="AJ576" s="53">
        <v>0</v>
      </c>
      <c r="AK576" s="53">
        <v>0</v>
      </c>
      <c r="AL576" s="53">
        <v>0</v>
      </c>
      <c r="AM576" s="53" t="str">
        <f>I576-J576-K576-L576-M576-N576-O576-P576-Q576-R576-S576-T576-U576-V576-W576-X576-Y576-Z576-AA576-AB576-AC576-AD576-AE576-AF576-AG576+AH576-AI576+AJ576+AK576-AL576</f>
        <v>0</v>
      </c>
      <c r="AN576" s="53"/>
      <c r="AO576" s="27"/>
    </row>
    <row r="577" spans="1:41">
      <c r="A577" s="44">
        <v>549</v>
      </c>
      <c r="B577" s="46" t="s">
        <v>2297</v>
      </c>
      <c r="C577" s="48" t="s">
        <v>2298</v>
      </c>
      <c r="D577" s="51" t="s">
        <v>73</v>
      </c>
      <c r="E577" s="51" t="s">
        <v>2275</v>
      </c>
      <c r="F577" s="54" t="s">
        <v>2299</v>
      </c>
      <c r="G577" s="50">
        <v>5</v>
      </c>
      <c r="H577" s="51" t="s">
        <v>2300</v>
      </c>
      <c r="I577" s="53">
        <v>421100</v>
      </c>
      <c r="J577" s="53">
        <v>0</v>
      </c>
      <c r="K577" s="53">
        <v>27000</v>
      </c>
      <c r="L577" s="53">
        <v>0</v>
      </c>
      <c r="M577" s="53">
        <v>0</v>
      </c>
      <c r="N577" s="53">
        <v>0</v>
      </c>
      <c r="O577" s="53">
        <v>0</v>
      </c>
      <c r="P577" s="53">
        <v>0</v>
      </c>
      <c r="Q577" s="53">
        <v>0</v>
      </c>
      <c r="R577" s="53">
        <v>0</v>
      </c>
      <c r="S577" s="53">
        <v>0</v>
      </c>
      <c r="T577" s="53">
        <v>0</v>
      </c>
      <c r="U577" s="53">
        <v>1350</v>
      </c>
      <c r="V577" s="53">
        <v>0</v>
      </c>
      <c r="W577" s="53">
        <v>0</v>
      </c>
      <c r="X577" s="53">
        <v>0</v>
      </c>
      <c r="Y577" s="53">
        <v>0</v>
      </c>
      <c r="Z577" s="53">
        <v>0</v>
      </c>
      <c r="AA577" s="53">
        <v>0</v>
      </c>
      <c r="AB577" s="53">
        <v>0</v>
      </c>
      <c r="AC577" s="53">
        <v>0</v>
      </c>
      <c r="AD577" s="53">
        <v>0</v>
      </c>
      <c r="AE577" s="53">
        <v>0</v>
      </c>
      <c r="AF577" s="53">
        <v>0</v>
      </c>
      <c r="AG577" s="53">
        <v>0</v>
      </c>
      <c r="AH577" s="53">
        <v>0</v>
      </c>
      <c r="AI577" s="53">
        <v>0</v>
      </c>
      <c r="AJ577" s="53">
        <v>0</v>
      </c>
      <c r="AK577" s="53">
        <v>0</v>
      </c>
      <c r="AL577" s="53">
        <v>0</v>
      </c>
      <c r="AM577" s="53" t="str">
        <f>I577-J577-K577-L577-M577-N577-O577-P577-Q577-R577-S577-T577-U577-V577-W577-X577-Y577-Z577-AA577-AB577-AC577-AD577-AE577-AF577-AG577+AH577-AI577+AJ577+AK577-AL577</f>
        <v>0</v>
      </c>
      <c r="AN577" s="53"/>
      <c r="AO577" s="27"/>
    </row>
    <row r="578" spans="1:41">
      <c r="A578" s="44">
        <v>550</v>
      </c>
      <c r="B578" s="46" t="s">
        <v>2301</v>
      </c>
      <c r="C578" s="48" t="s">
        <v>2302</v>
      </c>
      <c r="D578" s="51" t="s">
        <v>73</v>
      </c>
      <c r="E578" s="51" t="s">
        <v>2275</v>
      </c>
      <c r="F578" s="54" t="s">
        <v>2303</v>
      </c>
      <c r="G578" s="50">
        <v>3</v>
      </c>
      <c r="H578" s="51" t="s">
        <v>2304</v>
      </c>
      <c r="I578" s="53">
        <v>734000</v>
      </c>
      <c r="J578" s="53">
        <v>0</v>
      </c>
      <c r="K578" s="53">
        <v>22000</v>
      </c>
      <c r="L578" s="53">
        <v>0</v>
      </c>
      <c r="M578" s="53">
        <v>0</v>
      </c>
      <c r="N578" s="53">
        <v>0</v>
      </c>
      <c r="O578" s="53">
        <v>0</v>
      </c>
      <c r="P578" s="53">
        <v>0</v>
      </c>
      <c r="Q578" s="53">
        <v>0</v>
      </c>
      <c r="R578" s="53">
        <v>0</v>
      </c>
      <c r="S578" s="53">
        <v>0</v>
      </c>
      <c r="T578" s="53">
        <v>0</v>
      </c>
      <c r="U578" s="53">
        <v>1100</v>
      </c>
      <c r="V578" s="53">
        <v>0</v>
      </c>
      <c r="W578" s="53">
        <v>0</v>
      </c>
      <c r="X578" s="53">
        <v>0</v>
      </c>
      <c r="Y578" s="53">
        <v>0</v>
      </c>
      <c r="Z578" s="53">
        <v>0</v>
      </c>
      <c r="AA578" s="53">
        <v>0</v>
      </c>
      <c r="AB578" s="53">
        <v>0</v>
      </c>
      <c r="AC578" s="53">
        <v>0</v>
      </c>
      <c r="AD578" s="53">
        <v>0</v>
      </c>
      <c r="AE578" s="53">
        <v>0</v>
      </c>
      <c r="AF578" s="53">
        <v>0</v>
      </c>
      <c r="AG578" s="53">
        <v>0</v>
      </c>
      <c r="AH578" s="53">
        <v>0</v>
      </c>
      <c r="AI578" s="53">
        <v>0</v>
      </c>
      <c r="AJ578" s="53">
        <v>0</v>
      </c>
      <c r="AK578" s="53">
        <v>0</v>
      </c>
      <c r="AL578" s="53">
        <v>0</v>
      </c>
      <c r="AM578" s="53" t="str">
        <f>I578-J578-K578-L578-M578-N578-O578-P578-Q578-R578-S578-T578-U578-V578-W578-X578-Y578-Z578-AA578-AB578-AC578-AD578-AE578-AF578-AG578+AH578-AI578+AJ578+AK578-AL578</f>
        <v>0</v>
      </c>
      <c r="AN578" s="53"/>
      <c r="AO578" s="27"/>
    </row>
    <row r="579" spans="1:41">
      <c r="A579" s="44">
        <v>551</v>
      </c>
      <c r="B579" s="46" t="s">
        <v>2305</v>
      </c>
      <c r="C579" s="48" t="s">
        <v>2306</v>
      </c>
      <c r="D579" s="51" t="s">
        <v>73</v>
      </c>
      <c r="E579" s="51" t="s">
        <v>2275</v>
      </c>
      <c r="F579" s="54" t="s">
        <v>2307</v>
      </c>
      <c r="G579" s="50">
        <v>6</v>
      </c>
      <c r="H579" s="51" t="s">
        <v>2308</v>
      </c>
      <c r="I579" s="53">
        <v>585000</v>
      </c>
      <c r="J579" s="53">
        <v>0</v>
      </c>
      <c r="K579" s="53">
        <v>31000</v>
      </c>
      <c r="L579" s="53">
        <v>0</v>
      </c>
      <c r="M579" s="53">
        <v>0</v>
      </c>
      <c r="N579" s="53">
        <v>0</v>
      </c>
      <c r="O579" s="53">
        <v>0</v>
      </c>
      <c r="P579" s="53">
        <v>0</v>
      </c>
      <c r="Q579" s="53">
        <v>0</v>
      </c>
      <c r="R579" s="53">
        <v>0</v>
      </c>
      <c r="S579" s="53">
        <v>0</v>
      </c>
      <c r="T579" s="53">
        <v>0</v>
      </c>
      <c r="U579" s="53">
        <v>1550</v>
      </c>
      <c r="V579" s="53">
        <v>0</v>
      </c>
      <c r="W579" s="53">
        <v>0</v>
      </c>
      <c r="X579" s="53">
        <v>0</v>
      </c>
      <c r="Y579" s="53">
        <v>0</v>
      </c>
      <c r="Z579" s="53">
        <v>0</v>
      </c>
      <c r="AA579" s="53">
        <v>0</v>
      </c>
      <c r="AB579" s="53">
        <v>0</v>
      </c>
      <c r="AC579" s="53">
        <v>0</v>
      </c>
      <c r="AD579" s="53">
        <v>0</v>
      </c>
      <c r="AE579" s="53">
        <v>0</v>
      </c>
      <c r="AF579" s="53">
        <v>0</v>
      </c>
      <c r="AG579" s="53">
        <v>0</v>
      </c>
      <c r="AH579" s="53">
        <v>0</v>
      </c>
      <c r="AI579" s="53">
        <v>0</v>
      </c>
      <c r="AJ579" s="53">
        <v>0</v>
      </c>
      <c r="AK579" s="53">
        <v>0</v>
      </c>
      <c r="AL579" s="53">
        <v>0</v>
      </c>
      <c r="AM579" s="53" t="str">
        <f>I579-J579-K579-L579-M579-N579-O579-P579-Q579-R579-S579-T579-U579-V579-W579-X579-Y579-Z579-AA579-AB579-AC579-AD579-AE579-AF579-AG579+AH579-AI579+AJ579+AK579-AL579</f>
        <v>0</v>
      </c>
      <c r="AN579" s="53"/>
      <c r="AO579" s="27"/>
    </row>
    <row r="580" spans="1:41">
      <c r="A580" s="44">
        <v>552</v>
      </c>
      <c r="B580" s="46" t="s">
        <v>2309</v>
      </c>
      <c r="C580" s="48" t="s">
        <v>2310</v>
      </c>
      <c r="D580" s="51" t="s">
        <v>73</v>
      </c>
      <c r="E580" s="51" t="s">
        <v>2275</v>
      </c>
      <c r="F580" s="54" t="s">
        <v>2056</v>
      </c>
      <c r="G580" s="50">
        <v>2</v>
      </c>
      <c r="H580" s="51" t="s">
        <v>2311</v>
      </c>
      <c r="I580" s="53">
        <v>453500</v>
      </c>
      <c r="J580" s="53">
        <v>0</v>
      </c>
      <c r="K580" s="53">
        <v>22000</v>
      </c>
      <c r="L580" s="53">
        <v>0</v>
      </c>
      <c r="M580" s="53">
        <v>0</v>
      </c>
      <c r="N580" s="53">
        <v>0</v>
      </c>
      <c r="O580" s="53">
        <v>0</v>
      </c>
      <c r="P580" s="53">
        <v>0</v>
      </c>
      <c r="Q580" s="53">
        <v>0</v>
      </c>
      <c r="R580" s="53">
        <v>0</v>
      </c>
      <c r="S580" s="53">
        <v>0</v>
      </c>
      <c r="T580" s="53">
        <v>0</v>
      </c>
      <c r="U580" s="53">
        <v>1100</v>
      </c>
      <c r="V580" s="53">
        <v>0</v>
      </c>
      <c r="W580" s="53">
        <v>0</v>
      </c>
      <c r="X580" s="53">
        <v>0</v>
      </c>
      <c r="Y580" s="53">
        <v>0</v>
      </c>
      <c r="Z580" s="53">
        <v>0</v>
      </c>
      <c r="AA580" s="53">
        <v>0</v>
      </c>
      <c r="AB580" s="53">
        <v>0</v>
      </c>
      <c r="AC580" s="53">
        <v>0</v>
      </c>
      <c r="AD580" s="53">
        <v>0</v>
      </c>
      <c r="AE580" s="53">
        <v>0</v>
      </c>
      <c r="AF580" s="53">
        <v>0</v>
      </c>
      <c r="AG580" s="53">
        <v>0</v>
      </c>
      <c r="AH580" s="53">
        <v>0</v>
      </c>
      <c r="AI580" s="53">
        <v>0</v>
      </c>
      <c r="AJ580" s="53">
        <v>0</v>
      </c>
      <c r="AK580" s="53">
        <v>0</v>
      </c>
      <c r="AL580" s="53">
        <v>0</v>
      </c>
      <c r="AM580" s="53" t="str">
        <f>I580-J580-K580-L580-M580-N580-O580-P580-Q580-R580-S580-T580-U580-V580-W580-X580-Y580-Z580-AA580-AB580-AC580-AD580-AE580-AF580-AG580+AH580-AI580+AJ580+AK580-AL580</f>
        <v>0</v>
      </c>
      <c r="AN580" s="53"/>
      <c r="AO580" s="27"/>
    </row>
    <row r="581" spans="1:41">
      <c r="A581" s="44">
        <v>553</v>
      </c>
      <c r="B581" s="46" t="s">
        <v>2312</v>
      </c>
      <c r="C581" s="48" t="s">
        <v>2313</v>
      </c>
      <c r="D581" s="51" t="s">
        <v>73</v>
      </c>
      <c r="E581" s="51" t="s">
        <v>2275</v>
      </c>
      <c r="F581" s="54" t="s">
        <v>2314</v>
      </c>
      <c r="G581" s="50">
        <v>3</v>
      </c>
      <c r="H581" s="51" t="s">
        <v>2315</v>
      </c>
      <c r="I581" s="53">
        <v>440000</v>
      </c>
      <c r="J581" s="53">
        <v>0</v>
      </c>
      <c r="K581" s="53">
        <v>22000</v>
      </c>
      <c r="L581" s="53">
        <v>0</v>
      </c>
      <c r="M581" s="53">
        <v>0</v>
      </c>
      <c r="N581" s="53">
        <v>0</v>
      </c>
      <c r="O581" s="53">
        <v>0</v>
      </c>
      <c r="P581" s="53">
        <v>0</v>
      </c>
      <c r="Q581" s="53">
        <v>0</v>
      </c>
      <c r="R581" s="53">
        <v>0</v>
      </c>
      <c r="S581" s="53">
        <v>0</v>
      </c>
      <c r="T581" s="53">
        <v>0</v>
      </c>
      <c r="U581" s="53">
        <v>1100</v>
      </c>
      <c r="V581" s="53">
        <v>0</v>
      </c>
      <c r="W581" s="53">
        <v>0</v>
      </c>
      <c r="X581" s="53">
        <v>0</v>
      </c>
      <c r="Y581" s="53">
        <v>0</v>
      </c>
      <c r="Z581" s="53">
        <v>0</v>
      </c>
      <c r="AA581" s="53">
        <v>0</v>
      </c>
      <c r="AB581" s="53">
        <v>0</v>
      </c>
      <c r="AC581" s="53">
        <v>0</v>
      </c>
      <c r="AD581" s="53">
        <v>0</v>
      </c>
      <c r="AE581" s="53">
        <v>0</v>
      </c>
      <c r="AF581" s="53">
        <v>0</v>
      </c>
      <c r="AG581" s="53">
        <v>0</v>
      </c>
      <c r="AH581" s="53">
        <v>0</v>
      </c>
      <c r="AI581" s="53">
        <v>0</v>
      </c>
      <c r="AJ581" s="53">
        <v>0</v>
      </c>
      <c r="AK581" s="53">
        <v>0</v>
      </c>
      <c r="AL581" s="53">
        <v>0</v>
      </c>
      <c r="AM581" s="53" t="str">
        <f>I581-J581-K581-L581-M581-N581-O581-P581-Q581-R581-S581-T581-U581-V581-W581-X581-Y581-Z581-AA581-AB581-AC581-AD581-AE581-AF581-AG581+AH581-AI581+AJ581+AK581-AL581</f>
        <v>0</v>
      </c>
      <c r="AN581" s="53"/>
      <c r="AO581" s="27"/>
    </row>
    <row r="582" spans="1:41">
      <c r="A582" s="44">
        <v>554</v>
      </c>
      <c r="B582" s="46" t="s">
        <v>2316</v>
      </c>
      <c r="C582" s="48" t="s">
        <v>2317</v>
      </c>
      <c r="D582" s="51" t="s">
        <v>73</v>
      </c>
      <c r="E582" s="51" t="s">
        <v>2275</v>
      </c>
      <c r="F582" s="54" t="s">
        <v>2307</v>
      </c>
      <c r="G582" s="50">
        <v>3</v>
      </c>
      <c r="H582" s="51" t="s">
        <v>2318</v>
      </c>
      <c r="I582" s="53">
        <v>410000</v>
      </c>
      <c r="J582" s="53">
        <v>0</v>
      </c>
      <c r="K582" s="53">
        <v>22000</v>
      </c>
      <c r="L582" s="53">
        <v>0</v>
      </c>
      <c r="M582" s="53">
        <v>0</v>
      </c>
      <c r="N582" s="53">
        <v>0</v>
      </c>
      <c r="O582" s="53">
        <v>0</v>
      </c>
      <c r="P582" s="53">
        <v>0</v>
      </c>
      <c r="Q582" s="53">
        <v>0</v>
      </c>
      <c r="R582" s="53">
        <v>0</v>
      </c>
      <c r="S582" s="53">
        <v>0</v>
      </c>
      <c r="T582" s="53">
        <v>0</v>
      </c>
      <c r="U582" s="53">
        <v>1100</v>
      </c>
      <c r="V582" s="53">
        <v>0</v>
      </c>
      <c r="W582" s="53">
        <v>0</v>
      </c>
      <c r="X582" s="53">
        <v>0</v>
      </c>
      <c r="Y582" s="53">
        <v>0</v>
      </c>
      <c r="Z582" s="53">
        <v>0</v>
      </c>
      <c r="AA582" s="53">
        <v>0</v>
      </c>
      <c r="AB582" s="53">
        <v>0</v>
      </c>
      <c r="AC582" s="53">
        <v>0</v>
      </c>
      <c r="AD582" s="53">
        <v>0</v>
      </c>
      <c r="AE582" s="53">
        <v>0</v>
      </c>
      <c r="AF582" s="53">
        <v>0</v>
      </c>
      <c r="AG582" s="53">
        <v>0</v>
      </c>
      <c r="AH582" s="53">
        <v>0</v>
      </c>
      <c r="AI582" s="53">
        <v>0</v>
      </c>
      <c r="AJ582" s="53">
        <v>0</v>
      </c>
      <c r="AK582" s="53">
        <v>0</v>
      </c>
      <c r="AL582" s="53">
        <v>0</v>
      </c>
      <c r="AM582" s="53" t="str">
        <f>I582-J582-K582-L582-M582-N582-O582-P582-Q582-R582-S582-T582-U582-V582-W582-X582-Y582-Z582-AA582-AB582-AC582-AD582-AE582-AF582-AG582+AH582-AI582+AJ582+AK582-AL582</f>
        <v>0</v>
      </c>
      <c r="AN582" s="53"/>
      <c r="AO582" s="27"/>
    </row>
    <row r="583" spans="1:41">
      <c r="A583" s="44">
        <v>555</v>
      </c>
      <c r="B583" s="46" t="s">
        <v>2319</v>
      </c>
      <c r="C583" s="48" t="s">
        <v>2320</v>
      </c>
      <c r="D583" s="51" t="s">
        <v>73</v>
      </c>
      <c r="E583" s="51" t="s">
        <v>2275</v>
      </c>
      <c r="F583" s="54" t="s">
        <v>2321</v>
      </c>
      <c r="G583" s="50">
        <v>5</v>
      </c>
      <c r="H583" s="51" t="s">
        <v>2322</v>
      </c>
      <c r="I583" s="53">
        <v>664100</v>
      </c>
      <c r="J583" s="53">
        <v>0</v>
      </c>
      <c r="K583" s="53">
        <v>27000</v>
      </c>
      <c r="L583" s="53">
        <v>0</v>
      </c>
      <c r="M583" s="53">
        <v>0</v>
      </c>
      <c r="N583" s="53">
        <v>0</v>
      </c>
      <c r="O583" s="53">
        <v>0</v>
      </c>
      <c r="P583" s="53">
        <v>0</v>
      </c>
      <c r="Q583" s="53">
        <v>0</v>
      </c>
      <c r="R583" s="53">
        <v>0</v>
      </c>
      <c r="S583" s="53">
        <v>0</v>
      </c>
      <c r="T583" s="53">
        <v>0</v>
      </c>
      <c r="U583" s="53">
        <v>1350</v>
      </c>
      <c r="V583" s="53">
        <v>0</v>
      </c>
      <c r="W583" s="53">
        <v>0</v>
      </c>
      <c r="X583" s="53">
        <v>0</v>
      </c>
      <c r="Y583" s="53">
        <v>0</v>
      </c>
      <c r="Z583" s="53">
        <v>0</v>
      </c>
      <c r="AA583" s="53">
        <v>0</v>
      </c>
      <c r="AB583" s="53">
        <v>0</v>
      </c>
      <c r="AC583" s="53">
        <v>0</v>
      </c>
      <c r="AD583" s="53">
        <v>0</v>
      </c>
      <c r="AE583" s="53">
        <v>0</v>
      </c>
      <c r="AF583" s="53">
        <v>0</v>
      </c>
      <c r="AG583" s="53">
        <v>0</v>
      </c>
      <c r="AH583" s="53">
        <v>0</v>
      </c>
      <c r="AI583" s="53">
        <v>0</v>
      </c>
      <c r="AJ583" s="53">
        <v>0</v>
      </c>
      <c r="AK583" s="53">
        <v>0</v>
      </c>
      <c r="AL583" s="53">
        <v>0</v>
      </c>
      <c r="AM583" s="53" t="str">
        <f>I583-J583-K583-L583-M583-N583-O583-P583-Q583-R583-S583-T583-U583-V583-W583-X583-Y583-Z583-AA583-AB583-AC583-AD583-AE583-AF583-AG583+AH583-AI583+AJ583+AK583-AL583</f>
        <v>0</v>
      </c>
      <c r="AN583" s="53"/>
      <c r="AO583" s="27"/>
    </row>
    <row r="584" spans="1:41">
      <c r="A584" s="44">
        <v>556</v>
      </c>
      <c r="B584" s="46" t="s">
        <v>2323</v>
      </c>
      <c r="C584" s="48" t="s">
        <v>2324</v>
      </c>
      <c r="D584" s="51" t="s">
        <v>73</v>
      </c>
      <c r="E584" s="51" t="s">
        <v>2275</v>
      </c>
      <c r="F584" s="54" t="s">
        <v>2325</v>
      </c>
      <c r="G584" s="50">
        <v>6</v>
      </c>
      <c r="H584" s="51" t="s">
        <v>2326</v>
      </c>
      <c r="I584" s="53">
        <v>980000</v>
      </c>
      <c r="J584" s="53">
        <v>0</v>
      </c>
      <c r="K584" s="53">
        <v>31000</v>
      </c>
      <c r="L584" s="53">
        <v>0</v>
      </c>
      <c r="M584" s="53">
        <v>0</v>
      </c>
      <c r="N584" s="53">
        <v>0</v>
      </c>
      <c r="O584" s="53">
        <v>0</v>
      </c>
      <c r="P584" s="53">
        <v>0</v>
      </c>
      <c r="Q584" s="53">
        <v>0</v>
      </c>
      <c r="R584" s="53">
        <v>0</v>
      </c>
      <c r="S584" s="53">
        <v>0</v>
      </c>
      <c r="T584" s="53">
        <v>0</v>
      </c>
      <c r="U584" s="53">
        <v>1550</v>
      </c>
      <c r="V584" s="53">
        <v>0</v>
      </c>
      <c r="W584" s="53">
        <v>0</v>
      </c>
      <c r="X584" s="53">
        <v>0</v>
      </c>
      <c r="Y584" s="53">
        <v>0</v>
      </c>
      <c r="Z584" s="53">
        <v>0</v>
      </c>
      <c r="AA584" s="53">
        <v>0</v>
      </c>
      <c r="AB584" s="53">
        <v>0</v>
      </c>
      <c r="AC584" s="53">
        <v>0</v>
      </c>
      <c r="AD584" s="53">
        <v>0</v>
      </c>
      <c r="AE584" s="53">
        <v>0</v>
      </c>
      <c r="AF584" s="53">
        <v>0</v>
      </c>
      <c r="AG584" s="53">
        <v>0</v>
      </c>
      <c r="AH584" s="53">
        <v>0</v>
      </c>
      <c r="AI584" s="53">
        <v>0</v>
      </c>
      <c r="AJ584" s="53">
        <v>0</v>
      </c>
      <c r="AK584" s="53">
        <v>0</v>
      </c>
      <c r="AL584" s="53">
        <v>0</v>
      </c>
      <c r="AM584" s="53" t="str">
        <f>I584-J584-K584-L584-M584-N584-O584-P584-Q584-R584-S584-T584-U584-V584-W584-X584-Y584-Z584-AA584-AB584-AC584-AD584-AE584-AF584-AG584+AH584-AI584+AJ584+AK584-AL584</f>
        <v>0</v>
      </c>
      <c r="AN584" s="53"/>
      <c r="AO584" s="27"/>
    </row>
    <row r="585" spans="1:41">
      <c r="A585" s="44">
        <v>557</v>
      </c>
      <c r="B585" s="46" t="s">
        <v>2327</v>
      </c>
      <c r="C585" s="48" t="s">
        <v>2328</v>
      </c>
      <c r="D585" s="51" t="s">
        <v>73</v>
      </c>
      <c r="E585" s="51" t="s">
        <v>2275</v>
      </c>
      <c r="F585" s="54" t="s">
        <v>2329</v>
      </c>
      <c r="G585" s="50">
        <v>3</v>
      </c>
      <c r="H585" s="51" t="s">
        <v>2330</v>
      </c>
      <c r="I585" s="53">
        <v>566000</v>
      </c>
      <c r="J585" s="53">
        <v>0</v>
      </c>
      <c r="K585" s="53">
        <v>22000</v>
      </c>
      <c r="L585" s="53">
        <v>0</v>
      </c>
      <c r="M585" s="53">
        <v>0</v>
      </c>
      <c r="N585" s="53">
        <v>0</v>
      </c>
      <c r="O585" s="53">
        <v>0</v>
      </c>
      <c r="P585" s="53">
        <v>0</v>
      </c>
      <c r="Q585" s="53">
        <v>0</v>
      </c>
      <c r="R585" s="53">
        <v>0</v>
      </c>
      <c r="S585" s="53">
        <v>0</v>
      </c>
      <c r="T585" s="53">
        <v>0</v>
      </c>
      <c r="U585" s="53">
        <v>1100</v>
      </c>
      <c r="V585" s="53">
        <v>0</v>
      </c>
      <c r="W585" s="53">
        <v>0</v>
      </c>
      <c r="X585" s="53">
        <v>0</v>
      </c>
      <c r="Y585" s="53">
        <v>0</v>
      </c>
      <c r="Z585" s="53">
        <v>0</v>
      </c>
      <c r="AA585" s="53">
        <v>0</v>
      </c>
      <c r="AB585" s="53">
        <v>0</v>
      </c>
      <c r="AC585" s="53">
        <v>0</v>
      </c>
      <c r="AD585" s="53">
        <v>0</v>
      </c>
      <c r="AE585" s="53">
        <v>0</v>
      </c>
      <c r="AF585" s="53">
        <v>0</v>
      </c>
      <c r="AG585" s="53">
        <v>0</v>
      </c>
      <c r="AH585" s="53">
        <v>0</v>
      </c>
      <c r="AI585" s="53">
        <v>0</v>
      </c>
      <c r="AJ585" s="53">
        <v>0</v>
      </c>
      <c r="AK585" s="53">
        <v>0</v>
      </c>
      <c r="AL585" s="53">
        <v>0</v>
      </c>
      <c r="AM585" s="53" t="str">
        <f>I585-J585-K585-L585-M585-N585-O585-P585-Q585-R585-S585-T585-U585-V585-W585-X585-Y585-Z585-AA585-AB585-AC585-AD585-AE585-AF585-AG585+AH585-AI585+AJ585+AK585-AL585</f>
        <v>0</v>
      </c>
      <c r="AN585" s="53"/>
      <c r="AO585" s="27"/>
    </row>
    <row r="586" spans="1:41">
      <c r="A586" s="44">
        <v>558</v>
      </c>
      <c r="B586" s="46" t="s">
        <v>2331</v>
      </c>
      <c r="C586" s="48" t="s">
        <v>2332</v>
      </c>
      <c r="D586" s="51" t="s">
        <v>73</v>
      </c>
      <c r="E586" s="51" t="s">
        <v>2275</v>
      </c>
      <c r="F586" s="54" t="s">
        <v>1250</v>
      </c>
      <c r="G586" s="50">
        <v>5</v>
      </c>
      <c r="H586" s="51" t="s">
        <v>2333</v>
      </c>
      <c r="I586" s="53">
        <v>727100</v>
      </c>
      <c r="J586" s="53">
        <v>0</v>
      </c>
      <c r="K586" s="53">
        <v>27000</v>
      </c>
      <c r="L586" s="53">
        <v>0</v>
      </c>
      <c r="M586" s="53">
        <v>0</v>
      </c>
      <c r="N586" s="53">
        <v>0</v>
      </c>
      <c r="O586" s="53">
        <v>0</v>
      </c>
      <c r="P586" s="53">
        <v>0</v>
      </c>
      <c r="Q586" s="53">
        <v>0</v>
      </c>
      <c r="R586" s="53">
        <v>0</v>
      </c>
      <c r="S586" s="53">
        <v>0</v>
      </c>
      <c r="T586" s="53">
        <v>0</v>
      </c>
      <c r="U586" s="53">
        <v>1350</v>
      </c>
      <c r="V586" s="53">
        <v>0</v>
      </c>
      <c r="W586" s="53">
        <v>0</v>
      </c>
      <c r="X586" s="53">
        <v>0</v>
      </c>
      <c r="Y586" s="53">
        <v>0</v>
      </c>
      <c r="Z586" s="53">
        <v>0</v>
      </c>
      <c r="AA586" s="53">
        <v>0</v>
      </c>
      <c r="AB586" s="53">
        <v>0</v>
      </c>
      <c r="AC586" s="53">
        <v>0</v>
      </c>
      <c r="AD586" s="53">
        <v>0</v>
      </c>
      <c r="AE586" s="53">
        <v>0</v>
      </c>
      <c r="AF586" s="53">
        <v>0</v>
      </c>
      <c r="AG586" s="53">
        <v>0</v>
      </c>
      <c r="AH586" s="53">
        <v>0</v>
      </c>
      <c r="AI586" s="53">
        <v>0</v>
      </c>
      <c r="AJ586" s="53">
        <v>0</v>
      </c>
      <c r="AK586" s="53">
        <v>0</v>
      </c>
      <c r="AL586" s="53">
        <v>0</v>
      </c>
      <c r="AM586" s="53" t="str">
        <f>I586-J586-K586-L586-M586-N586-O586-P586-Q586-R586-S586-T586-U586-V586-W586-X586-Y586-Z586-AA586-AB586-AC586-AD586-AE586-AF586-AG586+AH586-AI586+AJ586+AK586-AL586</f>
        <v>0</v>
      </c>
      <c r="AN586" s="53"/>
      <c r="AO586" s="27"/>
    </row>
    <row r="587" spans="1:41">
      <c r="A587" s="44">
        <v>559</v>
      </c>
      <c r="B587" s="46" t="s">
        <v>2334</v>
      </c>
      <c r="C587" s="48" t="s">
        <v>2335</v>
      </c>
      <c r="D587" s="51" t="s">
        <v>73</v>
      </c>
      <c r="E587" s="51" t="s">
        <v>2275</v>
      </c>
      <c r="F587" s="54" t="s">
        <v>2336</v>
      </c>
      <c r="G587" s="50">
        <v>2</v>
      </c>
      <c r="H587" s="51" t="s">
        <v>2337</v>
      </c>
      <c r="I587" s="53">
        <v>394100</v>
      </c>
      <c r="J587" s="53">
        <v>0</v>
      </c>
      <c r="K587" s="53">
        <v>22000</v>
      </c>
      <c r="L587" s="53">
        <v>0</v>
      </c>
      <c r="M587" s="53">
        <v>0</v>
      </c>
      <c r="N587" s="53">
        <v>0</v>
      </c>
      <c r="O587" s="53">
        <v>0</v>
      </c>
      <c r="P587" s="53">
        <v>0</v>
      </c>
      <c r="Q587" s="53">
        <v>0</v>
      </c>
      <c r="R587" s="53">
        <v>0</v>
      </c>
      <c r="S587" s="53">
        <v>0</v>
      </c>
      <c r="T587" s="53">
        <v>0</v>
      </c>
      <c r="U587" s="53">
        <v>1100</v>
      </c>
      <c r="V587" s="53">
        <v>0</v>
      </c>
      <c r="W587" s="53">
        <v>0</v>
      </c>
      <c r="X587" s="53">
        <v>0</v>
      </c>
      <c r="Y587" s="53">
        <v>0</v>
      </c>
      <c r="Z587" s="53">
        <v>0</v>
      </c>
      <c r="AA587" s="53">
        <v>0</v>
      </c>
      <c r="AB587" s="53">
        <v>0</v>
      </c>
      <c r="AC587" s="53">
        <v>0</v>
      </c>
      <c r="AD587" s="53">
        <v>0</v>
      </c>
      <c r="AE587" s="53">
        <v>0</v>
      </c>
      <c r="AF587" s="53">
        <v>0</v>
      </c>
      <c r="AG587" s="53">
        <v>0</v>
      </c>
      <c r="AH587" s="53">
        <v>0</v>
      </c>
      <c r="AI587" s="53">
        <v>0</v>
      </c>
      <c r="AJ587" s="53">
        <v>0</v>
      </c>
      <c r="AK587" s="53">
        <v>0</v>
      </c>
      <c r="AL587" s="53">
        <v>0</v>
      </c>
      <c r="AM587" s="53" t="str">
        <f>I587-J587-K587-L587-M587-N587-O587-P587-Q587-R587-S587-T587-U587-V587-W587-X587-Y587-Z587-AA587-AB587-AC587-AD587-AE587-AF587-AG587+AH587-AI587+AJ587+AK587-AL587</f>
        <v>0</v>
      </c>
      <c r="AN587" s="53"/>
      <c r="AO587" s="27"/>
    </row>
    <row r="588" spans="1:41">
      <c r="A588" s="44">
        <v>560</v>
      </c>
      <c r="B588" s="46" t="s">
        <v>2338</v>
      </c>
      <c r="C588" s="48" t="s">
        <v>2339</v>
      </c>
      <c r="D588" s="51" t="s">
        <v>73</v>
      </c>
      <c r="E588" s="51" t="s">
        <v>2275</v>
      </c>
      <c r="F588" s="54" t="s">
        <v>2340</v>
      </c>
      <c r="G588" s="50">
        <v>5</v>
      </c>
      <c r="H588" s="51" t="s">
        <v>2341</v>
      </c>
      <c r="I588" s="53">
        <v>1450000</v>
      </c>
      <c r="J588" s="53">
        <v>0</v>
      </c>
      <c r="K588" s="53">
        <v>27000</v>
      </c>
      <c r="L588" s="53">
        <v>0</v>
      </c>
      <c r="M588" s="53">
        <v>0</v>
      </c>
      <c r="N588" s="53">
        <v>0</v>
      </c>
      <c r="O588" s="53">
        <v>0</v>
      </c>
      <c r="P588" s="53">
        <v>0</v>
      </c>
      <c r="Q588" s="53">
        <v>0</v>
      </c>
      <c r="R588" s="53">
        <v>0</v>
      </c>
      <c r="S588" s="53">
        <v>0</v>
      </c>
      <c r="T588" s="53">
        <v>0</v>
      </c>
      <c r="U588" s="53">
        <v>1350</v>
      </c>
      <c r="V588" s="53">
        <v>0</v>
      </c>
      <c r="W588" s="53">
        <v>0</v>
      </c>
      <c r="X588" s="53">
        <v>0</v>
      </c>
      <c r="Y588" s="53">
        <v>0</v>
      </c>
      <c r="Z588" s="53">
        <v>0</v>
      </c>
      <c r="AA588" s="53">
        <v>0</v>
      </c>
      <c r="AB588" s="53">
        <v>0</v>
      </c>
      <c r="AC588" s="53">
        <v>0</v>
      </c>
      <c r="AD588" s="53">
        <v>0</v>
      </c>
      <c r="AE588" s="53">
        <v>0</v>
      </c>
      <c r="AF588" s="53">
        <v>0</v>
      </c>
      <c r="AG588" s="53">
        <v>0</v>
      </c>
      <c r="AH588" s="53">
        <v>0</v>
      </c>
      <c r="AI588" s="53">
        <v>0</v>
      </c>
      <c r="AJ588" s="53">
        <v>0</v>
      </c>
      <c r="AK588" s="53">
        <v>0</v>
      </c>
      <c r="AL588" s="53">
        <v>0</v>
      </c>
      <c r="AM588" s="53" t="str">
        <f>I588-J588-K588-L588-M588-N588-O588-P588-Q588-R588-S588-T588-U588-V588-W588-X588-Y588-Z588-AA588-AB588-AC588-AD588-AE588-AF588-AG588+AH588-AI588+AJ588+AK588-AL588</f>
        <v>0</v>
      </c>
      <c r="AN588" s="53"/>
      <c r="AO588" s="27"/>
    </row>
    <row r="589" spans="1:41">
      <c r="A589" s="44">
        <v>561</v>
      </c>
      <c r="B589" s="46" t="s">
        <v>2342</v>
      </c>
      <c r="C589" s="48" t="s">
        <v>2343</v>
      </c>
      <c r="D589" s="51" t="s">
        <v>73</v>
      </c>
      <c r="E589" s="51" t="s">
        <v>2275</v>
      </c>
      <c r="F589" s="54" t="s">
        <v>2344</v>
      </c>
      <c r="G589" s="50">
        <v>4</v>
      </c>
      <c r="H589" s="51" t="s">
        <v>2345</v>
      </c>
      <c r="I589" s="53">
        <v>1099000</v>
      </c>
      <c r="J589" s="53">
        <v>0</v>
      </c>
      <c r="K589" s="53">
        <v>25000</v>
      </c>
      <c r="L589" s="53">
        <v>0</v>
      </c>
      <c r="M589" s="53">
        <v>0</v>
      </c>
      <c r="N589" s="53">
        <v>0</v>
      </c>
      <c r="O589" s="53">
        <v>0</v>
      </c>
      <c r="P589" s="53">
        <v>0</v>
      </c>
      <c r="Q589" s="53">
        <v>0</v>
      </c>
      <c r="R589" s="53">
        <v>0</v>
      </c>
      <c r="S589" s="53">
        <v>0</v>
      </c>
      <c r="T589" s="53">
        <v>0</v>
      </c>
      <c r="U589" s="53">
        <v>1250</v>
      </c>
      <c r="V589" s="53">
        <v>0</v>
      </c>
      <c r="W589" s="53">
        <v>0</v>
      </c>
      <c r="X589" s="53">
        <v>0</v>
      </c>
      <c r="Y589" s="53">
        <v>0</v>
      </c>
      <c r="Z589" s="53">
        <v>0</v>
      </c>
      <c r="AA589" s="53">
        <v>0</v>
      </c>
      <c r="AB589" s="53">
        <v>0</v>
      </c>
      <c r="AC589" s="53">
        <v>0</v>
      </c>
      <c r="AD589" s="53">
        <v>0</v>
      </c>
      <c r="AE589" s="53">
        <v>0</v>
      </c>
      <c r="AF589" s="53">
        <v>0</v>
      </c>
      <c r="AG589" s="53">
        <v>0</v>
      </c>
      <c r="AH589" s="53">
        <v>0</v>
      </c>
      <c r="AI589" s="53">
        <v>0</v>
      </c>
      <c r="AJ589" s="53">
        <v>0</v>
      </c>
      <c r="AK589" s="53">
        <v>0</v>
      </c>
      <c r="AL589" s="53">
        <v>0</v>
      </c>
      <c r="AM589" s="53" t="str">
        <f>I589-J589-K589-L589-M589-N589-O589-P589-Q589-R589-S589-T589-U589-V589-W589-X589-Y589-Z589-AA589-AB589-AC589-AD589-AE589-AF589-AG589+AH589-AI589+AJ589+AK589-AL589</f>
        <v>0</v>
      </c>
      <c r="AN589" s="53"/>
      <c r="AO589" s="27"/>
    </row>
    <row r="590" spans="1:41">
      <c r="A590" s="44">
        <v>562</v>
      </c>
      <c r="B590" s="46" t="s">
        <v>2346</v>
      </c>
      <c r="C590" s="48" t="s">
        <v>2347</v>
      </c>
      <c r="D590" s="51" t="s">
        <v>73</v>
      </c>
      <c r="E590" s="51" t="s">
        <v>2275</v>
      </c>
      <c r="F590" s="54" t="s">
        <v>2348</v>
      </c>
      <c r="G590" s="50">
        <v>3</v>
      </c>
      <c r="H590" s="51" t="s">
        <v>2349</v>
      </c>
      <c r="I590" s="53">
        <v>630000</v>
      </c>
      <c r="J590" s="53">
        <v>0</v>
      </c>
      <c r="K590" s="53">
        <v>22000</v>
      </c>
      <c r="L590" s="53">
        <v>0</v>
      </c>
      <c r="M590" s="53">
        <v>0</v>
      </c>
      <c r="N590" s="53">
        <v>0</v>
      </c>
      <c r="O590" s="53">
        <v>0</v>
      </c>
      <c r="P590" s="53">
        <v>0</v>
      </c>
      <c r="Q590" s="53">
        <v>0</v>
      </c>
      <c r="R590" s="53">
        <v>0</v>
      </c>
      <c r="S590" s="53">
        <v>0</v>
      </c>
      <c r="T590" s="53">
        <v>0</v>
      </c>
      <c r="U590" s="53">
        <v>1100</v>
      </c>
      <c r="V590" s="53">
        <v>0</v>
      </c>
      <c r="W590" s="53">
        <v>0</v>
      </c>
      <c r="X590" s="53">
        <v>0</v>
      </c>
      <c r="Y590" s="53">
        <v>0</v>
      </c>
      <c r="Z590" s="53">
        <v>0</v>
      </c>
      <c r="AA590" s="53">
        <v>0</v>
      </c>
      <c r="AB590" s="53">
        <v>0</v>
      </c>
      <c r="AC590" s="53">
        <v>0</v>
      </c>
      <c r="AD590" s="53">
        <v>0</v>
      </c>
      <c r="AE590" s="53">
        <v>0</v>
      </c>
      <c r="AF590" s="53">
        <v>0</v>
      </c>
      <c r="AG590" s="53">
        <v>0</v>
      </c>
      <c r="AH590" s="53">
        <v>0</v>
      </c>
      <c r="AI590" s="53">
        <v>0</v>
      </c>
      <c r="AJ590" s="53">
        <v>0</v>
      </c>
      <c r="AK590" s="53">
        <v>0</v>
      </c>
      <c r="AL590" s="53">
        <v>0</v>
      </c>
      <c r="AM590" s="53" t="str">
        <f>I590-J590-K590-L590-M590-N590-O590-P590-Q590-R590-S590-T590-U590-V590-W590-X590-Y590-Z590-AA590-AB590-AC590-AD590-AE590-AF590-AG590+AH590-AI590+AJ590+AK590-AL590</f>
        <v>0</v>
      </c>
      <c r="AN590" s="53"/>
      <c r="AO590" s="27"/>
    </row>
    <row r="591" spans="1:41">
      <c r="A591" s="44">
        <v>563</v>
      </c>
      <c r="B591" s="46" t="s">
        <v>2350</v>
      </c>
      <c r="C591" s="48" t="s">
        <v>2351</v>
      </c>
      <c r="D591" s="51" t="s">
        <v>73</v>
      </c>
      <c r="E591" s="51" t="s">
        <v>2275</v>
      </c>
      <c r="F591" s="54" t="s">
        <v>755</v>
      </c>
      <c r="G591" s="50">
        <v>5.8</v>
      </c>
      <c r="H591" s="51" t="s">
        <v>2352</v>
      </c>
      <c r="I591" s="53">
        <v>574100</v>
      </c>
      <c r="J591" s="53">
        <v>0</v>
      </c>
      <c r="K591" s="53">
        <v>31000</v>
      </c>
      <c r="L591" s="53">
        <v>0</v>
      </c>
      <c r="M591" s="53">
        <v>0</v>
      </c>
      <c r="N591" s="53">
        <v>0</v>
      </c>
      <c r="O591" s="53">
        <v>0</v>
      </c>
      <c r="P591" s="53">
        <v>0</v>
      </c>
      <c r="Q591" s="53">
        <v>0</v>
      </c>
      <c r="R591" s="53">
        <v>0</v>
      </c>
      <c r="S591" s="53">
        <v>0</v>
      </c>
      <c r="T591" s="53">
        <v>0</v>
      </c>
      <c r="U591" s="53">
        <v>1550</v>
      </c>
      <c r="V591" s="53">
        <v>0</v>
      </c>
      <c r="W591" s="53">
        <v>0</v>
      </c>
      <c r="X591" s="53">
        <v>0</v>
      </c>
      <c r="Y591" s="53">
        <v>0</v>
      </c>
      <c r="Z591" s="53">
        <v>0</v>
      </c>
      <c r="AA591" s="53">
        <v>0</v>
      </c>
      <c r="AB591" s="53">
        <v>0</v>
      </c>
      <c r="AC591" s="53">
        <v>0</v>
      </c>
      <c r="AD591" s="53">
        <v>0</v>
      </c>
      <c r="AE591" s="53">
        <v>0</v>
      </c>
      <c r="AF591" s="53">
        <v>0</v>
      </c>
      <c r="AG591" s="53">
        <v>0</v>
      </c>
      <c r="AH591" s="53">
        <v>0</v>
      </c>
      <c r="AI591" s="53">
        <v>0</v>
      </c>
      <c r="AJ591" s="53">
        <v>0</v>
      </c>
      <c r="AK591" s="53">
        <v>0</v>
      </c>
      <c r="AL591" s="53">
        <v>0</v>
      </c>
      <c r="AM591" s="53" t="str">
        <f>I591-J591-K591-L591-M591-N591-O591-P591-Q591-R591-S591-T591-U591-V591-W591-X591-Y591-Z591-AA591-AB591-AC591-AD591-AE591-AF591-AG591+AH591-AI591+AJ591+AK591-AL591</f>
        <v>0</v>
      </c>
      <c r="AN591" s="53"/>
      <c r="AO591" s="27"/>
    </row>
    <row r="592" spans="1:41">
      <c r="A592" s="44">
        <v>564</v>
      </c>
      <c r="B592" s="46" t="s">
        <v>2353</v>
      </c>
      <c r="C592" s="48" t="s">
        <v>2354</v>
      </c>
      <c r="D592" s="51" t="s">
        <v>73</v>
      </c>
      <c r="E592" s="51" t="s">
        <v>2275</v>
      </c>
      <c r="F592" s="54" t="s">
        <v>2355</v>
      </c>
      <c r="G592" s="50">
        <v>3</v>
      </c>
      <c r="H592" s="51" t="s">
        <v>2356</v>
      </c>
      <c r="I592" s="53">
        <v>630000</v>
      </c>
      <c r="J592" s="53">
        <v>0</v>
      </c>
      <c r="K592" s="53">
        <v>22000</v>
      </c>
      <c r="L592" s="53">
        <v>0</v>
      </c>
      <c r="M592" s="53">
        <v>0</v>
      </c>
      <c r="N592" s="53">
        <v>0</v>
      </c>
      <c r="O592" s="53">
        <v>0</v>
      </c>
      <c r="P592" s="53">
        <v>0</v>
      </c>
      <c r="Q592" s="53">
        <v>0</v>
      </c>
      <c r="R592" s="53">
        <v>0</v>
      </c>
      <c r="S592" s="53">
        <v>0</v>
      </c>
      <c r="T592" s="53">
        <v>0</v>
      </c>
      <c r="U592" s="53">
        <v>1100</v>
      </c>
      <c r="V592" s="53">
        <v>0</v>
      </c>
      <c r="W592" s="53">
        <v>0</v>
      </c>
      <c r="X592" s="53">
        <v>0</v>
      </c>
      <c r="Y592" s="53">
        <v>0</v>
      </c>
      <c r="Z592" s="53">
        <v>0</v>
      </c>
      <c r="AA592" s="53">
        <v>0</v>
      </c>
      <c r="AB592" s="53">
        <v>0</v>
      </c>
      <c r="AC592" s="53">
        <v>0</v>
      </c>
      <c r="AD592" s="53">
        <v>0</v>
      </c>
      <c r="AE592" s="53">
        <v>0</v>
      </c>
      <c r="AF592" s="53">
        <v>0</v>
      </c>
      <c r="AG592" s="53">
        <v>0</v>
      </c>
      <c r="AH592" s="53">
        <v>0</v>
      </c>
      <c r="AI592" s="53">
        <v>0</v>
      </c>
      <c r="AJ592" s="53">
        <v>0</v>
      </c>
      <c r="AK592" s="53">
        <v>0</v>
      </c>
      <c r="AL592" s="53">
        <v>0</v>
      </c>
      <c r="AM592" s="53" t="str">
        <f>I592-J592-K592-L592-M592-N592-O592-P592-Q592-R592-S592-T592-U592-V592-W592-X592-Y592-Z592-AA592-AB592-AC592-AD592-AE592-AF592-AG592+AH592-AI592+AJ592+AK592-AL592</f>
        <v>0</v>
      </c>
      <c r="AN592" s="53"/>
      <c r="AO592" s="27"/>
    </row>
    <row r="593" spans="1:41">
      <c r="A593" s="44">
        <v>565</v>
      </c>
      <c r="B593" s="46" t="s">
        <v>2357</v>
      </c>
      <c r="C593" s="48" t="s">
        <v>2358</v>
      </c>
      <c r="D593" s="51" t="s">
        <v>73</v>
      </c>
      <c r="E593" s="51" t="s">
        <v>2275</v>
      </c>
      <c r="F593" s="54" t="s">
        <v>2359</v>
      </c>
      <c r="G593" s="50">
        <v>3</v>
      </c>
      <c r="H593" s="51" t="s">
        <v>2360</v>
      </c>
      <c r="I593" s="53">
        <v>220000</v>
      </c>
      <c r="J593" s="53">
        <v>0</v>
      </c>
      <c r="K593" s="53">
        <v>22000</v>
      </c>
      <c r="L593" s="53">
        <v>0</v>
      </c>
      <c r="M593" s="53">
        <v>0</v>
      </c>
      <c r="N593" s="53">
        <v>0</v>
      </c>
      <c r="O593" s="53">
        <v>0</v>
      </c>
      <c r="P593" s="53">
        <v>0</v>
      </c>
      <c r="Q593" s="53">
        <v>0</v>
      </c>
      <c r="R593" s="53">
        <v>0</v>
      </c>
      <c r="S593" s="53">
        <v>0</v>
      </c>
      <c r="T593" s="53">
        <v>0</v>
      </c>
      <c r="U593" s="53">
        <v>1100</v>
      </c>
      <c r="V593" s="53">
        <v>0</v>
      </c>
      <c r="W593" s="53">
        <v>0</v>
      </c>
      <c r="X593" s="53">
        <v>0</v>
      </c>
      <c r="Y593" s="53">
        <v>0</v>
      </c>
      <c r="Z593" s="53">
        <v>0</v>
      </c>
      <c r="AA593" s="53">
        <v>0</v>
      </c>
      <c r="AB593" s="53">
        <v>0</v>
      </c>
      <c r="AC593" s="53">
        <v>0</v>
      </c>
      <c r="AD593" s="53">
        <v>0</v>
      </c>
      <c r="AE593" s="53">
        <v>0</v>
      </c>
      <c r="AF593" s="53">
        <v>0</v>
      </c>
      <c r="AG593" s="53">
        <v>0</v>
      </c>
      <c r="AH593" s="53">
        <v>0</v>
      </c>
      <c r="AI593" s="53">
        <v>0</v>
      </c>
      <c r="AJ593" s="53">
        <v>0</v>
      </c>
      <c r="AK593" s="53">
        <v>0</v>
      </c>
      <c r="AL593" s="53">
        <v>0</v>
      </c>
      <c r="AM593" s="53" t="str">
        <f>I593-J593-K593-L593-M593-N593-O593-P593-Q593-R593-S593-T593-U593-V593-W593-X593-Y593-Z593-AA593-AB593-AC593-AD593-AE593-AF593-AG593+AH593-AI593+AJ593+AK593-AL593</f>
        <v>0</v>
      </c>
      <c r="AN593" s="53"/>
      <c r="AO593" s="27"/>
    </row>
    <row r="594" spans="1:41">
      <c r="A594" s="44">
        <v>566</v>
      </c>
      <c r="B594" s="46" t="s">
        <v>2361</v>
      </c>
      <c r="C594" s="48" t="s">
        <v>2362</v>
      </c>
      <c r="D594" s="51" t="s">
        <v>73</v>
      </c>
      <c r="E594" s="51" t="s">
        <v>2363</v>
      </c>
      <c r="F594" s="54" t="s">
        <v>2364</v>
      </c>
      <c r="G594" s="50">
        <v>3</v>
      </c>
      <c r="H594" s="51" t="s">
        <v>2365</v>
      </c>
      <c r="I594" s="53">
        <v>201500</v>
      </c>
      <c r="J594" s="53">
        <v>0</v>
      </c>
      <c r="K594" s="53">
        <v>22000</v>
      </c>
      <c r="L594" s="53">
        <v>0</v>
      </c>
      <c r="M594" s="53">
        <v>0</v>
      </c>
      <c r="N594" s="53">
        <v>0</v>
      </c>
      <c r="O594" s="53">
        <v>0</v>
      </c>
      <c r="P594" s="53">
        <v>0</v>
      </c>
      <c r="Q594" s="53">
        <v>0</v>
      </c>
      <c r="R594" s="53">
        <v>0</v>
      </c>
      <c r="S594" s="53">
        <v>0</v>
      </c>
      <c r="T594" s="53">
        <v>0</v>
      </c>
      <c r="U594" s="53">
        <v>1100</v>
      </c>
      <c r="V594" s="53">
        <v>0</v>
      </c>
      <c r="W594" s="53">
        <v>0</v>
      </c>
      <c r="X594" s="53">
        <v>0</v>
      </c>
      <c r="Y594" s="53">
        <v>0</v>
      </c>
      <c r="Z594" s="53">
        <v>0</v>
      </c>
      <c r="AA594" s="53">
        <v>0</v>
      </c>
      <c r="AB594" s="53">
        <v>0</v>
      </c>
      <c r="AC594" s="53">
        <v>0</v>
      </c>
      <c r="AD594" s="53">
        <v>0</v>
      </c>
      <c r="AE594" s="53">
        <v>0</v>
      </c>
      <c r="AF594" s="53">
        <v>0</v>
      </c>
      <c r="AG594" s="53">
        <v>0</v>
      </c>
      <c r="AH594" s="53">
        <v>0</v>
      </c>
      <c r="AI594" s="53">
        <v>0</v>
      </c>
      <c r="AJ594" s="53">
        <v>0</v>
      </c>
      <c r="AK594" s="53">
        <v>0</v>
      </c>
      <c r="AL594" s="53">
        <v>0</v>
      </c>
      <c r="AM594" s="53" t="str">
        <f>I594-J594-K594-L594-M594-N594-O594-P594-Q594-R594-S594-T594-U594-V594-W594-X594-Y594-Z594-AA594-AB594-AC594-AD594-AE594-AF594-AG594+AH594-AI594+AJ594+AK594-AL594</f>
        <v>0</v>
      </c>
      <c r="AN594" s="53"/>
      <c r="AO594" s="27"/>
    </row>
    <row r="595" spans="1:41">
      <c r="A595" s="44">
        <v>567</v>
      </c>
      <c r="B595" s="46" t="s">
        <v>2366</v>
      </c>
      <c r="C595" s="48" t="s">
        <v>2367</v>
      </c>
      <c r="D595" s="51" t="s">
        <v>73</v>
      </c>
      <c r="E595" s="51" t="s">
        <v>2363</v>
      </c>
      <c r="F595" s="54" t="s">
        <v>2307</v>
      </c>
      <c r="G595" s="50">
        <v>3</v>
      </c>
      <c r="H595" s="51" t="s">
        <v>2368</v>
      </c>
      <c r="I595" s="53">
        <v>410000</v>
      </c>
      <c r="J595" s="53">
        <v>0</v>
      </c>
      <c r="K595" s="53">
        <v>22000</v>
      </c>
      <c r="L595" s="53">
        <v>0</v>
      </c>
      <c r="M595" s="53">
        <v>0</v>
      </c>
      <c r="N595" s="53">
        <v>0</v>
      </c>
      <c r="O595" s="53">
        <v>0</v>
      </c>
      <c r="P595" s="53">
        <v>0</v>
      </c>
      <c r="Q595" s="53">
        <v>0</v>
      </c>
      <c r="R595" s="53">
        <v>0</v>
      </c>
      <c r="S595" s="53">
        <v>0</v>
      </c>
      <c r="T595" s="53">
        <v>0</v>
      </c>
      <c r="U595" s="53">
        <v>1100</v>
      </c>
      <c r="V595" s="53">
        <v>0</v>
      </c>
      <c r="W595" s="53">
        <v>0</v>
      </c>
      <c r="X595" s="53">
        <v>0</v>
      </c>
      <c r="Y595" s="53">
        <v>0</v>
      </c>
      <c r="Z595" s="53">
        <v>0</v>
      </c>
      <c r="AA595" s="53">
        <v>0</v>
      </c>
      <c r="AB595" s="53">
        <v>0</v>
      </c>
      <c r="AC595" s="53">
        <v>0</v>
      </c>
      <c r="AD595" s="53">
        <v>0</v>
      </c>
      <c r="AE595" s="53">
        <v>0</v>
      </c>
      <c r="AF595" s="53">
        <v>0</v>
      </c>
      <c r="AG595" s="53">
        <v>0</v>
      </c>
      <c r="AH595" s="53">
        <v>0</v>
      </c>
      <c r="AI595" s="53">
        <v>0</v>
      </c>
      <c r="AJ595" s="53">
        <v>0</v>
      </c>
      <c r="AK595" s="53">
        <v>0</v>
      </c>
      <c r="AL595" s="53">
        <v>0</v>
      </c>
      <c r="AM595" s="53" t="str">
        <f>I595-J595-K595-L595-M595-N595-O595-P595-Q595-R595-S595-T595-U595-V595-W595-X595-Y595-Z595-AA595-AB595-AC595-AD595-AE595-AF595-AG595+AH595-AI595+AJ595+AK595-AL595</f>
        <v>0</v>
      </c>
      <c r="AN595" s="53"/>
      <c r="AO595" s="27"/>
    </row>
    <row r="596" spans="1:41">
      <c r="A596" s="44">
        <v>568</v>
      </c>
      <c r="B596" s="46" t="s">
        <v>2369</v>
      </c>
      <c r="C596" s="48" t="s">
        <v>2370</v>
      </c>
      <c r="D596" s="51" t="s">
        <v>73</v>
      </c>
      <c r="E596" s="51" t="s">
        <v>2363</v>
      </c>
      <c r="F596" s="54" t="s">
        <v>2299</v>
      </c>
      <c r="G596" s="50">
        <v>3</v>
      </c>
      <c r="H596" s="51" t="s">
        <v>2371</v>
      </c>
      <c r="I596" s="53">
        <v>350000</v>
      </c>
      <c r="J596" s="53">
        <v>0</v>
      </c>
      <c r="K596" s="53">
        <v>22000</v>
      </c>
      <c r="L596" s="53">
        <v>0</v>
      </c>
      <c r="M596" s="53">
        <v>0</v>
      </c>
      <c r="N596" s="53">
        <v>0</v>
      </c>
      <c r="O596" s="53">
        <v>0</v>
      </c>
      <c r="P596" s="53">
        <v>0</v>
      </c>
      <c r="Q596" s="53">
        <v>0</v>
      </c>
      <c r="R596" s="53">
        <v>0</v>
      </c>
      <c r="S596" s="53">
        <v>0</v>
      </c>
      <c r="T596" s="53">
        <v>0</v>
      </c>
      <c r="U596" s="53">
        <v>1100</v>
      </c>
      <c r="V596" s="53">
        <v>0</v>
      </c>
      <c r="W596" s="53">
        <v>0</v>
      </c>
      <c r="X596" s="53">
        <v>0</v>
      </c>
      <c r="Y596" s="53">
        <v>0</v>
      </c>
      <c r="Z596" s="53">
        <v>0</v>
      </c>
      <c r="AA596" s="53">
        <v>0</v>
      </c>
      <c r="AB596" s="53">
        <v>0</v>
      </c>
      <c r="AC596" s="53">
        <v>0</v>
      </c>
      <c r="AD596" s="53">
        <v>0</v>
      </c>
      <c r="AE596" s="53">
        <v>0</v>
      </c>
      <c r="AF596" s="53">
        <v>0</v>
      </c>
      <c r="AG596" s="53">
        <v>0</v>
      </c>
      <c r="AH596" s="53">
        <v>0</v>
      </c>
      <c r="AI596" s="53">
        <v>0</v>
      </c>
      <c r="AJ596" s="53">
        <v>0</v>
      </c>
      <c r="AK596" s="53">
        <v>0</v>
      </c>
      <c r="AL596" s="53">
        <v>0</v>
      </c>
      <c r="AM596" s="53" t="str">
        <f>I596-J596-K596-L596-M596-N596-O596-P596-Q596-R596-S596-T596-U596-V596-W596-X596-Y596-Z596-AA596-AB596-AC596-AD596-AE596-AF596-AG596+AH596-AI596+AJ596+AK596-AL596</f>
        <v>0</v>
      </c>
      <c r="AN596" s="53"/>
      <c r="AO596" s="27"/>
    </row>
    <row r="597" spans="1:41">
      <c r="A597" s="44">
        <v>569</v>
      </c>
      <c r="B597" s="46" t="s">
        <v>2372</v>
      </c>
      <c r="C597" s="48" t="s">
        <v>2373</v>
      </c>
      <c r="D597" s="51" t="s">
        <v>73</v>
      </c>
      <c r="E597" s="51" t="s">
        <v>2363</v>
      </c>
      <c r="F597" s="54" t="s">
        <v>2374</v>
      </c>
      <c r="G597" s="50">
        <v>3</v>
      </c>
      <c r="H597" s="51" t="s">
        <v>2375</v>
      </c>
      <c r="I597" s="53">
        <v>234000</v>
      </c>
      <c r="J597" s="53">
        <v>0</v>
      </c>
      <c r="K597" s="53">
        <v>22000</v>
      </c>
      <c r="L597" s="53">
        <v>0</v>
      </c>
      <c r="M597" s="53">
        <v>0</v>
      </c>
      <c r="N597" s="53">
        <v>0</v>
      </c>
      <c r="O597" s="53">
        <v>0</v>
      </c>
      <c r="P597" s="53">
        <v>0</v>
      </c>
      <c r="Q597" s="53">
        <v>0</v>
      </c>
      <c r="R597" s="53">
        <v>0</v>
      </c>
      <c r="S597" s="53">
        <v>0</v>
      </c>
      <c r="T597" s="53">
        <v>0</v>
      </c>
      <c r="U597" s="53">
        <v>1100</v>
      </c>
      <c r="V597" s="53">
        <v>0</v>
      </c>
      <c r="W597" s="53">
        <v>0</v>
      </c>
      <c r="X597" s="53">
        <v>0</v>
      </c>
      <c r="Y597" s="53">
        <v>0</v>
      </c>
      <c r="Z597" s="53">
        <v>0</v>
      </c>
      <c r="AA597" s="53">
        <v>0</v>
      </c>
      <c r="AB597" s="53">
        <v>0</v>
      </c>
      <c r="AC597" s="53">
        <v>0</v>
      </c>
      <c r="AD597" s="53">
        <v>0</v>
      </c>
      <c r="AE597" s="53">
        <v>0</v>
      </c>
      <c r="AF597" s="53">
        <v>0</v>
      </c>
      <c r="AG597" s="53">
        <v>0</v>
      </c>
      <c r="AH597" s="53">
        <v>0</v>
      </c>
      <c r="AI597" s="53">
        <v>0</v>
      </c>
      <c r="AJ597" s="53">
        <v>0</v>
      </c>
      <c r="AK597" s="53">
        <v>0</v>
      </c>
      <c r="AL597" s="53">
        <v>0</v>
      </c>
      <c r="AM597" s="53" t="str">
        <f>I597-J597-K597-L597-M597-N597-O597-P597-Q597-R597-S597-T597-U597-V597-W597-X597-Y597-Z597-AA597-AB597-AC597-AD597-AE597-AF597-AG597+AH597-AI597+AJ597+AK597-AL597</f>
        <v>0</v>
      </c>
      <c r="AN597" s="53"/>
      <c r="AO597" s="27"/>
    </row>
    <row r="598" spans="1:41">
      <c r="A598" s="44">
        <v>570</v>
      </c>
      <c r="B598" s="46" t="s">
        <v>2376</v>
      </c>
      <c r="C598" s="48" t="s">
        <v>2377</v>
      </c>
      <c r="D598" s="51" t="s">
        <v>73</v>
      </c>
      <c r="E598" s="51" t="s">
        <v>2363</v>
      </c>
      <c r="F598" s="54" t="s">
        <v>2378</v>
      </c>
      <c r="G598" s="50">
        <v>8</v>
      </c>
      <c r="H598" s="51" t="s">
        <v>2379</v>
      </c>
      <c r="I598" s="53">
        <v>2100000</v>
      </c>
      <c r="J598" s="53">
        <v>0</v>
      </c>
      <c r="K598" s="53">
        <v>39000</v>
      </c>
      <c r="L598" s="53">
        <v>0</v>
      </c>
      <c r="M598" s="53">
        <v>0</v>
      </c>
      <c r="N598" s="53">
        <v>0</v>
      </c>
      <c r="O598" s="53">
        <v>0</v>
      </c>
      <c r="P598" s="53">
        <v>0</v>
      </c>
      <c r="Q598" s="53">
        <v>0</v>
      </c>
      <c r="R598" s="53">
        <v>0</v>
      </c>
      <c r="S598" s="53">
        <v>0</v>
      </c>
      <c r="T598" s="53">
        <v>0</v>
      </c>
      <c r="U598" s="53">
        <v>1950</v>
      </c>
      <c r="V598" s="53">
        <v>0</v>
      </c>
      <c r="W598" s="53">
        <v>0</v>
      </c>
      <c r="X598" s="53">
        <v>0</v>
      </c>
      <c r="Y598" s="53">
        <v>0</v>
      </c>
      <c r="Z598" s="53">
        <v>0</v>
      </c>
      <c r="AA598" s="53">
        <v>0</v>
      </c>
      <c r="AB598" s="53">
        <v>0</v>
      </c>
      <c r="AC598" s="53">
        <v>0</v>
      </c>
      <c r="AD598" s="53">
        <v>0</v>
      </c>
      <c r="AE598" s="53">
        <v>0</v>
      </c>
      <c r="AF598" s="53">
        <v>0</v>
      </c>
      <c r="AG598" s="53">
        <v>0</v>
      </c>
      <c r="AH598" s="53">
        <v>0</v>
      </c>
      <c r="AI598" s="53">
        <v>0</v>
      </c>
      <c r="AJ598" s="53">
        <v>0</v>
      </c>
      <c r="AK598" s="53">
        <v>0</v>
      </c>
      <c r="AL598" s="53">
        <v>0</v>
      </c>
      <c r="AM598" s="53" t="str">
        <f>I598-J598-K598-L598-M598-N598-O598-P598-Q598-R598-S598-T598-U598-V598-W598-X598-Y598-Z598-AA598-AB598-AC598-AD598-AE598-AF598-AG598+AH598-AI598+AJ598+AK598-AL598</f>
        <v>0</v>
      </c>
      <c r="AN598" s="53"/>
      <c r="AO598" s="27"/>
    </row>
    <row r="599" spans="1:41">
      <c r="A599" s="44">
        <v>571</v>
      </c>
      <c r="B599" s="46" t="s">
        <v>2380</v>
      </c>
      <c r="C599" s="48" t="s">
        <v>2381</v>
      </c>
      <c r="D599" s="51" t="s">
        <v>73</v>
      </c>
      <c r="E599" s="51" t="s">
        <v>2363</v>
      </c>
      <c r="F599" s="54" t="s">
        <v>2382</v>
      </c>
      <c r="G599" s="50">
        <v>3</v>
      </c>
      <c r="H599" s="51" t="s">
        <v>2383</v>
      </c>
      <c r="I599" s="53">
        <v>245000</v>
      </c>
      <c r="J599" s="53">
        <v>0</v>
      </c>
      <c r="K599" s="53">
        <v>22000</v>
      </c>
      <c r="L599" s="53">
        <v>0</v>
      </c>
      <c r="M599" s="53">
        <v>0</v>
      </c>
      <c r="N599" s="53">
        <v>0</v>
      </c>
      <c r="O599" s="53">
        <v>0</v>
      </c>
      <c r="P599" s="53">
        <v>0</v>
      </c>
      <c r="Q599" s="53">
        <v>0</v>
      </c>
      <c r="R599" s="53">
        <v>0</v>
      </c>
      <c r="S599" s="53">
        <v>0</v>
      </c>
      <c r="T599" s="53">
        <v>0</v>
      </c>
      <c r="U599" s="53">
        <v>1100</v>
      </c>
      <c r="V599" s="53">
        <v>0</v>
      </c>
      <c r="W599" s="53">
        <v>0</v>
      </c>
      <c r="X599" s="53">
        <v>0</v>
      </c>
      <c r="Y599" s="53">
        <v>0</v>
      </c>
      <c r="Z599" s="53">
        <v>0</v>
      </c>
      <c r="AA599" s="53">
        <v>0</v>
      </c>
      <c r="AB599" s="53">
        <v>0</v>
      </c>
      <c r="AC599" s="53">
        <v>0</v>
      </c>
      <c r="AD599" s="53">
        <v>0</v>
      </c>
      <c r="AE599" s="53">
        <v>0</v>
      </c>
      <c r="AF599" s="53">
        <v>0</v>
      </c>
      <c r="AG599" s="53">
        <v>0</v>
      </c>
      <c r="AH599" s="53">
        <v>0</v>
      </c>
      <c r="AI599" s="53">
        <v>0</v>
      </c>
      <c r="AJ599" s="53">
        <v>0</v>
      </c>
      <c r="AK599" s="53">
        <v>0</v>
      </c>
      <c r="AL599" s="53">
        <v>0</v>
      </c>
      <c r="AM599" s="53" t="str">
        <f>I599-J599-K599-L599-M599-N599-O599-P599-Q599-R599-S599-T599-U599-V599-W599-X599-Y599-Z599-AA599-AB599-AC599-AD599-AE599-AF599-AG599+AH599-AI599+AJ599+AK599-AL599</f>
        <v>0</v>
      </c>
      <c r="AN599" s="53"/>
      <c r="AO599" s="27"/>
    </row>
    <row r="600" spans="1:41">
      <c r="A600" s="44">
        <v>572</v>
      </c>
      <c r="B600" s="46" t="s">
        <v>2384</v>
      </c>
      <c r="C600" s="48" t="s">
        <v>2385</v>
      </c>
      <c r="D600" s="51" t="s">
        <v>73</v>
      </c>
      <c r="E600" s="51" t="s">
        <v>2363</v>
      </c>
      <c r="F600" s="54" t="s">
        <v>2386</v>
      </c>
      <c r="G600" s="50">
        <v>6</v>
      </c>
      <c r="H600" s="51" t="s">
        <v>2387</v>
      </c>
      <c r="I600" s="53">
        <v>1305000</v>
      </c>
      <c r="J600" s="53">
        <v>0</v>
      </c>
      <c r="K600" s="53">
        <v>31000</v>
      </c>
      <c r="L600" s="53">
        <v>0</v>
      </c>
      <c r="M600" s="53">
        <v>0</v>
      </c>
      <c r="N600" s="53">
        <v>0</v>
      </c>
      <c r="O600" s="53">
        <v>0</v>
      </c>
      <c r="P600" s="53">
        <v>0</v>
      </c>
      <c r="Q600" s="53">
        <v>0</v>
      </c>
      <c r="R600" s="53">
        <v>0</v>
      </c>
      <c r="S600" s="53">
        <v>0</v>
      </c>
      <c r="T600" s="53">
        <v>0</v>
      </c>
      <c r="U600" s="53">
        <v>1550</v>
      </c>
      <c r="V600" s="53">
        <v>0</v>
      </c>
      <c r="W600" s="53">
        <v>0</v>
      </c>
      <c r="X600" s="53">
        <v>0</v>
      </c>
      <c r="Y600" s="53">
        <v>0</v>
      </c>
      <c r="Z600" s="53">
        <v>0</v>
      </c>
      <c r="AA600" s="53">
        <v>0</v>
      </c>
      <c r="AB600" s="53">
        <v>0</v>
      </c>
      <c r="AC600" s="53">
        <v>0</v>
      </c>
      <c r="AD600" s="53">
        <v>0</v>
      </c>
      <c r="AE600" s="53">
        <v>0</v>
      </c>
      <c r="AF600" s="53">
        <v>0</v>
      </c>
      <c r="AG600" s="53">
        <v>0</v>
      </c>
      <c r="AH600" s="53">
        <v>0</v>
      </c>
      <c r="AI600" s="53">
        <v>0</v>
      </c>
      <c r="AJ600" s="53">
        <v>0</v>
      </c>
      <c r="AK600" s="53">
        <v>0</v>
      </c>
      <c r="AL600" s="53">
        <v>0</v>
      </c>
      <c r="AM600" s="53" t="str">
        <f>I600-J600-K600-L600-M600-N600-O600-P600-Q600-R600-S600-T600-U600-V600-W600-X600-Y600-Z600-AA600-AB600-AC600-AD600-AE600-AF600-AG600+AH600-AI600+AJ600+AK600-AL600</f>
        <v>0</v>
      </c>
      <c r="AN600" s="53"/>
      <c r="AO600" s="27"/>
    </row>
    <row r="601" spans="1:41">
      <c r="A601" s="44">
        <v>573</v>
      </c>
      <c r="B601" s="46" t="s">
        <v>2388</v>
      </c>
      <c r="C601" s="48" t="s">
        <v>2389</v>
      </c>
      <c r="D601" s="51" t="s">
        <v>73</v>
      </c>
      <c r="E601" s="51" t="s">
        <v>2363</v>
      </c>
      <c r="F601" s="54" t="s">
        <v>2390</v>
      </c>
      <c r="G601" s="50">
        <v>7</v>
      </c>
      <c r="H601" s="51" t="s">
        <v>2391</v>
      </c>
      <c r="I601" s="53">
        <v>1251000</v>
      </c>
      <c r="J601" s="53">
        <v>0</v>
      </c>
      <c r="K601" s="53">
        <v>35000</v>
      </c>
      <c r="L601" s="53">
        <v>0</v>
      </c>
      <c r="M601" s="53">
        <v>0</v>
      </c>
      <c r="N601" s="53">
        <v>0</v>
      </c>
      <c r="O601" s="53">
        <v>0</v>
      </c>
      <c r="P601" s="53">
        <v>0</v>
      </c>
      <c r="Q601" s="53">
        <v>0</v>
      </c>
      <c r="R601" s="53">
        <v>0</v>
      </c>
      <c r="S601" s="53">
        <v>0</v>
      </c>
      <c r="T601" s="53">
        <v>0</v>
      </c>
      <c r="U601" s="53">
        <v>1750</v>
      </c>
      <c r="V601" s="53">
        <v>0</v>
      </c>
      <c r="W601" s="53">
        <v>0</v>
      </c>
      <c r="X601" s="53">
        <v>0</v>
      </c>
      <c r="Y601" s="53">
        <v>0</v>
      </c>
      <c r="Z601" s="53">
        <v>0</v>
      </c>
      <c r="AA601" s="53">
        <v>0</v>
      </c>
      <c r="AB601" s="53">
        <v>0</v>
      </c>
      <c r="AC601" s="53">
        <v>0</v>
      </c>
      <c r="AD601" s="53">
        <v>0</v>
      </c>
      <c r="AE601" s="53">
        <v>0</v>
      </c>
      <c r="AF601" s="53">
        <v>0</v>
      </c>
      <c r="AG601" s="53">
        <v>0</v>
      </c>
      <c r="AH601" s="53">
        <v>0</v>
      </c>
      <c r="AI601" s="53">
        <v>0</v>
      </c>
      <c r="AJ601" s="53">
        <v>0</v>
      </c>
      <c r="AK601" s="53">
        <v>0</v>
      </c>
      <c r="AL601" s="53">
        <v>0</v>
      </c>
      <c r="AM601" s="53" t="str">
        <f>I601-J601-K601-L601-M601-N601-O601-P601-Q601-R601-S601-T601-U601-V601-W601-X601-Y601-Z601-AA601-AB601-AC601-AD601-AE601-AF601-AG601+AH601-AI601+AJ601+AK601-AL601</f>
        <v>0</v>
      </c>
      <c r="AN601" s="53"/>
      <c r="AO601" s="27"/>
    </row>
    <row r="602" spans="1:41">
      <c r="A602" s="44">
        <v>574</v>
      </c>
      <c r="B602" s="46" t="s">
        <v>2392</v>
      </c>
      <c r="C602" s="48" t="s">
        <v>2393</v>
      </c>
      <c r="D602" s="51" t="s">
        <v>73</v>
      </c>
      <c r="E602" s="51" t="s">
        <v>2363</v>
      </c>
      <c r="F602" s="54" t="s">
        <v>2394</v>
      </c>
      <c r="G602" s="50">
        <v>3</v>
      </c>
      <c r="H602" s="51" t="s">
        <v>2395</v>
      </c>
      <c r="I602" s="53">
        <v>318500</v>
      </c>
      <c r="J602" s="53">
        <v>0</v>
      </c>
      <c r="K602" s="53">
        <v>22000</v>
      </c>
      <c r="L602" s="53">
        <v>0</v>
      </c>
      <c r="M602" s="53">
        <v>0</v>
      </c>
      <c r="N602" s="53">
        <v>0</v>
      </c>
      <c r="O602" s="53">
        <v>0</v>
      </c>
      <c r="P602" s="53">
        <v>0</v>
      </c>
      <c r="Q602" s="53">
        <v>0</v>
      </c>
      <c r="R602" s="53">
        <v>0</v>
      </c>
      <c r="S602" s="53">
        <v>0</v>
      </c>
      <c r="T602" s="53">
        <v>0</v>
      </c>
      <c r="U602" s="53">
        <v>1100</v>
      </c>
      <c r="V602" s="53">
        <v>0</v>
      </c>
      <c r="W602" s="53">
        <v>0</v>
      </c>
      <c r="X602" s="53">
        <v>0</v>
      </c>
      <c r="Y602" s="53">
        <v>0</v>
      </c>
      <c r="Z602" s="53">
        <v>0</v>
      </c>
      <c r="AA602" s="53">
        <v>0</v>
      </c>
      <c r="AB602" s="53">
        <v>0</v>
      </c>
      <c r="AC602" s="53">
        <v>0</v>
      </c>
      <c r="AD602" s="53">
        <v>0</v>
      </c>
      <c r="AE602" s="53">
        <v>0</v>
      </c>
      <c r="AF602" s="53">
        <v>0</v>
      </c>
      <c r="AG602" s="53">
        <v>0</v>
      </c>
      <c r="AH602" s="53">
        <v>0</v>
      </c>
      <c r="AI602" s="53">
        <v>0</v>
      </c>
      <c r="AJ602" s="53">
        <v>0</v>
      </c>
      <c r="AK602" s="53">
        <v>0</v>
      </c>
      <c r="AL602" s="53">
        <v>0</v>
      </c>
      <c r="AM602" s="53" t="str">
        <f>I602-J602-K602-L602-M602-N602-O602-P602-Q602-R602-S602-T602-U602-V602-W602-X602-Y602-Z602-AA602-AB602-AC602-AD602-AE602-AF602-AG602+AH602-AI602+AJ602+AK602-AL602</f>
        <v>0</v>
      </c>
      <c r="AN602" s="53"/>
      <c r="AO602" s="27"/>
    </row>
    <row r="603" spans="1:41">
      <c r="A603" s="44">
        <v>575</v>
      </c>
      <c r="B603" s="46" t="s">
        <v>2396</v>
      </c>
      <c r="C603" s="48" t="s">
        <v>2397</v>
      </c>
      <c r="D603" s="51" t="s">
        <v>73</v>
      </c>
      <c r="E603" s="51" t="s">
        <v>2398</v>
      </c>
      <c r="F603" s="54" t="s">
        <v>654</v>
      </c>
      <c r="G603" s="50">
        <v>4</v>
      </c>
      <c r="H603" s="51" t="s">
        <v>2399</v>
      </c>
      <c r="I603" s="53">
        <v>213000</v>
      </c>
      <c r="J603" s="53">
        <v>0</v>
      </c>
      <c r="K603" s="53">
        <v>25000</v>
      </c>
      <c r="L603" s="53">
        <v>0</v>
      </c>
      <c r="M603" s="53">
        <v>0</v>
      </c>
      <c r="N603" s="53">
        <v>0</v>
      </c>
      <c r="O603" s="53">
        <v>0</v>
      </c>
      <c r="P603" s="53">
        <v>0</v>
      </c>
      <c r="Q603" s="53">
        <v>0</v>
      </c>
      <c r="R603" s="53">
        <v>0</v>
      </c>
      <c r="S603" s="53">
        <v>0</v>
      </c>
      <c r="T603" s="53">
        <v>0</v>
      </c>
      <c r="U603" s="53">
        <v>1250</v>
      </c>
      <c r="V603" s="53">
        <v>0</v>
      </c>
      <c r="W603" s="53">
        <v>0</v>
      </c>
      <c r="X603" s="53">
        <v>0</v>
      </c>
      <c r="Y603" s="53">
        <v>0</v>
      </c>
      <c r="Z603" s="53">
        <v>0</v>
      </c>
      <c r="AA603" s="53">
        <v>0</v>
      </c>
      <c r="AB603" s="53">
        <v>0</v>
      </c>
      <c r="AC603" s="53">
        <v>0</v>
      </c>
      <c r="AD603" s="53">
        <v>0</v>
      </c>
      <c r="AE603" s="53">
        <v>0</v>
      </c>
      <c r="AF603" s="53">
        <v>0</v>
      </c>
      <c r="AG603" s="53">
        <v>0</v>
      </c>
      <c r="AH603" s="53">
        <v>0</v>
      </c>
      <c r="AI603" s="53">
        <v>0</v>
      </c>
      <c r="AJ603" s="53">
        <v>0</v>
      </c>
      <c r="AK603" s="53">
        <v>0</v>
      </c>
      <c r="AL603" s="53">
        <v>0</v>
      </c>
      <c r="AM603" s="53" t="str">
        <f>I603-J603-K603-L603-M603-N603-O603-P603-Q603-R603-S603-T603-U603-V603-W603-X603-Y603-Z603-AA603-AB603-AC603-AD603-AE603-AF603-AG603+AH603-AI603+AJ603+AK603-AL603</f>
        <v>0</v>
      </c>
      <c r="AN603" s="53"/>
      <c r="AO603" s="27"/>
    </row>
    <row r="604" spans="1:41">
      <c r="A604" s="44">
        <v>576</v>
      </c>
      <c r="B604" s="46" t="s">
        <v>2400</v>
      </c>
      <c r="C604" s="48" t="s">
        <v>2401</v>
      </c>
      <c r="D604" s="51" t="s">
        <v>73</v>
      </c>
      <c r="E604" s="51" t="s">
        <v>2398</v>
      </c>
      <c r="F604" s="54" t="s">
        <v>2402</v>
      </c>
      <c r="G604" s="50">
        <v>5.8</v>
      </c>
      <c r="H604" s="51" t="s">
        <v>2403</v>
      </c>
      <c r="I604" s="53">
        <v>634000</v>
      </c>
      <c r="J604" s="53">
        <v>0</v>
      </c>
      <c r="K604" s="53">
        <v>31000</v>
      </c>
      <c r="L604" s="53">
        <v>0</v>
      </c>
      <c r="M604" s="53">
        <v>0</v>
      </c>
      <c r="N604" s="53">
        <v>0</v>
      </c>
      <c r="O604" s="53">
        <v>0</v>
      </c>
      <c r="P604" s="53">
        <v>0</v>
      </c>
      <c r="Q604" s="53">
        <v>0</v>
      </c>
      <c r="R604" s="53">
        <v>0</v>
      </c>
      <c r="S604" s="53">
        <v>0</v>
      </c>
      <c r="T604" s="53">
        <v>0</v>
      </c>
      <c r="U604" s="53">
        <v>1550</v>
      </c>
      <c r="V604" s="53">
        <v>0</v>
      </c>
      <c r="W604" s="53">
        <v>0</v>
      </c>
      <c r="X604" s="53">
        <v>0</v>
      </c>
      <c r="Y604" s="53">
        <v>0</v>
      </c>
      <c r="Z604" s="53">
        <v>0</v>
      </c>
      <c r="AA604" s="53">
        <v>0</v>
      </c>
      <c r="AB604" s="53">
        <v>0</v>
      </c>
      <c r="AC604" s="53">
        <v>0</v>
      </c>
      <c r="AD604" s="53">
        <v>0</v>
      </c>
      <c r="AE604" s="53">
        <v>0</v>
      </c>
      <c r="AF604" s="53">
        <v>0</v>
      </c>
      <c r="AG604" s="53">
        <v>0</v>
      </c>
      <c r="AH604" s="53">
        <v>0</v>
      </c>
      <c r="AI604" s="53">
        <v>0</v>
      </c>
      <c r="AJ604" s="53">
        <v>0</v>
      </c>
      <c r="AK604" s="53">
        <v>0</v>
      </c>
      <c r="AL604" s="53">
        <v>0</v>
      </c>
      <c r="AM604" s="53" t="str">
        <f>I604-J604-K604-L604-M604-N604-O604-P604-Q604-R604-S604-T604-U604-V604-W604-X604-Y604-Z604-AA604-AB604-AC604-AD604-AE604-AF604-AG604+AH604-AI604+AJ604+AK604-AL604</f>
        <v>0</v>
      </c>
      <c r="AN604" s="53"/>
      <c r="AO604" s="27"/>
    </row>
    <row r="605" spans="1:41">
      <c r="A605" s="44">
        <v>577</v>
      </c>
      <c r="B605" s="46" t="s">
        <v>2404</v>
      </c>
      <c r="C605" s="48" t="s">
        <v>2405</v>
      </c>
      <c r="D605" s="51" t="s">
        <v>73</v>
      </c>
      <c r="E605" s="51" t="s">
        <v>2398</v>
      </c>
      <c r="F605" s="54" t="s">
        <v>1961</v>
      </c>
      <c r="G605" s="50">
        <v>3</v>
      </c>
      <c r="H605" s="51" t="s">
        <v>2406</v>
      </c>
      <c r="I605" s="53">
        <v>220000</v>
      </c>
      <c r="J605" s="53">
        <v>0</v>
      </c>
      <c r="K605" s="53">
        <v>22000</v>
      </c>
      <c r="L605" s="53">
        <v>0</v>
      </c>
      <c r="M605" s="53">
        <v>0</v>
      </c>
      <c r="N605" s="53">
        <v>0</v>
      </c>
      <c r="O605" s="53">
        <v>0</v>
      </c>
      <c r="P605" s="53">
        <v>0</v>
      </c>
      <c r="Q605" s="53">
        <v>0</v>
      </c>
      <c r="R605" s="53">
        <v>0</v>
      </c>
      <c r="S605" s="53">
        <v>0</v>
      </c>
      <c r="T605" s="53">
        <v>0</v>
      </c>
      <c r="U605" s="53">
        <v>1100</v>
      </c>
      <c r="V605" s="53">
        <v>0</v>
      </c>
      <c r="W605" s="53">
        <v>0</v>
      </c>
      <c r="X605" s="53">
        <v>0</v>
      </c>
      <c r="Y605" s="53">
        <v>0</v>
      </c>
      <c r="Z605" s="53">
        <v>0</v>
      </c>
      <c r="AA605" s="53">
        <v>0</v>
      </c>
      <c r="AB605" s="53">
        <v>0</v>
      </c>
      <c r="AC605" s="53">
        <v>0</v>
      </c>
      <c r="AD605" s="53">
        <v>0</v>
      </c>
      <c r="AE605" s="53">
        <v>0</v>
      </c>
      <c r="AF605" s="53">
        <v>0</v>
      </c>
      <c r="AG605" s="53">
        <v>0</v>
      </c>
      <c r="AH605" s="53">
        <v>0</v>
      </c>
      <c r="AI605" s="53">
        <v>0</v>
      </c>
      <c r="AJ605" s="53">
        <v>0</v>
      </c>
      <c r="AK605" s="53">
        <v>0</v>
      </c>
      <c r="AL605" s="53">
        <v>0</v>
      </c>
      <c r="AM605" s="53" t="str">
        <f>I605-J605-K605-L605-M605-N605-O605-P605-Q605-R605-S605-T605-U605-V605-W605-X605-Y605-Z605-AA605-AB605-AC605-AD605-AE605-AF605-AG605+AH605-AI605+AJ605+AK605-AL605</f>
        <v>0</v>
      </c>
      <c r="AN605" s="53"/>
      <c r="AO605" s="27"/>
    </row>
    <row r="606" spans="1:41">
      <c r="A606" s="44">
        <v>578</v>
      </c>
      <c r="B606" s="46" t="s">
        <v>2407</v>
      </c>
      <c r="C606" s="48" t="s">
        <v>2408</v>
      </c>
      <c r="D606" s="51" t="s">
        <v>73</v>
      </c>
      <c r="E606" s="51" t="s">
        <v>2398</v>
      </c>
      <c r="F606" s="54" t="s">
        <v>1102</v>
      </c>
      <c r="G606" s="50">
        <v>8</v>
      </c>
      <c r="H606" s="51" t="s">
        <v>2409</v>
      </c>
      <c r="I606" s="53">
        <v>969200</v>
      </c>
      <c r="J606" s="53">
        <v>0</v>
      </c>
      <c r="K606" s="53">
        <v>39000</v>
      </c>
      <c r="L606" s="53">
        <v>0</v>
      </c>
      <c r="M606" s="53">
        <v>0</v>
      </c>
      <c r="N606" s="53">
        <v>0</v>
      </c>
      <c r="O606" s="53">
        <v>0</v>
      </c>
      <c r="P606" s="53">
        <v>0</v>
      </c>
      <c r="Q606" s="53">
        <v>0</v>
      </c>
      <c r="R606" s="53">
        <v>0</v>
      </c>
      <c r="S606" s="53">
        <v>0</v>
      </c>
      <c r="T606" s="53">
        <v>0</v>
      </c>
      <c r="U606" s="53">
        <v>1950</v>
      </c>
      <c r="V606" s="53">
        <v>0</v>
      </c>
      <c r="W606" s="53">
        <v>0</v>
      </c>
      <c r="X606" s="53">
        <v>0</v>
      </c>
      <c r="Y606" s="53">
        <v>0</v>
      </c>
      <c r="Z606" s="53">
        <v>0</v>
      </c>
      <c r="AA606" s="53">
        <v>0</v>
      </c>
      <c r="AB606" s="53">
        <v>0</v>
      </c>
      <c r="AC606" s="53">
        <v>0</v>
      </c>
      <c r="AD606" s="53">
        <v>0</v>
      </c>
      <c r="AE606" s="53">
        <v>0</v>
      </c>
      <c r="AF606" s="53">
        <v>0</v>
      </c>
      <c r="AG606" s="53">
        <v>0</v>
      </c>
      <c r="AH606" s="53">
        <v>0</v>
      </c>
      <c r="AI606" s="53">
        <v>0</v>
      </c>
      <c r="AJ606" s="53">
        <v>0</v>
      </c>
      <c r="AK606" s="53">
        <v>0</v>
      </c>
      <c r="AL606" s="53">
        <v>0</v>
      </c>
      <c r="AM606" s="53" t="str">
        <f>I606-J606-K606-L606-M606-N606-O606-P606-Q606-R606-S606-T606-U606-V606-W606-X606-Y606-Z606-AA606-AB606-AC606-AD606-AE606-AF606-AG606+AH606-AI606+AJ606+AK606-AL606</f>
        <v>0</v>
      </c>
      <c r="AN606" s="53"/>
      <c r="AO606" s="27"/>
    </row>
    <row r="607" spans="1:41">
      <c r="A607" s="44">
        <v>579</v>
      </c>
      <c r="B607" s="46" t="s">
        <v>2410</v>
      </c>
      <c r="C607" s="48" t="s">
        <v>2411</v>
      </c>
      <c r="D607" s="51" t="s">
        <v>73</v>
      </c>
      <c r="E607" s="51" t="s">
        <v>2398</v>
      </c>
      <c r="F607" s="54" t="s">
        <v>2412</v>
      </c>
      <c r="G607" s="50">
        <v>3</v>
      </c>
      <c r="H607" s="51" t="s">
        <v>2413</v>
      </c>
      <c r="I607" s="53">
        <v>169100</v>
      </c>
      <c r="J607" s="53">
        <v>0</v>
      </c>
      <c r="K607" s="53">
        <v>22000</v>
      </c>
      <c r="L607" s="53">
        <v>0</v>
      </c>
      <c r="M607" s="53">
        <v>0</v>
      </c>
      <c r="N607" s="53">
        <v>0</v>
      </c>
      <c r="O607" s="53">
        <v>0</v>
      </c>
      <c r="P607" s="53">
        <v>0</v>
      </c>
      <c r="Q607" s="53">
        <v>0</v>
      </c>
      <c r="R607" s="53">
        <v>0</v>
      </c>
      <c r="S607" s="53">
        <v>0</v>
      </c>
      <c r="T607" s="53">
        <v>0</v>
      </c>
      <c r="U607" s="53">
        <v>1100</v>
      </c>
      <c r="V607" s="53">
        <v>0</v>
      </c>
      <c r="W607" s="53">
        <v>0</v>
      </c>
      <c r="X607" s="53">
        <v>0</v>
      </c>
      <c r="Y607" s="53">
        <v>0</v>
      </c>
      <c r="Z607" s="53">
        <v>0</v>
      </c>
      <c r="AA607" s="53">
        <v>0</v>
      </c>
      <c r="AB607" s="53">
        <v>0</v>
      </c>
      <c r="AC607" s="53">
        <v>0</v>
      </c>
      <c r="AD607" s="53">
        <v>0</v>
      </c>
      <c r="AE607" s="53">
        <v>0</v>
      </c>
      <c r="AF607" s="53">
        <v>0</v>
      </c>
      <c r="AG607" s="53">
        <v>0</v>
      </c>
      <c r="AH607" s="53">
        <v>0</v>
      </c>
      <c r="AI607" s="53">
        <v>0</v>
      </c>
      <c r="AJ607" s="53">
        <v>0</v>
      </c>
      <c r="AK607" s="53">
        <v>0</v>
      </c>
      <c r="AL607" s="53">
        <v>0</v>
      </c>
      <c r="AM607" s="53" t="str">
        <f>I607-J607-K607-L607-M607-N607-O607-P607-Q607-R607-S607-T607-U607-V607-W607-X607-Y607-Z607-AA607-AB607-AC607-AD607-AE607-AF607-AG607+AH607-AI607+AJ607+AK607-AL607</f>
        <v>0</v>
      </c>
      <c r="AN607" s="53"/>
      <c r="AO607" s="27"/>
    </row>
    <row r="608" spans="1:41">
      <c r="A608" s="44">
        <v>580</v>
      </c>
      <c r="B608" s="46" t="s">
        <v>2414</v>
      </c>
      <c r="C608" s="48" t="s">
        <v>2415</v>
      </c>
      <c r="D608" s="51" t="s">
        <v>73</v>
      </c>
      <c r="E608" s="51" t="s">
        <v>2398</v>
      </c>
      <c r="F608" s="54" t="s">
        <v>2340</v>
      </c>
      <c r="G608" s="50">
        <v>5</v>
      </c>
      <c r="H608" s="51" t="s">
        <v>2416</v>
      </c>
      <c r="I608" s="53">
        <v>1012500</v>
      </c>
      <c r="J608" s="53">
        <v>0</v>
      </c>
      <c r="K608" s="53">
        <v>27000</v>
      </c>
      <c r="L608" s="53">
        <v>0</v>
      </c>
      <c r="M608" s="53">
        <v>0</v>
      </c>
      <c r="N608" s="53">
        <v>0</v>
      </c>
      <c r="O608" s="53">
        <v>0</v>
      </c>
      <c r="P608" s="53">
        <v>0</v>
      </c>
      <c r="Q608" s="53">
        <v>0</v>
      </c>
      <c r="R608" s="53">
        <v>0</v>
      </c>
      <c r="S608" s="53">
        <v>0</v>
      </c>
      <c r="T608" s="53">
        <v>0</v>
      </c>
      <c r="U608" s="53">
        <v>1350</v>
      </c>
      <c r="V608" s="53">
        <v>0</v>
      </c>
      <c r="W608" s="53">
        <v>0</v>
      </c>
      <c r="X608" s="53">
        <v>0</v>
      </c>
      <c r="Y608" s="53">
        <v>0</v>
      </c>
      <c r="Z608" s="53">
        <v>0</v>
      </c>
      <c r="AA608" s="53">
        <v>0</v>
      </c>
      <c r="AB608" s="53">
        <v>0</v>
      </c>
      <c r="AC608" s="53">
        <v>0</v>
      </c>
      <c r="AD608" s="53">
        <v>0</v>
      </c>
      <c r="AE608" s="53">
        <v>0</v>
      </c>
      <c r="AF608" s="53">
        <v>0</v>
      </c>
      <c r="AG608" s="53">
        <v>0</v>
      </c>
      <c r="AH608" s="53">
        <v>0</v>
      </c>
      <c r="AI608" s="53">
        <v>0</v>
      </c>
      <c r="AJ608" s="53">
        <v>0</v>
      </c>
      <c r="AK608" s="53">
        <v>0</v>
      </c>
      <c r="AL608" s="53">
        <v>0</v>
      </c>
      <c r="AM608" s="53" t="str">
        <f>I608-J608-K608-L608-M608-N608-O608-P608-Q608-R608-S608-T608-U608-V608-W608-X608-Y608-Z608-AA608-AB608-AC608-AD608-AE608-AF608-AG608+AH608-AI608+AJ608+AK608-AL608</f>
        <v>0</v>
      </c>
      <c r="AN608" s="53"/>
      <c r="AO608" s="27"/>
    </row>
    <row r="609" spans="1:41">
      <c r="A609" s="44">
        <v>581</v>
      </c>
      <c r="B609" s="46" t="s">
        <v>2417</v>
      </c>
      <c r="C609" s="48" t="s">
        <v>2418</v>
      </c>
      <c r="D609" s="51" t="s">
        <v>73</v>
      </c>
      <c r="E609" s="51" t="s">
        <v>2398</v>
      </c>
      <c r="F609" s="54" t="s">
        <v>2419</v>
      </c>
      <c r="G609" s="50">
        <v>3</v>
      </c>
      <c r="H609" s="51" t="s">
        <v>2420</v>
      </c>
      <c r="I609" s="53">
        <v>318500</v>
      </c>
      <c r="J609" s="53">
        <v>0</v>
      </c>
      <c r="K609" s="53">
        <v>22000</v>
      </c>
      <c r="L609" s="53">
        <v>0</v>
      </c>
      <c r="M609" s="53">
        <v>0</v>
      </c>
      <c r="N609" s="53">
        <v>0</v>
      </c>
      <c r="O609" s="53">
        <v>0</v>
      </c>
      <c r="P609" s="53">
        <v>0</v>
      </c>
      <c r="Q609" s="53">
        <v>0</v>
      </c>
      <c r="R609" s="53">
        <v>0</v>
      </c>
      <c r="S609" s="53">
        <v>0</v>
      </c>
      <c r="T609" s="53">
        <v>0</v>
      </c>
      <c r="U609" s="53">
        <v>1100</v>
      </c>
      <c r="V609" s="53">
        <v>0</v>
      </c>
      <c r="W609" s="53">
        <v>0</v>
      </c>
      <c r="X609" s="53">
        <v>0</v>
      </c>
      <c r="Y609" s="53">
        <v>0</v>
      </c>
      <c r="Z609" s="53">
        <v>0</v>
      </c>
      <c r="AA609" s="53">
        <v>0</v>
      </c>
      <c r="AB609" s="53">
        <v>0</v>
      </c>
      <c r="AC609" s="53">
        <v>0</v>
      </c>
      <c r="AD609" s="53">
        <v>0</v>
      </c>
      <c r="AE609" s="53">
        <v>0</v>
      </c>
      <c r="AF609" s="53">
        <v>0</v>
      </c>
      <c r="AG609" s="53">
        <v>0</v>
      </c>
      <c r="AH609" s="53">
        <v>0</v>
      </c>
      <c r="AI609" s="53">
        <v>0</v>
      </c>
      <c r="AJ609" s="53">
        <v>0</v>
      </c>
      <c r="AK609" s="53">
        <v>0</v>
      </c>
      <c r="AL609" s="53">
        <v>0</v>
      </c>
      <c r="AM609" s="53" t="str">
        <f>I609-J609-K609-L609-M609-N609-O609-P609-Q609-R609-S609-T609-U609-V609-W609-X609-Y609-Z609-AA609-AB609-AC609-AD609-AE609-AF609-AG609+AH609-AI609+AJ609+AK609-AL609</f>
        <v>0</v>
      </c>
      <c r="AN609" s="53"/>
      <c r="AO609" s="27"/>
    </row>
    <row r="610" spans="1:41">
      <c r="A610" s="44">
        <v>582</v>
      </c>
      <c r="B610" s="46" t="s">
        <v>2421</v>
      </c>
      <c r="C610" s="48" t="s">
        <v>2422</v>
      </c>
      <c r="D610" s="51" t="s">
        <v>73</v>
      </c>
      <c r="E610" s="51" t="s">
        <v>2398</v>
      </c>
      <c r="F610" s="54" t="s">
        <v>2126</v>
      </c>
      <c r="G610" s="50">
        <v>3</v>
      </c>
      <c r="H610" s="51" t="s">
        <v>2423</v>
      </c>
      <c r="I610" s="53">
        <v>630000</v>
      </c>
      <c r="J610" s="53">
        <v>0</v>
      </c>
      <c r="K610" s="53">
        <v>22000</v>
      </c>
      <c r="L610" s="53">
        <v>0</v>
      </c>
      <c r="M610" s="53">
        <v>0</v>
      </c>
      <c r="N610" s="53">
        <v>0</v>
      </c>
      <c r="O610" s="53">
        <v>0</v>
      </c>
      <c r="P610" s="53">
        <v>0</v>
      </c>
      <c r="Q610" s="53">
        <v>0</v>
      </c>
      <c r="R610" s="53">
        <v>0</v>
      </c>
      <c r="S610" s="53">
        <v>0</v>
      </c>
      <c r="T610" s="53">
        <v>0</v>
      </c>
      <c r="U610" s="53">
        <v>1100</v>
      </c>
      <c r="V610" s="53">
        <v>0</v>
      </c>
      <c r="W610" s="53">
        <v>0</v>
      </c>
      <c r="X610" s="53">
        <v>0</v>
      </c>
      <c r="Y610" s="53">
        <v>0</v>
      </c>
      <c r="Z610" s="53">
        <v>0</v>
      </c>
      <c r="AA610" s="53">
        <v>0</v>
      </c>
      <c r="AB610" s="53">
        <v>0</v>
      </c>
      <c r="AC610" s="53">
        <v>0</v>
      </c>
      <c r="AD610" s="53">
        <v>0</v>
      </c>
      <c r="AE610" s="53">
        <v>0</v>
      </c>
      <c r="AF610" s="53">
        <v>0</v>
      </c>
      <c r="AG610" s="53">
        <v>0</v>
      </c>
      <c r="AH610" s="53">
        <v>0</v>
      </c>
      <c r="AI610" s="53">
        <v>0</v>
      </c>
      <c r="AJ610" s="53">
        <v>0</v>
      </c>
      <c r="AK610" s="53">
        <v>0</v>
      </c>
      <c r="AL610" s="53">
        <v>0</v>
      </c>
      <c r="AM610" s="53" t="str">
        <f>I610-J610-K610-L610-M610-N610-O610-P610-Q610-R610-S610-T610-U610-V610-W610-X610-Y610-Z610-AA610-AB610-AC610-AD610-AE610-AF610-AG610+AH610-AI610+AJ610+AK610-AL610</f>
        <v>0</v>
      </c>
      <c r="AN610" s="53"/>
      <c r="AO610" s="27"/>
    </row>
    <row r="611" spans="1:41">
      <c r="A611" s="44">
        <v>583</v>
      </c>
      <c r="B611" s="46" t="s">
        <v>2424</v>
      </c>
      <c r="C611" s="48" t="s">
        <v>2425</v>
      </c>
      <c r="D611" s="51" t="s">
        <v>73</v>
      </c>
      <c r="E611" s="51" t="s">
        <v>2398</v>
      </c>
      <c r="F611" s="54" t="s">
        <v>2299</v>
      </c>
      <c r="G611" s="50">
        <v>4</v>
      </c>
      <c r="H611" s="51" t="s">
        <v>2426</v>
      </c>
      <c r="I611" s="53">
        <v>664100</v>
      </c>
      <c r="J611" s="53">
        <v>0</v>
      </c>
      <c r="K611" s="53">
        <v>25000</v>
      </c>
      <c r="L611" s="53">
        <v>0</v>
      </c>
      <c r="M611" s="53">
        <v>0</v>
      </c>
      <c r="N611" s="53">
        <v>0</v>
      </c>
      <c r="O611" s="53">
        <v>0</v>
      </c>
      <c r="P611" s="53">
        <v>0</v>
      </c>
      <c r="Q611" s="53">
        <v>0</v>
      </c>
      <c r="R611" s="53">
        <v>0</v>
      </c>
      <c r="S611" s="53">
        <v>0</v>
      </c>
      <c r="T611" s="53">
        <v>0</v>
      </c>
      <c r="U611" s="53">
        <v>1250</v>
      </c>
      <c r="V611" s="53">
        <v>0</v>
      </c>
      <c r="W611" s="53">
        <v>0</v>
      </c>
      <c r="X611" s="53">
        <v>0</v>
      </c>
      <c r="Y611" s="53">
        <v>0</v>
      </c>
      <c r="Z611" s="53">
        <v>0</v>
      </c>
      <c r="AA611" s="53">
        <v>0</v>
      </c>
      <c r="AB611" s="53">
        <v>0</v>
      </c>
      <c r="AC611" s="53">
        <v>0</v>
      </c>
      <c r="AD611" s="53">
        <v>0</v>
      </c>
      <c r="AE611" s="53">
        <v>0</v>
      </c>
      <c r="AF611" s="53">
        <v>0</v>
      </c>
      <c r="AG611" s="53">
        <v>0</v>
      </c>
      <c r="AH611" s="53">
        <v>0</v>
      </c>
      <c r="AI611" s="53">
        <v>0</v>
      </c>
      <c r="AJ611" s="53">
        <v>0</v>
      </c>
      <c r="AK611" s="53">
        <v>0</v>
      </c>
      <c r="AL611" s="53">
        <v>0</v>
      </c>
      <c r="AM611" s="53" t="str">
        <f>I611-J611-K611-L611-M611-N611-O611-P611-Q611-R611-S611-T611-U611-V611-W611-X611-Y611-Z611-AA611-AB611-AC611-AD611-AE611-AF611-AG611+AH611-AI611+AJ611+AK611-AL611</f>
        <v>0</v>
      </c>
      <c r="AN611" s="53"/>
      <c r="AO611" s="27"/>
    </row>
    <row r="612" spans="1:41">
      <c r="A612" s="44">
        <v>584</v>
      </c>
      <c r="B612" s="46" t="s">
        <v>2427</v>
      </c>
      <c r="C612" s="48" t="s">
        <v>2428</v>
      </c>
      <c r="D612" s="51" t="s">
        <v>73</v>
      </c>
      <c r="E612" s="51" t="s">
        <v>2429</v>
      </c>
      <c r="F612" s="54" t="s">
        <v>991</v>
      </c>
      <c r="G612" s="50">
        <v>6</v>
      </c>
      <c r="H612" s="51" t="s">
        <v>2430</v>
      </c>
      <c r="I612" s="53">
        <v>1305000</v>
      </c>
      <c r="J612" s="53">
        <v>0</v>
      </c>
      <c r="K612" s="53">
        <v>31000</v>
      </c>
      <c r="L612" s="53">
        <v>0</v>
      </c>
      <c r="M612" s="53">
        <v>0</v>
      </c>
      <c r="N612" s="53">
        <v>0</v>
      </c>
      <c r="O612" s="53">
        <v>0</v>
      </c>
      <c r="P612" s="53">
        <v>0</v>
      </c>
      <c r="Q612" s="53">
        <v>0</v>
      </c>
      <c r="R612" s="53">
        <v>0</v>
      </c>
      <c r="S612" s="53">
        <v>0</v>
      </c>
      <c r="T612" s="53">
        <v>0</v>
      </c>
      <c r="U612" s="53">
        <v>1550</v>
      </c>
      <c r="V612" s="53">
        <v>0</v>
      </c>
      <c r="W612" s="53">
        <v>0</v>
      </c>
      <c r="X612" s="53">
        <v>0</v>
      </c>
      <c r="Y612" s="53">
        <v>0</v>
      </c>
      <c r="Z612" s="53">
        <v>0</v>
      </c>
      <c r="AA612" s="53">
        <v>0</v>
      </c>
      <c r="AB612" s="53">
        <v>0</v>
      </c>
      <c r="AC612" s="53">
        <v>0</v>
      </c>
      <c r="AD612" s="53">
        <v>0</v>
      </c>
      <c r="AE612" s="53">
        <v>0</v>
      </c>
      <c r="AF612" s="53">
        <v>0</v>
      </c>
      <c r="AG612" s="53">
        <v>0</v>
      </c>
      <c r="AH612" s="53">
        <v>0</v>
      </c>
      <c r="AI612" s="53">
        <v>0</v>
      </c>
      <c r="AJ612" s="53">
        <v>0</v>
      </c>
      <c r="AK612" s="53">
        <v>0</v>
      </c>
      <c r="AL612" s="53">
        <v>0</v>
      </c>
      <c r="AM612" s="53" t="str">
        <f>I612-J612-K612-L612-M612-N612-O612-P612-Q612-R612-S612-T612-U612-V612-W612-X612-Y612-Z612-AA612-AB612-AC612-AD612-AE612-AF612-AG612+AH612-AI612+AJ612+AK612-AL612</f>
        <v>0</v>
      </c>
      <c r="AN612" s="53"/>
      <c r="AO612" s="27"/>
    </row>
    <row r="613" spans="1:41">
      <c r="A613" s="44">
        <v>585</v>
      </c>
      <c r="B613" s="46" t="s">
        <v>2431</v>
      </c>
      <c r="C613" s="48" t="s">
        <v>2432</v>
      </c>
      <c r="D613" s="51" t="s">
        <v>73</v>
      </c>
      <c r="E613" s="51" t="s">
        <v>2429</v>
      </c>
      <c r="F613" s="54" t="s">
        <v>641</v>
      </c>
      <c r="G613" s="50">
        <v>6</v>
      </c>
      <c r="H613" s="51" t="s">
        <v>2433</v>
      </c>
      <c r="I613" s="53">
        <v>1450000</v>
      </c>
      <c r="J613" s="53">
        <v>0</v>
      </c>
      <c r="K613" s="53">
        <v>31000</v>
      </c>
      <c r="L613" s="53">
        <v>0</v>
      </c>
      <c r="M613" s="53">
        <v>0</v>
      </c>
      <c r="N613" s="53">
        <v>0</v>
      </c>
      <c r="O613" s="53">
        <v>0</v>
      </c>
      <c r="P613" s="53">
        <v>0</v>
      </c>
      <c r="Q613" s="53">
        <v>0</v>
      </c>
      <c r="R613" s="53">
        <v>0</v>
      </c>
      <c r="S613" s="53">
        <v>0</v>
      </c>
      <c r="T613" s="53">
        <v>0</v>
      </c>
      <c r="U613" s="53">
        <v>1550</v>
      </c>
      <c r="V613" s="53">
        <v>0</v>
      </c>
      <c r="W613" s="53">
        <v>0</v>
      </c>
      <c r="X613" s="53">
        <v>0</v>
      </c>
      <c r="Y613" s="53">
        <v>0</v>
      </c>
      <c r="Z613" s="53">
        <v>0</v>
      </c>
      <c r="AA613" s="53">
        <v>0</v>
      </c>
      <c r="AB613" s="53">
        <v>0</v>
      </c>
      <c r="AC613" s="53">
        <v>0</v>
      </c>
      <c r="AD613" s="53">
        <v>0</v>
      </c>
      <c r="AE613" s="53">
        <v>0</v>
      </c>
      <c r="AF613" s="53">
        <v>0</v>
      </c>
      <c r="AG613" s="53">
        <v>0</v>
      </c>
      <c r="AH613" s="53">
        <v>0</v>
      </c>
      <c r="AI613" s="53">
        <v>0</v>
      </c>
      <c r="AJ613" s="53">
        <v>0</v>
      </c>
      <c r="AK613" s="53">
        <v>0</v>
      </c>
      <c r="AL613" s="53">
        <v>0</v>
      </c>
      <c r="AM613" s="53" t="str">
        <f>I613-J613-K613-L613-M613-N613-O613-P613-Q613-R613-S613-T613-U613-V613-W613-X613-Y613-Z613-AA613-AB613-AC613-AD613-AE613-AF613-AG613+AH613-AI613+AJ613+AK613-AL613</f>
        <v>0</v>
      </c>
      <c r="AN613" s="53"/>
      <c r="AO613" s="27"/>
    </row>
    <row r="614" spans="1:41">
      <c r="A614" s="44">
        <v>586</v>
      </c>
      <c r="B614" s="46" t="s">
        <v>2434</v>
      </c>
      <c r="C614" s="48" t="s">
        <v>2435</v>
      </c>
      <c r="D614" s="51" t="s">
        <v>73</v>
      </c>
      <c r="E614" s="51" t="s">
        <v>2436</v>
      </c>
      <c r="F614" s="54" t="s">
        <v>2437</v>
      </c>
      <c r="G614" s="50">
        <v>5</v>
      </c>
      <c r="H614" s="51" t="s">
        <v>2438</v>
      </c>
      <c r="I614" s="53">
        <v>754100</v>
      </c>
      <c r="J614" s="53">
        <v>0</v>
      </c>
      <c r="K614" s="53">
        <v>27000</v>
      </c>
      <c r="L614" s="53">
        <v>0</v>
      </c>
      <c r="M614" s="53">
        <v>0</v>
      </c>
      <c r="N614" s="53">
        <v>0</v>
      </c>
      <c r="O614" s="53">
        <v>0</v>
      </c>
      <c r="P614" s="53">
        <v>0</v>
      </c>
      <c r="Q614" s="53">
        <v>0</v>
      </c>
      <c r="R614" s="53">
        <v>0</v>
      </c>
      <c r="S614" s="53">
        <v>0</v>
      </c>
      <c r="T614" s="53">
        <v>0</v>
      </c>
      <c r="U614" s="53">
        <v>1350</v>
      </c>
      <c r="V614" s="53">
        <v>0</v>
      </c>
      <c r="W614" s="53">
        <v>0</v>
      </c>
      <c r="X614" s="53">
        <v>0</v>
      </c>
      <c r="Y614" s="53">
        <v>0</v>
      </c>
      <c r="Z614" s="53">
        <v>0</v>
      </c>
      <c r="AA614" s="53">
        <v>0</v>
      </c>
      <c r="AB614" s="53">
        <v>0</v>
      </c>
      <c r="AC614" s="53">
        <v>0</v>
      </c>
      <c r="AD614" s="53">
        <v>0</v>
      </c>
      <c r="AE614" s="53">
        <v>0</v>
      </c>
      <c r="AF614" s="53">
        <v>0</v>
      </c>
      <c r="AG614" s="53">
        <v>0</v>
      </c>
      <c r="AH614" s="53">
        <v>0</v>
      </c>
      <c r="AI614" s="53">
        <v>0</v>
      </c>
      <c r="AJ614" s="53">
        <v>0</v>
      </c>
      <c r="AK614" s="53">
        <v>0</v>
      </c>
      <c r="AL614" s="53">
        <v>0</v>
      </c>
      <c r="AM614" s="53" t="str">
        <f>I614-J614-K614-L614-M614-N614-O614-P614-Q614-R614-S614-T614-U614-V614-W614-X614-Y614-Z614-AA614-AB614-AC614-AD614-AE614-AF614-AG614+AH614-AI614+AJ614+AK614-AL614</f>
        <v>0</v>
      </c>
      <c r="AN614" s="53"/>
      <c r="AO614" s="27"/>
    </row>
    <row r="615" spans="1:41">
      <c r="A615" s="44">
        <v>587</v>
      </c>
      <c r="B615" s="46" t="s">
        <v>2439</v>
      </c>
      <c r="C615" s="48" t="s">
        <v>2440</v>
      </c>
      <c r="D615" s="51" t="s">
        <v>73</v>
      </c>
      <c r="E615" s="51" t="s">
        <v>2441</v>
      </c>
      <c r="F615" s="54" t="s">
        <v>2442</v>
      </c>
      <c r="G615" s="50">
        <v>5.8</v>
      </c>
      <c r="H615" s="51" t="s">
        <v>2443</v>
      </c>
      <c r="I615" s="53">
        <v>634000</v>
      </c>
      <c r="J615" s="53">
        <v>0</v>
      </c>
      <c r="K615" s="53">
        <v>31000</v>
      </c>
      <c r="L615" s="53">
        <v>0</v>
      </c>
      <c r="M615" s="53">
        <v>0</v>
      </c>
      <c r="N615" s="53">
        <v>0</v>
      </c>
      <c r="O615" s="53">
        <v>0</v>
      </c>
      <c r="P615" s="53">
        <v>0</v>
      </c>
      <c r="Q615" s="53">
        <v>0</v>
      </c>
      <c r="R615" s="53">
        <v>0</v>
      </c>
      <c r="S615" s="53">
        <v>0</v>
      </c>
      <c r="T615" s="53">
        <v>0</v>
      </c>
      <c r="U615" s="53">
        <v>1550</v>
      </c>
      <c r="V615" s="53">
        <v>0</v>
      </c>
      <c r="W615" s="53">
        <v>0</v>
      </c>
      <c r="X615" s="53">
        <v>0</v>
      </c>
      <c r="Y615" s="53">
        <v>0</v>
      </c>
      <c r="Z615" s="53">
        <v>0</v>
      </c>
      <c r="AA615" s="53">
        <v>0</v>
      </c>
      <c r="AB615" s="53">
        <v>0</v>
      </c>
      <c r="AC615" s="53">
        <v>0</v>
      </c>
      <c r="AD615" s="53">
        <v>0</v>
      </c>
      <c r="AE615" s="53">
        <v>0</v>
      </c>
      <c r="AF615" s="53">
        <v>0</v>
      </c>
      <c r="AG615" s="53">
        <v>0</v>
      </c>
      <c r="AH615" s="53">
        <v>0</v>
      </c>
      <c r="AI615" s="53">
        <v>0</v>
      </c>
      <c r="AJ615" s="53">
        <v>0</v>
      </c>
      <c r="AK615" s="53">
        <v>0</v>
      </c>
      <c r="AL615" s="53">
        <v>0</v>
      </c>
      <c r="AM615" s="53" t="str">
        <f>I615-J615-K615-L615-M615-N615-O615-P615-Q615-R615-S615-T615-U615-V615-W615-X615-Y615-Z615-AA615-AB615-AC615-AD615-AE615-AF615-AG615+AH615-AI615+AJ615+AK615-AL615</f>
        <v>0</v>
      </c>
      <c r="AN615" s="53"/>
      <c r="AO615" s="27"/>
    </row>
    <row r="616" spans="1:41">
      <c r="A616" s="44">
        <v>588</v>
      </c>
      <c r="B616" s="46" t="s">
        <v>2444</v>
      </c>
      <c r="C616" s="48" t="s">
        <v>2445</v>
      </c>
      <c r="D616" s="51" t="s">
        <v>73</v>
      </c>
      <c r="E616" s="51" t="s">
        <v>2441</v>
      </c>
      <c r="F616" s="54" t="s">
        <v>2446</v>
      </c>
      <c r="G616" s="50">
        <v>5</v>
      </c>
      <c r="H616" s="51" t="s">
        <v>2447</v>
      </c>
      <c r="I616" s="53">
        <v>1305000</v>
      </c>
      <c r="J616" s="53">
        <v>0</v>
      </c>
      <c r="K616" s="53">
        <v>27000</v>
      </c>
      <c r="L616" s="53">
        <v>0</v>
      </c>
      <c r="M616" s="53">
        <v>0</v>
      </c>
      <c r="N616" s="53">
        <v>0</v>
      </c>
      <c r="O616" s="53">
        <v>0</v>
      </c>
      <c r="P616" s="53">
        <v>0</v>
      </c>
      <c r="Q616" s="53">
        <v>0</v>
      </c>
      <c r="R616" s="53">
        <v>0</v>
      </c>
      <c r="S616" s="53">
        <v>0</v>
      </c>
      <c r="T616" s="53">
        <v>0</v>
      </c>
      <c r="U616" s="53">
        <v>1350</v>
      </c>
      <c r="V616" s="53">
        <v>0</v>
      </c>
      <c r="W616" s="53">
        <v>0</v>
      </c>
      <c r="X616" s="53">
        <v>0</v>
      </c>
      <c r="Y616" s="53">
        <v>0</v>
      </c>
      <c r="Z616" s="53">
        <v>0</v>
      </c>
      <c r="AA616" s="53">
        <v>0</v>
      </c>
      <c r="AB616" s="53">
        <v>0</v>
      </c>
      <c r="AC616" s="53">
        <v>0</v>
      </c>
      <c r="AD616" s="53">
        <v>0</v>
      </c>
      <c r="AE616" s="53">
        <v>0</v>
      </c>
      <c r="AF616" s="53">
        <v>0</v>
      </c>
      <c r="AG616" s="53">
        <v>0</v>
      </c>
      <c r="AH616" s="53">
        <v>0</v>
      </c>
      <c r="AI616" s="53">
        <v>0</v>
      </c>
      <c r="AJ616" s="53">
        <v>0</v>
      </c>
      <c r="AK616" s="53">
        <v>0</v>
      </c>
      <c r="AL616" s="53">
        <v>0</v>
      </c>
      <c r="AM616" s="53" t="str">
        <f>I616-J616-K616-L616-M616-N616-O616-P616-Q616-R616-S616-T616-U616-V616-W616-X616-Y616-Z616-AA616-AB616-AC616-AD616-AE616-AF616-AG616+AH616-AI616+AJ616+AK616-AL616</f>
        <v>0</v>
      </c>
      <c r="AN616" s="53"/>
      <c r="AO616" s="27"/>
    </row>
    <row r="617" spans="1:41">
      <c r="A617" s="44">
        <v>589</v>
      </c>
      <c r="B617" s="46" t="s">
        <v>2448</v>
      </c>
      <c r="C617" s="48" t="s">
        <v>2449</v>
      </c>
      <c r="D617" s="51" t="s">
        <v>73</v>
      </c>
      <c r="E617" s="51" t="s">
        <v>2441</v>
      </c>
      <c r="F617" s="54" t="s">
        <v>1683</v>
      </c>
      <c r="G617" s="50">
        <v>11</v>
      </c>
      <c r="H617" s="51" t="s">
        <v>2450</v>
      </c>
      <c r="I617" s="53">
        <v>1925000</v>
      </c>
      <c r="J617" s="53">
        <v>0</v>
      </c>
      <c r="K617" s="53">
        <v>44000</v>
      </c>
      <c r="L617" s="53">
        <v>0</v>
      </c>
      <c r="M617" s="53">
        <v>0</v>
      </c>
      <c r="N617" s="53">
        <v>0</v>
      </c>
      <c r="O617" s="53">
        <v>0</v>
      </c>
      <c r="P617" s="53">
        <v>0</v>
      </c>
      <c r="Q617" s="53">
        <v>0</v>
      </c>
      <c r="R617" s="53">
        <v>0</v>
      </c>
      <c r="S617" s="53">
        <v>0</v>
      </c>
      <c r="T617" s="53">
        <v>0</v>
      </c>
      <c r="U617" s="53">
        <v>2200</v>
      </c>
      <c r="V617" s="53">
        <v>0</v>
      </c>
      <c r="W617" s="53">
        <v>0</v>
      </c>
      <c r="X617" s="53">
        <v>0</v>
      </c>
      <c r="Y617" s="53">
        <v>0</v>
      </c>
      <c r="Z617" s="53">
        <v>0</v>
      </c>
      <c r="AA617" s="53">
        <v>0</v>
      </c>
      <c r="AB617" s="53">
        <v>0</v>
      </c>
      <c r="AC617" s="53">
        <v>0</v>
      </c>
      <c r="AD617" s="53">
        <v>0</v>
      </c>
      <c r="AE617" s="53">
        <v>0</v>
      </c>
      <c r="AF617" s="53">
        <v>0</v>
      </c>
      <c r="AG617" s="53">
        <v>0</v>
      </c>
      <c r="AH617" s="53">
        <v>0</v>
      </c>
      <c r="AI617" s="53">
        <v>0</v>
      </c>
      <c r="AJ617" s="53">
        <v>0</v>
      </c>
      <c r="AK617" s="53">
        <v>0</v>
      </c>
      <c r="AL617" s="53">
        <v>0</v>
      </c>
      <c r="AM617" s="53" t="str">
        <f>I617-J617-K617-L617-M617-N617-O617-P617-Q617-R617-S617-T617-U617-V617-W617-X617-Y617-Z617-AA617-AB617-AC617-AD617-AE617-AF617-AG617+AH617-AI617+AJ617+AK617-AL617</f>
        <v>0</v>
      </c>
      <c r="AN617" s="53"/>
      <c r="AO617" s="27"/>
    </row>
    <row r="618" spans="1:41">
      <c r="A618" s="44">
        <v>590</v>
      </c>
      <c r="B618" s="46" t="s">
        <v>2451</v>
      </c>
      <c r="C618" s="48" t="s">
        <v>2452</v>
      </c>
      <c r="D618" s="51" t="s">
        <v>73</v>
      </c>
      <c r="E618" s="51" t="s">
        <v>2453</v>
      </c>
      <c r="F618" s="54" t="s">
        <v>2454</v>
      </c>
      <c r="G618" s="50">
        <v>0.1</v>
      </c>
      <c r="H618" s="51" t="s">
        <v>2455</v>
      </c>
      <c r="I618" s="53">
        <v>364200</v>
      </c>
      <c r="J618" s="53">
        <v>0</v>
      </c>
      <c r="K618" s="53">
        <v>22000</v>
      </c>
      <c r="L618" s="53">
        <v>0</v>
      </c>
      <c r="M618" s="53">
        <v>0</v>
      </c>
      <c r="N618" s="53">
        <v>0</v>
      </c>
      <c r="O618" s="53">
        <v>0</v>
      </c>
      <c r="P618" s="53">
        <v>0</v>
      </c>
      <c r="Q618" s="53">
        <v>0</v>
      </c>
      <c r="R618" s="53">
        <v>0</v>
      </c>
      <c r="S618" s="53">
        <v>0</v>
      </c>
      <c r="T618" s="53">
        <v>0</v>
      </c>
      <c r="U618" s="53">
        <v>1100</v>
      </c>
      <c r="V618" s="53">
        <v>0</v>
      </c>
      <c r="W618" s="53">
        <v>0</v>
      </c>
      <c r="X618" s="53">
        <v>0</v>
      </c>
      <c r="Y618" s="53">
        <v>0</v>
      </c>
      <c r="Z618" s="53">
        <v>0</v>
      </c>
      <c r="AA618" s="53">
        <v>0</v>
      </c>
      <c r="AB618" s="53">
        <v>0</v>
      </c>
      <c r="AC618" s="53">
        <v>0</v>
      </c>
      <c r="AD618" s="53">
        <v>0</v>
      </c>
      <c r="AE618" s="53">
        <v>0</v>
      </c>
      <c r="AF618" s="53">
        <v>0</v>
      </c>
      <c r="AG618" s="53">
        <v>0</v>
      </c>
      <c r="AH618" s="53">
        <v>0</v>
      </c>
      <c r="AI618" s="53">
        <v>0</v>
      </c>
      <c r="AJ618" s="53">
        <v>0</v>
      </c>
      <c r="AK618" s="53">
        <v>0</v>
      </c>
      <c r="AL618" s="53">
        <v>0</v>
      </c>
      <c r="AM618" s="53" t="str">
        <f>I618-J618-K618-L618-M618-N618-O618-P618-Q618-R618-S618-T618-U618-V618-W618-X618-Y618-Z618-AA618-AB618-AC618-AD618-AE618-AF618-AG618+AH618-AI618+AJ618+AK618-AL618</f>
        <v>0</v>
      </c>
      <c r="AN618" s="53"/>
      <c r="AO618" s="27"/>
    </row>
    <row r="619" spans="1:41">
      <c r="A619" s="44">
        <v>591</v>
      </c>
      <c r="B619" s="46" t="s">
        <v>2456</v>
      </c>
      <c r="C619" s="48" t="s">
        <v>2457</v>
      </c>
      <c r="D619" s="51" t="s">
        <v>73</v>
      </c>
      <c r="E619" s="51" t="s">
        <v>2458</v>
      </c>
      <c r="F619" s="54" t="s">
        <v>2459</v>
      </c>
      <c r="G619" s="50">
        <v>3</v>
      </c>
      <c r="H619" s="51" t="s">
        <v>2460</v>
      </c>
      <c r="I619" s="53">
        <v>0</v>
      </c>
      <c r="J619" s="53">
        <v>0</v>
      </c>
      <c r="K619" s="53">
        <v>22000</v>
      </c>
      <c r="L619" s="53">
        <v>0</v>
      </c>
      <c r="M619" s="53">
        <v>0</v>
      </c>
      <c r="N619" s="53">
        <v>0</v>
      </c>
      <c r="O619" s="53">
        <v>0</v>
      </c>
      <c r="P619" s="53">
        <v>0</v>
      </c>
      <c r="Q619" s="53">
        <v>0</v>
      </c>
      <c r="R619" s="53">
        <v>0</v>
      </c>
      <c r="S619" s="53">
        <v>0</v>
      </c>
      <c r="T619" s="53">
        <v>0</v>
      </c>
      <c r="U619" s="53">
        <v>1100</v>
      </c>
      <c r="V619" s="53">
        <v>0</v>
      </c>
      <c r="W619" s="53">
        <v>0</v>
      </c>
      <c r="X619" s="53">
        <v>0</v>
      </c>
      <c r="Y619" s="53">
        <v>0</v>
      </c>
      <c r="Z619" s="53">
        <v>0</v>
      </c>
      <c r="AA619" s="53">
        <v>0</v>
      </c>
      <c r="AB619" s="53">
        <v>0</v>
      </c>
      <c r="AC619" s="53">
        <v>0</v>
      </c>
      <c r="AD619" s="53">
        <v>0</v>
      </c>
      <c r="AE619" s="53">
        <v>0</v>
      </c>
      <c r="AF619" s="53">
        <v>0</v>
      </c>
      <c r="AG619" s="53">
        <v>0</v>
      </c>
      <c r="AH619" s="53">
        <v>0</v>
      </c>
      <c r="AI619" s="53">
        <v>0</v>
      </c>
      <c r="AJ619" s="53">
        <v>0</v>
      </c>
      <c r="AK619" s="53">
        <v>0</v>
      </c>
      <c r="AL619" s="53">
        <v>0</v>
      </c>
      <c r="AM619" s="53" t="str">
        <f>I619-J619-K619-L619-M619-N619-O619-P619-Q619-R619-S619-T619-U619-V619-W619-X619-Y619-Z619-AA619-AB619-AC619-AD619-AE619-AF619-AG619+AH619-AI619+AJ619+AK619-AL619</f>
        <v>0</v>
      </c>
      <c r="AN619" s="53"/>
      <c r="AO619" s="27"/>
    </row>
    <row r="620" spans="1:41">
      <c r="A620" s="44">
        <v>592</v>
      </c>
      <c r="B620" s="46" t="s">
        <v>2461</v>
      </c>
      <c r="C620" s="48" t="s">
        <v>2462</v>
      </c>
      <c r="D620" s="51" t="s">
        <v>73</v>
      </c>
      <c r="E620" s="51" t="s">
        <v>2458</v>
      </c>
      <c r="F620" s="54" t="s">
        <v>2463</v>
      </c>
      <c r="G620" s="50">
        <v>5</v>
      </c>
      <c r="H620" s="51" t="s">
        <v>2464</v>
      </c>
      <c r="I620" s="53">
        <v>0</v>
      </c>
      <c r="J620" s="53">
        <v>0</v>
      </c>
      <c r="K620" s="53">
        <v>27000</v>
      </c>
      <c r="L620" s="53">
        <v>0</v>
      </c>
      <c r="M620" s="53">
        <v>0</v>
      </c>
      <c r="N620" s="53">
        <v>0</v>
      </c>
      <c r="O620" s="53">
        <v>0</v>
      </c>
      <c r="P620" s="53">
        <v>0</v>
      </c>
      <c r="Q620" s="53">
        <v>0</v>
      </c>
      <c r="R620" s="53">
        <v>0</v>
      </c>
      <c r="S620" s="53">
        <v>0</v>
      </c>
      <c r="T620" s="53">
        <v>0</v>
      </c>
      <c r="U620" s="53">
        <v>1350</v>
      </c>
      <c r="V620" s="53">
        <v>0</v>
      </c>
      <c r="W620" s="53">
        <v>0</v>
      </c>
      <c r="X620" s="53">
        <v>0</v>
      </c>
      <c r="Y620" s="53">
        <v>0</v>
      </c>
      <c r="Z620" s="53">
        <v>0</v>
      </c>
      <c r="AA620" s="53">
        <v>0</v>
      </c>
      <c r="AB620" s="53">
        <v>0</v>
      </c>
      <c r="AC620" s="53">
        <v>0</v>
      </c>
      <c r="AD620" s="53">
        <v>0</v>
      </c>
      <c r="AE620" s="53">
        <v>0</v>
      </c>
      <c r="AF620" s="53">
        <v>0</v>
      </c>
      <c r="AG620" s="53">
        <v>0</v>
      </c>
      <c r="AH620" s="53">
        <v>0</v>
      </c>
      <c r="AI620" s="53">
        <v>0</v>
      </c>
      <c r="AJ620" s="53">
        <v>0</v>
      </c>
      <c r="AK620" s="53">
        <v>0</v>
      </c>
      <c r="AL620" s="53">
        <v>0</v>
      </c>
      <c r="AM620" s="53" t="str">
        <f>I620-J620-K620-L620-M620-N620-O620-P620-Q620-R620-S620-T620-U620-V620-W620-X620-Y620-Z620-AA620-AB620-AC620-AD620-AE620-AF620-AG620+AH620-AI620+AJ620+AK620-AL620</f>
        <v>0</v>
      </c>
      <c r="AN620" s="53"/>
      <c r="AO620" s="27"/>
    </row>
    <row r="621" spans="1:41">
      <c r="A621" s="44">
        <v>593</v>
      </c>
      <c r="B621" s="46" t="s">
        <v>2465</v>
      </c>
      <c r="C621" s="48" t="s">
        <v>2466</v>
      </c>
      <c r="D621" s="51" t="s">
        <v>73</v>
      </c>
      <c r="E621" s="51" t="s">
        <v>2458</v>
      </c>
      <c r="F621" s="54" t="s">
        <v>658</v>
      </c>
      <c r="G621" s="50">
        <v>3</v>
      </c>
      <c r="H621" s="51" t="s">
        <v>2467</v>
      </c>
      <c r="I621" s="53">
        <v>0</v>
      </c>
      <c r="J621" s="53">
        <v>0</v>
      </c>
      <c r="K621" s="53">
        <v>22000</v>
      </c>
      <c r="L621" s="53">
        <v>0</v>
      </c>
      <c r="M621" s="53">
        <v>0</v>
      </c>
      <c r="N621" s="53">
        <v>0</v>
      </c>
      <c r="O621" s="53">
        <v>0</v>
      </c>
      <c r="P621" s="53">
        <v>0</v>
      </c>
      <c r="Q621" s="53">
        <v>0</v>
      </c>
      <c r="R621" s="53">
        <v>0</v>
      </c>
      <c r="S621" s="53">
        <v>0</v>
      </c>
      <c r="T621" s="53">
        <v>0</v>
      </c>
      <c r="U621" s="53">
        <v>1100</v>
      </c>
      <c r="V621" s="53">
        <v>0</v>
      </c>
      <c r="W621" s="53">
        <v>0</v>
      </c>
      <c r="X621" s="53">
        <v>0</v>
      </c>
      <c r="Y621" s="53">
        <v>0</v>
      </c>
      <c r="Z621" s="53">
        <v>0</v>
      </c>
      <c r="AA621" s="53">
        <v>0</v>
      </c>
      <c r="AB621" s="53">
        <v>0</v>
      </c>
      <c r="AC621" s="53">
        <v>0</v>
      </c>
      <c r="AD621" s="53">
        <v>0</v>
      </c>
      <c r="AE621" s="53">
        <v>0</v>
      </c>
      <c r="AF621" s="53">
        <v>0</v>
      </c>
      <c r="AG621" s="53">
        <v>0</v>
      </c>
      <c r="AH621" s="53">
        <v>0</v>
      </c>
      <c r="AI621" s="53">
        <v>0</v>
      </c>
      <c r="AJ621" s="53">
        <v>0</v>
      </c>
      <c r="AK621" s="53">
        <v>0</v>
      </c>
      <c r="AL621" s="53">
        <v>0</v>
      </c>
      <c r="AM621" s="53" t="str">
        <f>I621-J621-K621-L621-M621-N621-O621-P621-Q621-R621-S621-T621-U621-V621-W621-X621-Y621-Z621-AA621-AB621-AC621-AD621-AE621-AF621-AG621+AH621-AI621+AJ621+AK621-AL621</f>
        <v>0</v>
      </c>
      <c r="AN621" s="53"/>
      <c r="AO621" s="27"/>
    </row>
    <row r="622" spans="1:41">
      <c r="A622" s="44">
        <v>594</v>
      </c>
      <c r="B622" s="46" t="s">
        <v>2468</v>
      </c>
      <c r="C622" s="48" t="s">
        <v>2469</v>
      </c>
      <c r="D622" s="51" t="s">
        <v>73</v>
      </c>
      <c r="E622" s="51" t="s">
        <v>2470</v>
      </c>
      <c r="F622" s="54" t="s">
        <v>2471</v>
      </c>
      <c r="G622" s="50">
        <v>2</v>
      </c>
      <c r="H622" s="51" t="s">
        <v>2472</v>
      </c>
      <c r="I622" s="53">
        <v>0</v>
      </c>
      <c r="J622" s="53">
        <v>0</v>
      </c>
      <c r="K622" s="53">
        <v>22000</v>
      </c>
      <c r="L622" s="53">
        <v>0</v>
      </c>
      <c r="M622" s="53">
        <v>0</v>
      </c>
      <c r="N622" s="53">
        <v>0</v>
      </c>
      <c r="O622" s="53">
        <v>0</v>
      </c>
      <c r="P622" s="53">
        <v>0</v>
      </c>
      <c r="Q622" s="53">
        <v>0</v>
      </c>
      <c r="R622" s="53">
        <v>0</v>
      </c>
      <c r="S622" s="53">
        <v>0</v>
      </c>
      <c r="T622" s="53">
        <v>0</v>
      </c>
      <c r="U622" s="53">
        <v>1100</v>
      </c>
      <c r="V622" s="53">
        <v>0</v>
      </c>
      <c r="W622" s="53">
        <v>0</v>
      </c>
      <c r="X622" s="53">
        <v>0</v>
      </c>
      <c r="Y622" s="53">
        <v>0</v>
      </c>
      <c r="Z622" s="53">
        <v>0</v>
      </c>
      <c r="AA622" s="53">
        <v>0</v>
      </c>
      <c r="AB622" s="53">
        <v>0</v>
      </c>
      <c r="AC622" s="53">
        <v>0</v>
      </c>
      <c r="AD622" s="53">
        <v>0</v>
      </c>
      <c r="AE622" s="53">
        <v>0</v>
      </c>
      <c r="AF622" s="53">
        <v>0</v>
      </c>
      <c r="AG622" s="53">
        <v>0</v>
      </c>
      <c r="AH622" s="53">
        <v>0</v>
      </c>
      <c r="AI622" s="53">
        <v>0</v>
      </c>
      <c r="AJ622" s="53">
        <v>0</v>
      </c>
      <c r="AK622" s="53">
        <v>0</v>
      </c>
      <c r="AL622" s="53">
        <v>0</v>
      </c>
      <c r="AM622" s="53" t="str">
        <f>I622-J622-K622-L622-M622-N622-O622-P622-Q622-R622-S622-T622-U622-V622-W622-X622-Y622-Z622-AA622-AB622-AC622-AD622-AE622-AF622-AG622+AH622-AI622+AJ622+AK622-AL622</f>
        <v>0</v>
      </c>
      <c r="AN622" s="53"/>
      <c r="AO622" s="27"/>
    </row>
    <row r="623" spans="1:41">
      <c r="A623" s="44">
        <v>595</v>
      </c>
      <c r="B623" s="46" t="s">
        <v>2473</v>
      </c>
      <c r="C623" s="48" t="s">
        <v>2474</v>
      </c>
      <c r="D623" s="51" t="s">
        <v>73</v>
      </c>
      <c r="E623" s="51" t="s">
        <v>2470</v>
      </c>
      <c r="F623" s="54" t="s">
        <v>2475</v>
      </c>
      <c r="G623" s="50">
        <v>2</v>
      </c>
      <c r="H623" s="51" t="s">
        <v>2476</v>
      </c>
      <c r="I623" s="53">
        <v>0</v>
      </c>
      <c r="J623" s="53">
        <v>0</v>
      </c>
      <c r="K623" s="53">
        <v>22000</v>
      </c>
      <c r="L623" s="53">
        <v>0</v>
      </c>
      <c r="M623" s="53">
        <v>0</v>
      </c>
      <c r="N623" s="53">
        <v>0</v>
      </c>
      <c r="O623" s="53">
        <v>0</v>
      </c>
      <c r="P623" s="53">
        <v>0</v>
      </c>
      <c r="Q623" s="53">
        <v>0</v>
      </c>
      <c r="R623" s="53">
        <v>0</v>
      </c>
      <c r="S623" s="53">
        <v>0</v>
      </c>
      <c r="T623" s="53">
        <v>0</v>
      </c>
      <c r="U623" s="53">
        <v>1100</v>
      </c>
      <c r="V623" s="53">
        <v>0</v>
      </c>
      <c r="W623" s="53">
        <v>0</v>
      </c>
      <c r="X623" s="53">
        <v>0</v>
      </c>
      <c r="Y623" s="53">
        <v>0</v>
      </c>
      <c r="Z623" s="53">
        <v>0</v>
      </c>
      <c r="AA623" s="53">
        <v>0</v>
      </c>
      <c r="AB623" s="53">
        <v>0</v>
      </c>
      <c r="AC623" s="53">
        <v>0</v>
      </c>
      <c r="AD623" s="53">
        <v>0</v>
      </c>
      <c r="AE623" s="53">
        <v>0</v>
      </c>
      <c r="AF623" s="53">
        <v>0</v>
      </c>
      <c r="AG623" s="53">
        <v>0</v>
      </c>
      <c r="AH623" s="53">
        <v>0</v>
      </c>
      <c r="AI623" s="53">
        <v>0</v>
      </c>
      <c r="AJ623" s="53">
        <v>0</v>
      </c>
      <c r="AK623" s="53">
        <v>0</v>
      </c>
      <c r="AL623" s="53">
        <v>0</v>
      </c>
      <c r="AM623" s="53" t="str">
        <f>I623-J623-K623-L623-M623-N623-O623-P623-Q623-R623-S623-T623-U623-V623-W623-X623-Y623-Z623-AA623-AB623-AC623-AD623-AE623-AF623-AG623+AH623-AI623+AJ623+AK623-AL623</f>
        <v>0</v>
      </c>
      <c r="AN623" s="53"/>
      <c r="AO623" s="27"/>
    </row>
    <row r="624" spans="1:41">
      <c r="A624" s="44">
        <v>596</v>
      </c>
      <c r="B624" s="46" t="s">
        <v>2477</v>
      </c>
      <c r="C624" s="48" t="s">
        <v>2478</v>
      </c>
      <c r="D624" s="51" t="s">
        <v>73</v>
      </c>
      <c r="E624" s="51" t="s">
        <v>2470</v>
      </c>
      <c r="F624" s="54" t="s">
        <v>2479</v>
      </c>
      <c r="G624" s="50">
        <v>2</v>
      </c>
      <c r="H624" s="51" t="s">
        <v>2480</v>
      </c>
      <c r="I624" s="53">
        <v>0</v>
      </c>
      <c r="J624" s="53">
        <v>0</v>
      </c>
      <c r="K624" s="53">
        <v>23000</v>
      </c>
      <c r="L624" s="53">
        <v>0</v>
      </c>
      <c r="M624" s="53">
        <v>0</v>
      </c>
      <c r="N624" s="53">
        <v>0</v>
      </c>
      <c r="O624" s="53">
        <v>0</v>
      </c>
      <c r="P624" s="53">
        <v>0</v>
      </c>
      <c r="Q624" s="53">
        <v>0</v>
      </c>
      <c r="R624" s="53">
        <v>0</v>
      </c>
      <c r="S624" s="53">
        <v>0</v>
      </c>
      <c r="T624" s="53">
        <v>0</v>
      </c>
      <c r="U624" s="53">
        <v>1150</v>
      </c>
      <c r="V624" s="53">
        <v>0</v>
      </c>
      <c r="W624" s="53">
        <v>0</v>
      </c>
      <c r="X624" s="53">
        <v>0</v>
      </c>
      <c r="Y624" s="53">
        <v>0</v>
      </c>
      <c r="Z624" s="53">
        <v>0</v>
      </c>
      <c r="AA624" s="53">
        <v>0</v>
      </c>
      <c r="AB624" s="53">
        <v>0</v>
      </c>
      <c r="AC624" s="53">
        <v>0</v>
      </c>
      <c r="AD624" s="53">
        <v>0</v>
      </c>
      <c r="AE624" s="53">
        <v>0</v>
      </c>
      <c r="AF624" s="53">
        <v>0</v>
      </c>
      <c r="AG624" s="53">
        <v>0</v>
      </c>
      <c r="AH624" s="53">
        <v>0</v>
      </c>
      <c r="AI624" s="53">
        <v>0</v>
      </c>
      <c r="AJ624" s="53">
        <v>0</v>
      </c>
      <c r="AK624" s="53">
        <v>0</v>
      </c>
      <c r="AL624" s="53">
        <v>0</v>
      </c>
      <c r="AM624" s="53" t="str">
        <f>I624-J624-K624-L624-M624-N624-O624-P624-Q624-R624-S624-T624-U624-V624-W624-X624-Y624-Z624-AA624-AB624-AC624-AD624-AE624-AF624-AG624+AH624-AI624+AJ624+AK624-AL624</f>
        <v>0</v>
      </c>
      <c r="AN624" s="53"/>
      <c r="AO624" s="27"/>
    </row>
    <row r="625" spans="1:41">
      <c r="A625" s="44">
        <v>597</v>
      </c>
      <c r="B625" s="46" t="s">
        <v>2481</v>
      </c>
      <c r="C625" s="48" t="s">
        <v>2482</v>
      </c>
      <c r="D625" s="51" t="s">
        <v>73</v>
      </c>
      <c r="E625" s="51" t="s">
        <v>2470</v>
      </c>
      <c r="F625" s="54" t="s">
        <v>2483</v>
      </c>
      <c r="G625" s="50">
        <v>3</v>
      </c>
      <c r="H625" s="51" t="s">
        <v>2484</v>
      </c>
      <c r="I625" s="53">
        <v>0</v>
      </c>
      <c r="J625" s="53">
        <v>0</v>
      </c>
      <c r="K625" s="53">
        <v>22000</v>
      </c>
      <c r="L625" s="53">
        <v>0</v>
      </c>
      <c r="M625" s="53">
        <v>0</v>
      </c>
      <c r="N625" s="53">
        <v>0</v>
      </c>
      <c r="O625" s="53">
        <v>0</v>
      </c>
      <c r="P625" s="53">
        <v>0</v>
      </c>
      <c r="Q625" s="53">
        <v>0</v>
      </c>
      <c r="R625" s="53">
        <v>0</v>
      </c>
      <c r="S625" s="53">
        <v>0</v>
      </c>
      <c r="T625" s="53">
        <v>0</v>
      </c>
      <c r="U625" s="53">
        <v>1100</v>
      </c>
      <c r="V625" s="53">
        <v>0</v>
      </c>
      <c r="W625" s="53">
        <v>0</v>
      </c>
      <c r="X625" s="53">
        <v>0</v>
      </c>
      <c r="Y625" s="53">
        <v>0</v>
      </c>
      <c r="Z625" s="53">
        <v>0</v>
      </c>
      <c r="AA625" s="53">
        <v>0</v>
      </c>
      <c r="AB625" s="53">
        <v>0</v>
      </c>
      <c r="AC625" s="53">
        <v>0</v>
      </c>
      <c r="AD625" s="53">
        <v>0</v>
      </c>
      <c r="AE625" s="53">
        <v>0</v>
      </c>
      <c r="AF625" s="53">
        <v>0</v>
      </c>
      <c r="AG625" s="53">
        <v>0</v>
      </c>
      <c r="AH625" s="53">
        <v>0</v>
      </c>
      <c r="AI625" s="53">
        <v>0</v>
      </c>
      <c r="AJ625" s="53">
        <v>0</v>
      </c>
      <c r="AK625" s="53">
        <v>0</v>
      </c>
      <c r="AL625" s="53">
        <v>0</v>
      </c>
      <c r="AM625" s="53" t="str">
        <f>I625-J625-K625-L625-M625-N625-O625-P625-Q625-R625-S625-T625-U625-V625-W625-X625-Y625-Z625-AA625-AB625-AC625-AD625-AE625-AF625-AG625+AH625-AI625+AJ625+AK625-AL625</f>
        <v>0</v>
      </c>
      <c r="AN625" s="53"/>
      <c r="AO625" s="27"/>
    </row>
    <row r="626" spans="1:41">
      <c r="A626" s="44">
        <v>598</v>
      </c>
      <c r="B626" s="46" t="s">
        <v>2485</v>
      </c>
      <c r="C626" s="48" t="s">
        <v>2486</v>
      </c>
      <c r="D626" s="51" t="s">
        <v>73</v>
      </c>
      <c r="E626" s="51" t="s">
        <v>2470</v>
      </c>
      <c r="F626" s="54" t="s">
        <v>2487</v>
      </c>
      <c r="G626" s="50">
        <v>3</v>
      </c>
      <c r="H626" s="51" t="s">
        <v>2488</v>
      </c>
      <c r="I626" s="53">
        <v>0</v>
      </c>
      <c r="J626" s="53">
        <v>0</v>
      </c>
      <c r="K626" s="53">
        <v>22000</v>
      </c>
      <c r="L626" s="53">
        <v>0</v>
      </c>
      <c r="M626" s="53">
        <v>0</v>
      </c>
      <c r="N626" s="53">
        <v>0</v>
      </c>
      <c r="O626" s="53">
        <v>0</v>
      </c>
      <c r="P626" s="53">
        <v>0</v>
      </c>
      <c r="Q626" s="53">
        <v>0</v>
      </c>
      <c r="R626" s="53">
        <v>0</v>
      </c>
      <c r="S626" s="53">
        <v>0</v>
      </c>
      <c r="T626" s="53">
        <v>0</v>
      </c>
      <c r="U626" s="53">
        <v>1100</v>
      </c>
      <c r="V626" s="53">
        <v>0</v>
      </c>
      <c r="W626" s="53">
        <v>0</v>
      </c>
      <c r="X626" s="53">
        <v>0</v>
      </c>
      <c r="Y626" s="53">
        <v>0</v>
      </c>
      <c r="Z626" s="53">
        <v>0</v>
      </c>
      <c r="AA626" s="53">
        <v>0</v>
      </c>
      <c r="AB626" s="53">
        <v>0</v>
      </c>
      <c r="AC626" s="53">
        <v>0</v>
      </c>
      <c r="AD626" s="53">
        <v>0</v>
      </c>
      <c r="AE626" s="53">
        <v>0</v>
      </c>
      <c r="AF626" s="53">
        <v>0</v>
      </c>
      <c r="AG626" s="53">
        <v>0</v>
      </c>
      <c r="AH626" s="53">
        <v>0</v>
      </c>
      <c r="AI626" s="53">
        <v>0</v>
      </c>
      <c r="AJ626" s="53">
        <v>0</v>
      </c>
      <c r="AK626" s="53">
        <v>0</v>
      </c>
      <c r="AL626" s="53">
        <v>0</v>
      </c>
      <c r="AM626" s="53" t="str">
        <f>I626-J626-K626-L626-M626-N626-O626-P626-Q626-R626-S626-T626-U626-V626-W626-X626-Y626-Z626-AA626-AB626-AC626-AD626-AE626-AF626-AG626+AH626-AI626+AJ626+AK626-AL626</f>
        <v>0</v>
      </c>
      <c r="AN626" s="53"/>
      <c r="AO626" s="27"/>
    </row>
    <row r="627" spans="1:41">
      <c r="A627" s="44">
        <v>599</v>
      </c>
      <c r="B627" s="46" t="s">
        <v>2489</v>
      </c>
      <c r="C627" s="48" t="s">
        <v>2490</v>
      </c>
      <c r="D627" s="51" t="s">
        <v>73</v>
      </c>
      <c r="E627" s="51" t="s">
        <v>2491</v>
      </c>
      <c r="F627" s="54" t="s">
        <v>2492</v>
      </c>
      <c r="G627" s="50">
        <v>3</v>
      </c>
      <c r="H627" s="51" t="s">
        <v>2493</v>
      </c>
      <c r="I627" s="53">
        <v>0</v>
      </c>
      <c r="J627" s="53">
        <v>0</v>
      </c>
      <c r="K627" s="53">
        <v>23000</v>
      </c>
      <c r="L627" s="53">
        <v>0</v>
      </c>
      <c r="M627" s="53">
        <v>0</v>
      </c>
      <c r="N627" s="53">
        <v>0</v>
      </c>
      <c r="O627" s="53">
        <v>0</v>
      </c>
      <c r="P627" s="53">
        <v>0</v>
      </c>
      <c r="Q627" s="53">
        <v>0</v>
      </c>
      <c r="R627" s="53">
        <v>0</v>
      </c>
      <c r="S627" s="53">
        <v>0</v>
      </c>
      <c r="T627" s="53">
        <v>0</v>
      </c>
      <c r="U627" s="53">
        <v>1150</v>
      </c>
      <c r="V627" s="53">
        <v>0</v>
      </c>
      <c r="W627" s="53">
        <v>0</v>
      </c>
      <c r="X627" s="53">
        <v>0</v>
      </c>
      <c r="Y627" s="53">
        <v>0</v>
      </c>
      <c r="Z627" s="53">
        <v>0</v>
      </c>
      <c r="AA627" s="53">
        <v>0</v>
      </c>
      <c r="AB627" s="53">
        <v>0</v>
      </c>
      <c r="AC627" s="53">
        <v>0</v>
      </c>
      <c r="AD627" s="53">
        <v>0</v>
      </c>
      <c r="AE627" s="53">
        <v>0</v>
      </c>
      <c r="AF627" s="53">
        <v>0</v>
      </c>
      <c r="AG627" s="53">
        <v>0</v>
      </c>
      <c r="AH627" s="53">
        <v>0</v>
      </c>
      <c r="AI627" s="53">
        <v>0</v>
      </c>
      <c r="AJ627" s="53">
        <v>0</v>
      </c>
      <c r="AK627" s="53">
        <v>0</v>
      </c>
      <c r="AL627" s="53">
        <v>0</v>
      </c>
      <c r="AM627" s="53" t="str">
        <f>I627-J627-K627-L627-M627-N627-O627-P627-Q627-R627-S627-T627-U627-V627-W627-X627-Y627-Z627-AA627-AB627-AC627-AD627-AE627-AF627-AG627+AH627-AI627+AJ627+AK627-AL627</f>
        <v>0</v>
      </c>
      <c r="AN627" s="53"/>
      <c r="AO627" s="27"/>
    </row>
    <row r="628" spans="1:41">
      <c r="A628" s="44">
        <v>600</v>
      </c>
      <c r="B628" s="46" t="s">
        <v>2494</v>
      </c>
      <c r="C628" s="48" t="s">
        <v>2495</v>
      </c>
      <c r="D628" s="51" t="s">
        <v>73</v>
      </c>
      <c r="E628" s="51" t="s">
        <v>2491</v>
      </c>
      <c r="F628" s="54" t="s">
        <v>2496</v>
      </c>
      <c r="G628" s="50">
        <v>3</v>
      </c>
      <c r="H628" s="51" t="s">
        <v>2497</v>
      </c>
      <c r="I628" s="53">
        <v>0</v>
      </c>
      <c r="J628" s="53">
        <v>0</v>
      </c>
      <c r="K628" s="53">
        <v>22000</v>
      </c>
      <c r="L628" s="53">
        <v>0</v>
      </c>
      <c r="M628" s="53">
        <v>0</v>
      </c>
      <c r="N628" s="53">
        <v>0</v>
      </c>
      <c r="O628" s="53">
        <v>0</v>
      </c>
      <c r="P628" s="53">
        <v>0</v>
      </c>
      <c r="Q628" s="53">
        <v>0</v>
      </c>
      <c r="R628" s="53">
        <v>0</v>
      </c>
      <c r="S628" s="53">
        <v>0</v>
      </c>
      <c r="T628" s="53">
        <v>0</v>
      </c>
      <c r="U628" s="53">
        <v>1100</v>
      </c>
      <c r="V628" s="53">
        <v>0</v>
      </c>
      <c r="W628" s="53">
        <v>0</v>
      </c>
      <c r="X628" s="53">
        <v>0</v>
      </c>
      <c r="Y628" s="53">
        <v>0</v>
      </c>
      <c r="Z628" s="53">
        <v>0</v>
      </c>
      <c r="AA628" s="53">
        <v>0</v>
      </c>
      <c r="AB628" s="53">
        <v>0</v>
      </c>
      <c r="AC628" s="53">
        <v>0</v>
      </c>
      <c r="AD628" s="53">
        <v>0</v>
      </c>
      <c r="AE628" s="53">
        <v>0</v>
      </c>
      <c r="AF628" s="53">
        <v>0</v>
      </c>
      <c r="AG628" s="53">
        <v>0</v>
      </c>
      <c r="AH628" s="53">
        <v>0</v>
      </c>
      <c r="AI628" s="53">
        <v>0</v>
      </c>
      <c r="AJ628" s="53">
        <v>0</v>
      </c>
      <c r="AK628" s="53">
        <v>0</v>
      </c>
      <c r="AL628" s="53">
        <v>0</v>
      </c>
      <c r="AM628" s="53" t="str">
        <f>I628-J628-K628-L628-M628-N628-O628-P628-Q628-R628-S628-T628-U628-V628-W628-X628-Y628-Z628-AA628-AB628-AC628-AD628-AE628-AF628-AG628+AH628-AI628+AJ628+AK628-AL628</f>
        <v>0</v>
      </c>
      <c r="AN628" s="53"/>
      <c r="AO628" s="27"/>
    </row>
    <row r="629" spans="1:41">
      <c r="A629" s="44">
        <v>601</v>
      </c>
      <c r="B629" s="46" t="s">
        <v>2498</v>
      </c>
      <c r="C629" s="48" t="s">
        <v>2499</v>
      </c>
      <c r="D629" s="51" t="s">
        <v>73</v>
      </c>
      <c r="E629" s="51" t="s">
        <v>2491</v>
      </c>
      <c r="F629" s="54" t="s">
        <v>987</v>
      </c>
      <c r="G629" s="50">
        <v>3</v>
      </c>
      <c r="H629" s="51" t="s">
        <v>2500</v>
      </c>
      <c r="I629" s="53">
        <v>0</v>
      </c>
      <c r="J629" s="53">
        <v>0</v>
      </c>
      <c r="K629" s="53">
        <v>22000</v>
      </c>
      <c r="L629" s="53">
        <v>0</v>
      </c>
      <c r="M629" s="53">
        <v>0</v>
      </c>
      <c r="N629" s="53">
        <v>0</v>
      </c>
      <c r="O629" s="53">
        <v>0</v>
      </c>
      <c r="P629" s="53">
        <v>0</v>
      </c>
      <c r="Q629" s="53">
        <v>0</v>
      </c>
      <c r="R629" s="53">
        <v>0</v>
      </c>
      <c r="S629" s="53">
        <v>0</v>
      </c>
      <c r="T629" s="53">
        <v>0</v>
      </c>
      <c r="U629" s="53">
        <v>1100</v>
      </c>
      <c r="V629" s="53">
        <v>0</v>
      </c>
      <c r="W629" s="53">
        <v>0</v>
      </c>
      <c r="X629" s="53">
        <v>0</v>
      </c>
      <c r="Y629" s="53">
        <v>0</v>
      </c>
      <c r="Z629" s="53">
        <v>0</v>
      </c>
      <c r="AA629" s="53">
        <v>0</v>
      </c>
      <c r="AB629" s="53">
        <v>0</v>
      </c>
      <c r="AC629" s="53">
        <v>0</v>
      </c>
      <c r="AD629" s="53">
        <v>0</v>
      </c>
      <c r="AE629" s="53">
        <v>0</v>
      </c>
      <c r="AF629" s="53">
        <v>0</v>
      </c>
      <c r="AG629" s="53">
        <v>0</v>
      </c>
      <c r="AH629" s="53">
        <v>0</v>
      </c>
      <c r="AI629" s="53">
        <v>0</v>
      </c>
      <c r="AJ629" s="53">
        <v>0</v>
      </c>
      <c r="AK629" s="53">
        <v>0</v>
      </c>
      <c r="AL629" s="53">
        <v>0</v>
      </c>
      <c r="AM629" s="53" t="str">
        <f>I629-J629-K629-L629-M629-N629-O629-P629-Q629-R629-S629-T629-U629-V629-W629-X629-Y629-Z629-AA629-AB629-AC629-AD629-AE629-AF629-AG629+AH629-AI629+AJ629+AK629-AL629</f>
        <v>0</v>
      </c>
      <c r="AN629" s="53"/>
      <c r="AO629" s="27"/>
    </row>
    <row r="630" spans="1:41">
      <c r="A630" s="44">
        <v>602</v>
      </c>
      <c r="B630" s="46" t="s">
        <v>2501</v>
      </c>
      <c r="C630" s="48" t="s">
        <v>2502</v>
      </c>
      <c r="D630" s="51" t="s">
        <v>73</v>
      </c>
      <c r="E630" s="51" t="s">
        <v>2491</v>
      </c>
      <c r="F630" s="54" t="s">
        <v>2503</v>
      </c>
      <c r="G630" s="50">
        <v>3</v>
      </c>
      <c r="H630" s="51" t="s">
        <v>2504</v>
      </c>
      <c r="I630" s="53">
        <v>0</v>
      </c>
      <c r="J630" s="53">
        <v>0</v>
      </c>
      <c r="K630" s="53">
        <v>22000</v>
      </c>
      <c r="L630" s="53">
        <v>0</v>
      </c>
      <c r="M630" s="53">
        <v>0</v>
      </c>
      <c r="N630" s="53">
        <v>0</v>
      </c>
      <c r="O630" s="53">
        <v>0</v>
      </c>
      <c r="P630" s="53">
        <v>0</v>
      </c>
      <c r="Q630" s="53">
        <v>0</v>
      </c>
      <c r="R630" s="53">
        <v>0</v>
      </c>
      <c r="S630" s="53">
        <v>0</v>
      </c>
      <c r="T630" s="53">
        <v>0</v>
      </c>
      <c r="U630" s="53">
        <v>1100</v>
      </c>
      <c r="V630" s="53">
        <v>0</v>
      </c>
      <c r="W630" s="53">
        <v>0</v>
      </c>
      <c r="X630" s="53">
        <v>0</v>
      </c>
      <c r="Y630" s="53">
        <v>0</v>
      </c>
      <c r="Z630" s="53">
        <v>0</v>
      </c>
      <c r="AA630" s="53">
        <v>0</v>
      </c>
      <c r="AB630" s="53">
        <v>0</v>
      </c>
      <c r="AC630" s="53">
        <v>0</v>
      </c>
      <c r="AD630" s="53">
        <v>0</v>
      </c>
      <c r="AE630" s="53">
        <v>0</v>
      </c>
      <c r="AF630" s="53">
        <v>0</v>
      </c>
      <c r="AG630" s="53">
        <v>0</v>
      </c>
      <c r="AH630" s="53">
        <v>0</v>
      </c>
      <c r="AI630" s="53">
        <v>0</v>
      </c>
      <c r="AJ630" s="53">
        <v>0</v>
      </c>
      <c r="AK630" s="53">
        <v>0</v>
      </c>
      <c r="AL630" s="53">
        <v>0</v>
      </c>
      <c r="AM630" s="53" t="str">
        <f>I630-J630-K630-L630-M630-N630-O630-P630-Q630-R630-S630-T630-U630-V630-W630-X630-Y630-Z630-AA630-AB630-AC630-AD630-AE630-AF630-AG630+AH630-AI630+AJ630+AK630-AL630</f>
        <v>0</v>
      </c>
      <c r="AN630" s="53"/>
      <c r="AO630" s="27"/>
    </row>
    <row r="631" spans="1:41">
      <c r="A631" s="44">
        <v>603</v>
      </c>
      <c r="B631" s="46" t="s">
        <v>2505</v>
      </c>
      <c r="C631" s="48" t="s">
        <v>2506</v>
      </c>
      <c r="D631" s="51" t="s">
        <v>73</v>
      </c>
      <c r="E631" s="51" t="s">
        <v>2491</v>
      </c>
      <c r="F631" s="54" t="s">
        <v>2507</v>
      </c>
      <c r="G631" s="50">
        <v>3</v>
      </c>
      <c r="H631" s="51" t="s">
        <v>2508</v>
      </c>
      <c r="I631" s="53">
        <v>0</v>
      </c>
      <c r="J631" s="53">
        <v>0</v>
      </c>
      <c r="K631" s="53">
        <v>22000</v>
      </c>
      <c r="L631" s="53">
        <v>0</v>
      </c>
      <c r="M631" s="53">
        <v>0</v>
      </c>
      <c r="N631" s="53">
        <v>0</v>
      </c>
      <c r="O631" s="53">
        <v>0</v>
      </c>
      <c r="P631" s="53">
        <v>0</v>
      </c>
      <c r="Q631" s="53">
        <v>0</v>
      </c>
      <c r="R631" s="53">
        <v>0</v>
      </c>
      <c r="S631" s="53">
        <v>0</v>
      </c>
      <c r="T631" s="53">
        <v>0</v>
      </c>
      <c r="U631" s="53">
        <v>1100</v>
      </c>
      <c r="V631" s="53">
        <v>0</v>
      </c>
      <c r="W631" s="53">
        <v>0</v>
      </c>
      <c r="X631" s="53">
        <v>0</v>
      </c>
      <c r="Y631" s="53">
        <v>0</v>
      </c>
      <c r="Z631" s="53">
        <v>0</v>
      </c>
      <c r="AA631" s="53">
        <v>0</v>
      </c>
      <c r="AB631" s="53">
        <v>0</v>
      </c>
      <c r="AC631" s="53">
        <v>0</v>
      </c>
      <c r="AD631" s="53">
        <v>0</v>
      </c>
      <c r="AE631" s="53">
        <v>0</v>
      </c>
      <c r="AF631" s="53">
        <v>0</v>
      </c>
      <c r="AG631" s="53">
        <v>0</v>
      </c>
      <c r="AH631" s="53">
        <v>0</v>
      </c>
      <c r="AI631" s="53">
        <v>0</v>
      </c>
      <c r="AJ631" s="53">
        <v>0</v>
      </c>
      <c r="AK631" s="53">
        <v>0</v>
      </c>
      <c r="AL631" s="53">
        <v>0</v>
      </c>
      <c r="AM631" s="53" t="str">
        <f>I631-J631-K631-L631-M631-N631-O631-P631-Q631-R631-S631-T631-U631-V631-W631-X631-Y631-Z631-AA631-AB631-AC631-AD631-AE631-AF631-AG631+AH631-AI631+AJ631+AK631-AL631</f>
        <v>0</v>
      </c>
      <c r="AN631" s="53"/>
      <c r="AO631" s="27"/>
    </row>
    <row r="632" spans="1:41">
      <c r="A632" s="44">
        <v>604</v>
      </c>
      <c r="B632" s="46" t="s">
        <v>2509</v>
      </c>
      <c r="C632" s="48" t="s">
        <v>2510</v>
      </c>
      <c r="D632" s="51" t="s">
        <v>73</v>
      </c>
      <c r="E632" s="51" t="s">
        <v>2511</v>
      </c>
      <c r="F632" s="54" t="s">
        <v>2512</v>
      </c>
      <c r="G632" s="50">
        <v>3</v>
      </c>
      <c r="H632" s="51" t="s">
        <v>2513</v>
      </c>
      <c r="I632" s="53">
        <v>234000</v>
      </c>
      <c r="J632" s="53">
        <v>0</v>
      </c>
      <c r="K632" s="53">
        <v>23000</v>
      </c>
      <c r="L632" s="53">
        <v>0</v>
      </c>
      <c r="M632" s="53">
        <v>0</v>
      </c>
      <c r="N632" s="53">
        <v>0</v>
      </c>
      <c r="O632" s="53">
        <v>0</v>
      </c>
      <c r="P632" s="53">
        <v>0</v>
      </c>
      <c r="Q632" s="53">
        <v>0</v>
      </c>
      <c r="R632" s="53">
        <v>0</v>
      </c>
      <c r="S632" s="53">
        <v>0</v>
      </c>
      <c r="T632" s="53">
        <v>0</v>
      </c>
      <c r="U632" s="53">
        <v>1150</v>
      </c>
      <c r="V632" s="53">
        <v>0</v>
      </c>
      <c r="W632" s="53">
        <v>0</v>
      </c>
      <c r="X632" s="53">
        <v>0</v>
      </c>
      <c r="Y632" s="53">
        <v>0</v>
      </c>
      <c r="Z632" s="53">
        <v>0</v>
      </c>
      <c r="AA632" s="53">
        <v>0</v>
      </c>
      <c r="AB632" s="53">
        <v>0</v>
      </c>
      <c r="AC632" s="53">
        <v>0</v>
      </c>
      <c r="AD632" s="53">
        <v>0</v>
      </c>
      <c r="AE632" s="53">
        <v>0</v>
      </c>
      <c r="AF632" s="53">
        <v>0</v>
      </c>
      <c r="AG632" s="53">
        <v>0</v>
      </c>
      <c r="AH632" s="53">
        <v>0</v>
      </c>
      <c r="AI632" s="53">
        <v>0</v>
      </c>
      <c r="AJ632" s="53">
        <v>0</v>
      </c>
      <c r="AK632" s="53">
        <v>0</v>
      </c>
      <c r="AL632" s="53">
        <v>0</v>
      </c>
      <c r="AM632" s="53" t="str">
        <f>I632-J632-K632-L632-M632-N632-O632-P632-Q632-R632-S632-T632-U632-V632-W632-X632-Y632-Z632-AA632-AB632-AC632-AD632-AE632-AF632-AG632+AH632-AI632+AJ632+AK632-AL632</f>
        <v>0</v>
      </c>
      <c r="AN632" s="53"/>
      <c r="AO632" s="27"/>
    </row>
    <row r="633" spans="1:41">
      <c r="A633" s="44">
        <v>605</v>
      </c>
      <c r="B633" s="46" t="s">
        <v>2514</v>
      </c>
      <c r="C633" s="48" t="s">
        <v>2515</v>
      </c>
      <c r="D633" s="51" t="s">
        <v>73</v>
      </c>
      <c r="E633" s="51" t="s">
        <v>2511</v>
      </c>
      <c r="F633" s="54" t="s">
        <v>2516</v>
      </c>
      <c r="G633" s="50">
        <v>3</v>
      </c>
      <c r="H633" s="51" t="s">
        <v>2517</v>
      </c>
      <c r="I633" s="53">
        <v>286100</v>
      </c>
      <c r="J633" s="53">
        <v>0</v>
      </c>
      <c r="K633" s="53">
        <v>23000</v>
      </c>
      <c r="L633" s="53">
        <v>0</v>
      </c>
      <c r="M633" s="53">
        <v>0</v>
      </c>
      <c r="N633" s="53">
        <v>0</v>
      </c>
      <c r="O633" s="53">
        <v>0</v>
      </c>
      <c r="P633" s="53">
        <v>0</v>
      </c>
      <c r="Q633" s="53">
        <v>0</v>
      </c>
      <c r="R633" s="53">
        <v>0</v>
      </c>
      <c r="S633" s="53">
        <v>0</v>
      </c>
      <c r="T633" s="53">
        <v>0</v>
      </c>
      <c r="U633" s="53">
        <v>1150</v>
      </c>
      <c r="V633" s="53">
        <v>0</v>
      </c>
      <c r="W633" s="53">
        <v>0</v>
      </c>
      <c r="X633" s="53">
        <v>0</v>
      </c>
      <c r="Y633" s="53">
        <v>0</v>
      </c>
      <c r="Z633" s="53">
        <v>0</v>
      </c>
      <c r="AA633" s="53">
        <v>0</v>
      </c>
      <c r="AB633" s="53">
        <v>0</v>
      </c>
      <c r="AC633" s="53">
        <v>0</v>
      </c>
      <c r="AD633" s="53">
        <v>0</v>
      </c>
      <c r="AE633" s="53">
        <v>0</v>
      </c>
      <c r="AF633" s="53">
        <v>0</v>
      </c>
      <c r="AG633" s="53">
        <v>0</v>
      </c>
      <c r="AH633" s="53">
        <v>0</v>
      </c>
      <c r="AI633" s="53">
        <v>0</v>
      </c>
      <c r="AJ633" s="53">
        <v>0</v>
      </c>
      <c r="AK633" s="53">
        <v>0</v>
      </c>
      <c r="AL633" s="53">
        <v>0</v>
      </c>
      <c r="AM633" s="53" t="str">
        <f>I633-J633-K633-L633-M633-N633-O633-P633-Q633-R633-S633-T633-U633-V633-W633-X633-Y633-Z633-AA633-AB633-AC633-AD633-AE633-AF633-AG633+AH633-AI633+AJ633+AK633-AL633</f>
        <v>0</v>
      </c>
      <c r="AN633" s="53"/>
      <c r="AO633" s="27"/>
    </row>
    <row r="634" spans="1:41">
      <c r="A634" s="44">
        <v>606</v>
      </c>
      <c r="B634" s="46" t="s">
        <v>2518</v>
      </c>
      <c r="C634" s="48" t="s">
        <v>2519</v>
      </c>
      <c r="D634" s="51" t="s">
        <v>73</v>
      </c>
      <c r="E634" s="51" t="s">
        <v>2511</v>
      </c>
      <c r="F634" s="54" t="s">
        <v>2520</v>
      </c>
      <c r="G634" s="50">
        <v>5</v>
      </c>
      <c r="H634" s="51" t="s">
        <v>2521</v>
      </c>
      <c r="I634" s="53">
        <v>421100</v>
      </c>
      <c r="J634" s="53">
        <v>0</v>
      </c>
      <c r="K634" s="53">
        <v>23000</v>
      </c>
      <c r="L634" s="53">
        <v>0</v>
      </c>
      <c r="M634" s="53">
        <v>0</v>
      </c>
      <c r="N634" s="53">
        <v>0</v>
      </c>
      <c r="O634" s="53">
        <v>0</v>
      </c>
      <c r="P634" s="53">
        <v>0</v>
      </c>
      <c r="Q634" s="53">
        <v>0</v>
      </c>
      <c r="R634" s="53">
        <v>0</v>
      </c>
      <c r="S634" s="53">
        <v>0</v>
      </c>
      <c r="T634" s="53">
        <v>0</v>
      </c>
      <c r="U634" s="53">
        <v>1150</v>
      </c>
      <c r="V634" s="53">
        <v>0</v>
      </c>
      <c r="W634" s="53">
        <v>0</v>
      </c>
      <c r="X634" s="53">
        <v>0</v>
      </c>
      <c r="Y634" s="53">
        <v>0</v>
      </c>
      <c r="Z634" s="53">
        <v>0</v>
      </c>
      <c r="AA634" s="53">
        <v>0</v>
      </c>
      <c r="AB634" s="53">
        <v>0</v>
      </c>
      <c r="AC634" s="53">
        <v>0</v>
      </c>
      <c r="AD634" s="53">
        <v>0</v>
      </c>
      <c r="AE634" s="53">
        <v>0</v>
      </c>
      <c r="AF634" s="53">
        <v>0</v>
      </c>
      <c r="AG634" s="53">
        <v>0</v>
      </c>
      <c r="AH634" s="53">
        <v>0</v>
      </c>
      <c r="AI634" s="53">
        <v>0</v>
      </c>
      <c r="AJ634" s="53">
        <v>0</v>
      </c>
      <c r="AK634" s="53">
        <v>0</v>
      </c>
      <c r="AL634" s="53">
        <v>0</v>
      </c>
      <c r="AM634" s="53" t="str">
        <f>I634-J634-K634-L634-M634-N634-O634-P634-Q634-R634-S634-T634-U634-V634-W634-X634-Y634-Z634-AA634-AB634-AC634-AD634-AE634-AF634-AG634+AH634-AI634+AJ634+AK634-AL634</f>
        <v>0</v>
      </c>
      <c r="AN634" s="53"/>
      <c r="AO634" s="27"/>
    </row>
    <row r="635" spans="1:41">
      <c r="A635" s="44">
        <v>607</v>
      </c>
      <c r="B635" s="46" t="s">
        <v>2522</v>
      </c>
      <c r="C635" s="48" t="s">
        <v>2523</v>
      </c>
      <c r="D635" s="51" t="s">
        <v>73</v>
      </c>
      <c r="E635" s="51" t="s">
        <v>2511</v>
      </c>
      <c r="F635" s="54" t="s">
        <v>2524</v>
      </c>
      <c r="G635" s="50">
        <v>5</v>
      </c>
      <c r="H635" s="51" t="s">
        <v>2525</v>
      </c>
      <c r="I635" s="53">
        <v>1025000</v>
      </c>
      <c r="J635" s="53">
        <v>0</v>
      </c>
      <c r="K635" s="53">
        <v>23000</v>
      </c>
      <c r="L635" s="53">
        <v>0</v>
      </c>
      <c r="M635" s="53">
        <v>0</v>
      </c>
      <c r="N635" s="53">
        <v>0</v>
      </c>
      <c r="O635" s="53">
        <v>0</v>
      </c>
      <c r="P635" s="53">
        <v>0</v>
      </c>
      <c r="Q635" s="53">
        <v>0</v>
      </c>
      <c r="R635" s="53">
        <v>0</v>
      </c>
      <c r="S635" s="53">
        <v>0</v>
      </c>
      <c r="T635" s="53">
        <v>0</v>
      </c>
      <c r="U635" s="53">
        <v>1150</v>
      </c>
      <c r="V635" s="53">
        <v>0</v>
      </c>
      <c r="W635" s="53">
        <v>0</v>
      </c>
      <c r="X635" s="53">
        <v>0</v>
      </c>
      <c r="Y635" s="53">
        <v>0</v>
      </c>
      <c r="Z635" s="53">
        <v>0</v>
      </c>
      <c r="AA635" s="53">
        <v>0</v>
      </c>
      <c r="AB635" s="53">
        <v>0</v>
      </c>
      <c r="AC635" s="53">
        <v>0</v>
      </c>
      <c r="AD635" s="53">
        <v>0</v>
      </c>
      <c r="AE635" s="53">
        <v>0</v>
      </c>
      <c r="AF635" s="53">
        <v>0</v>
      </c>
      <c r="AG635" s="53">
        <v>0</v>
      </c>
      <c r="AH635" s="53">
        <v>0</v>
      </c>
      <c r="AI635" s="53">
        <v>0</v>
      </c>
      <c r="AJ635" s="53">
        <v>0</v>
      </c>
      <c r="AK635" s="53">
        <v>0</v>
      </c>
      <c r="AL635" s="53">
        <v>0</v>
      </c>
      <c r="AM635" s="53" t="str">
        <f>I635-J635-K635-L635-M635-N635-O635-P635-Q635-R635-S635-T635-U635-V635-W635-X635-Y635-Z635-AA635-AB635-AC635-AD635-AE635-AF635-AG635+AH635-AI635+AJ635+AK635-AL635</f>
        <v>0</v>
      </c>
      <c r="AN635" s="53"/>
      <c r="AO635" s="27"/>
    </row>
    <row r="636" spans="1:41">
      <c r="A636" s="44">
        <v>608</v>
      </c>
      <c r="B636" s="46" t="s">
        <v>2526</v>
      </c>
      <c r="C636" s="48" t="s">
        <v>2527</v>
      </c>
      <c r="D636" s="51" t="s">
        <v>73</v>
      </c>
      <c r="E636" s="51" t="s">
        <v>2528</v>
      </c>
      <c r="F636" s="54" t="s">
        <v>2529</v>
      </c>
      <c r="G636" s="50">
        <v>9.7</v>
      </c>
      <c r="H636" s="51" t="s">
        <v>2530</v>
      </c>
      <c r="I636" s="53">
        <v>926000</v>
      </c>
      <c r="J636" s="53">
        <v>0</v>
      </c>
      <c r="K636" s="53">
        <v>40000</v>
      </c>
      <c r="L636" s="53">
        <v>0</v>
      </c>
      <c r="M636" s="53">
        <v>0</v>
      </c>
      <c r="N636" s="53">
        <v>0</v>
      </c>
      <c r="O636" s="53">
        <v>0</v>
      </c>
      <c r="P636" s="53">
        <v>0</v>
      </c>
      <c r="Q636" s="53">
        <v>0</v>
      </c>
      <c r="R636" s="53">
        <v>0</v>
      </c>
      <c r="S636" s="53">
        <v>0</v>
      </c>
      <c r="T636" s="53">
        <v>0</v>
      </c>
      <c r="U636" s="53">
        <v>2000</v>
      </c>
      <c r="V636" s="53">
        <v>0</v>
      </c>
      <c r="W636" s="53">
        <v>0</v>
      </c>
      <c r="X636" s="53">
        <v>0</v>
      </c>
      <c r="Y636" s="53">
        <v>0</v>
      </c>
      <c r="Z636" s="53">
        <v>0</v>
      </c>
      <c r="AA636" s="53">
        <v>0</v>
      </c>
      <c r="AB636" s="53">
        <v>0</v>
      </c>
      <c r="AC636" s="53">
        <v>0</v>
      </c>
      <c r="AD636" s="53">
        <v>0</v>
      </c>
      <c r="AE636" s="53">
        <v>0</v>
      </c>
      <c r="AF636" s="53">
        <v>0</v>
      </c>
      <c r="AG636" s="53">
        <v>0</v>
      </c>
      <c r="AH636" s="53">
        <v>0</v>
      </c>
      <c r="AI636" s="53">
        <v>0</v>
      </c>
      <c r="AJ636" s="53">
        <v>0</v>
      </c>
      <c r="AK636" s="53">
        <v>0</v>
      </c>
      <c r="AL636" s="53">
        <v>0</v>
      </c>
      <c r="AM636" s="53" t="str">
        <f>I636-J636-K636-L636-M636-N636-O636-P636-Q636-R636-S636-T636-U636-V636-W636-X636-Y636-Z636-AA636-AB636-AC636-AD636-AE636-AF636-AG636+AH636-AI636+AJ636+AK636-AL636</f>
        <v>0</v>
      </c>
      <c r="AN636" s="53"/>
      <c r="AO636" s="27"/>
    </row>
    <row r="637" spans="1:41">
      <c r="A637" s="44">
        <v>609</v>
      </c>
      <c r="B637" s="46" t="s">
        <v>2531</v>
      </c>
      <c r="C637" s="48" t="s">
        <v>2532</v>
      </c>
      <c r="D637" s="51" t="s">
        <v>73</v>
      </c>
      <c r="E637" s="51" t="s">
        <v>2528</v>
      </c>
      <c r="F637" s="54" t="s">
        <v>2533</v>
      </c>
      <c r="G637" s="50">
        <v>3</v>
      </c>
      <c r="H637" s="51" t="s">
        <v>2534</v>
      </c>
      <c r="I637" s="53">
        <v>664100</v>
      </c>
      <c r="J637" s="53">
        <v>0</v>
      </c>
      <c r="K637" s="53">
        <v>22000</v>
      </c>
      <c r="L637" s="53">
        <v>0</v>
      </c>
      <c r="M637" s="53">
        <v>0</v>
      </c>
      <c r="N637" s="53">
        <v>0</v>
      </c>
      <c r="O637" s="53">
        <v>0</v>
      </c>
      <c r="P637" s="53">
        <v>0</v>
      </c>
      <c r="Q637" s="53">
        <v>0</v>
      </c>
      <c r="R637" s="53">
        <v>0</v>
      </c>
      <c r="S637" s="53">
        <v>0</v>
      </c>
      <c r="T637" s="53">
        <v>0</v>
      </c>
      <c r="U637" s="53">
        <v>1100</v>
      </c>
      <c r="V637" s="53">
        <v>0</v>
      </c>
      <c r="W637" s="53">
        <v>0</v>
      </c>
      <c r="X637" s="53">
        <v>0</v>
      </c>
      <c r="Y637" s="53">
        <v>0</v>
      </c>
      <c r="Z637" s="53">
        <v>0</v>
      </c>
      <c r="AA637" s="53">
        <v>0</v>
      </c>
      <c r="AB637" s="53">
        <v>0</v>
      </c>
      <c r="AC637" s="53">
        <v>0</v>
      </c>
      <c r="AD637" s="53">
        <v>0</v>
      </c>
      <c r="AE637" s="53">
        <v>0</v>
      </c>
      <c r="AF637" s="53">
        <v>0</v>
      </c>
      <c r="AG637" s="53">
        <v>0</v>
      </c>
      <c r="AH637" s="53">
        <v>0</v>
      </c>
      <c r="AI637" s="53">
        <v>0</v>
      </c>
      <c r="AJ637" s="53">
        <v>0</v>
      </c>
      <c r="AK637" s="53">
        <v>0</v>
      </c>
      <c r="AL637" s="53">
        <v>0</v>
      </c>
      <c r="AM637" s="53" t="str">
        <f>I637-J637-K637-L637-M637-N637-O637-P637-Q637-R637-S637-T637-U637-V637-W637-X637-Y637-Z637-AA637-AB637-AC637-AD637-AE637-AF637-AG637+AH637-AI637+AJ637+AK637-AL637</f>
        <v>0</v>
      </c>
      <c r="AN637" s="53"/>
      <c r="AO637" s="27"/>
    </row>
    <row r="638" spans="1:41">
      <c r="A638" s="44">
        <v>610</v>
      </c>
      <c r="B638" s="46" t="s">
        <v>2535</v>
      </c>
      <c r="C638" s="48" t="s">
        <v>2536</v>
      </c>
      <c r="D638" s="51" t="s">
        <v>73</v>
      </c>
      <c r="E638" s="51" t="s">
        <v>2537</v>
      </c>
      <c r="F638" s="54" t="s">
        <v>2538</v>
      </c>
      <c r="G638" s="50">
        <v>3</v>
      </c>
      <c r="H638" s="51" t="s">
        <v>2539</v>
      </c>
      <c r="I638" s="53">
        <v>570500</v>
      </c>
      <c r="J638" s="53">
        <v>0</v>
      </c>
      <c r="K638" s="53">
        <v>22000</v>
      </c>
      <c r="L638" s="53">
        <v>0</v>
      </c>
      <c r="M638" s="53">
        <v>0</v>
      </c>
      <c r="N638" s="53">
        <v>0</v>
      </c>
      <c r="O638" s="53">
        <v>0</v>
      </c>
      <c r="P638" s="53">
        <v>0</v>
      </c>
      <c r="Q638" s="53">
        <v>0</v>
      </c>
      <c r="R638" s="53">
        <v>0</v>
      </c>
      <c r="S638" s="53">
        <v>0</v>
      </c>
      <c r="T638" s="53">
        <v>0</v>
      </c>
      <c r="U638" s="53">
        <v>1100</v>
      </c>
      <c r="V638" s="53">
        <v>0</v>
      </c>
      <c r="W638" s="53">
        <v>0</v>
      </c>
      <c r="X638" s="53">
        <v>0</v>
      </c>
      <c r="Y638" s="53">
        <v>0</v>
      </c>
      <c r="Z638" s="53">
        <v>0</v>
      </c>
      <c r="AA638" s="53">
        <v>0</v>
      </c>
      <c r="AB638" s="53">
        <v>0</v>
      </c>
      <c r="AC638" s="53">
        <v>0</v>
      </c>
      <c r="AD638" s="53">
        <v>0</v>
      </c>
      <c r="AE638" s="53">
        <v>0</v>
      </c>
      <c r="AF638" s="53">
        <v>0</v>
      </c>
      <c r="AG638" s="53">
        <v>0</v>
      </c>
      <c r="AH638" s="53">
        <v>0</v>
      </c>
      <c r="AI638" s="53">
        <v>0</v>
      </c>
      <c r="AJ638" s="53">
        <v>0</v>
      </c>
      <c r="AK638" s="53">
        <v>0</v>
      </c>
      <c r="AL638" s="53">
        <v>0</v>
      </c>
      <c r="AM638" s="53" t="str">
        <f>I638-J638-K638-L638-M638-N638-O638-P638-Q638-R638-S638-T638-U638-V638-W638-X638-Y638-Z638-AA638-AB638-AC638-AD638-AE638-AF638-AG638+AH638-AI638+AJ638+AK638-AL638</f>
        <v>0</v>
      </c>
      <c r="AN638" s="53"/>
      <c r="AO638" s="27"/>
    </row>
    <row r="639" spans="1:41">
      <c r="A639" s="44">
        <v>611</v>
      </c>
      <c r="B639" s="46" t="s">
        <v>2540</v>
      </c>
      <c r="C639" s="48" t="s">
        <v>2541</v>
      </c>
      <c r="D639" s="51" t="s">
        <v>73</v>
      </c>
      <c r="E639" s="51" t="s">
        <v>2537</v>
      </c>
      <c r="F639" s="54" t="s">
        <v>2542</v>
      </c>
      <c r="G639" s="50">
        <v>3</v>
      </c>
      <c r="H639" s="51" t="s">
        <v>2543</v>
      </c>
      <c r="I639" s="53">
        <v>400000</v>
      </c>
      <c r="J639" s="53">
        <v>0</v>
      </c>
      <c r="K639" s="53">
        <v>22000</v>
      </c>
      <c r="L639" s="53">
        <v>0</v>
      </c>
      <c r="M639" s="53">
        <v>0</v>
      </c>
      <c r="N639" s="53">
        <v>0</v>
      </c>
      <c r="O639" s="53">
        <v>0</v>
      </c>
      <c r="P639" s="53">
        <v>0</v>
      </c>
      <c r="Q639" s="53">
        <v>0</v>
      </c>
      <c r="R639" s="53">
        <v>0</v>
      </c>
      <c r="S639" s="53">
        <v>0</v>
      </c>
      <c r="T639" s="53">
        <v>0</v>
      </c>
      <c r="U639" s="53">
        <v>1100</v>
      </c>
      <c r="V639" s="53">
        <v>0</v>
      </c>
      <c r="W639" s="53">
        <v>0</v>
      </c>
      <c r="X639" s="53">
        <v>0</v>
      </c>
      <c r="Y639" s="53">
        <v>0</v>
      </c>
      <c r="Z639" s="53">
        <v>0</v>
      </c>
      <c r="AA639" s="53">
        <v>0</v>
      </c>
      <c r="AB639" s="53">
        <v>0</v>
      </c>
      <c r="AC639" s="53">
        <v>0</v>
      </c>
      <c r="AD639" s="53">
        <v>0</v>
      </c>
      <c r="AE639" s="53">
        <v>0</v>
      </c>
      <c r="AF639" s="53">
        <v>0</v>
      </c>
      <c r="AG639" s="53">
        <v>0</v>
      </c>
      <c r="AH639" s="53">
        <v>0</v>
      </c>
      <c r="AI639" s="53">
        <v>0</v>
      </c>
      <c r="AJ639" s="53">
        <v>0</v>
      </c>
      <c r="AK639" s="53">
        <v>0</v>
      </c>
      <c r="AL639" s="53">
        <v>0</v>
      </c>
      <c r="AM639" s="53" t="str">
        <f>I639-J639-K639-L639-M639-N639-O639-P639-Q639-R639-S639-T639-U639-V639-W639-X639-Y639-Z639-AA639-AB639-AC639-AD639-AE639-AF639-AG639+AH639-AI639+AJ639+AK639-AL639</f>
        <v>0</v>
      </c>
      <c r="AN639" s="53"/>
      <c r="AO639" s="27"/>
    </row>
    <row r="640" spans="1:41">
      <c r="A640" s="44">
        <v>612</v>
      </c>
      <c r="B640" s="46" t="s">
        <v>2544</v>
      </c>
      <c r="C640" s="48" t="s">
        <v>2545</v>
      </c>
      <c r="D640" s="51" t="s">
        <v>73</v>
      </c>
      <c r="E640" s="51" t="s">
        <v>2537</v>
      </c>
      <c r="F640" s="54" t="s">
        <v>2546</v>
      </c>
      <c r="G640" s="50">
        <v>5</v>
      </c>
      <c r="H640" s="51" t="s">
        <v>2547</v>
      </c>
      <c r="I640" s="53">
        <v>1025000</v>
      </c>
      <c r="J640" s="53">
        <v>0</v>
      </c>
      <c r="K640" s="53">
        <v>27000</v>
      </c>
      <c r="L640" s="53">
        <v>0</v>
      </c>
      <c r="M640" s="53">
        <v>0</v>
      </c>
      <c r="N640" s="53">
        <v>0</v>
      </c>
      <c r="O640" s="53">
        <v>0</v>
      </c>
      <c r="P640" s="53">
        <v>0</v>
      </c>
      <c r="Q640" s="53">
        <v>0</v>
      </c>
      <c r="R640" s="53">
        <v>0</v>
      </c>
      <c r="S640" s="53">
        <v>0</v>
      </c>
      <c r="T640" s="53">
        <v>0</v>
      </c>
      <c r="U640" s="53">
        <v>1350</v>
      </c>
      <c r="V640" s="53">
        <v>0</v>
      </c>
      <c r="W640" s="53">
        <v>0</v>
      </c>
      <c r="X640" s="53">
        <v>0</v>
      </c>
      <c r="Y640" s="53">
        <v>0</v>
      </c>
      <c r="Z640" s="53">
        <v>0</v>
      </c>
      <c r="AA640" s="53">
        <v>0</v>
      </c>
      <c r="AB640" s="53">
        <v>0</v>
      </c>
      <c r="AC640" s="53">
        <v>0</v>
      </c>
      <c r="AD640" s="53">
        <v>0</v>
      </c>
      <c r="AE640" s="53">
        <v>0</v>
      </c>
      <c r="AF640" s="53">
        <v>0</v>
      </c>
      <c r="AG640" s="53">
        <v>0</v>
      </c>
      <c r="AH640" s="53">
        <v>0</v>
      </c>
      <c r="AI640" s="53">
        <v>0</v>
      </c>
      <c r="AJ640" s="53">
        <v>0</v>
      </c>
      <c r="AK640" s="53">
        <v>0</v>
      </c>
      <c r="AL640" s="53">
        <v>0</v>
      </c>
      <c r="AM640" s="53" t="str">
        <f>I640-J640-K640-L640-M640-N640-O640-P640-Q640-R640-S640-T640-U640-V640-W640-X640-Y640-Z640-AA640-AB640-AC640-AD640-AE640-AF640-AG640+AH640-AI640+AJ640+AK640-AL640</f>
        <v>0</v>
      </c>
      <c r="AN640" s="53"/>
      <c r="AO640" s="27"/>
    </row>
    <row r="641" spans="1:41">
      <c r="A641" s="44">
        <v>613</v>
      </c>
      <c r="B641" s="46" t="s">
        <v>2548</v>
      </c>
      <c r="C641" s="48" t="s">
        <v>2549</v>
      </c>
      <c r="D641" s="51" t="s">
        <v>73</v>
      </c>
      <c r="E641" s="51" t="s">
        <v>2537</v>
      </c>
      <c r="F641" s="54" t="s">
        <v>2550</v>
      </c>
      <c r="G641" s="50">
        <v>12.6</v>
      </c>
      <c r="H641" s="51" t="s">
        <v>2551</v>
      </c>
      <c r="I641" s="53">
        <v>926000</v>
      </c>
      <c r="J641" s="53">
        <v>0</v>
      </c>
      <c r="K641" s="53">
        <v>52000</v>
      </c>
      <c r="L641" s="53">
        <v>0</v>
      </c>
      <c r="M641" s="53">
        <v>0</v>
      </c>
      <c r="N641" s="53">
        <v>0</v>
      </c>
      <c r="O641" s="53">
        <v>0</v>
      </c>
      <c r="P641" s="53">
        <v>0</v>
      </c>
      <c r="Q641" s="53">
        <v>0</v>
      </c>
      <c r="R641" s="53">
        <v>0</v>
      </c>
      <c r="S641" s="53">
        <v>0</v>
      </c>
      <c r="T641" s="53">
        <v>0</v>
      </c>
      <c r="U641" s="53">
        <v>2600</v>
      </c>
      <c r="V641" s="53">
        <v>0</v>
      </c>
      <c r="W641" s="53">
        <v>0</v>
      </c>
      <c r="X641" s="53">
        <v>0</v>
      </c>
      <c r="Y641" s="53">
        <v>0</v>
      </c>
      <c r="Z641" s="53">
        <v>0</v>
      </c>
      <c r="AA641" s="53">
        <v>0</v>
      </c>
      <c r="AB641" s="53">
        <v>0</v>
      </c>
      <c r="AC641" s="53">
        <v>0</v>
      </c>
      <c r="AD641" s="53">
        <v>0</v>
      </c>
      <c r="AE641" s="53">
        <v>0</v>
      </c>
      <c r="AF641" s="53">
        <v>0</v>
      </c>
      <c r="AG641" s="53">
        <v>0</v>
      </c>
      <c r="AH641" s="53">
        <v>0</v>
      </c>
      <c r="AI641" s="53">
        <v>0</v>
      </c>
      <c r="AJ641" s="53">
        <v>0</v>
      </c>
      <c r="AK641" s="53">
        <v>0</v>
      </c>
      <c r="AL641" s="53">
        <v>0</v>
      </c>
      <c r="AM641" s="53" t="str">
        <f>I641-J641-K641-L641-M641-N641-O641-P641-Q641-R641-S641-T641-U641-V641-W641-X641-Y641-Z641-AA641-AB641-AC641-AD641-AE641-AF641-AG641+AH641-AI641+AJ641+AK641-AL641</f>
        <v>0</v>
      </c>
      <c r="AN641" s="53"/>
      <c r="AO641" s="27"/>
    </row>
    <row r="642" spans="1:41">
      <c r="A642" s="44">
        <v>614</v>
      </c>
      <c r="B642" s="46" t="s">
        <v>2552</v>
      </c>
      <c r="C642" s="48" t="s">
        <v>2553</v>
      </c>
      <c r="D642" s="51" t="s">
        <v>73</v>
      </c>
      <c r="E642" s="51" t="s">
        <v>2554</v>
      </c>
      <c r="F642" s="54" t="s">
        <v>559</v>
      </c>
      <c r="G642" s="50">
        <v>4</v>
      </c>
      <c r="H642" s="51" t="s">
        <v>2555</v>
      </c>
      <c r="I642" s="53">
        <v>734000</v>
      </c>
      <c r="J642" s="53">
        <v>0</v>
      </c>
      <c r="K642" s="53">
        <v>25000</v>
      </c>
      <c r="L642" s="53">
        <v>0</v>
      </c>
      <c r="M642" s="53">
        <v>0</v>
      </c>
      <c r="N642" s="53">
        <v>0</v>
      </c>
      <c r="O642" s="53">
        <v>0</v>
      </c>
      <c r="P642" s="53">
        <v>0</v>
      </c>
      <c r="Q642" s="53">
        <v>0</v>
      </c>
      <c r="R642" s="53">
        <v>0</v>
      </c>
      <c r="S642" s="53">
        <v>0</v>
      </c>
      <c r="T642" s="53">
        <v>0</v>
      </c>
      <c r="U642" s="53">
        <v>1250</v>
      </c>
      <c r="V642" s="53">
        <v>0</v>
      </c>
      <c r="W642" s="53">
        <v>0</v>
      </c>
      <c r="X642" s="53">
        <v>0</v>
      </c>
      <c r="Y642" s="53">
        <v>0</v>
      </c>
      <c r="Z642" s="53">
        <v>0</v>
      </c>
      <c r="AA642" s="53">
        <v>0</v>
      </c>
      <c r="AB642" s="53">
        <v>0</v>
      </c>
      <c r="AC642" s="53">
        <v>0</v>
      </c>
      <c r="AD642" s="53">
        <v>0</v>
      </c>
      <c r="AE642" s="53">
        <v>0</v>
      </c>
      <c r="AF642" s="53">
        <v>0</v>
      </c>
      <c r="AG642" s="53">
        <v>0</v>
      </c>
      <c r="AH642" s="53">
        <v>0</v>
      </c>
      <c r="AI642" s="53">
        <v>0</v>
      </c>
      <c r="AJ642" s="53">
        <v>0</v>
      </c>
      <c r="AK642" s="53">
        <v>0</v>
      </c>
      <c r="AL642" s="53">
        <v>0</v>
      </c>
      <c r="AM642" s="53" t="str">
        <f>I642-J642-K642-L642-M642-N642-O642-P642-Q642-R642-S642-T642-U642-V642-W642-X642-Y642-Z642-AA642-AB642-AC642-AD642-AE642-AF642-AG642+AH642-AI642+AJ642+AK642-AL642</f>
        <v>0</v>
      </c>
      <c r="AN642" s="53"/>
      <c r="AO642" s="27"/>
    </row>
    <row r="643" spans="1:41">
      <c r="A643" s="44">
        <v>615</v>
      </c>
      <c r="B643" s="46" t="s">
        <v>2556</v>
      </c>
      <c r="C643" s="48" t="s">
        <v>2557</v>
      </c>
      <c r="D643" s="51" t="s">
        <v>73</v>
      </c>
      <c r="E643" s="51" t="s">
        <v>2554</v>
      </c>
      <c r="F643" s="54" t="s">
        <v>2558</v>
      </c>
      <c r="G643" s="50">
        <v>3</v>
      </c>
      <c r="H643" s="51" t="s">
        <v>2559</v>
      </c>
      <c r="I643" s="53">
        <v>201500</v>
      </c>
      <c r="J643" s="53">
        <v>0</v>
      </c>
      <c r="K643" s="53">
        <v>22000</v>
      </c>
      <c r="L643" s="53">
        <v>0</v>
      </c>
      <c r="M643" s="53">
        <v>0</v>
      </c>
      <c r="N643" s="53">
        <v>0</v>
      </c>
      <c r="O643" s="53">
        <v>0</v>
      </c>
      <c r="P643" s="53">
        <v>0</v>
      </c>
      <c r="Q643" s="53">
        <v>0</v>
      </c>
      <c r="R643" s="53">
        <v>0</v>
      </c>
      <c r="S643" s="53">
        <v>0</v>
      </c>
      <c r="T643" s="53">
        <v>0</v>
      </c>
      <c r="U643" s="53">
        <v>1100</v>
      </c>
      <c r="V643" s="53">
        <v>0</v>
      </c>
      <c r="W643" s="53">
        <v>0</v>
      </c>
      <c r="X643" s="53">
        <v>0</v>
      </c>
      <c r="Y643" s="53">
        <v>0</v>
      </c>
      <c r="Z643" s="53">
        <v>0</v>
      </c>
      <c r="AA643" s="53">
        <v>0</v>
      </c>
      <c r="AB643" s="53">
        <v>0</v>
      </c>
      <c r="AC643" s="53">
        <v>0</v>
      </c>
      <c r="AD643" s="53">
        <v>0</v>
      </c>
      <c r="AE643" s="53">
        <v>0</v>
      </c>
      <c r="AF643" s="53">
        <v>0</v>
      </c>
      <c r="AG643" s="53">
        <v>0</v>
      </c>
      <c r="AH643" s="53">
        <v>0</v>
      </c>
      <c r="AI643" s="53">
        <v>0</v>
      </c>
      <c r="AJ643" s="53">
        <v>0</v>
      </c>
      <c r="AK643" s="53">
        <v>0</v>
      </c>
      <c r="AL643" s="53">
        <v>0</v>
      </c>
      <c r="AM643" s="53" t="str">
        <f>I643-J643-K643-L643-M643-N643-O643-P643-Q643-R643-S643-T643-U643-V643-W643-X643-Y643-Z643-AA643-AB643-AC643-AD643-AE643-AF643-AG643+AH643-AI643+AJ643+AK643-AL643</f>
        <v>0</v>
      </c>
      <c r="AN643" s="53"/>
      <c r="AO643" s="27"/>
    </row>
    <row r="644" spans="1:41">
      <c r="A644" s="44">
        <v>616</v>
      </c>
      <c r="B644" s="46" t="s">
        <v>2560</v>
      </c>
      <c r="C644" s="48" t="s">
        <v>2561</v>
      </c>
      <c r="D644" s="51" t="s">
        <v>73</v>
      </c>
      <c r="E644" s="51" t="s">
        <v>2554</v>
      </c>
      <c r="F644" s="54" t="s">
        <v>2562</v>
      </c>
      <c r="G644" s="50">
        <v>18</v>
      </c>
      <c r="H644" s="51" t="s">
        <v>2563</v>
      </c>
      <c r="I644" s="53">
        <v>1167300</v>
      </c>
      <c r="J644" s="53">
        <v>0</v>
      </c>
      <c r="K644" s="53">
        <v>72000</v>
      </c>
      <c r="L644" s="53">
        <v>0</v>
      </c>
      <c r="M644" s="53">
        <v>0</v>
      </c>
      <c r="N644" s="53">
        <v>0</v>
      </c>
      <c r="O644" s="53">
        <v>0</v>
      </c>
      <c r="P644" s="53">
        <v>0</v>
      </c>
      <c r="Q644" s="53">
        <v>0</v>
      </c>
      <c r="R644" s="53">
        <v>0</v>
      </c>
      <c r="S644" s="53">
        <v>0</v>
      </c>
      <c r="T644" s="53">
        <v>0</v>
      </c>
      <c r="U644" s="53">
        <v>3600</v>
      </c>
      <c r="V644" s="53">
        <v>0</v>
      </c>
      <c r="W644" s="53">
        <v>0</v>
      </c>
      <c r="X644" s="53">
        <v>0</v>
      </c>
      <c r="Y644" s="53">
        <v>0</v>
      </c>
      <c r="Z644" s="53">
        <v>0</v>
      </c>
      <c r="AA644" s="53">
        <v>0</v>
      </c>
      <c r="AB644" s="53">
        <v>0</v>
      </c>
      <c r="AC644" s="53">
        <v>0</v>
      </c>
      <c r="AD644" s="53">
        <v>0</v>
      </c>
      <c r="AE644" s="53">
        <v>0</v>
      </c>
      <c r="AF644" s="53">
        <v>0</v>
      </c>
      <c r="AG644" s="53">
        <v>0</v>
      </c>
      <c r="AH644" s="53">
        <v>0</v>
      </c>
      <c r="AI644" s="53">
        <v>0</v>
      </c>
      <c r="AJ644" s="53">
        <v>0</v>
      </c>
      <c r="AK644" s="53">
        <v>0</v>
      </c>
      <c r="AL644" s="53">
        <v>0</v>
      </c>
      <c r="AM644" s="53" t="str">
        <f>I644-J644-K644-L644-M644-N644-O644-P644-Q644-R644-S644-T644-U644-V644-W644-X644-Y644-Z644-AA644-AB644-AC644-AD644-AE644-AF644-AG644+AH644-AI644+AJ644+AK644-AL644</f>
        <v>0</v>
      </c>
      <c r="AN644" s="53"/>
      <c r="AO644" s="27"/>
    </row>
    <row r="645" spans="1:41">
      <c r="A645" s="44">
        <v>617</v>
      </c>
      <c r="B645" s="46" t="s">
        <v>2564</v>
      </c>
      <c r="C645" s="48" t="s">
        <v>2565</v>
      </c>
      <c r="D645" s="51" t="s">
        <v>73</v>
      </c>
      <c r="E645" s="51" t="s">
        <v>2554</v>
      </c>
      <c r="F645" s="54" t="s">
        <v>2566</v>
      </c>
      <c r="G645" s="50">
        <v>3</v>
      </c>
      <c r="H645" s="51" t="s">
        <v>2567</v>
      </c>
      <c r="I645" s="53">
        <v>363500</v>
      </c>
      <c r="J645" s="53">
        <v>0</v>
      </c>
      <c r="K645" s="53">
        <v>22000</v>
      </c>
      <c r="L645" s="53">
        <v>0</v>
      </c>
      <c r="M645" s="53">
        <v>0</v>
      </c>
      <c r="N645" s="53">
        <v>0</v>
      </c>
      <c r="O645" s="53">
        <v>0</v>
      </c>
      <c r="P645" s="53">
        <v>0</v>
      </c>
      <c r="Q645" s="53">
        <v>0</v>
      </c>
      <c r="R645" s="53">
        <v>0</v>
      </c>
      <c r="S645" s="53">
        <v>0</v>
      </c>
      <c r="T645" s="53">
        <v>0</v>
      </c>
      <c r="U645" s="53">
        <v>1100</v>
      </c>
      <c r="V645" s="53">
        <v>0</v>
      </c>
      <c r="W645" s="53">
        <v>0</v>
      </c>
      <c r="X645" s="53">
        <v>0</v>
      </c>
      <c r="Y645" s="53">
        <v>0</v>
      </c>
      <c r="Z645" s="53">
        <v>0</v>
      </c>
      <c r="AA645" s="53">
        <v>0</v>
      </c>
      <c r="AB645" s="53">
        <v>0</v>
      </c>
      <c r="AC645" s="53">
        <v>0</v>
      </c>
      <c r="AD645" s="53">
        <v>0</v>
      </c>
      <c r="AE645" s="53">
        <v>0</v>
      </c>
      <c r="AF645" s="53">
        <v>0</v>
      </c>
      <c r="AG645" s="53">
        <v>0</v>
      </c>
      <c r="AH645" s="53">
        <v>0</v>
      </c>
      <c r="AI645" s="53">
        <v>0</v>
      </c>
      <c r="AJ645" s="53">
        <v>0</v>
      </c>
      <c r="AK645" s="53">
        <v>0</v>
      </c>
      <c r="AL645" s="53">
        <v>0</v>
      </c>
      <c r="AM645" s="53" t="str">
        <f>I645-J645-K645-L645-M645-N645-O645-P645-Q645-R645-S645-T645-U645-V645-W645-X645-Y645-Z645-AA645-AB645-AC645-AD645-AE645-AF645-AG645+AH645-AI645+AJ645+AK645-AL645</f>
        <v>0</v>
      </c>
      <c r="AN645" s="53"/>
      <c r="AO645" s="27"/>
    </row>
    <row r="646" spans="1:41">
      <c r="A646" s="44">
        <v>618</v>
      </c>
      <c r="B646" s="46" t="s">
        <v>2568</v>
      </c>
      <c r="C646" s="48" t="s">
        <v>2569</v>
      </c>
      <c r="D646" s="51" t="s">
        <v>73</v>
      </c>
      <c r="E646" s="51" t="s">
        <v>2554</v>
      </c>
      <c r="F646" s="54" t="s">
        <v>2570</v>
      </c>
      <c r="G646" s="50">
        <v>7</v>
      </c>
      <c r="H646" s="51" t="s">
        <v>2571</v>
      </c>
      <c r="I646" s="53">
        <v>1449000</v>
      </c>
      <c r="J646" s="53">
        <v>0</v>
      </c>
      <c r="K646" s="53">
        <v>35000</v>
      </c>
      <c r="L646" s="53">
        <v>0</v>
      </c>
      <c r="M646" s="53">
        <v>0</v>
      </c>
      <c r="N646" s="53">
        <v>0</v>
      </c>
      <c r="O646" s="53">
        <v>0</v>
      </c>
      <c r="P646" s="53">
        <v>0</v>
      </c>
      <c r="Q646" s="53">
        <v>0</v>
      </c>
      <c r="R646" s="53">
        <v>0</v>
      </c>
      <c r="S646" s="53">
        <v>0</v>
      </c>
      <c r="T646" s="53">
        <v>0</v>
      </c>
      <c r="U646" s="53">
        <v>1750</v>
      </c>
      <c r="V646" s="53">
        <v>0</v>
      </c>
      <c r="W646" s="53">
        <v>0</v>
      </c>
      <c r="X646" s="53">
        <v>0</v>
      </c>
      <c r="Y646" s="53">
        <v>0</v>
      </c>
      <c r="Z646" s="53">
        <v>0</v>
      </c>
      <c r="AA646" s="53">
        <v>0</v>
      </c>
      <c r="AB646" s="53">
        <v>0</v>
      </c>
      <c r="AC646" s="53">
        <v>0</v>
      </c>
      <c r="AD646" s="53">
        <v>0</v>
      </c>
      <c r="AE646" s="53">
        <v>0</v>
      </c>
      <c r="AF646" s="53">
        <v>0</v>
      </c>
      <c r="AG646" s="53">
        <v>0</v>
      </c>
      <c r="AH646" s="53">
        <v>0</v>
      </c>
      <c r="AI646" s="53">
        <v>0</v>
      </c>
      <c r="AJ646" s="53">
        <v>0</v>
      </c>
      <c r="AK646" s="53">
        <v>0</v>
      </c>
      <c r="AL646" s="53">
        <v>0</v>
      </c>
      <c r="AM646" s="53" t="str">
        <f>I646-J646-K646-L646-M646-N646-O646-P646-Q646-R646-S646-T646-U646-V646-W646-X646-Y646-Z646-AA646-AB646-AC646-AD646-AE646-AF646-AG646+AH646-AI646+AJ646+AK646-AL646</f>
        <v>0</v>
      </c>
      <c r="AN646" s="53"/>
      <c r="AO646" s="27"/>
    </row>
    <row r="647" spans="1:41">
      <c r="A647" s="44">
        <v>619</v>
      </c>
      <c r="B647" s="46" t="s">
        <v>2572</v>
      </c>
      <c r="C647" s="48" t="s">
        <v>2573</v>
      </c>
      <c r="D647" s="51" t="s">
        <v>73</v>
      </c>
      <c r="E647" s="51" t="s">
        <v>2554</v>
      </c>
      <c r="F647" s="54" t="s">
        <v>2574</v>
      </c>
      <c r="G647" s="50">
        <v>3</v>
      </c>
      <c r="H647" s="51" t="s">
        <v>2575</v>
      </c>
      <c r="I647" s="53">
        <v>304100</v>
      </c>
      <c r="J647" s="53">
        <v>0</v>
      </c>
      <c r="K647" s="53">
        <v>22000</v>
      </c>
      <c r="L647" s="53">
        <v>0</v>
      </c>
      <c r="M647" s="53">
        <v>0</v>
      </c>
      <c r="N647" s="53">
        <v>0</v>
      </c>
      <c r="O647" s="53">
        <v>0</v>
      </c>
      <c r="P647" s="53">
        <v>0</v>
      </c>
      <c r="Q647" s="53">
        <v>0</v>
      </c>
      <c r="R647" s="53">
        <v>0</v>
      </c>
      <c r="S647" s="53">
        <v>0</v>
      </c>
      <c r="T647" s="53">
        <v>0</v>
      </c>
      <c r="U647" s="53">
        <v>1100</v>
      </c>
      <c r="V647" s="53">
        <v>0</v>
      </c>
      <c r="W647" s="53">
        <v>0</v>
      </c>
      <c r="X647" s="53">
        <v>0</v>
      </c>
      <c r="Y647" s="53">
        <v>0</v>
      </c>
      <c r="Z647" s="53">
        <v>0</v>
      </c>
      <c r="AA647" s="53">
        <v>0</v>
      </c>
      <c r="AB647" s="53">
        <v>0</v>
      </c>
      <c r="AC647" s="53">
        <v>0</v>
      </c>
      <c r="AD647" s="53">
        <v>0</v>
      </c>
      <c r="AE647" s="53">
        <v>0</v>
      </c>
      <c r="AF647" s="53">
        <v>0</v>
      </c>
      <c r="AG647" s="53">
        <v>0</v>
      </c>
      <c r="AH647" s="53">
        <v>0</v>
      </c>
      <c r="AI647" s="53">
        <v>0</v>
      </c>
      <c r="AJ647" s="53">
        <v>0</v>
      </c>
      <c r="AK647" s="53">
        <v>0</v>
      </c>
      <c r="AL647" s="53">
        <v>0</v>
      </c>
      <c r="AM647" s="53" t="str">
        <f>I647-J647-K647-L647-M647-N647-O647-P647-Q647-R647-S647-T647-U647-V647-W647-X647-Y647-Z647-AA647-AB647-AC647-AD647-AE647-AF647-AG647+AH647-AI647+AJ647+AK647-AL647</f>
        <v>0</v>
      </c>
      <c r="AN647" s="53"/>
      <c r="AO647" s="27"/>
    </row>
    <row r="648" spans="1:41">
      <c r="A648" s="44">
        <v>620</v>
      </c>
      <c r="B648" s="46" t="s">
        <v>2576</v>
      </c>
      <c r="C648" s="48" t="s">
        <v>2577</v>
      </c>
      <c r="D648" s="51" t="s">
        <v>73</v>
      </c>
      <c r="E648" s="51" t="s">
        <v>2554</v>
      </c>
      <c r="F648" s="54" t="s">
        <v>2578</v>
      </c>
      <c r="G648" s="50">
        <v>11</v>
      </c>
      <c r="H648" s="51" t="s">
        <v>2579</v>
      </c>
      <c r="I648" s="53">
        <v>2760000</v>
      </c>
      <c r="J648" s="53">
        <v>0</v>
      </c>
      <c r="K648" s="53">
        <v>44000</v>
      </c>
      <c r="L648" s="53">
        <v>0</v>
      </c>
      <c r="M648" s="53">
        <v>0</v>
      </c>
      <c r="N648" s="53">
        <v>0</v>
      </c>
      <c r="O648" s="53">
        <v>0</v>
      </c>
      <c r="P648" s="53">
        <v>0</v>
      </c>
      <c r="Q648" s="53">
        <v>0</v>
      </c>
      <c r="R648" s="53">
        <v>0</v>
      </c>
      <c r="S648" s="53">
        <v>0</v>
      </c>
      <c r="T648" s="53">
        <v>0</v>
      </c>
      <c r="U648" s="53">
        <v>2200</v>
      </c>
      <c r="V648" s="53">
        <v>0</v>
      </c>
      <c r="W648" s="53">
        <v>0</v>
      </c>
      <c r="X648" s="53">
        <v>0</v>
      </c>
      <c r="Y648" s="53">
        <v>0</v>
      </c>
      <c r="Z648" s="53">
        <v>0</v>
      </c>
      <c r="AA648" s="53">
        <v>0</v>
      </c>
      <c r="AB648" s="53">
        <v>0</v>
      </c>
      <c r="AC648" s="53">
        <v>0</v>
      </c>
      <c r="AD648" s="53">
        <v>0</v>
      </c>
      <c r="AE648" s="53">
        <v>0</v>
      </c>
      <c r="AF648" s="53">
        <v>0</v>
      </c>
      <c r="AG648" s="53">
        <v>0</v>
      </c>
      <c r="AH648" s="53">
        <v>0</v>
      </c>
      <c r="AI648" s="53">
        <v>0</v>
      </c>
      <c r="AJ648" s="53">
        <v>0</v>
      </c>
      <c r="AK648" s="53">
        <v>0</v>
      </c>
      <c r="AL648" s="53">
        <v>0</v>
      </c>
      <c r="AM648" s="53" t="str">
        <f>I648-J648-K648-L648-M648-N648-O648-P648-Q648-R648-S648-T648-U648-V648-W648-X648-Y648-Z648-AA648-AB648-AC648-AD648-AE648-AF648-AG648+AH648-AI648+AJ648+AK648-AL648</f>
        <v>0</v>
      </c>
      <c r="AN648" s="53"/>
      <c r="AO648" s="27"/>
    </row>
    <row r="649" spans="1:41">
      <c r="A649" s="44">
        <v>621</v>
      </c>
      <c r="B649" s="46" t="s">
        <v>2580</v>
      </c>
      <c r="C649" s="48" t="s">
        <v>2581</v>
      </c>
      <c r="D649" s="51" t="s">
        <v>73</v>
      </c>
      <c r="E649" s="51" t="s">
        <v>2554</v>
      </c>
      <c r="F649" s="54" t="s">
        <v>2582</v>
      </c>
      <c r="G649" s="50">
        <v>3</v>
      </c>
      <c r="H649" s="51" t="s">
        <v>2583</v>
      </c>
      <c r="I649" s="53">
        <v>345500</v>
      </c>
      <c r="J649" s="53">
        <v>0</v>
      </c>
      <c r="K649" s="53">
        <v>22000</v>
      </c>
      <c r="L649" s="53">
        <v>0</v>
      </c>
      <c r="M649" s="53">
        <v>0</v>
      </c>
      <c r="N649" s="53">
        <v>0</v>
      </c>
      <c r="O649" s="53">
        <v>0</v>
      </c>
      <c r="P649" s="53">
        <v>0</v>
      </c>
      <c r="Q649" s="53">
        <v>0</v>
      </c>
      <c r="R649" s="53">
        <v>0</v>
      </c>
      <c r="S649" s="53">
        <v>0</v>
      </c>
      <c r="T649" s="53">
        <v>0</v>
      </c>
      <c r="U649" s="53">
        <v>1100</v>
      </c>
      <c r="V649" s="53">
        <v>0</v>
      </c>
      <c r="W649" s="53">
        <v>0</v>
      </c>
      <c r="X649" s="53">
        <v>0</v>
      </c>
      <c r="Y649" s="53">
        <v>0</v>
      </c>
      <c r="Z649" s="53">
        <v>0</v>
      </c>
      <c r="AA649" s="53">
        <v>0</v>
      </c>
      <c r="AB649" s="53">
        <v>0</v>
      </c>
      <c r="AC649" s="53">
        <v>0</v>
      </c>
      <c r="AD649" s="53">
        <v>0</v>
      </c>
      <c r="AE649" s="53">
        <v>0</v>
      </c>
      <c r="AF649" s="53">
        <v>0</v>
      </c>
      <c r="AG649" s="53">
        <v>0</v>
      </c>
      <c r="AH649" s="53">
        <v>0</v>
      </c>
      <c r="AI649" s="53">
        <v>0</v>
      </c>
      <c r="AJ649" s="53">
        <v>0</v>
      </c>
      <c r="AK649" s="53">
        <v>0</v>
      </c>
      <c r="AL649" s="53">
        <v>0</v>
      </c>
      <c r="AM649" s="53" t="str">
        <f>I649-J649-K649-L649-M649-N649-O649-P649-Q649-R649-S649-T649-U649-V649-W649-X649-Y649-Z649-AA649-AB649-AC649-AD649-AE649-AF649-AG649+AH649-AI649+AJ649+AK649-AL649</f>
        <v>0</v>
      </c>
      <c r="AN649" s="53"/>
      <c r="AO649" s="27"/>
    </row>
    <row r="650" spans="1:41">
      <c r="A650" s="44">
        <v>622</v>
      </c>
      <c r="B650" s="46" t="s">
        <v>2584</v>
      </c>
      <c r="C650" s="48" t="s">
        <v>2585</v>
      </c>
      <c r="D650" s="51" t="s">
        <v>73</v>
      </c>
      <c r="E650" s="51" t="s">
        <v>2554</v>
      </c>
      <c r="F650" s="54" t="s">
        <v>2586</v>
      </c>
      <c r="G650" s="50">
        <v>6</v>
      </c>
      <c r="H650" s="51" t="s">
        <v>2587</v>
      </c>
      <c r="I650" s="53">
        <v>1440000</v>
      </c>
      <c r="J650" s="53">
        <v>0</v>
      </c>
      <c r="K650" s="53">
        <v>31000</v>
      </c>
      <c r="L650" s="53">
        <v>0</v>
      </c>
      <c r="M650" s="53">
        <v>0</v>
      </c>
      <c r="N650" s="53">
        <v>0</v>
      </c>
      <c r="O650" s="53">
        <v>0</v>
      </c>
      <c r="P650" s="53">
        <v>0</v>
      </c>
      <c r="Q650" s="53">
        <v>0</v>
      </c>
      <c r="R650" s="53">
        <v>0</v>
      </c>
      <c r="S650" s="53">
        <v>0</v>
      </c>
      <c r="T650" s="53">
        <v>0</v>
      </c>
      <c r="U650" s="53">
        <v>1550</v>
      </c>
      <c r="V650" s="53">
        <v>0</v>
      </c>
      <c r="W650" s="53">
        <v>0</v>
      </c>
      <c r="X650" s="53">
        <v>0</v>
      </c>
      <c r="Y650" s="53">
        <v>0</v>
      </c>
      <c r="Z650" s="53">
        <v>0</v>
      </c>
      <c r="AA650" s="53">
        <v>0</v>
      </c>
      <c r="AB650" s="53">
        <v>0</v>
      </c>
      <c r="AC650" s="53">
        <v>0</v>
      </c>
      <c r="AD650" s="53">
        <v>0</v>
      </c>
      <c r="AE650" s="53">
        <v>0</v>
      </c>
      <c r="AF650" s="53">
        <v>0</v>
      </c>
      <c r="AG650" s="53">
        <v>0</v>
      </c>
      <c r="AH650" s="53">
        <v>0</v>
      </c>
      <c r="AI650" s="53">
        <v>0</v>
      </c>
      <c r="AJ650" s="53">
        <v>0</v>
      </c>
      <c r="AK650" s="53">
        <v>0</v>
      </c>
      <c r="AL650" s="53">
        <v>0</v>
      </c>
      <c r="AM650" s="53" t="str">
        <f>I650-J650-K650-L650-M650-N650-O650-P650-Q650-R650-S650-T650-U650-V650-W650-X650-Y650-Z650-AA650-AB650-AC650-AD650-AE650-AF650-AG650+AH650-AI650+AJ650+AK650-AL650</f>
        <v>0</v>
      </c>
      <c r="AN650" s="53"/>
      <c r="AO650" s="27"/>
    </row>
    <row r="651" spans="1:41">
      <c r="A651" s="44">
        <v>623</v>
      </c>
      <c r="B651" s="46" t="s">
        <v>2588</v>
      </c>
      <c r="C651" s="48" t="s">
        <v>2589</v>
      </c>
      <c r="D651" s="51" t="s">
        <v>73</v>
      </c>
      <c r="E651" s="51" t="s">
        <v>2590</v>
      </c>
      <c r="F651" s="54" t="s">
        <v>2591</v>
      </c>
      <c r="G651" s="50">
        <v>5.8</v>
      </c>
      <c r="H651" s="51" t="s">
        <v>2592</v>
      </c>
      <c r="I651" s="53">
        <v>574100</v>
      </c>
      <c r="J651" s="53">
        <v>0</v>
      </c>
      <c r="K651" s="53">
        <v>31000</v>
      </c>
      <c r="L651" s="53">
        <v>0</v>
      </c>
      <c r="M651" s="53">
        <v>0</v>
      </c>
      <c r="N651" s="53">
        <v>0</v>
      </c>
      <c r="O651" s="53">
        <v>0</v>
      </c>
      <c r="P651" s="53">
        <v>0</v>
      </c>
      <c r="Q651" s="53">
        <v>0</v>
      </c>
      <c r="R651" s="53">
        <v>0</v>
      </c>
      <c r="S651" s="53">
        <v>0</v>
      </c>
      <c r="T651" s="53">
        <v>0</v>
      </c>
      <c r="U651" s="53">
        <v>1550</v>
      </c>
      <c r="V651" s="53">
        <v>0</v>
      </c>
      <c r="W651" s="53">
        <v>0</v>
      </c>
      <c r="X651" s="53">
        <v>0</v>
      </c>
      <c r="Y651" s="53">
        <v>0</v>
      </c>
      <c r="Z651" s="53">
        <v>0</v>
      </c>
      <c r="AA651" s="53">
        <v>0</v>
      </c>
      <c r="AB651" s="53">
        <v>0</v>
      </c>
      <c r="AC651" s="53">
        <v>0</v>
      </c>
      <c r="AD651" s="53">
        <v>0</v>
      </c>
      <c r="AE651" s="53">
        <v>0</v>
      </c>
      <c r="AF651" s="53">
        <v>0</v>
      </c>
      <c r="AG651" s="53">
        <v>0</v>
      </c>
      <c r="AH651" s="53">
        <v>0</v>
      </c>
      <c r="AI651" s="53">
        <v>0</v>
      </c>
      <c r="AJ651" s="53">
        <v>0</v>
      </c>
      <c r="AK651" s="53">
        <v>0</v>
      </c>
      <c r="AL651" s="53">
        <v>0</v>
      </c>
      <c r="AM651" s="53" t="str">
        <f>I651-J651-K651-L651-M651-N651-O651-P651-Q651-R651-S651-T651-U651-V651-W651-X651-Y651-Z651-AA651-AB651-AC651-AD651-AE651-AF651-AG651+AH651-AI651+AJ651+AK651-AL651</f>
        <v>0</v>
      </c>
      <c r="AN651" s="53"/>
      <c r="AO651" s="27"/>
    </row>
    <row r="652" spans="1:41">
      <c r="A652" s="44">
        <v>624</v>
      </c>
      <c r="B652" s="46" t="s">
        <v>2593</v>
      </c>
      <c r="C652" s="48" t="s">
        <v>2594</v>
      </c>
      <c r="D652" s="51" t="s">
        <v>73</v>
      </c>
      <c r="E652" s="51" t="s">
        <v>2590</v>
      </c>
      <c r="F652" s="54" t="s">
        <v>869</v>
      </c>
      <c r="G652" s="50">
        <v>9.8</v>
      </c>
      <c r="H652" s="51" t="s">
        <v>2595</v>
      </c>
      <c r="I652" s="53">
        <v>1001600</v>
      </c>
      <c r="J652" s="53">
        <v>0</v>
      </c>
      <c r="K652" s="53">
        <v>49000</v>
      </c>
      <c r="L652" s="53">
        <v>0</v>
      </c>
      <c r="M652" s="53">
        <v>0</v>
      </c>
      <c r="N652" s="53">
        <v>0</v>
      </c>
      <c r="O652" s="53">
        <v>0</v>
      </c>
      <c r="P652" s="53">
        <v>0</v>
      </c>
      <c r="Q652" s="53">
        <v>0</v>
      </c>
      <c r="R652" s="53">
        <v>0</v>
      </c>
      <c r="S652" s="53">
        <v>0</v>
      </c>
      <c r="T652" s="53">
        <v>0</v>
      </c>
      <c r="U652" s="53">
        <v>2450</v>
      </c>
      <c r="V652" s="53">
        <v>0</v>
      </c>
      <c r="W652" s="53">
        <v>0</v>
      </c>
      <c r="X652" s="53">
        <v>0</v>
      </c>
      <c r="Y652" s="53">
        <v>0</v>
      </c>
      <c r="Z652" s="53">
        <v>0</v>
      </c>
      <c r="AA652" s="53">
        <v>0</v>
      </c>
      <c r="AB652" s="53">
        <v>0</v>
      </c>
      <c r="AC652" s="53">
        <v>0</v>
      </c>
      <c r="AD652" s="53">
        <v>0</v>
      </c>
      <c r="AE652" s="53">
        <v>0</v>
      </c>
      <c r="AF652" s="53">
        <v>0</v>
      </c>
      <c r="AG652" s="53">
        <v>0</v>
      </c>
      <c r="AH652" s="53">
        <v>0</v>
      </c>
      <c r="AI652" s="53">
        <v>0</v>
      </c>
      <c r="AJ652" s="53">
        <v>0</v>
      </c>
      <c r="AK652" s="53">
        <v>0</v>
      </c>
      <c r="AL652" s="53">
        <v>0</v>
      </c>
      <c r="AM652" s="53" t="str">
        <f>I652-J652-K652-L652-M652-N652-O652-P652-Q652-R652-S652-T652-U652-V652-W652-X652-Y652-Z652-AA652-AB652-AC652-AD652-AE652-AF652-AG652+AH652-AI652+AJ652+AK652-AL652</f>
        <v>0</v>
      </c>
      <c r="AN652" s="53"/>
      <c r="AO652" s="27"/>
    </row>
    <row r="653" spans="1:41">
      <c r="A653" s="44">
        <v>625</v>
      </c>
      <c r="B653" s="46" t="s">
        <v>2596</v>
      </c>
      <c r="C653" s="48" t="s">
        <v>2597</v>
      </c>
      <c r="D653" s="51" t="s">
        <v>73</v>
      </c>
      <c r="E653" s="51" t="s">
        <v>2590</v>
      </c>
      <c r="F653" s="54" t="s">
        <v>1401</v>
      </c>
      <c r="G653" s="50">
        <v>3</v>
      </c>
      <c r="H653" s="51" t="s">
        <v>2598</v>
      </c>
      <c r="I653" s="53">
        <v>570500</v>
      </c>
      <c r="J653" s="53">
        <v>0</v>
      </c>
      <c r="K653" s="53">
        <v>22000</v>
      </c>
      <c r="L653" s="53">
        <v>0</v>
      </c>
      <c r="M653" s="53">
        <v>0</v>
      </c>
      <c r="N653" s="53">
        <v>0</v>
      </c>
      <c r="O653" s="53">
        <v>0</v>
      </c>
      <c r="P653" s="53">
        <v>0</v>
      </c>
      <c r="Q653" s="53">
        <v>0</v>
      </c>
      <c r="R653" s="53">
        <v>0</v>
      </c>
      <c r="S653" s="53">
        <v>0</v>
      </c>
      <c r="T653" s="53">
        <v>0</v>
      </c>
      <c r="U653" s="53">
        <v>1100</v>
      </c>
      <c r="V653" s="53">
        <v>0</v>
      </c>
      <c r="W653" s="53">
        <v>0</v>
      </c>
      <c r="X653" s="53">
        <v>0</v>
      </c>
      <c r="Y653" s="53">
        <v>0</v>
      </c>
      <c r="Z653" s="53">
        <v>0</v>
      </c>
      <c r="AA653" s="53">
        <v>0</v>
      </c>
      <c r="AB653" s="53">
        <v>0</v>
      </c>
      <c r="AC653" s="53">
        <v>0</v>
      </c>
      <c r="AD653" s="53">
        <v>0</v>
      </c>
      <c r="AE653" s="53">
        <v>0</v>
      </c>
      <c r="AF653" s="53">
        <v>0</v>
      </c>
      <c r="AG653" s="53">
        <v>0</v>
      </c>
      <c r="AH653" s="53">
        <v>0</v>
      </c>
      <c r="AI653" s="53">
        <v>0</v>
      </c>
      <c r="AJ653" s="53">
        <v>0</v>
      </c>
      <c r="AK653" s="53">
        <v>0</v>
      </c>
      <c r="AL653" s="53">
        <v>0</v>
      </c>
      <c r="AM653" s="53" t="str">
        <f>I653-J653-K653-L653-M653-N653-O653-P653-Q653-R653-S653-T653-U653-V653-W653-X653-Y653-Z653-AA653-AB653-AC653-AD653-AE653-AF653-AG653+AH653-AI653+AJ653+AK653-AL653</f>
        <v>0</v>
      </c>
      <c r="AN653" s="53"/>
      <c r="AO653" s="27"/>
    </row>
    <row r="654" spans="1:41">
      <c r="A654" s="44">
        <v>626</v>
      </c>
      <c r="B654" s="46" t="s">
        <v>2599</v>
      </c>
      <c r="C654" s="48" t="s">
        <v>2600</v>
      </c>
      <c r="D654" s="51" t="s">
        <v>73</v>
      </c>
      <c r="E654" s="51" t="s">
        <v>2601</v>
      </c>
      <c r="F654" s="54" t="s">
        <v>2602</v>
      </c>
      <c r="G654" s="50">
        <v>3</v>
      </c>
      <c r="H654" s="51" t="s">
        <v>2603</v>
      </c>
      <c r="I654" s="53">
        <v>324000</v>
      </c>
      <c r="J654" s="53">
        <v>0</v>
      </c>
      <c r="K654" s="53">
        <v>22000</v>
      </c>
      <c r="L654" s="53">
        <v>0</v>
      </c>
      <c r="M654" s="53">
        <v>0</v>
      </c>
      <c r="N654" s="53">
        <v>0</v>
      </c>
      <c r="O654" s="53">
        <v>0</v>
      </c>
      <c r="P654" s="53">
        <v>0</v>
      </c>
      <c r="Q654" s="53">
        <v>0</v>
      </c>
      <c r="R654" s="53">
        <v>0</v>
      </c>
      <c r="S654" s="53">
        <v>0</v>
      </c>
      <c r="T654" s="53">
        <v>0</v>
      </c>
      <c r="U654" s="53">
        <v>1100</v>
      </c>
      <c r="V654" s="53">
        <v>0</v>
      </c>
      <c r="W654" s="53">
        <v>0</v>
      </c>
      <c r="X654" s="53">
        <v>0</v>
      </c>
      <c r="Y654" s="53">
        <v>0</v>
      </c>
      <c r="Z654" s="53">
        <v>0</v>
      </c>
      <c r="AA654" s="53">
        <v>0</v>
      </c>
      <c r="AB654" s="53">
        <v>0</v>
      </c>
      <c r="AC654" s="53">
        <v>0</v>
      </c>
      <c r="AD654" s="53">
        <v>0</v>
      </c>
      <c r="AE654" s="53">
        <v>0</v>
      </c>
      <c r="AF654" s="53">
        <v>0</v>
      </c>
      <c r="AG654" s="53">
        <v>0</v>
      </c>
      <c r="AH654" s="53">
        <v>0</v>
      </c>
      <c r="AI654" s="53">
        <v>0</v>
      </c>
      <c r="AJ654" s="53">
        <v>0</v>
      </c>
      <c r="AK654" s="53">
        <v>0</v>
      </c>
      <c r="AL654" s="53">
        <v>0</v>
      </c>
      <c r="AM654" s="53" t="str">
        <f>I654-J654-K654-L654-M654-N654-O654-P654-Q654-R654-S654-T654-U654-V654-W654-X654-Y654-Z654-AA654-AB654-AC654-AD654-AE654-AF654-AG654+AH654-AI654+AJ654+AK654-AL654</f>
        <v>0</v>
      </c>
      <c r="AN654" s="53"/>
      <c r="AO654" s="27"/>
    </row>
    <row r="655" spans="1:41">
      <c r="A655" s="44">
        <v>627</v>
      </c>
      <c r="B655" s="46" t="s">
        <v>2604</v>
      </c>
      <c r="C655" s="48" t="s">
        <v>2605</v>
      </c>
      <c r="D655" s="51" t="s">
        <v>73</v>
      </c>
      <c r="E655" s="51" t="s">
        <v>2606</v>
      </c>
      <c r="F655" s="54" t="s">
        <v>2492</v>
      </c>
      <c r="G655" s="50">
        <v>3</v>
      </c>
      <c r="H655" s="51" t="s">
        <v>2607</v>
      </c>
      <c r="I655" s="53">
        <v>0</v>
      </c>
      <c r="J655" s="53">
        <v>0</v>
      </c>
      <c r="K655" s="53">
        <v>22000</v>
      </c>
      <c r="L655" s="53">
        <v>0</v>
      </c>
      <c r="M655" s="53">
        <v>0</v>
      </c>
      <c r="N655" s="53">
        <v>0</v>
      </c>
      <c r="O655" s="53">
        <v>0</v>
      </c>
      <c r="P655" s="53">
        <v>0</v>
      </c>
      <c r="Q655" s="53">
        <v>0</v>
      </c>
      <c r="R655" s="53">
        <v>0</v>
      </c>
      <c r="S655" s="53">
        <v>0</v>
      </c>
      <c r="T655" s="53">
        <v>0</v>
      </c>
      <c r="U655" s="53">
        <v>1100</v>
      </c>
      <c r="V655" s="53">
        <v>0</v>
      </c>
      <c r="W655" s="53">
        <v>0</v>
      </c>
      <c r="X655" s="53">
        <v>0</v>
      </c>
      <c r="Y655" s="53">
        <v>11550</v>
      </c>
      <c r="Z655" s="53">
        <v>0</v>
      </c>
      <c r="AA655" s="53">
        <v>0</v>
      </c>
      <c r="AB655" s="53">
        <v>0</v>
      </c>
      <c r="AC655" s="53">
        <v>0</v>
      </c>
      <c r="AD655" s="53">
        <v>0</v>
      </c>
      <c r="AE655" s="53">
        <v>0</v>
      </c>
      <c r="AF655" s="53">
        <v>0</v>
      </c>
      <c r="AG655" s="53">
        <v>0</v>
      </c>
      <c r="AH655" s="53">
        <v>0</v>
      </c>
      <c r="AI655" s="53">
        <v>0</v>
      </c>
      <c r="AJ655" s="53">
        <v>0</v>
      </c>
      <c r="AK655" s="53">
        <v>0</v>
      </c>
      <c r="AL655" s="53">
        <v>0</v>
      </c>
      <c r="AM655" s="53" t="str">
        <f>I655-J655-K655-L655-M655-N655-O655-P655-Q655-R655-S655-T655-U655-V655-W655-X655-Y655-Z655-AA655-AB655-AC655-AD655-AE655-AF655-AG655+AH655-AI655+AJ655+AK655-AL655</f>
        <v>0</v>
      </c>
      <c r="AN655" s="53"/>
      <c r="AO655" s="27"/>
    </row>
    <row r="656" spans="1:41">
      <c r="A656" s="44">
        <v>628</v>
      </c>
      <c r="B656" s="46" t="s">
        <v>2608</v>
      </c>
      <c r="C656" s="48" t="s">
        <v>2609</v>
      </c>
      <c r="D656" s="51" t="s">
        <v>73</v>
      </c>
      <c r="E656" s="51" t="s">
        <v>2606</v>
      </c>
      <c r="F656" s="54" t="s">
        <v>2610</v>
      </c>
      <c r="G656" s="50">
        <v>3</v>
      </c>
      <c r="H656" s="51" t="s">
        <v>2611</v>
      </c>
      <c r="I656" s="53">
        <v>0</v>
      </c>
      <c r="J656" s="53">
        <v>0</v>
      </c>
      <c r="K656" s="53">
        <v>22000</v>
      </c>
      <c r="L656" s="53">
        <v>0</v>
      </c>
      <c r="M656" s="53">
        <v>0</v>
      </c>
      <c r="N656" s="53">
        <v>0</v>
      </c>
      <c r="O656" s="53">
        <v>0</v>
      </c>
      <c r="P656" s="53">
        <v>0</v>
      </c>
      <c r="Q656" s="53">
        <v>0</v>
      </c>
      <c r="R656" s="53">
        <v>0</v>
      </c>
      <c r="S656" s="53">
        <v>0</v>
      </c>
      <c r="T656" s="53">
        <v>0</v>
      </c>
      <c r="U656" s="53">
        <v>1100</v>
      </c>
      <c r="V656" s="53">
        <v>0</v>
      </c>
      <c r="W656" s="53">
        <v>0</v>
      </c>
      <c r="X656" s="53">
        <v>0</v>
      </c>
      <c r="Y656" s="53">
        <v>11550</v>
      </c>
      <c r="Z656" s="53">
        <v>0</v>
      </c>
      <c r="AA656" s="53">
        <v>0</v>
      </c>
      <c r="AB656" s="53">
        <v>0</v>
      </c>
      <c r="AC656" s="53">
        <v>0</v>
      </c>
      <c r="AD656" s="53">
        <v>0</v>
      </c>
      <c r="AE656" s="53">
        <v>0</v>
      </c>
      <c r="AF656" s="53">
        <v>0</v>
      </c>
      <c r="AG656" s="53">
        <v>0</v>
      </c>
      <c r="AH656" s="53">
        <v>0</v>
      </c>
      <c r="AI656" s="53">
        <v>0</v>
      </c>
      <c r="AJ656" s="53">
        <v>0</v>
      </c>
      <c r="AK656" s="53">
        <v>0</v>
      </c>
      <c r="AL656" s="53">
        <v>0</v>
      </c>
      <c r="AM656" s="53" t="str">
        <f>I656-J656-K656-L656-M656-N656-O656-P656-Q656-R656-S656-T656-U656-V656-W656-X656-Y656-Z656-AA656-AB656-AC656-AD656-AE656-AF656-AG656+AH656-AI656+AJ656+AK656-AL656</f>
        <v>0</v>
      </c>
      <c r="AN656" s="53"/>
      <c r="AO656" s="27"/>
    </row>
    <row r="657" spans="1:41">
      <c r="A657" s="44">
        <v>629</v>
      </c>
      <c r="B657" s="46" t="s">
        <v>2612</v>
      </c>
      <c r="C657" s="48" t="s">
        <v>2613</v>
      </c>
      <c r="D657" s="51" t="s">
        <v>73</v>
      </c>
      <c r="E657" s="51" t="s">
        <v>2606</v>
      </c>
      <c r="F657" s="54" t="s">
        <v>1590</v>
      </c>
      <c r="G657" s="50">
        <v>2</v>
      </c>
      <c r="H657" s="51" t="s">
        <v>2614</v>
      </c>
      <c r="I657" s="53">
        <v>0</v>
      </c>
      <c r="J657" s="53">
        <v>0</v>
      </c>
      <c r="K657" s="53">
        <v>22000</v>
      </c>
      <c r="L657" s="53">
        <v>0</v>
      </c>
      <c r="M657" s="53">
        <v>0</v>
      </c>
      <c r="N657" s="53">
        <v>0</v>
      </c>
      <c r="O657" s="53">
        <v>0</v>
      </c>
      <c r="P657" s="53">
        <v>0</v>
      </c>
      <c r="Q657" s="53">
        <v>0</v>
      </c>
      <c r="R657" s="53">
        <v>0</v>
      </c>
      <c r="S657" s="53">
        <v>0</v>
      </c>
      <c r="T657" s="53">
        <v>0</v>
      </c>
      <c r="U657" s="53">
        <v>1100</v>
      </c>
      <c r="V657" s="53">
        <v>0</v>
      </c>
      <c r="W657" s="53">
        <v>0</v>
      </c>
      <c r="X657" s="53">
        <v>0</v>
      </c>
      <c r="Y657" s="53">
        <v>5250</v>
      </c>
      <c r="Z657" s="53">
        <v>0</v>
      </c>
      <c r="AA657" s="53">
        <v>0</v>
      </c>
      <c r="AB657" s="53">
        <v>0</v>
      </c>
      <c r="AC657" s="53">
        <v>0</v>
      </c>
      <c r="AD657" s="53">
        <v>0</v>
      </c>
      <c r="AE657" s="53">
        <v>0</v>
      </c>
      <c r="AF657" s="53">
        <v>0</v>
      </c>
      <c r="AG657" s="53">
        <v>0</v>
      </c>
      <c r="AH657" s="53">
        <v>0</v>
      </c>
      <c r="AI657" s="53">
        <v>0</v>
      </c>
      <c r="AJ657" s="53">
        <v>0</v>
      </c>
      <c r="AK657" s="53">
        <v>0</v>
      </c>
      <c r="AL657" s="53">
        <v>0</v>
      </c>
      <c r="AM657" s="53" t="str">
        <f>I657-J657-K657-L657-M657-N657-O657-P657-Q657-R657-S657-T657-U657-V657-W657-X657-Y657-Z657-AA657-AB657-AC657-AD657-AE657-AF657-AG657+AH657-AI657+AJ657+AK657-AL657</f>
        <v>0</v>
      </c>
      <c r="AN657" s="53"/>
      <c r="AO657" s="27"/>
    </row>
    <row r="658" spans="1:41">
      <c r="A658" s="44">
        <v>630</v>
      </c>
      <c r="B658" s="46" t="s">
        <v>2615</v>
      </c>
      <c r="C658" s="48" t="s">
        <v>2616</v>
      </c>
      <c r="D658" s="51" t="s">
        <v>73</v>
      </c>
      <c r="E658" s="51" t="s">
        <v>2606</v>
      </c>
      <c r="F658" s="54" t="s">
        <v>2566</v>
      </c>
      <c r="G658" s="50">
        <v>3</v>
      </c>
      <c r="H658" s="51" t="s">
        <v>2617</v>
      </c>
      <c r="I658" s="53">
        <v>0</v>
      </c>
      <c r="J658" s="53">
        <v>0</v>
      </c>
      <c r="K658" s="53">
        <v>22000</v>
      </c>
      <c r="L658" s="53">
        <v>0</v>
      </c>
      <c r="M658" s="53">
        <v>0</v>
      </c>
      <c r="N658" s="53">
        <v>0</v>
      </c>
      <c r="O658" s="53">
        <v>0</v>
      </c>
      <c r="P658" s="53">
        <v>0</v>
      </c>
      <c r="Q658" s="53">
        <v>0</v>
      </c>
      <c r="R658" s="53">
        <v>0</v>
      </c>
      <c r="S658" s="53">
        <v>0</v>
      </c>
      <c r="T658" s="53">
        <v>0</v>
      </c>
      <c r="U658" s="53">
        <v>1100</v>
      </c>
      <c r="V658" s="53">
        <v>0</v>
      </c>
      <c r="W658" s="53">
        <v>0</v>
      </c>
      <c r="X658" s="53">
        <v>0</v>
      </c>
      <c r="Y658" s="53">
        <v>11550</v>
      </c>
      <c r="Z658" s="53">
        <v>0</v>
      </c>
      <c r="AA658" s="53">
        <v>0</v>
      </c>
      <c r="AB658" s="53">
        <v>0</v>
      </c>
      <c r="AC658" s="53">
        <v>0</v>
      </c>
      <c r="AD658" s="53">
        <v>0</v>
      </c>
      <c r="AE658" s="53">
        <v>0</v>
      </c>
      <c r="AF658" s="53">
        <v>0</v>
      </c>
      <c r="AG658" s="53">
        <v>0</v>
      </c>
      <c r="AH658" s="53">
        <v>0</v>
      </c>
      <c r="AI658" s="53">
        <v>0</v>
      </c>
      <c r="AJ658" s="53">
        <v>0</v>
      </c>
      <c r="AK658" s="53">
        <v>0</v>
      </c>
      <c r="AL658" s="53">
        <v>0</v>
      </c>
      <c r="AM658" s="53" t="str">
        <f>I658-J658-K658-L658-M658-N658-O658-P658-Q658-R658-S658-T658-U658-V658-W658-X658-Y658-Z658-AA658-AB658-AC658-AD658-AE658-AF658-AG658+AH658-AI658+AJ658+AK658-AL658</f>
        <v>0</v>
      </c>
      <c r="AN658" s="53"/>
      <c r="AO658" s="27"/>
    </row>
    <row r="659" spans="1:41">
      <c r="A659" s="44">
        <v>631</v>
      </c>
      <c r="B659" s="46" t="s">
        <v>2618</v>
      </c>
      <c r="C659" s="48" t="s">
        <v>2619</v>
      </c>
      <c r="D659" s="51" t="s">
        <v>73</v>
      </c>
      <c r="E659" s="51" t="s">
        <v>2620</v>
      </c>
      <c r="F659" s="54" t="s">
        <v>75</v>
      </c>
      <c r="G659" s="50">
        <v>3</v>
      </c>
      <c r="H659" s="51" t="s">
        <v>2621</v>
      </c>
      <c r="I659" s="53">
        <v>334000</v>
      </c>
      <c r="J659" s="53">
        <v>0</v>
      </c>
      <c r="K659" s="53">
        <v>22000</v>
      </c>
      <c r="L659" s="53">
        <v>0</v>
      </c>
      <c r="M659" s="53">
        <v>0</v>
      </c>
      <c r="N659" s="53">
        <v>0</v>
      </c>
      <c r="O659" s="53">
        <v>0</v>
      </c>
      <c r="P659" s="53">
        <v>0</v>
      </c>
      <c r="Q659" s="53">
        <v>0</v>
      </c>
      <c r="R659" s="53">
        <v>0</v>
      </c>
      <c r="S659" s="53">
        <v>0</v>
      </c>
      <c r="T659" s="53">
        <v>0</v>
      </c>
      <c r="U659" s="53">
        <v>1100</v>
      </c>
      <c r="V659" s="53">
        <v>0</v>
      </c>
      <c r="W659" s="53">
        <v>0</v>
      </c>
      <c r="X659" s="53">
        <v>0</v>
      </c>
      <c r="Y659" s="53">
        <v>0</v>
      </c>
      <c r="Z659" s="53">
        <v>0</v>
      </c>
      <c r="AA659" s="53">
        <v>0</v>
      </c>
      <c r="AB659" s="53">
        <v>0</v>
      </c>
      <c r="AC659" s="53">
        <v>0</v>
      </c>
      <c r="AD659" s="53">
        <v>0</v>
      </c>
      <c r="AE659" s="53">
        <v>0</v>
      </c>
      <c r="AF659" s="53">
        <v>0</v>
      </c>
      <c r="AG659" s="53">
        <v>0</v>
      </c>
      <c r="AH659" s="53">
        <v>0</v>
      </c>
      <c r="AI659" s="53">
        <v>0</v>
      </c>
      <c r="AJ659" s="53">
        <v>0</v>
      </c>
      <c r="AK659" s="53">
        <v>0</v>
      </c>
      <c r="AL659" s="53">
        <v>0</v>
      </c>
      <c r="AM659" s="53" t="str">
        <f>I659-J659-K659-L659-M659-N659-O659-P659-Q659-R659-S659-T659-U659-V659-W659-X659-Y659-Z659-AA659-AB659-AC659-AD659-AE659-AF659-AG659+AH659-AI659+AJ659+AK659-AL659</f>
        <v>0</v>
      </c>
      <c r="AN659" s="53"/>
      <c r="AO659" s="27"/>
    </row>
    <row r="660" spans="1:41">
      <c r="A660" s="44">
        <v>632</v>
      </c>
      <c r="B660" s="46" t="s">
        <v>2622</v>
      </c>
      <c r="C660" s="48" t="s">
        <v>2623</v>
      </c>
      <c r="D660" s="51" t="s">
        <v>73</v>
      </c>
      <c r="E660" s="51" t="s">
        <v>2624</v>
      </c>
      <c r="F660" s="54" t="s">
        <v>1920</v>
      </c>
      <c r="G660" s="50">
        <v>5</v>
      </c>
      <c r="H660" s="51" t="s">
        <v>2625</v>
      </c>
      <c r="I660" s="53">
        <v>0</v>
      </c>
      <c r="J660" s="53">
        <v>0</v>
      </c>
      <c r="K660" s="53">
        <v>27000</v>
      </c>
      <c r="L660" s="53">
        <v>0</v>
      </c>
      <c r="M660" s="53">
        <v>0</v>
      </c>
      <c r="N660" s="53">
        <v>0</v>
      </c>
      <c r="O660" s="53">
        <v>0</v>
      </c>
      <c r="P660" s="53">
        <v>0</v>
      </c>
      <c r="Q660" s="53">
        <v>0</v>
      </c>
      <c r="R660" s="53">
        <v>0</v>
      </c>
      <c r="S660" s="53">
        <v>0</v>
      </c>
      <c r="T660" s="53">
        <v>0</v>
      </c>
      <c r="U660" s="53">
        <v>1350</v>
      </c>
      <c r="V660" s="53">
        <v>0</v>
      </c>
      <c r="W660" s="53">
        <v>0</v>
      </c>
      <c r="X660" s="53">
        <v>0</v>
      </c>
      <c r="Y660" s="53">
        <v>14175</v>
      </c>
      <c r="Z660" s="53">
        <v>0</v>
      </c>
      <c r="AA660" s="53">
        <v>0</v>
      </c>
      <c r="AB660" s="53">
        <v>0</v>
      </c>
      <c r="AC660" s="53">
        <v>0</v>
      </c>
      <c r="AD660" s="53">
        <v>0</v>
      </c>
      <c r="AE660" s="53">
        <v>0</v>
      </c>
      <c r="AF660" s="53">
        <v>0</v>
      </c>
      <c r="AG660" s="53">
        <v>0</v>
      </c>
      <c r="AH660" s="53">
        <v>0</v>
      </c>
      <c r="AI660" s="53">
        <v>0</v>
      </c>
      <c r="AJ660" s="53">
        <v>0</v>
      </c>
      <c r="AK660" s="53">
        <v>0</v>
      </c>
      <c r="AL660" s="53">
        <v>0</v>
      </c>
      <c r="AM660" s="53" t="str">
        <f>I660-J660-K660-L660-M660-N660-O660-P660-Q660-R660-S660-T660-U660-V660-W660-X660-Y660-Z660-AA660-AB660-AC660-AD660-AE660-AF660-AG660+AH660-AI660+AJ660+AK660-AL660</f>
        <v>0</v>
      </c>
      <c r="AN660" s="53"/>
      <c r="AO660" s="27"/>
    </row>
    <row r="661" spans="1:41">
      <c r="A661" s="44">
        <v>633</v>
      </c>
      <c r="B661" s="46" t="s">
        <v>2626</v>
      </c>
      <c r="C661" s="48" t="s">
        <v>2627</v>
      </c>
      <c r="D661" s="51" t="s">
        <v>73</v>
      </c>
      <c r="E661" s="51" t="s">
        <v>2628</v>
      </c>
      <c r="F661" s="54" t="s">
        <v>2629</v>
      </c>
      <c r="G661" s="50">
        <v>3</v>
      </c>
      <c r="H661" s="51" t="s">
        <v>2630</v>
      </c>
      <c r="I661" s="53">
        <v>285000</v>
      </c>
      <c r="J661" s="53">
        <v>0</v>
      </c>
      <c r="K661" s="53">
        <v>22000</v>
      </c>
      <c r="L661" s="53">
        <v>0</v>
      </c>
      <c r="M661" s="53">
        <v>0</v>
      </c>
      <c r="N661" s="53">
        <v>0</v>
      </c>
      <c r="O661" s="53">
        <v>0</v>
      </c>
      <c r="P661" s="53">
        <v>0</v>
      </c>
      <c r="Q661" s="53">
        <v>0</v>
      </c>
      <c r="R661" s="53">
        <v>0</v>
      </c>
      <c r="S661" s="53">
        <v>0</v>
      </c>
      <c r="T661" s="53">
        <v>0</v>
      </c>
      <c r="U661" s="53">
        <v>1100</v>
      </c>
      <c r="V661" s="53">
        <v>0</v>
      </c>
      <c r="W661" s="53">
        <v>0</v>
      </c>
      <c r="X661" s="53">
        <v>0</v>
      </c>
      <c r="Y661" s="53">
        <v>0</v>
      </c>
      <c r="Z661" s="53">
        <v>0</v>
      </c>
      <c r="AA661" s="53">
        <v>0</v>
      </c>
      <c r="AB661" s="53">
        <v>0</v>
      </c>
      <c r="AC661" s="53">
        <v>0</v>
      </c>
      <c r="AD661" s="53">
        <v>0</v>
      </c>
      <c r="AE661" s="53">
        <v>0</v>
      </c>
      <c r="AF661" s="53">
        <v>0</v>
      </c>
      <c r="AG661" s="53">
        <v>0</v>
      </c>
      <c r="AH661" s="53">
        <v>0</v>
      </c>
      <c r="AI661" s="53">
        <v>0</v>
      </c>
      <c r="AJ661" s="53">
        <v>0</v>
      </c>
      <c r="AK661" s="53">
        <v>0</v>
      </c>
      <c r="AL661" s="53">
        <v>0</v>
      </c>
      <c r="AM661" s="53" t="str">
        <f>I661-J661-K661-L661-M661-N661-O661-P661-Q661-R661-S661-T661-U661-V661-W661-X661-Y661-Z661-AA661-AB661-AC661-AD661-AE661-AF661-AG661+AH661-AI661+AJ661+AK661-AL661</f>
        <v>0</v>
      </c>
      <c r="AN661" s="53"/>
      <c r="AO661" s="27"/>
    </row>
    <row r="662" spans="1:41">
      <c r="A662" s="44">
        <v>634</v>
      </c>
      <c r="B662" s="46" t="s">
        <v>2631</v>
      </c>
      <c r="C662" s="48" t="s">
        <v>2632</v>
      </c>
      <c r="D662" s="51" t="s">
        <v>73</v>
      </c>
      <c r="E662" s="51" t="s">
        <v>2628</v>
      </c>
      <c r="F662" s="54" t="s">
        <v>641</v>
      </c>
      <c r="G662" s="50">
        <v>4</v>
      </c>
      <c r="H662" s="51" t="s">
        <v>2633</v>
      </c>
      <c r="I662" s="53">
        <v>660000</v>
      </c>
      <c r="J662" s="53">
        <v>0</v>
      </c>
      <c r="K662" s="53">
        <v>25000</v>
      </c>
      <c r="L662" s="53">
        <v>0</v>
      </c>
      <c r="M662" s="53">
        <v>0</v>
      </c>
      <c r="N662" s="53">
        <v>0</v>
      </c>
      <c r="O662" s="53">
        <v>0</v>
      </c>
      <c r="P662" s="53">
        <v>0</v>
      </c>
      <c r="Q662" s="53">
        <v>0</v>
      </c>
      <c r="R662" s="53">
        <v>0</v>
      </c>
      <c r="S662" s="53">
        <v>0</v>
      </c>
      <c r="T662" s="53">
        <v>0</v>
      </c>
      <c r="U662" s="53">
        <v>1250</v>
      </c>
      <c r="V662" s="53">
        <v>0</v>
      </c>
      <c r="W662" s="53">
        <v>0</v>
      </c>
      <c r="X662" s="53">
        <v>0</v>
      </c>
      <c r="Y662" s="53">
        <v>0</v>
      </c>
      <c r="Z662" s="53">
        <v>0</v>
      </c>
      <c r="AA662" s="53">
        <v>0</v>
      </c>
      <c r="AB662" s="53">
        <v>0</v>
      </c>
      <c r="AC662" s="53">
        <v>0</v>
      </c>
      <c r="AD662" s="53">
        <v>0</v>
      </c>
      <c r="AE662" s="53">
        <v>0</v>
      </c>
      <c r="AF662" s="53">
        <v>0</v>
      </c>
      <c r="AG662" s="53">
        <v>0</v>
      </c>
      <c r="AH662" s="53">
        <v>0</v>
      </c>
      <c r="AI662" s="53">
        <v>0</v>
      </c>
      <c r="AJ662" s="53">
        <v>0</v>
      </c>
      <c r="AK662" s="53">
        <v>0</v>
      </c>
      <c r="AL662" s="53">
        <v>0</v>
      </c>
      <c r="AM662" s="53" t="str">
        <f>I662-J662-K662-L662-M662-N662-O662-P662-Q662-R662-S662-T662-U662-V662-W662-X662-Y662-Z662-AA662-AB662-AC662-AD662-AE662-AF662-AG662+AH662-AI662+AJ662+AK662-AL662</f>
        <v>0</v>
      </c>
      <c r="AN662" s="53"/>
      <c r="AO662" s="27"/>
    </row>
    <row r="663" spans="1:41">
      <c r="A663" s="44">
        <v>635</v>
      </c>
      <c r="B663" s="46" t="s">
        <v>2634</v>
      </c>
      <c r="C663" s="48" t="s">
        <v>2635</v>
      </c>
      <c r="D663" s="51" t="s">
        <v>73</v>
      </c>
      <c r="E663" s="51" t="s">
        <v>2628</v>
      </c>
      <c r="F663" s="54" t="s">
        <v>641</v>
      </c>
      <c r="G663" s="50">
        <v>6.5</v>
      </c>
      <c r="H663" s="51" t="s">
        <v>2633</v>
      </c>
      <c r="I663" s="53">
        <v>624000</v>
      </c>
      <c r="J663" s="53">
        <v>0</v>
      </c>
      <c r="K663" s="53">
        <v>35000</v>
      </c>
      <c r="L663" s="53">
        <v>0</v>
      </c>
      <c r="M663" s="53">
        <v>0</v>
      </c>
      <c r="N663" s="53">
        <v>0</v>
      </c>
      <c r="O663" s="53">
        <v>0</v>
      </c>
      <c r="P663" s="53">
        <v>0</v>
      </c>
      <c r="Q663" s="53">
        <v>0</v>
      </c>
      <c r="R663" s="53">
        <v>0</v>
      </c>
      <c r="S663" s="53">
        <v>0</v>
      </c>
      <c r="T663" s="53">
        <v>0</v>
      </c>
      <c r="U663" s="53">
        <v>1750</v>
      </c>
      <c r="V663" s="53">
        <v>0</v>
      </c>
      <c r="W663" s="53">
        <v>0</v>
      </c>
      <c r="X663" s="53">
        <v>0</v>
      </c>
      <c r="Y663" s="53">
        <v>0</v>
      </c>
      <c r="Z663" s="53">
        <v>0</v>
      </c>
      <c r="AA663" s="53">
        <v>0</v>
      </c>
      <c r="AB663" s="53">
        <v>0</v>
      </c>
      <c r="AC663" s="53">
        <v>0</v>
      </c>
      <c r="AD663" s="53">
        <v>0</v>
      </c>
      <c r="AE663" s="53">
        <v>0</v>
      </c>
      <c r="AF663" s="53">
        <v>0</v>
      </c>
      <c r="AG663" s="53">
        <v>0</v>
      </c>
      <c r="AH663" s="53">
        <v>0</v>
      </c>
      <c r="AI663" s="53">
        <v>0</v>
      </c>
      <c r="AJ663" s="53">
        <v>0</v>
      </c>
      <c r="AK663" s="53">
        <v>0</v>
      </c>
      <c r="AL663" s="53">
        <v>0</v>
      </c>
      <c r="AM663" s="53" t="str">
        <f>I663-J663-K663-L663-M663-N663-O663-P663-Q663-R663-S663-T663-U663-V663-W663-X663-Y663-Z663-AA663-AB663-AC663-AD663-AE663-AF663-AG663+AH663-AI663+AJ663+AK663-AL663</f>
        <v>0</v>
      </c>
      <c r="AN663" s="53"/>
      <c r="AO663" s="27"/>
    </row>
    <row r="664" spans="1:41">
      <c r="A664" s="44">
        <v>636</v>
      </c>
      <c r="B664" s="46" t="s">
        <v>2636</v>
      </c>
      <c r="C664" s="48" t="s">
        <v>2637</v>
      </c>
      <c r="D664" s="51" t="s">
        <v>73</v>
      </c>
      <c r="E664" s="51" t="s">
        <v>2638</v>
      </c>
      <c r="F664" s="54" t="s">
        <v>1916</v>
      </c>
      <c r="G664" s="50">
        <v>3</v>
      </c>
      <c r="H664" s="51" t="s">
        <v>2639</v>
      </c>
      <c r="I664" s="53">
        <v>0</v>
      </c>
      <c r="J664" s="53">
        <v>0</v>
      </c>
      <c r="K664" s="53">
        <v>22000</v>
      </c>
      <c r="L664" s="53">
        <v>0</v>
      </c>
      <c r="M664" s="53">
        <v>0</v>
      </c>
      <c r="N664" s="53">
        <v>0</v>
      </c>
      <c r="O664" s="53">
        <v>0</v>
      </c>
      <c r="P664" s="53">
        <v>0</v>
      </c>
      <c r="Q664" s="53">
        <v>0</v>
      </c>
      <c r="R664" s="53">
        <v>0</v>
      </c>
      <c r="S664" s="53">
        <v>0</v>
      </c>
      <c r="T664" s="53">
        <v>0</v>
      </c>
      <c r="U664" s="53">
        <v>1100</v>
      </c>
      <c r="V664" s="53">
        <v>0</v>
      </c>
      <c r="W664" s="53">
        <v>0</v>
      </c>
      <c r="X664" s="53">
        <v>0</v>
      </c>
      <c r="Y664" s="53">
        <v>11550</v>
      </c>
      <c r="Z664" s="53">
        <v>0</v>
      </c>
      <c r="AA664" s="53">
        <v>0</v>
      </c>
      <c r="AB664" s="53">
        <v>0</v>
      </c>
      <c r="AC664" s="53">
        <v>0</v>
      </c>
      <c r="AD664" s="53">
        <v>0</v>
      </c>
      <c r="AE664" s="53">
        <v>0</v>
      </c>
      <c r="AF664" s="53">
        <v>0</v>
      </c>
      <c r="AG664" s="53">
        <v>0</v>
      </c>
      <c r="AH664" s="53">
        <v>0</v>
      </c>
      <c r="AI664" s="53">
        <v>0</v>
      </c>
      <c r="AJ664" s="53">
        <v>0</v>
      </c>
      <c r="AK664" s="53">
        <v>0</v>
      </c>
      <c r="AL664" s="53">
        <v>0</v>
      </c>
      <c r="AM664" s="53" t="str">
        <f>I664-J664-K664-L664-M664-N664-O664-P664-Q664-R664-S664-T664-U664-V664-W664-X664-Y664-Z664-AA664-AB664-AC664-AD664-AE664-AF664-AG664+AH664-AI664+AJ664+AK664-AL664</f>
        <v>0</v>
      </c>
      <c r="AN664" s="53"/>
      <c r="AO664" s="27"/>
    </row>
    <row r="665" spans="1:41">
      <c r="A665" s="44">
        <v>637</v>
      </c>
      <c r="B665" s="46" t="s">
        <v>2640</v>
      </c>
      <c r="C665" s="48" t="s">
        <v>2641</v>
      </c>
      <c r="D665" s="51" t="s">
        <v>73</v>
      </c>
      <c r="E665" s="51" t="s">
        <v>2642</v>
      </c>
      <c r="F665" s="54" t="s">
        <v>2643</v>
      </c>
      <c r="G665" s="50">
        <v>1.5</v>
      </c>
      <c r="H665" s="51" t="s">
        <v>2644</v>
      </c>
      <c r="I665" s="53">
        <v>224200</v>
      </c>
      <c r="J665" s="53">
        <v>0</v>
      </c>
      <c r="K665" s="53">
        <v>22000</v>
      </c>
      <c r="L665" s="53">
        <v>0</v>
      </c>
      <c r="M665" s="53">
        <v>0</v>
      </c>
      <c r="N665" s="53">
        <v>0</v>
      </c>
      <c r="O665" s="53">
        <v>0</v>
      </c>
      <c r="P665" s="53">
        <v>0</v>
      </c>
      <c r="Q665" s="53">
        <v>0</v>
      </c>
      <c r="R665" s="53">
        <v>0</v>
      </c>
      <c r="S665" s="53">
        <v>0</v>
      </c>
      <c r="T665" s="53">
        <v>0</v>
      </c>
      <c r="U665" s="53">
        <v>1100</v>
      </c>
      <c r="V665" s="53">
        <v>0</v>
      </c>
      <c r="W665" s="53">
        <v>0</v>
      </c>
      <c r="X665" s="53">
        <v>0</v>
      </c>
      <c r="Y665" s="53">
        <v>0</v>
      </c>
      <c r="Z665" s="53">
        <v>0</v>
      </c>
      <c r="AA665" s="53">
        <v>0</v>
      </c>
      <c r="AB665" s="53">
        <v>0</v>
      </c>
      <c r="AC665" s="53">
        <v>0</v>
      </c>
      <c r="AD665" s="53">
        <v>0</v>
      </c>
      <c r="AE665" s="53">
        <v>0</v>
      </c>
      <c r="AF665" s="53">
        <v>0</v>
      </c>
      <c r="AG665" s="53">
        <v>0</v>
      </c>
      <c r="AH665" s="53">
        <v>0</v>
      </c>
      <c r="AI665" s="53">
        <v>0</v>
      </c>
      <c r="AJ665" s="53">
        <v>0</v>
      </c>
      <c r="AK665" s="53">
        <v>0</v>
      </c>
      <c r="AL665" s="53">
        <v>0</v>
      </c>
      <c r="AM665" s="53" t="str">
        <f>I665-J665-K665-L665-M665-N665-O665-P665-Q665-R665-S665-T665-U665-V665-W665-X665-Y665-Z665-AA665-AB665-AC665-AD665-AE665-AF665-AG665+AH665-AI665+AJ665+AK665-AL665</f>
        <v>0</v>
      </c>
      <c r="AN665" s="53"/>
      <c r="AO665" s="27"/>
    </row>
    <row r="666" spans="1:41">
      <c r="A666" s="44">
        <v>638</v>
      </c>
      <c r="B666" s="46" t="s">
        <v>2645</v>
      </c>
      <c r="C666" s="48" t="s">
        <v>2646</v>
      </c>
      <c r="D666" s="51" t="s">
        <v>73</v>
      </c>
      <c r="E666" s="51" t="s">
        <v>2647</v>
      </c>
      <c r="F666" s="54" t="s">
        <v>2648</v>
      </c>
      <c r="G666" s="50">
        <v>5</v>
      </c>
      <c r="H666" s="51" t="s">
        <v>2649</v>
      </c>
      <c r="I666" s="53">
        <v>1452000</v>
      </c>
      <c r="J666" s="53">
        <v>0</v>
      </c>
      <c r="K666" s="53">
        <v>23000</v>
      </c>
      <c r="L666" s="53">
        <v>0</v>
      </c>
      <c r="M666" s="53">
        <v>0</v>
      </c>
      <c r="N666" s="53">
        <v>0</v>
      </c>
      <c r="O666" s="53">
        <v>0</v>
      </c>
      <c r="P666" s="53">
        <v>0</v>
      </c>
      <c r="Q666" s="53">
        <v>0</v>
      </c>
      <c r="R666" s="53">
        <v>0</v>
      </c>
      <c r="S666" s="53">
        <v>0</v>
      </c>
      <c r="T666" s="53">
        <v>0</v>
      </c>
      <c r="U666" s="53">
        <v>1150</v>
      </c>
      <c r="V666" s="53">
        <v>0</v>
      </c>
      <c r="W666" s="53">
        <v>0</v>
      </c>
      <c r="X666" s="53">
        <v>0</v>
      </c>
      <c r="Y666" s="53">
        <v>0</v>
      </c>
      <c r="Z666" s="53">
        <v>0</v>
      </c>
      <c r="AA666" s="53">
        <v>0</v>
      </c>
      <c r="AB666" s="53">
        <v>0</v>
      </c>
      <c r="AC666" s="53">
        <v>0</v>
      </c>
      <c r="AD666" s="53">
        <v>0</v>
      </c>
      <c r="AE666" s="53">
        <v>0</v>
      </c>
      <c r="AF666" s="53">
        <v>0</v>
      </c>
      <c r="AG666" s="53">
        <v>0</v>
      </c>
      <c r="AH666" s="53">
        <v>0</v>
      </c>
      <c r="AI666" s="53">
        <v>0</v>
      </c>
      <c r="AJ666" s="53">
        <v>0</v>
      </c>
      <c r="AK666" s="53">
        <v>0</v>
      </c>
      <c r="AL666" s="53">
        <v>0</v>
      </c>
      <c r="AM666" s="53" t="str">
        <f>I666-J666-K666-L666-M666-N666-O666-P666-Q666-R666-S666-T666-U666-V666-W666-X666-Y666-Z666-AA666-AB666-AC666-AD666-AE666-AF666-AG666+AH666-AI666+AJ666+AK666-AL666</f>
        <v>0</v>
      </c>
      <c r="AN666" s="53"/>
      <c r="AO666" s="27"/>
    </row>
    <row r="667" spans="1:41">
      <c r="A667" s="44">
        <v>639</v>
      </c>
      <c r="B667" s="46" t="s">
        <v>2650</v>
      </c>
      <c r="C667" s="48" t="s">
        <v>2651</v>
      </c>
      <c r="D667" s="51" t="s">
        <v>73</v>
      </c>
      <c r="E667" s="51" t="s">
        <v>2652</v>
      </c>
      <c r="F667" s="54" t="s">
        <v>1527</v>
      </c>
      <c r="G667" s="50">
        <v>2</v>
      </c>
      <c r="H667" s="51" t="s">
        <v>2653</v>
      </c>
      <c r="I667" s="53">
        <v>296000</v>
      </c>
      <c r="J667" s="53">
        <v>0</v>
      </c>
      <c r="K667" s="53">
        <v>23000</v>
      </c>
      <c r="L667" s="53">
        <v>0</v>
      </c>
      <c r="M667" s="53">
        <v>0</v>
      </c>
      <c r="N667" s="53">
        <v>0</v>
      </c>
      <c r="O667" s="53">
        <v>0</v>
      </c>
      <c r="P667" s="53">
        <v>0</v>
      </c>
      <c r="Q667" s="53">
        <v>0</v>
      </c>
      <c r="R667" s="53">
        <v>0</v>
      </c>
      <c r="S667" s="53">
        <v>0</v>
      </c>
      <c r="T667" s="53">
        <v>0</v>
      </c>
      <c r="U667" s="53">
        <v>1150</v>
      </c>
      <c r="V667" s="53">
        <v>0</v>
      </c>
      <c r="W667" s="53">
        <v>0</v>
      </c>
      <c r="X667" s="53">
        <v>0</v>
      </c>
      <c r="Y667" s="53">
        <v>0</v>
      </c>
      <c r="Z667" s="53">
        <v>0</v>
      </c>
      <c r="AA667" s="53">
        <v>0</v>
      </c>
      <c r="AB667" s="53">
        <v>0</v>
      </c>
      <c r="AC667" s="53">
        <v>0</v>
      </c>
      <c r="AD667" s="53">
        <v>0</v>
      </c>
      <c r="AE667" s="53">
        <v>0</v>
      </c>
      <c r="AF667" s="53">
        <v>0</v>
      </c>
      <c r="AG667" s="53">
        <v>0</v>
      </c>
      <c r="AH667" s="53">
        <v>0</v>
      </c>
      <c r="AI667" s="53">
        <v>0</v>
      </c>
      <c r="AJ667" s="53">
        <v>0</v>
      </c>
      <c r="AK667" s="53">
        <v>0</v>
      </c>
      <c r="AL667" s="53">
        <v>0</v>
      </c>
      <c r="AM667" s="53" t="str">
        <f>I667-J667-K667-L667-M667-N667-O667-P667-Q667-R667-S667-T667-U667-V667-W667-X667-Y667-Z667-AA667-AB667-AC667-AD667-AE667-AF667-AG667+AH667-AI667+AJ667+AK667-AL667</f>
        <v>0</v>
      </c>
      <c r="AN667" s="53"/>
      <c r="AO667" s="27"/>
    </row>
    <row r="668" spans="1:41">
      <c r="A668" s="44">
        <v>640</v>
      </c>
      <c r="B668" s="46" t="s">
        <v>2654</v>
      </c>
      <c r="C668" s="48" t="s">
        <v>2655</v>
      </c>
      <c r="D668" s="51" t="s">
        <v>73</v>
      </c>
      <c r="E668" s="51" t="s">
        <v>2652</v>
      </c>
      <c r="F668" s="54" t="s">
        <v>1227</v>
      </c>
      <c r="G668" s="50">
        <v>11</v>
      </c>
      <c r="H668" s="51" t="s">
        <v>2656</v>
      </c>
      <c r="I668" s="53">
        <v>3080000</v>
      </c>
      <c r="J668" s="53">
        <v>15400</v>
      </c>
      <c r="K668" s="53">
        <v>29000</v>
      </c>
      <c r="L668" s="53">
        <v>0</v>
      </c>
      <c r="M668" s="53">
        <v>0</v>
      </c>
      <c r="N668" s="53">
        <v>0</v>
      </c>
      <c r="O668" s="53">
        <v>0</v>
      </c>
      <c r="P668" s="53">
        <v>0</v>
      </c>
      <c r="Q668" s="53">
        <v>0</v>
      </c>
      <c r="R668" s="53">
        <v>0</v>
      </c>
      <c r="S668" s="53">
        <v>0</v>
      </c>
      <c r="T668" s="53">
        <v>0</v>
      </c>
      <c r="U668" s="53">
        <v>1450</v>
      </c>
      <c r="V668" s="53">
        <v>0</v>
      </c>
      <c r="W668" s="53">
        <v>0</v>
      </c>
      <c r="X668" s="53">
        <v>0</v>
      </c>
      <c r="Y668" s="53">
        <v>0</v>
      </c>
      <c r="Z668" s="53">
        <v>0</v>
      </c>
      <c r="AA668" s="53">
        <v>0</v>
      </c>
      <c r="AB668" s="53">
        <v>0</v>
      </c>
      <c r="AC668" s="53">
        <v>0</v>
      </c>
      <c r="AD668" s="53">
        <v>0</v>
      </c>
      <c r="AE668" s="53">
        <v>0</v>
      </c>
      <c r="AF668" s="53">
        <v>0</v>
      </c>
      <c r="AG668" s="53">
        <v>0</v>
      </c>
      <c r="AH668" s="53">
        <v>0</v>
      </c>
      <c r="AI668" s="53">
        <v>0</v>
      </c>
      <c r="AJ668" s="53">
        <v>0</v>
      </c>
      <c r="AK668" s="53">
        <v>0</v>
      </c>
      <c r="AL668" s="53">
        <v>0</v>
      </c>
      <c r="AM668" s="53" t="str">
        <f>I668-J668-K668-L668-M668-N668-O668-P668-Q668-R668-S668-T668-U668-V668-W668-X668-Y668-Z668-AA668-AB668-AC668-AD668-AE668-AF668-AG668+AH668-AI668+AJ668+AK668-AL668</f>
        <v>0</v>
      </c>
      <c r="AN668" s="53"/>
      <c r="AO668" s="27"/>
    </row>
    <row r="669" spans="1:41">
      <c r="A669" s="44">
        <v>641</v>
      </c>
      <c r="B669" s="46" t="s">
        <v>2657</v>
      </c>
      <c r="C669" s="48" t="s">
        <v>2658</v>
      </c>
      <c r="D669" s="51" t="s">
        <v>73</v>
      </c>
      <c r="E669" s="51" t="s">
        <v>2659</v>
      </c>
      <c r="F669" s="54" t="s">
        <v>2660</v>
      </c>
      <c r="G669" s="50">
        <v>5</v>
      </c>
      <c r="H669" s="51" t="s">
        <v>2661</v>
      </c>
      <c r="I669" s="53">
        <v>926000</v>
      </c>
      <c r="J669" s="53">
        <v>0</v>
      </c>
      <c r="K669" s="53">
        <v>23000</v>
      </c>
      <c r="L669" s="53">
        <v>0</v>
      </c>
      <c r="M669" s="53">
        <v>0</v>
      </c>
      <c r="N669" s="53">
        <v>0</v>
      </c>
      <c r="O669" s="53">
        <v>0</v>
      </c>
      <c r="P669" s="53">
        <v>0</v>
      </c>
      <c r="Q669" s="53">
        <v>0</v>
      </c>
      <c r="R669" s="53">
        <v>0</v>
      </c>
      <c r="S669" s="53">
        <v>0</v>
      </c>
      <c r="T669" s="53">
        <v>0</v>
      </c>
      <c r="U669" s="53">
        <v>1150</v>
      </c>
      <c r="V669" s="53">
        <v>0</v>
      </c>
      <c r="W669" s="53">
        <v>0</v>
      </c>
      <c r="X669" s="53">
        <v>0</v>
      </c>
      <c r="Y669" s="53">
        <v>0</v>
      </c>
      <c r="Z669" s="53">
        <v>0</v>
      </c>
      <c r="AA669" s="53">
        <v>0</v>
      </c>
      <c r="AB669" s="53">
        <v>0</v>
      </c>
      <c r="AC669" s="53">
        <v>0</v>
      </c>
      <c r="AD669" s="53">
        <v>0</v>
      </c>
      <c r="AE669" s="53">
        <v>0</v>
      </c>
      <c r="AF669" s="53">
        <v>0</v>
      </c>
      <c r="AG669" s="53">
        <v>0</v>
      </c>
      <c r="AH669" s="53">
        <v>0</v>
      </c>
      <c r="AI669" s="53">
        <v>0</v>
      </c>
      <c r="AJ669" s="53">
        <v>0</v>
      </c>
      <c r="AK669" s="53">
        <v>0</v>
      </c>
      <c r="AL669" s="53">
        <v>0</v>
      </c>
      <c r="AM669" s="53" t="str">
        <f>I669-J669-K669-L669-M669-N669-O669-P669-Q669-R669-S669-T669-U669-V669-W669-X669-Y669-Z669-AA669-AB669-AC669-AD669-AE669-AF669-AG669+AH669-AI669+AJ669+AK669-AL669</f>
        <v>0</v>
      </c>
      <c r="AN669" s="53"/>
      <c r="AO669" s="27"/>
    </row>
    <row r="670" spans="1:41">
      <c r="A670" s="44">
        <v>642</v>
      </c>
      <c r="B670" s="46" t="s">
        <v>2662</v>
      </c>
      <c r="C670" s="48" t="s">
        <v>2663</v>
      </c>
      <c r="D670" s="51" t="s">
        <v>73</v>
      </c>
      <c r="E670" s="51" t="s">
        <v>2664</v>
      </c>
      <c r="F670" s="54" t="s">
        <v>2665</v>
      </c>
      <c r="G670" s="50">
        <v>2</v>
      </c>
      <c r="H670" s="51" t="s">
        <v>2666</v>
      </c>
      <c r="I670" s="53">
        <v>381500</v>
      </c>
      <c r="J670" s="53">
        <v>0</v>
      </c>
      <c r="K670" s="53">
        <v>22000</v>
      </c>
      <c r="L670" s="53">
        <v>0</v>
      </c>
      <c r="M670" s="53">
        <v>0</v>
      </c>
      <c r="N670" s="53">
        <v>0</v>
      </c>
      <c r="O670" s="53">
        <v>0</v>
      </c>
      <c r="P670" s="53">
        <v>0</v>
      </c>
      <c r="Q670" s="53">
        <v>0</v>
      </c>
      <c r="R670" s="53">
        <v>0</v>
      </c>
      <c r="S670" s="53">
        <v>0</v>
      </c>
      <c r="T670" s="53">
        <v>0</v>
      </c>
      <c r="U670" s="53">
        <v>1100</v>
      </c>
      <c r="V670" s="53">
        <v>0</v>
      </c>
      <c r="W670" s="53">
        <v>0</v>
      </c>
      <c r="X670" s="53">
        <v>0</v>
      </c>
      <c r="Y670" s="53">
        <v>0</v>
      </c>
      <c r="Z670" s="53">
        <v>0</v>
      </c>
      <c r="AA670" s="53">
        <v>0</v>
      </c>
      <c r="AB670" s="53">
        <v>0</v>
      </c>
      <c r="AC670" s="53">
        <v>0</v>
      </c>
      <c r="AD670" s="53">
        <v>0</v>
      </c>
      <c r="AE670" s="53">
        <v>0</v>
      </c>
      <c r="AF670" s="53">
        <v>0</v>
      </c>
      <c r="AG670" s="53">
        <v>0</v>
      </c>
      <c r="AH670" s="53">
        <v>0</v>
      </c>
      <c r="AI670" s="53">
        <v>0</v>
      </c>
      <c r="AJ670" s="53">
        <v>0</v>
      </c>
      <c r="AK670" s="53">
        <v>0</v>
      </c>
      <c r="AL670" s="53">
        <v>0</v>
      </c>
      <c r="AM670" s="53" t="str">
        <f>I670-J670-K670-L670-M670-N670-O670-P670-Q670-R670-S670-T670-U670-V670-W670-X670-Y670-Z670-AA670-AB670-AC670-AD670-AE670-AF670-AG670+AH670-AI670+AJ670+AK670-AL670</f>
        <v>0</v>
      </c>
      <c r="AN670" s="53"/>
      <c r="AO670" s="27"/>
    </row>
    <row r="671" spans="1:41">
      <c r="A671" s="44">
        <v>643</v>
      </c>
      <c r="B671" s="46" t="s">
        <v>2667</v>
      </c>
      <c r="C671" s="48" t="s">
        <v>2668</v>
      </c>
      <c r="D671" s="51" t="s">
        <v>73</v>
      </c>
      <c r="E671" s="51" t="s">
        <v>2664</v>
      </c>
      <c r="F671" s="54" t="s">
        <v>2669</v>
      </c>
      <c r="G671" s="50">
        <v>3</v>
      </c>
      <c r="H671" s="51" t="s">
        <v>2670</v>
      </c>
      <c r="I671" s="53">
        <v>0</v>
      </c>
      <c r="J671" s="53">
        <v>0</v>
      </c>
      <c r="K671" s="53">
        <v>22000</v>
      </c>
      <c r="L671" s="53">
        <v>0</v>
      </c>
      <c r="M671" s="53">
        <v>0</v>
      </c>
      <c r="N671" s="53">
        <v>0</v>
      </c>
      <c r="O671" s="53">
        <v>0</v>
      </c>
      <c r="P671" s="53">
        <v>0</v>
      </c>
      <c r="Q671" s="53">
        <v>0</v>
      </c>
      <c r="R671" s="53">
        <v>0</v>
      </c>
      <c r="S671" s="53">
        <v>0</v>
      </c>
      <c r="T671" s="53">
        <v>0</v>
      </c>
      <c r="U671" s="53">
        <v>1100</v>
      </c>
      <c r="V671" s="53">
        <v>0</v>
      </c>
      <c r="W671" s="53">
        <v>0</v>
      </c>
      <c r="X671" s="53">
        <v>0</v>
      </c>
      <c r="Y671" s="53">
        <v>0</v>
      </c>
      <c r="Z671" s="53">
        <v>0</v>
      </c>
      <c r="AA671" s="53">
        <v>0</v>
      </c>
      <c r="AB671" s="53">
        <v>0</v>
      </c>
      <c r="AC671" s="53">
        <v>0</v>
      </c>
      <c r="AD671" s="53">
        <v>0</v>
      </c>
      <c r="AE671" s="53">
        <v>0</v>
      </c>
      <c r="AF671" s="53">
        <v>0</v>
      </c>
      <c r="AG671" s="53">
        <v>0</v>
      </c>
      <c r="AH671" s="53">
        <v>0</v>
      </c>
      <c r="AI671" s="53">
        <v>0</v>
      </c>
      <c r="AJ671" s="53">
        <v>0</v>
      </c>
      <c r="AK671" s="53">
        <v>0</v>
      </c>
      <c r="AL671" s="53">
        <v>0</v>
      </c>
      <c r="AM671" s="53" t="str">
        <f>I671-J671-K671-L671-M671-N671-O671-P671-Q671-R671-S671-T671-U671-V671-W671-X671-Y671-Z671-AA671-AB671-AC671-AD671-AE671-AF671-AG671+AH671-AI671+AJ671+AK671-AL671</f>
        <v>0</v>
      </c>
      <c r="AN671" s="53"/>
      <c r="AO671" s="27"/>
    </row>
    <row r="672" spans="1:41">
      <c r="A672" s="44">
        <v>644</v>
      </c>
      <c r="B672" s="46" t="s">
        <v>2671</v>
      </c>
      <c r="C672" s="48" t="s">
        <v>2672</v>
      </c>
      <c r="D672" s="51" t="s">
        <v>73</v>
      </c>
      <c r="E672" s="51" t="s">
        <v>2664</v>
      </c>
      <c r="F672" s="54" t="s">
        <v>1899</v>
      </c>
      <c r="G672" s="50">
        <v>4</v>
      </c>
      <c r="H672" s="51" t="s">
        <v>2673</v>
      </c>
      <c r="I672" s="53">
        <v>420000</v>
      </c>
      <c r="J672" s="53">
        <v>0</v>
      </c>
      <c r="K672" s="53">
        <v>25000</v>
      </c>
      <c r="L672" s="53">
        <v>0</v>
      </c>
      <c r="M672" s="53">
        <v>0</v>
      </c>
      <c r="N672" s="53">
        <v>0</v>
      </c>
      <c r="O672" s="53">
        <v>0</v>
      </c>
      <c r="P672" s="53">
        <v>0</v>
      </c>
      <c r="Q672" s="53">
        <v>0</v>
      </c>
      <c r="R672" s="53">
        <v>0</v>
      </c>
      <c r="S672" s="53">
        <v>0</v>
      </c>
      <c r="T672" s="53">
        <v>0</v>
      </c>
      <c r="U672" s="53">
        <v>1250</v>
      </c>
      <c r="V672" s="53">
        <v>0</v>
      </c>
      <c r="W672" s="53">
        <v>0</v>
      </c>
      <c r="X672" s="53">
        <v>0</v>
      </c>
      <c r="Y672" s="53">
        <v>0</v>
      </c>
      <c r="Z672" s="53">
        <v>0</v>
      </c>
      <c r="AA672" s="53">
        <v>0</v>
      </c>
      <c r="AB672" s="53">
        <v>0</v>
      </c>
      <c r="AC672" s="53">
        <v>0</v>
      </c>
      <c r="AD672" s="53">
        <v>0</v>
      </c>
      <c r="AE672" s="53">
        <v>0</v>
      </c>
      <c r="AF672" s="53">
        <v>0</v>
      </c>
      <c r="AG672" s="53">
        <v>0</v>
      </c>
      <c r="AH672" s="53">
        <v>0</v>
      </c>
      <c r="AI672" s="53">
        <v>0</v>
      </c>
      <c r="AJ672" s="53">
        <v>0</v>
      </c>
      <c r="AK672" s="53">
        <v>0</v>
      </c>
      <c r="AL672" s="53">
        <v>0</v>
      </c>
      <c r="AM672" s="53" t="str">
        <f>I672-J672-K672-L672-M672-N672-O672-P672-Q672-R672-S672-T672-U672-V672-W672-X672-Y672-Z672-AA672-AB672-AC672-AD672-AE672-AF672-AG672+AH672-AI672+AJ672+AK672-AL672</f>
        <v>0</v>
      </c>
      <c r="AN672" s="53"/>
      <c r="AO672" s="27"/>
    </row>
    <row r="673" spans="1:41">
      <c r="A673" s="44">
        <v>645</v>
      </c>
      <c r="B673" s="46" t="s">
        <v>2674</v>
      </c>
      <c r="C673" s="48" t="s">
        <v>2675</v>
      </c>
      <c r="D673" s="51" t="s">
        <v>73</v>
      </c>
      <c r="E673" s="51" t="s">
        <v>2664</v>
      </c>
      <c r="F673" s="54" t="s">
        <v>2676</v>
      </c>
      <c r="G673" s="50">
        <v>11.4</v>
      </c>
      <c r="H673" s="51" t="s">
        <v>2677</v>
      </c>
      <c r="I673" s="53">
        <v>1251000</v>
      </c>
      <c r="J673" s="53">
        <v>0</v>
      </c>
      <c r="K673" s="53">
        <v>48000</v>
      </c>
      <c r="L673" s="53">
        <v>0</v>
      </c>
      <c r="M673" s="53">
        <v>0</v>
      </c>
      <c r="N673" s="53">
        <v>0</v>
      </c>
      <c r="O673" s="53">
        <v>0</v>
      </c>
      <c r="P673" s="53">
        <v>0</v>
      </c>
      <c r="Q673" s="53">
        <v>0</v>
      </c>
      <c r="R673" s="53">
        <v>0</v>
      </c>
      <c r="S673" s="53">
        <v>0</v>
      </c>
      <c r="T673" s="53">
        <v>0</v>
      </c>
      <c r="U673" s="53">
        <v>2400</v>
      </c>
      <c r="V673" s="53">
        <v>0</v>
      </c>
      <c r="W673" s="53">
        <v>0</v>
      </c>
      <c r="X673" s="53">
        <v>0</v>
      </c>
      <c r="Y673" s="53">
        <v>0</v>
      </c>
      <c r="Z673" s="53">
        <v>0</v>
      </c>
      <c r="AA673" s="53">
        <v>0</v>
      </c>
      <c r="AB673" s="53">
        <v>0</v>
      </c>
      <c r="AC673" s="53">
        <v>0</v>
      </c>
      <c r="AD673" s="53">
        <v>0</v>
      </c>
      <c r="AE673" s="53">
        <v>0</v>
      </c>
      <c r="AF673" s="53">
        <v>0</v>
      </c>
      <c r="AG673" s="53">
        <v>0</v>
      </c>
      <c r="AH673" s="53">
        <v>0</v>
      </c>
      <c r="AI673" s="53">
        <v>0</v>
      </c>
      <c r="AJ673" s="53">
        <v>0</v>
      </c>
      <c r="AK673" s="53">
        <v>0</v>
      </c>
      <c r="AL673" s="53">
        <v>0</v>
      </c>
      <c r="AM673" s="53" t="str">
        <f>I673-J673-K673-L673-M673-N673-O673-P673-Q673-R673-S673-T673-U673-V673-W673-X673-Y673-Z673-AA673-AB673-AC673-AD673-AE673-AF673-AG673+AH673-AI673+AJ673+AK673-AL673</f>
        <v>0</v>
      </c>
      <c r="AN673" s="53"/>
      <c r="AO673" s="27"/>
    </row>
    <row r="674" spans="1:41">
      <c r="A674" s="44">
        <v>646</v>
      </c>
      <c r="B674" s="46" t="s">
        <v>2678</v>
      </c>
      <c r="C674" s="48" t="s">
        <v>2679</v>
      </c>
      <c r="D674" s="51" t="s">
        <v>73</v>
      </c>
      <c r="E674" s="51" t="s">
        <v>2664</v>
      </c>
      <c r="F674" s="54" t="s">
        <v>2374</v>
      </c>
      <c r="G674" s="50">
        <v>3</v>
      </c>
      <c r="H674" s="51" t="s">
        <v>2680</v>
      </c>
      <c r="I674" s="53">
        <v>224000</v>
      </c>
      <c r="J674" s="53">
        <v>0</v>
      </c>
      <c r="K674" s="53">
        <v>22000</v>
      </c>
      <c r="L674" s="53">
        <v>0</v>
      </c>
      <c r="M674" s="53">
        <v>0</v>
      </c>
      <c r="N674" s="53">
        <v>0</v>
      </c>
      <c r="O674" s="53">
        <v>0</v>
      </c>
      <c r="P674" s="53">
        <v>0</v>
      </c>
      <c r="Q674" s="53">
        <v>0</v>
      </c>
      <c r="R674" s="53">
        <v>0</v>
      </c>
      <c r="S674" s="53">
        <v>0</v>
      </c>
      <c r="T674" s="53">
        <v>0</v>
      </c>
      <c r="U674" s="53">
        <v>1100</v>
      </c>
      <c r="V674" s="53">
        <v>0</v>
      </c>
      <c r="W674" s="53">
        <v>0</v>
      </c>
      <c r="X674" s="53">
        <v>0</v>
      </c>
      <c r="Y674" s="53">
        <v>0</v>
      </c>
      <c r="Z674" s="53">
        <v>0</v>
      </c>
      <c r="AA674" s="53">
        <v>0</v>
      </c>
      <c r="AB674" s="53">
        <v>0</v>
      </c>
      <c r="AC674" s="53">
        <v>0</v>
      </c>
      <c r="AD674" s="53">
        <v>0</v>
      </c>
      <c r="AE674" s="53">
        <v>0</v>
      </c>
      <c r="AF674" s="53">
        <v>0</v>
      </c>
      <c r="AG674" s="53">
        <v>0</v>
      </c>
      <c r="AH674" s="53">
        <v>0</v>
      </c>
      <c r="AI674" s="53">
        <v>0</v>
      </c>
      <c r="AJ674" s="53">
        <v>0</v>
      </c>
      <c r="AK674" s="53">
        <v>0</v>
      </c>
      <c r="AL674" s="53">
        <v>0</v>
      </c>
      <c r="AM674" s="53" t="str">
        <f>I674-J674-K674-L674-M674-N674-O674-P674-Q674-R674-S674-T674-U674-V674-W674-X674-Y674-Z674-AA674-AB674-AC674-AD674-AE674-AF674-AG674+AH674-AI674+AJ674+AK674-AL674</f>
        <v>0</v>
      </c>
      <c r="AN674" s="53"/>
      <c r="AO674" s="27"/>
    </row>
    <row r="675" spans="1:41">
      <c r="A675" s="44">
        <v>647</v>
      </c>
      <c r="B675" s="46" t="s">
        <v>2681</v>
      </c>
      <c r="C675" s="48" t="s">
        <v>2682</v>
      </c>
      <c r="D675" s="51" t="s">
        <v>73</v>
      </c>
      <c r="E675" s="51" t="s">
        <v>2664</v>
      </c>
      <c r="F675" s="54" t="s">
        <v>2516</v>
      </c>
      <c r="G675" s="50">
        <v>2.5</v>
      </c>
      <c r="H675" s="51" t="s">
        <v>2683</v>
      </c>
      <c r="I675" s="53">
        <v>538100</v>
      </c>
      <c r="J675" s="53">
        <v>0</v>
      </c>
      <c r="K675" s="53">
        <v>22000</v>
      </c>
      <c r="L675" s="53">
        <v>0</v>
      </c>
      <c r="M675" s="53">
        <v>0</v>
      </c>
      <c r="N675" s="53">
        <v>0</v>
      </c>
      <c r="O675" s="53">
        <v>0</v>
      </c>
      <c r="P675" s="53">
        <v>0</v>
      </c>
      <c r="Q675" s="53">
        <v>0</v>
      </c>
      <c r="R675" s="53">
        <v>0</v>
      </c>
      <c r="S675" s="53">
        <v>0</v>
      </c>
      <c r="T675" s="53">
        <v>0</v>
      </c>
      <c r="U675" s="53">
        <v>1100</v>
      </c>
      <c r="V675" s="53">
        <v>0</v>
      </c>
      <c r="W675" s="53">
        <v>0</v>
      </c>
      <c r="X675" s="53">
        <v>0</v>
      </c>
      <c r="Y675" s="53">
        <v>0</v>
      </c>
      <c r="Z675" s="53">
        <v>0</v>
      </c>
      <c r="AA675" s="53">
        <v>0</v>
      </c>
      <c r="AB675" s="53">
        <v>0</v>
      </c>
      <c r="AC675" s="53">
        <v>0</v>
      </c>
      <c r="AD675" s="53">
        <v>0</v>
      </c>
      <c r="AE675" s="53">
        <v>0</v>
      </c>
      <c r="AF675" s="53">
        <v>0</v>
      </c>
      <c r="AG675" s="53">
        <v>0</v>
      </c>
      <c r="AH675" s="53">
        <v>0</v>
      </c>
      <c r="AI675" s="53">
        <v>0</v>
      </c>
      <c r="AJ675" s="53">
        <v>0</v>
      </c>
      <c r="AK675" s="53">
        <v>0</v>
      </c>
      <c r="AL675" s="53">
        <v>0</v>
      </c>
      <c r="AM675" s="53" t="str">
        <f>I675-J675-K675-L675-M675-N675-O675-P675-Q675-R675-S675-T675-U675-V675-W675-X675-Y675-Z675-AA675-AB675-AC675-AD675-AE675-AF675-AG675+AH675-AI675+AJ675+AK675-AL675</f>
        <v>0</v>
      </c>
      <c r="AN675" s="53"/>
      <c r="AO675" s="27"/>
    </row>
    <row r="676" spans="1:41">
      <c r="A676" s="44">
        <v>648</v>
      </c>
      <c r="B676" s="46" t="s">
        <v>2684</v>
      </c>
      <c r="C676" s="48" t="s">
        <v>2685</v>
      </c>
      <c r="D676" s="51" t="s">
        <v>73</v>
      </c>
      <c r="E676" s="51" t="s">
        <v>2664</v>
      </c>
      <c r="F676" s="54" t="s">
        <v>1703</v>
      </c>
      <c r="G676" s="50">
        <v>2</v>
      </c>
      <c r="H676" s="51" t="s">
        <v>2686</v>
      </c>
      <c r="I676" s="53">
        <v>290000</v>
      </c>
      <c r="J676" s="53">
        <v>0</v>
      </c>
      <c r="K676" s="53">
        <v>22000</v>
      </c>
      <c r="L676" s="53">
        <v>0</v>
      </c>
      <c r="M676" s="53">
        <v>0</v>
      </c>
      <c r="N676" s="53">
        <v>0</v>
      </c>
      <c r="O676" s="53">
        <v>0</v>
      </c>
      <c r="P676" s="53">
        <v>0</v>
      </c>
      <c r="Q676" s="53">
        <v>0</v>
      </c>
      <c r="R676" s="53">
        <v>0</v>
      </c>
      <c r="S676" s="53">
        <v>0</v>
      </c>
      <c r="T676" s="53">
        <v>0</v>
      </c>
      <c r="U676" s="53">
        <v>1100</v>
      </c>
      <c r="V676" s="53">
        <v>0</v>
      </c>
      <c r="W676" s="53">
        <v>0</v>
      </c>
      <c r="X676" s="53">
        <v>0</v>
      </c>
      <c r="Y676" s="53">
        <v>0</v>
      </c>
      <c r="Z676" s="53">
        <v>0</v>
      </c>
      <c r="AA676" s="53">
        <v>0</v>
      </c>
      <c r="AB676" s="53">
        <v>0</v>
      </c>
      <c r="AC676" s="53">
        <v>0</v>
      </c>
      <c r="AD676" s="53">
        <v>0</v>
      </c>
      <c r="AE676" s="53">
        <v>0</v>
      </c>
      <c r="AF676" s="53">
        <v>0</v>
      </c>
      <c r="AG676" s="53">
        <v>0</v>
      </c>
      <c r="AH676" s="53">
        <v>0</v>
      </c>
      <c r="AI676" s="53">
        <v>0</v>
      </c>
      <c r="AJ676" s="53">
        <v>0</v>
      </c>
      <c r="AK676" s="53">
        <v>0</v>
      </c>
      <c r="AL676" s="53">
        <v>0</v>
      </c>
      <c r="AM676" s="53" t="str">
        <f>I676-J676-K676-L676-M676-N676-O676-P676-Q676-R676-S676-T676-U676-V676-W676-X676-Y676-Z676-AA676-AB676-AC676-AD676-AE676-AF676-AG676+AH676-AI676+AJ676+AK676-AL676</f>
        <v>0</v>
      </c>
      <c r="AN676" s="53"/>
      <c r="AO676" s="27"/>
    </row>
    <row r="677" spans="1:41">
      <c r="A677" s="44">
        <v>649</v>
      </c>
      <c r="B677" s="46" t="s">
        <v>2687</v>
      </c>
      <c r="C677" s="48" t="s">
        <v>2688</v>
      </c>
      <c r="D677" s="51" t="s">
        <v>73</v>
      </c>
      <c r="E677" s="51" t="s">
        <v>2664</v>
      </c>
      <c r="F677" s="54" t="s">
        <v>2689</v>
      </c>
      <c r="G677" s="50">
        <v>2</v>
      </c>
      <c r="H677" s="51" t="s">
        <v>2690</v>
      </c>
      <c r="I677" s="53">
        <v>594000</v>
      </c>
      <c r="J677" s="53">
        <v>0</v>
      </c>
      <c r="K677" s="53">
        <v>22000</v>
      </c>
      <c r="L677" s="53">
        <v>0</v>
      </c>
      <c r="M677" s="53">
        <v>0</v>
      </c>
      <c r="N677" s="53">
        <v>0</v>
      </c>
      <c r="O677" s="53">
        <v>0</v>
      </c>
      <c r="P677" s="53">
        <v>0</v>
      </c>
      <c r="Q677" s="53">
        <v>0</v>
      </c>
      <c r="R677" s="53">
        <v>0</v>
      </c>
      <c r="S677" s="53">
        <v>0</v>
      </c>
      <c r="T677" s="53">
        <v>0</v>
      </c>
      <c r="U677" s="53">
        <v>1100</v>
      </c>
      <c r="V677" s="53">
        <v>0</v>
      </c>
      <c r="W677" s="53">
        <v>0</v>
      </c>
      <c r="X677" s="53">
        <v>0</v>
      </c>
      <c r="Y677" s="53">
        <v>0</v>
      </c>
      <c r="Z677" s="53">
        <v>0</v>
      </c>
      <c r="AA677" s="53">
        <v>0</v>
      </c>
      <c r="AB677" s="53">
        <v>0</v>
      </c>
      <c r="AC677" s="53">
        <v>0</v>
      </c>
      <c r="AD677" s="53">
        <v>0</v>
      </c>
      <c r="AE677" s="53">
        <v>0</v>
      </c>
      <c r="AF677" s="53">
        <v>0</v>
      </c>
      <c r="AG677" s="53">
        <v>0</v>
      </c>
      <c r="AH677" s="53">
        <v>0</v>
      </c>
      <c r="AI677" s="53">
        <v>0</v>
      </c>
      <c r="AJ677" s="53">
        <v>0</v>
      </c>
      <c r="AK677" s="53">
        <v>0</v>
      </c>
      <c r="AL677" s="53">
        <v>0</v>
      </c>
      <c r="AM677" s="53" t="str">
        <f>I677-J677-K677-L677-M677-N677-O677-P677-Q677-R677-S677-T677-U677-V677-W677-X677-Y677-Z677-AA677-AB677-AC677-AD677-AE677-AF677-AG677+AH677-AI677+AJ677+AK677-AL677</f>
        <v>0</v>
      </c>
      <c r="AN677" s="53"/>
      <c r="AO677" s="27"/>
    </row>
    <row r="678" spans="1:41">
      <c r="A678" s="44">
        <v>650</v>
      </c>
      <c r="B678" s="46" t="s">
        <v>2691</v>
      </c>
      <c r="C678" s="48" t="s">
        <v>2692</v>
      </c>
      <c r="D678" s="51" t="s">
        <v>73</v>
      </c>
      <c r="E678" s="51" t="s">
        <v>2664</v>
      </c>
      <c r="F678" s="54" t="s">
        <v>1393</v>
      </c>
      <c r="G678" s="50">
        <v>18.9</v>
      </c>
      <c r="H678" s="51" t="s">
        <v>2693</v>
      </c>
      <c r="I678" s="53">
        <v>1950000</v>
      </c>
      <c r="J678" s="53">
        <v>0</v>
      </c>
      <c r="K678" s="53">
        <v>76000</v>
      </c>
      <c r="L678" s="53">
        <v>0</v>
      </c>
      <c r="M678" s="53">
        <v>0</v>
      </c>
      <c r="N678" s="53">
        <v>0</v>
      </c>
      <c r="O678" s="53">
        <v>0</v>
      </c>
      <c r="P678" s="53">
        <v>0</v>
      </c>
      <c r="Q678" s="53">
        <v>0</v>
      </c>
      <c r="R678" s="53">
        <v>0</v>
      </c>
      <c r="S678" s="53">
        <v>0</v>
      </c>
      <c r="T678" s="53">
        <v>0</v>
      </c>
      <c r="U678" s="53">
        <v>3800</v>
      </c>
      <c r="V678" s="53">
        <v>0</v>
      </c>
      <c r="W678" s="53">
        <v>0</v>
      </c>
      <c r="X678" s="53">
        <v>0</v>
      </c>
      <c r="Y678" s="53">
        <v>0</v>
      </c>
      <c r="Z678" s="53">
        <v>0</v>
      </c>
      <c r="AA678" s="53">
        <v>0</v>
      </c>
      <c r="AB678" s="53">
        <v>0</v>
      </c>
      <c r="AC678" s="53">
        <v>0</v>
      </c>
      <c r="AD678" s="53">
        <v>0</v>
      </c>
      <c r="AE678" s="53">
        <v>0</v>
      </c>
      <c r="AF678" s="53">
        <v>0</v>
      </c>
      <c r="AG678" s="53">
        <v>0</v>
      </c>
      <c r="AH678" s="53">
        <v>0</v>
      </c>
      <c r="AI678" s="53">
        <v>0</v>
      </c>
      <c r="AJ678" s="53">
        <v>0</v>
      </c>
      <c r="AK678" s="53">
        <v>0</v>
      </c>
      <c r="AL678" s="53">
        <v>0</v>
      </c>
      <c r="AM678" s="53" t="str">
        <f>I678-J678-K678-L678-M678-N678-O678-P678-Q678-R678-S678-T678-U678-V678-W678-X678-Y678-Z678-AA678-AB678-AC678-AD678-AE678-AF678-AG678+AH678-AI678+AJ678+AK678-AL678</f>
        <v>0</v>
      </c>
      <c r="AN678" s="53"/>
      <c r="AO678" s="27"/>
    </row>
    <row r="679" spans="1:41">
      <c r="A679" s="44">
        <v>651</v>
      </c>
      <c r="B679" s="46" t="s">
        <v>2694</v>
      </c>
      <c r="C679" s="48" t="s">
        <v>2695</v>
      </c>
      <c r="D679" s="51" t="s">
        <v>73</v>
      </c>
      <c r="E679" s="51" t="s">
        <v>2664</v>
      </c>
      <c r="F679" s="54" t="s">
        <v>2696</v>
      </c>
      <c r="G679" s="50">
        <v>2</v>
      </c>
      <c r="H679" s="51" t="s">
        <v>2697</v>
      </c>
      <c r="I679" s="53">
        <v>309500</v>
      </c>
      <c r="J679" s="53">
        <v>0</v>
      </c>
      <c r="K679" s="53">
        <v>22000</v>
      </c>
      <c r="L679" s="53">
        <v>0</v>
      </c>
      <c r="M679" s="53">
        <v>0</v>
      </c>
      <c r="N679" s="53">
        <v>0</v>
      </c>
      <c r="O679" s="53">
        <v>0</v>
      </c>
      <c r="P679" s="53">
        <v>0</v>
      </c>
      <c r="Q679" s="53">
        <v>0</v>
      </c>
      <c r="R679" s="53">
        <v>0</v>
      </c>
      <c r="S679" s="53">
        <v>0</v>
      </c>
      <c r="T679" s="53">
        <v>0</v>
      </c>
      <c r="U679" s="53">
        <v>1100</v>
      </c>
      <c r="V679" s="53">
        <v>0</v>
      </c>
      <c r="W679" s="53">
        <v>0</v>
      </c>
      <c r="X679" s="53">
        <v>0</v>
      </c>
      <c r="Y679" s="53">
        <v>0</v>
      </c>
      <c r="Z679" s="53">
        <v>0</v>
      </c>
      <c r="AA679" s="53">
        <v>0</v>
      </c>
      <c r="AB679" s="53">
        <v>0</v>
      </c>
      <c r="AC679" s="53">
        <v>0</v>
      </c>
      <c r="AD679" s="53">
        <v>0</v>
      </c>
      <c r="AE679" s="53">
        <v>0</v>
      </c>
      <c r="AF679" s="53">
        <v>0</v>
      </c>
      <c r="AG679" s="53">
        <v>0</v>
      </c>
      <c r="AH679" s="53">
        <v>0</v>
      </c>
      <c r="AI679" s="53">
        <v>0</v>
      </c>
      <c r="AJ679" s="53">
        <v>0</v>
      </c>
      <c r="AK679" s="53">
        <v>0</v>
      </c>
      <c r="AL679" s="53">
        <v>0</v>
      </c>
      <c r="AM679" s="53" t="str">
        <f>I679-J679-K679-L679-M679-N679-O679-P679-Q679-R679-S679-T679-U679-V679-W679-X679-Y679-Z679-AA679-AB679-AC679-AD679-AE679-AF679-AG679+AH679-AI679+AJ679+AK679-AL679</f>
        <v>0</v>
      </c>
      <c r="AN679" s="53"/>
      <c r="AO679" s="27"/>
    </row>
    <row r="680" spans="1:41">
      <c r="A680" s="44">
        <v>652</v>
      </c>
      <c r="B680" s="46" t="s">
        <v>2698</v>
      </c>
      <c r="C680" s="48" t="s">
        <v>2699</v>
      </c>
      <c r="D680" s="51" t="s">
        <v>73</v>
      </c>
      <c r="E680" s="51" t="s">
        <v>2664</v>
      </c>
      <c r="F680" s="54" t="s">
        <v>2700</v>
      </c>
      <c r="G680" s="50">
        <v>4</v>
      </c>
      <c r="H680" s="51" t="s">
        <v>2701</v>
      </c>
      <c r="I680" s="53">
        <v>404000</v>
      </c>
      <c r="J680" s="53">
        <v>0</v>
      </c>
      <c r="K680" s="53">
        <v>25000</v>
      </c>
      <c r="L680" s="53">
        <v>0</v>
      </c>
      <c r="M680" s="53">
        <v>0</v>
      </c>
      <c r="N680" s="53">
        <v>0</v>
      </c>
      <c r="O680" s="53">
        <v>0</v>
      </c>
      <c r="P680" s="53">
        <v>0</v>
      </c>
      <c r="Q680" s="53">
        <v>0</v>
      </c>
      <c r="R680" s="53">
        <v>0</v>
      </c>
      <c r="S680" s="53">
        <v>0</v>
      </c>
      <c r="T680" s="53">
        <v>0</v>
      </c>
      <c r="U680" s="53">
        <v>1250</v>
      </c>
      <c r="V680" s="53">
        <v>0</v>
      </c>
      <c r="W680" s="53">
        <v>0</v>
      </c>
      <c r="X680" s="53">
        <v>0</v>
      </c>
      <c r="Y680" s="53">
        <v>0</v>
      </c>
      <c r="Z680" s="53">
        <v>0</v>
      </c>
      <c r="AA680" s="53">
        <v>0</v>
      </c>
      <c r="AB680" s="53">
        <v>0</v>
      </c>
      <c r="AC680" s="53">
        <v>0</v>
      </c>
      <c r="AD680" s="53">
        <v>0</v>
      </c>
      <c r="AE680" s="53">
        <v>0</v>
      </c>
      <c r="AF680" s="53">
        <v>0</v>
      </c>
      <c r="AG680" s="53">
        <v>0</v>
      </c>
      <c r="AH680" s="53">
        <v>0</v>
      </c>
      <c r="AI680" s="53">
        <v>0</v>
      </c>
      <c r="AJ680" s="53">
        <v>0</v>
      </c>
      <c r="AK680" s="53">
        <v>0</v>
      </c>
      <c r="AL680" s="53">
        <v>0</v>
      </c>
      <c r="AM680" s="53" t="str">
        <f>I680-J680-K680-L680-M680-N680-O680-P680-Q680-R680-S680-T680-U680-V680-W680-X680-Y680-Z680-AA680-AB680-AC680-AD680-AE680-AF680-AG680+AH680-AI680+AJ680+AK680-AL680</f>
        <v>0</v>
      </c>
      <c r="AN680" s="53"/>
      <c r="AO680" s="27"/>
    </row>
    <row r="681" spans="1:41">
      <c r="A681" s="44">
        <v>653</v>
      </c>
      <c r="B681" s="46" t="s">
        <v>2702</v>
      </c>
      <c r="C681" s="48" t="s">
        <v>2703</v>
      </c>
      <c r="D681" s="51" t="s">
        <v>73</v>
      </c>
      <c r="E681" s="51" t="s">
        <v>2664</v>
      </c>
      <c r="F681" s="54" t="s">
        <v>1338</v>
      </c>
      <c r="G681" s="50">
        <v>2</v>
      </c>
      <c r="H681" s="51" t="s">
        <v>1339</v>
      </c>
      <c r="I681" s="53">
        <v>0</v>
      </c>
      <c r="J681" s="53">
        <v>0</v>
      </c>
      <c r="K681" s="53">
        <v>22000</v>
      </c>
      <c r="L681" s="53">
        <v>0</v>
      </c>
      <c r="M681" s="53">
        <v>0</v>
      </c>
      <c r="N681" s="53">
        <v>0</v>
      </c>
      <c r="O681" s="53">
        <v>0</v>
      </c>
      <c r="P681" s="53">
        <v>0</v>
      </c>
      <c r="Q681" s="53">
        <v>0</v>
      </c>
      <c r="R681" s="53">
        <v>0</v>
      </c>
      <c r="S681" s="53">
        <v>0</v>
      </c>
      <c r="T681" s="53">
        <v>0</v>
      </c>
      <c r="U681" s="53">
        <v>1100</v>
      </c>
      <c r="V681" s="53">
        <v>0</v>
      </c>
      <c r="W681" s="53">
        <v>0</v>
      </c>
      <c r="X681" s="53">
        <v>0</v>
      </c>
      <c r="Y681" s="53">
        <v>0</v>
      </c>
      <c r="Z681" s="53">
        <v>0</v>
      </c>
      <c r="AA681" s="53">
        <v>0</v>
      </c>
      <c r="AB681" s="53">
        <v>0</v>
      </c>
      <c r="AC681" s="53">
        <v>0</v>
      </c>
      <c r="AD681" s="53">
        <v>0</v>
      </c>
      <c r="AE681" s="53">
        <v>0</v>
      </c>
      <c r="AF681" s="53">
        <v>0</v>
      </c>
      <c r="AG681" s="53">
        <v>0</v>
      </c>
      <c r="AH681" s="53">
        <v>0</v>
      </c>
      <c r="AI681" s="53">
        <v>0</v>
      </c>
      <c r="AJ681" s="53">
        <v>0</v>
      </c>
      <c r="AK681" s="53">
        <v>0</v>
      </c>
      <c r="AL681" s="53">
        <v>0</v>
      </c>
      <c r="AM681" s="53" t="str">
        <f>I681-J681-K681-L681-M681-N681-O681-P681-Q681-R681-S681-T681-U681-V681-W681-X681-Y681-Z681-AA681-AB681-AC681-AD681-AE681-AF681-AG681+AH681-AI681+AJ681+AK681-AL681</f>
        <v>0</v>
      </c>
      <c r="AN681" s="53"/>
      <c r="AO681" s="27"/>
    </row>
    <row r="682" spans="1:41">
      <c r="A682" s="44">
        <v>654</v>
      </c>
      <c r="B682" s="46" t="s">
        <v>2704</v>
      </c>
      <c r="C682" s="48" t="s">
        <v>2705</v>
      </c>
      <c r="D682" s="51" t="s">
        <v>73</v>
      </c>
      <c r="E682" s="51" t="s">
        <v>2664</v>
      </c>
      <c r="F682" s="54" t="s">
        <v>2706</v>
      </c>
      <c r="G682" s="50">
        <v>5</v>
      </c>
      <c r="H682" s="51" t="s">
        <v>2707</v>
      </c>
      <c r="I682" s="53">
        <v>926000</v>
      </c>
      <c r="J682" s="53">
        <v>0</v>
      </c>
      <c r="K682" s="53">
        <v>27000</v>
      </c>
      <c r="L682" s="53">
        <v>0</v>
      </c>
      <c r="M682" s="53">
        <v>0</v>
      </c>
      <c r="N682" s="53">
        <v>0</v>
      </c>
      <c r="O682" s="53">
        <v>0</v>
      </c>
      <c r="P682" s="53">
        <v>0</v>
      </c>
      <c r="Q682" s="53">
        <v>0</v>
      </c>
      <c r="R682" s="53">
        <v>0</v>
      </c>
      <c r="S682" s="53">
        <v>0</v>
      </c>
      <c r="T682" s="53">
        <v>0</v>
      </c>
      <c r="U682" s="53">
        <v>1350</v>
      </c>
      <c r="V682" s="53">
        <v>0</v>
      </c>
      <c r="W682" s="53">
        <v>0</v>
      </c>
      <c r="X682" s="53">
        <v>0</v>
      </c>
      <c r="Y682" s="53">
        <v>0</v>
      </c>
      <c r="Z682" s="53">
        <v>0</v>
      </c>
      <c r="AA682" s="53">
        <v>0</v>
      </c>
      <c r="AB682" s="53">
        <v>0</v>
      </c>
      <c r="AC682" s="53">
        <v>0</v>
      </c>
      <c r="AD682" s="53">
        <v>0</v>
      </c>
      <c r="AE682" s="53">
        <v>0</v>
      </c>
      <c r="AF682" s="53">
        <v>0</v>
      </c>
      <c r="AG682" s="53">
        <v>0</v>
      </c>
      <c r="AH682" s="53">
        <v>0</v>
      </c>
      <c r="AI682" s="53">
        <v>0</v>
      </c>
      <c r="AJ682" s="53">
        <v>0</v>
      </c>
      <c r="AK682" s="53">
        <v>0</v>
      </c>
      <c r="AL682" s="53">
        <v>0</v>
      </c>
      <c r="AM682" s="53" t="str">
        <f>I682-J682-K682-L682-M682-N682-O682-P682-Q682-R682-S682-T682-U682-V682-W682-X682-Y682-Z682-AA682-AB682-AC682-AD682-AE682-AF682-AG682+AH682-AI682+AJ682+AK682-AL682</f>
        <v>0</v>
      </c>
      <c r="AN682" s="53"/>
      <c r="AO682" s="27"/>
    </row>
    <row r="683" spans="1:41">
      <c r="A683" s="44">
        <v>655</v>
      </c>
      <c r="B683" s="46" t="s">
        <v>2708</v>
      </c>
      <c r="C683" s="48" t="s">
        <v>2709</v>
      </c>
      <c r="D683" s="51" t="s">
        <v>73</v>
      </c>
      <c r="E683" s="51" t="s">
        <v>2664</v>
      </c>
      <c r="F683" s="54" t="s">
        <v>755</v>
      </c>
      <c r="G683" s="50">
        <v>3</v>
      </c>
      <c r="H683" s="51" t="s">
        <v>2710</v>
      </c>
      <c r="I683" s="53">
        <v>480000</v>
      </c>
      <c r="J683" s="53">
        <v>0</v>
      </c>
      <c r="K683" s="53">
        <v>22000</v>
      </c>
      <c r="L683" s="53">
        <v>0</v>
      </c>
      <c r="M683" s="53">
        <v>0</v>
      </c>
      <c r="N683" s="53">
        <v>0</v>
      </c>
      <c r="O683" s="53">
        <v>0</v>
      </c>
      <c r="P683" s="53">
        <v>0</v>
      </c>
      <c r="Q683" s="53">
        <v>0</v>
      </c>
      <c r="R683" s="53">
        <v>0</v>
      </c>
      <c r="S683" s="53">
        <v>0</v>
      </c>
      <c r="T683" s="53">
        <v>0</v>
      </c>
      <c r="U683" s="53">
        <v>1100</v>
      </c>
      <c r="V683" s="53">
        <v>0</v>
      </c>
      <c r="W683" s="53">
        <v>0</v>
      </c>
      <c r="X683" s="53">
        <v>0</v>
      </c>
      <c r="Y683" s="53">
        <v>0</v>
      </c>
      <c r="Z683" s="53">
        <v>0</v>
      </c>
      <c r="AA683" s="53">
        <v>0</v>
      </c>
      <c r="AB683" s="53">
        <v>0</v>
      </c>
      <c r="AC683" s="53">
        <v>0</v>
      </c>
      <c r="AD683" s="53">
        <v>0</v>
      </c>
      <c r="AE683" s="53">
        <v>0</v>
      </c>
      <c r="AF683" s="53">
        <v>0</v>
      </c>
      <c r="AG683" s="53">
        <v>0</v>
      </c>
      <c r="AH683" s="53">
        <v>0</v>
      </c>
      <c r="AI683" s="53">
        <v>0</v>
      </c>
      <c r="AJ683" s="53">
        <v>0</v>
      </c>
      <c r="AK683" s="53">
        <v>0</v>
      </c>
      <c r="AL683" s="53">
        <v>0</v>
      </c>
      <c r="AM683" s="53" t="str">
        <f>I683-J683-K683-L683-M683-N683-O683-P683-Q683-R683-S683-T683-U683-V683-W683-X683-Y683-Z683-AA683-AB683-AC683-AD683-AE683-AF683-AG683+AH683-AI683+AJ683+AK683-AL683</f>
        <v>0</v>
      </c>
      <c r="AN683" s="53"/>
      <c r="AO683" s="27"/>
    </row>
    <row r="684" spans="1:41">
      <c r="A684" s="44">
        <v>656</v>
      </c>
      <c r="B684" s="46" t="s">
        <v>2711</v>
      </c>
      <c r="C684" s="48" t="s">
        <v>2712</v>
      </c>
      <c r="D684" s="51" t="s">
        <v>73</v>
      </c>
      <c r="E684" s="51" t="s">
        <v>2664</v>
      </c>
      <c r="F684" s="54" t="s">
        <v>2713</v>
      </c>
      <c r="G684" s="50">
        <v>3</v>
      </c>
      <c r="H684" s="51" t="s">
        <v>2714</v>
      </c>
      <c r="I684" s="53">
        <v>585000</v>
      </c>
      <c r="J684" s="53">
        <v>0</v>
      </c>
      <c r="K684" s="53">
        <v>22000</v>
      </c>
      <c r="L684" s="53">
        <v>0</v>
      </c>
      <c r="M684" s="53">
        <v>0</v>
      </c>
      <c r="N684" s="53">
        <v>0</v>
      </c>
      <c r="O684" s="53">
        <v>0</v>
      </c>
      <c r="P684" s="53">
        <v>0</v>
      </c>
      <c r="Q684" s="53">
        <v>0</v>
      </c>
      <c r="R684" s="53">
        <v>0</v>
      </c>
      <c r="S684" s="53">
        <v>0</v>
      </c>
      <c r="T684" s="53">
        <v>0</v>
      </c>
      <c r="U684" s="53">
        <v>1100</v>
      </c>
      <c r="V684" s="53">
        <v>0</v>
      </c>
      <c r="W684" s="53">
        <v>0</v>
      </c>
      <c r="X684" s="53">
        <v>0</v>
      </c>
      <c r="Y684" s="53">
        <v>0</v>
      </c>
      <c r="Z684" s="53">
        <v>0</v>
      </c>
      <c r="AA684" s="53">
        <v>0</v>
      </c>
      <c r="AB684" s="53">
        <v>0</v>
      </c>
      <c r="AC684" s="53">
        <v>0</v>
      </c>
      <c r="AD684" s="53">
        <v>0</v>
      </c>
      <c r="AE684" s="53">
        <v>0</v>
      </c>
      <c r="AF684" s="53">
        <v>0</v>
      </c>
      <c r="AG684" s="53">
        <v>0</v>
      </c>
      <c r="AH684" s="53">
        <v>0</v>
      </c>
      <c r="AI684" s="53">
        <v>0</v>
      </c>
      <c r="AJ684" s="53">
        <v>0</v>
      </c>
      <c r="AK684" s="53">
        <v>0</v>
      </c>
      <c r="AL684" s="53">
        <v>0</v>
      </c>
      <c r="AM684" s="53" t="str">
        <f>I684-J684-K684-L684-M684-N684-O684-P684-Q684-R684-S684-T684-U684-V684-W684-X684-Y684-Z684-AA684-AB684-AC684-AD684-AE684-AF684-AG684+AH684-AI684+AJ684+AK684-AL684</f>
        <v>0</v>
      </c>
      <c r="AN684" s="53"/>
      <c r="AO684" s="27"/>
    </row>
    <row r="685" spans="1:41">
      <c r="A685" s="44">
        <v>657</v>
      </c>
      <c r="B685" s="46" t="s">
        <v>2715</v>
      </c>
      <c r="C685" s="48" t="s">
        <v>2716</v>
      </c>
      <c r="D685" s="51" t="s">
        <v>73</v>
      </c>
      <c r="E685" s="51" t="s">
        <v>2664</v>
      </c>
      <c r="F685" s="54" t="s">
        <v>2340</v>
      </c>
      <c r="G685" s="50">
        <v>7.5</v>
      </c>
      <c r="H685" s="51" t="s">
        <v>2717</v>
      </c>
      <c r="I685" s="53">
        <v>1336500</v>
      </c>
      <c r="J685" s="53">
        <v>0</v>
      </c>
      <c r="K685" s="53">
        <v>39000</v>
      </c>
      <c r="L685" s="53">
        <v>0</v>
      </c>
      <c r="M685" s="53">
        <v>0</v>
      </c>
      <c r="N685" s="53">
        <v>0</v>
      </c>
      <c r="O685" s="53">
        <v>0</v>
      </c>
      <c r="P685" s="53">
        <v>0</v>
      </c>
      <c r="Q685" s="53">
        <v>0</v>
      </c>
      <c r="R685" s="53">
        <v>0</v>
      </c>
      <c r="S685" s="53">
        <v>0</v>
      </c>
      <c r="T685" s="53">
        <v>0</v>
      </c>
      <c r="U685" s="53">
        <v>1950</v>
      </c>
      <c r="V685" s="53">
        <v>0</v>
      </c>
      <c r="W685" s="53">
        <v>0</v>
      </c>
      <c r="X685" s="53">
        <v>0</v>
      </c>
      <c r="Y685" s="53">
        <v>0</v>
      </c>
      <c r="Z685" s="53">
        <v>0</v>
      </c>
      <c r="AA685" s="53">
        <v>0</v>
      </c>
      <c r="AB685" s="53">
        <v>0</v>
      </c>
      <c r="AC685" s="53">
        <v>0</v>
      </c>
      <c r="AD685" s="53">
        <v>0</v>
      </c>
      <c r="AE685" s="53">
        <v>0</v>
      </c>
      <c r="AF685" s="53">
        <v>0</v>
      </c>
      <c r="AG685" s="53">
        <v>0</v>
      </c>
      <c r="AH685" s="53">
        <v>0</v>
      </c>
      <c r="AI685" s="53">
        <v>0</v>
      </c>
      <c r="AJ685" s="53">
        <v>0</v>
      </c>
      <c r="AK685" s="53">
        <v>0</v>
      </c>
      <c r="AL685" s="53">
        <v>0</v>
      </c>
      <c r="AM685" s="53" t="str">
        <f>I685-J685-K685-L685-M685-N685-O685-P685-Q685-R685-S685-T685-U685-V685-W685-X685-Y685-Z685-AA685-AB685-AC685-AD685-AE685-AF685-AG685+AH685-AI685+AJ685+AK685-AL685</f>
        <v>0</v>
      </c>
      <c r="AN685" s="53"/>
      <c r="AO685" s="27"/>
    </row>
    <row r="686" spans="1:41">
      <c r="A686" s="44">
        <v>658</v>
      </c>
      <c r="B686" s="46" t="s">
        <v>2718</v>
      </c>
      <c r="C686" s="48" t="s">
        <v>2719</v>
      </c>
      <c r="D686" s="51" t="s">
        <v>73</v>
      </c>
      <c r="E686" s="51" t="s">
        <v>2664</v>
      </c>
      <c r="F686" s="54" t="s">
        <v>1730</v>
      </c>
      <c r="G686" s="50">
        <v>4</v>
      </c>
      <c r="H686" s="51" t="s">
        <v>2720</v>
      </c>
      <c r="I686" s="53">
        <v>368000</v>
      </c>
      <c r="J686" s="53">
        <v>0</v>
      </c>
      <c r="K686" s="53">
        <v>25000</v>
      </c>
      <c r="L686" s="53">
        <v>0</v>
      </c>
      <c r="M686" s="53">
        <v>0</v>
      </c>
      <c r="N686" s="53">
        <v>0</v>
      </c>
      <c r="O686" s="53">
        <v>0</v>
      </c>
      <c r="P686" s="53">
        <v>0</v>
      </c>
      <c r="Q686" s="53">
        <v>0</v>
      </c>
      <c r="R686" s="53">
        <v>0</v>
      </c>
      <c r="S686" s="53">
        <v>0</v>
      </c>
      <c r="T686" s="53">
        <v>0</v>
      </c>
      <c r="U686" s="53">
        <v>1250</v>
      </c>
      <c r="V686" s="53">
        <v>0</v>
      </c>
      <c r="W686" s="53">
        <v>0</v>
      </c>
      <c r="X686" s="53">
        <v>0</v>
      </c>
      <c r="Y686" s="53">
        <v>0</v>
      </c>
      <c r="Z686" s="53">
        <v>0</v>
      </c>
      <c r="AA686" s="53">
        <v>0</v>
      </c>
      <c r="AB686" s="53">
        <v>0</v>
      </c>
      <c r="AC686" s="53">
        <v>0</v>
      </c>
      <c r="AD686" s="53">
        <v>0</v>
      </c>
      <c r="AE686" s="53">
        <v>0</v>
      </c>
      <c r="AF686" s="53">
        <v>0</v>
      </c>
      <c r="AG686" s="53">
        <v>0</v>
      </c>
      <c r="AH686" s="53">
        <v>0</v>
      </c>
      <c r="AI686" s="53">
        <v>0</v>
      </c>
      <c r="AJ686" s="53">
        <v>0</v>
      </c>
      <c r="AK686" s="53">
        <v>0</v>
      </c>
      <c r="AL686" s="53">
        <v>0</v>
      </c>
      <c r="AM686" s="53" t="str">
        <f>I686-J686-K686-L686-M686-N686-O686-P686-Q686-R686-S686-T686-U686-V686-W686-X686-Y686-Z686-AA686-AB686-AC686-AD686-AE686-AF686-AG686+AH686-AI686+AJ686+AK686-AL686</f>
        <v>0</v>
      </c>
      <c r="AN686" s="53"/>
      <c r="AO686" s="27"/>
    </row>
    <row r="687" spans="1:41">
      <c r="A687" s="44">
        <v>659</v>
      </c>
      <c r="B687" s="46" t="s">
        <v>2721</v>
      </c>
      <c r="C687" s="48" t="s">
        <v>2722</v>
      </c>
      <c r="D687" s="51" t="s">
        <v>73</v>
      </c>
      <c r="E687" s="51" t="s">
        <v>2664</v>
      </c>
      <c r="F687" s="54" t="s">
        <v>2723</v>
      </c>
      <c r="G687" s="50">
        <v>3</v>
      </c>
      <c r="H687" s="51" t="s">
        <v>2724</v>
      </c>
      <c r="I687" s="53">
        <v>570500</v>
      </c>
      <c r="J687" s="53">
        <v>0</v>
      </c>
      <c r="K687" s="53">
        <v>22000</v>
      </c>
      <c r="L687" s="53">
        <v>0</v>
      </c>
      <c r="M687" s="53">
        <v>0</v>
      </c>
      <c r="N687" s="53">
        <v>0</v>
      </c>
      <c r="O687" s="53">
        <v>0</v>
      </c>
      <c r="P687" s="53">
        <v>0</v>
      </c>
      <c r="Q687" s="53">
        <v>0</v>
      </c>
      <c r="R687" s="53">
        <v>0</v>
      </c>
      <c r="S687" s="53">
        <v>0</v>
      </c>
      <c r="T687" s="53">
        <v>0</v>
      </c>
      <c r="U687" s="53">
        <v>1100</v>
      </c>
      <c r="V687" s="53">
        <v>0</v>
      </c>
      <c r="W687" s="53">
        <v>0</v>
      </c>
      <c r="X687" s="53">
        <v>0</v>
      </c>
      <c r="Y687" s="53">
        <v>0</v>
      </c>
      <c r="Z687" s="53">
        <v>0</v>
      </c>
      <c r="AA687" s="53">
        <v>0</v>
      </c>
      <c r="AB687" s="53">
        <v>0</v>
      </c>
      <c r="AC687" s="53">
        <v>0</v>
      </c>
      <c r="AD687" s="53">
        <v>0</v>
      </c>
      <c r="AE687" s="53">
        <v>0</v>
      </c>
      <c r="AF687" s="53">
        <v>0</v>
      </c>
      <c r="AG687" s="53">
        <v>0</v>
      </c>
      <c r="AH687" s="53">
        <v>0</v>
      </c>
      <c r="AI687" s="53">
        <v>0</v>
      </c>
      <c r="AJ687" s="53">
        <v>0</v>
      </c>
      <c r="AK687" s="53">
        <v>0</v>
      </c>
      <c r="AL687" s="53">
        <v>0</v>
      </c>
      <c r="AM687" s="53" t="str">
        <f>I687-J687-K687-L687-M687-N687-O687-P687-Q687-R687-S687-T687-U687-V687-W687-X687-Y687-Z687-AA687-AB687-AC687-AD687-AE687-AF687-AG687+AH687-AI687+AJ687+AK687-AL687</f>
        <v>0</v>
      </c>
      <c r="AN687" s="53"/>
      <c r="AO687" s="27"/>
    </row>
    <row r="688" spans="1:41">
      <c r="A688" s="44">
        <v>660</v>
      </c>
      <c r="B688" s="46" t="s">
        <v>2725</v>
      </c>
      <c r="C688" s="48" t="s">
        <v>2726</v>
      </c>
      <c r="D688" s="51" t="s">
        <v>73</v>
      </c>
      <c r="E688" s="51" t="s">
        <v>2664</v>
      </c>
      <c r="F688" s="54" t="s">
        <v>2727</v>
      </c>
      <c r="G688" s="50">
        <v>3</v>
      </c>
      <c r="H688" s="51" t="s">
        <v>2728</v>
      </c>
      <c r="I688" s="53">
        <v>630000</v>
      </c>
      <c r="J688" s="53">
        <v>0</v>
      </c>
      <c r="K688" s="53">
        <v>22000</v>
      </c>
      <c r="L688" s="53">
        <v>0</v>
      </c>
      <c r="M688" s="53">
        <v>0</v>
      </c>
      <c r="N688" s="53">
        <v>0</v>
      </c>
      <c r="O688" s="53">
        <v>0</v>
      </c>
      <c r="P688" s="53">
        <v>0</v>
      </c>
      <c r="Q688" s="53">
        <v>0</v>
      </c>
      <c r="R688" s="53">
        <v>0</v>
      </c>
      <c r="S688" s="53">
        <v>0</v>
      </c>
      <c r="T688" s="53">
        <v>0</v>
      </c>
      <c r="U688" s="53">
        <v>1100</v>
      </c>
      <c r="V688" s="53">
        <v>0</v>
      </c>
      <c r="W688" s="53">
        <v>0</v>
      </c>
      <c r="X688" s="53">
        <v>0</v>
      </c>
      <c r="Y688" s="53">
        <v>0</v>
      </c>
      <c r="Z688" s="53">
        <v>0</v>
      </c>
      <c r="AA688" s="53">
        <v>0</v>
      </c>
      <c r="AB688" s="53">
        <v>0</v>
      </c>
      <c r="AC688" s="53">
        <v>0</v>
      </c>
      <c r="AD688" s="53">
        <v>0</v>
      </c>
      <c r="AE688" s="53">
        <v>0</v>
      </c>
      <c r="AF688" s="53">
        <v>0</v>
      </c>
      <c r="AG688" s="53">
        <v>0</v>
      </c>
      <c r="AH688" s="53">
        <v>0</v>
      </c>
      <c r="AI688" s="53">
        <v>0</v>
      </c>
      <c r="AJ688" s="53">
        <v>0</v>
      </c>
      <c r="AK688" s="53">
        <v>0</v>
      </c>
      <c r="AL688" s="53">
        <v>0</v>
      </c>
      <c r="AM688" s="53" t="str">
        <f>I688-J688-K688-L688-M688-N688-O688-P688-Q688-R688-S688-T688-U688-V688-W688-X688-Y688-Z688-AA688-AB688-AC688-AD688-AE688-AF688-AG688+AH688-AI688+AJ688+AK688-AL688</f>
        <v>0</v>
      </c>
      <c r="AN688" s="53"/>
      <c r="AO688" s="27"/>
    </row>
    <row r="689" spans="1:41">
      <c r="A689" s="44">
        <v>661</v>
      </c>
      <c r="B689" s="46" t="s">
        <v>2729</v>
      </c>
      <c r="C689" s="48" t="s">
        <v>2730</v>
      </c>
      <c r="D689" s="51" t="s">
        <v>73</v>
      </c>
      <c r="E689" s="51" t="s">
        <v>2664</v>
      </c>
      <c r="F689" s="54" t="s">
        <v>2731</v>
      </c>
      <c r="G689" s="50">
        <v>3</v>
      </c>
      <c r="H689" s="51" t="s">
        <v>2732</v>
      </c>
      <c r="I689" s="53">
        <v>826100</v>
      </c>
      <c r="J689" s="53">
        <v>0</v>
      </c>
      <c r="K689" s="53">
        <v>22000</v>
      </c>
      <c r="L689" s="53">
        <v>0</v>
      </c>
      <c r="M689" s="53">
        <v>0</v>
      </c>
      <c r="N689" s="53">
        <v>0</v>
      </c>
      <c r="O689" s="53">
        <v>0</v>
      </c>
      <c r="P689" s="53">
        <v>0</v>
      </c>
      <c r="Q689" s="53">
        <v>0</v>
      </c>
      <c r="R689" s="53">
        <v>0</v>
      </c>
      <c r="S689" s="53">
        <v>0</v>
      </c>
      <c r="T689" s="53">
        <v>0</v>
      </c>
      <c r="U689" s="53">
        <v>1100</v>
      </c>
      <c r="V689" s="53">
        <v>0</v>
      </c>
      <c r="W689" s="53">
        <v>0</v>
      </c>
      <c r="X689" s="53">
        <v>0</v>
      </c>
      <c r="Y689" s="53">
        <v>0</v>
      </c>
      <c r="Z689" s="53">
        <v>0</v>
      </c>
      <c r="AA689" s="53">
        <v>0</v>
      </c>
      <c r="AB689" s="53">
        <v>0</v>
      </c>
      <c r="AC689" s="53">
        <v>0</v>
      </c>
      <c r="AD689" s="53">
        <v>0</v>
      </c>
      <c r="AE689" s="53">
        <v>0</v>
      </c>
      <c r="AF689" s="53">
        <v>0</v>
      </c>
      <c r="AG689" s="53">
        <v>0</v>
      </c>
      <c r="AH689" s="53">
        <v>0</v>
      </c>
      <c r="AI689" s="53">
        <v>0</v>
      </c>
      <c r="AJ689" s="53">
        <v>0</v>
      </c>
      <c r="AK689" s="53">
        <v>0</v>
      </c>
      <c r="AL689" s="53">
        <v>0</v>
      </c>
      <c r="AM689" s="53" t="str">
        <f>I689-J689-K689-L689-M689-N689-O689-P689-Q689-R689-S689-T689-U689-V689-W689-X689-Y689-Z689-AA689-AB689-AC689-AD689-AE689-AF689-AG689+AH689-AI689+AJ689+AK689-AL689</f>
        <v>0</v>
      </c>
      <c r="AN689" s="53"/>
      <c r="AO689" s="27"/>
    </row>
    <row r="690" spans="1:41">
      <c r="A690" s="44">
        <v>662</v>
      </c>
      <c r="B690" s="46" t="s">
        <v>2733</v>
      </c>
      <c r="C690" s="48" t="s">
        <v>2734</v>
      </c>
      <c r="D690" s="51" t="s">
        <v>73</v>
      </c>
      <c r="E690" s="51" t="s">
        <v>2664</v>
      </c>
      <c r="F690" s="54" t="s">
        <v>2574</v>
      </c>
      <c r="G690" s="50">
        <v>2</v>
      </c>
      <c r="H690" s="51" t="s">
        <v>2735</v>
      </c>
      <c r="I690" s="53">
        <v>274000</v>
      </c>
      <c r="J690" s="53">
        <v>0</v>
      </c>
      <c r="K690" s="53">
        <v>22000</v>
      </c>
      <c r="L690" s="53">
        <v>0</v>
      </c>
      <c r="M690" s="53">
        <v>0</v>
      </c>
      <c r="N690" s="53">
        <v>0</v>
      </c>
      <c r="O690" s="53">
        <v>0</v>
      </c>
      <c r="P690" s="53">
        <v>0</v>
      </c>
      <c r="Q690" s="53">
        <v>0</v>
      </c>
      <c r="R690" s="53">
        <v>0</v>
      </c>
      <c r="S690" s="53">
        <v>0</v>
      </c>
      <c r="T690" s="53">
        <v>0</v>
      </c>
      <c r="U690" s="53">
        <v>1100</v>
      </c>
      <c r="V690" s="53">
        <v>0</v>
      </c>
      <c r="W690" s="53">
        <v>0</v>
      </c>
      <c r="X690" s="53">
        <v>0</v>
      </c>
      <c r="Y690" s="53">
        <v>0</v>
      </c>
      <c r="Z690" s="53">
        <v>0</v>
      </c>
      <c r="AA690" s="53">
        <v>0</v>
      </c>
      <c r="AB690" s="53">
        <v>0</v>
      </c>
      <c r="AC690" s="53">
        <v>0</v>
      </c>
      <c r="AD690" s="53">
        <v>0</v>
      </c>
      <c r="AE690" s="53">
        <v>0</v>
      </c>
      <c r="AF690" s="53">
        <v>0</v>
      </c>
      <c r="AG690" s="53">
        <v>0</v>
      </c>
      <c r="AH690" s="53">
        <v>0</v>
      </c>
      <c r="AI690" s="53">
        <v>0</v>
      </c>
      <c r="AJ690" s="53">
        <v>0</v>
      </c>
      <c r="AK690" s="53">
        <v>0</v>
      </c>
      <c r="AL690" s="53">
        <v>0</v>
      </c>
      <c r="AM690" s="53" t="str">
        <f>I690-J690-K690-L690-M690-N690-O690-P690-Q690-R690-S690-T690-U690-V690-W690-X690-Y690-Z690-AA690-AB690-AC690-AD690-AE690-AF690-AG690+AH690-AI690+AJ690+AK690-AL690</f>
        <v>0</v>
      </c>
      <c r="AN690" s="53"/>
      <c r="AO690" s="27"/>
    </row>
    <row r="691" spans="1:41">
      <c r="A691" s="44">
        <v>663</v>
      </c>
      <c r="B691" s="46" t="s">
        <v>2736</v>
      </c>
      <c r="C691" s="48" t="s">
        <v>2737</v>
      </c>
      <c r="D691" s="51" t="s">
        <v>73</v>
      </c>
      <c r="E691" s="51" t="s">
        <v>2664</v>
      </c>
      <c r="F691" s="54" t="s">
        <v>1121</v>
      </c>
      <c r="G691" s="50">
        <v>3</v>
      </c>
      <c r="H691" s="51" t="s">
        <v>2738</v>
      </c>
      <c r="I691" s="53">
        <v>914000</v>
      </c>
      <c r="J691" s="53">
        <v>0</v>
      </c>
      <c r="K691" s="53">
        <v>22000</v>
      </c>
      <c r="L691" s="53">
        <v>0</v>
      </c>
      <c r="M691" s="53">
        <v>0</v>
      </c>
      <c r="N691" s="53">
        <v>0</v>
      </c>
      <c r="O691" s="53">
        <v>0</v>
      </c>
      <c r="P691" s="53">
        <v>0</v>
      </c>
      <c r="Q691" s="53">
        <v>0</v>
      </c>
      <c r="R691" s="53">
        <v>0</v>
      </c>
      <c r="S691" s="53">
        <v>0</v>
      </c>
      <c r="T691" s="53">
        <v>0</v>
      </c>
      <c r="U691" s="53">
        <v>1100</v>
      </c>
      <c r="V691" s="53">
        <v>0</v>
      </c>
      <c r="W691" s="53">
        <v>0</v>
      </c>
      <c r="X691" s="53">
        <v>0</v>
      </c>
      <c r="Y691" s="53">
        <v>0</v>
      </c>
      <c r="Z691" s="53">
        <v>0</v>
      </c>
      <c r="AA691" s="53">
        <v>0</v>
      </c>
      <c r="AB691" s="53">
        <v>0</v>
      </c>
      <c r="AC691" s="53">
        <v>0</v>
      </c>
      <c r="AD691" s="53">
        <v>0</v>
      </c>
      <c r="AE691" s="53">
        <v>0</v>
      </c>
      <c r="AF691" s="53">
        <v>0</v>
      </c>
      <c r="AG691" s="53">
        <v>0</v>
      </c>
      <c r="AH691" s="53">
        <v>0</v>
      </c>
      <c r="AI691" s="53">
        <v>0</v>
      </c>
      <c r="AJ691" s="53">
        <v>0</v>
      </c>
      <c r="AK691" s="53">
        <v>0</v>
      </c>
      <c r="AL691" s="53">
        <v>0</v>
      </c>
      <c r="AM691" s="53" t="str">
        <f>I691-J691-K691-L691-M691-N691-O691-P691-Q691-R691-S691-T691-U691-V691-W691-X691-Y691-Z691-AA691-AB691-AC691-AD691-AE691-AF691-AG691+AH691-AI691+AJ691+AK691-AL691</f>
        <v>0</v>
      </c>
      <c r="AN691" s="53"/>
      <c r="AO691" s="27"/>
    </row>
    <row r="692" spans="1:41">
      <c r="A692" s="44">
        <v>664</v>
      </c>
      <c r="B692" s="46" t="s">
        <v>2739</v>
      </c>
      <c r="C692" s="48" t="s">
        <v>2740</v>
      </c>
      <c r="D692" s="51" t="s">
        <v>73</v>
      </c>
      <c r="E692" s="51" t="s">
        <v>2664</v>
      </c>
      <c r="F692" s="54" t="s">
        <v>188</v>
      </c>
      <c r="G692" s="50">
        <v>2</v>
      </c>
      <c r="H692" s="51" t="s">
        <v>2741</v>
      </c>
      <c r="I692" s="53">
        <v>250100</v>
      </c>
      <c r="J692" s="53">
        <v>0</v>
      </c>
      <c r="K692" s="53">
        <v>22000</v>
      </c>
      <c r="L692" s="53">
        <v>0</v>
      </c>
      <c r="M692" s="53">
        <v>0</v>
      </c>
      <c r="N692" s="53">
        <v>0</v>
      </c>
      <c r="O692" s="53">
        <v>0</v>
      </c>
      <c r="P692" s="53">
        <v>0</v>
      </c>
      <c r="Q692" s="53">
        <v>0</v>
      </c>
      <c r="R692" s="53">
        <v>0</v>
      </c>
      <c r="S692" s="53">
        <v>0</v>
      </c>
      <c r="T692" s="53">
        <v>0</v>
      </c>
      <c r="U692" s="53">
        <v>1100</v>
      </c>
      <c r="V692" s="53">
        <v>0</v>
      </c>
      <c r="W692" s="53">
        <v>0</v>
      </c>
      <c r="X692" s="53">
        <v>0</v>
      </c>
      <c r="Y692" s="53">
        <v>0</v>
      </c>
      <c r="Z692" s="53">
        <v>0</v>
      </c>
      <c r="AA692" s="53">
        <v>0</v>
      </c>
      <c r="AB692" s="53">
        <v>0</v>
      </c>
      <c r="AC692" s="53">
        <v>0</v>
      </c>
      <c r="AD692" s="53">
        <v>0</v>
      </c>
      <c r="AE692" s="53">
        <v>0</v>
      </c>
      <c r="AF692" s="53">
        <v>0</v>
      </c>
      <c r="AG692" s="53">
        <v>0</v>
      </c>
      <c r="AH692" s="53">
        <v>0</v>
      </c>
      <c r="AI692" s="53">
        <v>0</v>
      </c>
      <c r="AJ692" s="53">
        <v>0</v>
      </c>
      <c r="AK692" s="53">
        <v>0</v>
      </c>
      <c r="AL692" s="53">
        <v>0</v>
      </c>
      <c r="AM692" s="53" t="str">
        <f>I692-J692-K692-L692-M692-N692-O692-P692-Q692-R692-S692-T692-U692-V692-W692-X692-Y692-Z692-AA692-AB692-AC692-AD692-AE692-AF692-AG692+AH692-AI692+AJ692+AK692-AL692</f>
        <v>0</v>
      </c>
      <c r="AN692" s="53"/>
      <c r="AO692" s="27"/>
    </row>
    <row r="693" spans="1:41">
      <c r="A693" s="44">
        <v>665</v>
      </c>
      <c r="B693" s="46" t="s">
        <v>2742</v>
      </c>
      <c r="C693" s="48" t="s">
        <v>2743</v>
      </c>
      <c r="D693" s="51" t="s">
        <v>73</v>
      </c>
      <c r="E693" s="51" t="s">
        <v>2664</v>
      </c>
      <c r="F693" s="54" t="s">
        <v>695</v>
      </c>
      <c r="G693" s="50">
        <v>2</v>
      </c>
      <c r="H693" s="51" t="s">
        <v>2744</v>
      </c>
      <c r="I693" s="53">
        <v>274000</v>
      </c>
      <c r="J693" s="53">
        <v>0</v>
      </c>
      <c r="K693" s="53">
        <v>22000</v>
      </c>
      <c r="L693" s="53">
        <v>0</v>
      </c>
      <c r="M693" s="53">
        <v>0</v>
      </c>
      <c r="N693" s="53">
        <v>0</v>
      </c>
      <c r="O693" s="53">
        <v>0</v>
      </c>
      <c r="P693" s="53">
        <v>0</v>
      </c>
      <c r="Q693" s="53">
        <v>0</v>
      </c>
      <c r="R693" s="53">
        <v>0</v>
      </c>
      <c r="S693" s="53">
        <v>0</v>
      </c>
      <c r="T693" s="53">
        <v>0</v>
      </c>
      <c r="U693" s="53">
        <v>1100</v>
      </c>
      <c r="V693" s="53">
        <v>0</v>
      </c>
      <c r="W693" s="53">
        <v>0</v>
      </c>
      <c r="X693" s="53">
        <v>0</v>
      </c>
      <c r="Y693" s="53">
        <v>0</v>
      </c>
      <c r="Z693" s="53">
        <v>0</v>
      </c>
      <c r="AA693" s="53">
        <v>0</v>
      </c>
      <c r="AB693" s="53">
        <v>0</v>
      </c>
      <c r="AC693" s="53">
        <v>0</v>
      </c>
      <c r="AD693" s="53">
        <v>0</v>
      </c>
      <c r="AE693" s="53">
        <v>0</v>
      </c>
      <c r="AF693" s="53">
        <v>0</v>
      </c>
      <c r="AG693" s="53">
        <v>0</v>
      </c>
      <c r="AH693" s="53">
        <v>0</v>
      </c>
      <c r="AI693" s="53">
        <v>0</v>
      </c>
      <c r="AJ693" s="53">
        <v>0</v>
      </c>
      <c r="AK693" s="53">
        <v>0</v>
      </c>
      <c r="AL693" s="53">
        <v>0</v>
      </c>
      <c r="AM693" s="53" t="str">
        <f>I693-J693-K693-L693-M693-N693-O693-P693-Q693-R693-S693-T693-U693-V693-W693-X693-Y693-Z693-AA693-AB693-AC693-AD693-AE693-AF693-AG693+AH693-AI693+AJ693+AK693-AL693</f>
        <v>0</v>
      </c>
      <c r="AN693" s="53"/>
      <c r="AO693" s="27"/>
    </row>
    <row r="694" spans="1:41">
      <c r="A694" s="44">
        <v>666</v>
      </c>
      <c r="B694" s="46" t="s">
        <v>2745</v>
      </c>
      <c r="C694" s="48" t="s">
        <v>2746</v>
      </c>
      <c r="D694" s="51" t="s">
        <v>73</v>
      </c>
      <c r="E694" s="51" t="s">
        <v>2664</v>
      </c>
      <c r="F694" s="54" t="s">
        <v>2747</v>
      </c>
      <c r="G694" s="50">
        <v>3</v>
      </c>
      <c r="H694" s="51" t="s">
        <v>2748</v>
      </c>
      <c r="I694" s="53">
        <v>570500</v>
      </c>
      <c r="J694" s="53">
        <v>0</v>
      </c>
      <c r="K694" s="53">
        <v>22000</v>
      </c>
      <c r="L694" s="53">
        <v>0</v>
      </c>
      <c r="M694" s="53">
        <v>0</v>
      </c>
      <c r="N694" s="53">
        <v>0</v>
      </c>
      <c r="O694" s="53">
        <v>0</v>
      </c>
      <c r="P694" s="53">
        <v>0</v>
      </c>
      <c r="Q694" s="53">
        <v>0</v>
      </c>
      <c r="R694" s="53">
        <v>0</v>
      </c>
      <c r="S694" s="53">
        <v>0</v>
      </c>
      <c r="T694" s="53">
        <v>0</v>
      </c>
      <c r="U694" s="53">
        <v>1100</v>
      </c>
      <c r="V694" s="53">
        <v>0</v>
      </c>
      <c r="W694" s="53">
        <v>0</v>
      </c>
      <c r="X694" s="53">
        <v>0</v>
      </c>
      <c r="Y694" s="53">
        <v>0</v>
      </c>
      <c r="Z694" s="53">
        <v>0</v>
      </c>
      <c r="AA694" s="53">
        <v>0</v>
      </c>
      <c r="AB694" s="53">
        <v>0</v>
      </c>
      <c r="AC694" s="53">
        <v>0</v>
      </c>
      <c r="AD694" s="53">
        <v>0</v>
      </c>
      <c r="AE694" s="53">
        <v>0</v>
      </c>
      <c r="AF694" s="53">
        <v>0</v>
      </c>
      <c r="AG694" s="53">
        <v>0</v>
      </c>
      <c r="AH694" s="53">
        <v>0</v>
      </c>
      <c r="AI694" s="53">
        <v>0</v>
      </c>
      <c r="AJ694" s="53">
        <v>0</v>
      </c>
      <c r="AK694" s="53">
        <v>0</v>
      </c>
      <c r="AL694" s="53">
        <v>0</v>
      </c>
      <c r="AM694" s="53" t="str">
        <f>I694-J694-K694-L694-M694-N694-O694-P694-Q694-R694-S694-T694-U694-V694-W694-X694-Y694-Z694-AA694-AB694-AC694-AD694-AE694-AF694-AG694+AH694-AI694+AJ694+AK694-AL694</f>
        <v>0</v>
      </c>
      <c r="AN694" s="53"/>
      <c r="AO694" s="27"/>
    </row>
    <row r="695" spans="1:41">
      <c r="A695" s="44">
        <v>667</v>
      </c>
      <c r="B695" s="46" t="s">
        <v>2749</v>
      </c>
      <c r="C695" s="48" t="s">
        <v>2750</v>
      </c>
      <c r="D695" s="51" t="s">
        <v>73</v>
      </c>
      <c r="E695" s="51" t="s">
        <v>2664</v>
      </c>
      <c r="F695" s="54" t="s">
        <v>1527</v>
      </c>
      <c r="G695" s="50">
        <v>2</v>
      </c>
      <c r="H695" s="51" t="s">
        <v>2751</v>
      </c>
      <c r="I695" s="53">
        <v>169100</v>
      </c>
      <c r="J695" s="53">
        <v>0</v>
      </c>
      <c r="K695" s="53">
        <v>22000</v>
      </c>
      <c r="L695" s="53">
        <v>0</v>
      </c>
      <c r="M695" s="53">
        <v>0</v>
      </c>
      <c r="N695" s="53">
        <v>0</v>
      </c>
      <c r="O695" s="53">
        <v>0</v>
      </c>
      <c r="P695" s="53">
        <v>0</v>
      </c>
      <c r="Q695" s="53">
        <v>0</v>
      </c>
      <c r="R695" s="53">
        <v>0</v>
      </c>
      <c r="S695" s="53">
        <v>0</v>
      </c>
      <c r="T695" s="53">
        <v>0</v>
      </c>
      <c r="U695" s="53">
        <v>1100</v>
      </c>
      <c r="V695" s="53">
        <v>0</v>
      </c>
      <c r="W695" s="53">
        <v>0</v>
      </c>
      <c r="X695" s="53">
        <v>0</v>
      </c>
      <c r="Y695" s="53">
        <v>0</v>
      </c>
      <c r="Z695" s="53">
        <v>0</v>
      </c>
      <c r="AA695" s="53">
        <v>0</v>
      </c>
      <c r="AB695" s="53">
        <v>0</v>
      </c>
      <c r="AC695" s="53">
        <v>0</v>
      </c>
      <c r="AD695" s="53">
        <v>0</v>
      </c>
      <c r="AE695" s="53">
        <v>0</v>
      </c>
      <c r="AF695" s="53">
        <v>0</v>
      </c>
      <c r="AG695" s="53">
        <v>0</v>
      </c>
      <c r="AH695" s="53">
        <v>0</v>
      </c>
      <c r="AI695" s="53">
        <v>0</v>
      </c>
      <c r="AJ695" s="53">
        <v>0</v>
      </c>
      <c r="AK695" s="53">
        <v>0</v>
      </c>
      <c r="AL695" s="53">
        <v>0</v>
      </c>
      <c r="AM695" s="53" t="str">
        <f>I695-J695-K695-L695-M695-N695-O695-P695-Q695-R695-S695-T695-U695-V695-W695-X695-Y695-Z695-AA695-AB695-AC695-AD695-AE695-AF695-AG695+AH695-AI695+AJ695+AK695-AL695</f>
        <v>0</v>
      </c>
      <c r="AN695" s="53"/>
      <c r="AO695" s="27"/>
    </row>
    <row r="696" spans="1:41">
      <c r="A696" s="44">
        <v>668</v>
      </c>
      <c r="B696" s="46" t="s">
        <v>2752</v>
      </c>
      <c r="C696" s="48" t="s">
        <v>2753</v>
      </c>
      <c r="D696" s="51" t="s">
        <v>73</v>
      </c>
      <c r="E696" s="51" t="s">
        <v>2664</v>
      </c>
      <c r="F696" s="54" t="s">
        <v>2754</v>
      </c>
      <c r="G696" s="50">
        <v>3</v>
      </c>
      <c r="H696" s="51" t="s">
        <v>2755</v>
      </c>
      <c r="I696" s="53">
        <v>630000</v>
      </c>
      <c r="J696" s="53">
        <v>0</v>
      </c>
      <c r="K696" s="53">
        <v>22000</v>
      </c>
      <c r="L696" s="53">
        <v>0</v>
      </c>
      <c r="M696" s="53">
        <v>0</v>
      </c>
      <c r="N696" s="53">
        <v>0</v>
      </c>
      <c r="O696" s="53">
        <v>0</v>
      </c>
      <c r="P696" s="53">
        <v>0</v>
      </c>
      <c r="Q696" s="53">
        <v>0</v>
      </c>
      <c r="R696" s="53">
        <v>0</v>
      </c>
      <c r="S696" s="53">
        <v>0</v>
      </c>
      <c r="T696" s="53">
        <v>0</v>
      </c>
      <c r="U696" s="53">
        <v>1100</v>
      </c>
      <c r="V696" s="53">
        <v>0</v>
      </c>
      <c r="W696" s="53">
        <v>0</v>
      </c>
      <c r="X696" s="53">
        <v>0</v>
      </c>
      <c r="Y696" s="53">
        <v>0</v>
      </c>
      <c r="Z696" s="53">
        <v>0</v>
      </c>
      <c r="AA696" s="53">
        <v>0</v>
      </c>
      <c r="AB696" s="53">
        <v>0</v>
      </c>
      <c r="AC696" s="53">
        <v>0</v>
      </c>
      <c r="AD696" s="53">
        <v>0</v>
      </c>
      <c r="AE696" s="53">
        <v>0</v>
      </c>
      <c r="AF696" s="53">
        <v>0</v>
      </c>
      <c r="AG696" s="53">
        <v>0</v>
      </c>
      <c r="AH696" s="53">
        <v>0</v>
      </c>
      <c r="AI696" s="53">
        <v>0</v>
      </c>
      <c r="AJ696" s="53">
        <v>0</v>
      </c>
      <c r="AK696" s="53">
        <v>0</v>
      </c>
      <c r="AL696" s="53">
        <v>0</v>
      </c>
      <c r="AM696" s="53" t="str">
        <f>I696-J696-K696-L696-M696-N696-O696-P696-Q696-R696-S696-T696-U696-V696-W696-X696-Y696-Z696-AA696-AB696-AC696-AD696-AE696-AF696-AG696+AH696-AI696+AJ696+AK696-AL696</f>
        <v>0</v>
      </c>
      <c r="AN696" s="53"/>
      <c r="AO696" s="27"/>
    </row>
    <row r="697" spans="1:41">
      <c r="A697" s="44">
        <v>669</v>
      </c>
      <c r="B697" s="46" t="s">
        <v>2756</v>
      </c>
      <c r="C697" s="48" t="s">
        <v>2757</v>
      </c>
      <c r="D697" s="51" t="s">
        <v>73</v>
      </c>
      <c r="E697" s="51" t="s">
        <v>2758</v>
      </c>
      <c r="F697" s="54" t="s">
        <v>2542</v>
      </c>
      <c r="G697" s="50">
        <v>3</v>
      </c>
      <c r="H697" s="51" t="s">
        <v>2759</v>
      </c>
      <c r="I697" s="53">
        <v>718100</v>
      </c>
      <c r="J697" s="53">
        <v>0</v>
      </c>
      <c r="K697" s="53">
        <v>22000</v>
      </c>
      <c r="L697" s="53">
        <v>0</v>
      </c>
      <c r="M697" s="53">
        <v>0</v>
      </c>
      <c r="N697" s="53">
        <v>0</v>
      </c>
      <c r="O697" s="53">
        <v>0</v>
      </c>
      <c r="P697" s="53">
        <v>0</v>
      </c>
      <c r="Q697" s="53">
        <v>0</v>
      </c>
      <c r="R697" s="53">
        <v>0</v>
      </c>
      <c r="S697" s="53">
        <v>0</v>
      </c>
      <c r="T697" s="53">
        <v>0</v>
      </c>
      <c r="U697" s="53">
        <v>1100</v>
      </c>
      <c r="V697" s="53">
        <v>0</v>
      </c>
      <c r="W697" s="53">
        <v>0</v>
      </c>
      <c r="X697" s="53">
        <v>0</v>
      </c>
      <c r="Y697" s="53">
        <v>0</v>
      </c>
      <c r="Z697" s="53">
        <v>0</v>
      </c>
      <c r="AA697" s="53">
        <v>0</v>
      </c>
      <c r="AB697" s="53">
        <v>0</v>
      </c>
      <c r="AC697" s="53">
        <v>0</v>
      </c>
      <c r="AD697" s="53">
        <v>0</v>
      </c>
      <c r="AE697" s="53">
        <v>0</v>
      </c>
      <c r="AF697" s="53">
        <v>0</v>
      </c>
      <c r="AG697" s="53">
        <v>0</v>
      </c>
      <c r="AH697" s="53">
        <v>0</v>
      </c>
      <c r="AI697" s="53">
        <v>0</v>
      </c>
      <c r="AJ697" s="53">
        <v>0</v>
      </c>
      <c r="AK697" s="53">
        <v>0</v>
      </c>
      <c r="AL697" s="53">
        <v>0</v>
      </c>
      <c r="AM697" s="53" t="str">
        <f>I697-J697-K697-L697-M697-N697-O697-P697-Q697-R697-S697-T697-U697-V697-W697-X697-Y697-Z697-AA697-AB697-AC697-AD697-AE697-AF697-AG697+AH697-AI697+AJ697+AK697-AL697</f>
        <v>0</v>
      </c>
      <c r="AN697" s="53"/>
      <c r="AO697" s="27"/>
    </row>
    <row r="698" spans="1:41">
      <c r="A698" s="44">
        <v>670</v>
      </c>
      <c r="B698" s="46" t="s">
        <v>2760</v>
      </c>
      <c r="C698" s="48" t="s">
        <v>2761</v>
      </c>
      <c r="D698" s="51" t="s">
        <v>73</v>
      </c>
      <c r="E698" s="51" t="s">
        <v>2758</v>
      </c>
      <c r="F698" s="54" t="s">
        <v>1324</v>
      </c>
      <c r="G698" s="50">
        <v>8</v>
      </c>
      <c r="H698" s="51" t="s">
        <v>2762</v>
      </c>
      <c r="I698" s="53">
        <v>1800000</v>
      </c>
      <c r="J698" s="53">
        <v>0</v>
      </c>
      <c r="K698" s="53">
        <v>39000</v>
      </c>
      <c r="L698" s="53">
        <v>0</v>
      </c>
      <c r="M698" s="53">
        <v>0</v>
      </c>
      <c r="N698" s="53">
        <v>0</v>
      </c>
      <c r="O698" s="53">
        <v>0</v>
      </c>
      <c r="P698" s="53">
        <v>0</v>
      </c>
      <c r="Q698" s="53">
        <v>0</v>
      </c>
      <c r="R698" s="53">
        <v>0</v>
      </c>
      <c r="S698" s="53">
        <v>0</v>
      </c>
      <c r="T698" s="53">
        <v>0</v>
      </c>
      <c r="U698" s="53">
        <v>1950</v>
      </c>
      <c r="V698" s="53">
        <v>0</v>
      </c>
      <c r="W698" s="53">
        <v>0</v>
      </c>
      <c r="X698" s="53">
        <v>0</v>
      </c>
      <c r="Y698" s="53">
        <v>0</v>
      </c>
      <c r="Z698" s="53">
        <v>0</v>
      </c>
      <c r="AA698" s="53">
        <v>0</v>
      </c>
      <c r="AB698" s="53">
        <v>0</v>
      </c>
      <c r="AC698" s="53">
        <v>0</v>
      </c>
      <c r="AD698" s="53">
        <v>0</v>
      </c>
      <c r="AE698" s="53">
        <v>0</v>
      </c>
      <c r="AF698" s="53">
        <v>0</v>
      </c>
      <c r="AG698" s="53">
        <v>0</v>
      </c>
      <c r="AH698" s="53">
        <v>0</v>
      </c>
      <c r="AI698" s="53">
        <v>0</v>
      </c>
      <c r="AJ698" s="53">
        <v>0</v>
      </c>
      <c r="AK698" s="53">
        <v>0</v>
      </c>
      <c r="AL698" s="53">
        <v>0</v>
      </c>
      <c r="AM698" s="53" t="str">
        <f>I698-J698-K698-L698-M698-N698-O698-P698-Q698-R698-S698-T698-U698-V698-W698-X698-Y698-Z698-AA698-AB698-AC698-AD698-AE698-AF698-AG698+AH698-AI698+AJ698+AK698-AL698</f>
        <v>0</v>
      </c>
      <c r="AN698" s="53"/>
      <c r="AO698" s="27"/>
    </row>
    <row r="699" spans="1:41">
      <c r="A699" s="44">
        <v>671</v>
      </c>
      <c r="B699" s="46" t="s">
        <v>2763</v>
      </c>
      <c r="C699" s="48" t="s">
        <v>2764</v>
      </c>
      <c r="D699" s="51" t="s">
        <v>73</v>
      </c>
      <c r="E699" s="51" t="s">
        <v>2758</v>
      </c>
      <c r="F699" s="54" t="s">
        <v>2765</v>
      </c>
      <c r="G699" s="50">
        <v>3</v>
      </c>
      <c r="H699" s="51" t="s">
        <v>2766</v>
      </c>
      <c r="I699" s="53">
        <v>560000</v>
      </c>
      <c r="J699" s="53">
        <v>0</v>
      </c>
      <c r="K699" s="53">
        <v>22000</v>
      </c>
      <c r="L699" s="53">
        <v>0</v>
      </c>
      <c r="M699" s="53">
        <v>0</v>
      </c>
      <c r="N699" s="53">
        <v>0</v>
      </c>
      <c r="O699" s="53">
        <v>0</v>
      </c>
      <c r="P699" s="53">
        <v>0</v>
      </c>
      <c r="Q699" s="53">
        <v>0</v>
      </c>
      <c r="R699" s="53">
        <v>0</v>
      </c>
      <c r="S699" s="53">
        <v>0</v>
      </c>
      <c r="T699" s="53">
        <v>0</v>
      </c>
      <c r="U699" s="53">
        <v>1100</v>
      </c>
      <c r="V699" s="53">
        <v>0</v>
      </c>
      <c r="W699" s="53">
        <v>0</v>
      </c>
      <c r="X699" s="53">
        <v>0</v>
      </c>
      <c r="Y699" s="53">
        <v>0</v>
      </c>
      <c r="Z699" s="53">
        <v>0</v>
      </c>
      <c r="AA699" s="53">
        <v>0</v>
      </c>
      <c r="AB699" s="53">
        <v>0</v>
      </c>
      <c r="AC699" s="53">
        <v>0</v>
      </c>
      <c r="AD699" s="53">
        <v>0</v>
      </c>
      <c r="AE699" s="53">
        <v>0</v>
      </c>
      <c r="AF699" s="53">
        <v>0</v>
      </c>
      <c r="AG699" s="53">
        <v>0</v>
      </c>
      <c r="AH699" s="53">
        <v>0</v>
      </c>
      <c r="AI699" s="53">
        <v>0</v>
      </c>
      <c r="AJ699" s="53">
        <v>0</v>
      </c>
      <c r="AK699" s="53">
        <v>0</v>
      </c>
      <c r="AL699" s="53">
        <v>0</v>
      </c>
      <c r="AM699" s="53" t="str">
        <f>I699-J699-K699-L699-M699-N699-O699-P699-Q699-R699-S699-T699-U699-V699-W699-X699-Y699-Z699-AA699-AB699-AC699-AD699-AE699-AF699-AG699+AH699-AI699+AJ699+AK699-AL699</f>
        <v>0</v>
      </c>
      <c r="AN699" s="53"/>
      <c r="AO699" s="27"/>
    </row>
    <row r="700" spans="1:41">
      <c r="A700" s="44">
        <v>672</v>
      </c>
      <c r="B700" s="46" t="s">
        <v>2767</v>
      </c>
      <c r="C700" s="48" t="s">
        <v>2768</v>
      </c>
      <c r="D700" s="51" t="s">
        <v>73</v>
      </c>
      <c r="E700" s="51" t="s">
        <v>2758</v>
      </c>
      <c r="F700" s="54" t="s">
        <v>2629</v>
      </c>
      <c r="G700" s="50">
        <v>3</v>
      </c>
      <c r="H700" s="51" t="s">
        <v>2769</v>
      </c>
      <c r="I700" s="53">
        <v>827000</v>
      </c>
      <c r="J700" s="53">
        <v>0</v>
      </c>
      <c r="K700" s="53">
        <v>22000</v>
      </c>
      <c r="L700" s="53">
        <v>0</v>
      </c>
      <c r="M700" s="53">
        <v>0</v>
      </c>
      <c r="N700" s="53">
        <v>0</v>
      </c>
      <c r="O700" s="53">
        <v>0</v>
      </c>
      <c r="P700" s="53">
        <v>0</v>
      </c>
      <c r="Q700" s="53">
        <v>0</v>
      </c>
      <c r="R700" s="53">
        <v>0</v>
      </c>
      <c r="S700" s="53">
        <v>0</v>
      </c>
      <c r="T700" s="53">
        <v>0</v>
      </c>
      <c r="U700" s="53">
        <v>1100</v>
      </c>
      <c r="V700" s="53">
        <v>0</v>
      </c>
      <c r="W700" s="53">
        <v>0</v>
      </c>
      <c r="X700" s="53">
        <v>0</v>
      </c>
      <c r="Y700" s="53">
        <v>0</v>
      </c>
      <c r="Z700" s="53">
        <v>0</v>
      </c>
      <c r="AA700" s="53">
        <v>0</v>
      </c>
      <c r="AB700" s="53">
        <v>0</v>
      </c>
      <c r="AC700" s="53">
        <v>0</v>
      </c>
      <c r="AD700" s="53">
        <v>0</v>
      </c>
      <c r="AE700" s="53">
        <v>0</v>
      </c>
      <c r="AF700" s="53">
        <v>0</v>
      </c>
      <c r="AG700" s="53">
        <v>0</v>
      </c>
      <c r="AH700" s="53">
        <v>0</v>
      </c>
      <c r="AI700" s="53">
        <v>0</v>
      </c>
      <c r="AJ700" s="53">
        <v>0</v>
      </c>
      <c r="AK700" s="53">
        <v>0</v>
      </c>
      <c r="AL700" s="53">
        <v>0</v>
      </c>
      <c r="AM700" s="53" t="str">
        <f>I700-J700-K700-L700-M700-N700-O700-P700-Q700-R700-S700-T700-U700-V700-W700-X700-Y700-Z700-AA700-AB700-AC700-AD700-AE700-AF700-AG700+AH700-AI700+AJ700+AK700-AL700</f>
        <v>0</v>
      </c>
      <c r="AN700" s="53"/>
      <c r="AO700" s="27"/>
    </row>
    <row r="701" spans="1:41">
      <c r="A701" s="44">
        <v>673</v>
      </c>
      <c r="B701" s="46" t="s">
        <v>2770</v>
      </c>
      <c r="C701" s="48" t="s">
        <v>2771</v>
      </c>
      <c r="D701" s="51" t="s">
        <v>73</v>
      </c>
      <c r="E701" s="51" t="s">
        <v>2758</v>
      </c>
      <c r="F701" s="54" t="s">
        <v>2665</v>
      </c>
      <c r="G701" s="50">
        <v>3</v>
      </c>
      <c r="H701" s="51" t="s">
        <v>2772</v>
      </c>
      <c r="I701" s="53">
        <v>710000</v>
      </c>
      <c r="J701" s="53">
        <v>0</v>
      </c>
      <c r="K701" s="53">
        <v>22000</v>
      </c>
      <c r="L701" s="53">
        <v>0</v>
      </c>
      <c r="M701" s="53">
        <v>0</v>
      </c>
      <c r="N701" s="53">
        <v>0</v>
      </c>
      <c r="O701" s="53">
        <v>0</v>
      </c>
      <c r="P701" s="53">
        <v>0</v>
      </c>
      <c r="Q701" s="53">
        <v>0</v>
      </c>
      <c r="R701" s="53">
        <v>0</v>
      </c>
      <c r="S701" s="53">
        <v>0</v>
      </c>
      <c r="T701" s="53">
        <v>0</v>
      </c>
      <c r="U701" s="53">
        <v>1100</v>
      </c>
      <c r="V701" s="53">
        <v>0</v>
      </c>
      <c r="W701" s="53">
        <v>0</v>
      </c>
      <c r="X701" s="53">
        <v>0</v>
      </c>
      <c r="Y701" s="53">
        <v>0</v>
      </c>
      <c r="Z701" s="53">
        <v>0</v>
      </c>
      <c r="AA701" s="53">
        <v>0</v>
      </c>
      <c r="AB701" s="53">
        <v>0</v>
      </c>
      <c r="AC701" s="53">
        <v>0</v>
      </c>
      <c r="AD701" s="53">
        <v>0</v>
      </c>
      <c r="AE701" s="53">
        <v>0</v>
      </c>
      <c r="AF701" s="53">
        <v>0</v>
      </c>
      <c r="AG701" s="53">
        <v>0</v>
      </c>
      <c r="AH701" s="53">
        <v>0</v>
      </c>
      <c r="AI701" s="53">
        <v>0</v>
      </c>
      <c r="AJ701" s="53">
        <v>0</v>
      </c>
      <c r="AK701" s="53">
        <v>0</v>
      </c>
      <c r="AL701" s="53">
        <v>0</v>
      </c>
      <c r="AM701" s="53" t="str">
        <f>I701-J701-K701-L701-M701-N701-O701-P701-Q701-R701-S701-T701-U701-V701-W701-X701-Y701-Z701-AA701-AB701-AC701-AD701-AE701-AF701-AG701+AH701-AI701+AJ701+AK701-AL701</f>
        <v>0</v>
      </c>
      <c r="AN701" s="53"/>
      <c r="AO701" s="27"/>
    </row>
    <row r="702" spans="1:41">
      <c r="A702" s="44">
        <v>674</v>
      </c>
      <c r="B702" s="46" t="s">
        <v>2773</v>
      </c>
      <c r="C702" s="48" t="s">
        <v>2774</v>
      </c>
      <c r="D702" s="51" t="s">
        <v>73</v>
      </c>
      <c r="E702" s="51" t="s">
        <v>2758</v>
      </c>
      <c r="F702" s="54" t="s">
        <v>2775</v>
      </c>
      <c r="G702" s="50">
        <v>3</v>
      </c>
      <c r="H702" s="51" t="s">
        <v>2776</v>
      </c>
      <c r="I702" s="53">
        <v>332000</v>
      </c>
      <c r="J702" s="53">
        <v>0</v>
      </c>
      <c r="K702" s="53">
        <v>22000</v>
      </c>
      <c r="L702" s="53">
        <v>0</v>
      </c>
      <c r="M702" s="53">
        <v>0</v>
      </c>
      <c r="N702" s="53">
        <v>0</v>
      </c>
      <c r="O702" s="53">
        <v>0</v>
      </c>
      <c r="P702" s="53">
        <v>0</v>
      </c>
      <c r="Q702" s="53">
        <v>0</v>
      </c>
      <c r="R702" s="53">
        <v>0</v>
      </c>
      <c r="S702" s="53">
        <v>0</v>
      </c>
      <c r="T702" s="53">
        <v>0</v>
      </c>
      <c r="U702" s="53">
        <v>1100</v>
      </c>
      <c r="V702" s="53">
        <v>0</v>
      </c>
      <c r="W702" s="53">
        <v>0</v>
      </c>
      <c r="X702" s="53">
        <v>0</v>
      </c>
      <c r="Y702" s="53">
        <v>0</v>
      </c>
      <c r="Z702" s="53">
        <v>0</v>
      </c>
      <c r="AA702" s="53">
        <v>0</v>
      </c>
      <c r="AB702" s="53">
        <v>0</v>
      </c>
      <c r="AC702" s="53">
        <v>0</v>
      </c>
      <c r="AD702" s="53">
        <v>0</v>
      </c>
      <c r="AE702" s="53">
        <v>0</v>
      </c>
      <c r="AF702" s="53">
        <v>0</v>
      </c>
      <c r="AG702" s="53">
        <v>0</v>
      </c>
      <c r="AH702" s="53">
        <v>0</v>
      </c>
      <c r="AI702" s="53">
        <v>0</v>
      </c>
      <c r="AJ702" s="53">
        <v>0</v>
      </c>
      <c r="AK702" s="53">
        <v>0</v>
      </c>
      <c r="AL702" s="53">
        <v>0</v>
      </c>
      <c r="AM702" s="53" t="str">
        <f>I702-J702-K702-L702-M702-N702-O702-P702-Q702-R702-S702-T702-U702-V702-W702-X702-Y702-Z702-AA702-AB702-AC702-AD702-AE702-AF702-AG702+AH702-AI702+AJ702+AK702-AL702</f>
        <v>0</v>
      </c>
      <c r="AN702" s="53"/>
      <c r="AO702" s="27"/>
    </row>
    <row r="703" spans="1:41">
      <c r="A703" s="44">
        <v>675</v>
      </c>
      <c r="B703" s="46" t="s">
        <v>2777</v>
      </c>
      <c r="C703" s="48" t="s">
        <v>2778</v>
      </c>
      <c r="D703" s="51" t="s">
        <v>73</v>
      </c>
      <c r="E703" s="51" t="s">
        <v>2758</v>
      </c>
      <c r="F703" s="54" t="s">
        <v>2779</v>
      </c>
      <c r="G703" s="50">
        <v>3</v>
      </c>
      <c r="H703" s="51" t="s">
        <v>2780</v>
      </c>
      <c r="I703" s="53">
        <v>350000</v>
      </c>
      <c r="J703" s="53">
        <v>0</v>
      </c>
      <c r="K703" s="53">
        <v>22000</v>
      </c>
      <c r="L703" s="53">
        <v>0</v>
      </c>
      <c r="M703" s="53">
        <v>0</v>
      </c>
      <c r="N703" s="53">
        <v>0</v>
      </c>
      <c r="O703" s="53">
        <v>0</v>
      </c>
      <c r="P703" s="53">
        <v>0</v>
      </c>
      <c r="Q703" s="53">
        <v>0</v>
      </c>
      <c r="R703" s="53">
        <v>0</v>
      </c>
      <c r="S703" s="53">
        <v>0</v>
      </c>
      <c r="T703" s="53">
        <v>0</v>
      </c>
      <c r="U703" s="53">
        <v>1100</v>
      </c>
      <c r="V703" s="53">
        <v>0</v>
      </c>
      <c r="W703" s="53">
        <v>0</v>
      </c>
      <c r="X703" s="53">
        <v>0</v>
      </c>
      <c r="Y703" s="53">
        <v>0</v>
      </c>
      <c r="Z703" s="53">
        <v>0</v>
      </c>
      <c r="AA703" s="53">
        <v>0</v>
      </c>
      <c r="AB703" s="53">
        <v>0</v>
      </c>
      <c r="AC703" s="53">
        <v>0</v>
      </c>
      <c r="AD703" s="53">
        <v>0</v>
      </c>
      <c r="AE703" s="53">
        <v>0</v>
      </c>
      <c r="AF703" s="53">
        <v>0</v>
      </c>
      <c r="AG703" s="53">
        <v>0</v>
      </c>
      <c r="AH703" s="53">
        <v>0</v>
      </c>
      <c r="AI703" s="53">
        <v>0</v>
      </c>
      <c r="AJ703" s="53">
        <v>0</v>
      </c>
      <c r="AK703" s="53">
        <v>0</v>
      </c>
      <c r="AL703" s="53">
        <v>0</v>
      </c>
      <c r="AM703" s="53" t="str">
        <f>I703-J703-K703-L703-M703-N703-O703-P703-Q703-R703-S703-T703-U703-V703-W703-X703-Y703-Z703-AA703-AB703-AC703-AD703-AE703-AF703-AG703+AH703-AI703+AJ703+AK703-AL703</f>
        <v>0</v>
      </c>
      <c r="AN703" s="53"/>
      <c r="AO703" s="27"/>
    </row>
    <row r="704" spans="1:41">
      <c r="A704" s="44">
        <v>676</v>
      </c>
      <c r="B704" s="46" t="s">
        <v>2781</v>
      </c>
      <c r="C704" s="48" t="s">
        <v>2782</v>
      </c>
      <c r="D704" s="51" t="s">
        <v>73</v>
      </c>
      <c r="E704" s="51" t="s">
        <v>2758</v>
      </c>
      <c r="F704" s="54" t="s">
        <v>2783</v>
      </c>
      <c r="G704" s="50">
        <v>5</v>
      </c>
      <c r="H704" s="51" t="s">
        <v>2784</v>
      </c>
      <c r="I704" s="53">
        <v>664100</v>
      </c>
      <c r="J704" s="53">
        <v>0</v>
      </c>
      <c r="K704" s="53">
        <v>27000</v>
      </c>
      <c r="L704" s="53">
        <v>0</v>
      </c>
      <c r="M704" s="53">
        <v>0</v>
      </c>
      <c r="N704" s="53">
        <v>0</v>
      </c>
      <c r="O704" s="53">
        <v>0</v>
      </c>
      <c r="P704" s="53">
        <v>0</v>
      </c>
      <c r="Q704" s="53">
        <v>0</v>
      </c>
      <c r="R704" s="53">
        <v>0</v>
      </c>
      <c r="S704" s="53">
        <v>0</v>
      </c>
      <c r="T704" s="53">
        <v>0</v>
      </c>
      <c r="U704" s="53">
        <v>1350</v>
      </c>
      <c r="V704" s="53">
        <v>0</v>
      </c>
      <c r="W704" s="53">
        <v>0</v>
      </c>
      <c r="X704" s="53">
        <v>0</v>
      </c>
      <c r="Y704" s="53">
        <v>0</v>
      </c>
      <c r="Z704" s="53">
        <v>0</v>
      </c>
      <c r="AA704" s="53">
        <v>0</v>
      </c>
      <c r="AB704" s="53">
        <v>0</v>
      </c>
      <c r="AC704" s="53">
        <v>0</v>
      </c>
      <c r="AD704" s="53">
        <v>0</v>
      </c>
      <c r="AE704" s="53">
        <v>0</v>
      </c>
      <c r="AF704" s="53">
        <v>0</v>
      </c>
      <c r="AG704" s="53">
        <v>0</v>
      </c>
      <c r="AH704" s="53">
        <v>0</v>
      </c>
      <c r="AI704" s="53">
        <v>0</v>
      </c>
      <c r="AJ704" s="53">
        <v>0</v>
      </c>
      <c r="AK704" s="53">
        <v>0</v>
      </c>
      <c r="AL704" s="53">
        <v>0</v>
      </c>
      <c r="AM704" s="53" t="str">
        <f>I704-J704-K704-L704-M704-N704-O704-P704-Q704-R704-S704-T704-U704-V704-W704-X704-Y704-Z704-AA704-AB704-AC704-AD704-AE704-AF704-AG704+AH704-AI704+AJ704+AK704-AL704</f>
        <v>0</v>
      </c>
      <c r="AN704" s="53"/>
      <c r="AO704" s="27"/>
    </row>
    <row r="705" spans="1:41">
      <c r="A705" s="44">
        <v>677</v>
      </c>
      <c r="B705" s="46" t="s">
        <v>2785</v>
      </c>
      <c r="C705" s="48" t="s">
        <v>2786</v>
      </c>
      <c r="D705" s="51" t="s">
        <v>73</v>
      </c>
      <c r="E705" s="51" t="s">
        <v>2758</v>
      </c>
      <c r="F705" s="54" t="s">
        <v>2787</v>
      </c>
      <c r="G705" s="50">
        <v>3</v>
      </c>
      <c r="H705" s="51" t="s">
        <v>2788</v>
      </c>
      <c r="I705" s="53">
        <v>220000</v>
      </c>
      <c r="J705" s="53">
        <v>0</v>
      </c>
      <c r="K705" s="53">
        <v>22000</v>
      </c>
      <c r="L705" s="53">
        <v>0</v>
      </c>
      <c r="M705" s="53">
        <v>0</v>
      </c>
      <c r="N705" s="53">
        <v>0</v>
      </c>
      <c r="O705" s="53">
        <v>0</v>
      </c>
      <c r="P705" s="53">
        <v>0</v>
      </c>
      <c r="Q705" s="53">
        <v>0</v>
      </c>
      <c r="R705" s="53">
        <v>0</v>
      </c>
      <c r="S705" s="53">
        <v>0</v>
      </c>
      <c r="T705" s="53">
        <v>0</v>
      </c>
      <c r="U705" s="53">
        <v>1100</v>
      </c>
      <c r="V705" s="53">
        <v>0</v>
      </c>
      <c r="W705" s="53">
        <v>0</v>
      </c>
      <c r="X705" s="53">
        <v>0</v>
      </c>
      <c r="Y705" s="53">
        <v>0</v>
      </c>
      <c r="Z705" s="53">
        <v>0</v>
      </c>
      <c r="AA705" s="53">
        <v>0</v>
      </c>
      <c r="AB705" s="53">
        <v>0</v>
      </c>
      <c r="AC705" s="53">
        <v>0</v>
      </c>
      <c r="AD705" s="53">
        <v>0</v>
      </c>
      <c r="AE705" s="53">
        <v>0</v>
      </c>
      <c r="AF705" s="53">
        <v>0</v>
      </c>
      <c r="AG705" s="53">
        <v>0</v>
      </c>
      <c r="AH705" s="53">
        <v>0</v>
      </c>
      <c r="AI705" s="53">
        <v>0</v>
      </c>
      <c r="AJ705" s="53">
        <v>0</v>
      </c>
      <c r="AK705" s="53">
        <v>0</v>
      </c>
      <c r="AL705" s="53">
        <v>0</v>
      </c>
      <c r="AM705" s="53" t="str">
        <f>I705-J705-K705-L705-M705-N705-O705-P705-Q705-R705-S705-T705-U705-V705-W705-X705-Y705-Z705-AA705-AB705-AC705-AD705-AE705-AF705-AG705+AH705-AI705+AJ705+AK705-AL705</f>
        <v>0</v>
      </c>
      <c r="AN705" s="53"/>
      <c r="AO705" s="27"/>
    </row>
    <row r="706" spans="1:41">
      <c r="A706" s="44">
        <v>678</v>
      </c>
      <c r="B706" s="46" t="s">
        <v>2789</v>
      </c>
      <c r="C706" s="48" t="s">
        <v>2790</v>
      </c>
      <c r="D706" s="51" t="s">
        <v>73</v>
      </c>
      <c r="E706" s="51" t="s">
        <v>2758</v>
      </c>
      <c r="F706" s="54" t="s">
        <v>1626</v>
      </c>
      <c r="G706" s="50">
        <v>4</v>
      </c>
      <c r="H706" s="51" t="s">
        <v>2791</v>
      </c>
      <c r="I706" s="53">
        <v>152000</v>
      </c>
      <c r="J706" s="53">
        <v>0</v>
      </c>
      <c r="K706" s="53">
        <v>25000</v>
      </c>
      <c r="L706" s="53">
        <v>0</v>
      </c>
      <c r="M706" s="53">
        <v>0</v>
      </c>
      <c r="N706" s="53">
        <v>0</v>
      </c>
      <c r="O706" s="53">
        <v>0</v>
      </c>
      <c r="P706" s="53">
        <v>0</v>
      </c>
      <c r="Q706" s="53">
        <v>0</v>
      </c>
      <c r="R706" s="53">
        <v>0</v>
      </c>
      <c r="S706" s="53">
        <v>0</v>
      </c>
      <c r="T706" s="53">
        <v>0</v>
      </c>
      <c r="U706" s="53">
        <v>1250</v>
      </c>
      <c r="V706" s="53">
        <v>0</v>
      </c>
      <c r="W706" s="53">
        <v>0</v>
      </c>
      <c r="X706" s="53">
        <v>0</v>
      </c>
      <c r="Y706" s="53">
        <v>0</v>
      </c>
      <c r="Z706" s="53">
        <v>0</v>
      </c>
      <c r="AA706" s="53">
        <v>0</v>
      </c>
      <c r="AB706" s="53">
        <v>0</v>
      </c>
      <c r="AC706" s="53">
        <v>0</v>
      </c>
      <c r="AD706" s="53">
        <v>0</v>
      </c>
      <c r="AE706" s="53">
        <v>0</v>
      </c>
      <c r="AF706" s="53">
        <v>0</v>
      </c>
      <c r="AG706" s="53">
        <v>0</v>
      </c>
      <c r="AH706" s="53">
        <v>0</v>
      </c>
      <c r="AI706" s="53">
        <v>0</v>
      </c>
      <c r="AJ706" s="53">
        <v>0</v>
      </c>
      <c r="AK706" s="53">
        <v>0</v>
      </c>
      <c r="AL706" s="53">
        <v>0</v>
      </c>
      <c r="AM706" s="53" t="str">
        <f>I706-J706-K706-L706-M706-N706-O706-P706-Q706-R706-S706-T706-U706-V706-W706-X706-Y706-Z706-AA706-AB706-AC706-AD706-AE706-AF706-AG706+AH706-AI706+AJ706+AK706-AL706</f>
        <v>0</v>
      </c>
      <c r="AN706" s="53"/>
      <c r="AO706" s="27"/>
    </row>
    <row r="707" spans="1:41">
      <c r="A707" s="44">
        <v>679</v>
      </c>
      <c r="B707" s="46" t="s">
        <v>2792</v>
      </c>
      <c r="C707" s="48" t="s">
        <v>2793</v>
      </c>
      <c r="D707" s="51" t="s">
        <v>73</v>
      </c>
      <c r="E707" s="51" t="s">
        <v>2758</v>
      </c>
      <c r="F707" s="54" t="s">
        <v>2794</v>
      </c>
      <c r="G707" s="50">
        <v>3</v>
      </c>
      <c r="H707" s="51" t="s">
        <v>2795</v>
      </c>
      <c r="I707" s="53">
        <v>403100</v>
      </c>
      <c r="J707" s="53">
        <v>0</v>
      </c>
      <c r="K707" s="53">
        <v>22000</v>
      </c>
      <c r="L707" s="53">
        <v>0</v>
      </c>
      <c r="M707" s="53">
        <v>0</v>
      </c>
      <c r="N707" s="53">
        <v>0</v>
      </c>
      <c r="O707" s="53">
        <v>0</v>
      </c>
      <c r="P707" s="53">
        <v>0</v>
      </c>
      <c r="Q707" s="53">
        <v>0</v>
      </c>
      <c r="R707" s="53">
        <v>0</v>
      </c>
      <c r="S707" s="53">
        <v>0</v>
      </c>
      <c r="T707" s="53">
        <v>0</v>
      </c>
      <c r="U707" s="53">
        <v>1100</v>
      </c>
      <c r="V707" s="53">
        <v>0</v>
      </c>
      <c r="W707" s="53">
        <v>0</v>
      </c>
      <c r="X707" s="53">
        <v>0</v>
      </c>
      <c r="Y707" s="53">
        <v>0</v>
      </c>
      <c r="Z707" s="53">
        <v>0</v>
      </c>
      <c r="AA707" s="53">
        <v>0</v>
      </c>
      <c r="AB707" s="53">
        <v>0</v>
      </c>
      <c r="AC707" s="53">
        <v>0</v>
      </c>
      <c r="AD707" s="53">
        <v>0</v>
      </c>
      <c r="AE707" s="53">
        <v>0</v>
      </c>
      <c r="AF707" s="53">
        <v>0</v>
      </c>
      <c r="AG707" s="53">
        <v>0</v>
      </c>
      <c r="AH707" s="53">
        <v>0</v>
      </c>
      <c r="AI707" s="53">
        <v>0</v>
      </c>
      <c r="AJ707" s="53">
        <v>0</v>
      </c>
      <c r="AK707" s="53">
        <v>0</v>
      </c>
      <c r="AL707" s="53">
        <v>0</v>
      </c>
      <c r="AM707" s="53" t="str">
        <f>I707-J707-K707-L707-M707-N707-O707-P707-Q707-R707-S707-T707-U707-V707-W707-X707-Y707-Z707-AA707-AB707-AC707-AD707-AE707-AF707-AG707+AH707-AI707+AJ707+AK707-AL707</f>
        <v>0</v>
      </c>
      <c r="AN707" s="53"/>
      <c r="AO707" s="27"/>
    </row>
    <row r="708" spans="1:41">
      <c r="A708" s="44">
        <v>680</v>
      </c>
      <c r="B708" s="46" t="s">
        <v>2796</v>
      </c>
      <c r="C708" s="48" t="s">
        <v>2797</v>
      </c>
      <c r="D708" s="51" t="s">
        <v>73</v>
      </c>
      <c r="E708" s="51" t="s">
        <v>2758</v>
      </c>
      <c r="F708" s="54" t="s">
        <v>2798</v>
      </c>
      <c r="G708" s="50">
        <v>3</v>
      </c>
      <c r="H708" s="51" t="s">
        <v>2799</v>
      </c>
      <c r="I708" s="53">
        <v>332000</v>
      </c>
      <c r="J708" s="53">
        <v>0</v>
      </c>
      <c r="K708" s="53">
        <v>22000</v>
      </c>
      <c r="L708" s="53">
        <v>0</v>
      </c>
      <c r="M708" s="53">
        <v>0</v>
      </c>
      <c r="N708" s="53">
        <v>0</v>
      </c>
      <c r="O708" s="53">
        <v>0</v>
      </c>
      <c r="P708" s="53">
        <v>0</v>
      </c>
      <c r="Q708" s="53">
        <v>0</v>
      </c>
      <c r="R708" s="53">
        <v>0</v>
      </c>
      <c r="S708" s="53">
        <v>0</v>
      </c>
      <c r="T708" s="53">
        <v>0</v>
      </c>
      <c r="U708" s="53">
        <v>1100</v>
      </c>
      <c r="V708" s="53">
        <v>0</v>
      </c>
      <c r="W708" s="53">
        <v>0</v>
      </c>
      <c r="X708" s="53">
        <v>0</v>
      </c>
      <c r="Y708" s="53">
        <v>0</v>
      </c>
      <c r="Z708" s="53">
        <v>0</v>
      </c>
      <c r="AA708" s="53">
        <v>0</v>
      </c>
      <c r="AB708" s="53">
        <v>0</v>
      </c>
      <c r="AC708" s="53">
        <v>0</v>
      </c>
      <c r="AD708" s="53">
        <v>0</v>
      </c>
      <c r="AE708" s="53">
        <v>0</v>
      </c>
      <c r="AF708" s="53">
        <v>0</v>
      </c>
      <c r="AG708" s="53">
        <v>0</v>
      </c>
      <c r="AH708" s="53">
        <v>0</v>
      </c>
      <c r="AI708" s="53">
        <v>0</v>
      </c>
      <c r="AJ708" s="53">
        <v>0</v>
      </c>
      <c r="AK708" s="53">
        <v>0</v>
      </c>
      <c r="AL708" s="53">
        <v>0</v>
      </c>
      <c r="AM708" s="53" t="str">
        <f>I708-J708-K708-L708-M708-N708-O708-P708-Q708-R708-S708-T708-U708-V708-W708-X708-Y708-Z708-AA708-AB708-AC708-AD708-AE708-AF708-AG708+AH708-AI708+AJ708+AK708-AL708</f>
        <v>0</v>
      </c>
      <c r="AN708" s="53"/>
      <c r="AO708" s="27"/>
    </row>
    <row r="709" spans="1:41">
      <c r="A709" s="44">
        <v>681</v>
      </c>
      <c r="B709" s="46" t="s">
        <v>2800</v>
      </c>
      <c r="C709" s="48" t="s">
        <v>2801</v>
      </c>
      <c r="D709" s="51" t="s">
        <v>73</v>
      </c>
      <c r="E709" s="51" t="s">
        <v>2758</v>
      </c>
      <c r="F709" s="54" t="s">
        <v>540</v>
      </c>
      <c r="G709" s="50">
        <v>2</v>
      </c>
      <c r="H709" s="51" t="s">
        <v>2802</v>
      </c>
      <c r="I709" s="53">
        <v>285000</v>
      </c>
      <c r="J709" s="53">
        <v>0</v>
      </c>
      <c r="K709" s="53">
        <v>22000</v>
      </c>
      <c r="L709" s="53">
        <v>0</v>
      </c>
      <c r="M709" s="53">
        <v>0</v>
      </c>
      <c r="N709" s="53">
        <v>0</v>
      </c>
      <c r="O709" s="53">
        <v>0</v>
      </c>
      <c r="P709" s="53">
        <v>0</v>
      </c>
      <c r="Q709" s="53">
        <v>0</v>
      </c>
      <c r="R709" s="53">
        <v>0</v>
      </c>
      <c r="S709" s="53">
        <v>0</v>
      </c>
      <c r="T709" s="53">
        <v>0</v>
      </c>
      <c r="U709" s="53">
        <v>1100</v>
      </c>
      <c r="V709" s="53">
        <v>0</v>
      </c>
      <c r="W709" s="53">
        <v>0</v>
      </c>
      <c r="X709" s="53">
        <v>0</v>
      </c>
      <c r="Y709" s="53">
        <v>0</v>
      </c>
      <c r="Z709" s="53">
        <v>0</v>
      </c>
      <c r="AA709" s="53">
        <v>0</v>
      </c>
      <c r="AB709" s="53">
        <v>0</v>
      </c>
      <c r="AC709" s="53">
        <v>0</v>
      </c>
      <c r="AD709" s="53">
        <v>0</v>
      </c>
      <c r="AE709" s="53">
        <v>0</v>
      </c>
      <c r="AF709" s="53">
        <v>0</v>
      </c>
      <c r="AG709" s="53">
        <v>0</v>
      </c>
      <c r="AH709" s="53">
        <v>0</v>
      </c>
      <c r="AI709" s="53">
        <v>0</v>
      </c>
      <c r="AJ709" s="53">
        <v>0</v>
      </c>
      <c r="AK709" s="53">
        <v>0</v>
      </c>
      <c r="AL709" s="53">
        <v>0</v>
      </c>
      <c r="AM709" s="53" t="str">
        <f>I709-J709-K709-L709-M709-N709-O709-P709-Q709-R709-S709-T709-U709-V709-W709-X709-Y709-Z709-AA709-AB709-AC709-AD709-AE709-AF709-AG709+AH709-AI709+AJ709+AK709-AL709</f>
        <v>0</v>
      </c>
      <c r="AN709" s="53"/>
      <c r="AO709" s="27"/>
    </row>
    <row r="710" spans="1:41">
      <c r="A710" s="44">
        <v>682</v>
      </c>
      <c r="B710" s="46" t="s">
        <v>2803</v>
      </c>
      <c r="C710" s="48" t="s">
        <v>2804</v>
      </c>
      <c r="D710" s="51" t="s">
        <v>73</v>
      </c>
      <c r="E710" s="51" t="s">
        <v>2758</v>
      </c>
      <c r="F710" s="54" t="s">
        <v>2805</v>
      </c>
      <c r="G710" s="50">
        <v>3</v>
      </c>
      <c r="H710" s="51" t="s">
        <v>2806</v>
      </c>
      <c r="I710" s="53">
        <v>331100</v>
      </c>
      <c r="J710" s="53">
        <v>0</v>
      </c>
      <c r="K710" s="53">
        <v>22000</v>
      </c>
      <c r="L710" s="53">
        <v>0</v>
      </c>
      <c r="M710" s="53">
        <v>0</v>
      </c>
      <c r="N710" s="53">
        <v>0</v>
      </c>
      <c r="O710" s="53">
        <v>0</v>
      </c>
      <c r="P710" s="53">
        <v>0</v>
      </c>
      <c r="Q710" s="53">
        <v>0</v>
      </c>
      <c r="R710" s="53">
        <v>0</v>
      </c>
      <c r="S710" s="53">
        <v>0</v>
      </c>
      <c r="T710" s="53">
        <v>0</v>
      </c>
      <c r="U710" s="53">
        <v>1100</v>
      </c>
      <c r="V710" s="53">
        <v>0</v>
      </c>
      <c r="W710" s="53">
        <v>0</v>
      </c>
      <c r="X710" s="53">
        <v>0</v>
      </c>
      <c r="Y710" s="53">
        <v>0</v>
      </c>
      <c r="Z710" s="53">
        <v>0</v>
      </c>
      <c r="AA710" s="53">
        <v>0</v>
      </c>
      <c r="AB710" s="53">
        <v>0</v>
      </c>
      <c r="AC710" s="53">
        <v>0</v>
      </c>
      <c r="AD710" s="53">
        <v>0</v>
      </c>
      <c r="AE710" s="53">
        <v>0</v>
      </c>
      <c r="AF710" s="53">
        <v>0</v>
      </c>
      <c r="AG710" s="53">
        <v>0</v>
      </c>
      <c r="AH710" s="53">
        <v>0</v>
      </c>
      <c r="AI710" s="53">
        <v>0</v>
      </c>
      <c r="AJ710" s="53">
        <v>0</v>
      </c>
      <c r="AK710" s="53">
        <v>0</v>
      </c>
      <c r="AL710" s="53">
        <v>0</v>
      </c>
      <c r="AM710" s="53" t="str">
        <f>I710-J710-K710-L710-M710-N710-O710-P710-Q710-R710-S710-T710-U710-V710-W710-X710-Y710-Z710-AA710-AB710-AC710-AD710-AE710-AF710-AG710+AH710-AI710+AJ710+AK710-AL710</f>
        <v>0</v>
      </c>
      <c r="AN710" s="53"/>
      <c r="AO710" s="27"/>
    </row>
    <row r="711" spans="1:41">
      <c r="A711" s="44">
        <v>683</v>
      </c>
      <c r="B711" s="46" t="s">
        <v>2807</v>
      </c>
      <c r="C711" s="48" t="s">
        <v>2808</v>
      </c>
      <c r="D711" s="51" t="s">
        <v>73</v>
      </c>
      <c r="E711" s="51" t="s">
        <v>2758</v>
      </c>
      <c r="F711" s="54" t="s">
        <v>878</v>
      </c>
      <c r="G711" s="50">
        <v>5</v>
      </c>
      <c r="H711" s="51" t="s">
        <v>2809</v>
      </c>
      <c r="I711" s="53">
        <v>863900</v>
      </c>
      <c r="J711" s="53">
        <v>0</v>
      </c>
      <c r="K711" s="53">
        <v>27000</v>
      </c>
      <c r="L711" s="53">
        <v>0</v>
      </c>
      <c r="M711" s="53">
        <v>0</v>
      </c>
      <c r="N711" s="53">
        <v>0</v>
      </c>
      <c r="O711" s="53">
        <v>0</v>
      </c>
      <c r="P711" s="53">
        <v>0</v>
      </c>
      <c r="Q711" s="53">
        <v>0</v>
      </c>
      <c r="R711" s="53">
        <v>0</v>
      </c>
      <c r="S711" s="53">
        <v>0</v>
      </c>
      <c r="T711" s="53">
        <v>0</v>
      </c>
      <c r="U711" s="53">
        <v>1350</v>
      </c>
      <c r="V711" s="53">
        <v>0</v>
      </c>
      <c r="W711" s="53">
        <v>0</v>
      </c>
      <c r="X711" s="53">
        <v>0</v>
      </c>
      <c r="Y711" s="53">
        <v>0</v>
      </c>
      <c r="Z711" s="53">
        <v>0</v>
      </c>
      <c r="AA711" s="53">
        <v>0</v>
      </c>
      <c r="AB711" s="53">
        <v>0</v>
      </c>
      <c r="AC711" s="53">
        <v>0</v>
      </c>
      <c r="AD711" s="53">
        <v>0</v>
      </c>
      <c r="AE711" s="53">
        <v>0</v>
      </c>
      <c r="AF711" s="53">
        <v>0</v>
      </c>
      <c r="AG711" s="53">
        <v>0</v>
      </c>
      <c r="AH711" s="53">
        <v>0</v>
      </c>
      <c r="AI711" s="53">
        <v>0</v>
      </c>
      <c r="AJ711" s="53">
        <v>0</v>
      </c>
      <c r="AK711" s="53">
        <v>0</v>
      </c>
      <c r="AL711" s="53">
        <v>0</v>
      </c>
      <c r="AM711" s="53" t="str">
        <f>I711-J711-K711-L711-M711-N711-O711-P711-Q711-R711-S711-T711-U711-V711-W711-X711-Y711-Z711-AA711-AB711-AC711-AD711-AE711-AF711-AG711+AH711-AI711+AJ711+AK711-AL711</f>
        <v>0</v>
      </c>
      <c r="AN711" s="53"/>
      <c r="AO711" s="27"/>
    </row>
    <row r="712" spans="1:41">
      <c r="A712" s="44">
        <v>684</v>
      </c>
      <c r="B712" s="46" t="s">
        <v>2810</v>
      </c>
      <c r="C712" s="48" t="s">
        <v>2811</v>
      </c>
      <c r="D712" s="51" t="s">
        <v>73</v>
      </c>
      <c r="E712" s="51" t="s">
        <v>2758</v>
      </c>
      <c r="F712" s="54" t="s">
        <v>2812</v>
      </c>
      <c r="G712" s="50">
        <v>3</v>
      </c>
      <c r="H712" s="51" t="s">
        <v>2813</v>
      </c>
      <c r="I712" s="53">
        <v>183500</v>
      </c>
      <c r="J712" s="53">
        <v>0</v>
      </c>
      <c r="K712" s="53">
        <v>22000</v>
      </c>
      <c r="L712" s="53">
        <v>0</v>
      </c>
      <c r="M712" s="53">
        <v>0</v>
      </c>
      <c r="N712" s="53">
        <v>0</v>
      </c>
      <c r="O712" s="53">
        <v>0</v>
      </c>
      <c r="P712" s="53">
        <v>0</v>
      </c>
      <c r="Q712" s="53">
        <v>0</v>
      </c>
      <c r="R712" s="53">
        <v>0</v>
      </c>
      <c r="S712" s="53">
        <v>0</v>
      </c>
      <c r="T712" s="53">
        <v>0</v>
      </c>
      <c r="U712" s="53">
        <v>1100</v>
      </c>
      <c r="V712" s="53">
        <v>0</v>
      </c>
      <c r="W712" s="53">
        <v>0</v>
      </c>
      <c r="X712" s="53">
        <v>0</v>
      </c>
      <c r="Y712" s="53">
        <v>0</v>
      </c>
      <c r="Z712" s="53">
        <v>0</v>
      </c>
      <c r="AA712" s="53">
        <v>0</v>
      </c>
      <c r="AB712" s="53">
        <v>0</v>
      </c>
      <c r="AC712" s="53">
        <v>0</v>
      </c>
      <c r="AD712" s="53">
        <v>0</v>
      </c>
      <c r="AE712" s="53">
        <v>0</v>
      </c>
      <c r="AF712" s="53">
        <v>0</v>
      </c>
      <c r="AG712" s="53">
        <v>0</v>
      </c>
      <c r="AH712" s="53">
        <v>0</v>
      </c>
      <c r="AI712" s="53">
        <v>0</v>
      </c>
      <c r="AJ712" s="53">
        <v>0</v>
      </c>
      <c r="AK712" s="53">
        <v>0</v>
      </c>
      <c r="AL712" s="53">
        <v>0</v>
      </c>
      <c r="AM712" s="53" t="str">
        <f>I712-J712-K712-L712-M712-N712-O712-P712-Q712-R712-S712-T712-U712-V712-W712-X712-Y712-Z712-AA712-AB712-AC712-AD712-AE712-AF712-AG712+AH712-AI712+AJ712+AK712-AL712</f>
        <v>0</v>
      </c>
      <c r="AN712" s="53"/>
      <c r="AO712" s="27"/>
    </row>
    <row r="713" spans="1:41">
      <c r="A713" s="44">
        <v>685</v>
      </c>
      <c r="B713" s="46" t="s">
        <v>2814</v>
      </c>
      <c r="C713" s="48" t="s">
        <v>2815</v>
      </c>
      <c r="D713" s="51" t="s">
        <v>73</v>
      </c>
      <c r="E713" s="51" t="s">
        <v>2758</v>
      </c>
      <c r="F713" s="54" t="s">
        <v>2816</v>
      </c>
      <c r="G713" s="50">
        <v>3</v>
      </c>
      <c r="H713" s="51" t="s">
        <v>2817</v>
      </c>
      <c r="I713" s="53">
        <v>634000</v>
      </c>
      <c r="J713" s="53">
        <v>0</v>
      </c>
      <c r="K713" s="53">
        <v>22000</v>
      </c>
      <c r="L713" s="53">
        <v>0</v>
      </c>
      <c r="M713" s="53">
        <v>0</v>
      </c>
      <c r="N713" s="53">
        <v>0</v>
      </c>
      <c r="O713" s="53">
        <v>0</v>
      </c>
      <c r="P713" s="53">
        <v>0</v>
      </c>
      <c r="Q713" s="53">
        <v>0</v>
      </c>
      <c r="R713" s="53">
        <v>0</v>
      </c>
      <c r="S713" s="53">
        <v>0</v>
      </c>
      <c r="T713" s="53">
        <v>0</v>
      </c>
      <c r="U713" s="53">
        <v>1100</v>
      </c>
      <c r="V713" s="53">
        <v>0</v>
      </c>
      <c r="W713" s="53">
        <v>0</v>
      </c>
      <c r="X713" s="53">
        <v>0</v>
      </c>
      <c r="Y713" s="53">
        <v>0</v>
      </c>
      <c r="Z713" s="53">
        <v>0</v>
      </c>
      <c r="AA713" s="53">
        <v>0</v>
      </c>
      <c r="AB713" s="53">
        <v>0</v>
      </c>
      <c r="AC713" s="53">
        <v>0</v>
      </c>
      <c r="AD713" s="53">
        <v>0</v>
      </c>
      <c r="AE713" s="53">
        <v>0</v>
      </c>
      <c r="AF713" s="53">
        <v>0</v>
      </c>
      <c r="AG713" s="53">
        <v>0</v>
      </c>
      <c r="AH713" s="53">
        <v>0</v>
      </c>
      <c r="AI713" s="53">
        <v>0</v>
      </c>
      <c r="AJ713" s="53">
        <v>0</v>
      </c>
      <c r="AK713" s="53">
        <v>0</v>
      </c>
      <c r="AL713" s="53">
        <v>0</v>
      </c>
      <c r="AM713" s="53" t="str">
        <f>I713-J713-K713-L713-M713-N713-O713-P713-Q713-R713-S713-T713-U713-V713-W713-X713-Y713-Z713-AA713-AB713-AC713-AD713-AE713-AF713-AG713+AH713-AI713+AJ713+AK713-AL713</f>
        <v>0</v>
      </c>
      <c r="AN713" s="53"/>
      <c r="AO713" s="27"/>
    </row>
    <row r="714" spans="1:41">
      <c r="A714" s="44">
        <v>686</v>
      </c>
      <c r="B714" s="46" t="s">
        <v>2818</v>
      </c>
      <c r="C714" s="48" t="s">
        <v>2819</v>
      </c>
      <c r="D714" s="51" t="s">
        <v>73</v>
      </c>
      <c r="E714" s="51" t="s">
        <v>2758</v>
      </c>
      <c r="F714" s="54" t="s">
        <v>2820</v>
      </c>
      <c r="G714" s="50">
        <v>6</v>
      </c>
      <c r="H714" s="51" t="s">
        <v>2821</v>
      </c>
      <c r="I714" s="53">
        <v>413000</v>
      </c>
      <c r="J714" s="53">
        <v>0</v>
      </c>
      <c r="K714" s="53">
        <v>31000</v>
      </c>
      <c r="L714" s="53">
        <v>0</v>
      </c>
      <c r="M714" s="53">
        <v>0</v>
      </c>
      <c r="N714" s="53">
        <v>0</v>
      </c>
      <c r="O714" s="53">
        <v>0</v>
      </c>
      <c r="P714" s="53">
        <v>0</v>
      </c>
      <c r="Q714" s="53">
        <v>0</v>
      </c>
      <c r="R714" s="53">
        <v>0</v>
      </c>
      <c r="S714" s="53">
        <v>0</v>
      </c>
      <c r="T714" s="53">
        <v>0</v>
      </c>
      <c r="U714" s="53">
        <v>1550</v>
      </c>
      <c r="V714" s="53">
        <v>0</v>
      </c>
      <c r="W714" s="53">
        <v>0</v>
      </c>
      <c r="X714" s="53">
        <v>0</v>
      </c>
      <c r="Y714" s="53">
        <v>0</v>
      </c>
      <c r="Z714" s="53">
        <v>0</v>
      </c>
      <c r="AA714" s="53">
        <v>0</v>
      </c>
      <c r="AB714" s="53">
        <v>0</v>
      </c>
      <c r="AC714" s="53">
        <v>0</v>
      </c>
      <c r="AD714" s="53">
        <v>0</v>
      </c>
      <c r="AE714" s="53">
        <v>0</v>
      </c>
      <c r="AF714" s="53">
        <v>0</v>
      </c>
      <c r="AG714" s="53">
        <v>0</v>
      </c>
      <c r="AH714" s="53">
        <v>0</v>
      </c>
      <c r="AI714" s="53">
        <v>0</v>
      </c>
      <c r="AJ714" s="53">
        <v>0</v>
      </c>
      <c r="AK714" s="53">
        <v>0</v>
      </c>
      <c r="AL714" s="53">
        <v>0</v>
      </c>
      <c r="AM714" s="53" t="str">
        <f>I714-J714-K714-L714-M714-N714-O714-P714-Q714-R714-S714-T714-U714-V714-W714-X714-Y714-Z714-AA714-AB714-AC714-AD714-AE714-AF714-AG714+AH714-AI714+AJ714+AK714-AL714</f>
        <v>0</v>
      </c>
      <c r="AN714" s="53"/>
      <c r="AO714" s="27"/>
    </row>
    <row r="715" spans="1:41">
      <c r="A715" s="44">
        <v>687</v>
      </c>
      <c r="B715" s="46" t="s">
        <v>2822</v>
      </c>
      <c r="C715" s="48" t="s">
        <v>2823</v>
      </c>
      <c r="D715" s="51" t="s">
        <v>73</v>
      </c>
      <c r="E715" s="51" t="s">
        <v>2758</v>
      </c>
      <c r="F715" s="54" t="s">
        <v>1903</v>
      </c>
      <c r="G715" s="50">
        <v>6</v>
      </c>
      <c r="H715" s="51" t="s">
        <v>2824</v>
      </c>
      <c r="I715" s="53">
        <v>278000</v>
      </c>
      <c r="J715" s="53">
        <v>0</v>
      </c>
      <c r="K715" s="53">
        <v>31000</v>
      </c>
      <c r="L715" s="53">
        <v>0</v>
      </c>
      <c r="M715" s="53">
        <v>0</v>
      </c>
      <c r="N715" s="53">
        <v>0</v>
      </c>
      <c r="O715" s="53">
        <v>0</v>
      </c>
      <c r="P715" s="53">
        <v>0</v>
      </c>
      <c r="Q715" s="53">
        <v>0</v>
      </c>
      <c r="R715" s="53">
        <v>0</v>
      </c>
      <c r="S715" s="53">
        <v>0</v>
      </c>
      <c r="T715" s="53">
        <v>0</v>
      </c>
      <c r="U715" s="53">
        <v>1550</v>
      </c>
      <c r="V715" s="53">
        <v>0</v>
      </c>
      <c r="W715" s="53">
        <v>0</v>
      </c>
      <c r="X715" s="53">
        <v>0</v>
      </c>
      <c r="Y715" s="53">
        <v>0</v>
      </c>
      <c r="Z715" s="53">
        <v>0</v>
      </c>
      <c r="AA715" s="53">
        <v>0</v>
      </c>
      <c r="AB715" s="53">
        <v>0</v>
      </c>
      <c r="AC715" s="53">
        <v>0</v>
      </c>
      <c r="AD715" s="53">
        <v>0</v>
      </c>
      <c r="AE715" s="53">
        <v>0</v>
      </c>
      <c r="AF715" s="53">
        <v>0</v>
      </c>
      <c r="AG715" s="53">
        <v>0</v>
      </c>
      <c r="AH715" s="53">
        <v>0</v>
      </c>
      <c r="AI715" s="53">
        <v>0</v>
      </c>
      <c r="AJ715" s="53">
        <v>0</v>
      </c>
      <c r="AK715" s="53">
        <v>0</v>
      </c>
      <c r="AL715" s="53">
        <v>0</v>
      </c>
      <c r="AM715" s="53" t="str">
        <f>I715-J715-K715-L715-M715-N715-O715-P715-Q715-R715-S715-T715-U715-V715-W715-X715-Y715-Z715-AA715-AB715-AC715-AD715-AE715-AF715-AG715+AH715-AI715+AJ715+AK715-AL715</f>
        <v>0</v>
      </c>
      <c r="AN715" s="53"/>
      <c r="AO715" s="27"/>
    </row>
    <row r="716" spans="1:41">
      <c r="A716" s="44">
        <v>688</v>
      </c>
      <c r="B716" s="46" t="s">
        <v>2825</v>
      </c>
      <c r="C716" s="48" t="s">
        <v>2826</v>
      </c>
      <c r="D716" s="51" t="s">
        <v>73</v>
      </c>
      <c r="E716" s="51" t="s">
        <v>2758</v>
      </c>
      <c r="F716" s="54" t="s">
        <v>2827</v>
      </c>
      <c r="G716" s="50">
        <v>3</v>
      </c>
      <c r="H716" s="51" t="s">
        <v>2828</v>
      </c>
      <c r="I716" s="53">
        <v>232100</v>
      </c>
      <c r="J716" s="53">
        <v>0</v>
      </c>
      <c r="K716" s="53">
        <v>22000</v>
      </c>
      <c r="L716" s="53">
        <v>0</v>
      </c>
      <c r="M716" s="53">
        <v>0</v>
      </c>
      <c r="N716" s="53">
        <v>0</v>
      </c>
      <c r="O716" s="53">
        <v>0</v>
      </c>
      <c r="P716" s="53">
        <v>0</v>
      </c>
      <c r="Q716" s="53">
        <v>0</v>
      </c>
      <c r="R716" s="53">
        <v>0</v>
      </c>
      <c r="S716" s="53">
        <v>0</v>
      </c>
      <c r="T716" s="53">
        <v>0</v>
      </c>
      <c r="U716" s="53">
        <v>1100</v>
      </c>
      <c r="V716" s="53">
        <v>0</v>
      </c>
      <c r="W716" s="53">
        <v>0</v>
      </c>
      <c r="X716" s="53">
        <v>0</v>
      </c>
      <c r="Y716" s="53">
        <v>0</v>
      </c>
      <c r="Z716" s="53">
        <v>0</v>
      </c>
      <c r="AA716" s="53">
        <v>0</v>
      </c>
      <c r="AB716" s="53">
        <v>0</v>
      </c>
      <c r="AC716" s="53">
        <v>0</v>
      </c>
      <c r="AD716" s="53">
        <v>0</v>
      </c>
      <c r="AE716" s="53">
        <v>0</v>
      </c>
      <c r="AF716" s="53">
        <v>0</v>
      </c>
      <c r="AG716" s="53">
        <v>0</v>
      </c>
      <c r="AH716" s="53">
        <v>0</v>
      </c>
      <c r="AI716" s="53">
        <v>0</v>
      </c>
      <c r="AJ716" s="53">
        <v>0</v>
      </c>
      <c r="AK716" s="53">
        <v>0</v>
      </c>
      <c r="AL716" s="53">
        <v>0</v>
      </c>
      <c r="AM716" s="53" t="str">
        <f>I716-J716-K716-L716-M716-N716-O716-P716-Q716-R716-S716-T716-U716-V716-W716-X716-Y716-Z716-AA716-AB716-AC716-AD716-AE716-AF716-AG716+AH716-AI716+AJ716+AK716-AL716</f>
        <v>0</v>
      </c>
      <c r="AN716" s="53"/>
      <c r="AO716" s="27"/>
    </row>
    <row r="717" spans="1:41">
      <c r="A717" s="44">
        <v>689</v>
      </c>
      <c r="B717" s="46" t="s">
        <v>2829</v>
      </c>
      <c r="C717" s="48" t="s">
        <v>2830</v>
      </c>
      <c r="D717" s="51" t="s">
        <v>73</v>
      </c>
      <c r="E717" s="51" t="s">
        <v>2758</v>
      </c>
      <c r="F717" s="54" t="s">
        <v>2831</v>
      </c>
      <c r="G717" s="50">
        <v>3</v>
      </c>
      <c r="H717" s="51" t="s">
        <v>2832</v>
      </c>
      <c r="I717" s="53">
        <v>394100</v>
      </c>
      <c r="J717" s="53">
        <v>0</v>
      </c>
      <c r="K717" s="53">
        <v>22000</v>
      </c>
      <c r="L717" s="53">
        <v>0</v>
      </c>
      <c r="M717" s="53">
        <v>0</v>
      </c>
      <c r="N717" s="53">
        <v>0</v>
      </c>
      <c r="O717" s="53">
        <v>0</v>
      </c>
      <c r="P717" s="53">
        <v>0</v>
      </c>
      <c r="Q717" s="53">
        <v>0</v>
      </c>
      <c r="R717" s="53">
        <v>0</v>
      </c>
      <c r="S717" s="53">
        <v>0</v>
      </c>
      <c r="T717" s="53">
        <v>0</v>
      </c>
      <c r="U717" s="53">
        <v>1100</v>
      </c>
      <c r="V717" s="53">
        <v>0</v>
      </c>
      <c r="W717" s="53">
        <v>0</v>
      </c>
      <c r="X717" s="53">
        <v>0</v>
      </c>
      <c r="Y717" s="53">
        <v>0</v>
      </c>
      <c r="Z717" s="53">
        <v>0</v>
      </c>
      <c r="AA717" s="53">
        <v>0</v>
      </c>
      <c r="AB717" s="53">
        <v>0</v>
      </c>
      <c r="AC717" s="53">
        <v>0</v>
      </c>
      <c r="AD717" s="53">
        <v>0</v>
      </c>
      <c r="AE717" s="53">
        <v>0</v>
      </c>
      <c r="AF717" s="53">
        <v>0</v>
      </c>
      <c r="AG717" s="53">
        <v>0</v>
      </c>
      <c r="AH717" s="53">
        <v>0</v>
      </c>
      <c r="AI717" s="53">
        <v>0</v>
      </c>
      <c r="AJ717" s="53">
        <v>0</v>
      </c>
      <c r="AK717" s="53">
        <v>0</v>
      </c>
      <c r="AL717" s="53">
        <v>0</v>
      </c>
      <c r="AM717" s="53" t="str">
        <f>I717-J717-K717-L717-M717-N717-O717-P717-Q717-R717-S717-T717-U717-V717-W717-X717-Y717-Z717-AA717-AB717-AC717-AD717-AE717-AF717-AG717+AH717-AI717+AJ717+AK717-AL717</f>
        <v>0</v>
      </c>
      <c r="AN717" s="53"/>
      <c r="AO717" s="27"/>
    </row>
    <row r="718" spans="1:41">
      <c r="A718" s="44">
        <v>690</v>
      </c>
      <c r="B718" s="46" t="s">
        <v>2833</v>
      </c>
      <c r="C718" s="48" t="s">
        <v>2834</v>
      </c>
      <c r="D718" s="51" t="s">
        <v>73</v>
      </c>
      <c r="E718" s="51" t="s">
        <v>2758</v>
      </c>
      <c r="F718" s="54" t="s">
        <v>907</v>
      </c>
      <c r="G718" s="50">
        <v>5</v>
      </c>
      <c r="H718" s="51" t="s">
        <v>2835</v>
      </c>
      <c r="I718" s="53">
        <v>0</v>
      </c>
      <c r="J718" s="53">
        <v>0</v>
      </c>
      <c r="K718" s="53">
        <v>27000</v>
      </c>
      <c r="L718" s="53">
        <v>0</v>
      </c>
      <c r="M718" s="53">
        <v>0</v>
      </c>
      <c r="N718" s="53">
        <v>0</v>
      </c>
      <c r="O718" s="53">
        <v>0</v>
      </c>
      <c r="P718" s="53">
        <v>0</v>
      </c>
      <c r="Q718" s="53">
        <v>0</v>
      </c>
      <c r="R718" s="53">
        <v>0</v>
      </c>
      <c r="S718" s="53">
        <v>0</v>
      </c>
      <c r="T718" s="53">
        <v>0</v>
      </c>
      <c r="U718" s="53">
        <v>1350</v>
      </c>
      <c r="V718" s="53">
        <v>0</v>
      </c>
      <c r="W718" s="53">
        <v>0</v>
      </c>
      <c r="X718" s="53">
        <v>0</v>
      </c>
      <c r="Y718" s="53">
        <v>0</v>
      </c>
      <c r="Z718" s="53">
        <v>0</v>
      </c>
      <c r="AA718" s="53">
        <v>0</v>
      </c>
      <c r="AB718" s="53">
        <v>0</v>
      </c>
      <c r="AC718" s="53">
        <v>0</v>
      </c>
      <c r="AD718" s="53">
        <v>0</v>
      </c>
      <c r="AE718" s="53">
        <v>0</v>
      </c>
      <c r="AF718" s="53">
        <v>0</v>
      </c>
      <c r="AG718" s="53">
        <v>0</v>
      </c>
      <c r="AH718" s="53">
        <v>0</v>
      </c>
      <c r="AI718" s="53">
        <v>0</v>
      </c>
      <c r="AJ718" s="53">
        <v>0</v>
      </c>
      <c r="AK718" s="53">
        <v>0</v>
      </c>
      <c r="AL718" s="53">
        <v>0</v>
      </c>
      <c r="AM718" s="53" t="str">
        <f>I718-J718-K718-L718-M718-N718-O718-P718-Q718-R718-S718-T718-U718-V718-W718-X718-Y718-Z718-AA718-AB718-AC718-AD718-AE718-AF718-AG718+AH718-AI718+AJ718+AK718-AL718</f>
        <v>0</v>
      </c>
      <c r="AN718" s="53"/>
      <c r="AO718" s="27"/>
    </row>
    <row r="719" spans="1:41">
      <c r="A719" s="44">
        <v>691</v>
      </c>
      <c r="B719" s="46" t="s">
        <v>2836</v>
      </c>
      <c r="C719" s="48" t="s">
        <v>2837</v>
      </c>
      <c r="D719" s="51" t="s">
        <v>73</v>
      </c>
      <c r="E719" s="51" t="s">
        <v>2758</v>
      </c>
      <c r="F719" s="54" t="s">
        <v>2838</v>
      </c>
      <c r="G719" s="50">
        <v>3</v>
      </c>
      <c r="H719" s="51" t="s">
        <v>2839</v>
      </c>
      <c r="I719" s="53">
        <v>291500</v>
      </c>
      <c r="J719" s="53">
        <v>0</v>
      </c>
      <c r="K719" s="53">
        <v>22000</v>
      </c>
      <c r="L719" s="53">
        <v>0</v>
      </c>
      <c r="M719" s="53">
        <v>0</v>
      </c>
      <c r="N719" s="53">
        <v>0</v>
      </c>
      <c r="O719" s="53">
        <v>0</v>
      </c>
      <c r="P719" s="53">
        <v>0</v>
      </c>
      <c r="Q719" s="53">
        <v>0</v>
      </c>
      <c r="R719" s="53">
        <v>0</v>
      </c>
      <c r="S719" s="53">
        <v>0</v>
      </c>
      <c r="T719" s="53">
        <v>0</v>
      </c>
      <c r="U719" s="53">
        <v>1100</v>
      </c>
      <c r="V719" s="53">
        <v>0</v>
      </c>
      <c r="W719" s="53">
        <v>0</v>
      </c>
      <c r="X719" s="53">
        <v>0</v>
      </c>
      <c r="Y719" s="53">
        <v>0</v>
      </c>
      <c r="Z719" s="53">
        <v>0</v>
      </c>
      <c r="AA719" s="53">
        <v>0</v>
      </c>
      <c r="AB719" s="53">
        <v>0</v>
      </c>
      <c r="AC719" s="53">
        <v>0</v>
      </c>
      <c r="AD719" s="53">
        <v>0</v>
      </c>
      <c r="AE719" s="53">
        <v>0</v>
      </c>
      <c r="AF719" s="53">
        <v>0</v>
      </c>
      <c r="AG719" s="53">
        <v>0</v>
      </c>
      <c r="AH719" s="53">
        <v>0</v>
      </c>
      <c r="AI719" s="53">
        <v>0</v>
      </c>
      <c r="AJ719" s="53">
        <v>0</v>
      </c>
      <c r="AK719" s="53">
        <v>0</v>
      </c>
      <c r="AL719" s="53">
        <v>0</v>
      </c>
      <c r="AM719" s="53" t="str">
        <f>I719-J719-K719-L719-M719-N719-O719-P719-Q719-R719-S719-T719-U719-V719-W719-X719-Y719-Z719-AA719-AB719-AC719-AD719-AE719-AF719-AG719+AH719-AI719+AJ719+AK719-AL719</f>
        <v>0</v>
      </c>
      <c r="AN719" s="53"/>
      <c r="AO719" s="27"/>
    </row>
    <row r="720" spans="1:41">
      <c r="A720" s="44">
        <v>692</v>
      </c>
      <c r="B720" s="46" t="s">
        <v>2840</v>
      </c>
      <c r="C720" s="48" t="s">
        <v>2841</v>
      </c>
      <c r="D720" s="51" t="s">
        <v>73</v>
      </c>
      <c r="E720" s="51" t="s">
        <v>2758</v>
      </c>
      <c r="F720" s="54" t="s">
        <v>1983</v>
      </c>
      <c r="G720" s="50">
        <v>3</v>
      </c>
      <c r="H720" s="51" t="s">
        <v>2842</v>
      </c>
      <c r="I720" s="53">
        <v>332000</v>
      </c>
      <c r="J720" s="53">
        <v>0</v>
      </c>
      <c r="K720" s="53">
        <v>22000</v>
      </c>
      <c r="L720" s="53">
        <v>0</v>
      </c>
      <c r="M720" s="53">
        <v>0</v>
      </c>
      <c r="N720" s="53">
        <v>0</v>
      </c>
      <c r="O720" s="53">
        <v>0</v>
      </c>
      <c r="P720" s="53">
        <v>0</v>
      </c>
      <c r="Q720" s="53">
        <v>0</v>
      </c>
      <c r="R720" s="53">
        <v>0</v>
      </c>
      <c r="S720" s="53">
        <v>0</v>
      </c>
      <c r="T720" s="53">
        <v>0</v>
      </c>
      <c r="U720" s="53">
        <v>1100</v>
      </c>
      <c r="V720" s="53">
        <v>0</v>
      </c>
      <c r="W720" s="53">
        <v>0</v>
      </c>
      <c r="X720" s="53">
        <v>0</v>
      </c>
      <c r="Y720" s="53">
        <v>0</v>
      </c>
      <c r="Z720" s="53">
        <v>0</v>
      </c>
      <c r="AA720" s="53">
        <v>0</v>
      </c>
      <c r="AB720" s="53">
        <v>0</v>
      </c>
      <c r="AC720" s="53">
        <v>0</v>
      </c>
      <c r="AD720" s="53">
        <v>0</v>
      </c>
      <c r="AE720" s="53">
        <v>0</v>
      </c>
      <c r="AF720" s="53">
        <v>0</v>
      </c>
      <c r="AG720" s="53">
        <v>0</v>
      </c>
      <c r="AH720" s="53">
        <v>0</v>
      </c>
      <c r="AI720" s="53">
        <v>0</v>
      </c>
      <c r="AJ720" s="53">
        <v>0</v>
      </c>
      <c r="AK720" s="53">
        <v>0</v>
      </c>
      <c r="AL720" s="53">
        <v>0</v>
      </c>
      <c r="AM720" s="53" t="str">
        <f>I720-J720-K720-L720-M720-N720-O720-P720-Q720-R720-S720-T720-U720-V720-W720-X720-Y720-Z720-AA720-AB720-AC720-AD720-AE720-AF720-AG720+AH720-AI720+AJ720+AK720-AL720</f>
        <v>0</v>
      </c>
      <c r="AN720" s="53"/>
      <c r="AO720" s="27"/>
    </row>
    <row r="721" spans="1:41">
      <c r="A721" s="44">
        <v>693</v>
      </c>
      <c r="B721" s="46" t="s">
        <v>2843</v>
      </c>
      <c r="C721" s="48" t="s">
        <v>2844</v>
      </c>
      <c r="D721" s="51" t="s">
        <v>73</v>
      </c>
      <c r="E721" s="51" t="s">
        <v>2758</v>
      </c>
      <c r="F721" s="54" t="s">
        <v>2348</v>
      </c>
      <c r="G721" s="50">
        <v>3</v>
      </c>
      <c r="H721" s="51" t="s">
        <v>2845</v>
      </c>
      <c r="I721" s="53">
        <v>547100</v>
      </c>
      <c r="J721" s="53">
        <v>0</v>
      </c>
      <c r="K721" s="53">
        <v>22000</v>
      </c>
      <c r="L721" s="53">
        <v>0</v>
      </c>
      <c r="M721" s="53">
        <v>0</v>
      </c>
      <c r="N721" s="53">
        <v>0</v>
      </c>
      <c r="O721" s="53">
        <v>0</v>
      </c>
      <c r="P721" s="53">
        <v>0</v>
      </c>
      <c r="Q721" s="53">
        <v>0</v>
      </c>
      <c r="R721" s="53">
        <v>0</v>
      </c>
      <c r="S721" s="53">
        <v>0</v>
      </c>
      <c r="T721" s="53">
        <v>0</v>
      </c>
      <c r="U721" s="53">
        <v>1100</v>
      </c>
      <c r="V721" s="53">
        <v>0</v>
      </c>
      <c r="W721" s="53">
        <v>0</v>
      </c>
      <c r="X721" s="53">
        <v>0</v>
      </c>
      <c r="Y721" s="53">
        <v>0</v>
      </c>
      <c r="Z721" s="53">
        <v>0</v>
      </c>
      <c r="AA721" s="53">
        <v>0</v>
      </c>
      <c r="AB721" s="53">
        <v>0</v>
      </c>
      <c r="AC721" s="53">
        <v>0</v>
      </c>
      <c r="AD721" s="53">
        <v>0</v>
      </c>
      <c r="AE721" s="53">
        <v>0</v>
      </c>
      <c r="AF721" s="53">
        <v>0</v>
      </c>
      <c r="AG721" s="53">
        <v>0</v>
      </c>
      <c r="AH721" s="53">
        <v>0</v>
      </c>
      <c r="AI721" s="53">
        <v>0</v>
      </c>
      <c r="AJ721" s="53">
        <v>0</v>
      </c>
      <c r="AK721" s="53">
        <v>0</v>
      </c>
      <c r="AL721" s="53">
        <v>0</v>
      </c>
      <c r="AM721" s="53" t="str">
        <f>I721-J721-K721-L721-M721-N721-O721-P721-Q721-R721-S721-T721-U721-V721-W721-X721-Y721-Z721-AA721-AB721-AC721-AD721-AE721-AF721-AG721+AH721-AI721+AJ721+AK721-AL721</f>
        <v>0</v>
      </c>
      <c r="AN721" s="53"/>
      <c r="AO721" s="27"/>
    </row>
    <row r="722" spans="1:41">
      <c r="A722" s="44">
        <v>694</v>
      </c>
      <c r="B722" s="46" t="s">
        <v>2846</v>
      </c>
      <c r="C722" s="48" t="s">
        <v>2847</v>
      </c>
      <c r="D722" s="51" t="s">
        <v>73</v>
      </c>
      <c r="E722" s="51" t="s">
        <v>2758</v>
      </c>
      <c r="F722" s="54" t="s">
        <v>1579</v>
      </c>
      <c r="G722" s="50">
        <v>3</v>
      </c>
      <c r="H722" s="51" t="s">
        <v>2848</v>
      </c>
      <c r="I722" s="53">
        <v>498500</v>
      </c>
      <c r="J722" s="53">
        <v>0</v>
      </c>
      <c r="K722" s="53">
        <v>22000</v>
      </c>
      <c r="L722" s="53">
        <v>0</v>
      </c>
      <c r="M722" s="53">
        <v>0</v>
      </c>
      <c r="N722" s="53">
        <v>0</v>
      </c>
      <c r="O722" s="53">
        <v>0</v>
      </c>
      <c r="P722" s="53">
        <v>0</v>
      </c>
      <c r="Q722" s="53">
        <v>0</v>
      </c>
      <c r="R722" s="53">
        <v>0</v>
      </c>
      <c r="S722" s="53">
        <v>0</v>
      </c>
      <c r="T722" s="53">
        <v>0</v>
      </c>
      <c r="U722" s="53">
        <v>1100</v>
      </c>
      <c r="V722" s="53">
        <v>0</v>
      </c>
      <c r="W722" s="53">
        <v>0</v>
      </c>
      <c r="X722" s="53">
        <v>0</v>
      </c>
      <c r="Y722" s="53">
        <v>0</v>
      </c>
      <c r="Z722" s="53">
        <v>0</v>
      </c>
      <c r="AA722" s="53">
        <v>0</v>
      </c>
      <c r="AB722" s="53">
        <v>0</v>
      </c>
      <c r="AC722" s="53">
        <v>0</v>
      </c>
      <c r="AD722" s="53">
        <v>0</v>
      </c>
      <c r="AE722" s="53">
        <v>0</v>
      </c>
      <c r="AF722" s="53">
        <v>0</v>
      </c>
      <c r="AG722" s="53">
        <v>0</v>
      </c>
      <c r="AH722" s="53">
        <v>0</v>
      </c>
      <c r="AI722" s="53">
        <v>0</v>
      </c>
      <c r="AJ722" s="53">
        <v>0</v>
      </c>
      <c r="AK722" s="53">
        <v>0</v>
      </c>
      <c r="AL722" s="53">
        <v>0</v>
      </c>
      <c r="AM722" s="53" t="str">
        <f>I722-J722-K722-L722-M722-N722-O722-P722-Q722-R722-S722-T722-U722-V722-W722-X722-Y722-Z722-AA722-AB722-AC722-AD722-AE722-AF722-AG722+AH722-AI722+AJ722+AK722-AL722</f>
        <v>0</v>
      </c>
      <c r="AN722" s="53"/>
      <c r="AO722" s="27"/>
    </row>
    <row r="723" spans="1:41">
      <c r="A723" s="44">
        <v>695</v>
      </c>
      <c r="B723" s="46" t="s">
        <v>2849</v>
      </c>
      <c r="C723" s="48" t="s">
        <v>2850</v>
      </c>
      <c r="D723" s="51" t="s">
        <v>73</v>
      </c>
      <c r="E723" s="51" t="s">
        <v>2758</v>
      </c>
      <c r="F723" s="54" t="s">
        <v>2851</v>
      </c>
      <c r="G723" s="50">
        <v>8</v>
      </c>
      <c r="H723" s="51" t="s">
        <v>2852</v>
      </c>
      <c r="I723" s="53">
        <v>2445000</v>
      </c>
      <c r="J723" s="53">
        <v>0</v>
      </c>
      <c r="K723" s="53">
        <v>39000</v>
      </c>
      <c r="L723" s="53">
        <v>0</v>
      </c>
      <c r="M723" s="53">
        <v>0</v>
      </c>
      <c r="N723" s="53">
        <v>0</v>
      </c>
      <c r="O723" s="53">
        <v>0</v>
      </c>
      <c r="P723" s="53">
        <v>0</v>
      </c>
      <c r="Q723" s="53">
        <v>0</v>
      </c>
      <c r="R723" s="53">
        <v>0</v>
      </c>
      <c r="S723" s="53">
        <v>0</v>
      </c>
      <c r="T723" s="53">
        <v>0</v>
      </c>
      <c r="U723" s="53">
        <v>1950</v>
      </c>
      <c r="V723" s="53">
        <v>0</v>
      </c>
      <c r="W723" s="53">
        <v>0</v>
      </c>
      <c r="X723" s="53">
        <v>0</v>
      </c>
      <c r="Y723" s="53">
        <v>0</v>
      </c>
      <c r="Z723" s="53">
        <v>0</v>
      </c>
      <c r="AA723" s="53">
        <v>0</v>
      </c>
      <c r="AB723" s="53">
        <v>0</v>
      </c>
      <c r="AC723" s="53">
        <v>0</v>
      </c>
      <c r="AD723" s="53">
        <v>0</v>
      </c>
      <c r="AE723" s="53">
        <v>0</v>
      </c>
      <c r="AF723" s="53">
        <v>0</v>
      </c>
      <c r="AG723" s="53">
        <v>0</v>
      </c>
      <c r="AH723" s="53">
        <v>0</v>
      </c>
      <c r="AI723" s="53">
        <v>0</v>
      </c>
      <c r="AJ723" s="53">
        <v>0</v>
      </c>
      <c r="AK723" s="53">
        <v>0</v>
      </c>
      <c r="AL723" s="53">
        <v>0</v>
      </c>
      <c r="AM723" s="53" t="str">
        <f>I723-J723-K723-L723-M723-N723-O723-P723-Q723-R723-S723-T723-U723-V723-W723-X723-Y723-Z723-AA723-AB723-AC723-AD723-AE723-AF723-AG723+AH723-AI723+AJ723+AK723-AL723</f>
        <v>0</v>
      </c>
      <c r="AN723" s="53"/>
      <c r="AO723" s="27"/>
    </row>
    <row r="724" spans="1:41">
      <c r="A724" s="44">
        <v>696</v>
      </c>
      <c r="B724" s="46" t="s">
        <v>2853</v>
      </c>
      <c r="C724" s="48" t="s">
        <v>2854</v>
      </c>
      <c r="D724" s="51" t="s">
        <v>73</v>
      </c>
      <c r="E724" s="51" t="s">
        <v>2758</v>
      </c>
      <c r="F724" s="54" t="s">
        <v>2855</v>
      </c>
      <c r="G724" s="50">
        <v>10</v>
      </c>
      <c r="H724" s="51" t="s">
        <v>2856</v>
      </c>
      <c r="I724" s="53">
        <v>1215000</v>
      </c>
      <c r="J724" s="53">
        <v>0</v>
      </c>
      <c r="K724" s="53">
        <v>49000</v>
      </c>
      <c r="L724" s="53">
        <v>0</v>
      </c>
      <c r="M724" s="53">
        <v>0</v>
      </c>
      <c r="N724" s="53">
        <v>0</v>
      </c>
      <c r="O724" s="53">
        <v>0</v>
      </c>
      <c r="P724" s="53">
        <v>0</v>
      </c>
      <c r="Q724" s="53">
        <v>0</v>
      </c>
      <c r="R724" s="53">
        <v>0</v>
      </c>
      <c r="S724" s="53">
        <v>0</v>
      </c>
      <c r="T724" s="53">
        <v>0</v>
      </c>
      <c r="U724" s="53">
        <v>2450</v>
      </c>
      <c r="V724" s="53">
        <v>0</v>
      </c>
      <c r="W724" s="53">
        <v>0</v>
      </c>
      <c r="X724" s="53">
        <v>0</v>
      </c>
      <c r="Y724" s="53">
        <v>0</v>
      </c>
      <c r="Z724" s="53">
        <v>0</v>
      </c>
      <c r="AA724" s="53">
        <v>0</v>
      </c>
      <c r="AB724" s="53">
        <v>0</v>
      </c>
      <c r="AC724" s="53">
        <v>0</v>
      </c>
      <c r="AD724" s="53">
        <v>0</v>
      </c>
      <c r="AE724" s="53">
        <v>0</v>
      </c>
      <c r="AF724" s="53">
        <v>0</v>
      </c>
      <c r="AG724" s="53">
        <v>0</v>
      </c>
      <c r="AH724" s="53">
        <v>0</v>
      </c>
      <c r="AI724" s="53">
        <v>0</v>
      </c>
      <c r="AJ724" s="53">
        <v>0</v>
      </c>
      <c r="AK724" s="53">
        <v>0</v>
      </c>
      <c r="AL724" s="53">
        <v>0</v>
      </c>
      <c r="AM724" s="53" t="str">
        <f>I724-J724-K724-L724-M724-N724-O724-P724-Q724-R724-S724-T724-U724-V724-W724-X724-Y724-Z724-AA724-AB724-AC724-AD724-AE724-AF724-AG724+AH724-AI724+AJ724+AK724-AL724</f>
        <v>0</v>
      </c>
      <c r="AN724" s="53"/>
      <c r="AO724" s="27"/>
    </row>
    <row r="725" spans="1:41">
      <c r="A725" s="44">
        <v>697</v>
      </c>
      <c r="B725" s="46" t="s">
        <v>2857</v>
      </c>
      <c r="C725" s="48" t="s">
        <v>2858</v>
      </c>
      <c r="D725" s="51" t="s">
        <v>73</v>
      </c>
      <c r="E725" s="51" t="s">
        <v>2758</v>
      </c>
      <c r="F725" s="54" t="s">
        <v>2859</v>
      </c>
      <c r="G725" s="50">
        <v>4</v>
      </c>
      <c r="H725" s="51" t="s">
        <v>2860</v>
      </c>
      <c r="I725" s="53">
        <v>462500</v>
      </c>
      <c r="J725" s="53">
        <v>0</v>
      </c>
      <c r="K725" s="53">
        <v>25000</v>
      </c>
      <c r="L725" s="53">
        <v>0</v>
      </c>
      <c r="M725" s="53">
        <v>0</v>
      </c>
      <c r="N725" s="53">
        <v>0</v>
      </c>
      <c r="O725" s="53">
        <v>0</v>
      </c>
      <c r="P725" s="53">
        <v>0</v>
      </c>
      <c r="Q725" s="53">
        <v>0</v>
      </c>
      <c r="R725" s="53">
        <v>0</v>
      </c>
      <c r="S725" s="53">
        <v>0</v>
      </c>
      <c r="T725" s="53">
        <v>0</v>
      </c>
      <c r="U725" s="53">
        <v>1250</v>
      </c>
      <c r="V725" s="53">
        <v>0</v>
      </c>
      <c r="W725" s="53">
        <v>0</v>
      </c>
      <c r="X725" s="53">
        <v>0</v>
      </c>
      <c r="Y725" s="53">
        <v>0</v>
      </c>
      <c r="Z725" s="53">
        <v>0</v>
      </c>
      <c r="AA725" s="53">
        <v>0</v>
      </c>
      <c r="AB725" s="53">
        <v>0</v>
      </c>
      <c r="AC725" s="53">
        <v>0</v>
      </c>
      <c r="AD725" s="53">
        <v>0</v>
      </c>
      <c r="AE725" s="53">
        <v>0</v>
      </c>
      <c r="AF725" s="53">
        <v>0</v>
      </c>
      <c r="AG725" s="53">
        <v>0</v>
      </c>
      <c r="AH725" s="53">
        <v>0</v>
      </c>
      <c r="AI725" s="53">
        <v>0</v>
      </c>
      <c r="AJ725" s="53">
        <v>0</v>
      </c>
      <c r="AK725" s="53">
        <v>0</v>
      </c>
      <c r="AL725" s="53">
        <v>0</v>
      </c>
      <c r="AM725" s="53" t="str">
        <f>I725-J725-K725-L725-M725-N725-O725-P725-Q725-R725-S725-T725-U725-V725-W725-X725-Y725-Z725-AA725-AB725-AC725-AD725-AE725-AF725-AG725+AH725-AI725+AJ725+AK725-AL725</f>
        <v>0</v>
      </c>
      <c r="AN725" s="53"/>
      <c r="AO725" s="27"/>
    </row>
    <row r="726" spans="1:41">
      <c r="A726" s="44">
        <v>698</v>
      </c>
      <c r="B726" s="46" t="s">
        <v>2861</v>
      </c>
      <c r="C726" s="48" t="s">
        <v>2862</v>
      </c>
      <c r="D726" s="51" t="s">
        <v>73</v>
      </c>
      <c r="E726" s="51" t="s">
        <v>2863</v>
      </c>
      <c r="F726" s="54" t="s">
        <v>2864</v>
      </c>
      <c r="G726" s="50">
        <v>5</v>
      </c>
      <c r="H726" s="51" t="s">
        <v>2865</v>
      </c>
      <c r="I726" s="53">
        <v>926000</v>
      </c>
      <c r="J726" s="53">
        <v>0</v>
      </c>
      <c r="K726" s="53">
        <v>27000</v>
      </c>
      <c r="L726" s="53">
        <v>0</v>
      </c>
      <c r="M726" s="53">
        <v>0</v>
      </c>
      <c r="N726" s="53">
        <v>0</v>
      </c>
      <c r="O726" s="53">
        <v>0</v>
      </c>
      <c r="P726" s="53">
        <v>0</v>
      </c>
      <c r="Q726" s="53">
        <v>0</v>
      </c>
      <c r="R726" s="53">
        <v>0</v>
      </c>
      <c r="S726" s="53">
        <v>0</v>
      </c>
      <c r="T726" s="53">
        <v>0</v>
      </c>
      <c r="U726" s="53">
        <v>1350</v>
      </c>
      <c r="V726" s="53">
        <v>0</v>
      </c>
      <c r="W726" s="53">
        <v>0</v>
      </c>
      <c r="X726" s="53">
        <v>0</v>
      </c>
      <c r="Y726" s="53">
        <v>0</v>
      </c>
      <c r="Z726" s="53">
        <v>0</v>
      </c>
      <c r="AA726" s="53">
        <v>0</v>
      </c>
      <c r="AB726" s="53">
        <v>0</v>
      </c>
      <c r="AC726" s="53">
        <v>0</v>
      </c>
      <c r="AD726" s="53">
        <v>0</v>
      </c>
      <c r="AE726" s="53">
        <v>0</v>
      </c>
      <c r="AF726" s="53">
        <v>0</v>
      </c>
      <c r="AG726" s="53">
        <v>0</v>
      </c>
      <c r="AH726" s="53">
        <v>0</v>
      </c>
      <c r="AI726" s="53">
        <v>0</v>
      </c>
      <c r="AJ726" s="53">
        <v>0</v>
      </c>
      <c r="AK726" s="53">
        <v>0</v>
      </c>
      <c r="AL726" s="53">
        <v>0</v>
      </c>
      <c r="AM726" s="53" t="str">
        <f>I726-J726-K726-L726-M726-N726-O726-P726-Q726-R726-S726-T726-U726-V726-W726-X726-Y726-Z726-AA726-AB726-AC726-AD726-AE726-AF726-AG726+AH726-AI726+AJ726+AK726-AL726</f>
        <v>0</v>
      </c>
      <c r="AN726" s="53"/>
      <c r="AO726" s="27"/>
    </row>
    <row r="727" spans="1:41">
      <c r="A727" s="44">
        <v>699</v>
      </c>
      <c r="B727" s="46" t="s">
        <v>2866</v>
      </c>
      <c r="C727" s="48" t="s">
        <v>2867</v>
      </c>
      <c r="D727" s="51" t="s">
        <v>73</v>
      </c>
      <c r="E727" s="51" t="s">
        <v>2863</v>
      </c>
      <c r="F727" s="54" t="s">
        <v>2868</v>
      </c>
      <c r="G727" s="50">
        <v>6</v>
      </c>
      <c r="H727" s="51" t="s">
        <v>2869</v>
      </c>
      <c r="I727" s="53">
        <v>1440000</v>
      </c>
      <c r="J727" s="53">
        <v>0</v>
      </c>
      <c r="K727" s="53">
        <v>31000</v>
      </c>
      <c r="L727" s="53">
        <v>0</v>
      </c>
      <c r="M727" s="53">
        <v>0</v>
      </c>
      <c r="N727" s="53">
        <v>0</v>
      </c>
      <c r="O727" s="53">
        <v>0</v>
      </c>
      <c r="P727" s="53">
        <v>0</v>
      </c>
      <c r="Q727" s="53">
        <v>0</v>
      </c>
      <c r="R727" s="53">
        <v>0</v>
      </c>
      <c r="S727" s="53">
        <v>0</v>
      </c>
      <c r="T727" s="53">
        <v>0</v>
      </c>
      <c r="U727" s="53">
        <v>1550</v>
      </c>
      <c r="V727" s="53">
        <v>0</v>
      </c>
      <c r="W727" s="53">
        <v>0</v>
      </c>
      <c r="X727" s="53">
        <v>0</v>
      </c>
      <c r="Y727" s="53">
        <v>0</v>
      </c>
      <c r="Z727" s="53">
        <v>0</v>
      </c>
      <c r="AA727" s="53">
        <v>0</v>
      </c>
      <c r="AB727" s="53">
        <v>0</v>
      </c>
      <c r="AC727" s="53">
        <v>0</v>
      </c>
      <c r="AD727" s="53">
        <v>0</v>
      </c>
      <c r="AE727" s="53">
        <v>0</v>
      </c>
      <c r="AF727" s="53">
        <v>0</v>
      </c>
      <c r="AG727" s="53">
        <v>0</v>
      </c>
      <c r="AH727" s="53">
        <v>0</v>
      </c>
      <c r="AI727" s="53">
        <v>0</v>
      </c>
      <c r="AJ727" s="53">
        <v>0</v>
      </c>
      <c r="AK727" s="53">
        <v>0</v>
      </c>
      <c r="AL727" s="53">
        <v>0</v>
      </c>
      <c r="AM727" s="53" t="str">
        <f>I727-J727-K727-L727-M727-N727-O727-P727-Q727-R727-S727-T727-U727-V727-W727-X727-Y727-Z727-AA727-AB727-AC727-AD727-AE727-AF727-AG727+AH727-AI727+AJ727+AK727-AL727</f>
        <v>0</v>
      </c>
      <c r="AN727" s="53"/>
      <c r="AO727" s="27"/>
    </row>
    <row r="728" spans="1:41">
      <c r="A728" s="44">
        <v>700</v>
      </c>
      <c r="B728" s="46" t="s">
        <v>2870</v>
      </c>
      <c r="C728" s="48" t="s">
        <v>2871</v>
      </c>
      <c r="D728" s="51" t="s">
        <v>73</v>
      </c>
      <c r="E728" s="51" t="s">
        <v>2863</v>
      </c>
      <c r="F728" s="54" t="s">
        <v>2872</v>
      </c>
      <c r="G728" s="50">
        <v>5</v>
      </c>
      <c r="H728" s="51" t="s">
        <v>2873</v>
      </c>
      <c r="I728" s="53">
        <v>926000</v>
      </c>
      <c r="J728" s="53">
        <v>0</v>
      </c>
      <c r="K728" s="53">
        <v>27000</v>
      </c>
      <c r="L728" s="53">
        <v>0</v>
      </c>
      <c r="M728" s="53">
        <v>0</v>
      </c>
      <c r="N728" s="53">
        <v>0</v>
      </c>
      <c r="O728" s="53">
        <v>0</v>
      </c>
      <c r="P728" s="53">
        <v>0</v>
      </c>
      <c r="Q728" s="53">
        <v>0</v>
      </c>
      <c r="R728" s="53">
        <v>0</v>
      </c>
      <c r="S728" s="53">
        <v>0</v>
      </c>
      <c r="T728" s="53">
        <v>0</v>
      </c>
      <c r="U728" s="53">
        <v>1350</v>
      </c>
      <c r="V728" s="53">
        <v>0</v>
      </c>
      <c r="W728" s="53">
        <v>0</v>
      </c>
      <c r="X728" s="53">
        <v>0</v>
      </c>
      <c r="Y728" s="53">
        <v>0</v>
      </c>
      <c r="Z728" s="53">
        <v>0</v>
      </c>
      <c r="AA728" s="53">
        <v>0</v>
      </c>
      <c r="AB728" s="53">
        <v>0</v>
      </c>
      <c r="AC728" s="53">
        <v>0</v>
      </c>
      <c r="AD728" s="53">
        <v>0</v>
      </c>
      <c r="AE728" s="53">
        <v>0</v>
      </c>
      <c r="AF728" s="53">
        <v>0</v>
      </c>
      <c r="AG728" s="53">
        <v>0</v>
      </c>
      <c r="AH728" s="53">
        <v>0</v>
      </c>
      <c r="AI728" s="53">
        <v>0</v>
      </c>
      <c r="AJ728" s="53">
        <v>0</v>
      </c>
      <c r="AK728" s="53">
        <v>0</v>
      </c>
      <c r="AL728" s="53">
        <v>0</v>
      </c>
      <c r="AM728" s="53" t="str">
        <f>I728-J728-K728-L728-M728-N728-O728-P728-Q728-R728-S728-T728-U728-V728-W728-X728-Y728-Z728-AA728-AB728-AC728-AD728-AE728-AF728-AG728+AH728-AI728+AJ728+AK728-AL728</f>
        <v>0</v>
      </c>
      <c r="AN728" s="53"/>
      <c r="AO728" s="27"/>
    </row>
    <row r="729" spans="1:41">
      <c r="A729" s="44">
        <v>701</v>
      </c>
      <c r="B729" s="46" t="s">
        <v>2874</v>
      </c>
      <c r="C729" s="48" t="s">
        <v>2875</v>
      </c>
      <c r="D729" s="51" t="s">
        <v>73</v>
      </c>
      <c r="E729" s="51" t="s">
        <v>2863</v>
      </c>
      <c r="F729" s="54" t="s">
        <v>2765</v>
      </c>
      <c r="G729" s="50">
        <v>5.8</v>
      </c>
      <c r="H729" s="51" t="s">
        <v>2876</v>
      </c>
      <c r="I729" s="53">
        <v>574100</v>
      </c>
      <c r="J729" s="53">
        <v>0</v>
      </c>
      <c r="K729" s="53">
        <v>31000</v>
      </c>
      <c r="L729" s="53">
        <v>0</v>
      </c>
      <c r="M729" s="53">
        <v>0</v>
      </c>
      <c r="N729" s="53">
        <v>0</v>
      </c>
      <c r="O729" s="53">
        <v>0</v>
      </c>
      <c r="P729" s="53">
        <v>0</v>
      </c>
      <c r="Q729" s="53">
        <v>0</v>
      </c>
      <c r="R729" s="53">
        <v>0</v>
      </c>
      <c r="S729" s="53">
        <v>0</v>
      </c>
      <c r="T729" s="53">
        <v>0</v>
      </c>
      <c r="U729" s="53">
        <v>1550</v>
      </c>
      <c r="V729" s="53">
        <v>0</v>
      </c>
      <c r="W729" s="53">
        <v>0</v>
      </c>
      <c r="X729" s="53">
        <v>0</v>
      </c>
      <c r="Y729" s="53">
        <v>0</v>
      </c>
      <c r="Z729" s="53">
        <v>0</v>
      </c>
      <c r="AA729" s="53">
        <v>0</v>
      </c>
      <c r="AB729" s="53">
        <v>0</v>
      </c>
      <c r="AC729" s="53">
        <v>0</v>
      </c>
      <c r="AD729" s="53">
        <v>0</v>
      </c>
      <c r="AE729" s="53">
        <v>0</v>
      </c>
      <c r="AF729" s="53">
        <v>0</v>
      </c>
      <c r="AG729" s="53">
        <v>0</v>
      </c>
      <c r="AH729" s="53">
        <v>0</v>
      </c>
      <c r="AI729" s="53">
        <v>0</v>
      </c>
      <c r="AJ729" s="53">
        <v>0</v>
      </c>
      <c r="AK729" s="53">
        <v>0</v>
      </c>
      <c r="AL729" s="53">
        <v>0</v>
      </c>
      <c r="AM729" s="53" t="str">
        <f>I729-J729-K729-L729-M729-N729-O729-P729-Q729-R729-S729-T729-U729-V729-W729-X729-Y729-Z729-AA729-AB729-AC729-AD729-AE729-AF729-AG729+AH729-AI729+AJ729+AK729-AL729</f>
        <v>0</v>
      </c>
      <c r="AN729" s="53"/>
      <c r="AO729" s="27"/>
    </row>
    <row r="730" spans="1:41">
      <c r="A730" s="44">
        <v>702</v>
      </c>
      <c r="B730" s="46" t="s">
        <v>2877</v>
      </c>
      <c r="C730" s="48" t="s">
        <v>2878</v>
      </c>
      <c r="D730" s="51" t="s">
        <v>73</v>
      </c>
      <c r="E730" s="51" t="s">
        <v>2863</v>
      </c>
      <c r="F730" s="54" t="s">
        <v>1015</v>
      </c>
      <c r="G730" s="50">
        <v>2</v>
      </c>
      <c r="H730" s="51" t="s">
        <v>2879</v>
      </c>
      <c r="I730" s="53">
        <v>255500</v>
      </c>
      <c r="J730" s="53">
        <v>0</v>
      </c>
      <c r="K730" s="53">
        <v>22000</v>
      </c>
      <c r="L730" s="53">
        <v>0</v>
      </c>
      <c r="M730" s="53">
        <v>0</v>
      </c>
      <c r="N730" s="53">
        <v>0</v>
      </c>
      <c r="O730" s="53">
        <v>0</v>
      </c>
      <c r="P730" s="53">
        <v>0</v>
      </c>
      <c r="Q730" s="53">
        <v>0</v>
      </c>
      <c r="R730" s="53">
        <v>0</v>
      </c>
      <c r="S730" s="53">
        <v>0</v>
      </c>
      <c r="T730" s="53">
        <v>0</v>
      </c>
      <c r="U730" s="53">
        <v>1100</v>
      </c>
      <c r="V730" s="53">
        <v>0</v>
      </c>
      <c r="W730" s="53">
        <v>0</v>
      </c>
      <c r="X730" s="53">
        <v>0</v>
      </c>
      <c r="Y730" s="53">
        <v>0</v>
      </c>
      <c r="Z730" s="53">
        <v>0</v>
      </c>
      <c r="AA730" s="53">
        <v>0</v>
      </c>
      <c r="AB730" s="53">
        <v>0</v>
      </c>
      <c r="AC730" s="53">
        <v>0</v>
      </c>
      <c r="AD730" s="53">
        <v>0</v>
      </c>
      <c r="AE730" s="53">
        <v>0</v>
      </c>
      <c r="AF730" s="53">
        <v>0</v>
      </c>
      <c r="AG730" s="53">
        <v>0</v>
      </c>
      <c r="AH730" s="53">
        <v>0</v>
      </c>
      <c r="AI730" s="53">
        <v>0</v>
      </c>
      <c r="AJ730" s="53">
        <v>0</v>
      </c>
      <c r="AK730" s="53">
        <v>0</v>
      </c>
      <c r="AL730" s="53">
        <v>0</v>
      </c>
      <c r="AM730" s="53" t="str">
        <f>I730-J730-K730-L730-M730-N730-O730-P730-Q730-R730-S730-T730-U730-V730-W730-X730-Y730-Z730-AA730-AB730-AC730-AD730-AE730-AF730-AG730+AH730-AI730+AJ730+AK730-AL730</f>
        <v>0</v>
      </c>
      <c r="AN730" s="53"/>
      <c r="AO730" s="27"/>
    </row>
    <row r="731" spans="1:41">
      <c r="A731" s="44">
        <v>703</v>
      </c>
      <c r="B731" s="46" t="s">
        <v>2880</v>
      </c>
      <c r="C731" s="48" t="s">
        <v>2881</v>
      </c>
      <c r="D731" s="51" t="s">
        <v>73</v>
      </c>
      <c r="E731" s="51" t="s">
        <v>2863</v>
      </c>
      <c r="F731" s="54" t="s">
        <v>2882</v>
      </c>
      <c r="G731" s="50">
        <v>5</v>
      </c>
      <c r="H731" s="51" t="s">
        <v>2883</v>
      </c>
      <c r="I731" s="53">
        <v>1485000</v>
      </c>
      <c r="J731" s="53">
        <v>0</v>
      </c>
      <c r="K731" s="53">
        <v>27000</v>
      </c>
      <c r="L731" s="53">
        <v>0</v>
      </c>
      <c r="M731" s="53">
        <v>0</v>
      </c>
      <c r="N731" s="53">
        <v>0</v>
      </c>
      <c r="O731" s="53">
        <v>0</v>
      </c>
      <c r="P731" s="53">
        <v>0</v>
      </c>
      <c r="Q731" s="53">
        <v>0</v>
      </c>
      <c r="R731" s="53">
        <v>0</v>
      </c>
      <c r="S731" s="53">
        <v>0</v>
      </c>
      <c r="T731" s="53">
        <v>0</v>
      </c>
      <c r="U731" s="53">
        <v>1350</v>
      </c>
      <c r="V731" s="53">
        <v>0</v>
      </c>
      <c r="W731" s="53">
        <v>0</v>
      </c>
      <c r="X731" s="53">
        <v>0</v>
      </c>
      <c r="Y731" s="53">
        <v>0</v>
      </c>
      <c r="Z731" s="53">
        <v>0</v>
      </c>
      <c r="AA731" s="53">
        <v>0</v>
      </c>
      <c r="AB731" s="53">
        <v>0</v>
      </c>
      <c r="AC731" s="53">
        <v>0</v>
      </c>
      <c r="AD731" s="53">
        <v>0</v>
      </c>
      <c r="AE731" s="53">
        <v>0</v>
      </c>
      <c r="AF731" s="53">
        <v>0</v>
      </c>
      <c r="AG731" s="53">
        <v>0</v>
      </c>
      <c r="AH731" s="53">
        <v>0</v>
      </c>
      <c r="AI731" s="53">
        <v>0</v>
      </c>
      <c r="AJ731" s="53">
        <v>0</v>
      </c>
      <c r="AK731" s="53">
        <v>0</v>
      </c>
      <c r="AL731" s="53">
        <v>0</v>
      </c>
      <c r="AM731" s="53" t="str">
        <f>I731-J731-K731-L731-M731-N731-O731-P731-Q731-R731-S731-T731-U731-V731-W731-X731-Y731-Z731-AA731-AB731-AC731-AD731-AE731-AF731-AG731+AH731-AI731+AJ731+AK731-AL731</f>
        <v>0</v>
      </c>
      <c r="AN731" s="53"/>
      <c r="AO731" s="27"/>
    </row>
    <row r="732" spans="1:41">
      <c r="A732" s="44">
        <v>704</v>
      </c>
      <c r="B732" s="46" t="s">
        <v>2884</v>
      </c>
      <c r="C732" s="48" t="s">
        <v>2885</v>
      </c>
      <c r="D732" s="51" t="s">
        <v>73</v>
      </c>
      <c r="E732" s="51" t="s">
        <v>2863</v>
      </c>
      <c r="F732" s="54" t="s">
        <v>2886</v>
      </c>
      <c r="G732" s="50">
        <v>5.8</v>
      </c>
      <c r="H732" s="51" t="s">
        <v>2887</v>
      </c>
      <c r="I732" s="53">
        <v>574100</v>
      </c>
      <c r="J732" s="53">
        <v>0</v>
      </c>
      <c r="K732" s="53">
        <v>31000</v>
      </c>
      <c r="L732" s="53">
        <v>0</v>
      </c>
      <c r="M732" s="53">
        <v>0</v>
      </c>
      <c r="N732" s="53">
        <v>0</v>
      </c>
      <c r="O732" s="53">
        <v>0</v>
      </c>
      <c r="P732" s="53">
        <v>0</v>
      </c>
      <c r="Q732" s="53">
        <v>0</v>
      </c>
      <c r="R732" s="53">
        <v>0</v>
      </c>
      <c r="S732" s="53">
        <v>0</v>
      </c>
      <c r="T732" s="53">
        <v>0</v>
      </c>
      <c r="U732" s="53">
        <v>1550</v>
      </c>
      <c r="V732" s="53">
        <v>0</v>
      </c>
      <c r="W732" s="53">
        <v>0</v>
      </c>
      <c r="X732" s="53">
        <v>0</v>
      </c>
      <c r="Y732" s="53">
        <v>0</v>
      </c>
      <c r="Z732" s="53">
        <v>0</v>
      </c>
      <c r="AA732" s="53">
        <v>0</v>
      </c>
      <c r="AB732" s="53">
        <v>0</v>
      </c>
      <c r="AC732" s="53">
        <v>0</v>
      </c>
      <c r="AD732" s="53">
        <v>0</v>
      </c>
      <c r="AE732" s="53">
        <v>0</v>
      </c>
      <c r="AF732" s="53">
        <v>0</v>
      </c>
      <c r="AG732" s="53">
        <v>0</v>
      </c>
      <c r="AH732" s="53">
        <v>0</v>
      </c>
      <c r="AI732" s="53">
        <v>0</v>
      </c>
      <c r="AJ732" s="53">
        <v>0</v>
      </c>
      <c r="AK732" s="53">
        <v>0</v>
      </c>
      <c r="AL732" s="53">
        <v>0</v>
      </c>
      <c r="AM732" s="53" t="str">
        <f>I732-J732-K732-L732-M732-N732-O732-P732-Q732-R732-S732-T732-U732-V732-W732-X732-Y732-Z732-AA732-AB732-AC732-AD732-AE732-AF732-AG732+AH732-AI732+AJ732+AK732-AL732</f>
        <v>0</v>
      </c>
      <c r="AN732" s="53"/>
      <c r="AO732" s="27"/>
    </row>
    <row r="733" spans="1:41">
      <c r="A733" s="44">
        <v>705</v>
      </c>
      <c r="B733" s="46" t="s">
        <v>2888</v>
      </c>
      <c r="C733" s="48" t="s">
        <v>2889</v>
      </c>
      <c r="D733" s="51" t="s">
        <v>73</v>
      </c>
      <c r="E733" s="51" t="s">
        <v>2863</v>
      </c>
      <c r="F733" s="54" t="s">
        <v>2890</v>
      </c>
      <c r="G733" s="50">
        <v>2</v>
      </c>
      <c r="H733" s="51" t="s">
        <v>2891</v>
      </c>
      <c r="I733" s="53">
        <v>354000</v>
      </c>
      <c r="J733" s="53">
        <v>0</v>
      </c>
      <c r="K733" s="53">
        <v>22000</v>
      </c>
      <c r="L733" s="53">
        <v>0</v>
      </c>
      <c r="M733" s="53">
        <v>0</v>
      </c>
      <c r="N733" s="53">
        <v>0</v>
      </c>
      <c r="O733" s="53">
        <v>0</v>
      </c>
      <c r="P733" s="53">
        <v>0</v>
      </c>
      <c r="Q733" s="53">
        <v>0</v>
      </c>
      <c r="R733" s="53">
        <v>0</v>
      </c>
      <c r="S733" s="53">
        <v>0</v>
      </c>
      <c r="T733" s="53">
        <v>0</v>
      </c>
      <c r="U733" s="53">
        <v>1100</v>
      </c>
      <c r="V733" s="53">
        <v>0</v>
      </c>
      <c r="W733" s="53">
        <v>0</v>
      </c>
      <c r="X733" s="53">
        <v>0</v>
      </c>
      <c r="Y733" s="53">
        <v>0</v>
      </c>
      <c r="Z733" s="53">
        <v>0</v>
      </c>
      <c r="AA733" s="53">
        <v>0</v>
      </c>
      <c r="AB733" s="53">
        <v>0</v>
      </c>
      <c r="AC733" s="53">
        <v>0</v>
      </c>
      <c r="AD733" s="53">
        <v>0</v>
      </c>
      <c r="AE733" s="53">
        <v>0</v>
      </c>
      <c r="AF733" s="53">
        <v>0</v>
      </c>
      <c r="AG733" s="53">
        <v>0</v>
      </c>
      <c r="AH733" s="53">
        <v>0</v>
      </c>
      <c r="AI733" s="53">
        <v>0</v>
      </c>
      <c r="AJ733" s="53">
        <v>0</v>
      </c>
      <c r="AK733" s="53">
        <v>0</v>
      </c>
      <c r="AL733" s="53">
        <v>0</v>
      </c>
      <c r="AM733" s="53" t="str">
        <f>I733-J733-K733-L733-M733-N733-O733-P733-Q733-R733-S733-T733-U733-V733-W733-X733-Y733-Z733-AA733-AB733-AC733-AD733-AE733-AF733-AG733+AH733-AI733+AJ733+AK733-AL733</f>
        <v>0</v>
      </c>
      <c r="AN733" s="53"/>
      <c r="AO733" s="27"/>
    </row>
    <row r="734" spans="1:41">
      <c r="A734" s="44">
        <v>706</v>
      </c>
      <c r="B734" s="46" t="s">
        <v>2892</v>
      </c>
      <c r="C734" s="48" t="s">
        <v>2893</v>
      </c>
      <c r="D734" s="51" t="s">
        <v>73</v>
      </c>
      <c r="E734" s="51" t="s">
        <v>2894</v>
      </c>
      <c r="F734" s="54" t="s">
        <v>1626</v>
      </c>
      <c r="G734" s="50">
        <v>5.8</v>
      </c>
      <c r="H734" s="51" t="s">
        <v>2895</v>
      </c>
      <c r="I734" s="53">
        <v>634000</v>
      </c>
      <c r="J734" s="53">
        <v>0</v>
      </c>
      <c r="K734" s="53">
        <v>31000</v>
      </c>
      <c r="L734" s="53">
        <v>0</v>
      </c>
      <c r="M734" s="53">
        <v>0</v>
      </c>
      <c r="N734" s="53">
        <v>0</v>
      </c>
      <c r="O734" s="53">
        <v>0</v>
      </c>
      <c r="P734" s="53">
        <v>0</v>
      </c>
      <c r="Q734" s="53">
        <v>0</v>
      </c>
      <c r="R734" s="53">
        <v>0</v>
      </c>
      <c r="S734" s="53">
        <v>0</v>
      </c>
      <c r="T734" s="53">
        <v>0</v>
      </c>
      <c r="U734" s="53">
        <v>1550</v>
      </c>
      <c r="V734" s="53">
        <v>0</v>
      </c>
      <c r="W734" s="53">
        <v>0</v>
      </c>
      <c r="X734" s="53">
        <v>0</v>
      </c>
      <c r="Y734" s="53">
        <v>0</v>
      </c>
      <c r="Z734" s="53">
        <v>0</v>
      </c>
      <c r="AA734" s="53">
        <v>0</v>
      </c>
      <c r="AB734" s="53">
        <v>0</v>
      </c>
      <c r="AC734" s="53">
        <v>0</v>
      </c>
      <c r="AD734" s="53">
        <v>0</v>
      </c>
      <c r="AE734" s="53">
        <v>0</v>
      </c>
      <c r="AF734" s="53">
        <v>0</v>
      </c>
      <c r="AG734" s="53">
        <v>0</v>
      </c>
      <c r="AH734" s="53">
        <v>0</v>
      </c>
      <c r="AI734" s="53">
        <v>0</v>
      </c>
      <c r="AJ734" s="53">
        <v>0</v>
      </c>
      <c r="AK734" s="53">
        <v>0</v>
      </c>
      <c r="AL734" s="53">
        <v>0</v>
      </c>
      <c r="AM734" s="53" t="str">
        <f>I734-J734-K734-L734-M734-N734-O734-P734-Q734-R734-S734-T734-U734-V734-W734-X734-Y734-Z734-AA734-AB734-AC734-AD734-AE734-AF734-AG734+AH734-AI734+AJ734+AK734-AL734</f>
        <v>0</v>
      </c>
      <c r="AN734" s="53"/>
      <c r="AO734" s="27"/>
    </row>
    <row r="735" spans="1:41">
      <c r="A735" s="44">
        <v>707</v>
      </c>
      <c r="B735" s="46" t="s">
        <v>2896</v>
      </c>
      <c r="C735" s="48" t="s">
        <v>2897</v>
      </c>
      <c r="D735" s="51" t="s">
        <v>73</v>
      </c>
      <c r="E735" s="51" t="s">
        <v>2894</v>
      </c>
      <c r="F735" s="54" t="s">
        <v>2898</v>
      </c>
      <c r="G735" s="50">
        <v>5</v>
      </c>
      <c r="H735" s="51" t="s">
        <v>2899</v>
      </c>
      <c r="I735" s="53">
        <v>926000</v>
      </c>
      <c r="J735" s="53">
        <v>0</v>
      </c>
      <c r="K735" s="53">
        <v>27000</v>
      </c>
      <c r="L735" s="53">
        <v>0</v>
      </c>
      <c r="M735" s="53">
        <v>0</v>
      </c>
      <c r="N735" s="53">
        <v>0</v>
      </c>
      <c r="O735" s="53">
        <v>0</v>
      </c>
      <c r="P735" s="53">
        <v>0</v>
      </c>
      <c r="Q735" s="53">
        <v>0</v>
      </c>
      <c r="R735" s="53">
        <v>0</v>
      </c>
      <c r="S735" s="53">
        <v>0</v>
      </c>
      <c r="T735" s="53">
        <v>0</v>
      </c>
      <c r="U735" s="53">
        <v>1350</v>
      </c>
      <c r="V735" s="53">
        <v>0</v>
      </c>
      <c r="W735" s="53">
        <v>0</v>
      </c>
      <c r="X735" s="53">
        <v>0</v>
      </c>
      <c r="Y735" s="53">
        <v>0</v>
      </c>
      <c r="Z735" s="53">
        <v>0</v>
      </c>
      <c r="AA735" s="53">
        <v>0</v>
      </c>
      <c r="AB735" s="53">
        <v>0</v>
      </c>
      <c r="AC735" s="53">
        <v>0</v>
      </c>
      <c r="AD735" s="53">
        <v>0</v>
      </c>
      <c r="AE735" s="53">
        <v>0</v>
      </c>
      <c r="AF735" s="53">
        <v>0</v>
      </c>
      <c r="AG735" s="53">
        <v>0</v>
      </c>
      <c r="AH735" s="53">
        <v>0</v>
      </c>
      <c r="AI735" s="53">
        <v>0</v>
      </c>
      <c r="AJ735" s="53">
        <v>0</v>
      </c>
      <c r="AK735" s="53">
        <v>0</v>
      </c>
      <c r="AL735" s="53">
        <v>0</v>
      </c>
      <c r="AM735" s="53" t="str">
        <f>I735-J735-K735-L735-M735-N735-O735-P735-Q735-R735-S735-T735-U735-V735-W735-X735-Y735-Z735-AA735-AB735-AC735-AD735-AE735-AF735-AG735+AH735-AI735+AJ735+AK735-AL735</f>
        <v>0</v>
      </c>
      <c r="AN735" s="53"/>
      <c r="AO735" s="27"/>
    </row>
    <row r="736" spans="1:41">
      <c r="A736" s="44">
        <v>708</v>
      </c>
      <c r="B736" s="46" t="s">
        <v>2900</v>
      </c>
      <c r="C736" s="48" t="s">
        <v>2901</v>
      </c>
      <c r="D736" s="51" t="s">
        <v>73</v>
      </c>
      <c r="E736" s="51" t="s">
        <v>2902</v>
      </c>
      <c r="F736" s="54" t="s">
        <v>907</v>
      </c>
      <c r="G736" s="50">
        <v>2</v>
      </c>
      <c r="H736" s="51" t="s">
        <v>2903</v>
      </c>
      <c r="I736" s="53">
        <v>201500</v>
      </c>
      <c r="J736" s="53">
        <v>0</v>
      </c>
      <c r="K736" s="53">
        <v>22000</v>
      </c>
      <c r="L736" s="53">
        <v>0</v>
      </c>
      <c r="M736" s="53">
        <v>0</v>
      </c>
      <c r="N736" s="53">
        <v>0</v>
      </c>
      <c r="O736" s="53">
        <v>0</v>
      </c>
      <c r="P736" s="53">
        <v>0</v>
      </c>
      <c r="Q736" s="53">
        <v>0</v>
      </c>
      <c r="R736" s="53">
        <v>0</v>
      </c>
      <c r="S736" s="53">
        <v>0</v>
      </c>
      <c r="T736" s="53">
        <v>0</v>
      </c>
      <c r="U736" s="53">
        <v>1100</v>
      </c>
      <c r="V736" s="53">
        <v>0</v>
      </c>
      <c r="W736" s="53">
        <v>0</v>
      </c>
      <c r="X736" s="53">
        <v>0</v>
      </c>
      <c r="Y736" s="53">
        <v>0</v>
      </c>
      <c r="Z736" s="53">
        <v>0</v>
      </c>
      <c r="AA736" s="53">
        <v>0</v>
      </c>
      <c r="AB736" s="53">
        <v>0</v>
      </c>
      <c r="AC736" s="53">
        <v>0</v>
      </c>
      <c r="AD736" s="53">
        <v>0</v>
      </c>
      <c r="AE736" s="53">
        <v>0</v>
      </c>
      <c r="AF736" s="53">
        <v>0</v>
      </c>
      <c r="AG736" s="53">
        <v>0</v>
      </c>
      <c r="AH736" s="53">
        <v>0</v>
      </c>
      <c r="AI736" s="53">
        <v>0</v>
      </c>
      <c r="AJ736" s="53">
        <v>0</v>
      </c>
      <c r="AK736" s="53">
        <v>0</v>
      </c>
      <c r="AL736" s="53">
        <v>0</v>
      </c>
      <c r="AM736" s="53" t="str">
        <f>I736-J736-K736-L736-M736-N736-O736-P736-Q736-R736-S736-T736-U736-V736-W736-X736-Y736-Z736-AA736-AB736-AC736-AD736-AE736-AF736-AG736+AH736-AI736+AJ736+AK736-AL736</f>
        <v>0</v>
      </c>
      <c r="AN736" s="53"/>
      <c r="AO736" s="27"/>
    </row>
    <row r="737" spans="1:41">
      <c r="A737" s="44">
        <v>709</v>
      </c>
      <c r="B737" s="46" t="s">
        <v>2904</v>
      </c>
      <c r="C737" s="48" t="s">
        <v>2905</v>
      </c>
      <c r="D737" s="51" t="s">
        <v>73</v>
      </c>
      <c r="E737" s="51" t="s">
        <v>2902</v>
      </c>
      <c r="F737" s="54" t="s">
        <v>1084</v>
      </c>
      <c r="G737" s="50">
        <v>5</v>
      </c>
      <c r="H737" s="51" t="s">
        <v>2906</v>
      </c>
      <c r="I737" s="53">
        <v>926000</v>
      </c>
      <c r="J737" s="53">
        <v>0</v>
      </c>
      <c r="K737" s="53">
        <v>27000</v>
      </c>
      <c r="L737" s="53">
        <v>0</v>
      </c>
      <c r="M737" s="53">
        <v>0</v>
      </c>
      <c r="N737" s="53">
        <v>0</v>
      </c>
      <c r="O737" s="53">
        <v>0</v>
      </c>
      <c r="P737" s="53">
        <v>0</v>
      </c>
      <c r="Q737" s="53">
        <v>0</v>
      </c>
      <c r="R737" s="53">
        <v>0</v>
      </c>
      <c r="S737" s="53">
        <v>0</v>
      </c>
      <c r="T737" s="53">
        <v>0</v>
      </c>
      <c r="U737" s="53">
        <v>1350</v>
      </c>
      <c r="V737" s="53">
        <v>0</v>
      </c>
      <c r="W737" s="53">
        <v>0</v>
      </c>
      <c r="X737" s="53">
        <v>0</v>
      </c>
      <c r="Y737" s="53">
        <v>0</v>
      </c>
      <c r="Z737" s="53">
        <v>0</v>
      </c>
      <c r="AA737" s="53">
        <v>0</v>
      </c>
      <c r="AB737" s="53">
        <v>0</v>
      </c>
      <c r="AC737" s="53">
        <v>0</v>
      </c>
      <c r="AD737" s="53">
        <v>0</v>
      </c>
      <c r="AE737" s="53">
        <v>0</v>
      </c>
      <c r="AF737" s="53">
        <v>0</v>
      </c>
      <c r="AG737" s="53">
        <v>0</v>
      </c>
      <c r="AH737" s="53">
        <v>0</v>
      </c>
      <c r="AI737" s="53">
        <v>0</v>
      </c>
      <c r="AJ737" s="53">
        <v>0</v>
      </c>
      <c r="AK737" s="53">
        <v>0</v>
      </c>
      <c r="AL737" s="53">
        <v>0</v>
      </c>
      <c r="AM737" s="53" t="str">
        <f>I737-J737-K737-L737-M737-N737-O737-P737-Q737-R737-S737-T737-U737-V737-W737-X737-Y737-Z737-AA737-AB737-AC737-AD737-AE737-AF737-AG737+AH737-AI737+AJ737+AK737-AL737</f>
        <v>0</v>
      </c>
      <c r="AN737" s="53"/>
      <c r="AO737" s="27"/>
    </row>
    <row r="738" spans="1:41">
      <c r="A738" s="44">
        <v>710</v>
      </c>
      <c r="B738" s="46" t="s">
        <v>2907</v>
      </c>
      <c r="C738" s="48" t="s">
        <v>2908</v>
      </c>
      <c r="D738" s="51" t="s">
        <v>73</v>
      </c>
      <c r="E738" s="51" t="s">
        <v>2902</v>
      </c>
      <c r="F738" s="54" t="s">
        <v>509</v>
      </c>
      <c r="G738" s="50">
        <v>8.5</v>
      </c>
      <c r="H738" s="51" t="s">
        <v>2909</v>
      </c>
      <c r="I738" s="53">
        <v>1025000</v>
      </c>
      <c r="J738" s="53">
        <v>0</v>
      </c>
      <c r="K738" s="53">
        <v>44000</v>
      </c>
      <c r="L738" s="53">
        <v>0</v>
      </c>
      <c r="M738" s="53">
        <v>0</v>
      </c>
      <c r="N738" s="53">
        <v>0</v>
      </c>
      <c r="O738" s="53">
        <v>0</v>
      </c>
      <c r="P738" s="53">
        <v>0</v>
      </c>
      <c r="Q738" s="53">
        <v>0</v>
      </c>
      <c r="R738" s="53">
        <v>0</v>
      </c>
      <c r="S738" s="53">
        <v>0</v>
      </c>
      <c r="T738" s="53">
        <v>0</v>
      </c>
      <c r="U738" s="53">
        <v>2200</v>
      </c>
      <c r="V738" s="53">
        <v>0</v>
      </c>
      <c r="W738" s="53">
        <v>0</v>
      </c>
      <c r="X738" s="53">
        <v>0</v>
      </c>
      <c r="Y738" s="53">
        <v>0</v>
      </c>
      <c r="Z738" s="53">
        <v>0</v>
      </c>
      <c r="AA738" s="53">
        <v>0</v>
      </c>
      <c r="AB738" s="53">
        <v>0</v>
      </c>
      <c r="AC738" s="53">
        <v>0</v>
      </c>
      <c r="AD738" s="53">
        <v>0</v>
      </c>
      <c r="AE738" s="53">
        <v>0</v>
      </c>
      <c r="AF738" s="53">
        <v>0</v>
      </c>
      <c r="AG738" s="53">
        <v>0</v>
      </c>
      <c r="AH738" s="53">
        <v>0</v>
      </c>
      <c r="AI738" s="53">
        <v>0</v>
      </c>
      <c r="AJ738" s="53">
        <v>0</v>
      </c>
      <c r="AK738" s="53">
        <v>0</v>
      </c>
      <c r="AL738" s="53">
        <v>0</v>
      </c>
      <c r="AM738" s="53" t="str">
        <f>I738-J738-K738-L738-M738-N738-O738-P738-Q738-R738-S738-T738-U738-V738-W738-X738-Y738-Z738-AA738-AB738-AC738-AD738-AE738-AF738-AG738+AH738-AI738+AJ738+AK738-AL738</f>
        <v>0</v>
      </c>
      <c r="AN738" s="53"/>
      <c r="AO738" s="27"/>
    </row>
    <row r="739" spans="1:41">
      <c r="A739" s="44">
        <v>711</v>
      </c>
      <c r="B739" s="46" t="s">
        <v>2910</v>
      </c>
      <c r="C739" s="48" t="s">
        <v>2911</v>
      </c>
      <c r="D739" s="51" t="s">
        <v>73</v>
      </c>
      <c r="E739" s="51" t="s">
        <v>2902</v>
      </c>
      <c r="F739" s="54" t="s">
        <v>1315</v>
      </c>
      <c r="G739" s="50">
        <v>8</v>
      </c>
      <c r="H739" s="51" t="s">
        <v>2912</v>
      </c>
      <c r="I739" s="53">
        <v>1545000</v>
      </c>
      <c r="J739" s="53">
        <v>0</v>
      </c>
      <c r="K739" s="53">
        <v>39000</v>
      </c>
      <c r="L739" s="53">
        <v>0</v>
      </c>
      <c r="M739" s="53">
        <v>0</v>
      </c>
      <c r="N739" s="53">
        <v>0</v>
      </c>
      <c r="O739" s="53">
        <v>0</v>
      </c>
      <c r="P739" s="53">
        <v>0</v>
      </c>
      <c r="Q739" s="53">
        <v>0</v>
      </c>
      <c r="R739" s="53">
        <v>0</v>
      </c>
      <c r="S739" s="53">
        <v>0</v>
      </c>
      <c r="T739" s="53">
        <v>0</v>
      </c>
      <c r="U739" s="53">
        <v>1950</v>
      </c>
      <c r="V739" s="53">
        <v>0</v>
      </c>
      <c r="W739" s="53">
        <v>0</v>
      </c>
      <c r="X739" s="53">
        <v>0</v>
      </c>
      <c r="Y739" s="53">
        <v>0</v>
      </c>
      <c r="Z739" s="53">
        <v>0</v>
      </c>
      <c r="AA739" s="53">
        <v>0</v>
      </c>
      <c r="AB739" s="53">
        <v>0</v>
      </c>
      <c r="AC739" s="53">
        <v>0</v>
      </c>
      <c r="AD739" s="53">
        <v>0</v>
      </c>
      <c r="AE739" s="53">
        <v>0</v>
      </c>
      <c r="AF739" s="53">
        <v>0</v>
      </c>
      <c r="AG739" s="53">
        <v>0</v>
      </c>
      <c r="AH739" s="53">
        <v>0</v>
      </c>
      <c r="AI739" s="53">
        <v>0</v>
      </c>
      <c r="AJ739" s="53">
        <v>0</v>
      </c>
      <c r="AK739" s="53">
        <v>0</v>
      </c>
      <c r="AL739" s="53">
        <v>0</v>
      </c>
      <c r="AM739" s="53" t="str">
        <f>I739-J739-K739-L739-M739-N739-O739-P739-Q739-R739-S739-T739-U739-V739-W739-X739-Y739-Z739-AA739-AB739-AC739-AD739-AE739-AF739-AG739+AH739-AI739+AJ739+AK739-AL739</f>
        <v>0</v>
      </c>
      <c r="AN739" s="53"/>
      <c r="AO739" s="27"/>
    </row>
    <row r="740" spans="1:41">
      <c r="A740" s="44">
        <v>712</v>
      </c>
      <c r="B740" s="46" t="s">
        <v>2913</v>
      </c>
      <c r="C740" s="48" t="s">
        <v>2914</v>
      </c>
      <c r="D740" s="51" t="s">
        <v>73</v>
      </c>
      <c r="E740" s="51" t="s">
        <v>2902</v>
      </c>
      <c r="F740" s="54" t="s">
        <v>2915</v>
      </c>
      <c r="G740" s="50">
        <v>5</v>
      </c>
      <c r="H740" s="51" t="s">
        <v>2916</v>
      </c>
      <c r="I740" s="53">
        <v>1440000</v>
      </c>
      <c r="J740" s="53">
        <v>0</v>
      </c>
      <c r="K740" s="53">
        <v>27000</v>
      </c>
      <c r="L740" s="53">
        <v>0</v>
      </c>
      <c r="M740" s="53">
        <v>0</v>
      </c>
      <c r="N740" s="53">
        <v>0</v>
      </c>
      <c r="O740" s="53">
        <v>0</v>
      </c>
      <c r="P740" s="53">
        <v>0</v>
      </c>
      <c r="Q740" s="53">
        <v>0</v>
      </c>
      <c r="R740" s="53">
        <v>0</v>
      </c>
      <c r="S740" s="53">
        <v>0</v>
      </c>
      <c r="T740" s="53">
        <v>0</v>
      </c>
      <c r="U740" s="53">
        <v>1350</v>
      </c>
      <c r="V740" s="53">
        <v>0</v>
      </c>
      <c r="W740" s="53">
        <v>0</v>
      </c>
      <c r="X740" s="53">
        <v>0</v>
      </c>
      <c r="Y740" s="53">
        <v>0</v>
      </c>
      <c r="Z740" s="53">
        <v>0</v>
      </c>
      <c r="AA740" s="53">
        <v>0</v>
      </c>
      <c r="AB740" s="53">
        <v>0</v>
      </c>
      <c r="AC740" s="53">
        <v>0</v>
      </c>
      <c r="AD740" s="53">
        <v>0</v>
      </c>
      <c r="AE740" s="53">
        <v>0</v>
      </c>
      <c r="AF740" s="53">
        <v>0</v>
      </c>
      <c r="AG740" s="53">
        <v>0</v>
      </c>
      <c r="AH740" s="53">
        <v>0</v>
      </c>
      <c r="AI740" s="53">
        <v>0</v>
      </c>
      <c r="AJ740" s="53">
        <v>0</v>
      </c>
      <c r="AK740" s="53">
        <v>0</v>
      </c>
      <c r="AL740" s="53">
        <v>0</v>
      </c>
      <c r="AM740" s="53" t="str">
        <f>I740-J740-K740-L740-M740-N740-O740-P740-Q740-R740-S740-T740-U740-V740-W740-X740-Y740-Z740-AA740-AB740-AC740-AD740-AE740-AF740-AG740+AH740-AI740+AJ740+AK740-AL740</f>
        <v>0</v>
      </c>
      <c r="AN740" s="53"/>
      <c r="AO740" s="27"/>
    </row>
    <row r="741" spans="1:41">
      <c r="A741" s="44">
        <v>713</v>
      </c>
      <c r="B741" s="46" t="s">
        <v>2917</v>
      </c>
      <c r="C741" s="48" t="s">
        <v>2918</v>
      </c>
      <c r="D741" s="51" t="s">
        <v>73</v>
      </c>
      <c r="E741" s="51" t="s">
        <v>2919</v>
      </c>
      <c r="F741" s="54" t="s">
        <v>2920</v>
      </c>
      <c r="G741" s="50">
        <v>3</v>
      </c>
      <c r="H741" s="51" t="s">
        <v>2921</v>
      </c>
      <c r="I741" s="53">
        <v>360000</v>
      </c>
      <c r="J741" s="53">
        <v>0</v>
      </c>
      <c r="K741" s="53">
        <v>22000</v>
      </c>
      <c r="L741" s="53">
        <v>0</v>
      </c>
      <c r="M741" s="53">
        <v>0</v>
      </c>
      <c r="N741" s="53">
        <v>0</v>
      </c>
      <c r="O741" s="53">
        <v>0</v>
      </c>
      <c r="P741" s="53">
        <v>0</v>
      </c>
      <c r="Q741" s="53">
        <v>0</v>
      </c>
      <c r="R741" s="53">
        <v>0</v>
      </c>
      <c r="S741" s="53">
        <v>0</v>
      </c>
      <c r="T741" s="53">
        <v>0</v>
      </c>
      <c r="U741" s="53">
        <v>1100</v>
      </c>
      <c r="V741" s="53">
        <v>0</v>
      </c>
      <c r="W741" s="53">
        <v>0</v>
      </c>
      <c r="X741" s="53">
        <v>0</v>
      </c>
      <c r="Y741" s="53">
        <v>0</v>
      </c>
      <c r="Z741" s="53">
        <v>0</v>
      </c>
      <c r="AA741" s="53">
        <v>0</v>
      </c>
      <c r="AB741" s="53">
        <v>0</v>
      </c>
      <c r="AC741" s="53">
        <v>0</v>
      </c>
      <c r="AD741" s="53">
        <v>0</v>
      </c>
      <c r="AE741" s="53">
        <v>0</v>
      </c>
      <c r="AF741" s="53">
        <v>0</v>
      </c>
      <c r="AG741" s="53">
        <v>0</v>
      </c>
      <c r="AH741" s="53">
        <v>0</v>
      </c>
      <c r="AI741" s="53">
        <v>0</v>
      </c>
      <c r="AJ741" s="53">
        <v>0</v>
      </c>
      <c r="AK741" s="53">
        <v>0</v>
      </c>
      <c r="AL741" s="53">
        <v>0</v>
      </c>
      <c r="AM741" s="53" t="str">
        <f>I741-J741-K741-L741-M741-N741-O741-P741-Q741-R741-S741-T741-U741-V741-W741-X741-Y741-Z741-AA741-AB741-AC741-AD741-AE741-AF741-AG741+AH741-AI741+AJ741+AK741-AL741</f>
        <v>0</v>
      </c>
      <c r="AN741" s="53"/>
      <c r="AO741" s="27"/>
    </row>
    <row r="742" spans="1:41">
      <c r="A742" s="44">
        <v>714</v>
      </c>
      <c r="B742" s="46" t="s">
        <v>2922</v>
      </c>
      <c r="C742" s="48" t="s">
        <v>2923</v>
      </c>
      <c r="D742" s="51" t="s">
        <v>73</v>
      </c>
      <c r="E742" s="51" t="s">
        <v>2919</v>
      </c>
      <c r="F742" s="54" t="s">
        <v>2574</v>
      </c>
      <c r="G742" s="50">
        <v>6</v>
      </c>
      <c r="H742" s="51" t="s">
        <v>2924</v>
      </c>
      <c r="I742" s="53">
        <v>696500</v>
      </c>
      <c r="J742" s="53">
        <v>0</v>
      </c>
      <c r="K742" s="53">
        <v>31000</v>
      </c>
      <c r="L742" s="53">
        <v>0</v>
      </c>
      <c r="M742" s="53">
        <v>0</v>
      </c>
      <c r="N742" s="53">
        <v>0</v>
      </c>
      <c r="O742" s="53">
        <v>0</v>
      </c>
      <c r="P742" s="53">
        <v>0</v>
      </c>
      <c r="Q742" s="53">
        <v>0</v>
      </c>
      <c r="R742" s="53">
        <v>0</v>
      </c>
      <c r="S742" s="53">
        <v>0</v>
      </c>
      <c r="T742" s="53">
        <v>0</v>
      </c>
      <c r="U742" s="53">
        <v>1550</v>
      </c>
      <c r="V742" s="53">
        <v>0</v>
      </c>
      <c r="W742" s="53">
        <v>0</v>
      </c>
      <c r="X742" s="53">
        <v>0</v>
      </c>
      <c r="Y742" s="53">
        <v>0</v>
      </c>
      <c r="Z742" s="53">
        <v>0</v>
      </c>
      <c r="AA742" s="53">
        <v>0</v>
      </c>
      <c r="AB742" s="53">
        <v>0</v>
      </c>
      <c r="AC742" s="53">
        <v>0</v>
      </c>
      <c r="AD742" s="53">
        <v>0</v>
      </c>
      <c r="AE742" s="53">
        <v>0</v>
      </c>
      <c r="AF742" s="53">
        <v>0</v>
      </c>
      <c r="AG742" s="53">
        <v>0</v>
      </c>
      <c r="AH742" s="53">
        <v>0</v>
      </c>
      <c r="AI742" s="53">
        <v>0</v>
      </c>
      <c r="AJ742" s="53">
        <v>0</v>
      </c>
      <c r="AK742" s="53">
        <v>0</v>
      </c>
      <c r="AL742" s="53">
        <v>0</v>
      </c>
      <c r="AM742" s="53" t="str">
        <f>I742-J742-K742-L742-M742-N742-O742-P742-Q742-R742-S742-T742-U742-V742-W742-X742-Y742-Z742-AA742-AB742-AC742-AD742-AE742-AF742-AG742+AH742-AI742+AJ742+AK742-AL742</f>
        <v>0</v>
      </c>
      <c r="AN742" s="53"/>
      <c r="AO742" s="27"/>
    </row>
    <row r="743" spans="1:41">
      <c r="A743" s="44">
        <v>715</v>
      </c>
      <c r="B743" s="46" t="s">
        <v>2925</v>
      </c>
      <c r="C743" s="48" t="s">
        <v>2926</v>
      </c>
      <c r="D743" s="51" t="s">
        <v>73</v>
      </c>
      <c r="E743" s="51" t="s">
        <v>2919</v>
      </c>
      <c r="F743" s="54" t="s">
        <v>2927</v>
      </c>
      <c r="G743" s="50">
        <v>6</v>
      </c>
      <c r="H743" s="51" t="s">
        <v>2928</v>
      </c>
      <c r="I743" s="53">
        <v>1440000</v>
      </c>
      <c r="J743" s="53">
        <v>0</v>
      </c>
      <c r="K743" s="53">
        <v>31000</v>
      </c>
      <c r="L743" s="53">
        <v>0</v>
      </c>
      <c r="M743" s="53">
        <v>0</v>
      </c>
      <c r="N743" s="53">
        <v>0</v>
      </c>
      <c r="O743" s="53">
        <v>0</v>
      </c>
      <c r="P743" s="53">
        <v>0</v>
      </c>
      <c r="Q743" s="53">
        <v>0</v>
      </c>
      <c r="R743" s="53">
        <v>0</v>
      </c>
      <c r="S743" s="53">
        <v>0</v>
      </c>
      <c r="T743" s="53">
        <v>0</v>
      </c>
      <c r="U743" s="53">
        <v>1550</v>
      </c>
      <c r="V743" s="53">
        <v>0</v>
      </c>
      <c r="W743" s="53">
        <v>0</v>
      </c>
      <c r="X743" s="53">
        <v>0</v>
      </c>
      <c r="Y743" s="53">
        <v>0</v>
      </c>
      <c r="Z743" s="53">
        <v>0</v>
      </c>
      <c r="AA743" s="53">
        <v>0</v>
      </c>
      <c r="AB743" s="53">
        <v>0</v>
      </c>
      <c r="AC743" s="53">
        <v>0</v>
      </c>
      <c r="AD743" s="53">
        <v>0</v>
      </c>
      <c r="AE743" s="53">
        <v>0</v>
      </c>
      <c r="AF743" s="53">
        <v>0</v>
      </c>
      <c r="AG743" s="53">
        <v>0</v>
      </c>
      <c r="AH743" s="53">
        <v>0</v>
      </c>
      <c r="AI743" s="53">
        <v>0</v>
      </c>
      <c r="AJ743" s="53">
        <v>0</v>
      </c>
      <c r="AK743" s="53">
        <v>0</v>
      </c>
      <c r="AL743" s="53">
        <v>0</v>
      </c>
      <c r="AM743" s="53" t="str">
        <f>I743-J743-K743-L743-M743-N743-O743-P743-Q743-R743-S743-T743-U743-V743-W743-X743-Y743-Z743-AA743-AB743-AC743-AD743-AE743-AF743-AG743+AH743-AI743+AJ743+AK743-AL743</f>
        <v>0</v>
      </c>
      <c r="AN743" s="53"/>
      <c r="AO743" s="27"/>
    </row>
    <row r="744" spans="1:41">
      <c r="A744" s="44">
        <v>716</v>
      </c>
      <c r="B744" s="46" t="s">
        <v>2929</v>
      </c>
      <c r="C744" s="48" t="s">
        <v>2930</v>
      </c>
      <c r="D744" s="51" t="s">
        <v>73</v>
      </c>
      <c r="E744" s="51" t="s">
        <v>2919</v>
      </c>
      <c r="F744" s="54" t="s">
        <v>2931</v>
      </c>
      <c r="G744" s="50">
        <v>4</v>
      </c>
      <c r="H744" s="51" t="s">
        <v>2932</v>
      </c>
      <c r="I744" s="53">
        <v>473000</v>
      </c>
      <c r="J744" s="53">
        <v>0</v>
      </c>
      <c r="K744" s="53">
        <v>25000</v>
      </c>
      <c r="L744" s="53">
        <v>0</v>
      </c>
      <c r="M744" s="53">
        <v>0</v>
      </c>
      <c r="N744" s="53">
        <v>0</v>
      </c>
      <c r="O744" s="53">
        <v>0</v>
      </c>
      <c r="P744" s="53">
        <v>0</v>
      </c>
      <c r="Q744" s="53">
        <v>0</v>
      </c>
      <c r="R744" s="53">
        <v>0</v>
      </c>
      <c r="S744" s="53">
        <v>0</v>
      </c>
      <c r="T744" s="53">
        <v>0</v>
      </c>
      <c r="U744" s="53">
        <v>1250</v>
      </c>
      <c r="V744" s="53">
        <v>0</v>
      </c>
      <c r="W744" s="53">
        <v>0</v>
      </c>
      <c r="X744" s="53">
        <v>0</v>
      </c>
      <c r="Y744" s="53">
        <v>0</v>
      </c>
      <c r="Z744" s="53">
        <v>0</v>
      </c>
      <c r="AA744" s="53">
        <v>0</v>
      </c>
      <c r="AB744" s="53">
        <v>0</v>
      </c>
      <c r="AC744" s="53">
        <v>0</v>
      </c>
      <c r="AD744" s="53">
        <v>0</v>
      </c>
      <c r="AE744" s="53">
        <v>0</v>
      </c>
      <c r="AF744" s="53">
        <v>0</v>
      </c>
      <c r="AG744" s="53">
        <v>0</v>
      </c>
      <c r="AH744" s="53">
        <v>0</v>
      </c>
      <c r="AI744" s="53">
        <v>0</v>
      </c>
      <c r="AJ744" s="53">
        <v>0</v>
      </c>
      <c r="AK744" s="53">
        <v>0</v>
      </c>
      <c r="AL744" s="53">
        <v>0</v>
      </c>
      <c r="AM744" s="53" t="str">
        <f>I744-J744-K744-L744-M744-N744-O744-P744-Q744-R744-S744-T744-U744-V744-W744-X744-Y744-Z744-AA744-AB744-AC744-AD744-AE744-AF744-AG744+AH744-AI744+AJ744+AK744-AL744</f>
        <v>0</v>
      </c>
      <c r="AN744" s="53"/>
      <c r="AO744" s="27"/>
    </row>
    <row r="745" spans="1:41">
      <c r="A745" s="44">
        <v>717</v>
      </c>
      <c r="B745" s="46" t="s">
        <v>2933</v>
      </c>
      <c r="C745" s="48" t="s">
        <v>2934</v>
      </c>
      <c r="D745" s="51" t="s">
        <v>73</v>
      </c>
      <c r="E745" s="51" t="s">
        <v>2935</v>
      </c>
      <c r="F745" s="54" t="s">
        <v>2936</v>
      </c>
      <c r="G745" s="50">
        <v>3</v>
      </c>
      <c r="H745" s="51" t="s">
        <v>2937</v>
      </c>
      <c r="I745" s="53">
        <v>560000</v>
      </c>
      <c r="J745" s="53">
        <v>0</v>
      </c>
      <c r="K745" s="53">
        <v>22000</v>
      </c>
      <c r="L745" s="53">
        <v>0</v>
      </c>
      <c r="M745" s="53">
        <v>0</v>
      </c>
      <c r="N745" s="53">
        <v>0</v>
      </c>
      <c r="O745" s="53">
        <v>0</v>
      </c>
      <c r="P745" s="53">
        <v>0</v>
      </c>
      <c r="Q745" s="53">
        <v>0</v>
      </c>
      <c r="R745" s="53">
        <v>0</v>
      </c>
      <c r="S745" s="53">
        <v>0</v>
      </c>
      <c r="T745" s="53">
        <v>0</v>
      </c>
      <c r="U745" s="53">
        <v>1100</v>
      </c>
      <c r="V745" s="53">
        <v>0</v>
      </c>
      <c r="W745" s="53">
        <v>0</v>
      </c>
      <c r="X745" s="53">
        <v>0</v>
      </c>
      <c r="Y745" s="53">
        <v>0</v>
      </c>
      <c r="Z745" s="53">
        <v>0</v>
      </c>
      <c r="AA745" s="53">
        <v>0</v>
      </c>
      <c r="AB745" s="53">
        <v>0</v>
      </c>
      <c r="AC745" s="53">
        <v>0</v>
      </c>
      <c r="AD745" s="53">
        <v>0</v>
      </c>
      <c r="AE745" s="53">
        <v>0</v>
      </c>
      <c r="AF745" s="53">
        <v>0</v>
      </c>
      <c r="AG745" s="53">
        <v>0</v>
      </c>
      <c r="AH745" s="53">
        <v>0</v>
      </c>
      <c r="AI745" s="53">
        <v>0</v>
      </c>
      <c r="AJ745" s="53">
        <v>0</v>
      </c>
      <c r="AK745" s="53">
        <v>0</v>
      </c>
      <c r="AL745" s="53">
        <v>0</v>
      </c>
      <c r="AM745" s="53" t="str">
        <f>I745-J745-K745-L745-M745-N745-O745-P745-Q745-R745-S745-T745-U745-V745-W745-X745-Y745-Z745-AA745-AB745-AC745-AD745-AE745-AF745-AG745+AH745-AI745+AJ745+AK745-AL745</f>
        <v>0</v>
      </c>
      <c r="AN745" s="53"/>
      <c r="AO745" s="27"/>
    </row>
    <row r="746" spans="1:41">
      <c r="A746" s="44">
        <v>718</v>
      </c>
      <c r="B746" s="46" t="s">
        <v>2938</v>
      </c>
      <c r="C746" s="48" t="s">
        <v>2939</v>
      </c>
      <c r="D746" s="51" t="s">
        <v>73</v>
      </c>
      <c r="E746" s="51" t="s">
        <v>2935</v>
      </c>
      <c r="F746" s="54" t="s">
        <v>2940</v>
      </c>
      <c r="G746" s="50">
        <v>2</v>
      </c>
      <c r="H746" s="51" t="s">
        <v>2941</v>
      </c>
      <c r="I746" s="53">
        <v>484100</v>
      </c>
      <c r="J746" s="53">
        <v>0</v>
      </c>
      <c r="K746" s="53">
        <v>22000</v>
      </c>
      <c r="L746" s="53">
        <v>0</v>
      </c>
      <c r="M746" s="53">
        <v>0</v>
      </c>
      <c r="N746" s="53">
        <v>0</v>
      </c>
      <c r="O746" s="53">
        <v>0</v>
      </c>
      <c r="P746" s="53">
        <v>0</v>
      </c>
      <c r="Q746" s="53">
        <v>0</v>
      </c>
      <c r="R746" s="53">
        <v>0</v>
      </c>
      <c r="S746" s="53">
        <v>0</v>
      </c>
      <c r="T746" s="53">
        <v>0</v>
      </c>
      <c r="U746" s="53">
        <v>1100</v>
      </c>
      <c r="V746" s="53">
        <v>0</v>
      </c>
      <c r="W746" s="53">
        <v>0</v>
      </c>
      <c r="X746" s="53">
        <v>0</v>
      </c>
      <c r="Y746" s="53">
        <v>0</v>
      </c>
      <c r="Z746" s="53">
        <v>0</v>
      </c>
      <c r="AA746" s="53">
        <v>0</v>
      </c>
      <c r="AB746" s="53">
        <v>0</v>
      </c>
      <c r="AC746" s="53">
        <v>0</v>
      </c>
      <c r="AD746" s="53">
        <v>0</v>
      </c>
      <c r="AE746" s="53">
        <v>0</v>
      </c>
      <c r="AF746" s="53">
        <v>0</v>
      </c>
      <c r="AG746" s="53">
        <v>0</v>
      </c>
      <c r="AH746" s="53">
        <v>0</v>
      </c>
      <c r="AI746" s="53">
        <v>0</v>
      </c>
      <c r="AJ746" s="53">
        <v>0</v>
      </c>
      <c r="AK746" s="53">
        <v>0</v>
      </c>
      <c r="AL746" s="53">
        <v>0</v>
      </c>
      <c r="AM746" s="53" t="str">
        <f>I746-J746-K746-L746-M746-N746-O746-P746-Q746-R746-S746-T746-U746-V746-W746-X746-Y746-Z746-AA746-AB746-AC746-AD746-AE746-AF746-AG746+AH746-AI746+AJ746+AK746-AL746</f>
        <v>0</v>
      </c>
      <c r="AN746" s="53"/>
      <c r="AO746" s="27"/>
    </row>
    <row r="747" spans="1:41">
      <c r="A747" s="44">
        <v>719</v>
      </c>
      <c r="B747" s="46" t="s">
        <v>2942</v>
      </c>
      <c r="C747" s="48" t="s">
        <v>2943</v>
      </c>
      <c r="D747" s="51" t="s">
        <v>73</v>
      </c>
      <c r="E747" s="51" t="s">
        <v>2935</v>
      </c>
      <c r="F747" s="54" t="s">
        <v>2944</v>
      </c>
      <c r="G747" s="50">
        <v>3</v>
      </c>
      <c r="H747" s="51" t="s">
        <v>2945</v>
      </c>
      <c r="I747" s="53">
        <v>400000</v>
      </c>
      <c r="J747" s="53">
        <v>0</v>
      </c>
      <c r="K747" s="53">
        <v>22000</v>
      </c>
      <c r="L747" s="53">
        <v>0</v>
      </c>
      <c r="M747" s="53">
        <v>0</v>
      </c>
      <c r="N747" s="53">
        <v>0</v>
      </c>
      <c r="O747" s="53">
        <v>0</v>
      </c>
      <c r="P747" s="53">
        <v>0</v>
      </c>
      <c r="Q747" s="53">
        <v>0</v>
      </c>
      <c r="R747" s="53">
        <v>0</v>
      </c>
      <c r="S747" s="53">
        <v>0</v>
      </c>
      <c r="T747" s="53">
        <v>0</v>
      </c>
      <c r="U747" s="53">
        <v>1100</v>
      </c>
      <c r="V747" s="53">
        <v>0</v>
      </c>
      <c r="W747" s="53">
        <v>0</v>
      </c>
      <c r="X747" s="53">
        <v>0</v>
      </c>
      <c r="Y747" s="53">
        <v>0</v>
      </c>
      <c r="Z747" s="53">
        <v>0</v>
      </c>
      <c r="AA747" s="53">
        <v>0</v>
      </c>
      <c r="AB747" s="53">
        <v>0</v>
      </c>
      <c r="AC747" s="53">
        <v>0</v>
      </c>
      <c r="AD747" s="53">
        <v>0</v>
      </c>
      <c r="AE747" s="53">
        <v>0</v>
      </c>
      <c r="AF747" s="53">
        <v>0</v>
      </c>
      <c r="AG747" s="53">
        <v>0</v>
      </c>
      <c r="AH747" s="53">
        <v>0</v>
      </c>
      <c r="AI747" s="53">
        <v>0</v>
      </c>
      <c r="AJ747" s="53">
        <v>0</v>
      </c>
      <c r="AK747" s="53">
        <v>0</v>
      </c>
      <c r="AL747" s="53">
        <v>0</v>
      </c>
      <c r="AM747" s="53" t="str">
        <f>I747-J747-K747-L747-M747-N747-O747-P747-Q747-R747-S747-T747-U747-V747-W747-X747-Y747-Z747-AA747-AB747-AC747-AD747-AE747-AF747-AG747+AH747-AI747+AJ747+AK747-AL747</f>
        <v>0</v>
      </c>
      <c r="AN747" s="53"/>
      <c r="AO747" s="27"/>
    </row>
    <row r="748" spans="1:41">
      <c r="A748" s="44">
        <v>720</v>
      </c>
      <c r="B748" s="46" t="s">
        <v>2946</v>
      </c>
      <c r="C748" s="48" t="s">
        <v>2947</v>
      </c>
      <c r="D748" s="51" t="s">
        <v>73</v>
      </c>
      <c r="E748" s="51" t="s">
        <v>2948</v>
      </c>
      <c r="F748" s="54" t="s">
        <v>2949</v>
      </c>
      <c r="G748" s="50">
        <v>5</v>
      </c>
      <c r="H748" s="51" t="s">
        <v>2950</v>
      </c>
      <c r="I748" s="53">
        <v>1590000</v>
      </c>
      <c r="J748" s="53">
        <v>0</v>
      </c>
      <c r="K748" s="53">
        <v>27000</v>
      </c>
      <c r="L748" s="53">
        <v>0</v>
      </c>
      <c r="M748" s="53">
        <v>0</v>
      </c>
      <c r="N748" s="53">
        <v>0</v>
      </c>
      <c r="O748" s="53">
        <v>0</v>
      </c>
      <c r="P748" s="53">
        <v>0</v>
      </c>
      <c r="Q748" s="53">
        <v>0</v>
      </c>
      <c r="R748" s="53">
        <v>0</v>
      </c>
      <c r="S748" s="53">
        <v>0</v>
      </c>
      <c r="T748" s="53">
        <v>0</v>
      </c>
      <c r="U748" s="53">
        <v>1350</v>
      </c>
      <c r="V748" s="53">
        <v>0</v>
      </c>
      <c r="W748" s="53">
        <v>0</v>
      </c>
      <c r="X748" s="53">
        <v>0</v>
      </c>
      <c r="Y748" s="53">
        <v>0</v>
      </c>
      <c r="Z748" s="53">
        <v>0</v>
      </c>
      <c r="AA748" s="53">
        <v>0</v>
      </c>
      <c r="AB748" s="53">
        <v>0</v>
      </c>
      <c r="AC748" s="53">
        <v>0</v>
      </c>
      <c r="AD748" s="53">
        <v>0</v>
      </c>
      <c r="AE748" s="53">
        <v>0</v>
      </c>
      <c r="AF748" s="53">
        <v>0</v>
      </c>
      <c r="AG748" s="53">
        <v>0</v>
      </c>
      <c r="AH748" s="53">
        <v>0</v>
      </c>
      <c r="AI748" s="53">
        <v>0</v>
      </c>
      <c r="AJ748" s="53">
        <v>0</v>
      </c>
      <c r="AK748" s="53">
        <v>0</v>
      </c>
      <c r="AL748" s="53">
        <v>0</v>
      </c>
      <c r="AM748" s="53" t="str">
        <f>I748-J748-K748-L748-M748-N748-O748-P748-Q748-R748-S748-T748-U748-V748-W748-X748-Y748-Z748-AA748-AB748-AC748-AD748-AE748-AF748-AG748+AH748-AI748+AJ748+AK748-AL748</f>
        <v>0</v>
      </c>
      <c r="AN748" s="53"/>
      <c r="AO748" s="27"/>
    </row>
    <row r="749" spans="1:41">
      <c r="A749" s="44">
        <v>721</v>
      </c>
      <c r="B749" s="46" t="s">
        <v>2951</v>
      </c>
      <c r="C749" s="48" t="s">
        <v>2952</v>
      </c>
      <c r="D749" s="51" t="s">
        <v>73</v>
      </c>
      <c r="E749" s="51" t="s">
        <v>2948</v>
      </c>
      <c r="F749" s="54" t="s">
        <v>2927</v>
      </c>
      <c r="G749" s="50">
        <v>3</v>
      </c>
      <c r="H749" s="51" t="s">
        <v>2953</v>
      </c>
      <c r="I749" s="53">
        <v>304100</v>
      </c>
      <c r="J749" s="53">
        <v>0</v>
      </c>
      <c r="K749" s="53">
        <v>22000</v>
      </c>
      <c r="L749" s="53">
        <v>0</v>
      </c>
      <c r="M749" s="53">
        <v>0</v>
      </c>
      <c r="N749" s="53">
        <v>0</v>
      </c>
      <c r="O749" s="53">
        <v>0</v>
      </c>
      <c r="P749" s="53">
        <v>0</v>
      </c>
      <c r="Q749" s="53">
        <v>0</v>
      </c>
      <c r="R749" s="53">
        <v>0</v>
      </c>
      <c r="S749" s="53">
        <v>0</v>
      </c>
      <c r="T749" s="53">
        <v>0</v>
      </c>
      <c r="U749" s="53">
        <v>1100</v>
      </c>
      <c r="V749" s="53">
        <v>0</v>
      </c>
      <c r="W749" s="53">
        <v>0</v>
      </c>
      <c r="X749" s="53">
        <v>0</v>
      </c>
      <c r="Y749" s="53">
        <v>0</v>
      </c>
      <c r="Z749" s="53">
        <v>0</v>
      </c>
      <c r="AA749" s="53">
        <v>0</v>
      </c>
      <c r="AB749" s="53">
        <v>0</v>
      </c>
      <c r="AC749" s="53">
        <v>0</v>
      </c>
      <c r="AD749" s="53">
        <v>0</v>
      </c>
      <c r="AE749" s="53">
        <v>0</v>
      </c>
      <c r="AF749" s="53">
        <v>0</v>
      </c>
      <c r="AG749" s="53">
        <v>0</v>
      </c>
      <c r="AH749" s="53">
        <v>0</v>
      </c>
      <c r="AI749" s="53">
        <v>0</v>
      </c>
      <c r="AJ749" s="53">
        <v>0</v>
      </c>
      <c r="AK749" s="53">
        <v>0</v>
      </c>
      <c r="AL749" s="53">
        <v>0</v>
      </c>
      <c r="AM749" s="53" t="str">
        <f>I749-J749-K749-L749-M749-N749-O749-P749-Q749-R749-S749-T749-U749-V749-W749-X749-Y749-Z749-AA749-AB749-AC749-AD749-AE749-AF749-AG749+AH749-AI749+AJ749+AK749-AL749</f>
        <v>0</v>
      </c>
      <c r="AN749" s="53"/>
      <c r="AO749" s="27"/>
    </row>
    <row r="750" spans="1:41">
      <c r="A750" s="44">
        <v>722</v>
      </c>
      <c r="B750" s="46" t="s">
        <v>2954</v>
      </c>
      <c r="C750" s="48" t="s">
        <v>2955</v>
      </c>
      <c r="D750" s="51" t="s">
        <v>73</v>
      </c>
      <c r="E750" s="51" t="s">
        <v>2948</v>
      </c>
      <c r="F750" s="54" t="s">
        <v>1672</v>
      </c>
      <c r="G750" s="50">
        <v>5</v>
      </c>
      <c r="H750" s="51" t="s">
        <v>2956</v>
      </c>
      <c r="I750" s="53">
        <v>926000</v>
      </c>
      <c r="J750" s="53">
        <v>0</v>
      </c>
      <c r="K750" s="53">
        <v>27000</v>
      </c>
      <c r="L750" s="53">
        <v>0</v>
      </c>
      <c r="M750" s="53">
        <v>0</v>
      </c>
      <c r="N750" s="53">
        <v>0</v>
      </c>
      <c r="O750" s="53">
        <v>0</v>
      </c>
      <c r="P750" s="53">
        <v>0</v>
      </c>
      <c r="Q750" s="53">
        <v>0</v>
      </c>
      <c r="R750" s="53">
        <v>0</v>
      </c>
      <c r="S750" s="53">
        <v>0</v>
      </c>
      <c r="T750" s="53">
        <v>0</v>
      </c>
      <c r="U750" s="53">
        <v>1350</v>
      </c>
      <c r="V750" s="53">
        <v>0</v>
      </c>
      <c r="W750" s="53">
        <v>0</v>
      </c>
      <c r="X750" s="53">
        <v>0</v>
      </c>
      <c r="Y750" s="53">
        <v>0</v>
      </c>
      <c r="Z750" s="53">
        <v>0</v>
      </c>
      <c r="AA750" s="53">
        <v>0</v>
      </c>
      <c r="AB750" s="53">
        <v>0</v>
      </c>
      <c r="AC750" s="53">
        <v>0</v>
      </c>
      <c r="AD750" s="53">
        <v>0</v>
      </c>
      <c r="AE750" s="53">
        <v>0</v>
      </c>
      <c r="AF750" s="53">
        <v>0</v>
      </c>
      <c r="AG750" s="53">
        <v>0</v>
      </c>
      <c r="AH750" s="53">
        <v>0</v>
      </c>
      <c r="AI750" s="53">
        <v>0</v>
      </c>
      <c r="AJ750" s="53">
        <v>0</v>
      </c>
      <c r="AK750" s="53">
        <v>0</v>
      </c>
      <c r="AL750" s="53">
        <v>0</v>
      </c>
      <c r="AM750" s="53" t="str">
        <f>I750-J750-K750-L750-M750-N750-O750-P750-Q750-R750-S750-T750-U750-V750-W750-X750-Y750-Z750-AA750-AB750-AC750-AD750-AE750-AF750-AG750+AH750-AI750+AJ750+AK750-AL750</f>
        <v>0</v>
      </c>
      <c r="AN750" s="53"/>
      <c r="AO750" s="27"/>
    </row>
    <row r="751" spans="1:41">
      <c r="A751" s="44">
        <v>723</v>
      </c>
      <c r="B751" s="46" t="s">
        <v>2957</v>
      </c>
      <c r="C751" s="48" t="s">
        <v>2958</v>
      </c>
      <c r="D751" s="51" t="s">
        <v>73</v>
      </c>
      <c r="E751" s="51" t="s">
        <v>2948</v>
      </c>
      <c r="F751" s="54" t="s">
        <v>2070</v>
      </c>
      <c r="G751" s="50">
        <v>3</v>
      </c>
      <c r="H751" s="51" t="s">
        <v>2959</v>
      </c>
      <c r="I751" s="53">
        <v>560000</v>
      </c>
      <c r="J751" s="53">
        <v>0</v>
      </c>
      <c r="K751" s="53">
        <v>22000</v>
      </c>
      <c r="L751" s="53">
        <v>0</v>
      </c>
      <c r="M751" s="53">
        <v>0</v>
      </c>
      <c r="N751" s="53">
        <v>0</v>
      </c>
      <c r="O751" s="53">
        <v>0</v>
      </c>
      <c r="P751" s="53">
        <v>0</v>
      </c>
      <c r="Q751" s="53">
        <v>0</v>
      </c>
      <c r="R751" s="53">
        <v>0</v>
      </c>
      <c r="S751" s="53">
        <v>0</v>
      </c>
      <c r="T751" s="53">
        <v>0</v>
      </c>
      <c r="U751" s="53">
        <v>1100</v>
      </c>
      <c r="V751" s="53">
        <v>0</v>
      </c>
      <c r="W751" s="53">
        <v>0</v>
      </c>
      <c r="X751" s="53">
        <v>0</v>
      </c>
      <c r="Y751" s="53">
        <v>0</v>
      </c>
      <c r="Z751" s="53">
        <v>0</v>
      </c>
      <c r="AA751" s="53">
        <v>0</v>
      </c>
      <c r="AB751" s="53">
        <v>0</v>
      </c>
      <c r="AC751" s="53">
        <v>0</v>
      </c>
      <c r="AD751" s="53">
        <v>0</v>
      </c>
      <c r="AE751" s="53">
        <v>0</v>
      </c>
      <c r="AF751" s="53">
        <v>0</v>
      </c>
      <c r="AG751" s="53">
        <v>0</v>
      </c>
      <c r="AH751" s="53">
        <v>0</v>
      </c>
      <c r="AI751" s="53">
        <v>0</v>
      </c>
      <c r="AJ751" s="53">
        <v>0</v>
      </c>
      <c r="AK751" s="53">
        <v>0</v>
      </c>
      <c r="AL751" s="53">
        <v>0</v>
      </c>
      <c r="AM751" s="53" t="str">
        <f>I751-J751-K751-L751-M751-N751-O751-P751-Q751-R751-S751-T751-U751-V751-W751-X751-Y751-Z751-AA751-AB751-AC751-AD751-AE751-AF751-AG751+AH751-AI751+AJ751+AK751-AL751</f>
        <v>0</v>
      </c>
      <c r="AN751" s="53"/>
      <c r="AO751" s="27"/>
    </row>
    <row r="752" spans="1:41">
      <c r="A752" s="44">
        <v>724</v>
      </c>
      <c r="B752" s="46" t="s">
        <v>2960</v>
      </c>
      <c r="C752" s="48" t="s">
        <v>2961</v>
      </c>
      <c r="D752" s="51" t="s">
        <v>73</v>
      </c>
      <c r="E752" s="51" t="s">
        <v>2948</v>
      </c>
      <c r="F752" s="54" t="s">
        <v>1807</v>
      </c>
      <c r="G752" s="50">
        <v>5</v>
      </c>
      <c r="H752" s="51" t="s">
        <v>2962</v>
      </c>
      <c r="I752" s="53">
        <v>906200</v>
      </c>
      <c r="J752" s="53">
        <v>0</v>
      </c>
      <c r="K752" s="53">
        <v>27000</v>
      </c>
      <c r="L752" s="53">
        <v>0</v>
      </c>
      <c r="M752" s="53">
        <v>0</v>
      </c>
      <c r="N752" s="53">
        <v>0</v>
      </c>
      <c r="O752" s="53">
        <v>0</v>
      </c>
      <c r="P752" s="53">
        <v>0</v>
      </c>
      <c r="Q752" s="53">
        <v>0</v>
      </c>
      <c r="R752" s="53">
        <v>0</v>
      </c>
      <c r="S752" s="53">
        <v>0</v>
      </c>
      <c r="T752" s="53">
        <v>0</v>
      </c>
      <c r="U752" s="53">
        <v>1350</v>
      </c>
      <c r="V752" s="53">
        <v>0</v>
      </c>
      <c r="W752" s="53">
        <v>0</v>
      </c>
      <c r="X752" s="53">
        <v>0</v>
      </c>
      <c r="Y752" s="53">
        <v>0</v>
      </c>
      <c r="Z752" s="53">
        <v>0</v>
      </c>
      <c r="AA752" s="53">
        <v>0</v>
      </c>
      <c r="AB752" s="53">
        <v>0</v>
      </c>
      <c r="AC752" s="53">
        <v>0</v>
      </c>
      <c r="AD752" s="53">
        <v>0</v>
      </c>
      <c r="AE752" s="53">
        <v>0</v>
      </c>
      <c r="AF752" s="53">
        <v>0</v>
      </c>
      <c r="AG752" s="53">
        <v>0</v>
      </c>
      <c r="AH752" s="53">
        <v>0</v>
      </c>
      <c r="AI752" s="53">
        <v>0</v>
      </c>
      <c r="AJ752" s="53">
        <v>0</v>
      </c>
      <c r="AK752" s="53">
        <v>0</v>
      </c>
      <c r="AL752" s="53">
        <v>0</v>
      </c>
      <c r="AM752" s="53" t="str">
        <f>I752-J752-K752-L752-M752-N752-O752-P752-Q752-R752-S752-T752-U752-V752-W752-X752-Y752-Z752-AA752-AB752-AC752-AD752-AE752-AF752-AG752+AH752-AI752+AJ752+AK752-AL752</f>
        <v>0</v>
      </c>
      <c r="AN752" s="53"/>
      <c r="AO752" s="27"/>
    </row>
    <row r="753" spans="1:41">
      <c r="A753" s="44">
        <v>725</v>
      </c>
      <c r="B753" s="46" t="s">
        <v>2963</v>
      </c>
      <c r="C753" s="48" t="s">
        <v>2964</v>
      </c>
      <c r="D753" s="51" t="s">
        <v>73</v>
      </c>
      <c r="E753" s="51" t="s">
        <v>2948</v>
      </c>
      <c r="F753" s="54" t="s">
        <v>2101</v>
      </c>
      <c r="G753" s="50">
        <v>2</v>
      </c>
      <c r="H753" s="51" t="s">
        <v>2965</v>
      </c>
      <c r="I753" s="53">
        <v>274000</v>
      </c>
      <c r="J753" s="53">
        <v>0</v>
      </c>
      <c r="K753" s="53">
        <v>22000</v>
      </c>
      <c r="L753" s="53">
        <v>0</v>
      </c>
      <c r="M753" s="53">
        <v>0</v>
      </c>
      <c r="N753" s="53">
        <v>0</v>
      </c>
      <c r="O753" s="53">
        <v>0</v>
      </c>
      <c r="P753" s="53">
        <v>0</v>
      </c>
      <c r="Q753" s="53">
        <v>0</v>
      </c>
      <c r="R753" s="53">
        <v>0</v>
      </c>
      <c r="S753" s="53">
        <v>0</v>
      </c>
      <c r="T753" s="53">
        <v>0</v>
      </c>
      <c r="U753" s="53">
        <v>1100</v>
      </c>
      <c r="V753" s="53">
        <v>0</v>
      </c>
      <c r="W753" s="53">
        <v>0</v>
      </c>
      <c r="X753" s="53">
        <v>0</v>
      </c>
      <c r="Y753" s="53">
        <v>0</v>
      </c>
      <c r="Z753" s="53">
        <v>0</v>
      </c>
      <c r="AA753" s="53">
        <v>0</v>
      </c>
      <c r="AB753" s="53">
        <v>0</v>
      </c>
      <c r="AC753" s="53">
        <v>0</v>
      </c>
      <c r="AD753" s="53">
        <v>0</v>
      </c>
      <c r="AE753" s="53">
        <v>0</v>
      </c>
      <c r="AF753" s="53">
        <v>0</v>
      </c>
      <c r="AG753" s="53">
        <v>0</v>
      </c>
      <c r="AH753" s="53">
        <v>0</v>
      </c>
      <c r="AI753" s="53">
        <v>0</v>
      </c>
      <c r="AJ753" s="53">
        <v>0</v>
      </c>
      <c r="AK753" s="53">
        <v>0</v>
      </c>
      <c r="AL753" s="53">
        <v>0</v>
      </c>
      <c r="AM753" s="53" t="str">
        <f>I753-J753-K753-L753-M753-N753-O753-P753-Q753-R753-S753-T753-U753-V753-W753-X753-Y753-Z753-AA753-AB753-AC753-AD753-AE753-AF753-AG753+AH753-AI753+AJ753+AK753-AL753</f>
        <v>0</v>
      </c>
      <c r="AN753" s="53"/>
      <c r="AO753" s="27"/>
    </row>
    <row r="754" spans="1:41">
      <c r="A754" s="44">
        <v>726</v>
      </c>
      <c r="B754" s="46" t="s">
        <v>2966</v>
      </c>
      <c r="C754" s="48" t="s">
        <v>2967</v>
      </c>
      <c r="D754" s="51" t="s">
        <v>73</v>
      </c>
      <c r="E754" s="51" t="s">
        <v>2968</v>
      </c>
      <c r="F754" s="54" t="s">
        <v>2969</v>
      </c>
      <c r="G754" s="50">
        <v>5</v>
      </c>
      <c r="H754" s="51" t="s">
        <v>2970</v>
      </c>
      <c r="I754" s="53">
        <v>1336500</v>
      </c>
      <c r="J754" s="53">
        <v>0</v>
      </c>
      <c r="K754" s="53">
        <v>27000</v>
      </c>
      <c r="L754" s="53">
        <v>0</v>
      </c>
      <c r="M754" s="53">
        <v>0</v>
      </c>
      <c r="N754" s="53">
        <v>0</v>
      </c>
      <c r="O754" s="53">
        <v>0</v>
      </c>
      <c r="P754" s="53">
        <v>0</v>
      </c>
      <c r="Q754" s="53">
        <v>0</v>
      </c>
      <c r="R754" s="53">
        <v>0</v>
      </c>
      <c r="S754" s="53">
        <v>0</v>
      </c>
      <c r="T754" s="53">
        <v>0</v>
      </c>
      <c r="U754" s="53">
        <v>1350</v>
      </c>
      <c r="V754" s="53">
        <v>0</v>
      </c>
      <c r="W754" s="53">
        <v>0</v>
      </c>
      <c r="X754" s="53">
        <v>0</v>
      </c>
      <c r="Y754" s="53">
        <v>0</v>
      </c>
      <c r="Z754" s="53">
        <v>0</v>
      </c>
      <c r="AA754" s="53">
        <v>0</v>
      </c>
      <c r="AB754" s="53">
        <v>0</v>
      </c>
      <c r="AC754" s="53">
        <v>0</v>
      </c>
      <c r="AD754" s="53">
        <v>0</v>
      </c>
      <c r="AE754" s="53">
        <v>0</v>
      </c>
      <c r="AF754" s="53">
        <v>0</v>
      </c>
      <c r="AG754" s="53">
        <v>0</v>
      </c>
      <c r="AH754" s="53">
        <v>0</v>
      </c>
      <c r="AI754" s="53">
        <v>0</v>
      </c>
      <c r="AJ754" s="53">
        <v>0</v>
      </c>
      <c r="AK754" s="53">
        <v>0</v>
      </c>
      <c r="AL754" s="53">
        <v>0</v>
      </c>
      <c r="AM754" s="53" t="str">
        <f>I754-J754-K754-L754-M754-N754-O754-P754-Q754-R754-S754-T754-U754-V754-W754-X754-Y754-Z754-AA754-AB754-AC754-AD754-AE754-AF754-AG754+AH754-AI754+AJ754+AK754-AL754</f>
        <v>0</v>
      </c>
      <c r="AN754" s="53"/>
      <c r="AO754" s="27"/>
    </row>
    <row r="755" spans="1:41">
      <c r="A755" s="44">
        <v>727</v>
      </c>
      <c r="B755" s="46" t="s">
        <v>2971</v>
      </c>
      <c r="C755" s="48" t="s">
        <v>2972</v>
      </c>
      <c r="D755" s="51" t="s">
        <v>73</v>
      </c>
      <c r="E755" s="51" t="s">
        <v>2968</v>
      </c>
      <c r="F755" s="54" t="s">
        <v>2973</v>
      </c>
      <c r="G755" s="50">
        <v>5.8</v>
      </c>
      <c r="H755" s="51" t="s">
        <v>2974</v>
      </c>
      <c r="I755" s="53">
        <v>634000</v>
      </c>
      <c r="J755" s="53">
        <v>0</v>
      </c>
      <c r="K755" s="53">
        <v>31000</v>
      </c>
      <c r="L755" s="53">
        <v>0</v>
      </c>
      <c r="M755" s="53">
        <v>0</v>
      </c>
      <c r="N755" s="53">
        <v>0</v>
      </c>
      <c r="O755" s="53">
        <v>0</v>
      </c>
      <c r="P755" s="53">
        <v>0</v>
      </c>
      <c r="Q755" s="53">
        <v>0</v>
      </c>
      <c r="R755" s="53">
        <v>0</v>
      </c>
      <c r="S755" s="53">
        <v>0</v>
      </c>
      <c r="T755" s="53">
        <v>0</v>
      </c>
      <c r="U755" s="53">
        <v>1550</v>
      </c>
      <c r="V755" s="53">
        <v>0</v>
      </c>
      <c r="W755" s="53">
        <v>0</v>
      </c>
      <c r="X755" s="53">
        <v>0</v>
      </c>
      <c r="Y755" s="53">
        <v>0</v>
      </c>
      <c r="Z755" s="53">
        <v>0</v>
      </c>
      <c r="AA755" s="53">
        <v>0</v>
      </c>
      <c r="AB755" s="53">
        <v>0</v>
      </c>
      <c r="AC755" s="53">
        <v>0</v>
      </c>
      <c r="AD755" s="53">
        <v>0</v>
      </c>
      <c r="AE755" s="53">
        <v>0</v>
      </c>
      <c r="AF755" s="53">
        <v>0</v>
      </c>
      <c r="AG755" s="53">
        <v>0</v>
      </c>
      <c r="AH755" s="53">
        <v>0</v>
      </c>
      <c r="AI755" s="53">
        <v>0</v>
      </c>
      <c r="AJ755" s="53">
        <v>0</v>
      </c>
      <c r="AK755" s="53">
        <v>0</v>
      </c>
      <c r="AL755" s="53">
        <v>0</v>
      </c>
      <c r="AM755" s="53" t="str">
        <f>I755-J755-K755-L755-M755-N755-O755-P755-Q755-R755-S755-T755-U755-V755-W755-X755-Y755-Z755-AA755-AB755-AC755-AD755-AE755-AF755-AG755+AH755-AI755+AJ755+AK755-AL755</f>
        <v>0</v>
      </c>
      <c r="AN755" s="53"/>
      <c r="AO755" s="27"/>
    </row>
    <row r="756" spans="1:41">
      <c r="A756" s="44">
        <v>728</v>
      </c>
      <c r="B756" s="46" t="s">
        <v>2975</v>
      </c>
      <c r="C756" s="48" t="s">
        <v>2976</v>
      </c>
      <c r="D756" s="51" t="s">
        <v>73</v>
      </c>
      <c r="E756" s="51" t="s">
        <v>2968</v>
      </c>
      <c r="F756" s="54" t="s">
        <v>1287</v>
      </c>
      <c r="G756" s="50">
        <v>3</v>
      </c>
      <c r="H756" s="51" t="s">
        <v>2977</v>
      </c>
      <c r="I756" s="53">
        <v>507500</v>
      </c>
      <c r="J756" s="53">
        <v>0</v>
      </c>
      <c r="K756" s="53">
        <v>22000</v>
      </c>
      <c r="L756" s="53">
        <v>0</v>
      </c>
      <c r="M756" s="53">
        <v>0</v>
      </c>
      <c r="N756" s="53">
        <v>0</v>
      </c>
      <c r="O756" s="53">
        <v>0</v>
      </c>
      <c r="P756" s="53">
        <v>0</v>
      </c>
      <c r="Q756" s="53">
        <v>0</v>
      </c>
      <c r="R756" s="53">
        <v>0</v>
      </c>
      <c r="S756" s="53">
        <v>0</v>
      </c>
      <c r="T756" s="53">
        <v>0</v>
      </c>
      <c r="U756" s="53">
        <v>1100</v>
      </c>
      <c r="V756" s="53">
        <v>0</v>
      </c>
      <c r="W756" s="53">
        <v>0</v>
      </c>
      <c r="X756" s="53">
        <v>0</v>
      </c>
      <c r="Y756" s="53">
        <v>0</v>
      </c>
      <c r="Z756" s="53">
        <v>0</v>
      </c>
      <c r="AA756" s="53">
        <v>0</v>
      </c>
      <c r="AB756" s="53">
        <v>0</v>
      </c>
      <c r="AC756" s="53">
        <v>0</v>
      </c>
      <c r="AD756" s="53">
        <v>0</v>
      </c>
      <c r="AE756" s="53">
        <v>0</v>
      </c>
      <c r="AF756" s="53">
        <v>0</v>
      </c>
      <c r="AG756" s="53">
        <v>0</v>
      </c>
      <c r="AH756" s="53">
        <v>0</v>
      </c>
      <c r="AI756" s="53">
        <v>0</v>
      </c>
      <c r="AJ756" s="53">
        <v>0</v>
      </c>
      <c r="AK756" s="53">
        <v>0</v>
      </c>
      <c r="AL756" s="53">
        <v>0</v>
      </c>
      <c r="AM756" s="53" t="str">
        <f>I756-J756-K756-L756-M756-N756-O756-P756-Q756-R756-S756-T756-U756-V756-W756-X756-Y756-Z756-AA756-AB756-AC756-AD756-AE756-AF756-AG756+AH756-AI756+AJ756+AK756-AL756</f>
        <v>0</v>
      </c>
      <c r="AN756" s="53"/>
      <c r="AO756" s="27"/>
    </row>
    <row r="757" spans="1:41">
      <c r="A757" s="44">
        <v>729</v>
      </c>
      <c r="B757" s="46" t="s">
        <v>2978</v>
      </c>
      <c r="C757" s="48" t="s">
        <v>2979</v>
      </c>
      <c r="D757" s="51" t="s">
        <v>73</v>
      </c>
      <c r="E757" s="51" t="s">
        <v>2968</v>
      </c>
      <c r="F757" s="54" t="s">
        <v>2980</v>
      </c>
      <c r="G757" s="50">
        <v>5</v>
      </c>
      <c r="H757" s="51" t="s">
        <v>2981</v>
      </c>
      <c r="I757" s="53">
        <v>926000</v>
      </c>
      <c r="J757" s="53">
        <v>0</v>
      </c>
      <c r="K757" s="53">
        <v>27000</v>
      </c>
      <c r="L757" s="53">
        <v>0</v>
      </c>
      <c r="M757" s="53">
        <v>0</v>
      </c>
      <c r="N757" s="53">
        <v>0</v>
      </c>
      <c r="O757" s="53">
        <v>0</v>
      </c>
      <c r="P757" s="53">
        <v>0</v>
      </c>
      <c r="Q757" s="53">
        <v>0</v>
      </c>
      <c r="R757" s="53">
        <v>0</v>
      </c>
      <c r="S757" s="53">
        <v>0</v>
      </c>
      <c r="T757" s="53">
        <v>0</v>
      </c>
      <c r="U757" s="53">
        <v>1350</v>
      </c>
      <c r="V757" s="53">
        <v>0</v>
      </c>
      <c r="W757" s="53">
        <v>0</v>
      </c>
      <c r="X757" s="53">
        <v>0</v>
      </c>
      <c r="Y757" s="53">
        <v>0</v>
      </c>
      <c r="Z757" s="53">
        <v>0</v>
      </c>
      <c r="AA757" s="53">
        <v>0</v>
      </c>
      <c r="AB757" s="53">
        <v>0</v>
      </c>
      <c r="AC757" s="53">
        <v>0</v>
      </c>
      <c r="AD757" s="53">
        <v>0</v>
      </c>
      <c r="AE757" s="53">
        <v>0</v>
      </c>
      <c r="AF757" s="53">
        <v>0</v>
      </c>
      <c r="AG757" s="53">
        <v>0</v>
      </c>
      <c r="AH757" s="53">
        <v>0</v>
      </c>
      <c r="AI757" s="53">
        <v>0</v>
      </c>
      <c r="AJ757" s="53">
        <v>0</v>
      </c>
      <c r="AK757" s="53">
        <v>0</v>
      </c>
      <c r="AL757" s="53">
        <v>0</v>
      </c>
      <c r="AM757" s="53" t="str">
        <f>I757-J757-K757-L757-M757-N757-O757-P757-Q757-R757-S757-T757-U757-V757-W757-X757-Y757-Z757-AA757-AB757-AC757-AD757-AE757-AF757-AG757+AH757-AI757+AJ757+AK757-AL757</f>
        <v>0</v>
      </c>
      <c r="AN757" s="53"/>
      <c r="AO757" s="27"/>
    </row>
    <row r="758" spans="1:41">
      <c r="A758" s="44">
        <v>730</v>
      </c>
      <c r="B758" s="46" t="s">
        <v>2982</v>
      </c>
      <c r="C758" s="48" t="s">
        <v>2983</v>
      </c>
      <c r="D758" s="51" t="s">
        <v>73</v>
      </c>
      <c r="E758" s="51" t="s">
        <v>2968</v>
      </c>
      <c r="F758" s="54" t="s">
        <v>1484</v>
      </c>
      <c r="G758" s="50">
        <v>5</v>
      </c>
      <c r="H758" s="51" t="s">
        <v>2984</v>
      </c>
      <c r="I758" s="53">
        <v>1440000</v>
      </c>
      <c r="J758" s="53">
        <v>0</v>
      </c>
      <c r="K758" s="53">
        <v>27000</v>
      </c>
      <c r="L758" s="53">
        <v>0</v>
      </c>
      <c r="M758" s="53">
        <v>0</v>
      </c>
      <c r="N758" s="53">
        <v>0</v>
      </c>
      <c r="O758" s="53">
        <v>0</v>
      </c>
      <c r="P758" s="53">
        <v>0</v>
      </c>
      <c r="Q758" s="53">
        <v>0</v>
      </c>
      <c r="R758" s="53">
        <v>0</v>
      </c>
      <c r="S758" s="53">
        <v>0</v>
      </c>
      <c r="T758" s="53">
        <v>0</v>
      </c>
      <c r="U758" s="53">
        <v>1350</v>
      </c>
      <c r="V758" s="53">
        <v>0</v>
      </c>
      <c r="W758" s="53">
        <v>0</v>
      </c>
      <c r="X758" s="53">
        <v>0</v>
      </c>
      <c r="Y758" s="53">
        <v>0</v>
      </c>
      <c r="Z758" s="53">
        <v>0</v>
      </c>
      <c r="AA758" s="53">
        <v>0</v>
      </c>
      <c r="AB758" s="53">
        <v>0</v>
      </c>
      <c r="AC758" s="53">
        <v>0</v>
      </c>
      <c r="AD758" s="53">
        <v>0</v>
      </c>
      <c r="AE758" s="53">
        <v>0</v>
      </c>
      <c r="AF758" s="53">
        <v>0</v>
      </c>
      <c r="AG758" s="53">
        <v>0</v>
      </c>
      <c r="AH758" s="53">
        <v>0</v>
      </c>
      <c r="AI758" s="53">
        <v>0</v>
      </c>
      <c r="AJ758" s="53">
        <v>0</v>
      </c>
      <c r="AK758" s="53">
        <v>0</v>
      </c>
      <c r="AL758" s="53">
        <v>0</v>
      </c>
      <c r="AM758" s="53" t="str">
        <f>I758-J758-K758-L758-M758-N758-O758-P758-Q758-R758-S758-T758-U758-V758-W758-X758-Y758-Z758-AA758-AB758-AC758-AD758-AE758-AF758-AG758+AH758-AI758+AJ758+AK758-AL758</f>
        <v>0</v>
      </c>
      <c r="AN758" s="53"/>
      <c r="AO758" s="27"/>
    </row>
    <row r="759" spans="1:41">
      <c r="A759" s="44">
        <v>731</v>
      </c>
      <c r="B759" s="46" t="s">
        <v>2985</v>
      </c>
      <c r="C759" s="48" t="s">
        <v>2986</v>
      </c>
      <c r="D759" s="51" t="s">
        <v>73</v>
      </c>
      <c r="E759" s="51" t="s">
        <v>2968</v>
      </c>
      <c r="F759" s="54" t="s">
        <v>2987</v>
      </c>
      <c r="G759" s="50">
        <v>4</v>
      </c>
      <c r="H759" s="51" t="s">
        <v>2988</v>
      </c>
      <c r="I759" s="53">
        <v>664100</v>
      </c>
      <c r="J759" s="53">
        <v>0</v>
      </c>
      <c r="K759" s="53">
        <v>25000</v>
      </c>
      <c r="L759" s="53">
        <v>0</v>
      </c>
      <c r="M759" s="53">
        <v>0</v>
      </c>
      <c r="N759" s="53">
        <v>0</v>
      </c>
      <c r="O759" s="53">
        <v>0</v>
      </c>
      <c r="P759" s="53">
        <v>0</v>
      </c>
      <c r="Q759" s="53">
        <v>0</v>
      </c>
      <c r="R759" s="53">
        <v>0</v>
      </c>
      <c r="S759" s="53">
        <v>0</v>
      </c>
      <c r="T759" s="53">
        <v>0</v>
      </c>
      <c r="U759" s="53">
        <v>1250</v>
      </c>
      <c r="V759" s="53">
        <v>0</v>
      </c>
      <c r="W759" s="53">
        <v>0</v>
      </c>
      <c r="X759" s="53">
        <v>0</v>
      </c>
      <c r="Y759" s="53">
        <v>0</v>
      </c>
      <c r="Z759" s="53">
        <v>0</v>
      </c>
      <c r="AA759" s="53">
        <v>0</v>
      </c>
      <c r="AB759" s="53">
        <v>0</v>
      </c>
      <c r="AC759" s="53">
        <v>0</v>
      </c>
      <c r="AD759" s="53">
        <v>0</v>
      </c>
      <c r="AE759" s="53">
        <v>0</v>
      </c>
      <c r="AF759" s="53">
        <v>0</v>
      </c>
      <c r="AG759" s="53">
        <v>0</v>
      </c>
      <c r="AH759" s="53">
        <v>0</v>
      </c>
      <c r="AI759" s="53">
        <v>0</v>
      </c>
      <c r="AJ759" s="53">
        <v>0</v>
      </c>
      <c r="AK759" s="53">
        <v>0</v>
      </c>
      <c r="AL759" s="53">
        <v>0</v>
      </c>
      <c r="AM759" s="53" t="str">
        <f>I759-J759-K759-L759-M759-N759-O759-P759-Q759-R759-S759-T759-U759-V759-W759-X759-Y759-Z759-AA759-AB759-AC759-AD759-AE759-AF759-AG759+AH759-AI759+AJ759+AK759-AL759</f>
        <v>0</v>
      </c>
      <c r="AN759" s="53"/>
      <c r="AO759" s="27"/>
    </row>
    <row r="760" spans="1:41">
      <c r="A760" s="44">
        <v>732</v>
      </c>
      <c r="B760" s="46" t="s">
        <v>2989</v>
      </c>
      <c r="C760" s="48" t="s">
        <v>2990</v>
      </c>
      <c r="D760" s="51" t="s">
        <v>73</v>
      </c>
      <c r="E760" s="51" t="s">
        <v>2968</v>
      </c>
      <c r="F760" s="54" t="s">
        <v>2991</v>
      </c>
      <c r="G760" s="50">
        <v>2</v>
      </c>
      <c r="H760" s="51" t="s">
        <v>2992</v>
      </c>
      <c r="I760" s="53">
        <v>220000</v>
      </c>
      <c r="J760" s="53">
        <v>0</v>
      </c>
      <c r="K760" s="53">
        <v>22000</v>
      </c>
      <c r="L760" s="53">
        <v>0</v>
      </c>
      <c r="M760" s="53">
        <v>0</v>
      </c>
      <c r="N760" s="53">
        <v>0</v>
      </c>
      <c r="O760" s="53">
        <v>0</v>
      </c>
      <c r="P760" s="53">
        <v>0</v>
      </c>
      <c r="Q760" s="53">
        <v>0</v>
      </c>
      <c r="R760" s="53">
        <v>0</v>
      </c>
      <c r="S760" s="53">
        <v>0</v>
      </c>
      <c r="T760" s="53">
        <v>0</v>
      </c>
      <c r="U760" s="53">
        <v>1100</v>
      </c>
      <c r="V760" s="53">
        <v>0</v>
      </c>
      <c r="W760" s="53">
        <v>0</v>
      </c>
      <c r="X760" s="53">
        <v>0</v>
      </c>
      <c r="Y760" s="53">
        <v>0</v>
      </c>
      <c r="Z760" s="53">
        <v>0</v>
      </c>
      <c r="AA760" s="53">
        <v>0</v>
      </c>
      <c r="AB760" s="53">
        <v>0</v>
      </c>
      <c r="AC760" s="53">
        <v>0</v>
      </c>
      <c r="AD760" s="53">
        <v>0</v>
      </c>
      <c r="AE760" s="53">
        <v>0</v>
      </c>
      <c r="AF760" s="53">
        <v>0</v>
      </c>
      <c r="AG760" s="53">
        <v>0</v>
      </c>
      <c r="AH760" s="53">
        <v>0</v>
      </c>
      <c r="AI760" s="53">
        <v>0</v>
      </c>
      <c r="AJ760" s="53">
        <v>0</v>
      </c>
      <c r="AK760" s="53">
        <v>0</v>
      </c>
      <c r="AL760" s="53">
        <v>0</v>
      </c>
      <c r="AM760" s="53" t="str">
        <f>I760-J760-K760-L760-M760-N760-O760-P760-Q760-R760-S760-T760-U760-V760-W760-X760-Y760-Z760-AA760-AB760-AC760-AD760-AE760-AF760-AG760+AH760-AI760+AJ760+AK760-AL760</f>
        <v>0</v>
      </c>
      <c r="AN760" s="53"/>
      <c r="AO760" s="27"/>
    </row>
    <row r="761" spans="1:41">
      <c r="A761" s="44">
        <v>733</v>
      </c>
      <c r="B761" s="46" t="s">
        <v>2993</v>
      </c>
      <c r="C761" s="48" t="s">
        <v>2994</v>
      </c>
      <c r="D761" s="51" t="s">
        <v>73</v>
      </c>
      <c r="E761" s="51" t="s">
        <v>2968</v>
      </c>
      <c r="F761" s="54" t="s">
        <v>1376</v>
      </c>
      <c r="G761" s="50">
        <v>5</v>
      </c>
      <c r="H761" s="51" t="s">
        <v>2995</v>
      </c>
      <c r="I761" s="53">
        <v>754100</v>
      </c>
      <c r="J761" s="53">
        <v>0</v>
      </c>
      <c r="K761" s="53">
        <v>27000</v>
      </c>
      <c r="L761" s="53">
        <v>0</v>
      </c>
      <c r="M761" s="53">
        <v>0</v>
      </c>
      <c r="N761" s="53">
        <v>0</v>
      </c>
      <c r="O761" s="53">
        <v>0</v>
      </c>
      <c r="P761" s="53">
        <v>0</v>
      </c>
      <c r="Q761" s="53">
        <v>0</v>
      </c>
      <c r="R761" s="53">
        <v>0</v>
      </c>
      <c r="S761" s="53">
        <v>0</v>
      </c>
      <c r="T761" s="53">
        <v>0</v>
      </c>
      <c r="U761" s="53">
        <v>1350</v>
      </c>
      <c r="V761" s="53">
        <v>0</v>
      </c>
      <c r="W761" s="53">
        <v>0</v>
      </c>
      <c r="X761" s="53">
        <v>0</v>
      </c>
      <c r="Y761" s="53">
        <v>0</v>
      </c>
      <c r="Z761" s="53">
        <v>0</v>
      </c>
      <c r="AA761" s="53">
        <v>0</v>
      </c>
      <c r="AB761" s="53">
        <v>0</v>
      </c>
      <c r="AC761" s="53">
        <v>0</v>
      </c>
      <c r="AD761" s="53">
        <v>0</v>
      </c>
      <c r="AE761" s="53">
        <v>0</v>
      </c>
      <c r="AF761" s="53">
        <v>0</v>
      </c>
      <c r="AG761" s="53">
        <v>0</v>
      </c>
      <c r="AH761" s="53">
        <v>0</v>
      </c>
      <c r="AI761" s="53">
        <v>0</v>
      </c>
      <c r="AJ761" s="53">
        <v>0</v>
      </c>
      <c r="AK761" s="53">
        <v>0</v>
      </c>
      <c r="AL761" s="53">
        <v>0</v>
      </c>
      <c r="AM761" s="53" t="str">
        <f>I761-J761-K761-L761-M761-N761-O761-P761-Q761-R761-S761-T761-U761-V761-W761-X761-Y761-Z761-AA761-AB761-AC761-AD761-AE761-AF761-AG761+AH761-AI761+AJ761+AK761-AL761</f>
        <v>0</v>
      </c>
      <c r="AN761" s="53"/>
      <c r="AO761" s="27"/>
    </row>
    <row r="762" spans="1:41">
      <c r="A762" s="44">
        <v>734</v>
      </c>
      <c r="B762" s="46" t="s">
        <v>2996</v>
      </c>
      <c r="C762" s="48" t="s">
        <v>2997</v>
      </c>
      <c r="D762" s="51" t="s">
        <v>73</v>
      </c>
      <c r="E762" s="51" t="s">
        <v>2968</v>
      </c>
      <c r="F762" s="54" t="s">
        <v>2665</v>
      </c>
      <c r="G762" s="50">
        <v>3</v>
      </c>
      <c r="H762" s="51" t="s">
        <v>2998</v>
      </c>
      <c r="I762" s="53">
        <v>664100</v>
      </c>
      <c r="J762" s="53">
        <v>0</v>
      </c>
      <c r="K762" s="53">
        <v>22000</v>
      </c>
      <c r="L762" s="53">
        <v>0</v>
      </c>
      <c r="M762" s="53">
        <v>0</v>
      </c>
      <c r="N762" s="53">
        <v>0</v>
      </c>
      <c r="O762" s="53">
        <v>0</v>
      </c>
      <c r="P762" s="53">
        <v>0</v>
      </c>
      <c r="Q762" s="53">
        <v>0</v>
      </c>
      <c r="R762" s="53">
        <v>0</v>
      </c>
      <c r="S762" s="53">
        <v>0</v>
      </c>
      <c r="T762" s="53">
        <v>0</v>
      </c>
      <c r="U762" s="53">
        <v>1100</v>
      </c>
      <c r="V762" s="53">
        <v>0</v>
      </c>
      <c r="W762" s="53">
        <v>0</v>
      </c>
      <c r="X762" s="53">
        <v>0</v>
      </c>
      <c r="Y762" s="53">
        <v>0</v>
      </c>
      <c r="Z762" s="53">
        <v>0</v>
      </c>
      <c r="AA762" s="53">
        <v>0</v>
      </c>
      <c r="AB762" s="53">
        <v>0</v>
      </c>
      <c r="AC762" s="53">
        <v>0</v>
      </c>
      <c r="AD762" s="53">
        <v>0</v>
      </c>
      <c r="AE762" s="53">
        <v>0</v>
      </c>
      <c r="AF762" s="53">
        <v>0</v>
      </c>
      <c r="AG762" s="53">
        <v>0</v>
      </c>
      <c r="AH762" s="53">
        <v>0</v>
      </c>
      <c r="AI762" s="53">
        <v>0</v>
      </c>
      <c r="AJ762" s="53">
        <v>0</v>
      </c>
      <c r="AK762" s="53">
        <v>0</v>
      </c>
      <c r="AL762" s="53">
        <v>0</v>
      </c>
      <c r="AM762" s="53" t="str">
        <f>I762-J762-K762-L762-M762-N762-O762-P762-Q762-R762-S762-T762-U762-V762-W762-X762-Y762-Z762-AA762-AB762-AC762-AD762-AE762-AF762-AG762+AH762-AI762+AJ762+AK762-AL762</f>
        <v>0</v>
      </c>
      <c r="AN762" s="53"/>
      <c r="AO762" s="27"/>
    </row>
    <row r="763" spans="1:41">
      <c r="A763" s="44">
        <v>735</v>
      </c>
      <c r="B763" s="46" t="s">
        <v>2999</v>
      </c>
      <c r="C763" s="48" t="s">
        <v>3000</v>
      </c>
      <c r="D763" s="51" t="s">
        <v>73</v>
      </c>
      <c r="E763" s="51" t="s">
        <v>3001</v>
      </c>
      <c r="F763" s="54" t="s">
        <v>3002</v>
      </c>
      <c r="G763" s="50">
        <v>6</v>
      </c>
      <c r="H763" s="51" t="s">
        <v>3003</v>
      </c>
      <c r="I763" s="53">
        <v>980000</v>
      </c>
      <c r="J763" s="53">
        <v>0</v>
      </c>
      <c r="K763" s="53">
        <v>31000</v>
      </c>
      <c r="L763" s="53">
        <v>0</v>
      </c>
      <c r="M763" s="53">
        <v>0</v>
      </c>
      <c r="N763" s="53">
        <v>0</v>
      </c>
      <c r="O763" s="53">
        <v>0</v>
      </c>
      <c r="P763" s="53">
        <v>0</v>
      </c>
      <c r="Q763" s="53">
        <v>0</v>
      </c>
      <c r="R763" s="53">
        <v>0</v>
      </c>
      <c r="S763" s="53">
        <v>0</v>
      </c>
      <c r="T763" s="53">
        <v>0</v>
      </c>
      <c r="U763" s="53">
        <v>1550</v>
      </c>
      <c r="V763" s="53">
        <v>0</v>
      </c>
      <c r="W763" s="53">
        <v>0</v>
      </c>
      <c r="X763" s="53">
        <v>0</v>
      </c>
      <c r="Y763" s="53">
        <v>0</v>
      </c>
      <c r="Z763" s="53">
        <v>0</v>
      </c>
      <c r="AA763" s="53">
        <v>0</v>
      </c>
      <c r="AB763" s="53">
        <v>0</v>
      </c>
      <c r="AC763" s="53">
        <v>0</v>
      </c>
      <c r="AD763" s="53">
        <v>0</v>
      </c>
      <c r="AE763" s="53">
        <v>0</v>
      </c>
      <c r="AF763" s="53">
        <v>0</v>
      </c>
      <c r="AG763" s="53">
        <v>0</v>
      </c>
      <c r="AH763" s="53">
        <v>0</v>
      </c>
      <c r="AI763" s="53">
        <v>0</v>
      </c>
      <c r="AJ763" s="53">
        <v>0</v>
      </c>
      <c r="AK763" s="53">
        <v>0</v>
      </c>
      <c r="AL763" s="53">
        <v>0</v>
      </c>
      <c r="AM763" s="53" t="str">
        <f>I763-J763-K763-L763-M763-N763-O763-P763-Q763-R763-S763-T763-U763-V763-W763-X763-Y763-Z763-AA763-AB763-AC763-AD763-AE763-AF763-AG763+AH763-AI763+AJ763+AK763-AL763</f>
        <v>0</v>
      </c>
      <c r="AN763" s="53"/>
      <c r="AO763" s="27"/>
    </row>
    <row r="764" spans="1:41">
      <c r="A764" s="44">
        <v>736</v>
      </c>
      <c r="B764" s="46" t="s">
        <v>3004</v>
      </c>
      <c r="C764" s="48" t="s">
        <v>3005</v>
      </c>
      <c r="D764" s="51" t="s">
        <v>73</v>
      </c>
      <c r="E764" s="51" t="s">
        <v>3001</v>
      </c>
      <c r="F764" s="54" t="s">
        <v>3006</v>
      </c>
      <c r="G764" s="50">
        <v>4</v>
      </c>
      <c r="H764" s="51" t="s">
        <v>3007</v>
      </c>
      <c r="I764" s="53">
        <v>525000</v>
      </c>
      <c r="J764" s="53">
        <v>0</v>
      </c>
      <c r="K764" s="53">
        <v>25000</v>
      </c>
      <c r="L764" s="53">
        <v>0</v>
      </c>
      <c r="M764" s="53">
        <v>0</v>
      </c>
      <c r="N764" s="53">
        <v>0</v>
      </c>
      <c r="O764" s="53">
        <v>0</v>
      </c>
      <c r="P764" s="53">
        <v>0</v>
      </c>
      <c r="Q764" s="53">
        <v>0</v>
      </c>
      <c r="R764" s="53">
        <v>0</v>
      </c>
      <c r="S764" s="53">
        <v>0</v>
      </c>
      <c r="T764" s="53">
        <v>0</v>
      </c>
      <c r="U764" s="53">
        <v>1250</v>
      </c>
      <c r="V764" s="53">
        <v>0</v>
      </c>
      <c r="W764" s="53">
        <v>0</v>
      </c>
      <c r="X764" s="53">
        <v>0</v>
      </c>
      <c r="Y764" s="53">
        <v>0</v>
      </c>
      <c r="Z764" s="53">
        <v>0</v>
      </c>
      <c r="AA764" s="53">
        <v>0</v>
      </c>
      <c r="AB764" s="53">
        <v>0</v>
      </c>
      <c r="AC764" s="53">
        <v>0</v>
      </c>
      <c r="AD764" s="53">
        <v>0</v>
      </c>
      <c r="AE764" s="53">
        <v>0</v>
      </c>
      <c r="AF764" s="53">
        <v>0</v>
      </c>
      <c r="AG764" s="53">
        <v>0</v>
      </c>
      <c r="AH764" s="53">
        <v>0</v>
      </c>
      <c r="AI764" s="53">
        <v>0</v>
      </c>
      <c r="AJ764" s="53">
        <v>0</v>
      </c>
      <c r="AK764" s="53">
        <v>0</v>
      </c>
      <c r="AL764" s="53">
        <v>0</v>
      </c>
      <c r="AM764" s="53" t="str">
        <f>I764-J764-K764-L764-M764-N764-O764-P764-Q764-R764-S764-T764-U764-V764-W764-X764-Y764-Z764-AA764-AB764-AC764-AD764-AE764-AF764-AG764+AH764-AI764+AJ764+AK764-AL764</f>
        <v>0</v>
      </c>
      <c r="AN764" s="53"/>
      <c r="AO764" s="27"/>
    </row>
    <row r="765" spans="1:41">
      <c r="A765" s="44">
        <v>737</v>
      </c>
      <c r="B765" s="46" t="s">
        <v>3008</v>
      </c>
      <c r="C765" s="48" t="s">
        <v>3009</v>
      </c>
      <c r="D765" s="51" t="s">
        <v>73</v>
      </c>
      <c r="E765" s="51" t="s">
        <v>3001</v>
      </c>
      <c r="F765" s="54" t="s">
        <v>3010</v>
      </c>
      <c r="G765" s="50">
        <v>10</v>
      </c>
      <c r="H765" s="51" t="s">
        <v>3011</v>
      </c>
      <c r="I765" s="53">
        <v>1215000</v>
      </c>
      <c r="J765" s="53">
        <v>0</v>
      </c>
      <c r="K765" s="53">
        <v>49000</v>
      </c>
      <c r="L765" s="53">
        <v>0</v>
      </c>
      <c r="M765" s="53">
        <v>0</v>
      </c>
      <c r="N765" s="53">
        <v>0</v>
      </c>
      <c r="O765" s="53">
        <v>0</v>
      </c>
      <c r="P765" s="53">
        <v>0</v>
      </c>
      <c r="Q765" s="53">
        <v>0</v>
      </c>
      <c r="R765" s="53">
        <v>0</v>
      </c>
      <c r="S765" s="53">
        <v>0</v>
      </c>
      <c r="T765" s="53">
        <v>0</v>
      </c>
      <c r="U765" s="53">
        <v>2450</v>
      </c>
      <c r="V765" s="53">
        <v>0</v>
      </c>
      <c r="W765" s="53">
        <v>0</v>
      </c>
      <c r="X765" s="53">
        <v>0</v>
      </c>
      <c r="Y765" s="53">
        <v>0</v>
      </c>
      <c r="Z765" s="53">
        <v>0</v>
      </c>
      <c r="AA765" s="53">
        <v>0</v>
      </c>
      <c r="AB765" s="53">
        <v>0</v>
      </c>
      <c r="AC765" s="53">
        <v>0</v>
      </c>
      <c r="AD765" s="53">
        <v>0</v>
      </c>
      <c r="AE765" s="53">
        <v>0</v>
      </c>
      <c r="AF765" s="53">
        <v>0</v>
      </c>
      <c r="AG765" s="53">
        <v>0</v>
      </c>
      <c r="AH765" s="53">
        <v>0</v>
      </c>
      <c r="AI765" s="53">
        <v>0</v>
      </c>
      <c r="AJ765" s="53">
        <v>0</v>
      </c>
      <c r="AK765" s="53">
        <v>0</v>
      </c>
      <c r="AL765" s="53">
        <v>0</v>
      </c>
      <c r="AM765" s="53" t="str">
        <f>I765-J765-K765-L765-M765-N765-O765-P765-Q765-R765-S765-T765-U765-V765-W765-X765-Y765-Z765-AA765-AB765-AC765-AD765-AE765-AF765-AG765+AH765-AI765+AJ765+AK765-AL765</f>
        <v>0</v>
      </c>
      <c r="AN765" s="53"/>
      <c r="AO765" s="27"/>
    </row>
    <row r="766" spans="1:41">
      <c r="A766" s="44">
        <v>738</v>
      </c>
      <c r="B766" s="46" t="s">
        <v>3012</v>
      </c>
      <c r="C766" s="48" t="s">
        <v>3013</v>
      </c>
      <c r="D766" s="51" t="s">
        <v>73</v>
      </c>
      <c r="E766" s="51" t="s">
        <v>3001</v>
      </c>
      <c r="F766" s="54" t="s">
        <v>2520</v>
      </c>
      <c r="G766" s="50">
        <v>5</v>
      </c>
      <c r="H766" s="51" t="s">
        <v>3014</v>
      </c>
      <c r="I766" s="53">
        <v>594000</v>
      </c>
      <c r="J766" s="53">
        <v>0</v>
      </c>
      <c r="K766" s="53">
        <v>27000</v>
      </c>
      <c r="L766" s="53">
        <v>0</v>
      </c>
      <c r="M766" s="53">
        <v>0</v>
      </c>
      <c r="N766" s="53">
        <v>0</v>
      </c>
      <c r="O766" s="53">
        <v>0</v>
      </c>
      <c r="P766" s="53">
        <v>0</v>
      </c>
      <c r="Q766" s="53">
        <v>0</v>
      </c>
      <c r="R766" s="53">
        <v>0</v>
      </c>
      <c r="S766" s="53">
        <v>0</v>
      </c>
      <c r="T766" s="53">
        <v>0</v>
      </c>
      <c r="U766" s="53">
        <v>1350</v>
      </c>
      <c r="V766" s="53">
        <v>0</v>
      </c>
      <c r="W766" s="53">
        <v>0</v>
      </c>
      <c r="X766" s="53">
        <v>0</v>
      </c>
      <c r="Y766" s="53">
        <v>0</v>
      </c>
      <c r="Z766" s="53">
        <v>0</v>
      </c>
      <c r="AA766" s="53">
        <v>0</v>
      </c>
      <c r="AB766" s="53">
        <v>0</v>
      </c>
      <c r="AC766" s="53">
        <v>0</v>
      </c>
      <c r="AD766" s="53">
        <v>0</v>
      </c>
      <c r="AE766" s="53">
        <v>0</v>
      </c>
      <c r="AF766" s="53">
        <v>0</v>
      </c>
      <c r="AG766" s="53">
        <v>0</v>
      </c>
      <c r="AH766" s="53">
        <v>0</v>
      </c>
      <c r="AI766" s="53">
        <v>0</v>
      </c>
      <c r="AJ766" s="53">
        <v>0</v>
      </c>
      <c r="AK766" s="53">
        <v>0</v>
      </c>
      <c r="AL766" s="53">
        <v>0</v>
      </c>
      <c r="AM766" s="53" t="str">
        <f>I766-J766-K766-L766-M766-N766-O766-P766-Q766-R766-S766-T766-U766-V766-W766-X766-Y766-Z766-AA766-AB766-AC766-AD766-AE766-AF766-AG766+AH766-AI766+AJ766+AK766-AL766</f>
        <v>0</v>
      </c>
      <c r="AN766" s="53"/>
      <c r="AO766" s="27"/>
    </row>
    <row r="767" spans="1:41">
      <c r="A767" s="44">
        <v>739</v>
      </c>
      <c r="B767" s="46" t="s">
        <v>3015</v>
      </c>
      <c r="C767" s="48" t="s">
        <v>3016</v>
      </c>
      <c r="D767" s="51" t="s">
        <v>73</v>
      </c>
      <c r="E767" s="51" t="s">
        <v>3001</v>
      </c>
      <c r="F767" s="54" t="s">
        <v>3017</v>
      </c>
      <c r="G767" s="50">
        <v>4</v>
      </c>
      <c r="H767" s="51" t="s">
        <v>3018</v>
      </c>
      <c r="I767" s="53">
        <v>511100</v>
      </c>
      <c r="J767" s="53">
        <v>0</v>
      </c>
      <c r="K767" s="53">
        <v>25000</v>
      </c>
      <c r="L767" s="53">
        <v>0</v>
      </c>
      <c r="M767" s="53">
        <v>0</v>
      </c>
      <c r="N767" s="53">
        <v>0</v>
      </c>
      <c r="O767" s="53">
        <v>0</v>
      </c>
      <c r="P767" s="53">
        <v>0</v>
      </c>
      <c r="Q767" s="53">
        <v>0</v>
      </c>
      <c r="R767" s="53">
        <v>0</v>
      </c>
      <c r="S767" s="53">
        <v>0</v>
      </c>
      <c r="T767" s="53">
        <v>0</v>
      </c>
      <c r="U767" s="53">
        <v>1250</v>
      </c>
      <c r="V767" s="53">
        <v>0</v>
      </c>
      <c r="W767" s="53">
        <v>0</v>
      </c>
      <c r="X767" s="53">
        <v>0</v>
      </c>
      <c r="Y767" s="53">
        <v>0</v>
      </c>
      <c r="Z767" s="53">
        <v>0</v>
      </c>
      <c r="AA767" s="53">
        <v>0</v>
      </c>
      <c r="AB767" s="53">
        <v>0</v>
      </c>
      <c r="AC767" s="53">
        <v>0</v>
      </c>
      <c r="AD767" s="53">
        <v>0</v>
      </c>
      <c r="AE767" s="53">
        <v>0</v>
      </c>
      <c r="AF767" s="53">
        <v>0</v>
      </c>
      <c r="AG767" s="53">
        <v>0</v>
      </c>
      <c r="AH767" s="53">
        <v>0</v>
      </c>
      <c r="AI767" s="53">
        <v>0</v>
      </c>
      <c r="AJ767" s="53">
        <v>0</v>
      </c>
      <c r="AK767" s="53">
        <v>0</v>
      </c>
      <c r="AL767" s="53">
        <v>0</v>
      </c>
      <c r="AM767" s="53" t="str">
        <f>I767-J767-K767-L767-M767-N767-O767-P767-Q767-R767-S767-T767-U767-V767-W767-X767-Y767-Z767-AA767-AB767-AC767-AD767-AE767-AF767-AG767+AH767-AI767+AJ767+AK767-AL767</f>
        <v>0</v>
      </c>
      <c r="AN767" s="53"/>
      <c r="AO767" s="27"/>
    </row>
    <row r="768" spans="1:41">
      <c r="A768" s="44">
        <v>740</v>
      </c>
      <c r="B768" s="46" t="s">
        <v>3019</v>
      </c>
      <c r="C768" s="48" t="s">
        <v>3020</v>
      </c>
      <c r="D768" s="51" t="s">
        <v>73</v>
      </c>
      <c r="E768" s="51" t="s">
        <v>3021</v>
      </c>
      <c r="F768" s="54" t="s">
        <v>3022</v>
      </c>
      <c r="G768" s="50">
        <v>5</v>
      </c>
      <c r="H768" s="51" t="s">
        <v>3023</v>
      </c>
      <c r="I768" s="53">
        <v>948500</v>
      </c>
      <c r="J768" s="53">
        <v>0</v>
      </c>
      <c r="K768" s="53">
        <v>27000</v>
      </c>
      <c r="L768" s="53">
        <v>0</v>
      </c>
      <c r="M768" s="53">
        <v>0</v>
      </c>
      <c r="N768" s="53">
        <v>0</v>
      </c>
      <c r="O768" s="53">
        <v>0</v>
      </c>
      <c r="P768" s="53">
        <v>0</v>
      </c>
      <c r="Q768" s="53">
        <v>0</v>
      </c>
      <c r="R768" s="53">
        <v>0</v>
      </c>
      <c r="S768" s="53">
        <v>0</v>
      </c>
      <c r="T768" s="53">
        <v>0</v>
      </c>
      <c r="U768" s="53">
        <v>1350</v>
      </c>
      <c r="V768" s="53">
        <v>0</v>
      </c>
      <c r="W768" s="53">
        <v>0</v>
      </c>
      <c r="X768" s="53">
        <v>0</v>
      </c>
      <c r="Y768" s="53">
        <v>0</v>
      </c>
      <c r="Z768" s="53">
        <v>0</v>
      </c>
      <c r="AA768" s="53">
        <v>0</v>
      </c>
      <c r="AB768" s="53">
        <v>0</v>
      </c>
      <c r="AC768" s="53">
        <v>0</v>
      </c>
      <c r="AD768" s="53">
        <v>0</v>
      </c>
      <c r="AE768" s="53">
        <v>0</v>
      </c>
      <c r="AF768" s="53">
        <v>0</v>
      </c>
      <c r="AG768" s="53">
        <v>0</v>
      </c>
      <c r="AH768" s="53">
        <v>0</v>
      </c>
      <c r="AI768" s="53">
        <v>0</v>
      </c>
      <c r="AJ768" s="53">
        <v>0</v>
      </c>
      <c r="AK768" s="53">
        <v>0</v>
      </c>
      <c r="AL768" s="53">
        <v>0</v>
      </c>
      <c r="AM768" s="53" t="str">
        <f>I768-J768-K768-L768-M768-N768-O768-P768-Q768-R768-S768-T768-U768-V768-W768-X768-Y768-Z768-AA768-AB768-AC768-AD768-AE768-AF768-AG768+AH768-AI768+AJ768+AK768-AL768</f>
        <v>0</v>
      </c>
      <c r="AN768" s="53"/>
      <c r="AO768" s="27"/>
    </row>
    <row r="769" spans="1:41">
      <c r="A769" s="44">
        <v>741</v>
      </c>
      <c r="B769" s="46" t="s">
        <v>3024</v>
      </c>
      <c r="C769" s="48" t="s">
        <v>3025</v>
      </c>
      <c r="D769" s="51" t="s">
        <v>73</v>
      </c>
      <c r="E769" s="51" t="s">
        <v>3021</v>
      </c>
      <c r="F769" s="54" t="s">
        <v>3026</v>
      </c>
      <c r="G769" s="50">
        <v>6</v>
      </c>
      <c r="H769" s="51" t="s">
        <v>3027</v>
      </c>
      <c r="I769" s="53">
        <v>1304100</v>
      </c>
      <c r="J769" s="53">
        <v>0</v>
      </c>
      <c r="K769" s="53">
        <v>31000</v>
      </c>
      <c r="L769" s="53">
        <v>0</v>
      </c>
      <c r="M769" s="53">
        <v>0</v>
      </c>
      <c r="N769" s="53">
        <v>0</v>
      </c>
      <c r="O769" s="53">
        <v>0</v>
      </c>
      <c r="P769" s="53">
        <v>0</v>
      </c>
      <c r="Q769" s="53">
        <v>0</v>
      </c>
      <c r="R769" s="53">
        <v>0</v>
      </c>
      <c r="S769" s="53">
        <v>0</v>
      </c>
      <c r="T769" s="53">
        <v>0</v>
      </c>
      <c r="U769" s="53">
        <v>1550</v>
      </c>
      <c r="V769" s="53">
        <v>0</v>
      </c>
      <c r="W769" s="53">
        <v>0</v>
      </c>
      <c r="X769" s="53">
        <v>0</v>
      </c>
      <c r="Y769" s="53">
        <v>0</v>
      </c>
      <c r="Z769" s="53">
        <v>0</v>
      </c>
      <c r="AA769" s="53">
        <v>0</v>
      </c>
      <c r="AB769" s="53">
        <v>0</v>
      </c>
      <c r="AC769" s="53">
        <v>0</v>
      </c>
      <c r="AD769" s="53">
        <v>0</v>
      </c>
      <c r="AE769" s="53">
        <v>0</v>
      </c>
      <c r="AF769" s="53">
        <v>0</v>
      </c>
      <c r="AG769" s="53">
        <v>0</v>
      </c>
      <c r="AH769" s="53">
        <v>0</v>
      </c>
      <c r="AI769" s="53">
        <v>0</v>
      </c>
      <c r="AJ769" s="53">
        <v>0</v>
      </c>
      <c r="AK769" s="53">
        <v>0</v>
      </c>
      <c r="AL769" s="53">
        <v>0</v>
      </c>
      <c r="AM769" s="53" t="str">
        <f>I769-J769-K769-L769-M769-N769-O769-P769-Q769-R769-S769-T769-U769-V769-W769-X769-Y769-Z769-AA769-AB769-AC769-AD769-AE769-AF769-AG769+AH769-AI769+AJ769+AK769-AL769</f>
        <v>0</v>
      </c>
      <c r="AN769" s="53"/>
      <c r="AO769" s="27"/>
    </row>
    <row r="770" spans="1:41">
      <c r="A770" s="44">
        <v>742</v>
      </c>
      <c r="B770" s="46" t="s">
        <v>3028</v>
      </c>
      <c r="C770" s="48" t="s">
        <v>3029</v>
      </c>
      <c r="D770" s="51" t="s">
        <v>73</v>
      </c>
      <c r="E770" s="51" t="s">
        <v>3021</v>
      </c>
      <c r="F770" s="54" t="s">
        <v>3030</v>
      </c>
      <c r="G770" s="50">
        <v>5</v>
      </c>
      <c r="H770" s="51" t="s">
        <v>3031</v>
      </c>
      <c r="I770" s="53">
        <v>956000</v>
      </c>
      <c r="J770" s="53">
        <v>0</v>
      </c>
      <c r="K770" s="53">
        <v>27000</v>
      </c>
      <c r="L770" s="53">
        <v>0</v>
      </c>
      <c r="M770" s="53">
        <v>0</v>
      </c>
      <c r="N770" s="53">
        <v>0</v>
      </c>
      <c r="O770" s="53">
        <v>0</v>
      </c>
      <c r="P770" s="53">
        <v>0</v>
      </c>
      <c r="Q770" s="53">
        <v>0</v>
      </c>
      <c r="R770" s="53">
        <v>0</v>
      </c>
      <c r="S770" s="53">
        <v>0</v>
      </c>
      <c r="T770" s="53">
        <v>0</v>
      </c>
      <c r="U770" s="53">
        <v>1350</v>
      </c>
      <c r="V770" s="53">
        <v>0</v>
      </c>
      <c r="W770" s="53">
        <v>0</v>
      </c>
      <c r="X770" s="53">
        <v>0</v>
      </c>
      <c r="Y770" s="53">
        <v>0</v>
      </c>
      <c r="Z770" s="53">
        <v>0</v>
      </c>
      <c r="AA770" s="53">
        <v>0</v>
      </c>
      <c r="AB770" s="53">
        <v>0</v>
      </c>
      <c r="AC770" s="53">
        <v>0</v>
      </c>
      <c r="AD770" s="53">
        <v>0</v>
      </c>
      <c r="AE770" s="53">
        <v>0</v>
      </c>
      <c r="AF770" s="53">
        <v>0</v>
      </c>
      <c r="AG770" s="53">
        <v>0</v>
      </c>
      <c r="AH770" s="53">
        <v>0</v>
      </c>
      <c r="AI770" s="53">
        <v>0</v>
      </c>
      <c r="AJ770" s="53">
        <v>0</v>
      </c>
      <c r="AK770" s="53">
        <v>0</v>
      </c>
      <c r="AL770" s="53">
        <v>0</v>
      </c>
      <c r="AM770" s="53" t="str">
        <f>I770-J770-K770-L770-M770-N770-O770-P770-Q770-R770-S770-T770-U770-V770-W770-X770-Y770-Z770-AA770-AB770-AC770-AD770-AE770-AF770-AG770+AH770-AI770+AJ770+AK770-AL770</f>
        <v>0</v>
      </c>
      <c r="AN770" s="53"/>
      <c r="AO770" s="27"/>
    </row>
    <row r="771" spans="1:41">
      <c r="A771" s="44">
        <v>743</v>
      </c>
      <c r="B771" s="46" t="s">
        <v>3032</v>
      </c>
      <c r="C771" s="48" t="s">
        <v>3033</v>
      </c>
      <c r="D771" s="51" t="s">
        <v>73</v>
      </c>
      <c r="E771" s="51" t="s">
        <v>3021</v>
      </c>
      <c r="F771" s="54" t="s">
        <v>3034</v>
      </c>
      <c r="G771" s="50">
        <v>5</v>
      </c>
      <c r="H771" s="51" t="s">
        <v>3035</v>
      </c>
      <c r="I771" s="53">
        <v>390500</v>
      </c>
      <c r="J771" s="53">
        <v>0</v>
      </c>
      <c r="K771" s="53">
        <v>27000</v>
      </c>
      <c r="L771" s="53">
        <v>0</v>
      </c>
      <c r="M771" s="53">
        <v>0</v>
      </c>
      <c r="N771" s="53">
        <v>0</v>
      </c>
      <c r="O771" s="53">
        <v>0</v>
      </c>
      <c r="P771" s="53">
        <v>0</v>
      </c>
      <c r="Q771" s="53">
        <v>0</v>
      </c>
      <c r="R771" s="53">
        <v>0</v>
      </c>
      <c r="S771" s="53">
        <v>0</v>
      </c>
      <c r="T771" s="53">
        <v>0</v>
      </c>
      <c r="U771" s="53">
        <v>1350</v>
      </c>
      <c r="V771" s="53">
        <v>0</v>
      </c>
      <c r="W771" s="53">
        <v>0</v>
      </c>
      <c r="X771" s="53">
        <v>0</v>
      </c>
      <c r="Y771" s="53">
        <v>0</v>
      </c>
      <c r="Z771" s="53">
        <v>0</v>
      </c>
      <c r="AA771" s="53">
        <v>0</v>
      </c>
      <c r="AB771" s="53">
        <v>0</v>
      </c>
      <c r="AC771" s="53">
        <v>0</v>
      </c>
      <c r="AD771" s="53">
        <v>0</v>
      </c>
      <c r="AE771" s="53">
        <v>0</v>
      </c>
      <c r="AF771" s="53">
        <v>0</v>
      </c>
      <c r="AG771" s="53">
        <v>0</v>
      </c>
      <c r="AH771" s="53">
        <v>0</v>
      </c>
      <c r="AI771" s="53">
        <v>0</v>
      </c>
      <c r="AJ771" s="53">
        <v>0</v>
      </c>
      <c r="AK771" s="53">
        <v>0</v>
      </c>
      <c r="AL771" s="53">
        <v>0</v>
      </c>
      <c r="AM771" s="53" t="str">
        <f>I771-J771-K771-L771-M771-N771-O771-P771-Q771-R771-S771-T771-U771-V771-W771-X771-Y771-Z771-AA771-AB771-AC771-AD771-AE771-AF771-AG771+AH771-AI771+AJ771+AK771-AL771</f>
        <v>0</v>
      </c>
      <c r="AN771" s="53"/>
      <c r="AO771" s="27"/>
    </row>
    <row r="772" spans="1:41">
      <c r="A772" s="44">
        <v>744</v>
      </c>
      <c r="B772" s="46" t="s">
        <v>3036</v>
      </c>
      <c r="C772" s="48" t="s">
        <v>3037</v>
      </c>
      <c r="D772" s="51" t="s">
        <v>73</v>
      </c>
      <c r="E772" s="51" t="s">
        <v>3021</v>
      </c>
      <c r="F772" s="54" t="s">
        <v>3038</v>
      </c>
      <c r="G772" s="50">
        <v>8</v>
      </c>
      <c r="H772" s="51" t="s">
        <v>3039</v>
      </c>
      <c r="I772" s="53">
        <v>1440000</v>
      </c>
      <c r="J772" s="53">
        <v>0</v>
      </c>
      <c r="K772" s="53">
        <v>39000</v>
      </c>
      <c r="L772" s="53">
        <v>0</v>
      </c>
      <c r="M772" s="53">
        <v>0</v>
      </c>
      <c r="N772" s="53">
        <v>0</v>
      </c>
      <c r="O772" s="53">
        <v>0</v>
      </c>
      <c r="P772" s="53">
        <v>0</v>
      </c>
      <c r="Q772" s="53">
        <v>0</v>
      </c>
      <c r="R772" s="53">
        <v>0</v>
      </c>
      <c r="S772" s="53">
        <v>0</v>
      </c>
      <c r="T772" s="53">
        <v>0</v>
      </c>
      <c r="U772" s="53">
        <v>1950</v>
      </c>
      <c r="V772" s="53">
        <v>0</v>
      </c>
      <c r="W772" s="53">
        <v>0</v>
      </c>
      <c r="X772" s="53">
        <v>0</v>
      </c>
      <c r="Y772" s="53">
        <v>0</v>
      </c>
      <c r="Z772" s="53">
        <v>0</v>
      </c>
      <c r="AA772" s="53">
        <v>0</v>
      </c>
      <c r="AB772" s="53">
        <v>0</v>
      </c>
      <c r="AC772" s="53">
        <v>0</v>
      </c>
      <c r="AD772" s="53">
        <v>0</v>
      </c>
      <c r="AE772" s="53">
        <v>0</v>
      </c>
      <c r="AF772" s="53">
        <v>0</v>
      </c>
      <c r="AG772" s="53">
        <v>0</v>
      </c>
      <c r="AH772" s="53">
        <v>0</v>
      </c>
      <c r="AI772" s="53">
        <v>0</v>
      </c>
      <c r="AJ772" s="53">
        <v>0</v>
      </c>
      <c r="AK772" s="53">
        <v>0</v>
      </c>
      <c r="AL772" s="53">
        <v>0</v>
      </c>
      <c r="AM772" s="53" t="str">
        <f>I772-J772-K772-L772-M772-N772-O772-P772-Q772-R772-S772-T772-U772-V772-W772-X772-Y772-Z772-AA772-AB772-AC772-AD772-AE772-AF772-AG772+AH772-AI772+AJ772+AK772-AL772</f>
        <v>0</v>
      </c>
      <c r="AN772" s="53"/>
      <c r="AO772" s="27"/>
    </row>
    <row r="773" spans="1:41">
      <c r="A773" s="44">
        <v>745</v>
      </c>
      <c r="B773" s="46" t="s">
        <v>3040</v>
      </c>
      <c r="C773" s="48" t="s">
        <v>3041</v>
      </c>
      <c r="D773" s="51" t="s">
        <v>73</v>
      </c>
      <c r="E773" s="51" t="s">
        <v>3021</v>
      </c>
      <c r="F773" s="54" t="s">
        <v>3042</v>
      </c>
      <c r="G773" s="50">
        <v>8</v>
      </c>
      <c r="H773" s="51" t="s">
        <v>3043</v>
      </c>
      <c r="I773" s="53">
        <v>1800000</v>
      </c>
      <c r="J773" s="53">
        <v>0</v>
      </c>
      <c r="K773" s="53">
        <v>39000</v>
      </c>
      <c r="L773" s="53">
        <v>0</v>
      </c>
      <c r="M773" s="53">
        <v>0</v>
      </c>
      <c r="N773" s="53">
        <v>0</v>
      </c>
      <c r="O773" s="53">
        <v>0</v>
      </c>
      <c r="P773" s="53">
        <v>0</v>
      </c>
      <c r="Q773" s="53">
        <v>0</v>
      </c>
      <c r="R773" s="53">
        <v>0</v>
      </c>
      <c r="S773" s="53">
        <v>0</v>
      </c>
      <c r="T773" s="53">
        <v>0</v>
      </c>
      <c r="U773" s="53">
        <v>1950</v>
      </c>
      <c r="V773" s="53">
        <v>0</v>
      </c>
      <c r="W773" s="53">
        <v>0</v>
      </c>
      <c r="X773" s="53">
        <v>0</v>
      </c>
      <c r="Y773" s="53">
        <v>0</v>
      </c>
      <c r="Z773" s="53">
        <v>0</v>
      </c>
      <c r="AA773" s="53">
        <v>0</v>
      </c>
      <c r="AB773" s="53">
        <v>0</v>
      </c>
      <c r="AC773" s="53">
        <v>0</v>
      </c>
      <c r="AD773" s="53">
        <v>0</v>
      </c>
      <c r="AE773" s="53">
        <v>0</v>
      </c>
      <c r="AF773" s="53">
        <v>0</v>
      </c>
      <c r="AG773" s="53">
        <v>0</v>
      </c>
      <c r="AH773" s="53">
        <v>0</v>
      </c>
      <c r="AI773" s="53">
        <v>0</v>
      </c>
      <c r="AJ773" s="53">
        <v>0</v>
      </c>
      <c r="AK773" s="53">
        <v>0</v>
      </c>
      <c r="AL773" s="53">
        <v>0</v>
      </c>
      <c r="AM773" s="53" t="str">
        <f>I773-J773-K773-L773-M773-N773-O773-P773-Q773-R773-S773-T773-U773-V773-W773-X773-Y773-Z773-AA773-AB773-AC773-AD773-AE773-AF773-AG773+AH773-AI773+AJ773+AK773-AL773</f>
        <v>0</v>
      </c>
      <c r="AN773" s="53"/>
      <c r="AO773" s="27"/>
    </row>
    <row r="774" spans="1:41">
      <c r="A774" s="44">
        <v>746</v>
      </c>
      <c r="B774" s="46" t="s">
        <v>3044</v>
      </c>
      <c r="C774" s="48" t="s">
        <v>3045</v>
      </c>
      <c r="D774" s="51" t="s">
        <v>73</v>
      </c>
      <c r="E774" s="51" t="s">
        <v>3021</v>
      </c>
      <c r="F774" s="54" t="s">
        <v>3046</v>
      </c>
      <c r="G774" s="50">
        <v>5</v>
      </c>
      <c r="H774" s="51" t="s">
        <v>3047</v>
      </c>
      <c r="I774" s="53">
        <v>754100</v>
      </c>
      <c r="J774" s="53">
        <v>0</v>
      </c>
      <c r="K774" s="53">
        <v>23000</v>
      </c>
      <c r="L774" s="53">
        <v>0</v>
      </c>
      <c r="M774" s="53">
        <v>0</v>
      </c>
      <c r="N774" s="53">
        <v>0</v>
      </c>
      <c r="O774" s="53">
        <v>0</v>
      </c>
      <c r="P774" s="53">
        <v>0</v>
      </c>
      <c r="Q774" s="53">
        <v>0</v>
      </c>
      <c r="R774" s="53">
        <v>0</v>
      </c>
      <c r="S774" s="53">
        <v>0</v>
      </c>
      <c r="T774" s="53">
        <v>0</v>
      </c>
      <c r="U774" s="53">
        <v>1150</v>
      </c>
      <c r="V774" s="53">
        <v>0</v>
      </c>
      <c r="W774" s="53">
        <v>0</v>
      </c>
      <c r="X774" s="53">
        <v>0</v>
      </c>
      <c r="Y774" s="53">
        <v>0</v>
      </c>
      <c r="Z774" s="53">
        <v>0</v>
      </c>
      <c r="AA774" s="53">
        <v>0</v>
      </c>
      <c r="AB774" s="53">
        <v>0</v>
      </c>
      <c r="AC774" s="53">
        <v>0</v>
      </c>
      <c r="AD774" s="53">
        <v>0</v>
      </c>
      <c r="AE774" s="53">
        <v>0</v>
      </c>
      <c r="AF774" s="53">
        <v>0</v>
      </c>
      <c r="AG774" s="53">
        <v>0</v>
      </c>
      <c r="AH774" s="53">
        <v>0</v>
      </c>
      <c r="AI774" s="53">
        <v>0</v>
      </c>
      <c r="AJ774" s="53">
        <v>0</v>
      </c>
      <c r="AK774" s="53">
        <v>0</v>
      </c>
      <c r="AL774" s="53">
        <v>0</v>
      </c>
      <c r="AM774" s="53" t="str">
        <f>I774-J774-K774-L774-M774-N774-O774-P774-Q774-R774-S774-T774-U774-V774-W774-X774-Y774-Z774-AA774-AB774-AC774-AD774-AE774-AF774-AG774+AH774-AI774+AJ774+AK774-AL774</f>
        <v>0</v>
      </c>
      <c r="AN774" s="53"/>
      <c r="AO774" s="27"/>
    </row>
    <row r="775" spans="1:41">
      <c r="A775" s="44">
        <v>747</v>
      </c>
      <c r="B775" s="46" t="s">
        <v>3048</v>
      </c>
      <c r="C775" s="48" t="s">
        <v>3049</v>
      </c>
      <c r="D775" s="51" t="s">
        <v>73</v>
      </c>
      <c r="E775" s="51" t="s">
        <v>3021</v>
      </c>
      <c r="F775" s="54" t="s">
        <v>2228</v>
      </c>
      <c r="G775" s="50">
        <v>3</v>
      </c>
      <c r="H775" s="51" t="s">
        <v>3050</v>
      </c>
      <c r="I775" s="53">
        <v>570500</v>
      </c>
      <c r="J775" s="53">
        <v>0</v>
      </c>
      <c r="K775" s="53">
        <v>22000</v>
      </c>
      <c r="L775" s="53">
        <v>0</v>
      </c>
      <c r="M775" s="53">
        <v>0</v>
      </c>
      <c r="N775" s="53">
        <v>0</v>
      </c>
      <c r="O775" s="53">
        <v>0</v>
      </c>
      <c r="P775" s="53">
        <v>0</v>
      </c>
      <c r="Q775" s="53">
        <v>0</v>
      </c>
      <c r="R775" s="53">
        <v>0</v>
      </c>
      <c r="S775" s="53">
        <v>0</v>
      </c>
      <c r="T775" s="53">
        <v>0</v>
      </c>
      <c r="U775" s="53">
        <v>1100</v>
      </c>
      <c r="V775" s="53">
        <v>0</v>
      </c>
      <c r="W775" s="53">
        <v>0</v>
      </c>
      <c r="X775" s="53">
        <v>0</v>
      </c>
      <c r="Y775" s="53">
        <v>0</v>
      </c>
      <c r="Z775" s="53">
        <v>0</v>
      </c>
      <c r="AA775" s="53">
        <v>0</v>
      </c>
      <c r="AB775" s="53">
        <v>0</v>
      </c>
      <c r="AC775" s="53">
        <v>0</v>
      </c>
      <c r="AD775" s="53">
        <v>0</v>
      </c>
      <c r="AE775" s="53">
        <v>0</v>
      </c>
      <c r="AF775" s="53">
        <v>0</v>
      </c>
      <c r="AG775" s="53">
        <v>0</v>
      </c>
      <c r="AH775" s="53">
        <v>0</v>
      </c>
      <c r="AI775" s="53">
        <v>0</v>
      </c>
      <c r="AJ775" s="53">
        <v>0</v>
      </c>
      <c r="AK775" s="53">
        <v>0</v>
      </c>
      <c r="AL775" s="53">
        <v>0</v>
      </c>
      <c r="AM775" s="53" t="str">
        <f>I775-J775-K775-L775-M775-N775-O775-P775-Q775-R775-S775-T775-U775-V775-W775-X775-Y775-Z775-AA775-AB775-AC775-AD775-AE775-AF775-AG775+AH775-AI775+AJ775+AK775-AL775</f>
        <v>0</v>
      </c>
      <c r="AN775" s="53"/>
      <c r="AO775" s="27"/>
    </row>
    <row r="776" spans="1:41">
      <c r="A776" s="44">
        <v>748</v>
      </c>
      <c r="B776" s="46" t="s">
        <v>3051</v>
      </c>
      <c r="C776" s="48" t="s">
        <v>3052</v>
      </c>
      <c r="D776" s="51" t="s">
        <v>73</v>
      </c>
      <c r="E776" s="51" t="s">
        <v>3021</v>
      </c>
      <c r="F776" s="54" t="s">
        <v>808</v>
      </c>
      <c r="G776" s="50">
        <v>5</v>
      </c>
      <c r="H776" s="51" t="s">
        <v>3053</v>
      </c>
      <c r="I776" s="53">
        <v>926000</v>
      </c>
      <c r="J776" s="53">
        <v>0</v>
      </c>
      <c r="K776" s="53">
        <v>27000</v>
      </c>
      <c r="L776" s="53">
        <v>0</v>
      </c>
      <c r="M776" s="53">
        <v>0</v>
      </c>
      <c r="N776" s="53">
        <v>0</v>
      </c>
      <c r="O776" s="53">
        <v>0</v>
      </c>
      <c r="P776" s="53">
        <v>0</v>
      </c>
      <c r="Q776" s="53">
        <v>0</v>
      </c>
      <c r="R776" s="53">
        <v>0</v>
      </c>
      <c r="S776" s="53">
        <v>0</v>
      </c>
      <c r="T776" s="53">
        <v>0</v>
      </c>
      <c r="U776" s="53">
        <v>1350</v>
      </c>
      <c r="V776" s="53">
        <v>0</v>
      </c>
      <c r="W776" s="53">
        <v>0</v>
      </c>
      <c r="X776" s="53">
        <v>0</v>
      </c>
      <c r="Y776" s="53">
        <v>0</v>
      </c>
      <c r="Z776" s="53">
        <v>0</v>
      </c>
      <c r="AA776" s="53">
        <v>0</v>
      </c>
      <c r="AB776" s="53">
        <v>0</v>
      </c>
      <c r="AC776" s="53">
        <v>0</v>
      </c>
      <c r="AD776" s="53">
        <v>0</v>
      </c>
      <c r="AE776" s="53">
        <v>0</v>
      </c>
      <c r="AF776" s="53">
        <v>0</v>
      </c>
      <c r="AG776" s="53">
        <v>0</v>
      </c>
      <c r="AH776" s="53">
        <v>0</v>
      </c>
      <c r="AI776" s="53">
        <v>0</v>
      </c>
      <c r="AJ776" s="53">
        <v>0</v>
      </c>
      <c r="AK776" s="53">
        <v>0</v>
      </c>
      <c r="AL776" s="53">
        <v>0</v>
      </c>
      <c r="AM776" s="53" t="str">
        <f>I776-J776-K776-L776-M776-N776-O776-P776-Q776-R776-S776-T776-U776-V776-W776-X776-Y776-Z776-AA776-AB776-AC776-AD776-AE776-AF776-AG776+AH776-AI776+AJ776+AK776-AL776</f>
        <v>0</v>
      </c>
      <c r="AN776" s="53"/>
      <c r="AO776" s="27"/>
    </row>
    <row r="777" spans="1:41">
      <c r="A777" s="44">
        <v>749</v>
      </c>
      <c r="B777" s="46" t="s">
        <v>3054</v>
      </c>
      <c r="C777" s="48" t="s">
        <v>3055</v>
      </c>
      <c r="D777" s="51" t="s">
        <v>73</v>
      </c>
      <c r="E777" s="51" t="s">
        <v>3056</v>
      </c>
      <c r="F777" s="54" t="s">
        <v>1768</v>
      </c>
      <c r="G777" s="50">
        <v>5</v>
      </c>
      <c r="H777" s="51" t="s">
        <v>3057</v>
      </c>
      <c r="I777" s="53">
        <v>570500</v>
      </c>
      <c r="J777" s="53">
        <v>0</v>
      </c>
      <c r="K777" s="53">
        <v>23000</v>
      </c>
      <c r="L777" s="53">
        <v>0</v>
      </c>
      <c r="M777" s="53">
        <v>0</v>
      </c>
      <c r="N777" s="53">
        <v>0</v>
      </c>
      <c r="O777" s="53">
        <v>0</v>
      </c>
      <c r="P777" s="53">
        <v>0</v>
      </c>
      <c r="Q777" s="53">
        <v>0</v>
      </c>
      <c r="R777" s="53">
        <v>0</v>
      </c>
      <c r="S777" s="53">
        <v>0</v>
      </c>
      <c r="T777" s="53">
        <v>0</v>
      </c>
      <c r="U777" s="53">
        <v>1150</v>
      </c>
      <c r="V777" s="53">
        <v>0</v>
      </c>
      <c r="W777" s="53">
        <v>0</v>
      </c>
      <c r="X777" s="53">
        <v>0</v>
      </c>
      <c r="Y777" s="53">
        <v>0</v>
      </c>
      <c r="Z777" s="53">
        <v>0</v>
      </c>
      <c r="AA777" s="53">
        <v>0</v>
      </c>
      <c r="AB777" s="53">
        <v>0</v>
      </c>
      <c r="AC777" s="53">
        <v>0</v>
      </c>
      <c r="AD777" s="53">
        <v>0</v>
      </c>
      <c r="AE777" s="53">
        <v>0</v>
      </c>
      <c r="AF777" s="53">
        <v>0</v>
      </c>
      <c r="AG777" s="53">
        <v>0</v>
      </c>
      <c r="AH777" s="53">
        <v>0</v>
      </c>
      <c r="AI777" s="53">
        <v>0</v>
      </c>
      <c r="AJ777" s="53">
        <v>0</v>
      </c>
      <c r="AK777" s="53">
        <v>0</v>
      </c>
      <c r="AL777" s="53">
        <v>0</v>
      </c>
      <c r="AM777" s="53" t="str">
        <f>I777-J777-K777-L777-M777-N777-O777-P777-Q777-R777-S777-T777-U777-V777-W777-X777-Y777-Z777-AA777-AB777-AC777-AD777-AE777-AF777-AG777+AH777-AI777+AJ777+AK777-AL777</f>
        <v>0</v>
      </c>
      <c r="AN777" s="53"/>
      <c r="AO777" s="27"/>
    </row>
    <row r="778" spans="1:41">
      <c r="A778" s="44">
        <v>750</v>
      </c>
      <c r="B778" s="46" t="s">
        <v>3058</v>
      </c>
      <c r="C778" s="48" t="s">
        <v>3059</v>
      </c>
      <c r="D778" s="51" t="s">
        <v>73</v>
      </c>
      <c r="E778" s="51" t="s">
        <v>3056</v>
      </c>
      <c r="F778" s="54" t="s">
        <v>3060</v>
      </c>
      <c r="G778" s="50">
        <v>5</v>
      </c>
      <c r="H778" s="51" t="s">
        <v>3061</v>
      </c>
      <c r="I778" s="53">
        <v>926000</v>
      </c>
      <c r="J778" s="53">
        <v>0</v>
      </c>
      <c r="K778" s="53">
        <v>27000</v>
      </c>
      <c r="L778" s="53">
        <v>0</v>
      </c>
      <c r="M778" s="53">
        <v>0</v>
      </c>
      <c r="N778" s="53">
        <v>0</v>
      </c>
      <c r="O778" s="53">
        <v>0</v>
      </c>
      <c r="P778" s="53">
        <v>0</v>
      </c>
      <c r="Q778" s="53">
        <v>0</v>
      </c>
      <c r="R778" s="53">
        <v>0</v>
      </c>
      <c r="S778" s="53">
        <v>0</v>
      </c>
      <c r="T778" s="53">
        <v>0</v>
      </c>
      <c r="U778" s="53">
        <v>1350</v>
      </c>
      <c r="V778" s="53">
        <v>0</v>
      </c>
      <c r="W778" s="53">
        <v>0</v>
      </c>
      <c r="X778" s="53">
        <v>0</v>
      </c>
      <c r="Y778" s="53">
        <v>0</v>
      </c>
      <c r="Z778" s="53">
        <v>0</v>
      </c>
      <c r="AA778" s="53">
        <v>0</v>
      </c>
      <c r="AB778" s="53">
        <v>0</v>
      </c>
      <c r="AC778" s="53">
        <v>0</v>
      </c>
      <c r="AD778" s="53">
        <v>0</v>
      </c>
      <c r="AE778" s="53">
        <v>0</v>
      </c>
      <c r="AF778" s="53">
        <v>0</v>
      </c>
      <c r="AG778" s="53">
        <v>0</v>
      </c>
      <c r="AH778" s="53">
        <v>0</v>
      </c>
      <c r="AI778" s="53">
        <v>0</v>
      </c>
      <c r="AJ778" s="53">
        <v>0</v>
      </c>
      <c r="AK778" s="53">
        <v>0</v>
      </c>
      <c r="AL778" s="53">
        <v>0</v>
      </c>
      <c r="AM778" s="53" t="str">
        <f>I778-J778-K778-L778-M778-N778-O778-P778-Q778-R778-S778-T778-U778-V778-W778-X778-Y778-Z778-AA778-AB778-AC778-AD778-AE778-AF778-AG778+AH778-AI778+AJ778+AK778-AL778</f>
        <v>0</v>
      </c>
      <c r="AN778" s="53"/>
      <c r="AO778" s="27"/>
    </row>
    <row r="779" spans="1:41">
      <c r="A779" s="44">
        <v>751</v>
      </c>
      <c r="B779" s="46" t="s">
        <v>3062</v>
      </c>
      <c r="C779" s="48" t="s">
        <v>3063</v>
      </c>
      <c r="D779" s="51" t="s">
        <v>73</v>
      </c>
      <c r="E779" s="51" t="s">
        <v>3056</v>
      </c>
      <c r="F779" s="54" t="s">
        <v>1129</v>
      </c>
      <c r="G779" s="50">
        <v>3</v>
      </c>
      <c r="H779" s="51" t="s">
        <v>3064</v>
      </c>
      <c r="I779" s="53">
        <v>734000</v>
      </c>
      <c r="J779" s="53">
        <v>0</v>
      </c>
      <c r="K779" s="53">
        <v>22000</v>
      </c>
      <c r="L779" s="53">
        <v>0</v>
      </c>
      <c r="M779" s="53">
        <v>0</v>
      </c>
      <c r="N779" s="53">
        <v>0</v>
      </c>
      <c r="O779" s="53">
        <v>0</v>
      </c>
      <c r="P779" s="53">
        <v>0</v>
      </c>
      <c r="Q779" s="53">
        <v>0</v>
      </c>
      <c r="R779" s="53">
        <v>0</v>
      </c>
      <c r="S779" s="53">
        <v>0</v>
      </c>
      <c r="T779" s="53">
        <v>0</v>
      </c>
      <c r="U779" s="53">
        <v>1100</v>
      </c>
      <c r="V779" s="53">
        <v>0</v>
      </c>
      <c r="W779" s="53">
        <v>0</v>
      </c>
      <c r="X779" s="53">
        <v>0</v>
      </c>
      <c r="Y779" s="53">
        <v>0</v>
      </c>
      <c r="Z779" s="53">
        <v>0</v>
      </c>
      <c r="AA779" s="53">
        <v>0</v>
      </c>
      <c r="AB779" s="53">
        <v>0</v>
      </c>
      <c r="AC779" s="53">
        <v>0</v>
      </c>
      <c r="AD779" s="53">
        <v>0</v>
      </c>
      <c r="AE779" s="53">
        <v>0</v>
      </c>
      <c r="AF779" s="53">
        <v>0</v>
      </c>
      <c r="AG779" s="53">
        <v>0</v>
      </c>
      <c r="AH779" s="53">
        <v>0</v>
      </c>
      <c r="AI779" s="53">
        <v>0</v>
      </c>
      <c r="AJ779" s="53">
        <v>0</v>
      </c>
      <c r="AK779" s="53">
        <v>0</v>
      </c>
      <c r="AL779" s="53">
        <v>0</v>
      </c>
      <c r="AM779" s="53" t="str">
        <f>I779-J779-K779-L779-M779-N779-O779-P779-Q779-R779-S779-T779-U779-V779-W779-X779-Y779-Z779-AA779-AB779-AC779-AD779-AE779-AF779-AG779+AH779-AI779+AJ779+AK779-AL779</f>
        <v>0</v>
      </c>
      <c r="AN779" s="53"/>
      <c r="AO779" s="27"/>
    </row>
    <row r="780" spans="1:41">
      <c r="A780" s="44">
        <v>752</v>
      </c>
      <c r="B780" s="46" t="s">
        <v>3065</v>
      </c>
      <c r="C780" s="48" t="s">
        <v>3066</v>
      </c>
      <c r="D780" s="51" t="s">
        <v>73</v>
      </c>
      <c r="E780" s="51" t="s">
        <v>3056</v>
      </c>
      <c r="F780" s="54" t="s">
        <v>2507</v>
      </c>
      <c r="G780" s="50">
        <v>5</v>
      </c>
      <c r="H780" s="51" t="s">
        <v>3067</v>
      </c>
      <c r="I780" s="53">
        <v>754100</v>
      </c>
      <c r="J780" s="53">
        <v>0</v>
      </c>
      <c r="K780" s="53">
        <v>27000</v>
      </c>
      <c r="L780" s="53">
        <v>0</v>
      </c>
      <c r="M780" s="53">
        <v>0</v>
      </c>
      <c r="N780" s="53">
        <v>0</v>
      </c>
      <c r="O780" s="53">
        <v>0</v>
      </c>
      <c r="P780" s="53">
        <v>0</v>
      </c>
      <c r="Q780" s="53">
        <v>0</v>
      </c>
      <c r="R780" s="53">
        <v>0</v>
      </c>
      <c r="S780" s="53">
        <v>0</v>
      </c>
      <c r="T780" s="53">
        <v>0</v>
      </c>
      <c r="U780" s="53">
        <v>1350</v>
      </c>
      <c r="V780" s="53">
        <v>0</v>
      </c>
      <c r="W780" s="53">
        <v>0</v>
      </c>
      <c r="X780" s="53">
        <v>0</v>
      </c>
      <c r="Y780" s="53">
        <v>0</v>
      </c>
      <c r="Z780" s="53">
        <v>0</v>
      </c>
      <c r="AA780" s="53">
        <v>0</v>
      </c>
      <c r="AB780" s="53">
        <v>0</v>
      </c>
      <c r="AC780" s="53">
        <v>0</v>
      </c>
      <c r="AD780" s="53">
        <v>0</v>
      </c>
      <c r="AE780" s="53">
        <v>0</v>
      </c>
      <c r="AF780" s="53">
        <v>0</v>
      </c>
      <c r="AG780" s="53">
        <v>0</v>
      </c>
      <c r="AH780" s="53">
        <v>0</v>
      </c>
      <c r="AI780" s="53">
        <v>0</v>
      </c>
      <c r="AJ780" s="53">
        <v>0</v>
      </c>
      <c r="AK780" s="53">
        <v>0</v>
      </c>
      <c r="AL780" s="53">
        <v>0</v>
      </c>
      <c r="AM780" s="53" t="str">
        <f>I780-J780-K780-L780-M780-N780-O780-P780-Q780-R780-S780-T780-U780-V780-W780-X780-Y780-Z780-AA780-AB780-AC780-AD780-AE780-AF780-AG780+AH780-AI780+AJ780+AK780-AL780</f>
        <v>0</v>
      </c>
      <c r="AN780" s="53"/>
      <c r="AO780" s="27"/>
    </row>
    <row r="781" spans="1:41">
      <c r="A781" s="44">
        <v>753</v>
      </c>
      <c r="B781" s="46" t="s">
        <v>3068</v>
      </c>
      <c r="C781" s="48" t="s">
        <v>3069</v>
      </c>
      <c r="D781" s="51" t="s">
        <v>73</v>
      </c>
      <c r="E781" s="51" t="s">
        <v>3070</v>
      </c>
      <c r="F781" s="54" t="s">
        <v>1820</v>
      </c>
      <c r="G781" s="50">
        <v>5</v>
      </c>
      <c r="H781" s="51" t="s">
        <v>3071</v>
      </c>
      <c r="I781" s="53">
        <v>754100</v>
      </c>
      <c r="J781" s="53">
        <v>0</v>
      </c>
      <c r="K781" s="53">
        <v>23000</v>
      </c>
      <c r="L781" s="53">
        <v>0</v>
      </c>
      <c r="M781" s="53">
        <v>0</v>
      </c>
      <c r="N781" s="53">
        <v>0</v>
      </c>
      <c r="O781" s="53">
        <v>0</v>
      </c>
      <c r="P781" s="53">
        <v>0</v>
      </c>
      <c r="Q781" s="53">
        <v>0</v>
      </c>
      <c r="R781" s="53">
        <v>0</v>
      </c>
      <c r="S781" s="53">
        <v>0</v>
      </c>
      <c r="T781" s="53">
        <v>0</v>
      </c>
      <c r="U781" s="53">
        <v>1150</v>
      </c>
      <c r="V781" s="53">
        <v>0</v>
      </c>
      <c r="W781" s="53">
        <v>0</v>
      </c>
      <c r="X781" s="53">
        <v>0</v>
      </c>
      <c r="Y781" s="53">
        <v>0</v>
      </c>
      <c r="Z781" s="53">
        <v>0</v>
      </c>
      <c r="AA781" s="53">
        <v>0</v>
      </c>
      <c r="AB781" s="53">
        <v>0</v>
      </c>
      <c r="AC781" s="53">
        <v>0</v>
      </c>
      <c r="AD781" s="53">
        <v>0</v>
      </c>
      <c r="AE781" s="53">
        <v>0</v>
      </c>
      <c r="AF781" s="53">
        <v>0</v>
      </c>
      <c r="AG781" s="53">
        <v>0</v>
      </c>
      <c r="AH781" s="53">
        <v>0</v>
      </c>
      <c r="AI781" s="53">
        <v>0</v>
      </c>
      <c r="AJ781" s="53">
        <v>0</v>
      </c>
      <c r="AK781" s="53">
        <v>0</v>
      </c>
      <c r="AL781" s="53">
        <v>0</v>
      </c>
      <c r="AM781" s="53" t="str">
        <f>I781-J781-K781-L781-M781-N781-O781-P781-Q781-R781-S781-T781-U781-V781-W781-X781-Y781-Z781-AA781-AB781-AC781-AD781-AE781-AF781-AG781+AH781-AI781+AJ781+AK781-AL781</f>
        <v>0</v>
      </c>
      <c r="AN781" s="53"/>
      <c r="AO781" s="27"/>
    </row>
    <row r="782" spans="1:41">
      <c r="A782" s="44">
        <v>754</v>
      </c>
      <c r="B782" s="46" t="s">
        <v>3072</v>
      </c>
      <c r="C782" s="48" t="s">
        <v>3073</v>
      </c>
      <c r="D782" s="51" t="s">
        <v>73</v>
      </c>
      <c r="E782" s="51" t="s">
        <v>3070</v>
      </c>
      <c r="F782" s="54" t="s">
        <v>2851</v>
      </c>
      <c r="G782" s="50">
        <v>5.8</v>
      </c>
      <c r="H782" s="51" t="s">
        <v>3074</v>
      </c>
      <c r="I782" s="53">
        <v>634000</v>
      </c>
      <c r="J782" s="53">
        <v>0</v>
      </c>
      <c r="K782" s="53">
        <v>31000</v>
      </c>
      <c r="L782" s="53">
        <v>0</v>
      </c>
      <c r="M782" s="53">
        <v>0</v>
      </c>
      <c r="N782" s="53">
        <v>0</v>
      </c>
      <c r="O782" s="53">
        <v>0</v>
      </c>
      <c r="P782" s="53">
        <v>0</v>
      </c>
      <c r="Q782" s="53">
        <v>0</v>
      </c>
      <c r="R782" s="53">
        <v>0</v>
      </c>
      <c r="S782" s="53">
        <v>0</v>
      </c>
      <c r="T782" s="53">
        <v>0</v>
      </c>
      <c r="U782" s="53">
        <v>1550</v>
      </c>
      <c r="V782" s="53">
        <v>0</v>
      </c>
      <c r="W782" s="53">
        <v>0</v>
      </c>
      <c r="X782" s="53">
        <v>0</v>
      </c>
      <c r="Y782" s="53">
        <v>0</v>
      </c>
      <c r="Z782" s="53">
        <v>0</v>
      </c>
      <c r="AA782" s="53">
        <v>0</v>
      </c>
      <c r="AB782" s="53">
        <v>0</v>
      </c>
      <c r="AC782" s="53">
        <v>0</v>
      </c>
      <c r="AD782" s="53">
        <v>0</v>
      </c>
      <c r="AE782" s="53">
        <v>0</v>
      </c>
      <c r="AF782" s="53">
        <v>0</v>
      </c>
      <c r="AG782" s="53">
        <v>0</v>
      </c>
      <c r="AH782" s="53">
        <v>0</v>
      </c>
      <c r="AI782" s="53">
        <v>0</v>
      </c>
      <c r="AJ782" s="53">
        <v>0</v>
      </c>
      <c r="AK782" s="53">
        <v>0</v>
      </c>
      <c r="AL782" s="53">
        <v>0</v>
      </c>
      <c r="AM782" s="53" t="str">
        <f>I782-J782-K782-L782-M782-N782-O782-P782-Q782-R782-S782-T782-U782-V782-W782-X782-Y782-Z782-AA782-AB782-AC782-AD782-AE782-AF782-AG782+AH782-AI782+AJ782+AK782-AL782</f>
        <v>0</v>
      </c>
      <c r="AN782" s="53"/>
      <c r="AO782" s="27"/>
    </row>
    <row r="783" spans="1:41">
      <c r="A783" s="44">
        <v>755</v>
      </c>
      <c r="B783" s="46" t="s">
        <v>3075</v>
      </c>
      <c r="C783" s="48" t="s">
        <v>3076</v>
      </c>
      <c r="D783" s="51" t="s">
        <v>73</v>
      </c>
      <c r="E783" s="51" t="s">
        <v>3070</v>
      </c>
      <c r="F783" s="54" t="s">
        <v>2224</v>
      </c>
      <c r="G783" s="50">
        <v>5.8</v>
      </c>
      <c r="H783" s="51" t="s">
        <v>3077</v>
      </c>
      <c r="I783" s="53">
        <v>574100</v>
      </c>
      <c r="J783" s="53">
        <v>0</v>
      </c>
      <c r="K783" s="53">
        <v>31000</v>
      </c>
      <c r="L783" s="53">
        <v>0</v>
      </c>
      <c r="M783" s="53">
        <v>0</v>
      </c>
      <c r="N783" s="53">
        <v>0</v>
      </c>
      <c r="O783" s="53">
        <v>0</v>
      </c>
      <c r="P783" s="53">
        <v>0</v>
      </c>
      <c r="Q783" s="53">
        <v>0</v>
      </c>
      <c r="R783" s="53">
        <v>0</v>
      </c>
      <c r="S783" s="53">
        <v>0</v>
      </c>
      <c r="T783" s="53">
        <v>0</v>
      </c>
      <c r="U783" s="53">
        <v>1550</v>
      </c>
      <c r="V783" s="53">
        <v>0</v>
      </c>
      <c r="W783" s="53">
        <v>0</v>
      </c>
      <c r="X783" s="53">
        <v>0</v>
      </c>
      <c r="Y783" s="53">
        <v>0</v>
      </c>
      <c r="Z783" s="53">
        <v>0</v>
      </c>
      <c r="AA783" s="53">
        <v>0</v>
      </c>
      <c r="AB783" s="53">
        <v>0</v>
      </c>
      <c r="AC783" s="53">
        <v>0</v>
      </c>
      <c r="AD783" s="53">
        <v>0</v>
      </c>
      <c r="AE783" s="53">
        <v>0</v>
      </c>
      <c r="AF783" s="53">
        <v>0</v>
      </c>
      <c r="AG783" s="53">
        <v>0</v>
      </c>
      <c r="AH783" s="53">
        <v>0</v>
      </c>
      <c r="AI783" s="53">
        <v>0</v>
      </c>
      <c r="AJ783" s="53">
        <v>0</v>
      </c>
      <c r="AK783" s="53">
        <v>0</v>
      </c>
      <c r="AL783" s="53">
        <v>0</v>
      </c>
      <c r="AM783" s="53" t="str">
        <f>I783-J783-K783-L783-M783-N783-O783-P783-Q783-R783-S783-T783-U783-V783-W783-X783-Y783-Z783-AA783-AB783-AC783-AD783-AE783-AF783-AG783+AH783-AI783+AJ783+AK783-AL783</f>
        <v>0</v>
      </c>
      <c r="AN783" s="53"/>
      <c r="AO783" s="27"/>
    </row>
    <row r="784" spans="1:41">
      <c r="A784" s="44">
        <v>756</v>
      </c>
      <c r="B784" s="46" t="s">
        <v>3078</v>
      </c>
      <c r="C784" s="48" t="s">
        <v>3079</v>
      </c>
      <c r="D784" s="51" t="s">
        <v>73</v>
      </c>
      <c r="E784" s="51" t="s">
        <v>3070</v>
      </c>
      <c r="F784" s="54" t="s">
        <v>727</v>
      </c>
      <c r="G784" s="50">
        <v>8.3</v>
      </c>
      <c r="H784" s="51" t="s">
        <v>3080</v>
      </c>
      <c r="I784" s="53">
        <v>834200</v>
      </c>
      <c r="J784" s="53">
        <v>0</v>
      </c>
      <c r="K784" s="53">
        <v>40000</v>
      </c>
      <c r="L784" s="53">
        <v>0</v>
      </c>
      <c r="M784" s="53">
        <v>0</v>
      </c>
      <c r="N784" s="53">
        <v>0</v>
      </c>
      <c r="O784" s="53">
        <v>0</v>
      </c>
      <c r="P784" s="53">
        <v>0</v>
      </c>
      <c r="Q784" s="53">
        <v>0</v>
      </c>
      <c r="R784" s="53">
        <v>0</v>
      </c>
      <c r="S784" s="53">
        <v>0</v>
      </c>
      <c r="T784" s="53">
        <v>0</v>
      </c>
      <c r="U784" s="53">
        <v>2000</v>
      </c>
      <c r="V784" s="53">
        <v>0</v>
      </c>
      <c r="W784" s="53">
        <v>0</v>
      </c>
      <c r="X784" s="53">
        <v>0</v>
      </c>
      <c r="Y784" s="53">
        <v>0</v>
      </c>
      <c r="Z784" s="53">
        <v>0</v>
      </c>
      <c r="AA784" s="53">
        <v>0</v>
      </c>
      <c r="AB784" s="53">
        <v>0</v>
      </c>
      <c r="AC784" s="53">
        <v>0</v>
      </c>
      <c r="AD784" s="53">
        <v>0</v>
      </c>
      <c r="AE784" s="53">
        <v>0</v>
      </c>
      <c r="AF784" s="53">
        <v>0</v>
      </c>
      <c r="AG784" s="53">
        <v>0</v>
      </c>
      <c r="AH784" s="53">
        <v>0</v>
      </c>
      <c r="AI784" s="53">
        <v>0</v>
      </c>
      <c r="AJ784" s="53">
        <v>0</v>
      </c>
      <c r="AK784" s="53">
        <v>0</v>
      </c>
      <c r="AL784" s="53">
        <v>0</v>
      </c>
      <c r="AM784" s="53" t="str">
        <f>I784-J784-K784-L784-M784-N784-O784-P784-Q784-R784-S784-T784-U784-V784-W784-X784-Y784-Z784-AA784-AB784-AC784-AD784-AE784-AF784-AG784+AH784-AI784+AJ784+AK784-AL784</f>
        <v>0</v>
      </c>
      <c r="AN784" s="53"/>
      <c r="AO784" s="27"/>
    </row>
    <row r="785" spans="1:41">
      <c r="A785" s="44">
        <v>757</v>
      </c>
      <c r="B785" s="46" t="s">
        <v>3081</v>
      </c>
      <c r="C785" s="48" t="s">
        <v>3082</v>
      </c>
      <c r="D785" s="51" t="s">
        <v>73</v>
      </c>
      <c r="E785" s="51" t="s">
        <v>3083</v>
      </c>
      <c r="F785" s="54" t="s">
        <v>3084</v>
      </c>
      <c r="G785" s="50">
        <v>8</v>
      </c>
      <c r="H785" s="51" t="s">
        <v>3085</v>
      </c>
      <c r="I785" s="53">
        <v>0</v>
      </c>
      <c r="J785" s="53">
        <v>0</v>
      </c>
      <c r="K785" s="53">
        <v>39000</v>
      </c>
      <c r="L785" s="53">
        <v>0</v>
      </c>
      <c r="M785" s="53">
        <v>0</v>
      </c>
      <c r="N785" s="53">
        <v>0</v>
      </c>
      <c r="O785" s="53">
        <v>0</v>
      </c>
      <c r="P785" s="53">
        <v>0</v>
      </c>
      <c r="Q785" s="53">
        <v>0</v>
      </c>
      <c r="R785" s="53">
        <v>0</v>
      </c>
      <c r="S785" s="53">
        <v>0</v>
      </c>
      <c r="T785" s="53">
        <v>0</v>
      </c>
      <c r="U785" s="53">
        <v>1950</v>
      </c>
      <c r="V785" s="53">
        <v>0</v>
      </c>
      <c r="W785" s="53">
        <v>0</v>
      </c>
      <c r="X785" s="53">
        <v>0</v>
      </c>
      <c r="Y785" s="53">
        <v>20475</v>
      </c>
      <c r="Z785" s="53">
        <v>0</v>
      </c>
      <c r="AA785" s="53">
        <v>0</v>
      </c>
      <c r="AB785" s="53">
        <v>0</v>
      </c>
      <c r="AC785" s="53">
        <v>0</v>
      </c>
      <c r="AD785" s="53">
        <v>0</v>
      </c>
      <c r="AE785" s="53">
        <v>0</v>
      </c>
      <c r="AF785" s="53">
        <v>0</v>
      </c>
      <c r="AG785" s="53">
        <v>0</v>
      </c>
      <c r="AH785" s="53">
        <v>0</v>
      </c>
      <c r="AI785" s="53">
        <v>0</v>
      </c>
      <c r="AJ785" s="53">
        <v>0</v>
      </c>
      <c r="AK785" s="53">
        <v>0</v>
      </c>
      <c r="AL785" s="53">
        <v>0</v>
      </c>
      <c r="AM785" s="53" t="str">
        <f>I785-J785-K785-L785-M785-N785-O785-P785-Q785-R785-S785-T785-U785-V785-W785-X785-Y785-Z785-AA785-AB785-AC785-AD785-AE785-AF785-AG785+AH785-AI785+AJ785+AK785-AL785</f>
        <v>0</v>
      </c>
      <c r="AN785" s="53"/>
      <c r="AO785" s="27"/>
    </row>
    <row r="786" spans="1:41">
      <c r="A786" s="44">
        <v>758</v>
      </c>
      <c r="B786" s="46" t="s">
        <v>3086</v>
      </c>
      <c r="C786" s="48" t="s">
        <v>3087</v>
      </c>
      <c r="D786" s="51" t="s">
        <v>73</v>
      </c>
      <c r="E786" s="51" t="s">
        <v>3088</v>
      </c>
      <c r="F786" s="54" t="s">
        <v>3089</v>
      </c>
      <c r="G786" s="50">
        <v>3</v>
      </c>
      <c r="H786" s="51" t="s">
        <v>3090</v>
      </c>
      <c r="I786" s="53">
        <v>0</v>
      </c>
      <c r="J786" s="53">
        <v>0</v>
      </c>
      <c r="K786" s="53">
        <v>22000</v>
      </c>
      <c r="L786" s="53">
        <v>0</v>
      </c>
      <c r="M786" s="53">
        <v>0</v>
      </c>
      <c r="N786" s="53">
        <v>0</v>
      </c>
      <c r="O786" s="53">
        <v>0</v>
      </c>
      <c r="P786" s="53">
        <v>0</v>
      </c>
      <c r="Q786" s="53">
        <v>0</v>
      </c>
      <c r="R786" s="53">
        <v>0</v>
      </c>
      <c r="S786" s="53">
        <v>0</v>
      </c>
      <c r="T786" s="53">
        <v>0</v>
      </c>
      <c r="U786" s="53">
        <v>1100</v>
      </c>
      <c r="V786" s="53">
        <v>0</v>
      </c>
      <c r="W786" s="53">
        <v>0</v>
      </c>
      <c r="X786" s="53">
        <v>0</v>
      </c>
      <c r="Y786" s="53">
        <v>11550</v>
      </c>
      <c r="Z786" s="53">
        <v>0</v>
      </c>
      <c r="AA786" s="53">
        <v>0</v>
      </c>
      <c r="AB786" s="53">
        <v>0</v>
      </c>
      <c r="AC786" s="53">
        <v>0</v>
      </c>
      <c r="AD786" s="53">
        <v>0</v>
      </c>
      <c r="AE786" s="53">
        <v>0</v>
      </c>
      <c r="AF786" s="53">
        <v>0</v>
      </c>
      <c r="AG786" s="53">
        <v>0</v>
      </c>
      <c r="AH786" s="53">
        <v>0</v>
      </c>
      <c r="AI786" s="53">
        <v>0</v>
      </c>
      <c r="AJ786" s="53">
        <v>0</v>
      </c>
      <c r="AK786" s="53">
        <v>0</v>
      </c>
      <c r="AL786" s="53">
        <v>0</v>
      </c>
      <c r="AM786" s="53" t="str">
        <f>I786-J786-K786-L786-M786-N786-O786-P786-Q786-R786-S786-T786-U786-V786-W786-X786-Y786-Z786-AA786-AB786-AC786-AD786-AE786-AF786-AG786+AH786-AI786+AJ786+AK786-AL786</f>
        <v>0</v>
      </c>
      <c r="AN786" s="53"/>
      <c r="AO786" s="27"/>
    </row>
    <row r="787" spans="1:41">
      <c r="A787" s="44">
        <v>759</v>
      </c>
      <c r="B787" s="46" t="s">
        <v>3091</v>
      </c>
      <c r="C787" s="48" t="s">
        <v>3092</v>
      </c>
      <c r="D787" s="51" t="s">
        <v>73</v>
      </c>
      <c r="E787" s="51" t="s">
        <v>3088</v>
      </c>
      <c r="F787" s="54" t="s">
        <v>3093</v>
      </c>
      <c r="G787" s="50">
        <v>8</v>
      </c>
      <c r="H787" s="51" t="s">
        <v>3094</v>
      </c>
      <c r="I787" s="53">
        <v>0</v>
      </c>
      <c r="J787" s="53">
        <v>0</v>
      </c>
      <c r="K787" s="53">
        <v>39000</v>
      </c>
      <c r="L787" s="53">
        <v>0</v>
      </c>
      <c r="M787" s="53">
        <v>0</v>
      </c>
      <c r="N787" s="53">
        <v>0</v>
      </c>
      <c r="O787" s="53">
        <v>0</v>
      </c>
      <c r="P787" s="53">
        <v>0</v>
      </c>
      <c r="Q787" s="53">
        <v>0</v>
      </c>
      <c r="R787" s="53">
        <v>0</v>
      </c>
      <c r="S787" s="53">
        <v>0</v>
      </c>
      <c r="T787" s="53">
        <v>0</v>
      </c>
      <c r="U787" s="53">
        <v>1950</v>
      </c>
      <c r="V787" s="53">
        <v>0</v>
      </c>
      <c r="W787" s="53">
        <v>0</v>
      </c>
      <c r="X787" s="53">
        <v>0</v>
      </c>
      <c r="Y787" s="53">
        <v>20475</v>
      </c>
      <c r="Z787" s="53">
        <v>0</v>
      </c>
      <c r="AA787" s="53">
        <v>0</v>
      </c>
      <c r="AB787" s="53">
        <v>0</v>
      </c>
      <c r="AC787" s="53">
        <v>0</v>
      </c>
      <c r="AD787" s="53">
        <v>0</v>
      </c>
      <c r="AE787" s="53">
        <v>0</v>
      </c>
      <c r="AF787" s="53">
        <v>0</v>
      </c>
      <c r="AG787" s="53">
        <v>0</v>
      </c>
      <c r="AH787" s="53">
        <v>0</v>
      </c>
      <c r="AI787" s="53">
        <v>0</v>
      </c>
      <c r="AJ787" s="53">
        <v>0</v>
      </c>
      <c r="AK787" s="53">
        <v>0</v>
      </c>
      <c r="AL787" s="53">
        <v>0</v>
      </c>
      <c r="AM787" s="53" t="str">
        <f>I787-J787-K787-L787-M787-N787-O787-P787-Q787-R787-S787-T787-U787-V787-W787-X787-Y787-Z787-AA787-AB787-AC787-AD787-AE787-AF787-AG787+AH787-AI787+AJ787+AK787-AL787</f>
        <v>0</v>
      </c>
      <c r="AN787" s="53"/>
      <c r="AO787" s="27"/>
    </row>
    <row r="788" spans="1:41">
      <c r="A788" s="44">
        <v>760</v>
      </c>
      <c r="B788" s="46" t="s">
        <v>3095</v>
      </c>
      <c r="C788" s="48" t="s">
        <v>3096</v>
      </c>
      <c r="D788" s="51" t="s">
        <v>73</v>
      </c>
      <c r="E788" s="51" t="s">
        <v>3088</v>
      </c>
      <c r="F788" s="54" t="s">
        <v>3097</v>
      </c>
      <c r="G788" s="50">
        <v>3</v>
      </c>
      <c r="H788" s="51" t="s">
        <v>3098</v>
      </c>
      <c r="I788" s="53">
        <v>0</v>
      </c>
      <c r="J788" s="53">
        <v>0</v>
      </c>
      <c r="K788" s="53">
        <v>22000</v>
      </c>
      <c r="L788" s="53">
        <v>0</v>
      </c>
      <c r="M788" s="53">
        <v>0</v>
      </c>
      <c r="N788" s="53">
        <v>0</v>
      </c>
      <c r="O788" s="53">
        <v>0</v>
      </c>
      <c r="P788" s="53">
        <v>0</v>
      </c>
      <c r="Q788" s="53">
        <v>0</v>
      </c>
      <c r="R788" s="53">
        <v>0</v>
      </c>
      <c r="S788" s="53">
        <v>0</v>
      </c>
      <c r="T788" s="53">
        <v>0</v>
      </c>
      <c r="U788" s="53">
        <v>1100</v>
      </c>
      <c r="V788" s="53">
        <v>0</v>
      </c>
      <c r="W788" s="53">
        <v>0</v>
      </c>
      <c r="X788" s="53">
        <v>0</v>
      </c>
      <c r="Y788" s="53">
        <v>5250</v>
      </c>
      <c r="Z788" s="53">
        <v>0</v>
      </c>
      <c r="AA788" s="53">
        <v>0</v>
      </c>
      <c r="AB788" s="53">
        <v>0</v>
      </c>
      <c r="AC788" s="53">
        <v>0</v>
      </c>
      <c r="AD788" s="53">
        <v>0</v>
      </c>
      <c r="AE788" s="53">
        <v>0</v>
      </c>
      <c r="AF788" s="53">
        <v>0</v>
      </c>
      <c r="AG788" s="53">
        <v>0</v>
      </c>
      <c r="AH788" s="53">
        <v>0</v>
      </c>
      <c r="AI788" s="53">
        <v>0</v>
      </c>
      <c r="AJ788" s="53">
        <v>0</v>
      </c>
      <c r="AK788" s="53">
        <v>0</v>
      </c>
      <c r="AL788" s="53">
        <v>0</v>
      </c>
      <c r="AM788" s="53" t="str">
        <f>I788-J788-K788-L788-M788-N788-O788-P788-Q788-R788-S788-T788-U788-V788-W788-X788-Y788-Z788-AA788-AB788-AC788-AD788-AE788-AF788-AG788+AH788-AI788+AJ788+AK788-AL788</f>
        <v>0</v>
      </c>
      <c r="AN788" s="53"/>
      <c r="AO788" s="27"/>
    </row>
    <row r="789" spans="1:41">
      <c r="A789" s="44">
        <v>761</v>
      </c>
      <c r="B789" s="46" t="s">
        <v>3099</v>
      </c>
      <c r="C789" s="48" t="s">
        <v>3100</v>
      </c>
      <c r="D789" s="51" t="s">
        <v>73</v>
      </c>
      <c r="E789" s="51" t="s">
        <v>3088</v>
      </c>
      <c r="F789" s="54" t="s">
        <v>3101</v>
      </c>
      <c r="G789" s="50">
        <v>3</v>
      </c>
      <c r="H789" s="51" t="s">
        <v>3102</v>
      </c>
      <c r="I789" s="53">
        <v>0</v>
      </c>
      <c r="J789" s="53">
        <v>0</v>
      </c>
      <c r="K789" s="53">
        <v>22000</v>
      </c>
      <c r="L789" s="53">
        <v>0</v>
      </c>
      <c r="M789" s="53">
        <v>0</v>
      </c>
      <c r="N789" s="53">
        <v>0</v>
      </c>
      <c r="O789" s="53">
        <v>0</v>
      </c>
      <c r="P789" s="53">
        <v>0</v>
      </c>
      <c r="Q789" s="53">
        <v>0</v>
      </c>
      <c r="R789" s="53">
        <v>0</v>
      </c>
      <c r="S789" s="53">
        <v>0</v>
      </c>
      <c r="T789" s="53">
        <v>0</v>
      </c>
      <c r="U789" s="53">
        <v>1100</v>
      </c>
      <c r="V789" s="53">
        <v>0</v>
      </c>
      <c r="W789" s="53">
        <v>0</v>
      </c>
      <c r="X789" s="53">
        <v>0</v>
      </c>
      <c r="Y789" s="53">
        <v>11550</v>
      </c>
      <c r="Z789" s="53">
        <v>0</v>
      </c>
      <c r="AA789" s="53">
        <v>0</v>
      </c>
      <c r="AB789" s="53">
        <v>0</v>
      </c>
      <c r="AC789" s="53">
        <v>0</v>
      </c>
      <c r="AD789" s="53">
        <v>0</v>
      </c>
      <c r="AE789" s="53">
        <v>0</v>
      </c>
      <c r="AF789" s="53">
        <v>0</v>
      </c>
      <c r="AG789" s="53">
        <v>0</v>
      </c>
      <c r="AH789" s="53">
        <v>0</v>
      </c>
      <c r="AI789" s="53">
        <v>0</v>
      </c>
      <c r="AJ789" s="53">
        <v>0</v>
      </c>
      <c r="AK789" s="53">
        <v>0</v>
      </c>
      <c r="AL789" s="53">
        <v>0</v>
      </c>
      <c r="AM789" s="53" t="str">
        <f>I789-J789-K789-L789-M789-N789-O789-P789-Q789-R789-S789-T789-U789-V789-W789-X789-Y789-Z789-AA789-AB789-AC789-AD789-AE789-AF789-AG789+AH789-AI789+AJ789+AK789-AL789</f>
        <v>0</v>
      </c>
      <c r="AN789" s="53"/>
      <c r="AO789" s="27"/>
    </row>
    <row r="790" spans="1:41">
      <c r="A790" s="44">
        <v>762</v>
      </c>
      <c r="B790" s="46" t="s">
        <v>3103</v>
      </c>
      <c r="C790" s="48" t="s">
        <v>3104</v>
      </c>
      <c r="D790" s="51" t="s">
        <v>73</v>
      </c>
      <c r="E790" s="51" t="s">
        <v>3088</v>
      </c>
      <c r="F790" s="54" t="s">
        <v>1389</v>
      </c>
      <c r="G790" s="50">
        <v>5</v>
      </c>
      <c r="H790" s="51" t="s">
        <v>3105</v>
      </c>
      <c r="I790" s="53">
        <v>0</v>
      </c>
      <c r="J790" s="53">
        <v>0</v>
      </c>
      <c r="K790" s="53">
        <v>27000</v>
      </c>
      <c r="L790" s="53">
        <v>0</v>
      </c>
      <c r="M790" s="53">
        <v>0</v>
      </c>
      <c r="N790" s="53">
        <v>0</v>
      </c>
      <c r="O790" s="53">
        <v>0</v>
      </c>
      <c r="P790" s="53">
        <v>0</v>
      </c>
      <c r="Q790" s="53">
        <v>0</v>
      </c>
      <c r="R790" s="53">
        <v>0</v>
      </c>
      <c r="S790" s="53">
        <v>0</v>
      </c>
      <c r="T790" s="53">
        <v>0</v>
      </c>
      <c r="U790" s="53">
        <v>1350</v>
      </c>
      <c r="V790" s="53">
        <v>0</v>
      </c>
      <c r="W790" s="53">
        <v>0</v>
      </c>
      <c r="X790" s="53">
        <v>0</v>
      </c>
      <c r="Y790" s="53">
        <v>0</v>
      </c>
      <c r="Z790" s="53">
        <v>0</v>
      </c>
      <c r="AA790" s="53">
        <v>0</v>
      </c>
      <c r="AB790" s="53">
        <v>0</v>
      </c>
      <c r="AC790" s="53">
        <v>0</v>
      </c>
      <c r="AD790" s="53">
        <v>0</v>
      </c>
      <c r="AE790" s="53">
        <v>0</v>
      </c>
      <c r="AF790" s="53">
        <v>0</v>
      </c>
      <c r="AG790" s="53">
        <v>0</v>
      </c>
      <c r="AH790" s="53">
        <v>0</v>
      </c>
      <c r="AI790" s="53">
        <v>0</v>
      </c>
      <c r="AJ790" s="53">
        <v>0</v>
      </c>
      <c r="AK790" s="53">
        <v>0</v>
      </c>
      <c r="AL790" s="53">
        <v>0</v>
      </c>
      <c r="AM790" s="53" t="str">
        <f>I790-J790-K790-L790-M790-N790-O790-P790-Q790-R790-S790-T790-U790-V790-W790-X790-Y790-Z790-AA790-AB790-AC790-AD790-AE790-AF790-AG790+AH790-AI790+AJ790+AK790-AL790</f>
        <v>0</v>
      </c>
      <c r="AN790" s="53"/>
      <c r="AO790" s="27"/>
    </row>
    <row r="791" spans="1:41">
      <c r="A791" s="44">
        <v>763</v>
      </c>
      <c r="B791" s="46" t="s">
        <v>3106</v>
      </c>
      <c r="C791" s="48" t="s">
        <v>3107</v>
      </c>
      <c r="D791" s="51" t="s">
        <v>73</v>
      </c>
      <c r="E791" s="51" t="s">
        <v>3108</v>
      </c>
      <c r="F791" s="54" t="s">
        <v>3109</v>
      </c>
      <c r="G791" s="50">
        <v>8</v>
      </c>
      <c r="H791" s="51" t="s">
        <v>3110</v>
      </c>
      <c r="I791" s="53">
        <v>0</v>
      </c>
      <c r="J791" s="53">
        <v>0</v>
      </c>
      <c r="K791" s="53">
        <v>39000</v>
      </c>
      <c r="L791" s="53">
        <v>0</v>
      </c>
      <c r="M791" s="53">
        <v>0</v>
      </c>
      <c r="N791" s="53">
        <v>0</v>
      </c>
      <c r="O791" s="53">
        <v>0</v>
      </c>
      <c r="P791" s="53">
        <v>0</v>
      </c>
      <c r="Q791" s="53">
        <v>0</v>
      </c>
      <c r="R791" s="53">
        <v>0</v>
      </c>
      <c r="S791" s="53">
        <v>0</v>
      </c>
      <c r="T791" s="53">
        <v>0</v>
      </c>
      <c r="U791" s="53">
        <v>1950</v>
      </c>
      <c r="V791" s="53">
        <v>0</v>
      </c>
      <c r="W791" s="53">
        <v>0</v>
      </c>
      <c r="X791" s="53">
        <v>0</v>
      </c>
      <c r="Y791" s="53">
        <v>20475</v>
      </c>
      <c r="Z791" s="53">
        <v>0</v>
      </c>
      <c r="AA791" s="53">
        <v>0</v>
      </c>
      <c r="AB791" s="53">
        <v>0</v>
      </c>
      <c r="AC791" s="53">
        <v>0</v>
      </c>
      <c r="AD791" s="53">
        <v>0</v>
      </c>
      <c r="AE791" s="53">
        <v>0</v>
      </c>
      <c r="AF791" s="53">
        <v>0</v>
      </c>
      <c r="AG791" s="53">
        <v>0</v>
      </c>
      <c r="AH791" s="53">
        <v>0</v>
      </c>
      <c r="AI791" s="53">
        <v>0</v>
      </c>
      <c r="AJ791" s="53">
        <v>0</v>
      </c>
      <c r="AK791" s="53">
        <v>0</v>
      </c>
      <c r="AL791" s="53">
        <v>0</v>
      </c>
      <c r="AM791" s="53" t="str">
        <f>I791-J791-K791-L791-M791-N791-O791-P791-Q791-R791-S791-T791-U791-V791-W791-X791-Y791-Z791-AA791-AB791-AC791-AD791-AE791-AF791-AG791+AH791-AI791+AJ791+AK791-AL791</f>
        <v>0</v>
      </c>
      <c r="AN791" s="53"/>
      <c r="AO791" s="27"/>
    </row>
    <row r="792" spans="1:41">
      <c r="A792" s="44">
        <v>764</v>
      </c>
      <c r="B792" s="46" t="s">
        <v>3111</v>
      </c>
      <c r="C792" s="48" t="s">
        <v>3112</v>
      </c>
      <c r="D792" s="51" t="s">
        <v>73</v>
      </c>
      <c r="E792" s="51" t="s">
        <v>3108</v>
      </c>
      <c r="F792" s="54" t="s">
        <v>3113</v>
      </c>
      <c r="G792" s="50">
        <v>5</v>
      </c>
      <c r="H792" s="51" t="s">
        <v>3114</v>
      </c>
      <c r="I792" s="53">
        <v>0</v>
      </c>
      <c r="J792" s="53">
        <v>0</v>
      </c>
      <c r="K792" s="53">
        <v>27000</v>
      </c>
      <c r="L792" s="53">
        <v>0</v>
      </c>
      <c r="M792" s="53">
        <v>0</v>
      </c>
      <c r="N792" s="53">
        <v>0</v>
      </c>
      <c r="O792" s="53">
        <v>0</v>
      </c>
      <c r="P792" s="53">
        <v>0</v>
      </c>
      <c r="Q792" s="53">
        <v>0</v>
      </c>
      <c r="R792" s="53">
        <v>0</v>
      </c>
      <c r="S792" s="53">
        <v>0</v>
      </c>
      <c r="T792" s="53">
        <v>0</v>
      </c>
      <c r="U792" s="53">
        <v>1350</v>
      </c>
      <c r="V792" s="53">
        <v>0</v>
      </c>
      <c r="W792" s="53">
        <v>0</v>
      </c>
      <c r="X792" s="53">
        <v>0</v>
      </c>
      <c r="Y792" s="53">
        <v>5250</v>
      </c>
      <c r="Z792" s="53">
        <v>0</v>
      </c>
      <c r="AA792" s="53">
        <v>0</v>
      </c>
      <c r="AB792" s="53">
        <v>0</v>
      </c>
      <c r="AC792" s="53">
        <v>0</v>
      </c>
      <c r="AD792" s="53">
        <v>0</v>
      </c>
      <c r="AE792" s="53">
        <v>0</v>
      </c>
      <c r="AF792" s="53">
        <v>0</v>
      </c>
      <c r="AG792" s="53">
        <v>0</v>
      </c>
      <c r="AH792" s="53">
        <v>0</v>
      </c>
      <c r="AI792" s="53">
        <v>0</v>
      </c>
      <c r="AJ792" s="53">
        <v>0</v>
      </c>
      <c r="AK792" s="53">
        <v>0</v>
      </c>
      <c r="AL792" s="53">
        <v>0</v>
      </c>
      <c r="AM792" s="53" t="str">
        <f>I792-J792-K792-L792-M792-N792-O792-P792-Q792-R792-S792-T792-U792-V792-W792-X792-Y792-Z792-AA792-AB792-AC792-AD792-AE792-AF792-AG792+AH792-AI792+AJ792+AK792-AL792</f>
        <v>0</v>
      </c>
      <c r="AN792" s="53"/>
      <c r="AO792" s="27"/>
    </row>
    <row r="793" spans="1:41">
      <c r="A793" s="44">
        <v>765</v>
      </c>
      <c r="B793" s="46" t="s">
        <v>3115</v>
      </c>
      <c r="C793" s="48" t="s">
        <v>3116</v>
      </c>
      <c r="D793" s="51" t="s">
        <v>73</v>
      </c>
      <c r="E793" s="51" t="s">
        <v>3108</v>
      </c>
      <c r="F793" s="54" t="s">
        <v>3117</v>
      </c>
      <c r="G793" s="50">
        <v>3</v>
      </c>
      <c r="H793" s="51" t="s">
        <v>3118</v>
      </c>
      <c r="I793" s="53">
        <v>0</v>
      </c>
      <c r="J793" s="53">
        <v>0</v>
      </c>
      <c r="K793" s="53">
        <v>22000</v>
      </c>
      <c r="L793" s="53">
        <v>0</v>
      </c>
      <c r="M793" s="53">
        <v>0</v>
      </c>
      <c r="N793" s="53">
        <v>0</v>
      </c>
      <c r="O793" s="53">
        <v>0</v>
      </c>
      <c r="P793" s="53">
        <v>0</v>
      </c>
      <c r="Q793" s="53">
        <v>0</v>
      </c>
      <c r="R793" s="53">
        <v>0</v>
      </c>
      <c r="S793" s="53">
        <v>0</v>
      </c>
      <c r="T793" s="53">
        <v>0</v>
      </c>
      <c r="U793" s="53">
        <v>1100</v>
      </c>
      <c r="V793" s="53">
        <v>0</v>
      </c>
      <c r="W793" s="53">
        <v>0</v>
      </c>
      <c r="X793" s="53">
        <v>0</v>
      </c>
      <c r="Y793" s="53">
        <v>0</v>
      </c>
      <c r="Z793" s="53">
        <v>0</v>
      </c>
      <c r="AA793" s="53">
        <v>0</v>
      </c>
      <c r="AB793" s="53">
        <v>0</v>
      </c>
      <c r="AC793" s="53">
        <v>0</v>
      </c>
      <c r="AD793" s="53">
        <v>0</v>
      </c>
      <c r="AE793" s="53">
        <v>0</v>
      </c>
      <c r="AF793" s="53">
        <v>0</v>
      </c>
      <c r="AG793" s="53">
        <v>0</v>
      </c>
      <c r="AH793" s="53">
        <v>0</v>
      </c>
      <c r="AI793" s="53">
        <v>0</v>
      </c>
      <c r="AJ793" s="53">
        <v>0</v>
      </c>
      <c r="AK793" s="53">
        <v>0</v>
      </c>
      <c r="AL793" s="53">
        <v>0</v>
      </c>
      <c r="AM793" s="53" t="str">
        <f>I793-J793-K793-L793-M793-N793-O793-P793-Q793-R793-S793-T793-U793-V793-W793-X793-Y793-Z793-AA793-AB793-AC793-AD793-AE793-AF793-AG793+AH793-AI793+AJ793+AK793-AL793</f>
        <v>0</v>
      </c>
      <c r="AN793" s="53"/>
      <c r="AO793" s="27"/>
    </row>
    <row r="794" spans="1:41">
      <c r="A794" s="44">
        <v>766</v>
      </c>
      <c r="B794" s="46" t="s">
        <v>3119</v>
      </c>
      <c r="C794" s="48" t="s">
        <v>3120</v>
      </c>
      <c r="D794" s="51" t="s">
        <v>73</v>
      </c>
      <c r="E794" s="51" t="s">
        <v>3121</v>
      </c>
      <c r="F794" s="54" t="s">
        <v>3122</v>
      </c>
      <c r="G794" s="50">
        <v>5</v>
      </c>
      <c r="H794" s="51" t="s">
        <v>3123</v>
      </c>
      <c r="I794" s="53">
        <v>363500</v>
      </c>
      <c r="J794" s="53">
        <v>0</v>
      </c>
      <c r="K794" s="53">
        <v>23000</v>
      </c>
      <c r="L794" s="53">
        <v>0</v>
      </c>
      <c r="M794" s="53">
        <v>0</v>
      </c>
      <c r="N794" s="53">
        <v>0</v>
      </c>
      <c r="O794" s="53">
        <v>0</v>
      </c>
      <c r="P794" s="53">
        <v>0</v>
      </c>
      <c r="Q794" s="53">
        <v>0</v>
      </c>
      <c r="R794" s="53">
        <v>0</v>
      </c>
      <c r="S794" s="53">
        <v>0</v>
      </c>
      <c r="T794" s="53">
        <v>0</v>
      </c>
      <c r="U794" s="53">
        <v>1150</v>
      </c>
      <c r="V794" s="53">
        <v>0</v>
      </c>
      <c r="W794" s="53">
        <v>0</v>
      </c>
      <c r="X794" s="53">
        <v>0</v>
      </c>
      <c r="Y794" s="53">
        <v>0</v>
      </c>
      <c r="Z794" s="53">
        <v>0</v>
      </c>
      <c r="AA794" s="53">
        <v>0</v>
      </c>
      <c r="AB794" s="53">
        <v>0</v>
      </c>
      <c r="AC794" s="53">
        <v>0</v>
      </c>
      <c r="AD794" s="53">
        <v>0</v>
      </c>
      <c r="AE794" s="53">
        <v>0</v>
      </c>
      <c r="AF794" s="53">
        <v>0</v>
      </c>
      <c r="AG794" s="53">
        <v>0</v>
      </c>
      <c r="AH794" s="53">
        <v>0</v>
      </c>
      <c r="AI794" s="53">
        <v>0</v>
      </c>
      <c r="AJ794" s="53">
        <v>0</v>
      </c>
      <c r="AK794" s="53">
        <v>0</v>
      </c>
      <c r="AL794" s="53">
        <v>0</v>
      </c>
      <c r="AM794" s="53" t="str">
        <f>I794-J794-K794-L794-M794-N794-O794-P794-Q794-R794-S794-T794-U794-V794-W794-X794-Y794-Z794-AA794-AB794-AC794-AD794-AE794-AF794-AG794+AH794-AI794+AJ794+AK794-AL794</f>
        <v>0</v>
      </c>
      <c r="AN794" s="53"/>
      <c r="AO794" s="27"/>
    </row>
    <row r="795" spans="1:41">
      <c r="A795" s="44">
        <v>767</v>
      </c>
      <c r="B795" s="46" t="s">
        <v>3124</v>
      </c>
      <c r="C795" s="48" t="s">
        <v>3125</v>
      </c>
      <c r="D795" s="51" t="s">
        <v>73</v>
      </c>
      <c r="E795" s="51" t="s">
        <v>3121</v>
      </c>
      <c r="F795" s="54" t="s">
        <v>3126</v>
      </c>
      <c r="G795" s="50">
        <v>5</v>
      </c>
      <c r="H795" s="51" t="s">
        <v>3127</v>
      </c>
      <c r="I795" s="53">
        <v>1251000</v>
      </c>
      <c r="J795" s="53">
        <v>0</v>
      </c>
      <c r="K795" s="53">
        <v>23000</v>
      </c>
      <c r="L795" s="53">
        <v>0</v>
      </c>
      <c r="M795" s="53">
        <v>0</v>
      </c>
      <c r="N795" s="53">
        <v>0</v>
      </c>
      <c r="O795" s="53">
        <v>0</v>
      </c>
      <c r="P795" s="53">
        <v>0</v>
      </c>
      <c r="Q795" s="53">
        <v>0</v>
      </c>
      <c r="R795" s="53">
        <v>0</v>
      </c>
      <c r="S795" s="53">
        <v>0</v>
      </c>
      <c r="T795" s="53">
        <v>0</v>
      </c>
      <c r="U795" s="53">
        <v>1150</v>
      </c>
      <c r="V795" s="53">
        <v>0</v>
      </c>
      <c r="W795" s="53">
        <v>0</v>
      </c>
      <c r="X795" s="53">
        <v>0</v>
      </c>
      <c r="Y795" s="53">
        <v>0</v>
      </c>
      <c r="Z795" s="53">
        <v>0</v>
      </c>
      <c r="AA795" s="53">
        <v>0</v>
      </c>
      <c r="AB795" s="53">
        <v>0</v>
      </c>
      <c r="AC795" s="53">
        <v>0</v>
      </c>
      <c r="AD795" s="53">
        <v>0</v>
      </c>
      <c r="AE795" s="53">
        <v>0</v>
      </c>
      <c r="AF795" s="53">
        <v>0</v>
      </c>
      <c r="AG795" s="53">
        <v>0</v>
      </c>
      <c r="AH795" s="53">
        <v>0</v>
      </c>
      <c r="AI795" s="53">
        <v>0</v>
      </c>
      <c r="AJ795" s="53">
        <v>0</v>
      </c>
      <c r="AK795" s="53">
        <v>0</v>
      </c>
      <c r="AL795" s="53">
        <v>0</v>
      </c>
      <c r="AM795" s="53" t="str">
        <f>I795-J795-K795-L795-M795-N795-O795-P795-Q795-R795-S795-T795-U795-V795-W795-X795-Y795-Z795-AA795-AB795-AC795-AD795-AE795-AF795-AG795+AH795-AI795+AJ795+AK795-AL795</f>
        <v>0</v>
      </c>
      <c r="AN795" s="53"/>
      <c r="AO795" s="27"/>
    </row>
    <row r="796" spans="1:41">
      <c r="A796" s="44">
        <v>768</v>
      </c>
      <c r="B796" s="46" t="s">
        <v>3128</v>
      </c>
      <c r="C796" s="48" t="s">
        <v>3129</v>
      </c>
      <c r="D796" s="51" t="s">
        <v>73</v>
      </c>
      <c r="E796" s="51" t="s">
        <v>3121</v>
      </c>
      <c r="F796" s="54" t="s">
        <v>3130</v>
      </c>
      <c r="G796" s="50">
        <v>5</v>
      </c>
      <c r="H796" s="51" t="s">
        <v>3131</v>
      </c>
      <c r="I796" s="53">
        <v>404000</v>
      </c>
      <c r="J796" s="53">
        <v>0</v>
      </c>
      <c r="K796" s="53">
        <v>23000</v>
      </c>
      <c r="L796" s="53">
        <v>0</v>
      </c>
      <c r="M796" s="53">
        <v>0</v>
      </c>
      <c r="N796" s="53">
        <v>0</v>
      </c>
      <c r="O796" s="53">
        <v>0</v>
      </c>
      <c r="P796" s="53">
        <v>0</v>
      </c>
      <c r="Q796" s="53">
        <v>0</v>
      </c>
      <c r="R796" s="53">
        <v>0</v>
      </c>
      <c r="S796" s="53">
        <v>0</v>
      </c>
      <c r="T796" s="53">
        <v>0</v>
      </c>
      <c r="U796" s="53">
        <v>1150</v>
      </c>
      <c r="V796" s="53">
        <v>0</v>
      </c>
      <c r="W796" s="53">
        <v>0</v>
      </c>
      <c r="X796" s="53">
        <v>0</v>
      </c>
      <c r="Y796" s="53">
        <v>0</v>
      </c>
      <c r="Z796" s="53">
        <v>0</v>
      </c>
      <c r="AA796" s="53">
        <v>0</v>
      </c>
      <c r="AB796" s="53">
        <v>0</v>
      </c>
      <c r="AC796" s="53">
        <v>0</v>
      </c>
      <c r="AD796" s="53">
        <v>0</v>
      </c>
      <c r="AE796" s="53">
        <v>0</v>
      </c>
      <c r="AF796" s="53">
        <v>0</v>
      </c>
      <c r="AG796" s="53">
        <v>0</v>
      </c>
      <c r="AH796" s="53">
        <v>0</v>
      </c>
      <c r="AI796" s="53">
        <v>0</v>
      </c>
      <c r="AJ796" s="53">
        <v>0</v>
      </c>
      <c r="AK796" s="53">
        <v>0</v>
      </c>
      <c r="AL796" s="53">
        <v>0</v>
      </c>
      <c r="AM796" s="53" t="str">
        <f>I796-J796-K796-L796-M796-N796-O796-P796-Q796-R796-S796-T796-U796-V796-W796-X796-Y796-Z796-AA796-AB796-AC796-AD796-AE796-AF796-AG796+AH796-AI796+AJ796+AK796-AL796</f>
        <v>0</v>
      </c>
      <c r="AN796" s="53"/>
      <c r="AO796" s="27"/>
    </row>
    <row r="797" spans="1:41">
      <c r="A797" s="44">
        <v>769</v>
      </c>
      <c r="B797" s="46" t="s">
        <v>3132</v>
      </c>
      <c r="C797" s="48" t="s">
        <v>3133</v>
      </c>
      <c r="D797" s="51" t="s">
        <v>73</v>
      </c>
      <c r="E797" s="51" t="s">
        <v>3121</v>
      </c>
      <c r="F797" s="54" t="s">
        <v>2023</v>
      </c>
      <c r="G797" s="50">
        <v>5</v>
      </c>
      <c r="H797" s="51" t="s">
        <v>3134</v>
      </c>
      <c r="I797" s="53">
        <v>0</v>
      </c>
      <c r="J797" s="53">
        <v>0</v>
      </c>
      <c r="K797" s="53">
        <v>23000</v>
      </c>
      <c r="L797" s="53">
        <v>0</v>
      </c>
      <c r="M797" s="53">
        <v>0</v>
      </c>
      <c r="N797" s="53">
        <v>0</v>
      </c>
      <c r="O797" s="53">
        <v>0</v>
      </c>
      <c r="P797" s="53">
        <v>0</v>
      </c>
      <c r="Q797" s="53">
        <v>0</v>
      </c>
      <c r="R797" s="53">
        <v>0</v>
      </c>
      <c r="S797" s="53">
        <v>0</v>
      </c>
      <c r="T797" s="53">
        <v>0</v>
      </c>
      <c r="U797" s="53">
        <v>1150</v>
      </c>
      <c r="V797" s="53">
        <v>0</v>
      </c>
      <c r="W797" s="53">
        <v>0</v>
      </c>
      <c r="X797" s="53">
        <v>0</v>
      </c>
      <c r="Y797" s="53">
        <v>0</v>
      </c>
      <c r="Z797" s="53">
        <v>0</v>
      </c>
      <c r="AA797" s="53">
        <v>0</v>
      </c>
      <c r="AB797" s="53">
        <v>0</v>
      </c>
      <c r="AC797" s="53">
        <v>0</v>
      </c>
      <c r="AD797" s="53">
        <v>0</v>
      </c>
      <c r="AE797" s="53">
        <v>0</v>
      </c>
      <c r="AF797" s="53">
        <v>0</v>
      </c>
      <c r="AG797" s="53">
        <v>0</v>
      </c>
      <c r="AH797" s="53">
        <v>0</v>
      </c>
      <c r="AI797" s="53">
        <v>0</v>
      </c>
      <c r="AJ797" s="53">
        <v>0</v>
      </c>
      <c r="AK797" s="53">
        <v>0</v>
      </c>
      <c r="AL797" s="53">
        <v>0</v>
      </c>
      <c r="AM797" s="53" t="str">
        <f>I797-J797-K797-L797-M797-N797-O797-P797-Q797-R797-S797-T797-U797-V797-W797-X797-Y797-Z797-AA797-AB797-AC797-AD797-AE797-AF797-AG797+AH797-AI797+AJ797+AK797-AL797</f>
        <v>0</v>
      </c>
      <c r="AN797" s="53"/>
      <c r="AO797" s="27"/>
    </row>
    <row r="798" spans="1:41">
      <c r="A798" s="44">
        <v>770</v>
      </c>
      <c r="B798" s="46" t="s">
        <v>3135</v>
      </c>
      <c r="C798" s="48" t="s">
        <v>3136</v>
      </c>
      <c r="D798" s="51" t="s">
        <v>73</v>
      </c>
      <c r="E798" s="51" t="s">
        <v>3121</v>
      </c>
      <c r="F798" s="54" t="s">
        <v>3137</v>
      </c>
      <c r="G798" s="50">
        <v>5</v>
      </c>
      <c r="H798" s="51" t="s">
        <v>3138</v>
      </c>
      <c r="I798" s="53">
        <v>250100</v>
      </c>
      <c r="J798" s="53">
        <v>0</v>
      </c>
      <c r="K798" s="53">
        <v>23000</v>
      </c>
      <c r="L798" s="53">
        <v>0</v>
      </c>
      <c r="M798" s="53">
        <v>0</v>
      </c>
      <c r="N798" s="53">
        <v>0</v>
      </c>
      <c r="O798" s="53">
        <v>0</v>
      </c>
      <c r="P798" s="53">
        <v>0</v>
      </c>
      <c r="Q798" s="53">
        <v>0</v>
      </c>
      <c r="R798" s="53">
        <v>0</v>
      </c>
      <c r="S798" s="53">
        <v>0</v>
      </c>
      <c r="T798" s="53">
        <v>0</v>
      </c>
      <c r="U798" s="53">
        <v>1150</v>
      </c>
      <c r="V798" s="53">
        <v>0</v>
      </c>
      <c r="W798" s="53">
        <v>0</v>
      </c>
      <c r="X798" s="53">
        <v>0</v>
      </c>
      <c r="Y798" s="53">
        <v>0</v>
      </c>
      <c r="Z798" s="53">
        <v>0</v>
      </c>
      <c r="AA798" s="53">
        <v>0</v>
      </c>
      <c r="AB798" s="53">
        <v>0</v>
      </c>
      <c r="AC798" s="53">
        <v>0</v>
      </c>
      <c r="AD798" s="53">
        <v>0</v>
      </c>
      <c r="AE798" s="53">
        <v>0</v>
      </c>
      <c r="AF798" s="53">
        <v>0</v>
      </c>
      <c r="AG798" s="53">
        <v>0</v>
      </c>
      <c r="AH798" s="53">
        <v>0</v>
      </c>
      <c r="AI798" s="53">
        <v>0</v>
      </c>
      <c r="AJ798" s="53">
        <v>0</v>
      </c>
      <c r="AK798" s="53">
        <v>0</v>
      </c>
      <c r="AL798" s="53">
        <v>0</v>
      </c>
      <c r="AM798" s="53" t="str">
        <f>I798-J798-K798-L798-M798-N798-O798-P798-Q798-R798-S798-T798-U798-V798-W798-X798-Y798-Z798-AA798-AB798-AC798-AD798-AE798-AF798-AG798+AH798-AI798+AJ798+AK798-AL798</f>
        <v>0</v>
      </c>
      <c r="AN798" s="53"/>
      <c r="AO798" s="27"/>
    </row>
    <row r="799" spans="1:41">
      <c r="A799" s="44">
        <v>771</v>
      </c>
      <c r="B799" s="46" t="s">
        <v>3139</v>
      </c>
      <c r="C799" s="48" t="s">
        <v>3140</v>
      </c>
      <c r="D799" s="51" t="s">
        <v>73</v>
      </c>
      <c r="E799" s="51" t="s">
        <v>3121</v>
      </c>
      <c r="F799" s="54" t="s">
        <v>3141</v>
      </c>
      <c r="G799" s="50">
        <v>5</v>
      </c>
      <c r="H799" s="51" t="s">
        <v>3142</v>
      </c>
      <c r="I799" s="53">
        <v>274000</v>
      </c>
      <c r="J799" s="53">
        <v>0</v>
      </c>
      <c r="K799" s="53">
        <v>23000</v>
      </c>
      <c r="L799" s="53">
        <v>0</v>
      </c>
      <c r="M799" s="53">
        <v>0</v>
      </c>
      <c r="N799" s="53">
        <v>0</v>
      </c>
      <c r="O799" s="53">
        <v>0</v>
      </c>
      <c r="P799" s="53">
        <v>0</v>
      </c>
      <c r="Q799" s="53">
        <v>0</v>
      </c>
      <c r="R799" s="53">
        <v>0</v>
      </c>
      <c r="S799" s="53">
        <v>0</v>
      </c>
      <c r="T799" s="53">
        <v>0</v>
      </c>
      <c r="U799" s="53">
        <v>1150</v>
      </c>
      <c r="V799" s="53">
        <v>0</v>
      </c>
      <c r="W799" s="53">
        <v>0</v>
      </c>
      <c r="X799" s="53">
        <v>0</v>
      </c>
      <c r="Y799" s="53">
        <v>0</v>
      </c>
      <c r="Z799" s="53">
        <v>0</v>
      </c>
      <c r="AA799" s="53">
        <v>0</v>
      </c>
      <c r="AB799" s="53">
        <v>0</v>
      </c>
      <c r="AC799" s="53">
        <v>0</v>
      </c>
      <c r="AD799" s="53">
        <v>0</v>
      </c>
      <c r="AE799" s="53">
        <v>0</v>
      </c>
      <c r="AF799" s="53">
        <v>0</v>
      </c>
      <c r="AG799" s="53">
        <v>0</v>
      </c>
      <c r="AH799" s="53">
        <v>0</v>
      </c>
      <c r="AI799" s="53">
        <v>0</v>
      </c>
      <c r="AJ799" s="53">
        <v>0</v>
      </c>
      <c r="AK799" s="53">
        <v>0</v>
      </c>
      <c r="AL799" s="53">
        <v>0</v>
      </c>
      <c r="AM799" s="53" t="str">
        <f>I799-J799-K799-L799-M799-N799-O799-P799-Q799-R799-S799-T799-U799-V799-W799-X799-Y799-Z799-AA799-AB799-AC799-AD799-AE799-AF799-AG799+AH799-AI799+AJ799+AK799-AL799</f>
        <v>0</v>
      </c>
      <c r="AN799" s="53"/>
      <c r="AO799" s="27"/>
    </row>
    <row r="800" spans="1:41">
      <c r="A800" s="44">
        <v>772</v>
      </c>
      <c r="B800" s="46" t="s">
        <v>3143</v>
      </c>
      <c r="C800" s="48" t="s">
        <v>3144</v>
      </c>
      <c r="D800" s="51" t="s">
        <v>73</v>
      </c>
      <c r="E800" s="51" t="s">
        <v>3145</v>
      </c>
      <c r="F800" s="54" t="s">
        <v>3146</v>
      </c>
      <c r="G800" s="50">
        <v>8</v>
      </c>
      <c r="H800" s="51" t="s">
        <v>3147</v>
      </c>
      <c r="I800" s="53">
        <v>1440000</v>
      </c>
      <c r="J800" s="53">
        <v>0</v>
      </c>
      <c r="K800" s="53">
        <v>39000</v>
      </c>
      <c r="L800" s="53">
        <v>0</v>
      </c>
      <c r="M800" s="53">
        <v>0</v>
      </c>
      <c r="N800" s="53">
        <v>0</v>
      </c>
      <c r="O800" s="53">
        <v>0</v>
      </c>
      <c r="P800" s="53">
        <v>0</v>
      </c>
      <c r="Q800" s="53">
        <v>0</v>
      </c>
      <c r="R800" s="53">
        <v>0</v>
      </c>
      <c r="S800" s="53">
        <v>0</v>
      </c>
      <c r="T800" s="53">
        <v>0</v>
      </c>
      <c r="U800" s="53">
        <v>1950</v>
      </c>
      <c r="V800" s="53">
        <v>0</v>
      </c>
      <c r="W800" s="53">
        <v>0</v>
      </c>
      <c r="X800" s="53">
        <v>0</v>
      </c>
      <c r="Y800" s="53">
        <v>0</v>
      </c>
      <c r="Z800" s="53">
        <v>0</v>
      </c>
      <c r="AA800" s="53">
        <v>0</v>
      </c>
      <c r="AB800" s="53">
        <v>0</v>
      </c>
      <c r="AC800" s="53">
        <v>0</v>
      </c>
      <c r="AD800" s="53">
        <v>0</v>
      </c>
      <c r="AE800" s="53">
        <v>0</v>
      </c>
      <c r="AF800" s="53">
        <v>0</v>
      </c>
      <c r="AG800" s="53">
        <v>0</v>
      </c>
      <c r="AH800" s="53">
        <v>0</v>
      </c>
      <c r="AI800" s="53">
        <v>0</v>
      </c>
      <c r="AJ800" s="53">
        <v>0</v>
      </c>
      <c r="AK800" s="53">
        <v>0</v>
      </c>
      <c r="AL800" s="53">
        <v>0</v>
      </c>
      <c r="AM800" s="53" t="str">
        <f>I800-J800-K800-L800-M800-N800-O800-P800-Q800-R800-S800-T800-U800-V800-W800-X800-Y800-Z800-AA800-AB800-AC800-AD800-AE800-AF800-AG800+AH800-AI800+AJ800+AK800-AL800</f>
        <v>0</v>
      </c>
      <c r="AN800" s="53"/>
      <c r="AO800" s="27"/>
    </row>
    <row r="801" spans="1:41">
      <c r="A801" s="44">
        <v>773</v>
      </c>
      <c r="B801" s="46" t="s">
        <v>3148</v>
      </c>
      <c r="C801" s="48" t="s">
        <v>3149</v>
      </c>
      <c r="D801" s="51" t="s">
        <v>73</v>
      </c>
      <c r="E801" s="51" t="s">
        <v>3145</v>
      </c>
      <c r="F801" s="54" t="s">
        <v>3150</v>
      </c>
      <c r="G801" s="50">
        <v>3</v>
      </c>
      <c r="H801" s="51" t="s">
        <v>3151</v>
      </c>
      <c r="I801" s="53">
        <v>440000</v>
      </c>
      <c r="J801" s="53">
        <v>0</v>
      </c>
      <c r="K801" s="53">
        <v>22000</v>
      </c>
      <c r="L801" s="53">
        <v>0</v>
      </c>
      <c r="M801" s="53">
        <v>0</v>
      </c>
      <c r="N801" s="53">
        <v>0</v>
      </c>
      <c r="O801" s="53">
        <v>0</v>
      </c>
      <c r="P801" s="53">
        <v>0</v>
      </c>
      <c r="Q801" s="53">
        <v>0</v>
      </c>
      <c r="R801" s="53">
        <v>0</v>
      </c>
      <c r="S801" s="53">
        <v>0</v>
      </c>
      <c r="T801" s="53">
        <v>0</v>
      </c>
      <c r="U801" s="53">
        <v>1100</v>
      </c>
      <c r="V801" s="53">
        <v>0</v>
      </c>
      <c r="W801" s="53">
        <v>0</v>
      </c>
      <c r="X801" s="53">
        <v>0</v>
      </c>
      <c r="Y801" s="53">
        <v>0</v>
      </c>
      <c r="Z801" s="53">
        <v>0</v>
      </c>
      <c r="AA801" s="53">
        <v>0</v>
      </c>
      <c r="AB801" s="53">
        <v>0</v>
      </c>
      <c r="AC801" s="53">
        <v>0</v>
      </c>
      <c r="AD801" s="53">
        <v>0</v>
      </c>
      <c r="AE801" s="53">
        <v>0</v>
      </c>
      <c r="AF801" s="53">
        <v>0</v>
      </c>
      <c r="AG801" s="53">
        <v>0</v>
      </c>
      <c r="AH801" s="53">
        <v>0</v>
      </c>
      <c r="AI801" s="53">
        <v>0</v>
      </c>
      <c r="AJ801" s="53">
        <v>0</v>
      </c>
      <c r="AK801" s="53">
        <v>0</v>
      </c>
      <c r="AL801" s="53">
        <v>0</v>
      </c>
      <c r="AM801" s="53" t="str">
        <f>I801-J801-K801-L801-M801-N801-O801-P801-Q801-R801-S801-T801-U801-V801-W801-X801-Y801-Z801-AA801-AB801-AC801-AD801-AE801-AF801-AG801+AH801-AI801+AJ801+AK801-AL801</f>
        <v>0</v>
      </c>
      <c r="AN801" s="53"/>
      <c r="AO801" s="27"/>
    </row>
    <row r="802" spans="1:41">
      <c r="A802" s="44">
        <v>774</v>
      </c>
      <c r="B802" s="46" t="s">
        <v>3152</v>
      </c>
      <c r="C802" s="48" t="s">
        <v>3153</v>
      </c>
      <c r="D802" s="51" t="s">
        <v>73</v>
      </c>
      <c r="E802" s="51" t="s">
        <v>3145</v>
      </c>
      <c r="F802" s="54" t="s">
        <v>1968</v>
      </c>
      <c r="G802" s="50">
        <v>2</v>
      </c>
      <c r="H802" s="51" t="s">
        <v>3154</v>
      </c>
      <c r="I802" s="53">
        <v>116000</v>
      </c>
      <c r="J802" s="53">
        <v>0</v>
      </c>
      <c r="K802" s="53">
        <v>22000</v>
      </c>
      <c r="L802" s="53">
        <v>0</v>
      </c>
      <c r="M802" s="53">
        <v>0</v>
      </c>
      <c r="N802" s="53">
        <v>0</v>
      </c>
      <c r="O802" s="53">
        <v>0</v>
      </c>
      <c r="P802" s="53">
        <v>0</v>
      </c>
      <c r="Q802" s="53">
        <v>0</v>
      </c>
      <c r="R802" s="53">
        <v>0</v>
      </c>
      <c r="S802" s="53">
        <v>0</v>
      </c>
      <c r="T802" s="53">
        <v>0</v>
      </c>
      <c r="U802" s="53">
        <v>1100</v>
      </c>
      <c r="V802" s="53">
        <v>0</v>
      </c>
      <c r="W802" s="53">
        <v>0</v>
      </c>
      <c r="X802" s="53">
        <v>0</v>
      </c>
      <c r="Y802" s="53">
        <v>0</v>
      </c>
      <c r="Z802" s="53">
        <v>0</v>
      </c>
      <c r="AA802" s="53">
        <v>0</v>
      </c>
      <c r="AB802" s="53">
        <v>0</v>
      </c>
      <c r="AC802" s="53">
        <v>0</v>
      </c>
      <c r="AD802" s="53">
        <v>0</v>
      </c>
      <c r="AE802" s="53">
        <v>0</v>
      </c>
      <c r="AF802" s="53">
        <v>0</v>
      </c>
      <c r="AG802" s="53">
        <v>0</v>
      </c>
      <c r="AH802" s="53">
        <v>0</v>
      </c>
      <c r="AI802" s="53">
        <v>0</v>
      </c>
      <c r="AJ802" s="53">
        <v>0</v>
      </c>
      <c r="AK802" s="53">
        <v>0</v>
      </c>
      <c r="AL802" s="53">
        <v>0</v>
      </c>
      <c r="AM802" s="53" t="str">
        <f>I802-J802-K802-L802-M802-N802-O802-P802-Q802-R802-S802-T802-U802-V802-W802-X802-Y802-Z802-AA802-AB802-AC802-AD802-AE802-AF802-AG802+AH802-AI802+AJ802+AK802-AL802</f>
        <v>0</v>
      </c>
      <c r="AN802" s="53"/>
      <c r="AO802" s="27"/>
    </row>
    <row r="803" spans="1:41">
      <c r="A803" s="44">
        <v>775</v>
      </c>
      <c r="B803" s="46" t="s">
        <v>3155</v>
      </c>
      <c r="C803" s="48" t="s">
        <v>3156</v>
      </c>
      <c r="D803" s="51" t="s">
        <v>73</v>
      </c>
      <c r="E803" s="51" t="s">
        <v>3145</v>
      </c>
      <c r="F803" s="54" t="s">
        <v>1556</v>
      </c>
      <c r="G803" s="50">
        <v>2</v>
      </c>
      <c r="H803" s="51" t="s">
        <v>3157</v>
      </c>
      <c r="I803" s="53">
        <v>264000</v>
      </c>
      <c r="J803" s="53">
        <v>0</v>
      </c>
      <c r="K803" s="53">
        <v>22000</v>
      </c>
      <c r="L803" s="53">
        <v>0</v>
      </c>
      <c r="M803" s="53">
        <v>0</v>
      </c>
      <c r="N803" s="53">
        <v>0</v>
      </c>
      <c r="O803" s="53">
        <v>0</v>
      </c>
      <c r="P803" s="53">
        <v>0</v>
      </c>
      <c r="Q803" s="53">
        <v>0</v>
      </c>
      <c r="R803" s="53">
        <v>0</v>
      </c>
      <c r="S803" s="53">
        <v>0</v>
      </c>
      <c r="T803" s="53">
        <v>0</v>
      </c>
      <c r="U803" s="53">
        <v>1100</v>
      </c>
      <c r="V803" s="53">
        <v>0</v>
      </c>
      <c r="W803" s="53">
        <v>0</v>
      </c>
      <c r="X803" s="53">
        <v>0</v>
      </c>
      <c r="Y803" s="53">
        <v>0</v>
      </c>
      <c r="Z803" s="53">
        <v>0</v>
      </c>
      <c r="AA803" s="53">
        <v>0</v>
      </c>
      <c r="AB803" s="53">
        <v>0</v>
      </c>
      <c r="AC803" s="53">
        <v>0</v>
      </c>
      <c r="AD803" s="53">
        <v>0</v>
      </c>
      <c r="AE803" s="53">
        <v>0</v>
      </c>
      <c r="AF803" s="53">
        <v>0</v>
      </c>
      <c r="AG803" s="53">
        <v>0</v>
      </c>
      <c r="AH803" s="53">
        <v>0</v>
      </c>
      <c r="AI803" s="53">
        <v>0</v>
      </c>
      <c r="AJ803" s="53">
        <v>0</v>
      </c>
      <c r="AK803" s="53">
        <v>0</v>
      </c>
      <c r="AL803" s="53">
        <v>0</v>
      </c>
      <c r="AM803" s="53" t="str">
        <f>I803-J803-K803-L803-M803-N803-O803-P803-Q803-R803-S803-T803-U803-V803-W803-X803-Y803-Z803-AA803-AB803-AC803-AD803-AE803-AF803-AG803+AH803-AI803+AJ803+AK803-AL803</f>
        <v>0</v>
      </c>
      <c r="AN803" s="53"/>
      <c r="AO803" s="27"/>
    </row>
    <row r="804" spans="1:41">
      <c r="A804" s="44">
        <v>776</v>
      </c>
      <c r="B804" s="46" t="s">
        <v>3158</v>
      </c>
      <c r="C804" s="48" t="s">
        <v>3159</v>
      </c>
      <c r="D804" s="51" t="s">
        <v>73</v>
      </c>
      <c r="E804" s="51" t="s">
        <v>3145</v>
      </c>
      <c r="F804" s="54" t="s">
        <v>3160</v>
      </c>
      <c r="G804" s="50">
        <v>3</v>
      </c>
      <c r="H804" s="51" t="s">
        <v>3161</v>
      </c>
      <c r="I804" s="53">
        <v>822500</v>
      </c>
      <c r="J804" s="53">
        <v>0</v>
      </c>
      <c r="K804" s="53">
        <v>22000</v>
      </c>
      <c r="L804" s="53">
        <v>0</v>
      </c>
      <c r="M804" s="53">
        <v>0</v>
      </c>
      <c r="N804" s="53">
        <v>0</v>
      </c>
      <c r="O804" s="53">
        <v>0</v>
      </c>
      <c r="P804" s="53">
        <v>0</v>
      </c>
      <c r="Q804" s="53">
        <v>0</v>
      </c>
      <c r="R804" s="53">
        <v>0</v>
      </c>
      <c r="S804" s="53">
        <v>0</v>
      </c>
      <c r="T804" s="53">
        <v>0</v>
      </c>
      <c r="U804" s="53">
        <v>1100</v>
      </c>
      <c r="V804" s="53">
        <v>0</v>
      </c>
      <c r="W804" s="53">
        <v>0</v>
      </c>
      <c r="X804" s="53">
        <v>0</v>
      </c>
      <c r="Y804" s="53">
        <v>0</v>
      </c>
      <c r="Z804" s="53">
        <v>0</v>
      </c>
      <c r="AA804" s="53">
        <v>0</v>
      </c>
      <c r="AB804" s="53">
        <v>0</v>
      </c>
      <c r="AC804" s="53">
        <v>0</v>
      </c>
      <c r="AD804" s="53">
        <v>0</v>
      </c>
      <c r="AE804" s="53">
        <v>0</v>
      </c>
      <c r="AF804" s="53">
        <v>0</v>
      </c>
      <c r="AG804" s="53">
        <v>0</v>
      </c>
      <c r="AH804" s="53">
        <v>0</v>
      </c>
      <c r="AI804" s="53">
        <v>0</v>
      </c>
      <c r="AJ804" s="53">
        <v>0</v>
      </c>
      <c r="AK804" s="53">
        <v>0</v>
      </c>
      <c r="AL804" s="53">
        <v>0</v>
      </c>
      <c r="AM804" s="53" t="str">
        <f>I804-J804-K804-L804-M804-N804-O804-P804-Q804-R804-S804-T804-U804-V804-W804-X804-Y804-Z804-AA804-AB804-AC804-AD804-AE804-AF804-AG804+AH804-AI804+AJ804+AK804-AL804</f>
        <v>0</v>
      </c>
      <c r="AN804" s="53"/>
      <c r="AO804" s="27"/>
    </row>
    <row r="805" spans="1:41">
      <c r="A805" s="44">
        <v>777</v>
      </c>
      <c r="B805" s="46" t="s">
        <v>3162</v>
      </c>
      <c r="C805" s="48" t="s">
        <v>3163</v>
      </c>
      <c r="D805" s="51" t="s">
        <v>62</v>
      </c>
      <c r="E805" s="51" t="s">
        <v>3145</v>
      </c>
      <c r="F805" s="54" t="s">
        <v>2816</v>
      </c>
      <c r="G805" s="50">
        <v>4</v>
      </c>
      <c r="H805" s="51" t="s">
        <v>3164</v>
      </c>
      <c r="I805" s="53">
        <v>0</v>
      </c>
      <c r="J805" s="53">
        <v>0</v>
      </c>
      <c r="K805" s="53">
        <v>25000</v>
      </c>
      <c r="L805" s="53">
        <v>0</v>
      </c>
      <c r="M805" s="53">
        <v>0</v>
      </c>
      <c r="N805" s="53">
        <v>0</v>
      </c>
      <c r="O805" s="53">
        <v>0</v>
      </c>
      <c r="P805" s="53">
        <v>0</v>
      </c>
      <c r="Q805" s="53">
        <v>0</v>
      </c>
      <c r="R805" s="53">
        <v>0</v>
      </c>
      <c r="S805" s="53">
        <v>0</v>
      </c>
      <c r="T805" s="53">
        <v>0</v>
      </c>
      <c r="U805" s="53">
        <v>1250</v>
      </c>
      <c r="V805" s="53">
        <v>0</v>
      </c>
      <c r="W805" s="53">
        <v>0</v>
      </c>
      <c r="X805" s="53">
        <v>0</v>
      </c>
      <c r="Y805" s="53">
        <v>5250</v>
      </c>
      <c r="Z805" s="53">
        <v>0</v>
      </c>
      <c r="AA805" s="53">
        <v>0</v>
      </c>
      <c r="AB805" s="53">
        <v>0</v>
      </c>
      <c r="AC805" s="53">
        <v>0</v>
      </c>
      <c r="AD805" s="53">
        <v>0</v>
      </c>
      <c r="AE805" s="53">
        <v>0</v>
      </c>
      <c r="AF805" s="53">
        <v>0</v>
      </c>
      <c r="AG805" s="53">
        <v>0</v>
      </c>
      <c r="AH805" s="53">
        <v>0</v>
      </c>
      <c r="AI805" s="53">
        <v>0</v>
      </c>
      <c r="AJ805" s="53">
        <v>0</v>
      </c>
      <c r="AK805" s="53">
        <v>0</v>
      </c>
      <c r="AL805" s="53">
        <v>0</v>
      </c>
      <c r="AM805" s="53" t="str">
        <f>I805-J805-K805-L805-M805-N805-O805-P805-Q805-R805-S805-T805-U805-V805-W805-X805-Y805-Z805-AA805-AB805-AC805-AD805-AE805-AF805-AG805+AH805-AI805+AJ805+AK805-AL805</f>
        <v>0</v>
      </c>
      <c r="AN805" s="53"/>
      <c r="AO805" s="27"/>
    </row>
    <row r="806" spans="1:41">
      <c r="A806" s="44">
        <v>778</v>
      </c>
      <c r="B806" s="46" t="s">
        <v>3165</v>
      </c>
      <c r="C806" s="48" t="s">
        <v>3166</v>
      </c>
      <c r="D806" s="51" t="s">
        <v>73</v>
      </c>
      <c r="E806" s="51" t="s">
        <v>3145</v>
      </c>
      <c r="F806" s="54" t="s">
        <v>402</v>
      </c>
      <c r="G806" s="50">
        <v>4</v>
      </c>
      <c r="H806" s="51" t="s">
        <v>3167</v>
      </c>
      <c r="I806" s="53">
        <v>1258200</v>
      </c>
      <c r="J806" s="53">
        <v>0</v>
      </c>
      <c r="K806" s="53">
        <v>25000</v>
      </c>
      <c r="L806" s="53">
        <v>0</v>
      </c>
      <c r="M806" s="53">
        <v>0</v>
      </c>
      <c r="N806" s="53">
        <v>0</v>
      </c>
      <c r="O806" s="53">
        <v>0</v>
      </c>
      <c r="P806" s="53">
        <v>0</v>
      </c>
      <c r="Q806" s="53">
        <v>0</v>
      </c>
      <c r="R806" s="53">
        <v>0</v>
      </c>
      <c r="S806" s="53">
        <v>0</v>
      </c>
      <c r="T806" s="53">
        <v>0</v>
      </c>
      <c r="U806" s="53">
        <v>1250</v>
      </c>
      <c r="V806" s="53">
        <v>0</v>
      </c>
      <c r="W806" s="53">
        <v>0</v>
      </c>
      <c r="X806" s="53">
        <v>0</v>
      </c>
      <c r="Y806" s="53">
        <v>0</v>
      </c>
      <c r="Z806" s="53">
        <v>0</v>
      </c>
      <c r="AA806" s="53">
        <v>0</v>
      </c>
      <c r="AB806" s="53">
        <v>0</v>
      </c>
      <c r="AC806" s="53">
        <v>0</v>
      </c>
      <c r="AD806" s="53">
        <v>0</v>
      </c>
      <c r="AE806" s="53">
        <v>0</v>
      </c>
      <c r="AF806" s="53">
        <v>0</v>
      </c>
      <c r="AG806" s="53">
        <v>0</v>
      </c>
      <c r="AH806" s="53">
        <v>0</v>
      </c>
      <c r="AI806" s="53">
        <v>0</v>
      </c>
      <c r="AJ806" s="53">
        <v>0</v>
      </c>
      <c r="AK806" s="53">
        <v>0</v>
      </c>
      <c r="AL806" s="53">
        <v>0</v>
      </c>
      <c r="AM806" s="53" t="str">
        <f>I806-J806-K806-L806-M806-N806-O806-P806-Q806-R806-S806-T806-U806-V806-W806-X806-Y806-Z806-AA806-AB806-AC806-AD806-AE806-AF806-AG806+AH806-AI806+AJ806+AK806-AL806</f>
        <v>0</v>
      </c>
      <c r="AN806" s="53"/>
      <c r="AO806" s="27"/>
    </row>
    <row r="807" spans="1:41">
      <c r="A807" s="44">
        <v>779</v>
      </c>
      <c r="B807" s="46" t="s">
        <v>3168</v>
      </c>
      <c r="C807" s="48" t="s">
        <v>3169</v>
      </c>
      <c r="D807" s="51" t="s">
        <v>73</v>
      </c>
      <c r="E807" s="51" t="s">
        <v>3170</v>
      </c>
      <c r="F807" s="54" t="s">
        <v>734</v>
      </c>
      <c r="G807" s="50">
        <v>1</v>
      </c>
      <c r="H807" s="51" t="s">
        <v>3171</v>
      </c>
      <c r="I807" s="53">
        <v>255500</v>
      </c>
      <c r="J807" s="53">
        <v>0</v>
      </c>
      <c r="K807" s="53">
        <v>22000</v>
      </c>
      <c r="L807" s="53">
        <v>0</v>
      </c>
      <c r="M807" s="53">
        <v>0</v>
      </c>
      <c r="N807" s="53">
        <v>0</v>
      </c>
      <c r="O807" s="53">
        <v>0</v>
      </c>
      <c r="P807" s="53">
        <v>0</v>
      </c>
      <c r="Q807" s="53">
        <v>0</v>
      </c>
      <c r="R807" s="53">
        <v>0</v>
      </c>
      <c r="S807" s="53">
        <v>0</v>
      </c>
      <c r="T807" s="53">
        <v>0</v>
      </c>
      <c r="U807" s="53">
        <v>1100</v>
      </c>
      <c r="V807" s="53">
        <v>0</v>
      </c>
      <c r="W807" s="53">
        <v>0</v>
      </c>
      <c r="X807" s="53">
        <v>0</v>
      </c>
      <c r="Y807" s="53">
        <v>0</v>
      </c>
      <c r="Z807" s="53">
        <v>0</v>
      </c>
      <c r="AA807" s="53">
        <v>0</v>
      </c>
      <c r="AB807" s="53">
        <v>0</v>
      </c>
      <c r="AC807" s="53">
        <v>0</v>
      </c>
      <c r="AD807" s="53">
        <v>0</v>
      </c>
      <c r="AE807" s="53">
        <v>0</v>
      </c>
      <c r="AF807" s="53">
        <v>0</v>
      </c>
      <c r="AG807" s="53">
        <v>0</v>
      </c>
      <c r="AH807" s="53">
        <v>0</v>
      </c>
      <c r="AI807" s="53">
        <v>0</v>
      </c>
      <c r="AJ807" s="53">
        <v>0</v>
      </c>
      <c r="AK807" s="53">
        <v>0</v>
      </c>
      <c r="AL807" s="53">
        <v>0</v>
      </c>
      <c r="AM807" s="53" t="str">
        <f>I807-J807-K807-L807-M807-N807-O807-P807-Q807-R807-S807-T807-U807-V807-W807-X807-Y807-Z807-AA807-AB807-AC807-AD807-AE807-AF807-AG807+AH807-AI807+AJ807+AK807-AL807</f>
        <v>0</v>
      </c>
      <c r="AN807" s="53"/>
      <c r="AO807" s="27"/>
    </row>
    <row r="808" spans="1:41">
      <c r="A808" s="44">
        <v>780</v>
      </c>
      <c r="B808" s="46" t="s">
        <v>3172</v>
      </c>
      <c r="C808" s="48" t="s">
        <v>3173</v>
      </c>
      <c r="D808" s="51" t="s">
        <v>73</v>
      </c>
      <c r="E808" s="51" t="s">
        <v>3170</v>
      </c>
      <c r="F808" s="54" t="s">
        <v>1393</v>
      </c>
      <c r="G808" s="50">
        <v>6</v>
      </c>
      <c r="H808" s="51" t="s">
        <v>2693</v>
      </c>
      <c r="I808" s="53">
        <v>1349000</v>
      </c>
      <c r="J808" s="53">
        <v>0</v>
      </c>
      <c r="K808" s="53">
        <v>31000</v>
      </c>
      <c r="L808" s="53">
        <v>0</v>
      </c>
      <c r="M808" s="53">
        <v>0</v>
      </c>
      <c r="N808" s="53">
        <v>0</v>
      </c>
      <c r="O808" s="53">
        <v>0</v>
      </c>
      <c r="P808" s="53">
        <v>0</v>
      </c>
      <c r="Q808" s="53">
        <v>0</v>
      </c>
      <c r="R808" s="53">
        <v>0</v>
      </c>
      <c r="S808" s="53">
        <v>0</v>
      </c>
      <c r="T808" s="53">
        <v>0</v>
      </c>
      <c r="U808" s="53">
        <v>1550</v>
      </c>
      <c r="V808" s="53">
        <v>0</v>
      </c>
      <c r="W808" s="53">
        <v>0</v>
      </c>
      <c r="X808" s="53">
        <v>0</v>
      </c>
      <c r="Y808" s="53">
        <v>0</v>
      </c>
      <c r="Z808" s="53">
        <v>0</v>
      </c>
      <c r="AA808" s="53">
        <v>0</v>
      </c>
      <c r="AB808" s="53">
        <v>0</v>
      </c>
      <c r="AC808" s="53">
        <v>0</v>
      </c>
      <c r="AD808" s="53">
        <v>0</v>
      </c>
      <c r="AE808" s="53">
        <v>0</v>
      </c>
      <c r="AF808" s="53">
        <v>0</v>
      </c>
      <c r="AG808" s="53">
        <v>0</v>
      </c>
      <c r="AH808" s="53">
        <v>0</v>
      </c>
      <c r="AI808" s="53">
        <v>0</v>
      </c>
      <c r="AJ808" s="53">
        <v>0</v>
      </c>
      <c r="AK808" s="53">
        <v>0</v>
      </c>
      <c r="AL808" s="53">
        <v>0</v>
      </c>
      <c r="AM808" s="53" t="str">
        <f>I808-J808-K808-L808-M808-N808-O808-P808-Q808-R808-S808-T808-U808-V808-W808-X808-Y808-Z808-AA808-AB808-AC808-AD808-AE808-AF808-AG808+AH808-AI808+AJ808+AK808-AL808</f>
        <v>0</v>
      </c>
      <c r="AN808" s="53"/>
      <c r="AO808" s="27"/>
    </row>
    <row r="809" spans="1:41">
      <c r="A809" s="44">
        <v>781</v>
      </c>
      <c r="B809" s="46" t="s">
        <v>3174</v>
      </c>
      <c r="C809" s="48" t="s">
        <v>3175</v>
      </c>
      <c r="D809" s="51" t="s">
        <v>73</v>
      </c>
      <c r="E809" s="51" t="s">
        <v>3170</v>
      </c>
      <c r="F809" s="54" t="s">
        <v>3176</v>
      </c>
      <c r="G809" s="50">
        <v>3</v>
      </c>
      <c r="H809" s="51" t="s">
        <v>3177</v>
      </c>
      <c r="I809" s="53">
        <v>570500</v>
      </c>
      <c r="J809" s="53">
        <v>0</v>
      </c>
      <c r="K809" s="53">
        <v>22000</v>
      </c>
      <c r="L809" s="53">
        <v>0</v>
      </c>
      <c r="M809" s="53">
        <v>0</v>
      </c>
      <c r="N809" s="53">
        <v>0</v>
      </c>
      <c r="O809" s="53">
        <v>0</v>
      </c>
      <c r="P809" s="53">
        <v>0</v>
      </c>
      <c r="Q809" s="53">
        <v>0</v>
      </c>
      <c r="R809" s="53">
        <v>0</v>
      </c>
      <c r="S809" s="53">
        <v>0</v>
      </c>
      <c r="T809" s="53">
        <v>0</v>
      </c>
      <c r="U809" s="53">
        <v>1100</v>
      </c>
      <c r="V809" s="53">
        <v>0</v>
      </c>
      <c r="W809" s="53">
        <v>0</v>
      </c>
      <c r="X809" s="53">
        <v>0</v>
      </c>
      <c r="Y809" s="53">
        <v>0</v>
      </c>
      <c r="Z809" s="53">
        <v>0</v>
      </c>
      <c r="AA809" s="53">
        <v>0</v>
      </c>
      <c r="AB809" s="53">
        <v>0</v>
      </c>
      <c r="AC809" s="53">
        <v>0</v>
      </c>
      <c r="AD809" s="53">
        <v>0</v>
      </c>
      <c r="AE809" s="53">
        <v>0</v>
      </c>
      <c r="AF809" s="53">
        <v>0</v>
      </c>
      <c r="AG809" s="53">
        <v>0</v>
      </c>
      <c r="AH809" s="53">
        <v>0</v>
      </c>
      <c r="AI809" s="53">
        <v>0</v>
      </c>
      <c r="AJ809" s="53">
        <v>0</v>
      </c>
      <c r="AK809" s="53">
        <v>0</v>
      </c>
      <c r="AL809" s="53">
        <v>0</v>
      </c>
      <c r="AM809" s="53" t="str">
        <f>I809-J809-K809-L809-M809-N809-O809-P809-Q809-R809-S809-T809-U809-V809-W809-X809-Y809-Z809-AA809-AB809-AC809-AD809-AE809-AF809-AG809+AH809-AI809+AJ809+AK809-AL809</f>
        <v>0</v>
      </c>
      <c r="AN809" s="53"/>
      <c r="AO809" s="27"/>
    </row>
    <row r="810" spans="1:41">
      <c r="A810" s="44">
        <v>782</v>
      </c>
      <c r="B810" s="46" t="s">
        <v>3178</v>
      </c>
      <c r="C810" s="48" t="s">
        <v>3179</v>
      </c>
      <c r="D810" s="51" t="s">
        <v>73</v>
      </c>
      <c r="E810" s="51" t="s">
        <v>3170</v>
      </c>
      <c r="F810" s="54" t="s">
        <v>1250</v>
      </c>
      <c r="G810" s="50">
        <v>2</v>
      </c>
      <c r="H810" s="51" t="s">
        <v>3180</v>
      </c>
      <c r="I810" s="53">
        <v>274000</v>
      </c>
      <c r="J810" s="53">
        <v>0</v>
      </c>
      <c r="K810" s="53">
        <v>22000</v>
      </c>
      <c r="L810" s="53">
        <v>0</v>
      </c>
      <c r="M810" s="53">
        <v>0</v>
      </c>
      <c r="N810" s="53">
        <v>0</v>
      </c>
      <c r="O810" s="53">
        <v>0</v>
      </c>
      <c r="P810" s="53">
        <v>0</v>
      </c>
      <c r="Q810" s="53">
        <v>0</v>
      </c>
      <c r="R810" s="53">
        <v>0</v>
      </c>
      <c r="S810" s="53">
        <v>0</v>
      </c>
      <c r="T810" s="53">
        <v>0</v>
      </c>
      <c r="U810" s="53">
        <v>1100</v>
      </c>
      <c r="V810" s="53">
        <v>0</v>
      </c>
      <c r="W810" s="53">
        <v>0</v>
      </c>
      <c r="X810" s="53">
        <v>0</v>
      </c>
      <c r="Y810" s="53">
        <v>0</v>
      </c>
      <c r="Z810" s="53">
        <v>0</v>
      </c>
      <c r="AA810" s="53">
        <v>0</v>
      </c>
      <c r="AB810" s="53">
        <v>0</v>
      </c>
      <c r="AC810" s="53">
        <v>0</v>
      </c>
      <c r="AD810" s="53">
        <v>0</v>
      </c>
      <c r="AE810" s="53">
        <v>0</v>
      </c>
      <c r="AF810" s="53">
        <v>0</v>
      </c>
      <c r="AG810" s="53">
        <v>0</v>
      </c>
      <c r="AH810" s="53">
        <v>0</v>
      </c>
      <c r="AI810" s="53">
        <v>0</v>
      </c>
      <c r="AJ810" s="53">
        <v>0</v>
      </c>
      <c r="AK810" s="53">
        <v>0</v>
      </c>
      <c r="AL810" s="53">
        <v>0</v>
      </c>
      <c r="AM810" s="53" t="str">
        <f>I810-J810-K810-L810-M810-N810-O810-P810-Q810-R810-S810-T810-U810-V810-W810-X810-Y810-Z810-AA810-AB810-AC810-AD810-AE810-AF810-AG810+AH810-AI810+AJ810+AK810-AL810</f>
        <v>0</v>
      </c>
      <c r="AN810" s="53"/>
      <c r="AO810" s="27"/>
    </row>
    <row r="811" spans="1:41">
      <c r="A811" s="44">
        <v>783</v>
      </c>
      <c r="B811" s="46" t="s">
        <v>3181</v>
      </c>
      <c r="C811" s="48" t="s">
        <v>3182</v>
      </c>
      <c r="D811" s="51" t="s">
        <v>73</v>
      </c>
      <c r="E811" s="51" t="s">
        <v>3170</v>
      </c>
      <c r="F811" s="54" t="s">
        <v>3183</v>
      </c>
      <c r="G811" s="50">
        <v>2</v>
      </c>
      <c r="H811" s="51" t="s">
        <v>3184</v>
      </c>
      <c r="I811" s="53">
        <v>250100</v>
      </c>
      <c r="J811" s="53">
        <v>0</v>
      </c>
      <c r="K811" s="53">
        <v>22000</v>
      </c>
      <c r="L811" s="53">
        <v>0</v>
      </c>
      <c r="M811" s="53">
        <v>0</v>
      </c>
      <c r="N811" s="53">
        <v>0</v>
      </c>
      <c r="O811" s="53">
        <v>0</v>
      </c>
      <c r="P811" s="53">
        <v>0</v>
      </c>
      <c r="Q811" s="53">
        <v>0</v>
      </c>
      <c r="R811" s="53">
        <v>0</v>
      </c>
      <c r="S811" s="53">
        <v>0</v>
      </c>
      <c r="T811" s="53">
        <v>0</v>
      </c>
      <c r="U811" s="53">
        <v>1100</v>
      </c>
      <c r="V811" s="53">
        <v>0</v>
      </c>
      <c r="W811" s="53">
        <v>0</v>
      </c>
      <c r="X811" s="53">
        <v>0</v>
      </c>
      <c r="Y811" s="53">
        <v>0</v>
      </c>
      <c r="Z811" s="53">
        <v>0</v>
      </c>
      <c r="AA811" s="53">
        <v>0</v>
      </c>
      <c r="AB811" s="53">
        <v>0</v>
      </c>
      <c r="AC811" s="53">
        <v>0</v>
      </c>
      <c r="AD811" s="53">
        <v>0</v>
      </c>
      <c r="AE811" s="53">
        <v>0</v>
      </c>
      <c r="AF811" s="53">
        <v>0</v>
      </c>
      <c r="AG811" s="53">
        <v>0</v>
      </c>
      <c r="AH811" s="53">
        <v>0</v>
      </c>
      <c r="AI811" s="53">
        <v>0</v>
      </c>
      <c r="AJ811" s="53">
        <v>0</v>
      </c>
      <c r="AK811" s="53">
        <v>0</v>
      </c>
      <c r="AL811" s="53">
        <v>0</v>
      </c>
      <c r="AM811" s="53" t="str">
        <f>I811-J811-K811-L811-M811-N811-O811-P811-Q811-R811-S811-T811-U811-V811-W811-X811-Y811-Z811-AA811-AB811-AC811-AD811-AE811-AF811-AG811+AH811-AI811+AJ811+AK811-AL811</f>
        <v>0</v>
      </c>
      <c r="AN811" s="53"/>
      <c r="AO811" s="27"/>
    </row>
    <row r="812" spans="1:41">
      <c r="A812" s="44">
        <v>784</v>
      </c>
      <c r="B812" s="46" t="s">
        <v>3185</v>
      </c>
      <c r="C812" s="48" t="s">
        <v>3186</v>
      </c>
      <c r="D812" s="51" t="s">
        <v>73</v>
      </c>
      <c r="E812" s="51" t="s">
        <v>3170</v>
      </c>
      <c r="F812" s="54" t="s">
        <v>3187</v>
      </c>
      <c r="G812" s="50">
        <v>3</v>
      </c>
      <c r="H812" s="51" t="s">
        <v>3188</v>
      </c>
      <c r="I812" s="53">
        <v>570500</v>
      </c>
      <c r="J812" s="53">
        <v>0</v>
      </c>
      <c r="K812" s="53">
        <v>22000</v>
      </c>
      <c r="L812" s="53">
        <v>0</v>
      </c>
      <c r="M812" s="53">
        <v>0</v>
      </c>
      <c r="N812" s="53">
        <v>0</v>
      </c>
      <c r="O812" s="53">
        <v>0</v>
      </c>
      <c r="P812" s="53">
        <v>0</v>
      </c>
      <c r="Q812" s="53">
        <v>0</v>
      </c>
      <c r="R812" s="53">
        <v>0</v>
      </c>
      <c r="S812" s="53">
        <v>0</v>
      </c>
      <c r="T812" s="53">
        <v>0</v>
      </c>
      <c r="U812" s="53">
        <v>1100</v>
      </c>
      <c r="V812" s="53">
        <v>0</v>
      </c>
      <c r="W812" s="53">
        <v>0</v>
      </c>
      <c r="X812" s="53">
        <v>0</v>
      </c>
      <c r="Y812" s="53">
        <v>0</v>
      </c>
      <c r="Z812" s="53">
        <v>0</v>
      </c>
      <c r="AA812" s="53">
        <v>0</v>
      </c>
      <c r="AB812" s="53">
        <v>0</v>
      </c>
      <c r="AC812" s="53">
        <v>0</v>
      </c>
      <c r="AD812" s="53">
        <v>0</v>
      </c>
      <c r="AE812" s="53">
        <v>0</v>
      </c>
      <c r="AF812" s="53">
        <v>0</v>
      </c>
      <c r="AG812" s="53">
        <v>0</v>
      </c>
      <c r="AH812" s="53">
        <v>0</v>
      </c>
      <c r="AI812" s="53">
        <v>0</v>
      </c>
      <c r="AJ812" s="53">
        <v>0</v>
      </c>
      <c r="AK812" s="53">
        <v>0</v>
      </c>
      <c r="AL812" s="53">
        <v>0</v>
      </c>
      <c r="AM812" s="53" t="str">
        <f>I812-J812-K812-L812-M812-N812-O812-P812-Q812-R812-S812-T812-U812-V812-W812-X812-Y812-Z812-AA812-AB812-AC812-AD812-AE812-AF812-AG812+AH812-AI812+AJ812+AK812-AL812</f>
        <v>0</v>
      </c>
      <c r="AN812" s="53"/>
      <c r="AO812" s="27"/>
    </row>
    <row r="813" spans="1:41">
      <c r="A813" s="44">
        <v>785</v>
      </c>
      <c r="B813" s="46" t="s">
        <v>3189</v>
      </c>
      <c r="C813" s="48" t="s">
        <v>3190</v>
      </c>
      <c r="D813" s="51" t="s">
        <v>73</v>
      </c>
      <c r="E813" s="51" t="s">
        <v>3191</v>
      </c>
      <c r="F813" s="54" t="s">
        <v>1250</v>
      </c>
      <c r="G813" s="50">
        <v>10.3</v>
      </c>
      <c r="H813" s="51" t="s">
        <v>3192</v>
      </c>
      <c r="I813" s="53">
        <v>926000</v>
      </c>
      <c r="J813" s="53">
        <v>0</v>
      </c>
      <c r="K813" s="53">
        <v>44000</v>
      </c>
      <c r="L813" s="53">
        <v>0</v>
      </c>
      <c r="M813" s="53">
        <v>0</v>
      </c>
      <c r="N813" s="53">
        <v>0</v>
      </c>
      <c r="O813" s="53">
        <v>0</v>
      </c>
      <c r="P813" s="53">
        <v>0</v>
      </c>
      <c r="Q813" s="53">
        <v>0</v>
      </c>
      <c r="R813" s="53">
        <v>0</v>
      </c>
      <c r="S813" s="53">
        <v>0</v>
      </c>
      <c r="T813" s="53">
        <v>0</v>
      </c>
      <c r="U813" s="53">
        <v>2200</v>
      </c>
      <c r="V813" s="53">
        <v>0</v>
      </c>
      <c r="W813" s="53">
        <v>0</v>
      </c>
      <c r="X813" s="53">
        <v>0</v>
      </c>
      <c r="Y813" s="53">
        <v>0</v>
      </c>
      <c r="Z813" s="53">
        <v>0</v>
      </c>
      <c r="AA813" s="53">
        <v>0</v>
      </c>
      <c r="AB813" s="53">
        <v>0</v>
      </c>
      <c r="AC813" s="53">
        <v>0</v>
      </c>
      <c r="AD813" s="53">
        <v>0</v>
      </c>
      <c r="AE813" s="53">
        <v>0</v>
      </c>
      <c r="AF813" s="53">
        <v>0</v>
      </c>
      <c r="AG813" s="53">
        <v>0</v>
      </c>
      <c r="AH813" s="53">
        <v>0</v>
      </c>
      <c r="AI813" s="53">
        <v>0</v>
      </c>
      <c r="AJ813" s="53">
        <v>0</v>
      </c>
      <c r="AK813" s="53">
        <v>0</v>
      </c>
      <c r="AL813" s="53">
        <v>0</v>
      </c>
      <c r="AM813" s="53" t="str">
        <f>I813-J813-K813-L813-M813-N813-O813-P813-Q813-R813-S813-T813-U813-V813-W813-X813-Y813-Z813-AA813-AB813-AC813-AD813-AE813-AF813-AG813+AH813-AI813+AJ813+AK813-AL813</f>
        <v>0</v>
      </c>
      <c r="AN813" s="53"/>
      <c r="AO813" s="27"/>
    </row>
    <row r="814" spans="1:41">
      <c r="A814" s="44">
        <v>786</v>
      </c>
      <c r="B814" s="46" t="s">
        <v>3193</v>
      </c>
      <c r="C814" s="48" t="s">
        <v>3194</v>
      </c>
      <c r="D814" s="51" t="s">
        <v>73</v>
      </c>
      <c r="E814" s="51" t="s">
        <v>3195</v>
      </c>
      <c r="F814" s="54" t="s">
        <v>3196</v>
      </c>
      <c r="G814" s="50">
        <v>10.3</v>
      </c>
      <c r="H814" s="51" t="s">
        <v>3197</v>
      </c>
      <c r="I814" s="53">
        <v>926000</v>
      </c>
      <c r="J814" s="53">
        <v>0</v>
      </c>
      <c r="K814" s="53">
        <v>54000</v>
      </c>
      <c r="L814" s="53">
        <v>0</v>
      </c>
      <c r="M814" s="53">
        <v>0</v>
      </c>
      <c r="N814" s="53">
        <v>0</v>
      </c>
      <c r="O814" s="53">
        <v>0</v>
      </c>
      <c r="P814" s="53">
        <v>0</v>
      </c>
      <c r="Q814" s="53">
        <v>0</v>
      </c>
      <c r="R814" s="53">
        <v>0</v>
      </c>
      <c r="S814" s="53">
        <v>0</v>
      </c>
      <c r="T814" s="53">
        <v>0</v>
      </c>
      <c r="U814" s="53">
        <v>2700</v>
      </c>
      <c r="V814" s="53">
        <v>0</v>
      </c>
      <c r="W814" s="53">
        <v>0</v>
      </c>
      <c r="X814" s="53">
        <v>0</v>
      </c>
      <c r="Y814" s="53">
        <v>0</v>
      </c>
      <c r="Z814" s="53">
        <v>0</v>
      </c>
      <c r="AA814" s="53">
        <v>0</v>
      </c>
      <c r="AB814" s="53">
        <v>0</v>
      </c>
      <c r="AC814" s="53">
        <v>0</v>
      </c>
      <c r="AD814" s="53">
        <v>0</v>
      </c>
      <c r="AE814" s="53">
        <v>0</v>
      </c>
      <c r="AF814" s="53">
        <v>0</v>
      </c>
      <c r="AG814" s="53">
        <v>0</v>
      </c>
      <c r="AH814" s="53">
        <v>0</v>
      </c>
      <c r="AI814" s="53">
        <v>0</v>
      </c>
      <c r="AJ814" s="53">
        <v>0</v>
      </c>
      <c r="AK814" s="53">
        <v>0</v>
      </c>
      <c r="AL814" s="53">
        <v>0</v>
      </c>
      <c r="AM814" s="53" t="str">
        <f>I814-J814-K814-L814-M814-N814-O814-P814-Q814-R814-S814-T814-U814-V814-W814-X814-Y814-Z814-AA814-AB814-AC814-AD814-AE814-AF814-AG814+AH814-AI814+AJ814+AK814-AL814</f>
        <v>0</v>
      </c>
      <c r="AN814" s="53"/>
      <c r="AO814" s="27"/>
    </row>
    <row r="815" spans="1:41">
      <c r="A815" s="44">
        <v>787</v>
      </c>
      <c r="B815" s="46" t="s">
        <v>3198</v>
      </c>
      <c r="C815" s="48" t="s">
        <v>3199</v>
      </c>
      <c r="D815" s="51" t="s">
        <v>73</v>
      </c>
      <c r="E815" s="51" t="s">
        <v>3200</v>
      </c>
      <c r="F815" s="54" t="s">
        <v>738</v>
      </c>
      <c r="G815" s="50">
        <v>10.1</v>
      </c>
      <c r="H815" s="51" t="s">
        <v>3201</v>
      </c>
      <c r="I815" s="53">
        <v>1042200</v>
      </c>
      <c r="J815" s="53">
        <v>0</v>
      </c>
      <c r="K815" s="53">
        <v>44000</v>
      </c>
      <c r="L815" s="53">
        <v>0</v>
      </c>
      <c r="M815" s="53">
        <v>0</v>
      </c>
      <c r="N815" s="53">
        <v>0</v>
      </c>
      <c r="O815" s="53">
        <v>0</v>
      </c>
      <c r="P815" s="53">
        <v>0</v>
      </c>
      <c r="Q815" s="53">
        <v>0</v>
      </c>
      <c r="R815" s="53">
        <v>0</v>
      </c>
      <c r="S815" s="53">
        <v>0</v>
      </c>
      <c r="T815" s="53">
        <v>0</v>
      </c>
      <c r="U815" s="53">
        <v>2200</v>
      </c>
      <c r="V815" s="53">
        <v>0</v>
      </c>
      <c r="W815" s="53">
        <v>0</v>
      </c>
      <c r="X815" s="53">
        <v>0</v>
      </c>
      <c r="Y815" s="53">
        <v>0</v>
      </c>
      <c r="Z815" s="53">
        <v>0</v>
      </c>
      <c r="AA815" s="53">
        <v>0</v>
      </c>
      <c r="AB815" s="53">
        <v>0</v>
      </c>
      <c r="AC815" s="53">
        <v>0</v>
      </c>
      <c r="AD815" s="53">
        <v>0</v>
      </c>
      <c r="AE815" s="53">
        <v>0</v>
      </c>
      <c r="AF815" s="53">
        <v>0</v>
      </c>
      <c r="AG815" s="53">
        <v>0</v>
      </c>
      <c r="AH815" s="53">
        <v>0</v>
      </c>
      <c r="AI815" s="53">
        <v>0</v>
      </c>
      <c r="AJ815" s="53">
        <v>0</v>
      </c>
      <c r="AK815" s="53">
        <v>0</v>
      </c>
      <c r="AL815" s="53">
        <v>0</v>
      </c>
      <c r="AM815" s="53" t="str">
        <f>I815-J815-K815-L815-M815-N815-O815-P815-Q815-R815-S815-T815-U815-V815-W815-X815-Y815-Z815-AA815-AB815-AC815-AD815-AE815-AF815-AG815+AH815-AI815+AJ815+AK815-AL815</f>
        <v>0</v>
      </c>
      <c r="AN815" s="53"/>
      <c r="AO815" s="27"/>
    </row>
    <row r="816" spans="1:41">
      <c r="A816" s="44">
        <v>788</v>
      </c>
      <c r="B816" s="46" t="s">
        <v>3202</v>
      </c>
      <c r="C816" s="48" t="s">
        <v>3203</v>
      </c>
      <c r="D816" s="51" t="s">
        <v>73</v>
      </c>
      <c r="E816" s="51" t="s">
        <v>3200</v>
      </c>
      <c r="F816" s="54" t="s">
        <v>3204</v>
      </c>
      <c r="G816" s="50">
        <v>5</v>
      </c>
      <c r="H816" s="51" t="s">
        <v>3205</v>
      </c>
      <c r="I816" s="53">
        <v>429000</v>
      </c>
      <c r="J816" s="53">
        <v>0</v>
      </c>
      <c r="K816" s="53">
        <v>23000</v>
      </c>
      <c r="L816" s="53">
        <v>0</v>
      </c>
      <c r="M816" s="53">
        <v>0</v>
      </c>
      <c r="N816" s="53">
        <v>0</v>
      </c>
      <c r="O816" s="53">
        <v>0</v>
      </c>
      <c r="P816" s="53">
        <v>0</v>
      </c>
      <c r="Q816" s="53">
        <v>0</v>
      </c>
      <c r="R816" s="53">
        <v>0</v>
      </c>
      <c r="S816" s="53">
        <v>0</v>
      </c>
      <c r="T816" s="53">
        <v>0</v>
      </c>
      <c r="U816" s="53">
        <v>1150</v>
      </c>
      <c r="V816" s="53">
        <v>0</v>
      </c>
      <c r="W816" s="53">
        <v>0</v>
      </c>
      <c r="X816" s="53">
        <v>0</v>
      </c>
      <c r="Y816" s="53">
        <v>0</v>
      </c>
      <c r="Z816" s="53">
        <v>0</v>
      </c>
      <c r="AA816" s="53">
        <v>0</v>
      </c>
      <c r="AB816" s="53">
        <v>0</v>
      </c>
      <c r="AC816" s="53">
        <v>0</v>
      </c>
      <c r="AD816" s="53">
        <v>0</v>
      </c>
      <c r="AE816" s="53">
        <v>0</v>
      </c>
      <c r="AF816" s="53">
        <v>0</v>
      </c>
      <c r="AG816" s="53">
        <v>0</v>
      </c>
      <c r="AH816" s="53">
        <v>0</v>
      </c>
      <c r="AI816" s="53">
        <v>0</v>
      </c>
      <c r="AJ816" s="53">
        <v>0</v>
      </c>
      <c r="AK816" s="53">
        <v>0</v>
      </c>
      <c r="AL816" s="53">
        <v>0</v>
      </c>
      <c r="AM816" s="53" t="str">
        <f>I816-J816-K816-L816-M816-N816-O816-P816-Q816-R816-S816-T816-U816-V816-W816-X816-Y816-Z816-AA816-AB816-AC816-AD816-AE816-AF816-AG816+AH816-AI816+AJ816+AK816-AL816</f>
        <v>0</v>
      </c>
      <c r="AN816" s="53"/>
      <c r="AO816" s="27"/>
    </row>
    <row r="817" spans="1:41">
      <c r="A817" s="44">
        <v>789</v>
      </c>
      <c r="B817" s="46" t="s">
        <v>3206</v>
      </c>
      <c r="C817" s="48" t="s">
        <v>3207</v>
      </c>
      <c r="D817" s="51" t="s">
        <v>73</v>
      </c>
      <c r="E817" s="51" t="s">
        <v>3200</v>
      </c>
      <c r="F817" s="54" t="s">
        <v>3208</v>
      </c>
      <c r="G817" s="50">
        <v>3</v>
      </c>
      <c r="H817" s="51" t="s">
        <v>3209</v>
      </c>
      <c r="I817" s="53">
        <v>465000</v>
      </c>
      <c r="J817" s="53">
        <v>0</v>
      </c>
      <c r="K817" s="53">
        <v>22000</v>
      </c>
      <c r="L817" s="53">
        <v>0</v>
      </c>
      <c r="M817" s="53">
        <v>0</v>
      </c>
      <c r="N817" s="53">
        <v>0</v>
      </c>
      <c r="O817" s="53">
        <v>0</v>
      </c>
      <c r="P817" s="53">
        <v>0</v>
      </c>
      <c r="Q817" s="53">
        <v>0</v>
      </c>
      <c r="R817" s="53">
        <v>0</v>
      </c>
      <c r="S817" s="53">
        <v>0</v>
      </c>
      <c r="T817" s="53">
        <v>0</v>
      </c>
      <c r="U817" s="53">
        <v>1100</v>
      </c>
      <c r="V817" s="53">
        <v>0</v>
      </c>
      <c r="W817" s="53">
        <v>0</v>
      </c>
      <c r="X817" s="53">
        <v>0</v>
      </c>
      <c r="Y817" s="53">
        <v>0</v>
      </c>
      <c r="Z817" s="53">
        <v>0</v>
      </c>
      <c r="AA817" s="53">
        <v>0</v>
      </c>
      <c r="AB817" s="53">
        <v>0</v>
      </c>
      <c r="AC817" s="53">
        <v>0</v>
      </c>
      <c r="AD817" s="53">
        <v>0</v>
      </c>
      <c r="AE817" s="53">
        <v>0</v>
      </c>
      <c r="AF817" s="53">
        <v>0</v>
      </c>
      <c r="AG817" s="53">
        <v>0</v>
      </c>
      <c r="AH817" s="53">
        <v>0</v>
      </c>
      <c r="AI817" s="53">
        <v>0</v>
      </c>
      <c r="AJ817" s="53">
        <v>0</v>
      </c>
      <c r="AK817" s="53">
        <v>0</v>
      </c>
      <c r="AL817" s="53">
        <v>0</v>
      </c>
      <c r="AM817" s="53" t="str">
        <f>I817-J817-K817-L817-M817-N817-O817-P817-Q817-R817-S817-T817-U817-V817-W817-X817-Y817-Z817-AA817-AB817-AC817-AD817-AE817-AF817-AG817+AH817-AI817+AJ817+AK817-AL817</f>
        <v>0</v>
      </c>
      <c r="AN817" s="53"/>
      <c r="AO817" s="27"/>
    </row>
    <row r="818" spans="1:41">
      <c r="A818" s="44">
        <v>790</v>
      </c>
      <c r="B818" s="46" t="s">
        <v>3210</v>
      </c>
      <c r="C818" s="48" t="s">
        <v>3211</v>
      </c>
      <c r="D818" s="51" t="s">
        <v>73</v>
      </c>
      <c r="E818" s="51" t="s">
        <v>3212</v>
      </c>
      <c r="F818" s="54" t="s">
        <v>843</v>
      </c>
      <c r="G818" s="50">
        <v>23.1</v>
      </c>
      <c r="H818" s="51" t="s">
        <v>3213</v>
      </c>
      <c r="I818" s="53">
        <v>0</v>
      </c>
      <c r="J818" s="53">
        <v>24750</v>
      </c>
      <c r="K818" s="53">
        <v>96000</v>
      </c>
      <c r="L818" s="53">
        <v>0</v>
      </c>
      <c r="M818" s="53">
        <v>0</v>
      </c>
      <c r="N818" s="53">
        <v>0</v>
      </c>
      <c r="O818" s="53">
        <v>0</v>
      </c>
      <c r="P818" s="53">
        <v>0</v>
      </c>
      <c r="Q818" s="53">
        <v>0</v>
      </c>
      <c r="R818" s="53">
        <v>0</v>
      </c>
      <c r="S818" s="53">
        <v>0</v>
      </c>
      <c r="T818" s="53">
        <v>0</v>
      </c>
      <c r="U818" s="53">
        <v>4800</v>
      </c>
      <c r="V818" s="53">
        <v>0</v>
      </c>
      <c r="W818" s="53">
        <v>0</v>
      </c>
      <c r="X818" s="53">
        <v>0</v>
      </c>
      <c r="Y818" s="53">
        <v>0</v>
      </c>
      <c r="Z818" s="53">
        <v>0</v>
      </c>
      <c r="AA818" s="53">
        <v>0</v>
      </c>
      <c r="AB818" s="53">
        <v>0</v>
      </c>
      <c r="AC818" s="53">
        <v>0</v>
      </c>
      <c r="AD818" s="53">
        <v>0</v>
      </c>
      <c r="AE818" s="53">
        <v>0</v>
      </c>
      <c r="AF818" s="53">
        <v>0</v>
      </c>
      <c r="AG818" s="53">
        <v>0</v>
      </c>
      <c r="AH818" s="53">
        <v>0</v>
      </c>
      <c r="AI818" s="53">
        <v>0</v>
      </c>
      <c r="AJ818" s="53">
        <v>0</v>
      </c>
      <c r="AK818" s="53">
        <v>0</v>
      </c>
      <c r="AL818" s="53">
        <v>0</v>
      </c>
      <c r="AM818" s="53" t="str">
        <f>I818-J818-K818-L818-M818-N818-O818-P818-Q818-R818-S818-T818-U818-V818-W818-X818-Y818-Z818-AA818-AB818-AC818-AD818-AE818-AF818-AG818+AH818-AI818+AJ818+AK818-AL818</f>
        <v>0</v>
      </c>
      <c r="AN818" s="53"/>
      <c r="AO818" s="27"/>
    </row>
    <row r="819" spans="1:41">
      <c r="A819" s="44">
        <v>791</v>
      </c>
      <c r="B819" s="46" t="s">
        <v>3214</v>
      </c>
      <c r="C819" s="48" t="s">
        <v>3215</v>
      </c>
      <c r="D819" s="51" t="s">
        <v>62</v>
      </c>
      <c r="E819" s="51" t="s">
        <v>3216</v>
      </c>
      <c r="F819" s="54" t="s">
        <v>2574</v>
      </c>
      <c r="G819" s="50">
        <v>3</v>
      </c>
      <c r="H819" s="51" t="s">
        <v>3217</v>
      </c>
      <c r="I819" s="53">
        <v>0</v>
      </c>
      <c r="J819" s="53">
        <v>0</v>
      </c>
      <c r="K819" s="53">
        <v>22000</v>
      </c>
      <c r="L819" s="53">
        <v>0</v>
      </c>
      <c r="M819" s="53">
        <v>0</v>
      </c>
      <c r="N819" s="53">
        <v>0</v>
      </c>
      <c r="O819" s="53">
        <v>0</v>
      </c>
      <c r="P819" s="53">
        <v>0</v>
      </c>
      <c r="Q819" s="53">
        <v>0</v>
      </c>
      <c r="R819" s="53">
        <v>0</v>
      </c>
      <c r="S819" s="53">
        <v>0</v>
      </c>
      <c r="T819" s="53">
        <v>0</v>
      </c>
      <c r="U819" s="53">
        <v>1100</v>
      </c>
      <c r="V819" s="53">
        <v>0</v>
      </c>
      <c r="W819" s="53">
        <v>0</v>
      </c>
      <c r="X819" s="53">
        <v>0</v>
      </c>
      <c r="Y819" s="53">
        <v>5250</v>
      </c>
      <c r="Z819" s="53">
        <v>0</v>
      </c>
      <c r="AA819" s="53">
        <v>0</v>
      </c>
      <c r="AB819" s="53">
        <v>0</v>
      </c>
      <c r="AC819" s="53">
        <v>0</v>
      </c>
      <c r="AD819" s="53">
        <v>0</v>
      </c>
      <c r="AE819" s="53">
        <v>0</v>
      </c>
      <c r="AF819" s="53">
        <v>0</v>
      </c>
      <c r="AG819" s="53">
        <v>0</v>
      </c>
      <c r="AH819" s="53">
        <v>0</v>
      </c>
      <c r="AI819" s="53">
        <v>0</v>
      </c>
      <c r="AJ819" s="53">
        <v>0</v>
      </c>
      <c r="AK819" s="53">
        <v>0</v>
      </c>
      <c r="AL819" s="53">
        <v>0</v>
      </c>
      <c r="AM819" s="53" t="str">
        <f>I819-J819-K819-L819-M819-N819-O819-P819-Q819-R819-S819-T819-U819-V819-W819-X819-Y819-Z819-AA819-AB819-AC819-AD819-AE819-AF819-AG819+AH819-AI819+AJ819+AK819-AL819</f>
        <v>0</v>
      </c>
      <c r="AN819" s="53"/>
      <c r="AO819" s="27"/>
    </row>
    <row r="820" spans="1:41">
      <c r="A820" s="44">
        <v>792</v>
      </c>
      <c r="B820" s="46" t="s">
        <v>3218</v>
      </c>
      <c r="C820" s="48" t="s">
        <v>3219</v>
      </c>
      <c r="D820" s="51" t="s">
        <v>73</v>
      </c>
      <c r="E820" s="51" t="s">
        <v>3220</v>
      </c>
      <c r="F820" s="54" t="s">
        <v>3221</v>
      </c>
      <c r="G820" s="50">
        <v>3</v>
      </c>
      <c r="H820" s="51" t="s">
        <v>3222</v>
      </c>
      <c r="I820" s="53">
        <v>296000</v>
      </c>
      <c r="J820" s="53">
        <v>0</v>
      </c>
      <c r="K820" s="53">
        <v>22000</v>
      </c>
      <c r="L820" s="53">
        <v>0</v>
      </c>
      <c r="M820" s="53">
        <v>0</v>
      </c>
      <c r="N820" s="53">
        <v>0</v>
      </c>
      <c r="O820" s="53">
        <v>0</v>
      </c>
      <c r="P820" s="53">
        <v>0</v>
      </c>
      <c r="Q820" s="53">
        <v>0</v>
      </c>
      <c r="R820" s="53">
        <v>0</v>
      </c>
      <c r="S820" s="53">
        <v>0</v>
      </c>
      <c r="T820" s="53">
        <v>0</v>
      </c>
      <c r="U820" s="53">
        <v>1100</v>
      </c>
      <c r="V820" s="53">
        <v>0</v>
      </c>
      <c r="W820" s="53">
        <v>0</v>
      </c>
      <c r="X820" s="53">
        <v>0</v>
      </c>
      <c r="Y820" s="53">
        <v>0</v>
      </c>
      <c r="Z820" s="53">
        <v>0</v>
      </c>
      <c r="AA820" s="53">
        <v>0</v>
      </c>
      <c r="AB820" s="53">
        <v>0</v>
      </c>
      <c r="AC820" s="53">
        <v>0</v>
      </c>
      <c r="AD820" s="53">
        <v>0</v>
      </c>
      <c r="AE820" s="53">
        <v>0</v>
      </c>
      <c r="AF820" s="53">
        <v>0</v>
      </c>
      <c r="AG820" s="53">
        <v>0</v>
      </c>
      <c r="AH820" s="53">
        <v>0</v>
      </c>
      <c r="AI820" s="53">
        <v>0</v>
      </c>
      <c r="AJ820" s="53">
        <v>0</v>
      </c>
      <c r="AK820" s="53">
        <v>0</v>
      </c>
      <c r="AL820" s="53">
        <v>0</v>
      </c>
      <c r="AM820" s="53" t="str">
        <f>I820-J820-K820-L820-M820-N820-O820-P820-Q820-R820-S820-T820-U820-V820-W820-X820-Y820-Z820-AA820-AB820-AC820-AD820-AE820-AF820-AG820+AH820-AI820+AJ820+AK820-AL820</f>
        <v>0</v>
      </c>
      <c r="AN820" s="53"/>
      <c r="AO820" s="27"/>
    </row>
    <row r="821" spans="1:41">
      <c r="A821" s="44">
        <v>793</v>
      </c>
      <c r="B821" s="46" t="s">
        <v>3223</v>
      </c>
      <c r="C821" s="48" t="s">
        <v>3224</v>
      </c>
      <c r="D821" s="51" t="s">
        <v>73</v>
      </c>
      <c r="E821" s="51" t="s">
        <v>3220</v>
      </c>
      <c r="F821" s="54" t="s">
        <v>3225</v>
      </c>
      <c r="G821" s="50">
        <v>5.8</v>
      </c>
      <c r="H821" s="51" t="s">
        <v>3226</v>
      </c>
      <c r="I821" s="53">
        <v>574100</v>
      </c>
      <c r="J821" s="53">
        <v>0</v>
      </c>
      <c r="K821" s="53">
        <v>31000</v>
      </c>
      <c r="L821" s="53">
        <v>0</v>
      </c>
      <c r="M821" s="53">
        <v>0</v>
      </c>
      <c r="N821" s="53">
        <v>0</v>
      </c>
      <c r="O821" s="53">
        <v>0</v>
      </c>
      <c r="P821" s="53">
        <v>0</v>
      </c>
      <c r="Q821" s="53">
        <v>0</v>
      </c>
      <c r="R821" s="53">
        <v>0</v>
      </c>
      <c r="S821" s="53">
        <v>0</v>
      </c>
      <c r="T821" s="53">
        <v>0</v>
      </c>
      <c r="U821" s="53">
        <v>1550</v>
      </c>
      <c r="V821" s="53">
        <v>0</v>
      </c>
      <c r="W821" s="53">
        <v>0</v>
      </c>
      <c r="X821" s="53">
        <v>0</v>
      </c>
      <c r="Y821" s="53">
        <v>0</v>
      </c>
      <c r="Z821" s="53">
        <v>0</v>
      </c>
      <c r="AA821" s="53">
        <v>0</v>
      </c>
      <c r="AB821" s="53">
        <v>0</v>
      </c>
      <c r="AC821" s="53">
        <v>0</v>
      </c>
      <c r="AD821" s="53">
        <v>0</v>
      </c>
      <c r="AE821" s="53">
        <v>0</v>
      </c>
      <c r="AF821" s="53">
        <v>0</v>
      </c>
      <c r="AG821" s="53">
        <v>0</v>
      </c>
      <c r="AH821" s="53">
        <v>0</v>
      </c>
      <c r="AI821" s="53">
        <v>0</v>
      </c>
      <c r="AJ821" s="53">
        <v>0</v>
      </c>
      <c r="AK821" s="53">
        <v>0</v>
      </c>
      <c r="AL821" s="53">
        <v>0</v>
      </c>
      <c r="AM821" s="53" t="str">
        <f>I821-J821-K821-L821-M821-N821-O821-P821-Q821-R821-S821-T821-U821-V821-W821-X821-Y821-Z821-AA821-AB821-AC821-AD821-AE821-AF821-AG821+AH821-AI821+AJ821+AK821-AL821</f>
        <v>0</v>
      </c>
      <c r="AN821" s="53"/>
      <c r="AO821" s="27"/>
    </row>
    <row r="822" spans="1:41">
      <c r="A822" s="44">
        <v>794</v>
      </c>
      <c r="B822" s="46" t="s">
        <v>3227</v>
      </c>
      <c r="C822" s="48" t="s">
        <v>3228</v>
      </c>
      <c r="D822" s="51" t="s">
        <v>73</v>
      </c>
      <c r="E822" s="51" t="s">
        <v>3220</v>
      </c>
      <c r="F822" s="54" t="s">
        <v>3229</v>
      </c>
      <c r="G822" s="50">
        <v>3</v>
      </c>
      <c r="H822" s="51" t="s">
        <v>3230</v>
      </c>
      <c r="I822" s="53">
        <v>332000</v>
      </c>
      <c r="J822" s="53">
        <v>0</v>
      </c>
      <c r="K822" s="53">
        <v>22000</v>
      </c>
      <c r="L822" s="53">
        <v>0</v>
      </c>
      <c r="M822" s="53">
        <v>0</v>
      </c>
      <c r="N822" s="53">
        <v>0</v>
      </c>
      <c r="O822" s="53">
        <v>0</v>
      </c>
      <c r="P822" s="53">
        <v>0</v>
      </c>
      <c r="Q822" s="53">
        <v>0</v>
      </c>
      <c r="R822" s="53">
        <v>0</v>
      </c>
      <c r="S822" s="53">
        <v>0</v>
      </c>
      <c r="T822" s="53">
        <v>0</v>
      </c>
      <c r="U822" s="53">
        <v>1100</v>
      </c>
      <c r="V822" s="53">
        <v>0</v>
      </c>
      <c r="W822" s="53">
        <v>0</v>
      </c>
      <c r="X822" s="53">
        <v>0</v>
      </c>
      <c r="Y822" s="53">
        <v>0</v>
      </c>
      <c r="Z822" s="53">
        <v>0</v>
      </c>
      <c r="AA822" s="53">
        <v>0</v>
      </c>
      <c r="AB822" s="53">
        <v>0</v>
      </c>
      <c r="AC822" s="53">
        <v>0</v>
      </c>
      <c r="AD822" s="53">
        <v>0</v>
      </c>
      <c r="AE822" s="53">
        <v>0</v>
      </c>
      <c r="AF822" s="53">
        <v>0</v>
      </c>
      <c r="AG822" s="53">
        <v>0</v>
      </c>
      <c r="AH822" s="53">
        <v>0</v>
      </c>
      <c r="AI822" s="53">
        <v>0</v>
      </c>
      <c r="AJ822" s="53">
        <v>0</v>
      </c>
      <c r="AK822" s="53">
        <v>0</v>
      </c>
      <c r="AL822" s="53">
        <v>0</v>
      </c>
      <c r="AM822" s="53" t="str">
        <f>I822-J822-K822-L822-M822-N822-O822-P822-Q822-R822-S822-T822-U822-V822-W822-X822-Y822-Z822-AA822-AB822-AC822-AD822-AE822-AF822-AG822+AH822-AI822+AJ822+AK822-AL822</f>
        <v>0</v>
      </c>
      <c r="AN822" s="53"/>
      <c r="AO822" s="27"/>
    </row>
    <row r="823" spans="1:41">
      <c r="A823" s="44">
        <v>795</v>
      </c>
      <c r="B823" s="46" t="s">
        <v>3231</v>
      </c>
      <c r="C823" s="48" t="s">
        <v>3232</v>
      </c>
      <c r="D823" s="51" t="s">
        <v>73</v>
      </c>
      <c r="E823" s="51" t="s">
        <v>3220</v>
      </c>
      <c r="F823" s="54" t="s">
        <v>3233</v>
      </c>
      <c r="G823" s="50">
        <v>6</v>
      </c>
      <c r="H823" s="51" t="s">
        <v>3234</v>
      </c>
      <c r="I823" s="53">
        <v>1570000</v>
      </c>
      <c r="J823" s="53">
        <v>0</v>
      </c>
      <c r="K823" s="53">
        <v>31000</v>
      </c>
      <c r="L823" s="53">
        <v>0</v>
      </c>
      <c r="M823" s="53">
        <v>0</v>
      </c>
      <c r="N823" s="53">
        <v>0</v>
      </c>
      <c r="O823" s="53">
        <v>0</v>
      </c>
      <c r="P823" s="53">
        <v>0</v>
      </c>
      <c r="Q823" s="53">
        <v>0</v>
      </c>
      <c r="R823" s="53">
        <v>0</v>
      </c>
      <c r="S823" s="53">
        <v>0</v>
      </c>
      <c r="T823" s="53">
        <v>0</v>
      </c>
      <c r="U823" s="53">
        <v>1550</v>
      </c>
      <c r="V823" s="53">
        <v>0</v>
      </c>
      <c r="W823" s="53">
        <v>0</v>
      </c>
      <c r="X823" s="53">
        <v>0</v>
      </c>
      <c r="Y823" s="53">
        <v>0</v>
      </c>
      <c r="Z823" s="53">
        <v>0</v>
      </c>
      <c r="AA823" s="53">
        <v>0</v>
      </c>
      <c r="AB823" s="53">
        <v>0</v>
      </c>
      <c r="AC823" s="53">
        <v>0</v>
      </c>
      <c r="AD823" s="53">
        <v>0</v>
      </c>
      <c r="AE823" s="53">
        <v>0</v>
      </c>
      <c r="AF823" s="53">
        <v>0</v>
      </c>
      <c r="AG823" s="53">
        <v>0</v>
      </c>
      <c r="AH823" s="53">
        <v>0</v>
      </c>
      <c r="AI823" s="53">
        <v>0</v>
      </c>
      <c r="AJ823" s="53">
        <v>0</v>
      </c>
      <c r="AK823" s="53">
        <v>0</v>
      </c>
      <c r="AL823" s="53">
        <v>0</v>
      </c>
      <c r="AM823" s="53" t="str">
        <f>I823-J823-K823-L823-M823-N823-O823-P823-Q823-R823-S823-T823-U823-V823-W823-X823-Y823-Z823-AA823-AB823-AC823-AD823-AE823-AF823-AG823+AH823-AI823+AJ823+AK823-AL823</f>
        <v>0</v>
      </c>
      <c r="AN823" s="53"/>
      <c r="AO823" s="27"/>
    </row>
    <row r="824" spans="1:41">
      <c r="A824" s="44">
        <v>796</v>
      </c>
      <c r="B824" s="46" t="s">
        <v>3235</v>
      </c>
      <c r="C824" s="48" t="s">
        <v>3236</v>
      </c>
      <c r="D824" s="51" t="s">
        <v>73</v>
      </c>
      <c r="E824" s="51" t="s">
        <v>3220</v>
      </c>
      <c r="F824" s="54" t="s">
        <v>3237</v>
      </c>
      <c r="G824" s="50">
        <v>3</v>
      </c>
      <c r="H824" s="51" t="s">
        <v>3238</v>
      </c>
      <c r="I824" s="53">
        <v>201500</v>
      </c>
      <c r="J824" s="53">
        <v>0</v>
      </c>
      <c r="K824" s="53">
        <v>22000</v>
      </c>
      <c r="L824" s="53">
        <v>0</v>
      </c>
      <c r="M824" s="53">
        <v>0</v>
      </c>
      <c r="N824" s="53">
        <v>0</v>
      </c>
      <c r="O824" s="53">
        <v>0</v>
      </c>
      <c r="P824" s="53">
        <v>0</v>
      </c>
      <c r="Q824" s="53">
        <v>0</v>
      </c>
      <c r="R824" s="53">
        <v>0</v>
      </c>
      <c r="S824" s="53">
        <v>0</v>
      </c>
      <c r="T824" s="53">
        <v>0</v>
      </c>
      <c r="U824" s="53">
        <v>1100</v>
      </c>
      <c r="V824" s="53">
        <v>0</v>
      </c>
      <c r="W824" s="53">
        <v>0</v>
      </c>
      <c r="X824" s="53">
        <v>0</v>
      </c>
      <c r="Y824" s="53">
        <v>0</v>
      </c>
      <c r="Z824" s="53">
        <v>0</v>
      </c>
      <c r="AA824" s="53">
        <v>0</v>
      </c>
      <c r="AB824" s="53">
        <v>0</v>
      </c>
      <c r="AC824" s="53">
        <v>0</v>
      </c>
      <c r="AD824" s="53">
        <v>0</v>
      </c>
      <c r="AE824" s="53">
        <v>0</v>
      </c>
      <c r="AF824" s="53">
        <v>0</v>
      </c>
      <c r="AG824" s="53">
        <v>0</v>
      </c>
      <c r="AH824" s="53">
        <v>0</v>
      </c>
      <c r="AI824" s="53">
        <v>0</v>
      </c>
      <c r="AJ824" s="53">
        <v>0</v>
      </c>
      <c r="AK824" s="53">
        <v>0</v>
      </c>
      <c r="AL824" s="53">
        <v>0</v>
      </c>
      <c r="AM824" s="53" t="str">
        <f>I824-J824-K824-L824-M824-N824-O824-P824-Q824-R824-S824-T824-U824-V824-W824-X824-Y824-Z824-AA824-AB824-AC824-AD824-AE824-AF824-AG824+AH824-AI824+AJ824+AK824-AL824</f>
        <v>0</v>
      </c>
      <c r="AN824" s="53"/>
      <c r="AO824" s="27"/>
    </row>
    <row r="825" spans="1:41">
      <c r="A825" s="44">
        <v>797</v>
      </c>
      <c r="B825" s="46" t="s">
        <v>3239</v>
      </c>
      <c r="C825" s="48" t="s">
        <v>3240</v>
      </c>
      <c r="D825" s="51" t="s">
        <v>73</v>
      </c>
      <c r="E825" s="51" t="s">
        <v>3220</v>
      </c>
      <c r="F825" s="54" t="s">
        <v>3241</v>
      </c>
      <c r="G825" s="50">
        <v>5</v>
      </c>
      <c r="H825" s="51" t="s">
        <v>3242</v>
      </c>
      <c r="I825" s="53">
        <v>1440000</v>
      </c>
      <c r="J825" s="53">
        <v>0</v>
      </c>
      <c r="K825" s="53">
        <v>27000</v>
      </c>
      <c r="L825" s="53">
        <v>0</v>
      </c>
      <c r="M825" s="53">
        <v>0</v>
      </c>
      <c r="N825" s="53">
        <v>0</v>
      </c>
      <c r="O825" s="53">
        <v>0</v>
      </c>
      <c r="P825" s="53">
        <v>0</v>
      </c>
      <c r="Q825" s="53">
        <v>0</v>
      </c>
      <c r="R825" s="53">
        <v>0</v>
      </c>
      <c r="S825" s="53">
        <v>0</v>
      </c>
      <c r="T825" s="53">
        <v>0</v>
      </c>
      <c r="U825" s="53">
        <v>1350</v>
      </c>
      <c r="V825" s="53">
        <v>0</v>
      </c>
      <c r="W825" s="53">
        <v>0</v>
      </c>
      <c r="X825" s="53">
        <v>0</v>
      </c>
      <c r="Y825" s="53">
        <v>0</v>
      </c>
      <c r="Z825" s="53">
        <v>0</v>
      </c>
      <c r="AA825" s="53">
        <v>0</v>
      </c>
      <c r="AB825" s="53">
        <v>0</v>
      </c>
      <c r="AC825" s="53">
        <v>0</v>
      </c>
      <c r="AD825" s="53">
        <v>0</v>
      </c>
      <c r="AE825" s="53">
        <v>0</v>
      </c>
      <c r="AF825" s="53">
        <v>0</v>
      </c>
      <c r="AG825" s="53">
        <v>0</v>
      </c>
      <c r="AH825" s="53">
        <v>0</v>
      </c>
      <c r="AI825" s="53">
        <v>0</v>
      </c>
      <c r="AJ825" s="53">
        <v>0</v>
      </c>
      <c r="AK825" s="53">
        <v>0</v>
      </c>
      <c r="AL825" s="53">
        <v>0</v>
      </c>
      <c r="AM825" s="53" t="str">
        <f>I825-J825-K825-L825-M825-N825-O825-P825-Q825-R825-S825-T825-U825-V825-W825-X825-Y825-Z825-AA825-AB825-AC825-AD825-AE825-AF825-AG825+AH825-AI825+AJ825+AK825-AL825</f>
        <v>0</v>
      </c>
      <c r="AN825" s="53"/>
      <c r="AO825" s="27"/>
    </row>
    <row r="826" spans="1:41">
      <c r="A826" s="44">
        <v>798</v>
      </c>
      <c r="B826" s="46" t="s">
        <v>3243</v>
      </c>
      <c r="C826" s="48" t="s">
        <v>3244</v>
      </c>
      <c r="D826" s="51" t="s">
        <v>73</v>
      </c>
      <c r="E826" s="51" t="s">
        <v>3220</v>
      </c>
      <c r="F826" s="54" t="s">
        <v>3245</v>
      </c>
      <c r="G826" s="50">
        <v>3</v>
      </c>
      <c r="H826" s="51" t="s">
        <v>3246</v>
      </c>
      <c r="I826" s="53">
        <v>295100</v>
      </c>
      <c r="J826" s="53">
        <v>0</v>
      </c>
      <c r="K826" s="53">
        <v>22000</v>
      </c>
      <c r="L826" s="53">
        <v>0</v>
      </c>
      <c r="M826" s="53">
        <v>0</v>
      </c>
      <c r="N826" s="53">
        <v>0</v>
      </c>
      <c r="O826" s="53">
        <v>0</v>
      </c>
      <c r="P826" s="53">
        <v>0</v>
      </c>
      <c r="Q826" s="53">
        <v>0</v>
      </c>
      <c r="R826" s="53">
        <v>0</v>
      </c>
      <c r="S826" s="53">
        <v>0</v>
      </c>
      <c r="T826" s="53">
        <v>0</v>
      </c>
      <c r="U826" s="53">
        <v>1100</v>
      </c>
      <c r="V826" s="53">
        <v>0</v>
      </c>
      <c r="W826" s="53">
        <v>0</v>
      </c>
      <c r="X826" s="53">
        <v>0</v>
      </c>
      <c r="Y826" s="53">
        <v>0</v>
      </c>
      <c r="Z826" s="53">
        <v>0</v>
      </c>
      <c r="AA826" s="53">
        <v>0</v>
      </c>
      <c r="AB826" s="53">
        <v>0</v>
      </c>
      <c r="AC826" s="53">
        <v>0</v>
      </c>
      <c r="AD826" s="53">
        <v>0</v>
      </c>
      <c r="AE826" s="53">
        <v>0</v>
      </c>
      <c r="AF826" s="53">
        <v>0</v>
      </c>
      <c r="AG826" s="53">
        <v>0</v>
      </c>
      <c r="AH826" s="53">
        <v>0</v>
      </c>
      <c r="AI826" s="53">
        <v>0</v>
      </c>
      <c r="AJ826" s="53">
        <v>0</v>
      </c>
      <c r="AK826" s="53">
        <v>0</v>
      </c>
      <c r="AL826" s="53">
        <v>0</v>
      </c>
      <c r="AM826" s="53" t="str">
        <f>I826-J826-K826-L826-M826-N826-O826-P826-Q826-R826-S826-T826-U826-V826-W826-X826-Y826-Z826-AA826-AB826-AC826-AD826-AE826-AF826-AG826+AH826-AI826+AJ826+AK826-AL826</f>
        <v>0</v>
      </c>
      <c r="AN826" s="53"/>
      <c r="AO826" s="27"/>
    </row>
    <row r="827" spans="1:41">
      <c r="A827" s="44">
        <v>799</v>
      </c>
      <c r="B827" s="46" t="s">
        <v>3247</v>
      </c>
      <c r="C827" s="48" t="s">
        <v>3248</v>
      </c>
      <c r="D827" s="51" t="s">
        <v>73</v>
      </c>
      <c r="E827" s="51" t="s">
        <v>3249</v>
      </c>
      <c r="F827" s="54" t="s">
        <v>3250</v>
      </c>
      <c r="G827" s="50">
        <v>5</v>
      </c>
      <c r="H827" s="51" t="s">
        <v>3251</v>
      </c>
      <c r="I827" s="53">
        <v>926000</v>
      </c>
      <c r="J827" s="53">
        <v>0</v>
      </c>
      <c r="K827" s="53">
        <v>27000</v>
      </c>
      <c r="L827" s="53">
        <v>0</v>
      </c>
      <c r="M827" s="53">
        <v>0</v>
      </c>
      <c r="N827" s="53">
        <v>0</v>
      </c>
      <c r="O827" s="53">
        <v>0</v>
      </c>
      <c r="P827" s="53">
        <v>0</v>
      </c>
      <c r="Q827" s="53">
        <v>0</v>
      </c>
      <c r="R827" s="53">
        <v>0</v>
      </c>
      <c r="S827" s="53">
        <v>0</v>
      </c>
      <c r="T827" s="53">
        <v>0</v>
      </c>
      <c r="U827" s="53">
        <v>1350</v>
      </c>
      <c r="V827" s="53">
        <v>0</v>
      </c>
      <c r="W827" s="53">
        <v>0</v>
      </c>
      <c r="X827" s="53">
        <v>0</v>
      </c>
      <c r="Y827" s="53">
        <v>0</v>
      </c>
      <c r="Z827" s="53">
        <v>0</v>
      </c>
      <c r="AA827" s="53">
        <v>0</v>
      </c>
      <c r="AB827" s="53">
        <v>0</v>
      </c>
      <c r="AC827" s="53">
        <v>0</v>
      </c>
      <c r="AD827" s="53">
        <v>0</v>
      </c>
      <c r="AE827" s="53">
        <v>0</v>
      </c>
      <c r="AF827" s="53">
        <v>0</v>
      </c>
      <c r="AG827" s="53">
        <v>0</v>
      </c>
      <c r="AH827" s="53">
        <v>0</v>
      </c>
      <c r="AI827" s="53">
        <v>0</v>
      </c>
      <c r="AJ827" s="53">
        <v>0</v>
      </c>
      <c r="AK827" s="53">
        <v>0</v>
      </c>
      <c r="AL827" s="53">
        <v>0</v>
      </c>
      <c r="AM827" s="53" t="str">
        <f>I827-J827-K827-L827-M827-N827-O827-P827-Q827-R827-S827-T827-U827-V827-W827-X827-Y827-Z827-AA827-AB827-AC827-AD827-AE827-AF827-AG827+AH827-AI827+AJ827+AK827-AL827</f>
        <v>0</v>
      </c>
      <c r="AN827" s="53"/>
      <c r="AO827" s="27"/>
    </row>
    <row r="828" spans="1:41">
      <c r="A828" s="44">
        <v>800</v>
      </c>
      <c r="B828" s="46" t="s">
        <v>3252</v>
      </c>
      <c r="C828" s="48" t="s">
        <v>3253</v>
      </c>
      <c r="D828" s="51" t="s">
        <v>73</v>
      </c>
      <c r="E828" s="51" t="s">
        <v>3249</v>
      </c>
      <c r="F828" s="54" t="s">
        <v>3254</v>
      </c>
      <c r="G828" s="50">
        <v>3</v>
      </c>
      <c r="H828" s="51" t="s">
        <v>3255</v>
      </c>
      <c r="I828" s="53">
        <v>630000</v>
      </c>
      <c r="J828" s="53">
        <v>0</v>
      </c>
      <c r="K828" s="53">
        <v>22000</v>
      </c>
      <c r="L828" s="53">
        <v>0</v>
      </c>
      <c r="M828" s="53">
        <v>0</v>
      </c>
      <c r="N828" s="53">
        <v>0</v>
      </c>
      <c r="O828" s="53">
        <v>0</v>
      </c>
      <c r="P828" s="53">
        <v>0</v>
      </c>
      <c r="Q828" s="53">
        <v>0</v>
      </c>
      <c r="R828" s="53">
        <v>0</v>
      </c>
      <c r="S828" s="53">
        <v>0</v>
      </c>
      <c r="T828" s="53">
        <v>0</v>
      </c>
      <c r="U828" s="53">
        <v>1100</v>
      </c>
      <c r="V828" s="53">
        <v>0</v>
      </c>
      <c r="W828" s="53">
        <v>0</v>
      </c>
      <c r="X828" s="53">
        <v>0</v>
      </c>
      <c r="Y828" s="53">
        <v>0</v>
      </c>
      <c r="Z828" s="53">
        <v>0</v>
      </c>
      <c r="AA828" s="53">
        <v>0</v>
      </c>
      <c r="AB828" s="53">
        <v>0</v>
      </c>
      <c r="AC828" s="53">
        <v>0</v>
      </c>
      <c r="AD828" s="53">
        <v>0</v>
      </c>
      <c r="AE828" s="53">
        <v>0</v>
      </c>
      <c r="AF828" s="53">
        <v>0</v>
      </c>
      <c r="AG828" s="53">
        <v>0</v>
      </c>
      <c r="AH828" s="53">
        <v>0</v>
      </c>
      <c r="AI828" s="53">
        <v>0</v>
      </c>
      <c r="AJ828" s="53">
        <v>0</v>
      </c>
      <c r="AK828" s="53">
        <v>0</v>
      </c>
      <c r="AL828" s="53">
        <v>0</v>
      </c>
      <c r="AM828" s="53" t="str">
        <f>I828-J828-K828-L828-M828-N828-O828-P828-Q828-R828-S828-T828-U828-V828-W828-X828-Y828-Z828-AA828-AB828-AC828-AD828-AE828-AF828-AG828+AH828-AI828+AJ828+AK828-AL828</f>
        <v>0</v>
      </c>
      <c r="AN828" s="53"/>
      <c r="AO828" s="27"/>
    </row>
    <row r="829" spans="1:41">
      <c r="A829" s="44">
        <v>801</v>
      </c>
      <c r="B829" s="46" t="s">
        <v>3256</v>
      </c>
      <c r="C829" s="48" t="s">
        <v>3257</v>
      </c>
      <c r="D829" s="51" t="s">
        <v>73</v>
      </c>
      <c r="E829" s="51" t="s">
        <v>3249</v>
      </c>
      <c r="F829" s="54" t="s">
        <v>3258</v>
      </c>
      <c r="G829" s="50">
        <v>3</v>
      </c>
      <c r="H829" s="51" t="s">
        <v>3259</v>
      </c>
      <c r="I829" s="53">
        <v>354000</v>
      </c>
      <c r="J829" s="53">
        <v>0</v>
      </c>
      <c r="K829" s="53">
        <v>22000</v>
      </c>
      <c r="L829" s="53">
        <v>0</v>
      </c>
      <c r="M829" s="53">
        <v>0</v>
      </c>
      <c r="N829" s="53">
        <v>0</v>
      </c>
      <c r="O829" s="53">
        <v>0</v>
      </c>
      <c r="P829" s="53">
        <v>0</v>
      </c>
      <c r="Q829" s="53">
        <v>0</v>
      </c>
      <c r="R829" s="53">
        <v>0</v>
      </c>
      <c r="S829" s="53">
        <v>0</v>
      </c>
      <c r="T829" s="53">
        <v>0</v>
      </c>
      <c r="U829" s="53">
        <v>1100</v>
      </c>
      <c r="V829" s="53">
        <v>0</v>
      </c>
      <c r="W829" s="53">
        <v>0</v>
      </c>
      <c r="X829" s="53">
        <v>0</v>
      </c>
      <c r="Y829" s="53">
        <v>0</v>
      </c>
      <c r="Z829" s="53">
        <v>0</v>
      </c>
      <c r="AA829" s="53">
        <v>0</v>
      </c>
      <c r="AB829" s="53">
        <v>0</v>
      </c>
      <c r="AC829" s="53">
        <v>0</v>
      </c>
      <c r="AD829" s="53">
        <v>0</v>
      </c>
      <c r="AE829" s="53">
        <v>0</v>
      </c>
      <c r="AF829" s="53">
        <v>0</v>
      </c>
      <c r="AG829" s="53">
        <v>0</v>
      </c>
      <c r="AH829" s="53">
        <v>0</v>
      </c>
      <c r="AI829" s="53">
        <v>0</v>
      </c>
      <c r="AJ829" s="53">
        <v>0</v>
      </c>
      <c r="AK829" s="53">
        <v>0</v>
      </c>
      <c r="AL829" s="53">
        <v>0</v>
      </c>
      <c r="AM829" s="53" t="str">
        <f>I829-J829-K829-L829-M829-N829-O829-P829-Q829-R829-S829-T829-U829-V829-W829-X829-Y829-Z829-AA829-AB829-AC829-AD829-AE829-AF829-AG829+AH829-AI829+AJ829+AK829-AL829</f>
        <v>0</v>
      </c>
      <c r="AN829" s="53"/>
      <c r="AO829" s="27"/>
    </row>
    <row r="830" spans="1:41">
      <c r="A830" s="44">
        <v>802</v>
      </c>
      <c r="B830" s="46" t="s">
        <v>3260</v>
      </c>
      <c r="C830" s="48" t="s">
        <v>3261</v>
      </c>
      <c r="D830" s="51" t="s">
        <v>73</v>
      </c>
      <c r="E830" s="51" t="s">
        <v>3249</v>
      </c>
      <c r="F830" s="54" t="s">
        <v>3262</v>
      </c>
      <c r="G830" s="50">
        <v>3</v>
      </c>
      <c r="H830" s="51" t="s">
        <v>3263</v>
      </c>
      <c r="I830" s="53">
        <v>322100</v>
      </c>
      <c r="J830" s="53">
        <v>0</v>
      </c>
      <c r="K830" s="53">
        <v>22000</v>
      </c>
      <c r="L830" s="53">
        <v>0</v>
      </c>
      <c r="M830" s="53">
        <v>0</v>
      </c>
      <c r="N830" s="53">
        <v>0</v>
      </c>
      <c r="O830" s="53">
        <v>0</v>
      </c>
      <c r="P830" s="53">
        <v>0</v>
      </c>
      <c r="Q830" s="53">
        <v>0</v>
      </c>
      <c r="R830" s="53">
        <v>0</v>
      </c>
      <c r="S830" s="53">
        <v>0</v>
      </c>
      <c r="T830" s="53">
        <v>0</v>
      </c>
      <c r="U830" s="53">
        <v>1100</v>
      </c>
      <c r="V830" s="53">
        <v>0</v>
      </c>
      <c r="W830" s="53">
        <v>0</v>
      </c>
      <c r="X830" s="53">
        <v>0</v>
      </c>
      <c r="Y830" s="53">
        <v>0</v>
      </c>
      <c r="Z830" s="53">
        <v>0</v>
      </c>
      <c r="AA830" s="53">
        <v>0</v>
      </c>
      <c r="AB830" s="53">
        <v>0</v>
      </c>
      <c r="AC830" s="53">
        <v>0</v>
      </c>
      <c r="AD830" s="53">
        <v>0</v>
      </c>
      <c r="AE830" s="53">
        <v>0</v>
      </c>
      <c r="AF830" s="53">
        <v>0</v>
      </c>
      <c r="AG830" s="53">
        <v>0</v>
      </c>
      <c r="AH830" s="53">
        <v>0</v>
      </c>
      <c r="AI830" s="53">
        <v>0</v>
      </c>
      <c r="AJ830" s="53">
        <v>0</v>
      </c>
      <c r="AK830" s="53">
        <v>0</v>
      </c>
      <c r="AL830" s="53">
        <v>0</v>
      </c>
      <c r="AM830" s="53" t="str">
        <f>I830-J830-K830-L830-M830-N830-O830-P830-Q830-R830-S830-T830-U830-V830-W830-X830-Y830-Z830-AA830-AB830-AC830-AD830-AE830-AF830-AG830+AH830-AI830+AJ830+AK830-AL830</f>
        <v>0</v>
      </c>
      <c r="AN830" s="53"/>
      <c r="AO830" s="27"/>
    </row>
    <row r="831" spans="1:41">
      <c r="A831" s="44">
        <v>803</v>
      </c>
      <c r="B831" s="46" t="s">
        <v>3264</v>
      </c>
      <c r="C831" s="48" t="s">
        <v>3265</v>
      </c>
      <c r="D831" s="51" t="s">
        <v>73</v>
      </c>
      <c r="E831" s="51" t="s">
        <v>3266</v>
      </c>
      <c r="F831" s="54" t="s">
        <v>2747</v>
      </c>
      <c r="G831" s="50">
        <v>8.7</v>
      </c>
      <c r="H831" s="51" t="s">
        <v>3267</v>
      </c>
      <c r="I831" s="53">
        <v>926000</v>
      </c>
      <c r="J831" s="53">
        <v>0</v>
      </c>
      <c r="K831" s="53">
        <v>40000</v>
      </c>
      <c r="L831" s="53">
        <v>0</v>
      </c>
      <c r="M831" s="53">
        <v>0</v>
      </c>
      <c r="N831" s="53">
        <v>0</v>
      </c>
      <c r="O831" s="53">
        <v>0</v>
      </c>
      <c r="P831" s="53">
        <v>0</v>
      </c>
      <c r="Q831" s="53">
        <v>0</v>
      </c>
      <c r="R831" s="53">
        <v>0</v>
      </c>
      <c r="S831" s="53">
        <v>0</v>
      </c>
      <c r="T831" s="53">
        <v>0</v>
      </c>
      <c r="U831" s="53">
        <v>2000</v>
      </c>
      <c r="V831" s="53">
        <v>0</v>
      </c>
      <c r="W831" s="53">
        <v>0</v>
      </c>
      <c r="X831" s="53">
        <v>0</v>
      </c>
      <c r="Y831" s="53">
        <v>0</v>
      </c>
      <c r="Z831" s="53">
        <v>0</v>
      </c>
      <c r="AA831" s="53">
        <v>0</v>
      </c>
      <c r="AB831" s="53">
        <v>0</v>
      </c>
      <c r="AC831" s="53">
        <v>0</v>
      </c>
      <c r="AD831" s="53">
        <v>0</v>
      </c>
      <c r="AE831" s="53">
        <v>0</v>
      </c>
      <c r="AF831" s="53">
        <v>0</v>
      </c>
      <c r="AG831" s="53">
        <v>0</v>
      </c>
      <c r="AH831" s="53">
        <v>0</v>
      </c>
      <c r="AI831" s="53">
        <v>0</v>
      </c>
      <c r="AJ831" s="53">
        <v>0</v>
      </c>
      <c r="AK831" s="53">
        <v>0</v>
      </c>
      <c r="AL831" s="53">
        <v>0</v>
      </c>
      <c r="AM831" s="53" t="str">
        <f>I831-J831-K831-L831-M831-N831-O831-P831-Q831-R831-S831-T831-U831-V831-W831-X831-Y831-Z831-AA831-AB831-AC831-AD831-AE831-AF831-AG831+AH831-AI831+AJ831+AK831-AL831</f>
        <v>0</v>
      </c>
      <c r="AN831" s="53"/>
      <c r="AO831" s="27"/>
    </row>
    <row r="832" spans="1:41">
      <c r="A832" s="44">
        <v>804</v>
      </c>
      <c r="B832" s="46" t="s">
        <v>3268</v>
      </c>
      <c r="C832" s="48" t="s">
        <v>3269</v>
      </c>
      <c r="D832" s="51" t="s">
        <v>73</v>
      </c>
      <c r="E832" s="51" t="s">
        <v>3266</v>
      </c>
      <c r="F832" s="54" t="s">
        <v>3270</v>
      </c>
      <c r="G832" s="50">
        <v>3</v>
      </c>
      <c r="H832" s="51" t="s">
        <v>3271</v>
      </c>
      <c r="I832" s="53">
        <v>365000</v>
      </c>
      <c r="J832" s="53">
        <v>0</v>
      </c>
      <c r="K832" s="53">
        <v>22000</v>
      </c>
      <c r="L832" s="53">
        <v>0</v>
      </c>
      <c r="M832" s="53">
        <v>0</v>
      </c>
      <c r="N832" s="53">
        <v>0</v>
      </c>
      <c r="O832" s="53">
        <v>0</v>
      </c>
      <c r="P832" s="53">
        <v>0</v>
      </c>
      <c r="Q832" s="53">
        <v>0</v>
      </c>
      <c r="R832" s="53">
        <v>0</v>
      </c>
      <c r="S832" s="53">
        <v>0</v>
      </c>
      <c r="T832" s="53">
        <v>0</v>
      </c>
      <c r="U832" s="53">
        <v>1100</v>
      </c>
      <c r="V832" s="53">
        <v>0</v>
      </c>
      <c r="W832" s="53">
        <v>0</v>
      </c>
      <c r="X832" s="53">
        <v>0</v>
      </c>
      <c r="Y832" s="53">
        <v>0</v>
      </c>
      <c r="Z832" s="53">
        <v>0</v>
      </c>
      <c r="AA832" s="53">
        <v>0</v>
      </c>
      <c r="AB832" s="53">
        <v>0</v>
      </c>
      <c r="AC832" s="53">
        <v>0</v>
      </c>
      <c r="AD832" s="53">
        <v>0</v>
      </c>
      <c r="AE832" s="53">
        <v>0</v>
      </c>
      <c r="AF832" s="53">
        <v>0</v>
      </c>
      <c r="AG832" s="53">
        <v>0</v>
      </c>
      <c r="AH832" s="53">
        <v>0</v>
      </c>
      <c r="AI832" s="53">
        <v>0</v>
      </c>
      <c r="AJ832" s="53">
        <v>0</v>
      </c>
      <c r="AK832" s="53">
        <v>0</v>
      </c>
      <c r="AL832" s="53">
        <v>0</v>
      </c>
      <c r="AM832" s="53" t="str">
        <f>I832-J832-K832-L832-M832-N832-O832-P832-Q832-R832-S832-T832-U832-V832-W832-X832-Y832-Z832-AA832-AB832-AC832-AD832-AE832-AF832-AG832+AH832-AI832+AJ832+AK832-AL832</f>
        <v>0</v>
      </c>
      <c r="AN832" s="53"/>
      <c r="AO832" s="27"/>
    </row>
    <row r="833" spans="1:41">
      <c r="A833" s="44">
        <v>805</v>
      </c>
      <c r="B833" s="46" t="s">
        <v>3272</v>
      </c>
      <c r="C833" s="48" t="s">
        <v>3273</v>
      </c>
      <c r="D833" s="51" t="s">
        <v>73</v>
      </c>
      <c r="E833" s="51" t="s">
        <v>3266</v>
      </c>
      <c r="F833" s="54" t="s">
        <v>2126</v>
      </c>
      <c r="G833" s="50">
        <v>5</v>
      </c>
      <c r="H833" s="51" t="s">
        <v>3274</v>
      </c>
      <c r="I833" s="53">
        <v>926000</v>
      </c>
      <c r="J833" s="53">
        <v>0</v>
      </c>
      <c r="K833" s="53">
        <v>27000</v>
      </c>
      <c r="L833" s="53">
        <v>0</v>
      </c>
      <c r="M833" s="53">
        <v>0</v>
      </c>
      <c r="N833" s="53">
        <v>0</v>
      </c>
      <c r="O833" s="53">
        <v>0</v>
      </c>
      <c r="P833" s="53">
        <v>0</v>
      </c>
      <c r="Q833" s="53">
        <v>0</v>
      </c>
      <c r="R833" s="53">
        <v>0</v>
      </c>
      <c r="S833" s="53">
        <v>0</v>
      </c>
      <c r="T833" s="53">
        <v>0</v>
      </c>
      <c r="U833" s="53">
        <v>1350</v>
      </c>
      <c r="V833" s="53">
        <v>0</v>
      </c>
      <c r="W833" s="53">
        <v>0</v>
      </c>
      <c r="X833" s="53">
        <v>0</v>
      </c>
      <c r="Y833" s="53">
        <v>0</v>
      </c>
      <c r="Z833" s="53">
        <v>0</v>
      </c>
      <c r="AA833" s="53">
        <v>0</v>
      </c>
      <c r="AB833" s="53">
        <v>0</v>
      </c>
      <c r="AC833" s="53">
        <v>0</v>
      </c>
      <c r="AD833" s="53">
        <v>0</v>
      </c>
      <c r="AE833" s="53">
        <v>0</v>
      </c>
      <c r="AF833" s="53">
        <v>0</v>
      </c>
      <c r="AG833" s="53">
        <v>0</v>
      </c>
      <c r="AH833" s="53">
        <v>0</v>
      </c>
      <c r="AI833" s="53">
        <v>0</v>
      </c>
      <c r="AJ833" s="53">
        <v>0</v>
      </c>
      <c r="AK833" s="53">
        <v>0</v>
      </c>
      <c r="AL833" s="53">
        <v>0</v>
      </c>
      <c r="AM833" s="53" t="str">
        <f>I833-J833-K833-L833-M833-N833-O833-P833-Q833-R833-S833-T833-U833-V833-W833-X833-Y833-Z833-AA833-AB833-AC833-AD833-AE833-AF833-AG833+AH833-AI833+AJ833+AK833-AL833</f>
        <v>0</v>
      </c>
      <c r="AN833" s="53"/>
      <c r="AO833" s="27"/>
    </row>
    <row r="834" spans="1:41">
      <c r="A834" s="44">
        <v>806</v>
      </c>
      <c r="B834" s="46" t="s">
        <v>3275</v>
      </c>
      <c r="C834" s="48" t="s">
        <v>3276</v>
      </c>
      <c r="D834" s="51" t="s">
        <v>73</v>
      </c>
      <c r="E834" s="51" t="s">
        <v>3277</v>
      </c>
      <c r="F834" s="54" t="s">
        <v>3278</v>
      </c>
      <c r="G834" s="50">
        <v>5.8</v>
      </c>
      <c r="H834" s="51" t="s">
        <v>3279</v>
      </c>
      <c r="I834" s="53">
        <v>574100</v>
      </c>
      <c r="J834" s="53">
        <v>0</v>
      </c>
      <c r="K834" s="53">
        <v>31000</v>
      </c>
      <c r="L834" s="53">
        <v>0</v>
      </c>
      <c r="M834" s="53">
        <v>0</v>
      </c>
      <c r="N834" s="53">
        <v>0</v>
      </c>
      <c r="O834" s="53">
        <v>0</v>
      </c>
      <c r="P834" s="53">
        <v>0</v>
      </c>
      <c r="Q834" s="53">
        <v>0</v>
      </c>
      <c r="R834" s="53">
        <v>0</v>
      </c>
      <c r="S834" s="53">
        <v>0</v>
      </c>
      <c r="T834" s="53">
        <v>0</v>
      </c>
      <c r="U834" s="53">
        <v>1550</v>
      </c>
      <c r="V834" s="53">
        <v>0</v>
      </c>
      <c r="W834" s="53">
        <v>0</v>
      </c>
      <c r="X834" s="53">
        <v>0</v>
      </c>
      <c r="Y834" s="53">
        <v>0</v>
      </c>
      <c r="Z834" s="53">
        <v>0</v>
      </c>
      <c r="AA834" s="53">
        <v>0</v>
      </c>
      <c r="AB834" s="53">
        <v>0</v>
      </c>
      <c r="AC834" s="53">
        <v>0</v>
      </c>
      <c r="AD834" s="53">
        <v>0</v>
      </c>
      <c r="AE834" s="53">
        <v>0</v>
      </c>
      <c r="AF834" s="53">
        <v>0</v>
      </c>
      <c r="AG834" s="53">
        <v>0</v>
      </c>
      <c r="AH834" s="53">
        <v>0</v>
      </c>
      <c r="AI834" s="53">
        <v>0</v>
      </c>
      <c r="AJ834" s="53">
        <v>0</v>
      </c>
      <c r="AK834" s="53">
        <v>0</v>
      </c>
      <c r="AL834" s="53">
        <v>0</v>
      </c>
      <c r="AM834" s="53" t="str">
        <f>I834-J834-K834-L834-M834-N834-O834-P834-Q834-R834-S834-T834-U834-V834-W834-X834-Y834-Z834-AA834-AB834-AC834-AD834-AE834-AF834-AG834+AH834-AI834+AJ834+AK834-AL834</f>
        <v>0</v>
      </c>
      <c r="AN834" s="53"/>
      <c r="AO834" s="27"/>
    </row>
    <row r="835" spans="1:41">
      <c r="A835" s="44">
        <v>807</v>
      </c>
      <c r="B835" s="46" t="s">
        <v>3280</v>
      </c>
      <c r="C835" s="48" t="s">
        <v>3281</v>
      </c>
      <c r="D835" s="51" t="s">
        <v>73</v>
      </c>
      <c r="E835" s="51" t="s">
        <v>3282</v>
      </c>
      <c r="F835" s="54" t="s">
        <v>3283</v>
      </c>
      <c r="G835" s="50">
        <v>3</v>
      </c>
      <c r="H835" s="51" t="s">
        <v>3284</v>
      </c>
      <c r="I835" s="53">
        <v>255000</v>
      </c>
      <c r="J835" s="53">
        <v>0</v>
      </c>
      <c r="K835" s="53">
        <v>22000</v>
      </c>
      <c r="L835" s="53">
        <v>0</v>
      </c>
      <c r="M835" s="53">
        <v>0</v>
      </c>
      <c r="N835" s="53">
        <v>0</v>
      </c>
      <c r="O835" s="53">
        <v>0</v>
      </c>
      <c r="P835" s="53">
        <v>0</v>
      </c>
      <c r="Q835" s="53">
        <v>0</v>
      </c>
      <c r="R835" s="53">
        <v>0</v>
      </c>
      <c r="S835" s="53">
        <v>0</v>
      </c>
      <c r="T835" s="53">
        <v>0</v>
      </c>
      <c r="U835" s="53">
        <v>1100</v>
      </c>
      <c r="V835" s="53">
        <v>0</v>
      </c>
      <c r="W835" s="53">
        <v>0</v>
      </c>
      <c r="X835" s="53">
        <v>0</v>
      </c>
      <c r="Y835" s="53">
        <v>0</v>
      </c>
      <c r="Z835" s="53">
        <v>0</v>
      </c>
      <c r="AA835" s="53">
        <v>0</v>
      </c>
      <c r="AB835" s="53">
        <v>0</v>
      </c>
      <c r="AC835" s="53">
        <v>0</v>
      </c>
      <c r="AD835" s="53">
        <v>0</v>
      </c>
      <c r="AE835" s="53">
        <v>0</v>
      </c>
      <c r="AF835" s="53">
        <v>0</v>
      </c>
      <c r="AG835" s="53">
        <v>0</v>
      </c>
      <c r="AH835" s="53">
        <v>0</v>
      </c>
      <c r="AI835" s="53">
        <v>0</v>
      </c>
      <c r="AJ835" s="53">
        <v>0</v>
      </c>
      <c r="AK835" s="53">
        <v>0</v>
      </c>
      <c r="AL835" s="53">
        <v>0</v>
      </c>
      <c r="AM835" s="53" t="str">
        <f>I835-J835-K835-L835-M835-N835-O835-P835-Q835-R835-S835-T835-U835-V835-W835-X835-Y835-Z835-AA835-AB835-AC835-AD835-AE835-AF835-AG835+AH835-AI835+AJ835+AK835-AL835</f>
        <v>0</v>
      </c>
      <c r="AN835" s="53"/>
      <c r="AO835" s="27"/>
    </row>
    <row r="836" spans="1:41">
      <c r="A836" s="44">
        <v>808</v>
      </c>
      <c r="B836" s="46" t="s">
        <v>3285</v>
      </c>
      <c r="C836" s="48" t="s">
        <v>3286</v>
      </c>
      <c r="D836" s="51" t="s">
        <v>73</v>
      </c>
      <c r="E836" s="51" t="s">
        <v>3287</v>
      </c>
      <c r="F836" s="54" t="s">
        <v>3288</v>
      </c>
      <c r="G836" s="50">
        <v>3</v>
      </c>
      <c r="H836" s="51" t="s">
        <v>3289</v>
      </c>
      <c r="I836" s="53">
        <v>0</v>
      </c>
      <c r="J836" s="53">
        <v>0</v>
      </c>
      <c r="K836" s="53">
        <v>22000</v>
      </c>
      <c r="L836" s="53">
        <v>0</v>
      </c>
      <c r="M836" s="53">
        <v>0</v>
      </c>
      <c r="N836" s="53">
        <v>0</v>
      </c>
      <c r="O836" s="53">
        <v>0</v>
      </c>
      <c r="P836" s="53">
        <v>0</v>
      </c>
      <c r="Q836" s="53">
        <v>0</v>
      </c>
      <c r="R836" s="53">
        <v>0</v>
      </c>
      <c r="S836" s="53">
        <v>0</v>
      </c>
      <c r="T836" s="53">
        <v>0</v>
      </c>
      <c r="U836" s="53">
        <v>1100</v>
      </c>
      <c r="V836" s="53">
        <v>0</v>
      </c>
      <c r="W836" s="53">
        <v>0</v>
      </c>
      <c r="X836" s="53">
        <v>0</v>
      </c>
      <c r="Y836" s="53">
        <v>0</v>
      </c>
      <c r="Z836" s="53">
        <v>0</v>
      </c>
      <c r="AA836" s="53">
        <v>0</v>
      </c>
      <c r="AB836" s="53">
        <v>0</v>
      </c>
      <c r="AC836" s="53">
        <v>0</v>
      </c>
      <c r="AD836" s="53">
        <v>0</v>
      </c>
      <c r="AE836" s="53">
        <v>0</v>
      </c>
      <c r="AF836" s="53">
        <v>0</v>
      </c>
      <c r="AG836" s="53">
        <v>0</v>
      </c>
      <c r="AH836" s="53">
        <v>0</v>
      </c>
      <c r="AI836" s="53">
        <v>0</v>
      </c>
      <c r="AJ836" s="53">
        <v>0</v>
      </c>
      <c r="AK836" s="53">
        <v>0</v>
      </c>
      <c r="AL836" s="53">
        <v>0</v>
      </c>
      <c r="AM836" s="53" t="str">
        <f>I836-J836-K836-L836-M836-N836-O836-P836-Q836-R836-S836-T836-U836-V836-W836-X836-Y836-Z836-AA836-AB836-AC836-AD836-AE836-AF836-AG836+AH836-AI836+AJ836+AK836-AL836</f>
        <v>0</v>
      </c>
      <c r="AN836" s="53"/>
      <c r="AO836" s="27"/>
    </row>
    <row r="837" spans="1:41">
      <c r="A837" s="44">
        <v>809</v>
      </c>
      <c r="B837" s="46" t="s">
        <v>3290</v>
      </c>
      <c r="C837" s="48" t="s">
        <v>3291</v>
      </c>
      <c r="D837" s="51" t="s">
        <v>73</v>
      </c>
      <c r="E837" s="51" t="s">
        <v>3292</v>
      </c>
      <c r="F837" s="54" t="s">
        <v>2023</v>
      </c>
      <c r="G837" s="50">
        <v>5</v>
      </c>
      <c r="H837" s="51" t="s">
        <v>3293</v>
      </c>
      <c r="I837" s="53">
        <v>360000</v>
      </c>
      <c r="J837" s="53">
        <v>0</v>
      </c>
      <c r="K837" s="53">
        <v>23000</v>
      </c>
      <c r="L837" s="53">
        <v>0</v>
      </c>
      <c r="M837" s="53">
        <v>0</v>
      </c>
      <c r="N837" s="53">
        <v>0</v>
      </c>
      <c r="O837" s="53">
        <v>0</v>
      </c>
      <c r="P837" s="53">
        <v>0</v>
      </c>
      <c r="Q837" s="53">
        <v>0</v>
      </c>
      <c r="R837" s="53">
        <v>0</v>
      </c>
      <c r="S837" s="53">
        <v>0</v>
      </c>
      <c r="T837" s="53">
        <v>0</v>
      </c>
      <c r="U837" s="53">
        <v>1150</v>
      </c>
      <c r="V837" s="53">
        <v>0</v>
      </c>
      <c r="W837" s="53">
        <v>0</v>
      </c>
      <c r="X837" s="53">
        <v>0</v>
      </c>
      <c r="Y837" s="53">
        <v>0</v>
      </c>
      <c r="Z837" s="53">
        <v>0</v>
      </c>
      <c r="AA837" s="53">
        <v>0</v>
      </c>
      <c r="AB837" s="53">
        <v>0</v>
      </c>
      <c r="AC837" s="53">
        <v>0</v>
      </c>
      <c r="AD837" s="53">
        <v>0</v>
      </c>
      <c r="AE837" s="53">
        <v>0</v>
      </c>
      <c r="AF837" s="53">
        <v>0</v>
      </c>
      <c r="AG837" s="53">
        <v>0</v>
      </c>
      <c r="AH837" s="53">
        <v>0</v>
      </c>
      <c r="AI837" s="53">
        <v>0</v>
      </c>
      <c r="AJ837" s="53">
        <v>0</v>
      </c>
      <c r="AK837" s="53">
        <v>0</v>
      </c>
      <c r="AL837" s="53">
        <v>0</v>
      </c>
      <c r="AM837" s="53" t="str">
        <f>I837-J837-K837-L837-M837-N837-O837-P837-Q837-R837-S837-T837-U837-V837-W837-X837-Y837-Z837-AA837-AB837-AC837-AD837-AE837-AF837-AG837+AH837-AI837+AJ837+AK837-AL837</f>
        <v>0</v>
      </c>
      <c r="AN837" s="53"/>
      <c r="AO837" s="27"/>
    </row>
    <row r="838" spans="1:41">
      <c r="A838" s="44">
        <v>810</v>
      </c>
      <c r="B838" s="46" t="s">
        <v>3294</v>
      </c>
      <c r="C838" s="48" t="s">
        <v>3295</v>
      </c>
      <c r="D838" s="51" t="s">
        <v>73</v>
      </c>
      <c r="E838" s="51" t="s">
        <v>3292</v>
      </c>
      <c r="F838" s="54" t="s">
        <v>1768</v>
      </c>
      <c r="G838" s="50">
        <v>5</v>
      </c>
      <c r="H838" s="51" t="s">
        <v>3296</v>
      </c>
      <c r="I838" s="53">
        <v>0</v>
      </c>
      <c r="J838" s="53">
        <v>0</v>
      </c>
      <c r="K838" s="53">
        <v>23000</v>
      </c>
      <c r="L838" s="53">
        <v>0</v>
      </c>
      <c r="M838" s="53">
        <v>0</v>
      </c>
      <c r="N838" s="53">
        <v>0</v>
      </c>
      <c r="O838" s="53">
        <v>0</v>
      </c>
      <c r="P838" s="53">
        <v>0</v>
      </c>
      <c r="Q838" s="53">
        <v>0</v>
      </c>
      <c r="R838" s="53">
        <v>0</v>
      </c>
      <c r="S838" s="53">
        <v>0</v>
      </c>
      <c r="T838" s="53">
        <v>0</v>
      </c>
      <c r="U838" s="53">
        <v>1150</v>
      </c>
      <c r="V838" s="53">
        <v>0</v>
      </c>
      <c r="W838" s="53">
        <v>0</v>
      </c>
      <c r="X838" s="53">
        <v>0</v>
      </c>
      <c r="Y838" s="53">
        <v>0</v>
      </c>
      <c r="Z838" s="53">
        <v>0</v>
      </c>
      <c r="AA838" s="53">
        <v>0</v>
      </c>
      <c r="AB838" s="53">
        <v>0</v>
      </c>
      <c r="AC838" s="53">
        <v>0</v>
      </c>
      <c r="AD838" s="53">
        <v>0</v>
      </c>
      <c r="AE838" s="53">
        <v>0</v>
      </c>
      <c r="AF838" s="53">
        <v>0</v>
      </c>
      <c r="AG838" s="53">
        <v>0</v>
      </c>
      <c r="AH838" s="53">
        <v>0</v>
      </c>
      <c r="AI838" s="53">
        <v>0</v>
      </c>
      <c r="AJ838" s="53">
        <v>0</v>
      </c>
      <c r="AK838" s="53">
        <v>0</v>
      </c>
      <c r="AL838" s="53">
        <v>0</v>
      </c>
      <c r="AM838" s="53" t="str">
        <f>I838-J838-K838-L838-M838-N838-O838-P838-Q838-R838-S838-T838-U838-V838-W838-X838-Y838-Z838-AA838-AB838-AC838-AD838-AE838-AF838-AG838+AH838-AI838+AJ838+AK838-AL838</f>
        <v>0</v>
      </c>
      <c r="AN838" s="53"/>
      <c r="AO838" s="27"/>
    </row>
    <row r="839" spans="1:41">
      <c r="A839" s="44">
        <v>811</v>
      </c>
      <c r="B839" s="46" t="s">
        <v>3297</v>
      </c>
      <c r="C839" s="48" t="s">
        <v>3298</v>
      </c>
      <c r="D839" s="51" t="s">
        <v>73</v>
      </c>
      <c r="E839" s="51" t="s">
        <v>3292</v>
      </c>
      <c r="F839" s="54" t="s">
        <v>2023</v>
      </c>
      <c r="G839" s="50">
        <v>6</v>
      </c>
      <c r="H839" s="51" t="s">
        <v>3299</v>
      </c>
      <c r="I839" s="53">
        <v>1499000</v>
      </c>
      <c r="J839" s="53">
        <v>0</v>
      </c>
      <c r="K839" s="53">
        <v>24000</v>
      </c>
      <c r="L839" s="53">
        <v>0</v>
      </c>
      <c r="M839" s="53">
        <v>0</v>
      </c>
      <c r="N839" s="53">
        <v>0</v>
      </c>
      <c r="O839" s="53">
        <v>0</v>
      </c>
      <c r="P839" s="53">
        <v>0</v>
      </c>
      <c r="Q839" s="53">
        <v>0</v>
      </c>
      <c r="R839" s="53">
        <v>0</v>
      </c>
      <c r="S839" s="53">
        <v>0</v>
      </c>
      <c r="T839" s="53">
        <v>0</v>
      </c>
      <c r="U839" s="53">
        <v>1200</v>
      </c>
      <c r="V839" s="53">
        <v>0</v>
      </c>
      <c r="W839" s="53">
        <v>0</v>
      </c>
      <c r="X839" s="53">
        <v>0</v>
      </c>
      <c r="Y839" s="53">
        <v>0</v>
      </c>
      <c r="Z839" s="53">
        <v>0</v>
      </c>
      <c r="AA839" s="53">
        <v>0</v>
      </c>
      <c r="AB839" s="53">
        <v>0</v>
      </c>
      <c r="AC839" s="53">
        <v>0</v>
      </c>
      <c r="AD839" s="53">
        <v>0</v>
      </c>
      <c r="AE839" s="53">
        <v>0</v>
      </c>
      <c r="AF839" s="53">
        <v>0</v>
      </c>
      <c r="AG839" s="53">
        <v>0</v>
      </c>
      <c r="AH839" s="53">
        <v>0</v>
      </c>
      <c r="AI839" s="53">
        <v>0</v>
      </c>
      <c r="AJ839" s="53">
        <v>0</v>
      </c>
      <c r="AK839" s="53">
        <v>0</v>
      </c>
      <c r="AL839" s="53">
        <v>0</v>
      </c>
      <c r="AM839" s="53" t="str">
        <f>I839-J839-K839-L839-M839-N839-O839-P839-Q839-R839-S839-T839-U839-V839-W839-X839-Y839-Z839-AA839-AB839-AC839-AD839-AE839-AF839-AG839+AH839-AI839+AJ839+AK839-AL839</f>
        <v>0</v>
      </c>
      <c r="AN839" s="53"/>
      <c r="AO839" s="27"/>
    </row>
    <row r="840" spans="1:41">
      <c r="A840" s="44">
        <v>812</v>
      </c>
      <c r="B840" s="46" t="s">
        <v>3300</v>
      </c>
      <c r="C840" s="48" t="s">
        <v>3301</v>
      </c>
      <c r="D840" s="51" t="s">
        <v>73</v>
      </c>
      <c r="E840" s="51" t="s">
        <v>3292</v>
      </c>
      <c r="F840" s="54" t="s">
        <v>3302</v>
      </c>
      <c r="G840" s="50">
        <v>6</v>
      </c>
      <c r="H840" s="51" t="s">
        <v>3303</v>
      </c>
      <c r="I840" s="53">
        <v>1305000</v>
      </c>
      <c r="J840" s="53">
        <v>0</v>
      </c>
      <c r="K840" s="53">
        <v>24000</v>
      </c>
      <c r="L840" s="53">
        <v>0</v>
      </c>
      <c r="M840" s="53">
        <v>0</v>
      </c>
      <c r="N840" s="53">
        <v>0</v>
      </c>
      <c r="O840" s="53">
        <v>0</v>
      </c>
      <c r="P840" s="53">
        <v>0</v>
      </c>
      <c r="Q840" s="53">
        <v>0</v>
      </c>
      <c r="R840" s="53">
        <v>0</v>
      </c>
      <c r="S840" s="53">
        <v>0</v>
      </c>
      <c r="T840" s="53">
        <v>0</v>
      </c>
      <c r="U840" s="53">
        <v>1200</v>
      </c>
      <c r="V840" s="53">
        <v>0</v>
      </c>
      <c r="W840" s="53">
        <v>0</v>
      </c>
      <c r="X840" s="53">
        <v>0</v>
      </c>
      <c r="Y840" s="53">
        <v>0</v>
      </c>
      <c r="Z840" s="53">
        <v>0</v>
      </c>
      <c r="AA840" s="53">
        <v>0</v>
      </c>
      <c r="AB840" s="53">
        <v>0</v>
      </c>
      <c r="AC840" s="53">
        <v>0</v>
      </c>
      <c r="AD840" s="53">
        <v>0</v>
      </c>
      <c r="AE840" s="53">
        <v>0</v>
      </c>
      <c r="AF840" s="53">
        <v>0</v>
      </c>
      <c r="AG840" s="53">
        <v>0</v>
      </c>
      <c r="AH840" s="53">
        <v>0</v>
      </c>
      <c r="AI840" s="53">
        <v>0</v>
      </c>
      <c r="AJ840" s="53">
        <v>0</v>
      </c>
      <c r="AK840" s="53">
        <v>0</v>
      </c>
      <c r="AL840" s="53">
        <v>0</v>
      </c>
      <c r="AM840" s="53" t="str">
        <f>I840-J840-K840-L840-M840-N840-O840-P840-Q840-R840-S840-T840-U840-V840-W840-X840-Y840-Z840-AA840-AB840-AC840-AD840-AE840-AF840-AG840+AH840-AI840+AJ840+AK840-AL840</f>
        <v>0</v>
      </c>
      <c r="AN840" s="53"/>
      <c r="AO840" s="27"/>
    </row>
    <row r="841" spans="1:41">
      <c r="A841" s="44">
        <v>813</v>
      </c>
      <c r="B841" s="46" t="s">
        <v>3304</v>
      </c>
      <c r="C841" s="48" t="s">
        <v>3305</v>
      </c>
      <c r="D841" s="51" t="s">
        <v>73</v>
      </c>
      <c r="E841" s="51" t="s">
        <v>3292</v>
      </c>
      <c r="F841" s="54" t="s">
        <v>1768</v>
      </c>
      <c r="G841" s="50">
        <v>5</v>
      </c>
      <c r="H841" s="51" t="s">
        <v>3306</v>
      </c>
      <c r="I841" s="53">
        <v>682100</v>
      </c>
      <c r="J841" s="53">
        <v>0</v>
      </c>
      <c r="K841" s="53">
        <v>23000</v>
      </c>
      <c r="L841" s="53">
        <v>0</v>
      </c>
      <c r="M841" s="53">
        <v>0</v>
      </c>
      <c r="N841" s="53">
        <v>0</v>
      </c>
      <c r="O841" s="53">
        <v>0</v>
      </c>
      <c r="P841" s="53">
        <v>0</v>
      </c>
      <c r="Q841" s="53">
        <v>0</v>
      </c>
      <c r="R841" s="53">
        <v>0</v>
      </c>
      <c r="S841" s="53">
        <v>0</v>
      </c>
      <c r="T841" s="53">
        <v>0</v>
      </c>
      <c r="U841" s="53">
        <v>1150</v>
      </c>
      <c r="V841" s="53">
        <v>0</v>
      </c>
      <c r="W841" s="53">
        <v>0</v>
      </c>
      <c r="X841" s="53">
        <v>0</v>
      </c>
      <c r="Y841" s="53">
        <v>0</v>
      </c>
      <c r="Z841" s="53">
        <v>0</v>
      </c>
      <c r="AA841" s="53">
        <v>0</v>
      </c>
      <c r="AB841" s="53">
        <v>0</v>
      </c>
      <c r="AC841" s="53">
        <v>0</v>
      </c>
      <c r="AD841" s="53">
        <v>0</v>
      </c>
      <c r="AE841" s="53">
        <v>0</v>
      </c>
      <c r="AF841" s="53">
        <v>0</v>
      </c>
      <c r="AG841" s="53">
        <v>0</v>
      </c>
      <c r="AH841" s="53">
        <v>0</v>
      </c>
      <c r="AI841" s="53">
        <v>0</v>
      </c>
      <c r="AJ841" s="53">
        <v>0</v>
      </c>
      <c r="AK841" s="53">
        <v>0</v>
      </c>
      <c r="AL841" s="53">
        <v>0</v>
      </c>
      <c r="AM841" s="53" t="str">
        <f>I841-J841-K841-L841-M841-N841-O841-P841-Q841-R841-S841-T841-U841-V841-W841-X841-Y841-Z841-AA841-AB841-AC841-AD841-AE841-AF841-AG841+AH841-AI841+AJ841+AK841-AL841</f>
        <v>0</v>
      </c>
      <c r="AN841" s="53"/>
      <c r="AO841" s="27"/>
    </row>
    <row r="842" spans="1:41">
      <c r="A842" s="44">
        <v>814</v>
      </c>
      <c r="B842" s="46" t="s">
        <v>3307</v>
      </c>
      <c r="C842" s="48" t="s">
        <v>3308</v>
      </c>
      <c r="D842" s="51" t="s">
        <v>73</v>
      </c>
      <c r="E842" s="51" t="s">
        <v>3292</v>
      </c>
      <c r="F842" s="54" t="s">
        <v>3309</v>
      </c>
      <c r="G842" s="50">
        <v>5</v>
      </c>
      <c r="H842" s="51" t="s">
        <v>3310</v>
      </c>
      <c r="I842" s="53">
        <v>1690000</v>
      </c>
      <c r="J842" s="53">
        <v>0</v>
      </c>
      <c r="K842" s="53">
        <v>23000</v>
      </c>
      <c r="L842" s="53">
        <v>0</v>
      </c>
      <c r="M842" s="53">
        <v>0</v>
      </c>
      <c r="N842" s="53">
        <v>0</v>
      </c>
      <c r="O842" s="53">
        <v>0</v>
      </c>
      <c r="P842" s="53">
        <v>0</v>
      </c>
      <c r="Q842" s="53">
        <v>0</v>
      </c>
      <c r="R842" s="53">
        <v>0</v>
      </c>
      <c r="S842" s="53">
        <v>0</v>
      </c>
      <c r="T842" s="53">
        <v>0</v>
      </c>
      <c r="U842" s="53">
        <v>1150</v>
      </c>
      <c r="V842" s="53">
        <v>0</v>
      </c>
      <c r="W842" s="53">
        <v>0</v>
      </c>
      <c r="X842" s="53">
        <v>0</v>
      </c>
      <c r="Y842" s="53">
        <v>0</v>
      </c>
      <c r="Z842" s="53">
        <v>0</v>
      </c>
      <c r="AA842" s="53">
        <v>0</v>
      </c>
      <c r="AB842" s="53">
        <v>0</v>
      </c>
      <c r="AC842" s="53">
        <v>0</v>
      </c>
      <c r="AD842" s="53">
        <v>0</v>
      </c>
      <c r="AE842" s="53">
        <v>0</v>
      </c>
      <c r="AF842" s="53">
        <v>0</v>
      </c>
      <c r="AG842" s="53">
        <v>0</v>
      </c>
      <c r="AH842" s="53">
        <v>0</v>
      </c>
      <c r="AI842" s="53">
        <v>0</v>
      </c>
      <c r="AJ842" s="53">
        <v>0</v>
      </c>
      <c r="AK842" s="53">
        <v>0</v>
      </c>
      <c r="AL842" s="53">
        <v>0</v>
      </c>
      <c r="AM842" s="53" t="str">
        <f>I842-J842-K842-L842-M842-N842-O842-P842-Q842-R842-S842-T842-U842-V842-W842-X842-Y842-Z842-AA842-AB842-AC842-AD842-AE842-AF842-AG842+AH842-AI842+AJ842+AK842-AL842</f>
        <v>0</v>
      </c>
      <c r="AN842" s="53"/>
      <c r="AO842" s="27"/>
    </row>
    <row r="843" spans="1:41">
      <c r="A843" s="44">
        <v>815</v>
      </c>
      <c r="B843" s="46" t="s">
        <v>3311</v>
      </c>
      <c r="C843" s="48" t="s">
        <v>3312</v>
      </c>
      <c r="D843" s="51" t="s">
        <v>73</v>
      </c>
      <c r="E843" s="51" t="s">
        <v>3292</v>
      </c>
      <c r="F843" s="54" t="s">
        <v>1768</v>
      </c>
      <c r="G843" s="50">
        <v>5</v>
      </c>
      <c r="H843" s="51" t="s">
        <v>3313</v>
      </c>
      <c r="I843" s="53">
        <v>322100</v>
      </c>
      <c r="J843" s="53">
        <v>0</v>
      </c>
      <c r="K843" s="53">
        <v>23000</v>
      </c>
      <c r="L843" s="53">
        <v>0</v>
      </c>
      <c r="M843" s="53">
        <v>0</v>
      </c>
      <c r="N843" s="53">
        <v>0</v>
      </c>
      <c r="O843" s="53">
        <v>0</v>
      </c>
      <c r="P843" s="53">
        <v>0</v>
      </c>
      <c r="Q843" s="53">
        <v>0</v>
      </c>
      <c r="R843" s="53">
        <v>0</v>
      </c>
      <c r="S843" s="53">
        <v>0</v>
      </c>
      <c r="T843" s="53">
        <v>0</v>
      </c>
      <c r="U843" s="53">
        <v>1150</v>
      </c>
      <c r="V843" s="53">
        <v>0</v>
      </c>
      <c r="W843" s="53">
        <v>0</v>
      </c>
      <c r="X843" s="53">
        <v>0</v>
      </c>
      <c r="Y843" s="53">
        <v>0</v>
      </c>
      <c r="Z843" s="53">
        <v>0</v>
      </c>
      <c r="AA843" s="53">
        <v>0</v>
      </c>
      <c r="AB843" s="53">
        <v>0</v>
      </c>
      <c r="AC843" s="53">
        <v>0</v>
      </c>
      <c r="AD843" s="53">
        <v>0</v>
      </c>
      <c r="AE843" s="53">
        <v>0</v>
      </c>
      <c r="AF843" s="53">
        <v>0</v>
      </c>
      <c r="AG843" s="53">
        <v>0</v>
      </c>
      <c r="AH843" s="53">
        <v>0</v>
      </c>
      <c r="AI843" s="53">
        <v>0</v>
      </c>
      <c r="AJ843" s="53">
        <v>0</v>
      </c>
      <c r="AK843" s="53">
        <v>0</v>
      </c>
      <c r="AL843" s="53">
        <v>0</v>
      </c>
      <c r="AM843" s="53" t="str">
        <f>I843-J843-K843-L843-M843-N843-O843-P843-Q843-R843-S843-T843-U843-V843-W843-X843-Y843-Z843-AA843-AB843-AC843-AD843-AE843-AF843-AG843+AH843-AI843+AJ843+AK843-AL843</f>
        <v>0</v>
      </c>
      <c r="AN843" s="53"/>
      <c r="AO843" s="27"/>
    </row>
    <row r="844" spans="1:41">
      <c r="A844" s="44">
        <v>816</v>
      </c>
      <c r="B844" s="46" t="s">
        <v>3314</v>
      </c>
      <c r="C844" s="48" t="s">
        <v>3315</v>
      </c>
      <c r="D844" s="51" t="s">
        <v>73</v>
      </c>
      <c r="E844" s="51" t="s">
        <v>3292</v>
      </c>
      <c r="F844" s="54" t="s">
        <v>3316</v>
      </c>
      <c r="G844" s="50">
        <v>5.8</v>
      </c>
      <c r="H844" s="51" t="s">
        <v>3317</v>
      </c>
      <c r="I844" s="53">
        <v>0</v>
      </c>
      <c r="J844" s="53">
        <v>0</v>
      </c>
      <c r="K844" s="53">
        <v>24000</v>
      </c>
      <c r="L844" s="53">
        <v>0</v>
      </c>
      <c r="M844" s="53">
        <v>0</v>
      </c>
      <c r="N844" s="53">
        <v>0</v>
      </c>
      <c r="O844" s="53">
        <v>0</v>
      </c>
      <c r="P844" s="53">
        <v>0</v>
      </c>
      <c r="Q844" s="53">
        <v>0</v>
      </c>
      <c r="R844" s="53">
        <v>0</v>
      </c>
      <c r="S844" s="53">
        <v>0</v>
      </c>
      <c r="T844" s="53">
        <v>0</v>
      </c>
      <c r="U844" s="53">
        <v>1200</v>
      </c>
      <c r="V844" s="53">
        <v>0</v>
      </c>
      <c r="W844" s="53">
        <v>0</v>
      </c>
      <c r="X844" s="53">
        <v>0</v>
      </c>
      <c r="Y844" s="53">
        <v>0</v>
      </c>
      <c r="Z844" s="53">
        <v>0</v>
      </c>
      <c r="AA844" s="53">
        <v>0</v>
      </c>
      <c r="AB844" s="53">
        <v>0</v>
      </c>
      <c r="AC844" s="53">
        <v>0</v>
      </c>
      <c r="AD844" s="53">
        <v>0</v>
      </c>
      <c r="AE844" s="53">
        <v>0</v>
      </c>
      <c r="AF844" s="53">
        <v>0</v>
      </c>
      <c r="AG844" s="53">
        <v>0</v>
      </c>
      <c r="AH844" s="53">
        <v>0</v>
      </c>
      <c r="AI844" s="53">
        <v>0</v>
      </c>
      <c r="AJ844" s="53">
        <v>0</v>
      </c>
      <c r="AK844" s="53">
        <v>0</v>
      </c>
      <c r="AL844" s="53">
        <v>0</v>
      </c>
      <c r="AM844" s="53" t="str">
        <f>I844-J844-K844-L844-M844-N844-O844-P844-Q844-R844-S844-T844-U844-V844-W844-X844-Y844-Z844-AA844-AB844-AC844-AD844-AE844-AF844-AG844+AH844-AI844+AJ844+AK844-AL844</f>
        <v>0</v>
      </c>
      <c r="AN844" s="53"/>
      <c r="AO844" s="27"/>
    </row>
    <row r="845" spans="1:41">
      <c r="A845" s="44">
        <v>817</v>
      </c>
      <c r="B845" s="46" t="s">
        <v>3318</v>
      </c>
      <c r="C845" s="48" t="s">
        <v>3319</v>
      </c>
      <c r="D845" s="51" t="s">
        <v>73</v>
      </c>
      <c r="E845" s="51" t="s">
        <v>3292</v>
      </c>
      <c r="F845" s="54" t="s">
        <v>2023</v>
      </c>
      <c r="G845" s="50">
        <v>5</v>
      </c>
      <c r="H845" s="51" t="s">
        <v>3320</v>
      </c>
      <c r="I845" s="53">
        <v>754100</v>
      </c>
      <c r="J845" s="53">
        <v>0</v>
      </c>
      <c r="K845" s="53">
        <v>23000</v>
      </c>
      <c r="L845" s="53">
        <v>0</v>
      </c>
      <c r="M845" s="53">
        <v>0</v>
      </c>
      <c r="N845" s="53">
        <v>0</v>
      </c>
      <c r="O845" s="53">
        <v>0</v>
      </c>
      <c r="P845" s="53">
        <v>0</v>
      </c>
      <c r="Q845" s="53">
        <v>0</v>
      </c>
      <c r="R845" s="53">
        <v>0</v>
      </c>
      <c r="S845" s="53">
        <v>0</v>
      </c>
      <c r="T845" s="53">
        <v>0</v>
      </c>
      <c r="U845" s="53">
        <v>1150</v>
      </c>
      <c r="V845" s="53">
        <v>0</v>
      </c>
      <c r="W845" s="53">
        <v>0</v>
      </c>
      <c r="X845" s="53">
        <v>0</v>
      </c>
      <c r="Y845" s="53">
        <v>0</v>
      </c>
      <c r="Z845" s="53">
        <v>0</v>
      </c>
      <c r="AA845" s="53">
        <v>0</v>
      </c>
      <c r="AB845" s="53">
        <v>0</v>
      </c>
      <c r="AC845" s="53">
        <v>0</v>
      </c>
      <c r="AD845" s="53">
        <v>0</v>
      </c>
      <c r="AE845" s="53">
        <v>0</v>
      </c>
      <c r="AF845" s="53">
        <v>0</v>
      </c>
      <c r="AG845" s="53">
        <v>0</v>
      </c>
      <c r="AH845" s="53">
        <v>0</v>
      </c>
      <c r="AI845" s="53">
        <v>0</v>
      </c>
      <c r="AJ845" s="53">
        <v>0</v>
      </c>
      <c r="AK845" s="53">
        <v>0</v>
      </c>
      <c r="AL845" s="53">
        <v>0</v>
      </c>
      <c r="AM845" s="53" t="str">
        <f>I845-J845-K845-L845-M845-N845-O845-P845-Q845-R845-S845-T845-U845-V845-W845-X845-Y845-Z845-AA845-AB845-AC845-AD845-AE845-AF845-AG845+AH845-AI845+AJ845+AK845-AL845</f>
        <v>0</v>
      </c>
      <c r="AN845" s="53"/>
      <c r="AO845" s="27"/>
    </row>
    <row r="846" spans="1:41">
      <c r="A846" s="44">
        <v>818</v>
      </c>
      <c r="B846" s="46" t="s">
        <v>3321</v>
      </c>
      <c r="C846" s="48" t="s">
        <v>3322</v>
      </c>
      <c r="D846" s="51" t="s">
        <v>73</v>
      </c>
      <c r="E846" s="51" t="s">
        <v>3292</v>
      </c>
      <c r="F846" s="54" t="s">
        <v>2023</v>
      </c>
      <c r="G846" s="50">
        <v>5</v>
      </c>
      <c r="H846" s="51" t="s">
        <v>3323</v>
      </c>
      <c r="I846" s="53">
        <v>129000</v>
      </c>
      <c r="J846" s="53">
        <v>0</v>
      </c>
      <c r="K846" s="53">
        <v>23000</v>
      </c>
      <c r="L846" s="53">
        <v>0</v>
      </c>
      <c r="M846" s="53">
        <v>0</v>
      </c>
      <c r="N846" s="53">
        <v>0</v>
      </c>
      <c r="O846" s="53">
        <v>0</v>
      </c>
      <c r="P846" s="53">
        <v>0</v>
      </c>
      <c r="Q846" s="53">
        <v>0</v>
      </c>
      <c r="R846" s="53">
        <v>0</v>
      </c>
      <c r="S846" s="53">
        <v>0</v>
      </c>
      <c r="T846" s="53">
        <v>0</v>
      </c>
      <c r="U846" s="53">
        <v>1150</v>
      </c>
      <c r="V846" s="53">
        <v>0</v>
      </c>
      <c r="W846" s="53">
        <v>0</v>
      </c>
      <c r="X846" s="53">
        <v>0</v>
      </c>
      <c r="Y846" s="53">
        <v>0</v>
      </c>
      <c r="Z846" s="53">
        <v>0</v>
      </c>
      <c r="AA846" s="53">
        <v>0</v>
      </c>
      <c r="AB846" s="53">
        <v>0</v>
      </c>
      <c r="AC846" s="53">
        <v>0</v>
      </c>
      <c r="AD846" s="53">
        <v>0</v>
      </c>
      <c r="AE846" s="53">
        <v>0</v>
      </c>
      <c r="AF846" s="53">
        <v>0</v>
      </c>
      <c r="AG846" s="53">
        <v>0</v>
      </c>
      <c r="AH846" s="53">
        <v>0</v>
      </c>
      <c r="AI846" s="53">
        <v>0</v>
      </c>
      <c r="AJ846" s="53">
        <v>0</v>
      </c>
      <c r="AK846" s="53">
        <v>0</v>
      </c>
      <c r="AL846" s="53">
        <v>0</v>
      </c>
      <c r="AM846" s="53" t="str">
        <f>I846-J846-K846-L846-M846-N846-O846-P846-Q846-R846-S846-T846-U846-V846-W846-X846-Y846-Z846-AA846-AB846-AC846-AD846-AE846-AF846-AG846+AH846-AI846+AJ846+AK846-AL846</f>
        <v>0</v>
      </c>
      <c r="AN846" s="53"/>
      <c r="AO846" s="27"/>
    </row>
    <row r="847" spans="1:41">
      <c r="A847" s="44">
        <v>819</v>
      </c>
      <c r="B847" s="46" t="s">
        <v>3324</v>
      </c>
      <c r="C847" s="48" t="s">
        <v>3325</v>
      </c>
      <c r="D847" s="51" t="s">
        <v>73</v>
      </c>
      <c r="E847" s="51" t="s">
        <v>3292</v>
      </c>
      <c r="F847" s="54" t="s">
        <v>1768</v>
      </c>
      <c r="G847" s="50">
        <v>5</v>
      </c>
      <c r="H847" s="51" t="s">
        <v>3326</v>
      </c>
      <c r="I847" s="53">
        <v>574100</v>
      </c>
      <c r="J847" s="53">
        <v>0</v>
      </c>
      <c r="K847" s="53">
        <v>23000</v>
      </c>
      <c r="L847" s="53">
        <v>0</v>
      </c>
      <c r="M847" s="53">
        <v>0</v>
      </c>
      <c r="N847" s="53">
        <v>0</v>
      </c>
      <c r="O847" s="53">
        <v>0</v>
      </c>
      <c r="P847" s="53">
        <v>0</v>
      </c>
      <c r="Q847" s="53">
        <v>0</v>
      </c>
      <c r="R847" s="53">
        <v>0</v>
      </c>
      <c r="S847" s="53">
        <v>0</v>
      </c>
      <c r="T847" s="53">
        <v>0</v>
      </c>
      <c r="U847" s="53">
        <v>1150</v>
      </c>
      <c r="V847" s="53">
        <v>0</v>
      </c>
      <c r="W847" s="53">
        <v>0</v>
      </c>
      <c r="X847" s="53">
        <v>0</v>
      </c>
      <c r="Y847" s="53">
        <v>0</v>
      </c>
      <c r="Z847" s="53">
        <v>0</v>
      </c>
      <c r="AA847" s="53">
        <v>0</v>
      </c>
      <c r="AB847" s="53">
        <v>0</v>
      </c>
      <c r="AC847" s="53">
        <v>0</v>
      </c>
      <c r="AD847" s="53">
        <v>0</v>
      </c>
      <c r="AE847" s="53">
        <v>0</v>
      </c>
      <c r="AF847" s="53">
        <v>0</v>
      </c>
      <c r="AG847" s="53">
        <v>0</v>
      </c>
      <c r="AH847" s="53">
        <v>0</v>
      </c>
      <c r="AI847" s="53">
        <v>0</v>
      </c>
      <c r="AJ847" s="53">
        <v>0</v>
      </c>
      <c r="AK847" s="53">
        <v>0</v>
      </c>
      <c r="AL847" s="53">
        <v>0</v>
      </c>
      <c r="AM847" s="53" t="str">
        <f>I847-J847-K847-L847-M847-N847-O847-P847-Q847-R847-S847-T847-U847-V847-W847-X847-Y847-Z847-AA847-AB847-AC847-AD847-AE847-AF847-AG847+AH847-AI847+AJ847+AK847-AL847</f>
        <v>0</v>
      </c>
      <c r="AN847" s="53"/>
      <c r="AO847" s="27"/>
    </row>
    <row r="848" spans="1:41">
      <c r="A848" s="44">
        <v>820</v>
      </c>
      <c r="B848" s="46" t="s">
        <v>3327</v>
      </c>
      <c r="C848" s="48" t="s">
        <v>3328</v>
      </c>
      <c r="D848" s="51" t="s">
        <v>73</v>
      </c>
      <c r="E848" s="51" t="s">
        <v>3329</v>
      </c>
      <c r="F848" s="54" t="s">
        <v>2023</v>
      </c>
      <c r="G848" s="50">
        <v>5</v>
      </c>
      <c r="H848" s="51" t="s">
        <v>3330</v>
      </c>
      <c r="I848" s="53">
        <v>630000</v>
      </c>
      <c r="J848" s="53">
        <v>0</v>
      </c>
      <c r="K848" s="53">
        <v>23000</v>
      </c>
      <c r="L848" s="53">
        <v>0</v>
      </c>
      <c r="M848" s="53">
        <v>0</v>
      </c>
      <c r="N848" s="53">
        <v>0</v>
      </c>
      <c r="O848" s="53">
        <v>0</v>
      </c>
      <c r="P848" s="53">
        <v>0</v>
      </c>
      <c r="Q848" s="53">
        <v>0</v>
      </c>
      <c r="R848" s="53">
        <v>0</v>
      </c>
      <c r="S848" s="53">
        <v>0</v>
      </c>
      <c r="T848" s="53">
        <v>0</v>
      </c>
      <c r="U848" s="53">
        <v>1150</v>
      </c>
      <c r="V848" s="53">
        <v>0</v>
      </c>
      <c r="W848" s="53">
        <v>0</v>
      </c>
      <c r="X848" s="53">
        <v>0</v>
      </c>
      <c r="Y848" s="53">
        <v>0</v>
      </c>
      <c r="Z848" s="53">
        <v>0</v>
      </c>
      <c r="AA848" s="53">
        <v>0</v>
      </c>
      <c r="AB848" s="53">
        <v>0</v>
      </c>
      <c r="AC848" s="53">
        <v>0</v>
      </c>
      <c r="AD848" s="53">
        <v>0</v>
      </c>
      <c r="AE848" s="53">
        <v>0</v>
      </c>
      <c r="AF848" s="53">
        <v>0</v>
      </c>
      <c r="AG848" s="53">
        <v>0</v>
      </c>
      <c r="AH848" s="53">
        <v>0</v>
      </c>
      <c r="AI848" s="53">
        <v>0</v>
      </c>
      <c r="AJ848" s="53">
        <v>0</v>
      </c>
      <c r="AK848" s="53">
        <v>0</v>
      </c>
      <c r="AL848" s="53">
        <v>0</v>
      </c>
      <c r="AM848" s="53" t="str">
        <f>I848-J848-K848-L848-M848-N848-O848-P848-Q848-R848-S848-T848-U848-V848-W848-X848-Y848-Z848-AA848-AB848-AC848-AD848-AE848-AF848-AG848+AH848-AI848+AJ848+AK848-AL848</f>
        <v>0</v>
      </c>
      <c r="AN848" s="53"/>
      <c r="AO848" s="27"/>
    </row>
    <row r="849" spans="1:41">
      <c r="A849" s="44">
        <v>821</v>
      </c>
      <c r="B849" s="46" t="s">
        <v>3331</v>
      </c>
      <c r="C849" s="48" t="s">
        <v>3332</v>
      </c>
      <c r="D849" s="51" t="s">
        <v>73</v>
      </c>
      <c r="E849" s="51" t="s">
        <v>3329</v>
      </c>
      <c r="F849" s="54" t="s">
        <v>2023</v>
      </c>
      <c r="G849" s="50">
        <v>5</v>
      </c>
      <c r="H849" s="51" t="s">
        <v>3333</v>
      </c>
      <c r="I849" s="53">
        <v>630000</v>
      </c>
      <c r="J849" s="53">
        <v>0</v>
      </c>
      <c r="K849" s="53">
        <v>23000</v>
      </c>
      <c r="L849" s="53">
        <v>0</v>
      </c>
      <c r="M849" s="53">
        <v>0</v>
      </c>
      <c r="N849" s="53">
        <v>0</v>
      </c>
      <c r="O849" s="53">
        <v>0</v>
      </c>
      <c r="P849" s="53">
        <v>0</v>
      </c>
      <c r="Q849" s="53">
        <v>0</v>
      </c>
      <c r="R849" s="53">
        <v>0</v>
      </c>
      <c r="S849" s="53">
        <v>0</v>
      </c>
      <c r="T849" s="53">
        <v>0</v>
      </c>
      <c r="U849" s="53">
        <v>1150</v>
      </c>
      <c r="V849" s="53">
        <v>0</v>
      </c>
      <c r="W849" s="53">
        <v>0</v>
      </c>
      <c r="X849" s="53">
        <v>0</v>
      </c>
      <c r="Y849" s="53">
        <v>0</v>
      </c>
      <c r="Z849" s="53">
        <v>0</v>
      </c>
      <c r="AA849" s="53">
        <v>0</v>
      </c>
      <c r="AB849" s="53">
        <v>0</v>
      </c>
      <c r="AC849" s="53">
        <v>0</v>
      </c>
      <c r="AD849" s="53">
        <v>0</v>
      </c>
      <c r="AE849" s="53">
        <v>0</v>
      </c>
      <c r="AF849" s="53">
        <v>0</v>
      </c>
      <c r="AG849" s="53">
        <v>0</v>
      </c>
      <c r="AH849" s="53">
        <v>0</v>
      </c>
      <c r="AI849" s="53">
        <v>0</v>
      </c>
      <c r="AJ849" s="53">
        <v>0</v>
      </c>
      <c r="AK849" s="53">
        <v>0</v>
      </c>
      <c r="AL849" s="53">
        <v>0</v>
      </c>
      <c r="AM849" s="53" t="str">
        <f>I849-J849-K849-L849-M849-N849-O849-P849-Q849-R849-S849-T849-U849-V849-W849-X849-Y849-Z849-AA849-AB849-AC849-AD849-AE849-AF849-AG849+AH849-AI849+AJ849+AK849-AL849</f>
        <v>0</v>
      </c>
      <c r="AN849" s="53"/>
      <c r="AO849" s="27"/>
    </row>
    <row r="850" spans="1:41">
      <c r="A850" s="44">
        <v>822</v>
      </c>
      <c r="B850" s="46" t="s">
        <v>3334</v>
      </c>
      <c r="C850" s="48" t="s">
        <v>3335</v>
      </c>
      <c r="D850" s="51" t="s">
        <v>73</v>
      </c>
      <c r="E850" s="51" t="s">
        <v>3329</v>
      </c>
      <c r="F850" s="54" t="s">
        <v>1961</v>
      </c>
      <c r="G850" s="50">
        <v>6</v>
      </c>
      <c r="H850" s="51" t="s">
        <v>3336</v>
      </c>
      <c r="I850" s="53">
        <v>1172700</v>
      </c>
      <c r="J850" s="53">
        <v>0</v>
      </c>
      <c r="K850" s="53">
        <v>24000</v>
      </c>
      <c r="L850" s="53">
        <v>0</v>
      </c>
      <c r="M850" s="53">
        <v>0</v>
      </c>
      <c r="N850" s="53">
        <v>0</v>
      </c>
      <c r="O850" s="53">
        <v>0</v>
      </c>
      <c r="P850" s="53">
        <v>0</v>
      </c>
      <c r="Q850" s="53">
        <v>0</v>
      </c>
      <c r="R850" s="53">
        <v>0</v>
      </c>
      <c r="S850" s="53">
        <v>0</v>
      </c>
      <c r="T850" s="53">
        <v>0</v>
      </c>
      <c r="U850" s="53">
        <v>1200</v>
      </c>
      <c r="V850" s="53">
        <v>0</v>
      </c>
      <c r="W850" s="53">
        <v>0</v>
      </c>
      <c r="X850" s="53">
        <v>0</v>
      </c>
      <c r="Y850" s="53">
        <v>0</v>
      </c>
      <c r="Z850" s="53">
        <v>0</v>
      </c>
      <c r="AA850" s="53">
        <v>0</v>
      </c>
      <c r="AB850" s="53">
        <v>0</v>
      </c>
      <c r="AC850" s="53">
        <v>0</v>
      </c>
      <c r="AD850" s="53">
        <v>0</v>
      </c>
      <c r="AE850" s="53">
        <v>0</v>
      </c>
      <c r="AF850" s="53">
        <v>0</v>
      </c>
      <c r="AG850" s="53">
        <v>0</v>
      </c>
      <c r="AH850" s="53">
        <v>0</v>
      </c>
      <c r="AI850" s="53">
        <v>0</v>
      </c>
      <c r="AJ850" s="53">
        <v>0</v>
      </c>
      <c r="AK850" s="53">
        <v>0</v>
      </c>
      <c r="AL850" s="53">
        <v>0</v>
      </c>
      <c r="AM850" s="53" t="str">
        <f>I850-J850-K850-L850-M850-N850-O850-P850-Q850-R850-S850-T850-U850-V850-W850-X850-Y850-Z850-AA850-AB850-AC850-AD850-AE850-AF850-AG850+AH850-AI850+AJ850+AK850-AL850</f>
        <v>0</v>
      </c>
      <c r="AN850" s="53"/>
      <c r="AO850" s="27"/>
    </row>
    <row r="851" spans="1:41">
      <c r="A851" s="44">
        <v>823</v>
      </c>
      <c r="B851" s="46" t="s">
        <v>3337</v>
      </c>
      <c r="C851" s="48" t="s">
        <v>3338</v>
      </c>
      <c r="D851" s="51" t="s">
        <v>73</v>
      </c>
      <c r="E851" s="51" t="s">
        <v>3329</v>
      </c>
      <c r="F851" s="54" t="s">
        <v>2023</v>
      </c>
      <c r="G851" s="50">
        <v>5</v>
      </c>
      <c r="H851" s="51" t="s">
        <v>3339</v>
      </c>
      <c r="I851" s="53">
        <v>630000</v>
      </c>
      <c r="J851" s="53">
        <v>0</v>
      </c>
      <c r="K851" s="53">
        <v>23000</v>
      </c>
      <c r="L851" s="53">
        <v>0</v>
      </c>
      <c r="M851" s="53">
        <v>0</v>
      </c>
      <c r="N851" s="53">
        <v>0</v>
      </c>
      <c r="O851" s="53">
        <v>0</v>
      </c>
      <c r="P851" s="53">
        <v>0</v>
      </c>
      <c r="Q851" s="53">
        <v>0</v>
      </c>
      <c r="R851" s="53">
        <v>0</v>
      </c>
      <c r="S851" s="53">
        <v>0</v>
      </c>
      <c r="T851" s="53">
        <v>0</v>
      </c>
      <c r="U851" s="53">
        <v>1150</v>
      </c>
      <c r="V851" s="53">
        <v>0</v>
      </c>
      <c r="W851" s="53">
        <v>0</v>
      </c>
      <c r="X851" s="53">
        <v>0</v>
      </c>
      <c r="Y851" s="53">
        <v>0</v>
      </c>
      <c r="Z851" s="53">
        <v>0</v>
      </c>
      <c r="AA851" s="53">
        <v>0</v>
      </c>
      <c r="AB851" s="53">
        <v>0</v>
      </c>
      <c r="AC851" s="53">
        <v>0</v>
      </c>
      <c r="AD851" s="53">
        <v>0</v>
      </c>
      <c r="AE851" s="53">
        <v>0</v>
      </c>
      <c r="AF851" s="53">
        <v>0</v>
      </c>
      <c r="AG851" s="53">
        <v>0</v>
      </c>
      <c r="AH851" s="53">
        <v>0</v>
      </c>
      <c r="AI851" s="53">
        <v>0</v>
      </c>
      <c r="AJ851" s="53">
        <v>0</v>
      </c>
      <c r="AK851" s="53">
        <v>0</v>
      </c>
      <c r="AL851" s="53">
        <v>0</v>
      </c>
      <c r="AM851" s="53" t="str">
        <f>I851-J851-K851-L851-M851-N851-O851-P851-Q851-R851-S851-T851-U851-V851-W851-X851-Y851-Z851-AA851-AB851-AC851-AD851-AE851-AF851-AG851+AH851-AI851+AJ851+AK851-AL851</f>
        <v>0</v>
      </c>
      <c r="AN851" s="53"/>
      <c r="AO851" s="27"/>
    </row>
    <row r="852" spans="1:41">
      <c r="A852" s="44">
        <v>824</v>
      </c>
      <c r="B852" s="46" t="s">
        <v>3340</v>
      </c>
      <c r="C852" s="48" t="s">
        <v>3341</v>
      </c>
      <c r="D852" s="51" t="s">
        <v>73</v>
      </c>
      <c r="E852" s="51" t="s">
        <v>3329</v>
      </c>
      <c r="F852" s="54" t="s">
        <v>1768</v>
      </c>
      <c r="G852" s="50">
        <v>5</v>
      </c>
      <c r="H852" s="51" t="s">
        <v>3342</v>
      </c>
      <c r="I852" s="53">
        <v>1025000</v>
      </c>
      <c r="J852" s="53">
        <v>0</v>
      </c>
      <c r="K852" s="53">
        <v>23000</v>
      </c>
      <c r="L852" s="53">
        <v>0</v>
      </c>
      <c r="M852" s="53">
        <v>0</v>
      </c>
      <c r="N852" s="53">
        <v>0</v>
      </c>
      <c r="O852" s="53">
        <v>0</v>
      </c>
      <c r="P852" s="53">
        <v>0</v>
      </c>
      <c r="Q852" s="53">
        <v>0</v>
      </c>
      <c r="R852" s="53">
        <v>0</v>
      </c>
      <c r="S852" s="53">
        <v>0</v>
      </c>
      <c r="T852" s="53">
        <v>0</v>
      </c>
      <c r="U852" s="53">
        <v>1150</v>
      </c>
      <c r="V852" s="53">
        <v>0</v>
      </c>
      <c r="W852" s="53">
        <v>0</v>
      </c>
      <c r="X852" s="53">
        <v>0</v>
      </c>
      <c r="Y852" s="53">
        <v>0</v>
      </c>
      <c r="Z852" s="53">
        <v>0</v>
      </c>
      <c r="AA852" s="53">
        <v>0</v>
      </c>
      <c r="AB852" s="53">
        <v>0</v>
      </c>
      <c r="AC852" s="53">
        <v>0</v>
      </c>
      <c r="AD852" s="53">
        <v>0</v>
      </c>
      <c r="AE852" s="53">
        <v>0</v>
      </c>
      <c r="AF852" s="53">
        <v>0</v>
      </c>
      <c r="AG852" s="53">
        <v>0</v>
      </c>
      <c r="AH852" s="53">
        <v>0</v>
      </c>
      <c r="AI852" s="53">
        <v>0</v>
      </c>
      <c r="AJ852" s="53">
        <v>0</v>
      </c>
      <c r="AK852" s="53">
        <v>0</v>
      </c>
      <c r="AL852" s="53">
        <v>0</v>
      </c>
      <c r="AM852" s="53" t="str">
        <f>I852-J852-K852-L852-M852-N852-O852-P852-Q852-R852-S852-T852-U852-V852-W852-X852-Y852-Z852-AA852-AB852-AC852-AD852-AE852-AF852-AG852+AH852-AI852+AJ852+AK852-AL852</f>
        <v>0</v>
      </c>
      <c r="AN852" s="53"/>
      <c r="AO852" s="27"/>
    </row>
    <row r="853" spans="1:41">
      <c r="A853" s="44">
        <v>825</v>
      </c>
      <c r="B853" s="46" t="s">
        <v>3343</v>
      </c>
      <c r="C853" s="48" t="s">
        <v>3344</v>
      </c>
      <c r="D853" s="51" t="s">
        <v>73</v>
      </c>
      <c r="E853" s="51" t="s">
        <v>3329</v>
      </c>
      <c r="F853" s="54" t="s">
        <v>3309</v>
      </c>
      <c r="G853" s="50">
        <v>5</v>
      </c>
      <c r="H853" s="51" t="s">
        <v>3345</v>
      </c>
      <c r="I853" s="53">
        <v>926000</v>
      </c>
      <c r="J853" s="53">
        <v>0</v>
      </c>
      <c r="K853" s="53">
        <v>23000</v>
      </c>
      <c r="L853" s="53">
        <v>0</v>
      </c>
      <c r="M853" s="53">
        <v>0</v>
      </c>
      <c r="N853" s="53">
        <v>0</v>
      </c>
      <c r="O853" s="53">
        <v>0</v>
      </c>
      <c r="P853" s="53">
        <v>0</v>
      </c>
      <c r="Q853" s="53">
        <v>0</v>
      </c>
      <c r="R853" s="53">
        <v>0</v>
      </c>
      <c r="S853" s="53">
        <v>0</v>
      </c>
      <c r="T853" s="53">
        <v>0</v>
      </c>
      <c r="U853" s="53">
        <v>1150</v>
      </c>
      <c r="V853" s="53">
        <v>0</v>
      </c>
      <c r="W853" s="53">
        <v>0</v>
      </c>
      <c r="X853" s="53">
        <v>0</v>
      </c>
      <c r="Y853" s="53">
        <v>0</v>
      </c>
      <c r="Z853" s="53">
        <v>0</v>
      </c>
      <c r="AA853" s="53">
        <v>0</v>
      </c>
      <c r="AB853" s="53">
        <v>0</v>
      </c>
      <c r="AC853" s="53">
        <v>0</v>
      </c>
      <c r="AD853" s="53">
        <v>0</v>
      </c>
      <c r="AE853" s="53">
        <v>0</v>
      </c>
      <c r="AF853" s="53">
        <v>0</v>
      </c>
      <c r="AG853" s="53">
        <v>0</v>
      </c>
      <c r="AH853" s="53">
        <v>0</v>
      </c>
      <c r="AI853" s="53">
        <v>0</v>
      </c>
      <c r="AJ853" s="53">
        <v>0</v>
      </c>
      <c r="AK853" s="53">
        <v>0</v>
      </c>
      <c r="AL853" s="53">
        <v>0</v>
      </c>
      <c r="AM853" s="53" t="str">
        <f>I853-J853-K853-L853-M853-N853-O853-P853-Q853-R853-S853-T853-U853-V853-W853-X853-Y853-Z853-AA853-AB853-AC853-AD853-AE853-AF853-AG853+AH853-AI853+AJ853+AK853-AL853</f>
        <v>0</v>
      </c>
      <c r="AN853" s="53"/>
      <c r="AO853" s="27"/>
    </row>
    <row r="854" spans="1:41">
      <c r="A854" s="44">
        <v>826</v>
      </c>
      <c r="B854" s="46" t="s">
        <v>3346</v>
      </c>
      <c r="C854" s="48" t="s">
        <v>3347</v>
      </c>
      <c r="D854" s="51" t="s">
        <v>73</v>
      </c>
      <c r="E854" s="51" t="s">
        <v>3329</v>
      </c>
      <c r="F854" s="54" t="s">
        <v>2023</v>
      </c>
      <c r="G854" s="50">
        <v>5</v>
      </c>
      <c r="H854" s="51" t="s">
        <v>3348</v>
      </c>
      <c r="I854" s="53">
        <v>664100</v>
      </c>
      <c r="J854" s="53">
        <v>0</v>
      </c>
      <c r="K854" s="53">
        <v>23000</v>
      </c>
      <c r="L854" s="53">
        <v>0</v>
      </c>
      <c r="M854" s="53">
        <v>0</v>
      </c>
      <c r="N854" s="53">
        <v>0</v>
      </c>
      <c r="O854" s="53">
        <v>0</v>
      </c>
      <c r="P854" s="53">
        <v>0</v>
      </c>
      <c r="Q854" s="53">
        <v>0</v>
      </c>
      <c r="R854" s="53">
        <v>0</v>
      </c>
      <c r="S854" s="53">
        <v>0</v>
      </c>
      <c r="T854" s="53">
        <v>0</v>
      </c>
      <c r="U854" s="53">
        <v>1150</v>
      </c>
      <c r="V854" s="53">
        <v>0</v>
      </c>
      <c r="W854" s="53">
        <v>0</v>
      </c>
      <c r="X854" s="53">
        <v>0</v>
      </c>
      <c r="Y854" s="53">
        <v>0</v>
      </c>
      <c r="Z854" s="53">
        <v>0</v>
      </c>
      <c r="AA854" s="53">
        <v>0</v>
      </c>
      <c r="AB854" s="53">
        <v>0</v>
      </c>
      <c r="AC854" s="53">
        <v>0</v>
      </c>
      <c r="AD854" s="53">
        <v>0</v>
      </c>
      <c r="AE854" s="53">
        <v>0</v>
      </c>
      <c r="AF854" s="53">
        <v>0</v>
      </c>
      <c r="AG854" s="53">
        <v>0</v>
      </c>
      <c r="AH854" s="53">
        <v>0</v>
      </c>
      <c r="AI854" s="53">
        <v>0</v>
      </c>
      <c r="AJ854" s="53">
        <v>0</v>
      </c>
      <c r="AK854" s="53">
        <v>0</v>
      </c>
      <c r="AL854" s="53">
        <v>0</v>
      </c>
      <c r="AM854" s="53" t="str">
        <f>I854-J854-K854-L854-M854-N854-O854-P854-Q854-R854-S854-T854-U854-V854-W854-X854-Y854-Z854-AA854-AB854-AC854-AD854-AE854-AF854-AG854+AH854-AI854+AJ854+AK854-AL854</f>
        <v>0</v>
      </c>
      <c r="AN854" s="53"/>
      <c r="AO854" s="27"/>
    </row>
    <row r="855" spans="1:41">
      <c r="A855" s="44">
        <v>827</v>
      </c>
      <c r="B855" s="46" t="s">
        <v>3349</v>
      </c>
      <c r="C855" s="48" t="s">
        <v>3350</v>
      </c>
      <c r="D855" s="51" t="s">
        <v>73</v>
      </c>
      <c r="E855" s="51" t="s">
        <v>3329</v>
      </c>
      <c r="F855" s="54" t="s">
        <v>2023</v>
      </c>
      <c r="G855" s="50">
        <v>5</v>
      </c>
      <c r="H855" s="51" t="s">
        <v>3351</v>
      </c>
      <c r="I855" s="53">
        <v>570500</v>
      </c>
      <c r="J855" s="53">
        <v>0</v>
      </c>
      <c r="K855" s="53">
        <v>23000</v>
      </c>
      <c r="L855" s="53">
        <v>0</v>
      </c>
      <c r="M855" s="53">
        <v>0</v>
      </c>
      <c r="N855" s="53">
        <v>0</v>
      </c>
      <c r="O855" s="53">
        <v>0</v>
      </c>
      <c r="P855" s="53">
        <v>0</v>
      </c>
      <c r="Q855" s="53">
        <v>0</v>
      </c>
      <c r="R855" s="53">
        <v>0</v>
      </c>
      <c r="S855" s="53">
        <v>0</v>
      </c>
      <c r="T855" s="53">
        <v>0</v>
      </c>
      <c r="U855" s="53">
        <v>1150</v>
      </c>
      <c r="V855" s="53">
        <v>0</v>
      </c>
      <c r="W855" s="53">
        <v>0</v>
      </c>
      <c r="X855" s="53">
        <v>0</v>
      </c>
      <c r="Y855" s="53">
        <v>0</v>
      </c>
      <c r="Z855" s="53">
        <v>0</v>
      </c>
      <c r="AA855" s="53">
        <v>0</v>
      </c>
      <c r="AB855" s="53">
        <v>0</v>
      </c>
      <c r="AC855" s="53">
        <v>0</v>
      </c>
      <c r="AD855" s="53">
        <v>0</v>
      </c>
      <c r="AE855" s="53">
        <v>0</v>
      </c>
      <c r="AF855" s="53">
        <v>0</v>
      </c>
      <c r="AG855" s="53">
        <v>0</v>
      </c>
      <c r="AH855" s="53">
        <v>0</v>
      </c>
      <c r="AI855" s="53">
        <v>0</v>
      </c>
      <c r="AJ855" s="53">
        <v>0</v>
      </c>
      <c r="AK855" s="53">
        <v>0</v>
      </c>
      <c r="AL855" s="53">
        <v>0</v>
      </c>
      <c r="AM855" s="53" t="str">
        <f>I855-J855-K855-L855-M855-N855-O855-P855-Q855-R855-S855-T855-U855-V855-W855-X855-Y855-Z855-AA855-AB855-AC855-AD855-AE855-AF855-AG855+AH855-AI855+AJ855+AK855-AL855</f>
        <v>0</v>
      </c>
      <c r="AN855" s="53"/>
      <c r="AO855" s="27"/>
    </row>
    <row r="856" spans="1:41">
      <c r="A856" s="44">
        <v>828</v>
      </c>
      <c r="B856" s="46" t="s">
        <v>3352</v>
      </c>
      <c r="C856" s="48" t="s">
        <v>3353</v>
      </c>
      <c r="D856" s="51" t="s">
        <v>73</v>
      </c>
      <c r="E856" s="51" t="s">
        <v>3354</v>
      </c>
      <c r="F856" s="54" t="s">
        <v>3316</v>
      </c>
      <c r="G856" s="50">
        <v>5</v>
      </c>
      <c r="H856" s="51" t="s">
        <v>3355</v>
      </c>
      <c r="I856" s="53">
        <v>1025000</v>
      </c>
      <c r="J856" s="53">
        <v>0</v>
      </c>
      <c r="K856" s="53">
        <v>23000</v>
      </c>
      <c r="L856" s="53">
        <v>0</v>
      </c>
      <c r="M856" s="53">
        <v>0</v>
      </c>
      <c r="N856" s="53">
        <v>0</v>
      </c>
      <c r="O856" s="53">
        <v>0</v>
      </c>
      <c r="P856" s="53">
        <v>0</v>
      </c>
      <c r="Q856" s="53">
        <v>0</v>
      </c>
      <c r="R856" s="53">
        <v>0</v>
      </c>
      <c r="S856" s="53">
        <v>0</v>
      </c>
      <c r="T856" s="53">
        <v>0</v>
      </c>
      <c r="U856" s="53">
        <v>1150</v>
      </c>
      <c r="V856" s="53">
        <v>0</v>
      </c>
      <c r="W856" s="53">
        <v>0</v>
      </c>
      <c r="X856" s="53">
        <v>0</v>
      </c>
      <c r="Y856" s="53">
        <v>0</v>
      </c>
      <c r="Z856" s="53">
        <v>0</v>
      </c>
      <c r="AA856" s="53">
        <v>0</v>
      </c>
      <c r="AB856" s="53">
        <v>0</v>
      </c>
      <c r="AC856" s="53">
        <v>0</v>
      </c>
      <c r="AD856" s="53">
        <v>0</v>
      </c>
      <c r="AE856" s="53">
        <v>0</v>
      </c>
      <c r="AF856" s="53">
        <v>0</v>
      </c>
      <c r="AG856" s="53">
        <v>0</v>
      </c>
      <c r="AH856" s="53">
        <v>0</v>
      </c>
      <c r="AI856" s="53">
        <v>0</v>
      </c>
      <c r="AJ856" s="53">
        <v>0</v>
      </c>
      <c r="AK856" s="53">
        <v>0</v>
      </c>
      <c r="AL856" s="53">
        <v>0</v>
      </c>
      <c r="AM856" s="53" t="str">
        <f>I856-J856-K856-L856-M856-N856-O856-P856-Q856-R856-S856-T856-U856-V856-W856-X856-Y856-Z856-AA856-AB856-AC856-AD856-AE856-AF856-AG856+AH856-AI856+AJ856+AK856-AL856</f>
        <v>0</v>
      </c>
      <c r="AN856" s="53"/>
      <c r="AO856" s="27"/>
    </row>
    <row r="857" spans="1:41">
      <c r="A857" s="44">
        <v>829</v>
      </c>
      <c r="B857" s="46" t="s">
        <v>3356</v>
      </c>
      <c r="C857" s="48" t="s">
        <v>3357</v>
      </c>
      <c r="D857" s="51" t="s">
        <v>73</v>
      </c>
      <c r="E857" s="51" t="s">
        <v>3358</v>
      </c>
      <c r="F857" s="54" t="s">
        <v>1668</v>
      </c>
      <c r="G857" s="50">
        <v>2</v>
      </c>
      <c r="H857" s="51" t="s">
        <v>3359</v>
      </c>
      <c r="I857" s="53">
        <v>183500</v>
      </c>
      <c r="J857" s="53">
        <v>0</v>
      </c>
      <c r="K857" s="53">
        <v>22000</v>
      </c>
      <c r="L857" s="53">
        <v>0</v>
      </c>
      <c r="M857" s="53">
        <v>0</v>
      </c>
      <c r="N857" s="53">
        <v>0</v>
      </c>
      <c r="O857" s="53">
        <v>0</v>
      </c>
      <c r="P857" s="53">
        <v>0</v>
      </c>
      <c r="Q857" s="53">
        <v>0</v>
      </c>
      <c r="R857" s="53">
        <v>0</v>
      </c>
      <c r="S857" s="53">
        <v>0</v>
      </c>
      <c r="T857" s="53">
        <v>0</v>
      </c>
      <c r="U857" s="53">
        <v>1100</v>
      </c>
      <c r="V857" s="53">
        <v>0</v>
      </c>
      <c r="W857" s="53">
        <v>0</v>
      </c>
      <c r="X857" s="53">
        <v>0</v>
      </c>
      <c r="Y857" s="53">
        <v>0</v>
      </c>
      <c r="Z857" s="53">
        <v>0</v>
      </c>
      <c r="AA857" s="53">
        <v>0</v>
      </c>
      <c r="AB857" s="53">
        <v>0</v>
      </c>
      <c r="AC857" s="53">
        <v>0</v>
      </c>
      <c r="AD857" s="53">
        <v>0</v>
      </c>
      <c r="AE857" s="53">
        <v>0</v>
      </c>
      <c r="AF857" s="53">
        <v>0</v>
      </c>
      <c r="AG857" s="53">
        <v>0</v>
      </c>
      <c r="AH857" s="53">
        <v>0</v>
      </c>
      <c r="AI857" s="53">
        <v>0</v>
      </c>
      <c r="AJ857" s="53">
        <v>0</v>
      </c>
      <c r="AK857" s="53">
        <v>0</v>
      </c>
      <c r="AL857" s="53">
        <v>0</v>
      </c>
      <c r="AM857" s="53" t="str">
        <f>I857-J857-K857-L857-M857-N857-O857-P857-Q857-R857-S857-T857-U857-V857-W857-X857-Y857-Z857-AA857-AB857-AC857-AD857-AE857-AF857-AG857+AH857-AI857+AJ857+AK857-AL857</f>
        <v>0</v>
      </c>
      <c r="AN857" s="53"/>
      <c r="AO857" s="27"/>
    </row>
    <row r="858" spans="1:41">
      <c r="A858" s="44">
        <v>830</v>
      </c>
      <c r="B858" s="46" t="s">
        <v>3360</v>
      </c>
      <c r="C858" s="48" t="s">
        <v>3361</v>
      </c>
      <c r="D858" s="51" t="s">
        <v>73</v>
      </c>
      <c r="E858" s="51" t="s">
        <v>3358</v>
      </c>
      <c r="F858" s="54" t="s">
        <v>3362</v>
      </c>
      <c r="G858" s="50">
        <v>3</v>
      </c>
      <c r="H858" s="51" t="s">
        <v>3363</v>
      </c>
      <c r="I858" s="53">
        <v>702920</v>
      </c>
      <c r="J858" s="53">
        <v>0</v>
      </c>
      <c r="K858" s="53">
        <v>22000</v>
      </c>
      <c r="L858" s="53">
        <v>0</v>
      </c>
      <c r="M858" s="53">
        <v>0</v>
      </c>
      <c r="N858" s="53">
        <v>0</v>
      </c>
      <c r="O858" s="53">
        <v>0</v>
      </c>
      <c r="P858" s="53">
        <v>0</v>
      </c>
      <c r="Q858" s="53">
        <v>0</v>
      </c>
      <c r="R858" s="53">
        <v>0</v>
      </c>
      <c r="S858" s="53">
        <v>0</v>
      </c>
      <c r="T858" s="53">
        <v>0</v>
      </c>
      <c r="U858" s="53">
        <v>1100</v>
      </c>
      <c r="V858" s="53">
        <v>0</v>
      </c>
      <c r="W858" s="53">
        <v>0</v>
      </c>
      <c r="X858" s="53">
        <v>0</v>
      </c>
      <c r="Y858" s="53">
        <v>0</v>
      </c>
      <c r="Z858" s="53">
        <v>0</v>
      </c>
      <c r="AA858" s="53">
        <v>0</v>
      </c>
      <c r="AB858" s="53">
        <v>0</v>
      </c>
      <c r="AC858" s="53">
        <v>0</v>
      </c>
      <c r="AD858" s="53">
        <v>0</v>
      </c>
      <c r="AE858" s="53">
        <v>0</v>
      </c>
      <c r="AF858" s="53">
        <v>0</v>
      </c>
      <c r="AG858" s="53">
        <v>0</v>
      </c>
      <c r="AH858" s="53">
        <v>0</v>
      </c>
      <c r="AI858" s="53">
        <v>0</v>
      </c>
      <c r="AJ858" s="53">
        <v>0</v>
      </c>
      <c r="AK858" s="53">
        <v>0</v>
      </c>
      <c r="AL858" s="53">
        <v>0</v>
      </c>
      <c r="AM858" s="53" t="str">
        <f>I858-J858-K858-L858-M858-N858-O858-P858-Q858-R858-S858-T858-U858-V858-W858-X858-Y858-Z858-AA858-AB858-AC858-AD858-AE858-AF858-AG858+AH858-AI858+AJ858+AK858-AL858</f>
        <v>0</v>
      </c>
      <c r="AN858" s="53"/>
      <c r="AO858" s="27"/>
    </row>
    <row r="859" spans="1:41">
      <c r="A859" s="44">
        <v>831</v>
      </c>
      <c r="B859" s="46" t="s">
        <v>3364</v>
      </c>
      <c r="C859" s="48" t="s">
        <v>3365</v>
      </c>
      <c r="D859" s="51" t="s">
        <v>73</v>
      </c>
      <c r="E859" s="51" t="s">
        <v>3358</v>
      </c>
      <c r="F859" s="54" t="s">
        <v>3366</v>
      </c>
      <c r="G859" s="50">
        <v>6</v>
      </c>
      <c r="H859" s="51" t="s">
        <v>3367</v>
      </c>
      <c r="I859" s="53">
        <v>2100000</v>
      </c>
      <c r="J859" s="53">
        <v>0</v>
      </c>
      <c r="K859" s="53">
        <v>31000</v>
      </c>
      <c r="L859" s="53">
        <v>0</v>
      </c>
      <c r="M859" s="53">
        <v>0</v>
      </c>
      <c r="N859" s="53">
        <v>0</v>
      </c>
      <c r="O859" s="53">
        <v>0</v>
      </c>
      <c r="P859" s="53">
        <v>0</v>
      </c>
      <c r="Q859" s="53">
        <v>0</v>
      </c>
      <c r="R859" s="53">
        <v>0</v>
      </c>
      <c r="S859" s="53">
        <v>0</v>
      </c>
      <c r="T859" s="53">
        <v>0</v>
      </c>
      <c r="U859" s="53">
        <v>1550</v>
      </c>
      <c r="V859" s="53">
        <v>0</v>
      </c>
      <c r="W859" s="53">
        <v>0</v>
      </c>
      <c r="X859" s="53">
        <v>0</v>
      </c>
      <c r="Y859" s="53">
        <v>0</v>
      </c>
      <c r="Z859" s="53">
        <v>0</v>
      </c>
      <c r="AA859" s="53">
        <v>0</v>
      </c>
      <c r="AB859" s="53">
        <v>0</v>
      </c>
      <c r="AC859" s="53">
        <v>0</v>
      </c>
      <c r="AD859" s="53">
        <v>0</v>
      </c>
      <c r="AE859" s="53">
        <v>0</v>
      </c>
      <c r="AF859" s="53">
        <v>0</v>
      </c>
      <c r="AG859" s="53">
        <v>0</v>
      </c>
      <c r="AH859" s="53">
        <v>0</v>
      </c>
      <c r="AI859" s="53">
        <v>0</v>
      </c>
      <c r="AJ859" s="53">
        <v>0</v>
      </c>
      <c r="AK859" s="53">
        <v>0</v>
      </c>
      <c r="AL859" s="53">
        <v>0</v>
      </c>
      <c r="AM859" s="53" t="str">
        <f>I859-J859-K859-L859-M859-N859-O859-P859-Q859-R859-S859-T859-U859-V859-W859-X859-Y859-Z859-AA859-AB859-AC859-AD859-AE859-AF859-AG859+AH859-AI859+AJ859+AK859-AL859</f>
        <v>0</v>
      </c>
      <c r="AN859" s="53"/>
      <c r="AO859" s="27"/>
    </row>
    <row r="860" spans="1:41">
      <c r="A860" s="44">
        <v>832</v>
      </c>
      <c r="B860" s="46" t="s">
        <v>3368</v>
      </c>
      <c r="C860" s="48" t="s">
        <v>3369</v>
      </c>
      <c r="D860" s="51" t="s">
        <v>73</v>
      </c>
      <c r="E860" s="51" t="s">
        <v>3358</v>
      </c>
      <c r="F860" s="54" t="s">
        <v>2898</v>
      </c>
      <c r="G860" s="50">
        <v>4</v>
      </c>
      <c r="H860" s="51" t="s">
        <v>3370</v>
      </c>
      <c r="I860" s="53">
        <v>736100</v>
      </c>
      <c r="J860" s="53">
        <v>0</v>
      </c>
      <c r="K860" s="53">
        <v>25000</v>
      </c>
      <c r="L860" s="53">
        <v>0</v>
      </c>
      <c r="M860" s="53">
        <v>0</v>
      </c>
      <c r="N860" s="53">
        <v>0</v>
      </c>
      <c r="O860" s="53">
        <v>0</v>
      </c>
      <c r="P860" s="53">
        <v>0</v>
      </c>
      <c r="Q860" s="53">
        <v>0</v>
      </c>
      <c r="R860" s="53">
        <v>0</v>
      </c>
      <c r="S860" s="53">
        <v>0</v>
      </c>
      <c r="T860" s="53">
        <v>0</v>
      </c>
      <c r="U860" s="53">
        <v>1250</v>
      </c>
      <c r="V860" s="53">
        <v>0</v>
      </c>
      <c r="W860" s="53">
        <v>0</v>
      </c>
      <c r="X860" s="53">
        <v>0</v>
      </c>
      <c r="Y860" s="53">
        <v>0</v>
      </c>
      <c r="Z860" s="53">
        <v>0</v>
      </c>
      <c r="AA860" s="53">
        <v>0</v>
      </c>
      <c r="AB860" s="53">
        <v>0</v>
      </c>
      <c r="AC860" s="53">
        <v>0</v>
      </c>
      <c r="AD860" s="53">
        <v>0</v>
      </c>
      <c r="AE860" s="53">
        <v>0</v>
      </c>
      <c r="AF860" s="53">
        <v>0</v>
      </c>
      <c r="AG860" s="53">
        <v>0</v>
      </c>
      <c r="AH860" s="53">
        <v>0</v>
      </c>
      <c r="AI860" s="53">
        <v>0</v>
      </c>
      <c r="AJ860" s="53">
        <v>0</v>
      </c>
      <c r="AK860" s="53">
        <v>0</v>
      </c>
      <c r="AL860" s="53">
        <v>0</v>
      </c>
      <c r="AM860" s="53" t="str">
        <f>I860-J860-K860-L860-M860-N860-O860-P860-Q860-R860-S860-T860-U860-V860-W860-X860-Y860-Z860-AA860-AB860-AC860-AD860-AE860-AF860-AG860+AH860-AI860+AJ860+AK860-AL860</f>
        <v>0</v>
      </c>
      <c r="AN860" s="53"/>
      <c r="AO860" s="27"/>
    </row>
    <row r="861" spans="1:41">
      <c r="A861" s="44">
        <v>833</v>
      </c>
      <c r="B861" s="46" t="s">
        <v>3371</v>
      </c>
      <c r="C861" s="48" t="s">
        <v>3372</v>
      </c>
      <c r="D861" s="51" t="s">
        <v>73</v>
      </c>
      <c r="E861" s="51" t="s">
        <v>3358</v>
      </c>
      <c r="F861" s="54" t="s">
        <v>3373</v>
      </c>
      <c r="G861" s="50">
        <v>3</v>
      </c>
      <c r="H861" s="51" t="s">
        <v>3374</v>
      </c>
      <c r="I861" s="53">
        <v>394100</v>
      </c>
      <c r="J861" s="53">
        <v>0</v>
      </c>
      <c r="K861" s="53">
        <v>22000</v>
      </c>
      <c r="L861" s="53">
        <v>0</v>
      </c>
      <c r="M861" s="53">
        <v>0</v>
      </c>
      <c r="N861" s="53">
        <v>0</v>
      </c>
      <c r="O861" s="53">
        <v>0</v>
      </c>
      <c r="P861" s="53">
        <v>0</v>
      </c>
      <c r="Q861" s="53">
        <v>0</v>
      </c>
      <c r="R861" s="53">
        <v>0</v>
      </c>
      <c r="S861" s="53">
        <v>0</v>
      </c>
      <c r="T861" s="53">
        <v>0</v>
      </c>
      <c r="U861" s="53">
        <v>1100</v>
      </c>
      <c r="V861" s="53">
        <v>0</v>
      </c>
      <c r="W861" s="53">
        <v>0</v>
      </c>
      <c r="X861" s="53">
        <v>0</v>
      </c>
      <c r="Y861" s="53">
        <v>0</v>
      </c>
      <c r="Z861" s="53">
        <v>0</v>
      </c>
      <c r="AA861" s="53">
        <v>0</v>
      </c>
      <c r="AB861" s="53">
        <v>0</v>
      </c>
      <c r="AC861" s="53">
        <v>0</v>
      </c>
      <c r="AD861" s="53">
        <v>0</v>
      </c>
      <c r="AE861" s="53">
        <v>0</v>
      </c>
      <c r="AF861" s="53">
        <v>0</v>
      </c>
      <c r="AG861" s="53">
        <v>0</v>
      </c>
      <c r="AH861" s="53">
        <v>0</v>
      </c>
      <c r="AI861" s="53">
        <v>0</v>
      </c>
      <c r="AJ861" s="53">
        <v>0</v>
      </c>
      <c r="AK861" s="53">
        <v>0</v>
      </c>
      <c r="AL861" s="53">
        <v>0</v>
      </c>
      <c r="AM861" s="53" t="str">
        <f>I861-J861-K861-L861-M861-N861-O861-P861-Q861-R861-S861-T861-U861-V861-W861-X861-Y861-Z861-AA861-AB861-AC861-AD861-AE861-AF861-AG861+AH861-AI861+AJ861+AK861-AL861</f>
        <v>0</v>
      </c>
      <c r="AN861" s="53"/>
      <c r="AO861" s="27"/>
    </row>
    <row r="862" spans="1:41">
      <c r="A862" s="44">
        <v>834</v>
      </c>
      <c r="B862" s="46" t="s">
        <v>3375</v>
      </c>
      <c r="C862" s="48" t="s">
        <v>3376</v>
      </c>
      <c r="D862" s="51" t="s">
        <v>73</v>
      </c>
      <c r="E862" s="51" t="s">
        <v>3358</v>
      </c>
      <c r="F862" s="54" t="s">
        <v>3377</v>
      </c>
      <c r="G862" s="50">
        <v>3</v>
      </c>
      <c r="H862" s="51" t="s">
        <v>3378</v>
      </c>
      <c r="I862" s="53">
        <v>359000</v>
      </c>
      <c r="J862" s="53">
        <v>0</v>
      </c>
      <c r="K862" s="53">
        <v>22000</v>
      </c>
      <c r="L862" s="53">
        <v>0</v>
      </c>
      <c r="M862" s="53">
        <v>0</v>
      </c>
      <c r="N862" s="53">
        <v>0</v>
      </c>
      <c r="O862" s="53">
        <v>0</v>
      </c>
      <c r="P862" s="53">
        <v>0</v>
      </c>
      <c r="Q862" s="53">
        <v>0</v>
      </c>
      <c r="R862" s="53">
        <v>0</v>
      </c>
      <c r="S862" s="53">
        <v>0</v>
      </c>
      <c r="T862" s="53">
        <v>0</v>
      </c>
      <c r="U862" s="53">
        <v>1100</v>
      </c>
      <c r="V862" s="53">
        <v>0</v>
      </c>
      <c r="W862" s="53">
        <v>0</v>
      </c>
      <c r="X862" s="53">
        <v>0</v>
      </c>
      <c r="Y862" s="53">
        <v>0</v>
      </c>
      <c r="Z862" s="53">
        <v>0</v>
      </c>
      <c r="AA862" s="53">
        <v>0</v>
      </c>
      <c r="AB862" s="53">
        <v>0</v>
      </c>
      <c r="AC862" s="53">
        <v>0</v>
      </c>
      <c r="AD862" s="53">
        <v>0</v>
      </c>
      <c r="AE862" s="53">
        <v>0</v>
      </c>
      <c r="AF862" s="53">
        <v>0</v>
      </c>
      <c r="AG862" s="53">
        <v>0</v>
      </c>
      <c r="AH862" s="53">
        <v>0</v>
      </c>
      <c r="AI862" s="53">
        <v>0</v>
      </c>
      <c r="AJ862" s="53">
        <v>0</v>
      </c>
      <c r="AK862" s="53">
        <v>0</v>
      </c>
      <c r="AL862" s="53">
        <v>0</v>
      </c>
      <c r="AM862" s="53" t="str">
        <f>I862-J862-K862-L862-M862-N862-O862-P862-Q862-R862-S862-T862-U862-V862-W862-X862-Y862-Z862-AA862-AB862-AC862-AD862-AE862-AF862-AG862+AH862-AI862+AJ862+AK862-AL862</f>
        <v>0</v>
      </c>
      <c r="AN862" s="53"/>
      <c r="AO862" s="27"/>
    </row>
    <row r="863" spans="1:41">
      <c r="A863" s="44">
        <v>835</v>
      </c>
      <c r="B863" s="46" t="s">
        <v>3379</v>
      </c>
      <c r="C863" s="48" t="s">
        <v>3380</v>
      </c>
      <c r="D863" s="51" t="s">
        <v>73</v>
      </c>
      <c r="E863" s="51" t="s">
        <v>3358</v>
      </c>
      <c r="F863" s="54" t="s">
        <v>3381</v>
      </c>
      <c r="G863" s="50">
        <v>13</v>
      </c>
      <c r="H863" s="51" t="s">
        <v>2693</v>
      </c>
      <c r="I863" s="53">
        <v>0</v>
      </c>
      <c r="J863" s="53">
        <v>0</v>
      </c>
      <c r="K863" s="53">
        <v>52000</v>
      </c>
      <c r="L863" s="53">
        <v>0</v>
      </c>
      <c r="M863" s="53">
        <v>0</v>
      </c>
      <c r="N863" s="53">
        <v>0</v>
      </c>
      <c r="O863" s="53">
        <v>0</v>
      </c>
      <c r="P863" s="53">
        <v>0</v>
      </c>
      <c r="Q863" s="53">
        <v>0</v>
      </c>
      <c r="R863" s="53">
        <v>0</v>
      </c>
      <c r="S863" s="53">
        <v>0</v>
      </c>
      <c r="T863" s="53">
        <v>0</v>
      </c>
      <c r="U863" s="53">
        <v>2600</v>
      </c>
      <c r="V863" s="53">
        <v>0</v>
      </c>
      <c r="W863" s="53">
        <v>0</v>
      </c>
      <c r="X863" s="53">
        <v>0</v>
      </c>
      <c r="Y863" s="53">
        <v>27300</v>
      </c>
      <c r="Z863" s="53">
        <v>0</v>
      </c>
      <c r="AA863" s="53">
        <v>0</v>
      </c>
      <c r="AB863" s="53">
        <v>0</v>
      </c>
      <c r="AC863" s="53">
        <v>0</v>
      </c>
      <c r="AD863" s="53">
        <v>0</v>
      </c>
      <c r="AE863" s="53">
        <v>0</v>
      </c>
      <c r="AF863" s="53">
        <v>0</v>
      </c>
      <c r="AG863" s="53">
        <v>0</v>
      </c>
      <c r="AH863" s="53">
        <v>0</v>
      </c>
      <c r="AI863" s="53">
        <v>0</v>
      </c>
      <c r="AJ863" s="53">
        <v>0</v>
      </c>
      <c r="AK863" s="53">
        <v>0</v>
      </c>
      <c r="AL863" s="53">
        <v>0</v>
      </c>
      <c r="AM863" s="53" t="str">
        <f>I863-J863-K863-L863-M863-N863-O863-P863-Q863-R863-S863-T863-U863-V863-W863-X863-Y863-Z863-AA863-AB863-AC863-AD863-AE863-AF863-AG863+AH863-AI863+AJ863+AK863-AL863</f>
        <v>0</v>
      </c>
      <c r="AN863" s="53"/>
      <c r="AO863" s="27"/>
    </row>
    <row r="864" spans="1:41">
      <c r="A864" s="44">
        <v>836</v>
      </c>
      <c r="B864" s="46" t="s">
        <v>3382</v>
      </c>
      <c r="C864" s="48" t="s">
        <v>3383</v>
      </c>
      <c r="D864" s="51" t="s">
        <v>73</v>
      </c>
      <c r="E864" s="51" t="s">
        <v>3358</v>
      </c>
      <c r="F864" s="54" t="s">
        <v>3237</v>
      </c>
      <c r="G864" s="50">
        <v>6</v>
      </c>
      <c r="H864" s="51" t="s">
        <v>3384</v>
      </c>
      <c r="I864" s="53">
        <v>1071000</v>
      </c>
      <c r="J864" s="53">
        <v>0</v>
      </c>
      <c r="K864" s="53">
        <v>31000</v>
      </c>
      <c r="L864" s="53">
        <v>0</v>
      </c>
      <c r="M864" s="53">
        <v>0</v>
      </c>
      <c r="N864" s="53">
        <v>0</v>
      </c>
      <c r="O864" s="53">
        <v>0</v>
      </c>
      <c r="P864" s="53">
        <v>0</v>
      </c>
      <c r="Q864" s="53">
        <v>0</v>
      </c>
      <c r="R864" s="53">
        <v>0</v>
      </c>
      <c r="S864" s="53">
        <v>0</v>
      </c>
      <c r="T864" s="53">
        <v>0</v>
      </c>
      <c r="U864" s="53">
        <v>1550</v>
      </c>
      <c r="V864" s="53">
        <v>0</v>
      </c>
      <c r="W864" s="53">
        <v>0</v>
      </c>
      <c r="X864" s="53">
        <v>0</v>
      </c>
      <c r="Y864" s="53">
        <v>0</v>
      </c>
      <c r="Z864" s="53">
        <v>0</v>
      </c>
      <c r="AA864" s="53">
        <v>0</v>
      </c>
      <c r="AB864" s="53">
        <v>0</v>
      </c>
      <c r="AC864" s="53">
        <v>0</v>
      </c>
      <c r="AD864" s="53">
        <v>0</v>
      </c>
      <c r="AE864" s="53">
        <v>0</v>
      </c>
      <c r="AF864" s="53">
        <v>0</v>
      </c>
      <c r="AG864" s="53">
        <v>0</v>
      </c>
      <c r="AH864" s="53">
        <v>0</v>
      </c>
      <c r="AI864" s="53">
        <v>0</v>
      </c>
      <c r="AJ864" s="53">
        <v>0</v>
      </c>
      <c r="AK864" s="53">
        <v>0</v>
      </c>
      <c r="AL864" s="53">
        <v>0</v>
      </c>
      <c r="AM864" s="53" t="str">
        <f>I864-J864-K864-L864-M864-N864-O864-P864-Q864-R864-S864-T864-U864-V864-W864-X864-Y864-Z864-AA864-AB864-AC864-AD864-AE864-AF864-AG864+AH864-AI864+AJ864+AK864-AL864</f>
        <v>0</v>
      </c>
      <c r="AN864" s="53"/>
      <c r="AO864" s="27"/>
    </row>
    <row r="865" spans="1:41">
      <c r="A865" s="44">
        <v>837</v>
      </c>
      <c r="B865" s="46" t="s">
        <v>3385</v>
      </c>
      <c r="C865" s="48" t="s">
        <v>3386</v>
      </c>
      <c r="D865" s="51" t="s">
        <v>73</v>
      </c>
      <c r="E865" s="51" t="s">
        <v>3358</v>
      </c>
      <c r="F865" s="54" t="s">
        <v>3387</v>
      </c>
      <c r="G865" s="50">
        <v>3</v>
      </c>
      <c r="H865" s="51" t="s">
        <v>3388</v>
      </c>
      <c r="I865" s="53">
        <v>570500</v>
      </c>
      <c r="J865" s="53">
        <v>0</v>
      </c>
      <c r="K865" s="53">
        <v>22000</v>
      </c>
      <c r="L865" s="53">
        <v>0</v>
      </c>
      <c r="M865" s="53">
        <v>0</v>
      </c>
      <c r="N865" s="53">
        <v>0</v>
      </c>
      <c r="O865" s="53">
        <v>0</v>
      </c>
      <c r="P865" s="53">
        <v>0</v>
      </c>
      <c r="Q865" s="53">
        <v>0</v>
      </c>
      <c r="R865" s="53">
        <v>0</v>
      </c>
      <c r="S865" s="53">
        <v>0</v>
      </c>
      <c r="T865" s="53">
        <v>0</v>
      </c>
      <c r="U865" s="53">
        <v>1100</v>
      </c>
      <c r="V865" s="53">
        <v>0</v>
      </c>
      <c r="W865" s="53">
        <v>0</v>
      </c>
      <c r="X865" s="53">
        <v>0</v>
      </c>
      <c r="Y865" s="53">
        <v>0</v>
      </c>
      <c r="Z865" s="53">
        <v>0</v>
      </c>
      <c r="AA865" s="53">
        <v>0</v>
      </c>
      <c r="AB865" s="53">
        <v>0</v>
      </c>
      <c r="AC865" s="53">
        <v>0</v>
      </c>
      <c r="AD865" s="53">
        <v>0</v>
      </c>
      <c r="AE865" s="53">
        <v>0</v>
      </c>
      <c r="AF865" s="53">
        <v>0</v>
      </c>
      <c r="AG865" s="53">
        <v>0</v>
      </c>
      <c r="AH865" s="53">
        <v>0</v>
      </c>
      <c r="AI865" s="53">
        <v>0</v>
      </c>
      <c r="AJ865" s="53">
        <v>0</v>
      </c>
      <c r="AK865" s="53">
        <v>0</v>
      </c>
      <c r="AL865" s="53">
        <v>0</v>
      </c>
      <c r="AM865" s="53" t="str">
        <f>I865-J865-K865-L865-M865-N865-O865-P865-Q865-R865-S865-T865-U865-V865-W865-X865-Y865-Z865-AA865-AB865-AC865-AD865-AE865-AF865-AG865+AH865-AI865+AJ865+AK865-AL865</f>
        <v>0</v>
      </c>
      <c r="AN865" s="53"/>
      <c r="AO865" s="27"/>
    </row>
    <row r="866" spans="1:41">
      <c r="A866" s="44">
        <v>838</v>
      </c>
      <c r="B866" s="46" t="s">
        <v>3389</v>
      </c>
      <c r="C866" s="48" t="s">
        <v>3390</v>
      </c>
      <c r="D866" s="51" t="s">
        <v>73</v>
      </c>
      <c r="E866" s="51" t="s">
        <v>3358</v>
      </c>
      <c r="F866" s="54" t="s">
        <v>3391</v>
      </c>
      <c r="G866" s="50">
        <v>3</v>
      </c>
      <c r="H866" s="51" t="s">
        <v>3392</v>
      </c>
      <c r="I866" s="53">
        <v>630000</v>
      </c>
      <c r="J866" s="53">
        <v>0</v>
      </c>
      <c r="K866" s="53">
        <v>22000</v>
      </c>
      <c r="L866" s="53">
        <v>0</v>
      </c>
      <c r="M866" s="53">
        <v>0</v>
      </c>
      <c r="N866" s="53">
        <v>0</v>
      </c>
      <c r="O866" s="53">
        <v>0</v>
      </c>
      <c r="P866" s="53">
        <v>0</v>
      </c>
      <c r="Q866" s="53">
        <v>0</v>
      </c>
      <c r="R866" s="53">
        <v>0</v>
      </c>
      <c r="S866" s="53">
        <v>0</v>
      </c>
      <c r="T866" s="53">
        <v>0</v>
      </c>
      <c r="U866" s="53">
        <v>1100</v>
      </c>
      <c r="V866" s="53">
        <v>0</v>
      </c>
      <c r="W866" s="53">
        <v>0</v>
      </c>
      <c r="X866" s="53">
        <v>0</v>
      </c>
      <c r="Y866" s="53">
        <v>0</v>
      </c>
      <c r="Z866" s="53">
        <v>0</v>
      </c>
      <c r="AA866" s="53">
        <v>0</v>
      </c>
      <c r="AB866" s="53">
        <v>0</v>
      </c>
      <c r="AC866" s="53">
        <v>0</v>
      </c>
      <c r="AD866" s="53">
        <v>0</v>
      </c>
      <c r="AE866" s="53">
        <v>0</v>
      </c>
      <c r="AF866" s="53">
        <v>0</v>
      </c>
      <c r="AG866" s="53">
        <v>0</v>
      </c>
      <c r="AH866" s="53">
        <v>0</v>
      </c>
      <c r="AI866" s="53">
        <v>0</v>
      </c>
      <c r="AJ866" s="53">
        <v>0</v>
      </c>
      <c r="AK866" s="53">
        <v>0</v>
      </c>
      <c r="AL866" s="53">
        <v>0</v>
      </c>
      <c r="AM866" s="53" t="str">
        <f>I866-J866-K866-L866-M866-N866-O866-P866-Q866-R866-S866-T866-U866-V866-W866-X866-Y866-Z866-AA866-AB866-AC866-AD866-AE866-AF866-AG866+AH866-AI866+AJ866+AK866-AL866</f>
        <v>0</v>
      </c>
      <c r="AN866" s="53"/>
      <c r="AO866" s="27"/>
    </row>
    <row r="867" spans="1:41">
      <c r="A867" s="44">
        <v>839</v>
      </c>
      <c r="B867" s="46" t="s">
        <v>3393</v>
      </c>
      <c r="C867" s="48" t="s">
        <v>3394</v>
      </c>
      <c r="D867" s="51" t="s">
        <v>73</v>
      </c>
      <c r="E867" s="51" t="s">
        <v>3358</v>
      </c>
      <c r="F867" s="54" t="s">
        <v>3395</v>
      </c>
      <c r="G867" s="50">
        <v>2</v>
      </c>
      <c r="H867" s="51" t="s">
        <v>3396</v>
      </c>
      <c r="I867" s="53">
        <v>250100</v>
      </c>
      <c r="J867" s="53">
        <v>0</v>
      </c>
      <c r="K867" s="53">
        <v>22000</v>
      </c>
      <c r="L867" s="53">
        <v>0</v>
      </c>
      <c r="M867" s="53">
        <v>0</v>
      </c>
      <c r="N867" s="53">
        <v>0</v>
      </c>
      <c r="O867" s="53">
        <v>0</v>
      </c>
      <c r="P867" s="53">
        <v>0</v>
      </c>
      <c r="Q867" s="53">
        <v>0</v>
      </c>
      <c r="R867" s="53">
        <v>0</v>
      </c>
      <c r="S867" s="53">
        <v>0</v>
      </c>
      <c r="T867" s="53">
        <v>0</v>
      </c>
      <c r="U867" s="53">
        <v>1100</v>
      </c>
      <c r="V867" s="53">
        <v>0</v>
      </c>
      <c r="W867" s="53">
        <v>0</v>
      </c>
      <c r="X867" s="53">
        <v>0</v>
      </c>
      <c r="Y867" s="53">
        <v>0</v>
      </c>
      <c r="Z867" s="53">
        <v>0</v>
      </c>
      <c r="AA867" s="53">
        <v>0</v>
      </c>
      <c r="AB867" s="53">
        <v>0</v>
      </c>
      <c r="AC867" s="53">
        <v>0</v>
      </c>
      <c r="AD867" s="53">
        <v>0</v>
      </c>
      <c r="AE867" s="53">
        <v>0</v>
      </c>
      <c r="AF867" s="53">
        <v>0</v>
      </c>
      <c r="AG867" s="53">
        <v>0</v>
      </c>
      <c r="AH867" s="53">
        <v>0</v>
      </c>
      <c r="AI867" s="53">
        <v>0</v>
      </c>
      <c r="AJ867" s="53">
        <v>0</v>
      </c>
      <c r="AK867" s="53">
        <v>0</v>
      </c>
      <c r="AL867" s="53">
        <v>0</v>
      </c>
      <c r="AM867" s="53" t="str">
        <f>I867-J867-K867-L867-M867-N867-O867-P867-Q867-R867-S867-T867-U867-V867-W867-X867-Y867-Z867-AA867-AB867-AC867-AD867-AE867-AF867-AG867+AH867-AI867+AJ867+AK867-AL867</f>
        <v>0</v>
      </c>
      <c r="AN867" s="53"/>
      <c r="AO867" s="27"/>
    </row>
    <row r="868" spans="1:41">
      <c r="A868" s="44">
        <v>840</v>
      </c>
      <c r="B868" s="46" t="s">
        <v>3397</v>
      </c>
      <c r="C868" s="48" t="s">
        <v>3398</v>
      </c>
      <c r="D868" s="51" t="s">
        <v>73</v>
      </c>
      <c r="E868" s="51" t="s">
        <v>3399</v>
      </c>
      <c r="F868" s="54" t="s">
        <v>3400</v>
      </c>
      <c r="G868" s="50">
        <v>3</v>
      </c>
      <c r="H868" s="51" t="s">
        <v>3401</v>
      </c>
      <c r="I868" s="53">
        <v>570500</v>
      </c>
      <c r="J868" s="53">
        <v>0</v>
      </c>
      <c r="K868" s="53">
        <v>22000</v>
      </c>
      <c r="L868" s="53">
        <v>0</v>
      </c>
      <c r="M868" s="53">
        <v>0</v>
      </c>
      <c r="N868" s="53">
        <v>0</v>
      </c>
      <c r="O868" s="53">
        <v>0</v>
      </c>
      <c r="P868" s="53">
        <v>0</v>
      </c>
      <c r="Q868" s="53">
        <v>0</v>
      </c>
      <c r="R868" s="53">
        <v>0</v>
      </c>
      <c r="S868" s="53">
        <v>0</v>
      </c>
      <c r="T868" s="53">
        <v>0</v>
      </c>
      <c r="U868" s="53">
        <v>1100</v>
      </c>
      <c r="V868" s="53">
        <v>0</v>
      </c>
      <c r="W868" s="53">
        <v>0</v>
      </c>
      <c r="X868" s="53">
        <v>0</v>
      </c>
      <c r="Y868" s="53">
        <v>0</v>
      </c>
      <c r="Z868" s="53">
        <v>0</v>
      </c>
      <c r="AA868" s="53">
        <v>0</v>
      </c>
      <c r="AB868" s="53">
        <v>0</v>
      </c>
      <c r="AC868" s="53">
        <v>0</v>
      </c>
      <c r="AD868" s="53">
        <v>0</v>
      </c>
      <c r="AE868" s="53">
        <v>0</v>
      </c>
      <c r="AF868" s="53">
        <v>0</v>
      </c>
      <c r="AG868" s="53">
        <v>0</v>
      </c>
      <c r="AH868" s="53">
        <v>0</v>
      </c>
      <c r="AI868" s="53">
        <v>0</v>
      </c>
      <c r="AJ868" s="53">
        <v>0</v>
      </c>
      <c r="AK868" s="53">
        <v>0</v>
      </c>
      <c r="AL868" s="53">
        <v>0</v>
      </c>
      <c r="AM868" s="53" t="str">
        <f>I868-J868-K868-L868-M868-N868-O868-P868-Q868-R868-S868-T868-U868-V868-W868-X868-Y868-Z868-AA868-AB868-AC868-AD868-AE868-AF868-AG868+AH868-AI868+AJ868+AK868-AL868</f>
        <v>0</v>
      </c>
      <c r="AN868" s="53"/>
      <c r="AO868" s="27"/>
    </row>
    <row r="869" spans="1:41">
      <c r="A869" s="44">
        <v>841</v>
      </c>
      <c r="B869" s="46" t="s">
        <v>3402</v>
      </c>
      <c r="C869" s="48" t="s">
        <v>3403</v>
      </c>
      <c r="D869" s="51" t="s">
        <v>73</v>
      </c>
      <c r="E869" s="51" t="s">
        <v>3399</v>
      </c>
      <c r="F869" s="54" t="s">
        <v>776</v>
      </c>
      <c r="G869" s="50">
        <v>10</v>
      </c>
      <c r="H869" s="51" t="s">
        <v>3404</v>
      </c>
      <c r="I869" s="53">
        <v>1449000</v>
      </c>
      <c r="J869" s="53">
        <v>0</v>
      </c>
      <c r="K869" s="53">
        <v>40000</v>
      </c>
      <c r="L869" s="53">
        <v>0</v>
      </c>
      <c r="M869" s="53">
        <v>0</v>
      </c>
      <c r="N869" s="53">
        <v>0</v>
      </c>
      <c r="O869" s="53">
        <v>0</v>
      </c>
      <c r="P869" s="53">
        <v>0</v>
      </c>
      <c r="Q869" s="53">
        <v>0</v>
      </c>
      <c r="R869" s="53">
        <v>0</v>
      </c>
      <c r="S869" s="53">
        <v>0</v>
      </c>
      <c r="T869" s="53">
        <v>0</v>
      </c>
      <c r="U869" s="53">
        <v>2000</v>
      </c>
      <c r="V869" s="53">
        <v>0</v>
      </c>
      <c r="W869" s="53">
        <v>0</v>
      </c>
      <c r="X869" s="53">
        <v>0</v>
      </c>
      <c r="Y869" s="53">
        <v>0</v>
      </c>
      <c r="Z869" s="53">
        <v>0</v>
      </c>
      <c r="AA869" s="53">
        <v>0</v>
      </c>
      <c r="AB869" s="53">
        <v>0</v>
      </c>
      <c r="AC869" s="53">
        <v>0</v>
      </c>
      <c r="AD869" s="53">
        <v>0</v>
      </c>
      <c r="AE869" s="53">
        <v>0</v>
      </c>
      <c r="AF869" s="53">
        <v>0</v>
      </c>
      <c r="AG869" s="53">
        <v>0</v>
      </c>
      <c r="AH869" s="53">
        <v>0</v>
      </c>
      <c r="AI869" s="53">
        <v>0</v>
      </c>
      <c r="AJ869" s="53">
        <v>0</v>
      </c>
      <c r="AK869" s="53">
        <v>0</v>
      </c>
      <c r="AL869" s="53">
        <v>0</v>
      </c>
      <c r="AM869" s="53" t="str">
        <f>I869-J869-K869-L869-M869-N869-O869-P869-Q869-R869-S869-T869-U869-V869-W869-X869-Y869-Z869-AA869-AB869-AC869-AD869-AE869-AF869-AG869+AH869-AI869+AJ869+AK869-AL869</f>
        <v>0</v>
      </c>
      <c r="AN869" s="53"/>
      <c r="AO869" s="27"/>
    </row>
    <row r="870" spans="1:41">
      <c r="A870" s="44">
        <v>842</v>
      </c>
      <c r="B870" s="46" t="s">
        <v>3405</v>
      </c>
      <c r="C870" s="48" t="s">
        <v>3406</v>
      </c>
      <c r="D870" s="51" t="s">
        <v>73</v>
      </c>
      <c r="E870" s="51" t="s">
        <v>3399</v>
      </c>
      <c r="F870" s="54" t="s">
        <v>3407</v>
      </c>
      <c r="G870" s="50">
        <v>3</v>
      </c>
      <c r="H870" s="51" t="s">
        <v>3408</v>
      </c>
      <c r="I870" s="53">
        <v>914000</v>
      </c>
      <c r="J870" s="53">
        <v>0</v>
      </c>
      <c r="K870" s="53">
        <v>22000</v>
      </c>
      <c r="L870" s="53">
        <v>0</v>
      </c>
      <c r="M870" s="53">
        <v>0</v>
      </c>
      <c r="N870" s="53">
        <v>0</v>
      </c>
      <c r="O870" s="53">
        <v>0</v>
      </c>
      <c r="P870" s="53">
        <v>0</v>
      </c>
      <c r="Q870" s="53">
        <v>0</v>
      </c>
      <c r="R870" s="53">
        <v>0</v>
      </c>
      <c r="S870" s="53">
        <v>0</v>
      </c>
      <c r="T870" s="53">
        <v>0</v>
      </c>
      <c r="U870" s="53">
        <v>1100</v>
      </c>
      <c r="V870" s="53">
        <v>0</v>
      </c>
      <c r="W870" s="53">
        <v>0</v>
      </c>
      <c r="X870" s="53">
        <v>0</v>
      </c>
      <c r="Y870" s="53">
        <v>0</v>
      </c>
      <c r="Z870" s="53">
        <v>0</v>
      </c>
      <c r="AA870" s="53">
        <v>0</v>
      </c>
      <c r="AB870" s="53">
        <v>0</v>
      </c>
      <c r="AC870" s="53">
        <v>0</v>
      </c>
      <c r="AD870" s="53">
        <v>0</v>
      </c>
      <c r="AE870" s="53">
        <v>0</v>
      </c>
      <c r="AF870" s="53">
        <v>0</v>
      </c>
      <c r="AG870" s="53">
        <v>0</v>
      </c>
      <c r="AH870" s="53">
        <v>0</v>
      </c>
      <c r="AI870" s="53">
        <v>0</v>
      </c>
      <c r="AJ870" s="53">
        <v>0</v>
      </c>
      <c r="AK870" s="53">
        <v>0</v>
      </c>
      <c r="AL870" s="53">
        <v>0</v>
      </c>
      <c r="AM870" s="53" t="str">
        <f>I870-J870-K870-L870-M870-N870-O870-P870-Q870-R870-S870-T870-U870-V870-W870-X870-Y870-Z870-AA870-AB870-AC870-AD870-AE870-AF870-AG870+AH870-AI870+AJ870+AK870-AL870</f>
        <v>0</v>
      </c>
      <c r="AN870" s="53"/>
      <c r="AO870" s="27"/>
    </row>
    <row r="871" spans="1:41">
      <c r="A871" s="44">
        <v>843</v>
      </c>
      <c r="B871" s="46" t="s">
        <v>3409</v>
      </c>
      <c r="C871" s="48" t="s">
        <v>3410</v>
      </c>
      <c r="D871" s="51" t="s">
        <v>73</v>
      </c>
      <c r="E871" s="51" t="s">
        <v>3399</v>
      </c>
      <c r="F871" s="54" t="s">
        <v>3411</v>
      </c>
      <c r="G871" s="50">
        <v>9.3</v>
      </c>
      <c r="H871" s="51" t="s">
        <v>3412</v>
      </c>
      <c r="I871" s="53">
        <v>1449000</v>
      </c>
      <c r="J871" s="53">
        <v>0</v>
      </c>
      <c r="K871" s="53">
        <v>47500</v>
      </c>
      <c r="L871" s="53">
        <v>0</v>
      </c>
      <c r="M871" s="53">
        <v>0</v>
      </c>
      <c r="N871" s="53">
        <v>0</v>
      </c>
      <c r="O871" s="53">
        <v>0</v>
      </c>
      <c r="P871" s="53">
        <v>0</v>
      </c>
      <c r="Q871" s="53">
        <v>0</v>
      </c>
      <c r="R871" s="53">
        <v>0</v>
      </c>
      <c r="S871" s="53">
        <v>0</v>
      </c>
      <c r="T871" s="53">
        <v>0</v>
      </c>
      <c r="U871" s="53">
        <v>2375</v>
      </c>
      <c r="V871" s="53">
        <v>0</v>
      </c>
      <c r="W871" s="53">
        <v>0</v>
      </c>
      <c r="X871" s="53">
        <v>0</v>
      </c>
      <c r="Y871" s="53">
        <v>0</v>
      </c>
      <c r="Z871" s="53">
        <v>0</v>
      </c>
      <c r="AA871" s="53">
        <v>0</v>
      </c>
      <c r="AB871" s="53">
        <v>0</v>
      </c>
      <c r="AC871" s="53">
        <v>0</v>
      </c>
      <c r="AD871" s="53">
        <v>0</v>
      </c>
      <c r="AE871" s="53">
        <v>0</v>
      </c>
      <c r="AF871" s="53">
        <v>0</v>
      </c>
      <c r="AG871" s="53">
        <v>0</v>
      </c>
      <c r="AH871" s="53">
        <v>0</v>
      </c>
      <c r="AI871" s="53">
        <v>0</v>
      </c>
      <c r="AJ871" s="53">
        <v>0</v>
      </c>
      <c r="AK871" s="53">
        <v>0</v>
      </c>
      <c r="AL871" s="53">
        <v>0</v>
      </c>
      <c r="AM871" s="53" t="str">
        <f>I871-J871-K871-L871-M871-N871-O871-P871-Q871-R871-S871-T871-U871-V871-W871-X871-Y871-Z871-AA871-AB871-AC871-AD871-AE871-AF871-AG871+AH871-AI871+AJ871+AK871-AL871</f>
        <v>0</v>
      </c>
      <c r="AN871" s="53"/>
      <c r="AO871" s="27"/>
    </row>
    <row r="872" spans="1:41">
      <c r="A872" s="44">
        <v>844</v>
      </c>
      <c r="B872" s="46" t="s">
        <v>3413</v>
      </c>
      <c r="C872" s="48" t="s">
        <v>3414</v>
      </c>
      <c r="D872" s="51" t="s">
        <v>73</v>
      </c>
      <c r="E872" s="51" t="s">
        <v>3399</v>
      </c>
      <c r="F872" s="54" t="s">
        <v>3415</v>
      </c>
      <c r="G872" s="50">
        <v>3</v>
      </c>
      <c r="H872" s="51" t="s">
        <v>3416</v>
      </c>
      <c r="I872" s="53">
        <v>570500</v>
      </c>
      <c r="J872" s="53">
        <v>0</v>
      </c>
      <c r="K872" s="53">
        <v>22000</v>
      </c>
      <c r="L872" s="53">
        <v>0</v>
      </c>
      <c r="M872" s="53">
        <v>0</v>
      </c>
      <c r="N872" s="53">
        <v>0</v>
      </c>
      <c r="O872" s="53">
        <v>0</v>
      </c>
      <c r="P872" s="53">
        <v>0</v>
      </c>
      <c r="Q872" s="53">
        <v>0</v>
      </c>
      <c r="R872" s="53">
        <v>0</v>
      </c>
      <c r="S872" s="53">
        <v>0</v>
      </c>
      <c r="T872" s="53">
        <v>0</v>
      </c>
      <c r="U872" s="53">
        <v>1100</v>
      </c>
      <c r="V872" s="53">
        <v>0</v>
      </c>
      <c r="W872" s="53">
        <v>0</v>
      </c>
      <c r="X872" s="53">
        <v>0</v>
      </c>
      <c r="Y872" s="53">
        <v>0</v>
      </c>
      <c r="Z872" s="53">
        <v>0</v>
      </c>
      <c r="AA872" s="53">
        <v>0</v>
      </c>
      <c r="AB872" s="53">
        <v>0</v>
      </c>
      <c r="AC872" s="53">
        <v>0</v>
      </c>
      <c r="AD872" s="53">
        <v>0</v>
      </c>
      <c r="AE872" s="53">
        <v>0</v>
      </c>
      <c r="AF872" s="53">
        <v>0</v>
      </c>
      <c r="AG872" s="53">
        <v>0</v>
      </c>
      <c r="AH872" s="53">
        <v>0</v>
      </c>
      <c r="AI872" s="53">
        <v>0</v>
      </c>
      <c r="AJ872" s="53">
        <v>0</v>
      </c>
      <c r="AK872" s="53">
        <v>0</v>
      </c>
      <c r="AL872" s="53">
        <v>0</v>
      </c>
      <c r="AM872" s="53" t="str">
        <f>I872-J872-K872-L872-M872-N872-O872-P872-Q872-R872-S872-T872-U872-V872-W872-X872-Y872-Z872-AA872-AB872-AC872-AD872-AE872-AF872-AG872+AH872-AI872+AJ872+AK872-AL872</f>
        <v>0</v>
      </c>
      <c r="AN872" s="53"/>
      <c r="AO872" s="27"/>
    </row>
    <row r="873" spans="1:41">
      <c r="A873" s="44">
        <v>845</v>
      </c>
      <c r="B873" s="46" t="s">
        <v>3417</v>
      </c>
      <c r="C873" s="48" t="s">
        <v>3418</v>
      </c>
      <c r="D873" s="51" t="s">
        <v>73</v>
      </c>
      <c r="E873" s="51" t="s">
        <v>3399</v>
      </c>
      <c r="F873" s="54" t="s">
        <v>3419</v>
      </c>
      <c r="G873" s="50">
        <v>3</v>
      </c>
      <c r="H873" s="51" t="s">
        <v>3420</v>
      </c>
      <c r="I873" s="53">
        <v>826100</v>
      </c>
      <c r="J873" s="53">
        <v>0</v>
      </c>
      <c r="K873" s="53">
        <v>22000</v>
      </c>
      <c r="L873" s="53">
        <v>0</v>
      </c>
      <c r="M873" s="53">
        <v>0</v>
      </c>
      <c r="N873" s="53">
        <v>0</v>
      </c>
      <c r="O873" s="53">
        <v>0</v>
      </c>
      <c r="P873" s="53">
        <v>0</v>
      </c>
      <c r="Q873" s="53">
        <v>0</v>
      </c>
      <c r="R873" s="53">
        <v>0</v>
      </c>
      <c r="S873" s="53">
        <v>0</v>
      </c>
      <c r="T873" s="53">
        <v>0</v>
      </c>
      <c r="U873" s="53">
        <v>1100</v>
      </c>
      <c r="V873" s="53">
        <v>0</v>
      </c>
      <c r="W873" s="53">
        <v>0</v>
      </c>
      <c r="X873" s="53">
        <v>0</v>
      </c>
      <c r="Y873" s="53">
        <v>0</v>
      </c>
      <c r="Z873" s="53">
        <v>0</v>
      </c>
      <c r="AA873" s="53">
        <v>0</v>
      </c>
      <c r="AB873" s="53">
        <v>0</v>
      </c>
      <c r="AC873" s="53">
        <v>0</v>
      </c>
      <c r="AD873" s="53">
        <v>0</v>
      </c>
      <c r="AE873" s="53">
        <v>0</v>
      </c>
      <c r="AF873" s="53">
        <v>0</v>
      </c>
      <c r="AG873" s="53">
        <v>0</v>
      </c>
      <c r="AH873" s="53">
        <v>0</v>
      </c>
      <c r="AI873" s="53">
        <v>0</v>
      </c>
      <c r="AJ873" s="53">
        <v>0</v>
      </c>
      <c r="AK873" s="53">
        <v>0</v>
      </c>
      <c r="AL873" s="53">
        <v>0</v>
      </c>
      <c r="AM873" s="53" t="str">
        <f>I873-J873-K873-L873-M873-N873-O873-P873-Q873-R873-S873-T873-U873-V873-W873-X873-Y873-Z873-AA873-AB873-AC873-AD873-AE873-AF873-AG873+AH873-AI873+AJ873+AK873-AL873</f>
        <v>0</v>
      </c>
      <c r="AN873" s="53"/>
      <c r="AO873" s="27"/>
    </row>
    <row r="874" spans="1:41">
      <c r="A874" s="44">
        <v>846</v>
      </c>
      <c r="B874" s="46" t="s">
        <v>3421</v>
      </c>
      <c r="C874" s="48" t="s">
        <v>3422</v>
      </c>
      <c r="D874" s="51" t="s">
        <v>73</v>
      </c>
      <c r="E874" s="51" t="s">
        <v>3399</v>
      </c>
      <c r="F874" s="54" t="s">
        <v>3423</v>
      </c>
      <c r="G874" s="50">
        <v>10.3</v>
      </c>
      <c r="H874" s="51" t="s">
        <v>3424</v>
      </c>
      <c r="I874" s="53">
        <v>0</v>
      </c>
      <c r="J874" s="53">
        <v>0</v>
      </c>
      <c r="K874" s="53">
        <v>44000</v>
      </c>
      <c r="L874" s="53">
        <v>0</v>
      </c>
      <c r="M874" s="53">
        <v>0</v>
      </c>
      <c r="N874" s="53">
        <v>0</v>
      </c>
      <c r="O874" s="53">
        <v>0</v>
      </c>
      <c r="P874" s="53">
        <v>0</v>
      </c>
      <c r="Q874" s="53">
        <v>0</v>
      </c>
      <c r="R874" s="53">
        <v>0</v>
      </c>
      <c r="S874" s="53">
        <v>0</v>
      </c>
      <c r="T874" s="53">
        <v>0</v>
      </c>
      <c r="U874" s="53">
        <v>2200</v>
      </c>
      <c r="V874" s="53">
        <v>0</v>
      </c>
      <c r="W874" s="53">
        <v>0</v>
      </c>
      <c r="X874" s="53">
        <v>0</v>
      </c>
      <c r="Y874" s="53">
        <v>0</v>
      </c>
      <c r="Z874" s="53">
        <v>0</v>
      </c>
      <c r="AA874" s="53">
        <v>0</v>
      </c>
      <c r="AB874" s="53">
        <v>0</v>
      </c>
      <c r="AC874" s="53">
        <v>0</v>
      </c>
      <c r="AD874" s="53">
        <v>0</v>
      </c>
      <c r="AE874" s="53">
        <v>0</v>
      </c>
      <c r="AF874" s="53">
        <v>0</v>
      </c>
      <c r="AG874" s="53">
        <v>0</v>
      </c>
      <c r="AH874" s="53">
        <v>0</v>
      </c>
      <c r="AI874" s="53">
        <v>0</v>
      </c>
      <c r="AJ874" s="53">
        <v>0</v>
      </c>
      <c r="AK874" s="53">
        <v>0</v>
      </c>
      <c r="AL874" s="53">
        <v>0</v>
      </c>
      <c r="AM874" s="53" t="str">
        <f>I874-J874-K874-L874-M874-N874-O874-P874-Q874-R874-S874-T874-U874-V874-W874-X874-Y874-Z874-AA874-AB874-AC874-AD874-AE874-AF874-AG874+AH874-AI874+AJ874+AK874-AL874</f>
        <v>0</v>
      </c>
      <c r="AN874" s="53"/>
      <c r="AO874" s="27"/>
    </row>
    <row r="875" spans="1:41">
      <c r="A875" s="44">
        <v>847</v>
      </c>
      <c r="B875" s="46" t="s">
        <v>3425</v>
      </c>
      <c r="C875" s="48" t="s">
        <v>3426</v>
      </c>
      <c r="D875" s="51" t="s">
        <v>73</v>
      </c>
      <c r="E875" s="51" t="s">
        <v>3427</v>
      </c>
      <c r="F875" s="54" t="s">
        <v>3428</v>
      </c>
      <c r="G875" s="50">
        <v>4</v>
      </c>
      <c r="H875" s="51" t="s">
        <v>3429</v>
      </c>
      <c r="I875" s="53">
        <v>772100</v>
      </c>
      <c r="J875" s="53">
        <v>0</v>
      </c>
      <c r="K875" s="53">
        <v>25000</v>
      </c>
      <c r="L875" s="53">
        <v>0</v>
      </c>
      <c r="M875" s="53">
        <v>0</v>
      </c>
      <c r="N875" s="53">
        <v>0</v>
      </c>
      <c r="O875" s="53">
        <v>0</v>
      </c>
      <c r="P875" s="53">
        <v>0</v>
      </c>
      <c r="Q875" s="53">
        <v>0</v>
      </c>
      <c r="R875" s="53">
        <v>0</v>
      </c>
      <c r="S875" s="53">
        <v>0</v>
      </c>
      <c r="T875" s="53">
        <v>0</v>
      </c>
      <c r="U875" s="53">
        <v>1250</v>
      </c>
      <c r="V875" s="53">
        <v>0</v>
      </c>
      <c r="W875" s="53">
        <v>0</v>
      </c>
      <c r="X875" s="53">
        <v>0</v>
      </c>
      <c r="Y875" s="53">
        <v>0</v>
      </c>
      <c r="Z875" s="53">
        <v>0</v>
      </c>
      <c r="AA875" s="53">
        <v>0</v>
      </c>
      <c r="AB875" s="53">
        <v>0</v>
      </c>
      <c r="AC875" s="53">
        <v>0</v>
      </c>
      <c r="AD875" s="53">
        <v>0</v>
      </c>
      <c r="AE875" s="53">
        <v>0</v>
      </c>
      <c r="AF875" s="53">
        <v>0</v>
      </c>
      <c r="AG875" s="53">
        <v>0</v>
      </c>
      <c r="AH875" s="53">
        <v>0</v>
      </c>
      <c r="AI875" s="53">
        <v>0</v>
      </c>
      <c r="AJ875" s="53">
        <v>0</v>
      </c>
      <c r="AK875" s="53">
        <v>0</v>
      </c>
      <c r="AL875" s="53">
        <v>0</v>
      </c>
      <c r="AM875" s="53" t="str">
        <f>I875-J875-K875-L875-M875-N875-O875-P875-Q875-R875-S875-T875-U875-V875-W875-X875-Y875-Z875-AA875-AB875-AC875-AD875-AE875-AF875-AG875+AH875-AI875+AJ875+AK875-AL875</f>
        <v>0</v>
      </c>
      <c r="AN875" s="53"/>
      <c r="AO875" s="27"/>
    </row>
    <row r="876" spans="1:41">
      <c r="A876" s="44">
        <v>848</v>
      </c>
      <c r="B876" s="46" t="s">
        <v>3430</v>
      </c>
      <c r="C876" s="48" t="s">
        <v>3431</v>
      </c>
      <c r="D876" s="51" t="s">
        <v>73</v>
      </c>
      <c r="E876" s="51" t="s">
        <v>3427</v>
      </c>
      <c r="F876" s="54" t="s">
        <v>1250</v>
      </c>
      <c r="G876" s="50">
        <v>5</v>
      </c>
      <c r="H876" s="51" t="s">
        <v>3432</v>
      </c>
      <c r="I876" s="53">
        <v>1327500</v>
      </c>
      <c r="J876" s="53">
        <v>0</v>
      </c>
      <c r="K876" s="53">
        <v>27000</v>
      </c>
      <c r="L876" s="53">
        <v>0</v>
      </c>
      <c r="M876" s="53">
        <v>0</v>
      </c>
      <c r="N876" s="53">
        <v>0</v>
      </c>
      <c r="O876" s="53">
        <v>0</v>
      </c>
      <c r="P876" s="53">
        <v>0</v>
      </c>
      <c r="Q876" s="53">
        <v>0</v>
      </c>
      <c r="R876" s="53">
        <v>0</v>
      </c>
      <c r="S876" s="53">
        <v>0</v>
      </c>
      <c r="T876" s="53">
        <v>0</v>
      </c>
      <c r="U876" s="53">
        <v>1350</v>
      </c>
      <c r="V876" s="53">
        <v>0</v>
      </c>
      <c r="W876" s="53">
        <v>0</v>
      </c>
      <c r="X876" s="53">
        <v>0</v>
      </c>
      <c r="Y876" s="53">
        <v>0</v>
      </c>
      <c r="Z876" s="53">
        <v>0</v>
      </c>
      <c r="AA876" s="53">
        <v>0</v>
      </c>
      <c r="AB876" s="53">
        <v>0</v>
      </c>
      <c r="AC876" s="53">
        <v>0</v>
      </c>
      <c r="AD876" s="53">
        <v>0</v>
      </c>
      <c r="AE876" s="53">
        <v>0</v>
      </c>
      <c r="AF876" s="53">
        <v>0</v>
      </c>
      <c r="AG876" s="53">
        <v>0</v>
      </c>
      <c r="AH876" s="53">
        <v>0</v>
      </c>
      <c r="AI876" s="53">
        <v>0</v>
      </c>
      <c r="AJ876" s="53">
        <v>0</v>
      </c>
      <c r="AK876" s="53">
        <v>0</v>
      </c>
      <c r="AL876" s="53">
        <v>0</v>
      </c>
      <c r="AM876" s="53" t="str">
        <f>I876-J876-K876-L876-M876-N876-O876-P876-Q876-R876-S876-T876-U876-V876-W876-X876-Y876-Z876-AA876-AB876-AC876-AD876-AE876-AF876-AG876+AH876-AI876+AJ876+AK876-AL876</f>
        <v>0</v>
      </c>
      <c r="AN876" s="53"/>
      <c r="AO876" s="27"/>
    </row>
    <row r="877" spans="1:41">
      <c r="A877" s="44">
        <v>849</v>
      </c>
      <c r="B877" s="46" t="s">
        <v>3433</v>
      </c>
      <c r="C877" s="48" t="s">
        <v>3434</v>
      </c>
      <c r="D877" s="51" t="s">
        <v>73</v>
      </c>
      <c r="E877" s="51" t="s">
        <v>3427</v>
      </c>
      <c r="F877" s="54" t="s">
        <v>3309</v>
      </c>
      <c r="G877" s="50">
        <v>5</v>
      </c>
      <c r="H877" s="51" t="s">
        <v>3435</v>
      </c>
      <c r="I877" s="53">
        <v>1126800</v>
      </c>
      <c r="J877" s="53">
        <v>0</v>
      </c>
      <c r="K877" s="53">
        <v>23000</v>
      </c>
      <c r="L877" s="53">
        <v>0</v>
      </c>
      <c r="M877" s="53">
        <v>0</v>
      </c>
      <c r="N877" s="53">
        <v>0</v>
      </c>
      <c r="O877" s="53">
        <v>0</v>
      </c>
      <c r="P877" s="53">
        <v>0</v>
      </c>
      <c r="Q877" s="53">
        <v>0</v>
      </c>
      <c r="R877" s="53">
        <v>0</v>
      </c>
      <c r="S877" s="53">
        <v>0</v>
      </c>
      <c r="T877" s="53">
        <v>0</v>
      </c>
      <c r="U877" s="53">
        <v>1150</v>
      </c>
      <c r="V877" s="53">
        <v>0</v>
      </c>
      <c r="W877" s="53">
        <v>0</v>
      </c>
      <c r="X877" s="53">
        <v>0</v>
      </c>
      <c r="Y877" s="53">
        <v>0</v>
      </c>
      <c r="Z877" s="53">
        <v>0</v>
      </c>
      <c r="AA877" s="53">
        <v>0</v>
      </c>
      <c r="AB877" s="53">
        <v>0</v>
      </c>
      <c r="AC877" s="53">
        <v>0</v>
      </c>
      <c r="AD877" s="53">
        <v>0</v>
      </c>
      <c r="AE877" s="53">
        <v>0</v>
      </c>
      <c r="AF877" s="53">
        <v>0</v>
      </c>
      <c r="AG877" s="53">
        <v>0</v>
      </c>
      <c r="AH877" s="53">
        <v>0</v>
      </c>
      <c r="AI877" s="53">
        <v>0</v>
      </c>
      <c r="AJ877" s="53">
        <v>0</v>
      </c>
      <c r="AK877" s="53">
        <v>0</v>
      </c>
      <c r="AL877" s="53">
        <v>0</v>
      </c>
      <c r="AM877" s="53" t="str">
        <f>I877-J877-K877-L877-M877-N877-O877-P877-Q877-R877-S877-T877-U877-V877-W877-X877-Y877-Z877-AA877-AB877-AC877-AD877-AE877-AF877-AG877+AH877-AI877+AJ877+AK877-AL877</f>
        <v>0</v>
      </c>
      <c r="AN877" s="53"/>
      <c r="AO877" s="27"/>
    </row>
    <row r="878" spans="1:41">
      <c r="A878" s="44">
        <v>850</v>
      </c>
      <c r="B878" s="46" t="s">
        <v>3436</v>
      </c>
      <c r="C878" s="48" t="s">
        <v>3437</v>
      </c>
      <c r="D878" s="51" t="s">
        <v>73</v>
      </c>
      <c r="E878" s="51" t="s">
        <v>3427</v>
      </c>
      <c r="F878" s="54" t="s">
        <v>2023</v>
      </c>
      <c r="G878" s="50">
        <v>3</v>
      </c>
      <c r="H878" s="51" t="s">
        <v>3438</v>
      </c>
      <c r="I878" s="53">
        <v>664100</v>
      </c>
      <c r="J878" s="53">
        <v>0</v>
      </c>
      <c r="K878" s="53">
        <v>23000</v>
      </c>
      <c r="L878" s="53">
        <v>0</v>
      </c>
      <c r="M878" s="53">
        <v>0</v>
      </c>
      <c r="N878" s="53">
        <v>0</v>
      </c>
      <c r="O878" s="53">
        <v>0</v>
      </c>
      <c r="P878" s="53">
        <v>0</v>
      </c>
      <c r="Q878" s="53">
        <v>0</v>
      </c>
      <c r="R878" s="53">
        <v>0</v>
      </c>
      <c r="S878" s="53">
        <v>0</v>
      </c>
      <c r="T878" s="53">
        <v>0</v>
      </c>
      <c r="U878" s="53">
        <v>1150</v>
      </c>
      <c r="V878" s="53">
        <v>0</v>
      </c>
      <c r="W878" s="53">
        <v>0</v>
      </c>
      <c r="X878" s="53">
        <v>0</v>
      </c>
      <c r="Y878" s="53">
        <v>0</v>
      </c>
      <c r="Z878" s="53">
        <v>0</v>
      </c>
      <c r="AA878" s="53">
        <v>0</v>
      </c>
      <c r="AB878" s="53">
        <v>0</v>
      </c>
      <c r="AC878" s="53">
        <v>0</v>
      </c>
      <c r="AD878" s="53">
        <v>0</v>
      </c>
      <c r="AE878" s="53">
        <v>0</v>
      </c>
      <c r="AF878" s="53">
        <v>0</v>
      </c>
      <c r="AG878" s="53">
        <v>0</v>
      </c>
      <c r="AH878" s="53">
        <v>0</v>
      </c>
      <c r="AI878" s="53">
        <v>0</v>
      </c>
      <c r="AJ878" s="53">
        <v>0</v>
      </c>
      <c r="AK878" s="53">
        <v>0</v>
      </c>
      <c r="AL878" s="53">
        <v>0</v>
      </c>
      <c r="AM878" s="53" t="str">
        <f>I878-J878-K878-L878-M878-N878-O878-P878-Q878-R878-S878-T878-U878-V878-W878-X878-Y878-Z878-AA878-AB878-AC878-AD878-AE878-AF878-AG878+AH878-AI878+AJ878+AK878-AL878</f>
        <v>0</v>
      </c>
      <c r="AN878" s="53"/>
      <c r="AO878" s="27"/>
    </row>
    <row r="879" spans="1:41">
      <c r="A879" s="44">
        <v>851</v>
      </c>
      <c r="B879" s="46" t="s">
        <v>3439</v>
      </c>
      <c r="C879" s="48" t="s">
        <v>3440</v>
      </c>
      <c r="D879" s="51" t="s">
        <v>73</v>
      </c>
      <c r="E879" s="51" t="s">
        <v>3427</v>
      </c>
      <c r="F879" s="54" t="s">
        <v>3441</v>
      </c>
      <c r="G879" s="50">
        <v>5</v>
      </c>
      <c r="H879" s="51" t="s">
        <v>3442</v>
      </c>
      <c r="I879" s="53">
        <v>619100</v>
      </c>
      <c r="J879" s="53">
        <v>0</v>
      </c>
      <c r="K879" s="53">
        <v>27000</v>
      </c>
      <c r="L879" s="53">
        <v>0</v>
      </c>
      <c r="M879" s="53">
        <v>0</v>
      </c>
      <c r="N879" s="53">
        <v>0</v>
      </c>
      <c r="O879" s="53">
        <v>0</v>
      </c>
      <c r="P879" s="53">
        <v>0</v>
      </c>
      <c r="Q879" s="53">
        <v>0</v>
      </c>
      <c r="R879" s="53">
        <v>0</v>
      </c>
      <c r="S879" s="53">
        <v>0</v>
      </c>
      <c r="T879" s="53">
        <v>0</v>
      </c>
      <c r="U879" s="53">
        <v>1350</v>
      </c>
      <c r="V879" s="53">
        <v>0</v>
      </c>
      <c r="W879" s="53">
        <v>0</v>
      </c>
      <c r="X879" s="53">
        <v>0</v>
      </c>
      <c r="Y879" s="53">
        <v>0</v>
      </c>
      <c r="Z879" s="53">
        <v>0</v>
      </c>
      <c r="AA879" s="53">
        <v>0</v>
      </c>
      <c r="AB879" s="53">
        <v>0</v>
      </c>
      <c r="AC879" s="53">
        <v>0</v>
      </c>
      <c r="AD879" s="53">
        <v>0</v>
      </c>
      <c r="AE879" s="53">
        <v>0</v>
      </c>
      <c r="AF879" s="53">
        <v>0</v>
      </c>
      <c r="AG879" s="53">
        <v>0</v>
      </c>
      <c r="AH879" s="53">
        <v>0</v>
      </c>
      <c r="AI879" s="53">
        <v>0</v>
      </c>
      <c r="AJ879" s="53">
        <v>0</v>
      </c>
      <c r="AK879" s="53">
        <v>0</v>
      </c>
      <c r="AL879" s="53">
        <v>0</v>
      </c>
      <c r="AM879" s="53" t="str">
        <f>I879-J879-K879-L879-M879-N879-O879-P879-Q879-R879-S879-T879-U879-V879-W879-X879-Y879-Z879-AA879-AB879-AC879-AD879-AE879-AF879-AG879+AH879-AI879+AJ879+AK879-AL879</f>
        <v>0</v>
      </c>
      <c r="AN879" s="53"/>
      <c r="AO879" s="27"/>
    </row>
    <row r="880" spans="1:41">
      <c r="A880" s="44">
        <v>852</v>
      </c>
      <c r="B880" s="46" t="s">
        <v>3443</v>
      </c>
      <c r="C880" s="48" t="s">
        <v>3444</v>
      </c>
      <c r="D880" s="51" t="s">
        <v>73</v>
      </c>
      <c r="E880" s="51" t="s">
        <v>3445</v>
      </c>
      <c r="F880" s="54" t="s">
        <v>3446</v>
      </c>
      <c r="G880" s="50">
        <v>7</v>
      </c>
      <c r="H880" s="51" t="s">
        <v>3447</v>
      </c>
      <c r="I880" s="53">
        <v>2149000</v>
      </c>
      <c r="J880" s="53">
        <v>0</v>
      </c>
      <c r="K880" s="53">
        <v>35000</v>
      </c>
      <c r="L880" s="53">
        <v>0</v>
      </c>
      <c r="M880" s="53">
        <v>0</v>
      </c>
      <c r="N880" s="53">
        <v>0</v>
      </c>
      <c r="O880" s="53">
        <v>0</v>
      </c>
      <c r="P880" s="53">
        <v>0</v>
      </c>
      <c r="Q880" s="53">
        <v>0</v>
      </c>
      <c r="R880" s="53">
        <v>0</v>
      </c>
      <c r="S880" s="53">
        <v>0</v>
      </c>
      <c r="T880" s="53">
        <v>0</v>
      </c>
      <c r="U880" s="53">
        <v>1750</v>
      </c>
      <c r="V880" s="53">
        <v>0</v>
      </c>
      <c r="W880" s="53">
        <v>0</v>
      </c>
      <c r="X880" s="53">
        <v>0</v>
      </c>
      <c r="Y880" s="53">
        <v>0</v>
      </c>
      <c r="Z880" s="53">
        <v>0</v>
      </c>
      <c r="AA880" s="53">
        <v>0</v>
      </c>
      <c r="AB880" s="53">
        <v>0</v>
      </c>
      <c r="AC880" s="53">
        <v>0</v>
      </c>
      <c r="AD880" s="53">
        <v>0</v>
      </c>
      <c r="AE880" s="53">
        <v>0</v>
      </c>
      <c r="AF880" s="53">
        <v>0</v>
      </c>
      <c r="AG880" s="53">
        <v>0</v>
      </c>
      <c r="AH880" s="53">
        <v>0</v>
      </c>
      <c r="AI880" s="53">
        <v>0</v>
      </c>
      <c r="AJ880" s="53">
        <v>0</v>
      </c>
      <c r="AK880" s="53">
        <v>0</v>
      </c>
      <c r="AL880" s="53">
        <v>0</v>
      </c>
      <c r="AM880" s="53" t="str">
        <f>I880-J880-K880-L880-M880-N880-O880-P880-Q880-R880-S880-T880-U880-V880-W880-X880-Y880-Z880-AA880-AB880-AC880-AD880-AE880-AF880-AG880+AH880-AI880+AJ880+AK880-AL880</f>
        <v>0</v>
      </c>
      <c r="AN880" s="53"/>
      <c r="AO880" s="27"/>
    </row>
    <row r="881" spans="1:41">
      <c r="A881" s="44">
        <v>853</v>
      </c>
      <c r="B881" s="46" t="s">
        <v>3448</v>
      </c>
      <c r="C881" s="48" t="s">
        <v>3449</v>
      </c>
      <c r="D881" s="51" t="s">
        <v>73</v>
      </c>
      <c r="E881" s="51" t="s">
        <v>3445</v>
      </c>
      <c r="F881" s="54" t="s">
        <v>3450</v>
      </c>
      <c r="G881" s="50">
        <v>3</v>
      </c>
      <c r="H881" s="51" t="s">
        <v>3451</v>
      </c>
      <c r="I881" s="53">
        <v>785000</v>
      </c>
      <c r="J881" s="53">
        <v>0</v>
      </c>
      <c r="K881" s="53">
        <v>22000</v>
      </c>
      <c r="L881" s="53">
        <v>0</v>
      </c>
      <c r="M881" s="53">
        <v>0</v>
      </c>
      <c r="N881" s="53">
        <v>0</v>
      </c>
      <c r="O881" s="53">
        <v>0</v>
      </c>
      <c r="P881" s="53">
        <v>0</v>
      </c>
      <c r="Q881" s="53">
        <v>0</v>
      </c>
      <c r="R881" s="53">
        <v>0</v>
      </c>
      <c r="S881" s="53">
        <v>0</v>
      </c>
      <c r="T881" s="53">
        <v>0</v>
      </c>
      <c r="U881" s="53">
        <v>1100</v>
      </c>
      <c r="V881" s="53">
        <v>0</v>
      </c>
      <c r="W881" s="53">
        <v>0</v>
      </c>
      <c r="X881" s="53">
        <v>0</v>
      </c>
      <c r="Y881" s="53">
        <v>0</v>
      </c>
      <c r="Z881" s="53">
        <v>0</v>
      </c>
      <c r="AA881" s="53">
        <v>0</v>
      </c>
      <c r="AB881" s="53">
        <v>0</v>
      </c>
      <c r="AC881" s="53">
        <v>0</v>
      </c>
      <c r="AD881" s="53">
        <v>0</v>
      </c>
      <c r="AE881" s="53">
        <v>0</v>
      </c>
      <c r="AF881" s="53">
        <v>0</v>
      </c>
      <c r="AG881" s="53">
        <v>0</v>
      </c>
      <c r="AH881" s="53">
        <v>0</v>
      </c>
      <c r="AI881" s="53">
        <v>0</v>
      </c>
      <c r="AJ881" s="53">
        <v>0</v>
      </c>
      <c r="AK881" s="53">
        <v>0</v>
      </c>
      <c r="AL881" s="53">
        <v>0</v>
      </c>
      <c r="AM881" s="53" t="str">
        <f>I881-J881-K881-L881-M881-N881-O881-P881-Q881-R881-S881-T881-U881-V881-W881-X881-Y881-Z881-AA881-AB881-AC881-AD881-AE881-AF881-AG881+AH881-AI881+AJ881+AK881-AL881</f>
        <v>0</v>
      </c>
      <c r="AN881" s="53"/>
      <c r="AO881" s="27"/>
    </row>
    <row r="882" spans="1:41">
      <c r="A882" s="44">
        <v>854</v>
      </c>
      <c r="B882" s="46" t="s">
        <v>3452</v>
      </c>
      <c r="C882" s="48" t="s">
        <v>3453</v>
      </c>
      <c r="D882" s="51" t="s">
        <v>73</v>
      </c>
      <c r="E882" s="51" t="s">
        <v>3445</v>
      </c>
      <c r="F882" s="54" t="s">
        <v>3309</v>
      </c>
      <c r="G882" s="50">
        <v>5.8</v>
      </c>
      <c r="H882" s="51" t="s">
        <v>3454</v>
      </c>
      <c r="I882" s="53">
        <v>574100</v>
      </c>
      <c r="J882" s="53">
        <v>0</v>
      </c>
      <c r="K882" s="53">
        <v>24000</v>
      </c>
      <c r="L882" s="53">
        <v>0</v>
      </c>
      <c r="M882" s="53">
        <v>0</v>
      </c>
      <c r="N882" s="53">
        <v>0</v>
      </c>
      <c r="O882" s="53">
        <v>0</v>
      </c>
      <c r="P882" s="53">
        <v>0</v>
      </c>
      <c r="Q882" s="53">
        <v>0</v>
      </c>
      <c r="R882" s="53">
        <v>0</v>
      </c>
      <c r="S882" s="53">
        <v>0</v>
      </c>
      <c r="T882" s="53">
        <v>0</v>
      </c>
      <c r="U882" s="53">
        <v>1200</v>
      </c>
      <c r="V882" s="53">
        <v>0</v>
      </c>
      <c r="W882" s="53">
        <v>0</v>
      </c>
      <c r="X882" s="53">
        <v>0</v>
      </c>
      <c r="Y882" s="53">
        <v>0</v>
      </c>
      <c r="Z882" s="53">
        <v>0</v>
      </c>
      <c r="AA882" s="53">
        <v>0</v>
      </c>
      <c r="AB882" s="53">
        <v>0</v>
      </c>
      <c r="AC882" s="53">
        <v>0</v>
      </c>
      <c r="AD882" s="53">
        <v>0</v>
      </c>
      <c r="AE882" s="53">
        <v>0</v>
      </c>
      <c r="AF882" s="53">
        <v>0</v>
      </c>
      <c r="AG882" s="53">
        <v>0</v>
      </c>
      <c r="AH882" s="53">
        <v>0</v>
      </c>
      <c r="AI882" s="53">
        <v>0</v>
      </c>
      <c r="AJ882" s="53">
        <v>0</v>
      </c>
      <c r="AK882" s="53">
        <v>0</v>
      </c>
      <c r="AL882" s="53">
        <v>0</v>
      </c>
      <c r="AM882" s="53" t="str">
        <f>I882-J882-K882-L882-M882-N882-O882-P882-Q882-R882-S882-T882-U882-V882-W882-X882-Y882-Z882-AA882-AB882-AC882-AD882-AE882-AF882-AG882+AH882-AI882+AJ882+AK882-AL882</f>
        <v>0</v>
      </c>
      <c r="AN882" s="53"/>
      <c r="AO882" s="27"/>
    </row>
    <row r="883" spans="1:41">
      <c r="A883" s="44">
        <v>855</v>
      </c>
      <c r="B883" s="46" t="s">
        <v>3455</v>
      </c>
      <c r="C883" s="48" t="s">
        <v>3456</v>
      </c>
      <c r="D883" s="51" t="s">
        <v>73</v>
      </c>
      <c r="E883" s="51" t="s">
        <v>3445</v>
      </c>
      <c r="F883" s="54" t="s">
        <v>1064</v>
      </c>
      <c r="G883" s="50">
        <v>3</v>
      </c>
      <c r="H883" s="51" t="s">
        <v>3457</v>
      </c>
      <c r="I883" s="53">
        <v>710000</v>
      </c>
      <c r="J883" s="53">
        <v>0</v>
      </c>
      <c r="K883" s="53">
        <v>22000</v>
      </c>
      <c r="L883" s="53">
        <v>0</v>
      </c>
      <c r="M883" s="53">
        <v>0</v>
      </c>
      <c r="N883" s="53">
        <v>0</v>
      </c>
      <c r="O883" s="53">
        <v>0</v>
      </c>
      <c r="P883" s="53">
        <v>0</v>
      </c>
      <c r="Q883" s="53">
        <v>0</v>
      </c>
      <c r="R883" s="53">
        <v>0</v>
      </c>
      <c r="S883" s="53">
        <v>0</v>
      </c>
      <c r="T883" s="53">
        <v>0</v>
      </c>
      <c r="U883" s="53">
        <v>1100</v>
      </c>
      <c r="V883" s="53">
        <v>0</v>
      </c>
      <c r="W883" s="53">
        <v>0</v>
      </c>
      <c r="X883" s="53">
        <v>0</v>
      </c>
      <c r="Y883" s="53">
        <v>0</v>
      </c>
      <c r="Z883" s="53">
        <v>0</v>
      </c>
      <c r="AA883" s="53">
        <v>0</v>
      </c>
      <c r="AB883" s="53">
        <v>0</v>
      </c>
      <c r="AC883" s="53">
        <v>0</v>
      </c>
      <c r="AD883" s="53">
        <v>0</v>
      </c>
      <c r="AE883" s="53">
        <v>0</v>
      </c>
      <c r="AF883" s="53">
        <v>0</v>
      </c>
      <c r="AG883" s="53">
        <v>0</v>
      </c>
      <c r="AH883" s="53">
        <v>0</v>
      </c>
      <c r="AI883" s="53">
        <v>0</v>
      </c>
      <c r="AJ883" s="53">
        <v>0</v>
      </c>
      <c r="AK883" s="53">
        <v>0</v>
      </c>
      <c r="AL883" s="53">
        <v>0</v>
      </c>
      <c r="AM883" s="53" t="str">
        <f>I883-J883-K883-L883-M883-N883-O883-P883-Q883-R883-S883-T883-U883-V883-W883-X883-Y883-Z883-AA883-AB883-AC883-AD883-AE883-AF883-AG883+AH883-AI883+AJ883+AK883-AL883</f>
        <v>0</v>
      </c>
      <c r="AN883" s="53"/>
      <c r="AO883" s="27"/>
    </row>
    <row r="884" spans="1:41">
      <c r="A884" s="44">
        <v>856</v>
      </c>
      <c r="B884" s="46" t="s">
        <v>3458</v>
      </c>
      <c r="C884" s="48" t="s">
        <v>3459</v>
      </c>
      <c r="D884" s="51" t="s">
        <v>73</v>
      </c>
      <c r="E884" s="51" t="s">
        <v>3445</v>
      </c>
      <c r="F884" s="54" t="s">
        <v>3460</v>
      </c>
      <c r="G884" s="50">
        <v>3</v>
      </c>
      <c r="H884" s="51" t="s">
        <v>3461</v>
      </c>
      <c r="I884" s="53">
        <v>570500</v>
      </c>
      <c r="J884" s="53">
        <v>0</v>
      </c>
      <c r="K884" s="53">
        <v>22000</v>
      </c>
      <c r="L884" s="53">
        <v>0</v>
      </c>
      <c r="M884" s="53">
        <v>0</v>
      </c>
      <c r="N884" s="53">
        <v>0</v>
      </c>
      <c r="O884" s="53">
        <v>0</v>
      </c>
      <c r="P884" s="53">
        <v>0</v>
      </c>
      <c r="Q884" s="53">
        <v>0</v>
      </c>
      <c r="R884" s="53">
        <v>0</v>
      </c>
      <c r="S884" s="53">
        <v>0</v>
      </c>
      <c r="T884" s="53">
        <v>0</v>
      </c>
      <c r="U884" s="53">
        <v>1100</v>
      </c>
      <c r="V884" s="53">
        <v>0</v>
      </c>
      <c r="W884" s="53">
        <v>0</v>
      </c>
      <c r="X884" s="53">
        <v>0</v>
      </c>
      <c r="Y884" s="53">
        <v>0</v>
      </c>
      <c r="Z884" s="53">
        <v>0</v>
      </c>
      <c r="AA884" s="53">
        <v>0</v>
      </c>
      <c r="AB884" s="53">
        <v>0</v>
      </c>
      <c r="AC884" s="53">
        <v>0</v>
      </c>
      <c r="AD884" s="53">
        <v>0</v>
      </c>
      <c r="AE884" s="53">
        <v>0</v>
      </c>
      <c r="AF884" s="53">
        <v>0</v>
      </c>
      <c r="AG884" s="53">
        <v>0</v>
      </c>
      <c r="AH884" s="53">
        <v>0</v>
      </c>
      <c r="AI884" s="53">
        <v>0</v>
      </c>
      <c r="AJ884" s="53">
        <v>0</v>
      </c>
      <c r="AK884" s="53">
        <v>0</v>
      </c>
      <c r="AL884" s="53">
        <v>0</v>
      </c>
      <c r="AM884" s="53" t="str">
        <f>I884-J884-K884-L884-M884-N884-O884-P884-Q884-R884-S884-T884-U884-V884-W884-X884-Y884-Z884-AA884-AB884-AC884-AD884-AE884-AF884-AG884+AH884-AI884+AJ884+AK884-AL884</f>
        <v>0</v>
      </c>
      <c r="AN884" s="53"/>
      <c r="AO884" s="27"/>
    </row>
    <row r="885" spans="1:41">
      <c r="A885" s="44">
        <v>857</v>
      </c>
      <c r="B885" s="46" t="s">
        <v>3462</v>
      </c>
      <c r="C885" s="48" t="s">
        <v>3463</v>
      </c>
      <c r="D885" s="51" t="s">
        <v>73</v>
      </c>
      <c r="E885" s="51" t="s">
        <v>3445</v>
      </c>
      <c r="F885" s="54" t="s">
        <v>1768</v>
      </c>
      <c r="G885" s="50">
        <v>5</v>
      </c>
      <c r="H885" s="51" t="s">
        <v>3464</v>
      </c>
      <c r="I885" s="53">
        <v>754100</v>
      </c>
      <c r="J885" s="53">
        <v>0</v>
      </c>
      <c r="K885" s="53">
        <v>23000</v>
      </c>
      <c r="L885" s="53">
        <v>0</v>
      </c>
      <c r="M885" s="53">
        <v>0</v>
      </c>
      <c r="N885" s="53">
        <v>0</v>
      </c>
      <c r="O885" s="53">
        <v>0</v>
      </c>
      <c r="P885" s="53">
        <v>0</v>
      </c>
      <c r="Q885" s="53">
        <v>0</v>
      </c>
      <c r="R885" s="53">
        <v>0</v>
      </c>
      <c r="S885" s="53">
        <v>0</v>
      </c>
      <c r="T885" s="53">
        <v>0</v>
      </c>
      <c r="U885" s="53">
        <v>1150</v>
      </c>
      <c r="V885" s="53">
        <v>0</v>
      </c>
      <c r="W885" s="53">
        <v>0</v>
      </c>
      <c r="X885" s="53">
        <v>0</v>
      </c>
      <c r="Y885" s="53">
        <v>0</v>
      </c>
      <c r="Z885" s="53">
        <v>0</v>
      </c>
      <c r="AA885" s="53">
        <v>0</v>
      </c>
      <c r="AB885" s="53">
        <v>0</v>
      </c>
      <c r="AC885" s="53">
        <v>0</v>
      </c>
      <c r="AD885" s="53">
        <v>0</v>
      </c>
      <c r="AE885" s="53">
        <v>0</v>
      </c>
      <c r="AF885" s="53">
        <v>0</v>
      </c>
      <c r="AG885" s="53">
        <v>0</v>
      </c>
      <c r="AH885" s="53">
        <v>0</v>
      </c>
      <c r="AI885" s="53">
        <v>0</v>
      </c>
      <c r="AJ885" s="53">
        <v>0</v>
      </c>
      <c r="AK885" s="53">
        <v>0</v>
      </c>
      <c r="AL885" s="53">
        <v>0</v>
      </c>
      <c r="AM885" s="53" t="str">
        <f>I885-J885-K885-L885-M885-N885-O885-P885-Q885-R885-S885-T885-U885-V885-W885-X885-Y885-Z885-AA885-AB885-AC885-AD885-AE885-AF885-AG885+AH885-AI885+AJ885+AK885-AL885</f>
        <v>0</v>
      </c>
      <c r="AN885" s="53"/>
      <c r="AO885" s="27"/>
    </row>
    <row r="886" spans="1:41">
      <c r="A886" s="44">
        <v>858</v>
      </c>
      <c r="B886" s="46" t="s">
        <v>3465</v>
      </c>
      <c r="C886" s="48" t="s">
        <v>3466</v>
      </c>
      <c r="D886" s="51" t="s">
        <v>73</v>
      </c>
      <c r="E886" s="51" t="s">
        <v>3445</v>
      </c>
      <c r="F886" s="54" t="s">
        <v>3467</v>
      </c>
      <c r="G886" s="50">
        <v>2</v>
      </c>
      <c r="H886" s="51" t="s">
        <v>3468</v>
      </c>
      <c r="I886" s="53">
        <v>467000</v>
      </c>
      <c r="J886" s="53">
        <v>0</v>
      </c>
      <c r="K886" s="53">
        <v>22000</v>
      </c>
      <c r="L886" s="53">
        <v>0</v>
      </c>
      <c r="M886" s="53">
        <v>0</v>
      </c>
      <c r="N886" s="53">
        <v>0</v>
      </c>
      <c r="O886" s="53">
        <v>0</v>
      </c>
      <c r="P886" s="53">
        <v>0</v>
      </c>
      <c r="Q886" s="53">
        <v>0</v>
      </c>
      <c r="R886" s="53">
        <v>0</v>
      </c>
      <c r="S886" s="53">
        <v>0</v>
      </c>
      <c r="T886" s="53">
        <v>0</v>
      </c>
      <c r="U886" s="53">
        <v>1100</v>
      </c>
      <c r="V886" s="53">
        <v>0</v>
      </c>
      <c r="W886" s="53">
        <v>0</v>
      </c>
      <c r="X886" s="53">
        <v>0</v>
      </c>
      <c r="Y886" s="53">
        <v>0</v>
      </c>
      <c r="Z886" s="53">
        <v>0</v>
      </c>
      <c r="AA886" s="53">
        <v>0</v>
      </c>
      <c r="AB886" s="53">
        <v>0</v>
      </c>
      <c r="AC886" s="53">
        <v>0</v>
      </c>
      <c r="AD886" s="53">
        <v>0</v>
      </c>
      <c r="AE886" s="53">
        <v>0</v>
      </c>
      <c r="AF886" s="53">
        <v>0</v>
      </c>
      <c r="AG886" s="53">
        <v>0</v>
      </c>
      <c r="AH886" s="53">
        <v>0</v>
      </c>
      <c r="AI886" s="53">
        <v>0</v>
      </c>
      <c r="AJ886" s="53">
        <v>0</v>
      </c>
      <c r="AK886" s="53">
        <v>0</v>
      </c>
      <c r="AL886" s="53">
        <v>0</v>
      </c>
      <c r="AM886" s="53" t="str">
        <f>I886-J886-K886-L886-M886-N886-O886-P886-Q886-R886-S886-T886-U886-V886-W886-X886-Y886-Z886-AA886-AB886-AC886-AD886-AE886-AF886-AG886+AH886-AI886+AJ886+AK886-AL886</f>
        <v>0</v>
      </c>
      <c r="AN886" s="53"/>
      <c r="AO886" s="27"/>
    </row>
    <row r="887" spans="1:41">
      <c r="A887" s="44">
        <v>859</v>
      </c>
      <c r="B887" s="46" t="s">
        <v>3469</v>
      </c>
      <c r="C887" s="48" t="s">
        <v>3470</v>
      </c>
      <c r="D887" s="51" t="s">
        <v>73</v>
      </c>
      <c r="E887" s="51" t="s">
        <v>3445</v>
      </c>
      <c r="F887" s="54" t="s">
        <v>3176</v>
      </c>
      <c r="G887" s="50">
        <v>5</v>
      </c>
      <c r="H887" s="51" t="s">
        <v>3471</v>
      </c>
      <c r="I887" s="53">
        <v>926000</v>
      </c>
      <c r="J887" s="53">
        <v>0</v>
      </c>
      <c r="K887" s="53">
        <v>27000</v>
      </c>
      <c r="L887" s="53">
        <v>0</v>
      </c>
      <c r="M887" s="53">
        <v>0</v>
      </c>
      <c r="N887" s="53">
        <v>0</v>
      </c>
      <c r="O887" s="53">
        <v>0</v>
      </c>
      <c r="P887" s="53">
        <v>0</v>
      </c>
      <c r="Q887" s="53">
        <v>0</v>
      </c>
      <c r="R887" s="53">
        <v>0</v>
      </c>
      <c r="S887" s="53">
        <v>0</v>
      </c>
      <c r="T887" s="53">
        <v>0</v>
      </c>
      <c r="U887" s="53">
        <v>1350</v>
      </c>
      <c r="V887" s="53">
        <v>0</v>
      </c>
      <c r="W887" s="53">
        <v>0</v>
      </c>
      <c r="X887" s="53">
        <v>0</v>
      </c>
      <c r="Y887" s="53">
        <v>0</v>
      </c>
      <c r="Z887" s="53">
        <v>0</v>
      </c>
      <c r="AA887" s="53">
        <v>0</v>
      </c>
      <c r="AB887" s="53">
        <v>0</v>
      </c>
      <c r="AC887" s="53">
        <v>0</v>
      </c>
      <c r="AD887" s="53">
        <v>0</v>
      </c>
      <c r="AE887" s="53">
        <v>0</v>
      </c>
      <c r="AF887" s="53">
        <v>0</v>
      </c>
      <c r="AG887" s="53">
        <v>0</v>
      </c>
      <c r="AH887" s="53">
        <v>0</v>
      </c>
      <c r="AI887" s="53">
        <v>0</v>
      </c>
      <c r="AJ887" s="53">
        <v>0</v>
      </c>
      <c r="AK887" s="53">
        <v>0</v>
      </c>
      <c r="AL887" s="53">
        <v>0</v>
      </c>
      <c r="AM887" s="53" t="str">
        <f>I887-J887-K887-L887-M887-N887-O887-P887-Q887-R887-S887-T887-U887-V887-W887-X887-Y887-Z887-AA887-AB887-AC887-AD887-AE887-AF887-AG887+AH887-AI887+AJ887+AK887-AL887</f>
        <v>0</v>
      </c>
      <c r="AN887" s="53"/>
      <c r="AO887" s="27"/>
    </row>
    <row r="888" spans="1:41">
      <c r="A888" s="44">
        <v>860</v>
      </c>
      <c r="B888" s="46" t="s">
        <v>3472</v>
      </c>
      <c r="C888" s="48" t="s">
        <v>3473</v>
      </c>
      <c r="D888" s="51" t="s">
        <v>73</v>
      </c>
      <c r="E888" s="51" t="s">
        <v>3474</v>
      </c>
      <c r="F888" s="54" t="s">
        <v>2224</v>
      </c>
      <c r="G888" s="50">
        <v>5.8</v>
      </c>
      <c r="H888" s="51" t="s">
        <v>3475</v>
      </c>
      <c r="I888" s="53">
        <v>574100</v>
      </c>
      <c r="J888" s="53">
        <v>0</v>
      </c>
      <c r="K888" s="53">
        <v>24000</v>
      </c>
      <c r="L888" s="53">
        <v>0</v>
      </c>
      <c r="M888" s="53">
        <v>0</v>
      </c>
      <c r="N888" s="53">
        <v>0</v>
      </c>
      <c r="O888" s="53">
        <v>0</v>
      </c>
      <c r="P888" s="53">
        <v>0</v>
      </c>
      <c r="Q888" s="53">
        <v>0</v>
      </c>
      <c r="R888" s="53">
        <v>0</v>
      </c>
      <c r="S888" s="53">
        <v>0</v>
      </c>
      <c r="T888" s="53">
        <v>0</v>
      </c>
      <c r="U888" s="53">
        <v>1200</v>
      </c>
      <c r="V888" s="53">
        <v>0</v>
      </c>
      <c r="W888" s="53">
        <v>0</v>
      </c>
      <c r="X888" s="53">
        <v>0</v>
      </c>
      <c r="Y888" s="53">
        <v>0</v>
      </c>
      <c r="Z888" s="53">
        <v>0</v>
      </c>
      <c r="AA888" s="53">
        <v>0</v>
      </c>
      <c r="AB888" s="53">
        <v>0</v>
      </c>
      <c r="AC888" s="53">
        <v>0</v>
      </c>
      <c r="AD888" s="53">
        <v>0</v>
      </c>
      <c r="AE888" s="53">
        <v>0</v>
      </c>
      <c r="AF888" s="53">
        <v>0</v>
      </c>
      <c r="AG888" s="53">
        <v>0</v>
      </c>
      <c r="AH888" s="53">
        <v>0</v>
      </c>
      <c r="AI888" s="53">
        <v>0</v>
      </c>
      <c r="AJ888" s="53">
        <v>0</v>
      </c>
      <c r="AK888" s="53">
        <v>0</v>
      </c>
      <c r="AL888" s="53">
        <v>0</v>
      </c>
      <c r="AM888" s="53" t="str">
        <f>I888-J888-K888-L888-M888-N888-O888-P888-Q888-R888-S888-T888-U888-V888-W888-X888-Y888-Z888-AA888-AB888-AC888-AD888-AE888-AF888-AG888+AH888-AI888+AJ888+AK888-AL888</f>
        <v>0</v>
      </c>
      <c r="AN888" s="53"/>
      <c r="AO888" s="27"/>
    </row>
    <row r="889" spans="1:41">
      <c r="A889" s="44">
        <v>861</v>
      </c>
      <c r="B889" s="46" t="s">
        <v>3476</v>
      </c>
      <c r="C889" s="48" t="s">
        <v>3477</v>
      </c>
      <c r="D889" s="51" t="s">
        <v>73</v>
      </c>
      <c r="E889" s="51" t="s">
        <v>3478</v>
      </c>
      <c r="F889" s="54" t="s">
        <v>2629</v>
      </c>
      <c r="G889" s="50">
        <v>3</v>
      </c>
      <c r="H889" s="51" t="s">
        <v>3479</v>
      </c>
      <c r="I889" s="53">
        <v>560000</v>
      </c>
      <c r="J889" s="53">
        <v>0</v>
      </c>
      <c r="K889" s="53">
        <v>22000</v>
      </c>
      <c r="L889" s="53">
        <v>0</v>
      </c>
      <c r="M889" s="53">
        <v>0</v>
      </c>
      <c r="N889" s="53">
        <v>0</v>
      </c>
      <c r="O889" s="53">
        <v>0</v>
      </c>
      <c r="P889" s="53">
        <v>0</v>
      </c>
      <c r="Q889" s="53">
        <v>0</v>
      </c>
      <c r="R889" s="53">
        <v>0</v>
      </c>
      <c r="S889" s="53">
        <v>0</v>
      </c>
      <c r="T889" s="53">
        <v>0</v>
      </c>
      <c r="U889" s="53">
        <v>1100</v>
      </c>
      <c r="V889" s="53">
        <v>0</v>
      </c>
      <c r="W889" s="53">
        <v>0</v>
      </c>
      <c r="X889" s="53">
        <v>0</v>
      </c>
      <c r="Y889" s="53">
        <v>0</v>
      </c>
      <c r="Z889" s="53">
        <v>0</v>
      </c>
      <c r="AA889" s="53">
        <v>0</v>
      </c>
      <c r="AB889" s="53">
        <v>0</v>
      </c>
      <c r="AC889" s="53">
        <v>0</v>
      </c>
      <c r="AD889" s="53">
        <v>0</v>
      </c>
      <c r="AE889" s="53">
        <v>0</v>
      </c>
      <c r="AF889" s="53">
        <v>0</v>
      </c>
      <c r="AG889" s="53">
        <v>0</v>
      </c>
      <c r="AH889" s="53">
        <v>0</v>
      </c>
      <c r="AI889" s="53">
        <v>0</v>
      </c>
      <c r="AJ889" s="53">
        <v>0</v>
      </c>
      <c r="AK889" s="53">
        <v>0</v>
      </c>
      <c r="AL889" s="53">
        <v>0</v>
      </c>
      <c r="AM889" s="53" t="str">
        <f>I889-J889-K889-L889-M889-N889-O889-P889-Q889-R889-S889-T889-U889-V889-W889-X889-Y889-Z889-AA889-AB889-AC889-AD889-AE889-AF889-AG889+AH889-AI889+AJ889+AK889-AL889</f>
        <v>0</v>
      </c>
      <c r="AN889" s="53"/>
      <c r="AO889" s="27"/>
    </row>
    <row r="890" spans="1:41">
      <c r="A890" s="44">
        <v>862</v>
      </c>
      <c r="B890" s="46" t="s">
        <v>3480</v>
      </c>
      <c r="C890" s="48" t="s">
        <v>3481</v>
      </c>
      <c r="D890" s="51" t="s">
        <v>73</v>
      </c>
      <c r="E890" s="51" t="s">
        <v>3482</v>
      </c>
      <c r="F890" s="54" t="s">
        <v>2855</v>
      </c>
      <c r="G890" s="50">
        <v>5.8</v>
      </c>
      <c r="H890" s="51" t="s">
        <v>3483</v>
      </c>
      <c r="I890" s="53">
        <v>0</v>
      </c>
      <c r="J890" s="53">
        <v>0</v>
      </c>
      <c r="K890" s="53">
        <v>31000</v>
      </c>
      <c r="L890" s="53">
        <v>0</v>
      </c>
      <c r="M890" s="53">
        <v>0</v>
      </c>
      <c r="N890" s="53">
        <v>0</v>
      </c>
      <c r="O890" s="53">
        <v>0</v>
      </c>
      <c r="P890" s="53">
        <v>0</v>
      </c>
      <c r="Q890" s="53">
        <v>0</v>
      </c>
      <c r="R890" s="53">
        <v>0</v>
      </c>
      <c r="S890" s="53">
        <v>0</v>
      </c>
      <c r="T890" s="53">
        <v>0</v>
      </c>
      <c r="U890" s="53">
        <v>1550</v>
      </c>
      <c r="V890" s="53">
        <v>0</v>
      </c>
      <c r="W890" s="53">
        <v>0</v>
      </c>
      <c r="X890" s="53">
        <v>0</v>
      </c>
      <c r="Y890" s="53">
        <v>16275</v>
      </c>
      <c r="Z890" s="53">
        <v>0</v>
      </c>
      <c r="AA890" s="53">
        <v>0</v>
      </c>
      <c r="AB890" s="53">
        <v>0</v>
      </c>
      <c r="AC890" s="53">
        <v>0</v>
      </c>
      <c r="AD890" s="53">
        <v>0</v>
      </c>
      <c r="AE890" s="53">
        <v>0</v>
      </c>
      <c r="AF890" s="53">
        <v>0</v>
      </c>
      <c r="AG890" s="53">
        <v>0</v>
      </c>
      <c r="AH890" s="53">
        <v>0</v>
      </c>
      <c r="AI890" s="53">
        <v>0</v>
      </c>
      <c r="AJ890" s="53">
        <v>0</v>
      </c>
      <c r="AK890" s="53">
        <v>0</v>
      </c>
      <c r="AL890" s="53">
        <v>0</v>
      </c>
      <c r="AM890" s="53" t="str">
        <f>I890-J890-K890-L890-M890-N890-O890-P890-Q890-R890-S890-T890-U890-V890-W890-X890-Y890-Z890-AA890-AB890-AC890-AD890-AE890-AF890-AG890+AH890-AI890+AJ890+AK890-AL890</f>
        <v>0</v>
      </c>
      <c r="AN890" s="53"/>
      <c r="AO890" s="27"/>
    </row>
    <row r="891" spans="1:41">
      <c r="A891" s="44">
        <v>863</v>
      </c>
      <c r="B891" s="46" t="s">
        <v>3484</v>
      </c>
      <c r="C891" s="48" t="s">
        <v>3485</v>
      </c>
      <c r="D891" s="51" t="s">
        <v>73</v>
      </c>
      <c r="E891" s="51" t="s">
        <v>3482</v>
      </c>
      <c r="F891" s="54" t="s">
        <v>2492</v>
      </c>
      <c r="G891" s="50">
        <v>3</v>
      </c>
      <c r="H891" s="51" t="s">
        <v>3486</v>
      </c>
      <c r="I891" s="53">
        <v>250100</v>
      </c>
      <c r="J891" s="53">
        <v>0</v>
      </c>
      <c r="K891" s="53">
        <v>22000</v>
      </c>
      <c r="L891" s="53">
        <v>0</v>
      </c>
      <c r="M891" s="53">
        <v>0</v>
      </c>
      <c r="N891" s="53">
        <v>0</v>
      </c>
      <c r="O891" s="53">
        <v>0</v>
      </c>
      <c r="P891" s="53">
        <v>0</v>
      </c>
      <c r="Q891" s="53">
        <v>0</v>
      </c>
      <c r="R891" s="53">
        <v>0</v>
      </c>
      <c r="S891" s="53">
        <v>0</v>
      </c>
      <c r="T891" s="53">
        <v>0</v>
      </c>
      <c r="U891" s="53">
        <v>1100</v>
      </c>
      <c r="V891" s="53">
        <v>0</v>
      </c>
      <c r="W891" s="53">
        <v>0</v>
      </c>
      <c r="X891" s="53">
        <v>0</v>
      </c>
      <c r="Y891" s="53">
        <v>0</v>
      </c>
      <c r="Z891" s="53">
        <v>0</v>
      </c>
      <c r="AA891" s="53">
        <v>0</v>
      </c>
      <c r="AB891" s="53">
        <v>0</v>
      </c>
      <c r="AC891" s="53">
        <v>0</v>
      </c>
      <c r="AD891" s="53">
        <v>0</v>
      </c>
      <c r="AE891" s="53">
        <v>0</v>
      </c>
      <c r="AF891" s="53">
        <v>0</v>
      </c>
      <c r="AG891" s="53">
        <v>0</v>
      </c>
      <c r="AH891" s="53">
        <v>0</v>
      </c>
      <c r="AI891" s="53">
        <v>0</v>
      </c>
      <c r="AJ891" s="53">
        <v>0</v>
      </c>
      <c r="AK891" s="53">
        <v>0</v>
      </c>
      <c r="AL891" s="53">
        <v>0</v>
      </c>
      <c r="AM891" s="53" t="str">
        <f>I891-J891-K891-L891-M891-N891-O891-P891-Q891-R891-S891-T891-U891-V891-W891-X891-Y891-Z891-AA891-AB891-AC891-AD891-AE891-AF891-AG891+AH891-AI891+AJ891+AK891-AL891</f>
        <v>0</v>
      </c>
      <c r="AN891" s="53"/>
      <c r="AO891" s="27"/>
    </row>
    <row r="892" spans="1:41">
      <c r="A892" s="44">
        <v>864</v>
      </c>
      <c r="B892" s="46" t="s">
        <v>3487</v>
      </c>
      <c r="C892" s="48" t="s">
        <v>3488</v>
      </c>
      <c r="D892" s="51" t="s">
        <v>73</v>
      </c>
      <c r="E892" s="51" t="s">
        <v>3489</v>
      </c>
      <c r="F892" s="54" t="s">
        <v>3490</v>
      </c>
      <c r="G892" s="50">
        <v>3</v>
      </c>
      <c r="H892" s="51" t="s">
        <v>3491</v>
      </c>
      <c r="I892" s="53">
        <v>375000</v>
      </c>
      <c r="J892" s="53">
        <v>0</v>
      </c>
      <c r="K892" s="53">
        <v>22000</v>
      </c>
      <c r="L892" s="53">
        <v>0</v>
      </c>
      <c r="M892" s="53">
        <v>0</v>
      </c>
      <c r="N892" s="53">
        <v>0</v>
      </c>
      <c r="O892" s="53">
        <v>0</v>
      </c>
      <c r="P892" s="53">
        <v>0</v>
      </c>
      <c r="Q892" s="53">
        <v>0</v>
      </c>
      <c r="R892" s="53">
        <v>0</v>
      </c>
      <c r="S892" s="53">
        <v>0</v>
      </c>
      <c r="T892" s="53">
        <v>0</v>
      </c>
      <c r="U892" s="53">
        <v>1100</v>
      </c>
      <c r="V892" s="53">
        <v>0</v>
      </c>
      <c r="W892" s="53">
        <v>0</v>
      </c>
      <c r="X892" s="53">
        <v>0</v>
      </c>
      <c r="Y892" s="53">
        <v>0</v>
      </c>
      <c r="Z892" s="53">
        <v>0</v>
      </c>
      <c r="AA892" s="53">
        <v>0</v>
      </c>
      <c r="AB892" s="53">
        <v>0</v>
      </c>
      <c r="AC892" s="53">
        <v>0</v>
      </c>
      <c r="AD892" s="53">
        <v>0</v>
      </c>
      <c r="AE892" s="53">
        <v>0</v>
      </c>
      <c r="AF892" s="53">
        <v>0</v>
      </c>
      <c r="AG892" s="53">
        <v>0</v>
      </c>
      <c r="AH892" s="53">
        <v>0</v>
      </c>
      <c r="AI892" s="53">
        <v>0</v>
      </c>
      <c r="AJ892" s="53">
        <v>0</v>
      </c>
      <c r="AK892" s="53">
        <v>0</v>
      </c>
      <c r="AL892" s="53">
        <v>0</v>
      </c>
      <c r="AM892" s="53" t="str">
        <f>I892-J892-K892-L892-M892-N892-O892-P892-Q892-R892-S892-T892-U892-V892-W892-X892-Y892-Z892-AA892-AB892-AC892-AD892-AE892-AF892-AG892+AH892-AI892+AJ892+AK892-AL892</f>
        <v>0</v>
      </c>
      <c r="AN892" s="53"/>
      <c r="AO892" s="27"/>
    </row>
    <row r="893" spans="1:41">
      <c r="A893" s="44">
        <v>865</v>
      </c>
      <c r="B893" s="46" t="s">
        <v>3492</v>
      </c>
      <c r="C893" s="48" t="s">
        <v>3493</v>
      </c>
      <c r="D893" s="51" t="s">
        <v>73</v>
      </c>
      <c r="E893" s="51" t="s">
        <v>3494</v>
      </c>
      <c r="F893" s="54" t="s">
        <v>3495</v>
      </c>
      <c r="G893" s="50">
        <v>8</v>
      </c>
      <c r="H893" s="51" t="s">
        <v>3496</v>
      </c>
      <c r="I893" s="53">
        <v>0</v>
      </c>
      <c r="J893" s="53">
        <v>0</v>
      </c>
      <c r="K893" s="53">
        <v>26000</v>
      </c>
      <c r="L893" s="53">
        <v>0</v>
      </c>
      <c r="M893" s="53">
        <v>0</v>
      </c>
      <c r="N893" s="53">
        <v>0</v>
      </c>
      <c r="O893" s="53">
        <v>0</v>
      </c>
      <c r="P893" s="53">
        <v>0</v>
      </c>
      <c r="Q893" s="53">
        <v>0</v>
      </c>
      <c r="R893" s="53">
        <v>0</v>
      </c>
      <c r="S893" s="53">
        <v>0</v>
      </c>
      <c r="T893" s="53">
        <v>0</v>
      </c>
      <c r="U893" s="53">
        <v>1300</v>
      </c>
      <c r="V893" s="53">
        <v>0</v>
      </c>
      <c r="W893" s="53">
        <v>0</v>
      </c>
      <c r="X893" s="53">
        <v>0</v>
      </c>
      <c r="Y893" s="53">
        <v>5250</v>
      </c>
      <c r="Z893" s="53">
        <v>0</v>
      </c>
      <c r="AA893" s="53">
        <v>0</v>
      </c>
      <c r="AB893" s="53">
        <v>0</v>
      </c>
      <c r="AC893" s="53">
        <v>0</v>
      </c>
      <c r="AD893" s="53">
        <v>0</v>
      </c>
      <c r="AE893" s="53">
        <v>0</v>
      </c>
      <c r="AF893" s="53">
        <v>0</v>
      </c>
      <c r="AG893" s="53">
        <v>0</v>
      </c>
      <c r="AH893" s="53">
        <v>0</v>
      </c>
      <c r="AI893" s="53">
        <v>0</v>
      </c>
      <c r="AJ893" s="53">
        <v>0</v>
      </c>
      <c r="AK893" s="53">
        <v>0</v>
      </c>
      <c r="AL893" s="53">
        <v>0</v>
      </c>
      <c r="AM893" s="53" t="str">
        <f>I893-J893-K893-L893-M893-N893-O893-P893-Q893-R893-S893-T893-U893-V893-W893-X893-Y893-Z893-AA893-AB893-AC893-AD893-AE893-AF893-AG893+AH893-AI893+AJ893+AK893-AL893</f>
        <v>0</v>
      </c>
      <c r="AN893" s="53"/>
      <c r="AO893" s="27"/>
    </row>
    <row r="894" spans="1:41">
      <c r="A894" s="44">
        <v>866</v>
      </c>
      <c r="B894" s="46" t="s">
        <v>3497</v>
      </c>
      <c r="C894" s="48" t="s">
        <v>3498</v>
      </c>
      <c r="D894" s="51" t="s">
        <v>73</v>
      </c>
      <c r="E894" s="51" t="s">
        <v>3499</v>
      </c>
      <c r="F894" s="54" t="s">
        <v>3500</v>
      </c>
      <c r="G894" s="50">
        <v>2</v>
      </c>
      <c r="H894" s="51" t="s">
        <v>3501</v>
      </c>
      <c r="I894" s="53">
        <v>484100</v>
      </c>
      <c r="J894" s="53">
        <v>0</v>
      </c>
      <c r="K894" s="53">
        <v>22000</v>
      </c>
      <c r="L894" s="53">
        <v>0</v>
      </c>
      <c r="M894" s="53">
        <v>0</v>
      </c>
      <c r="N894" s="53">
        <v>0</v>
      </c>
      <c r="O894" s="53">
        <v>0</v>
      </c>
      <c r="P894" s="53">
        <v>0</v>
      </c>
      <c r="Q894" s="53">
        <v>0</v>
      </c>
      <c r="R894" s="53">
        <v>0</v>
      </c>
      <c r="S894" s="53">
        <v>0</v>
      </c>
      <c r="T894" s="53">
        <v>0</v>
      </c>
      <c r="U894" s="53">
        <v>1100</v>
      </c>
      <c r="V894" s="53">
        <v>0</v>
      </c>
      <c r="W894" s="53">
        <v>0</v>
      </c>
      <c r="X894" s="53">
        <v>0</v>
      </c>
      <c r="Y894" s="53">
        <v>0</v>
      </c>
      <c r="Z894" s="53">
        <v>0</v>
      </c>
      <c r="AA894" s="53">
        <v>0</v>
      </c>
      <c r="AB894" s="53">
        <v>0</v>
      </c>
      <c r="AC894" s="53">
        <v>0</v>
      </c>
      <c r="AD894" s="53">
        <v>0</v>
      </c>
      <c r="AE894" s="53">
        <v>0</v>
      </c>
      <c r="AF894" s="53">
        <v>0</v>
      </c>
      <c r="AG894" s="53">
        <v>0</v>
      </c>
      <c r="AH894" s="53">
        <v>0</v>
      </c>
      <c r="AI894" s="53">
        <v>0</v>
      </c>
      <c r="AJ894" s="53">
        <v>0</v>
      </c>
      <c r="AK894" s="53">
        <v>0</v>
      </c>
      <c r="AL894" s="53">
        <v>0</v>
      </c>
      <c r="AM894" s="53" t="str">
        <f>I894-J894-K894-L894-M894-N894-O894-P894-Q894-R894-S894-T894-U894-V894-W894-X894-Y894-Z894-AA894-AB894-AC894-AD894-AE894-AF894-AG894+AH894-AI894+AJ894+AK894-AL894</f>
        <v>0</v>
      </c>
      <c r="AN894" s="53"/>
      <c r="AO894" s="27"/>
    </row>
    <row r="895" spans="1:41">
      <c r="A895" s="44">
        <v>867</v>
      </c>
      <c r="B895" s="46" t="s">
        <v>3502</v>
      </c>
      <c r="C895" s="48" t="s">
        <v>3503</v>
      </c>
      <c r="D895" s="51" t="s">
        <v>73</v>
      </c>
      <c r="E895" s="51" t="s">
        <v>3499</v>
      </c>
      <c r="F895" s="54" t="s">
        <v>3504</v>
      </c>
      <c r="G895" s="50">
        <v>2</v>
      </c>
      <c r="H895" s="51" t="s">
        <v>3505</v>
      </c>
      <c r="I895" s="53">
        <v>304100</v>
      </c>
      <c r="J895" s="53">
        <v>0</v>
      </c>
      <c r="K895" s="53">
        <v>22000</v>
      </c>
      <c r="L895" s="53">
        <v>0</v>
      </c>
      <c r="M895" s="53">
        <v>0</v>
      </c>
      <c r="N895" s="53">
        <v>0</v>
      </c>
      <c r="O895" s="53">
        <v>0</v>
      </c>
      <c r="P895" s="53">
        <v>0</v>
      </c>
      <c r="Q895" s="53">
        <v>0</v>
      </c>
      <c r="R895" s="53">
        <v>0</v>
      </c>
      <c r="S895" s="53">
        <v>0</v>
      </c>
      <c r="T895" s="53">
        <v>0</v>
      </c>
      <c r="U895" s="53">
        <v>1100</v>
      </c>
      <c r="V895" s="53">
        <v>0</v>
      </c>
      <c r="W895" s="53">
        <v>0</v>
      </c>
      <c r="X895" s="53">
        <v>0</v>
      </c>
      <c r="Y895" s="53">
        <v>0</v>
      </c>
      <c r="Z895" s="53">
        <v>0</v>
      </c>
      <c r="AA895" s="53">
        <v>0</v>
      </c>
      <c r="AB895" s="53">
        <v>0</v>
      </c>
      <c r="AC895" s="53">
        <v>0</v>
      </c>
      <c r="AD895" s="53">
        <v>0</v>
      </c>
      <c r="AE895" s="53">
        <v>0</v>
      </c>
      <c r="AF895" s="53">
        <v>0</v>
      </c>
      <c r="AG895" s="53">
        <v>0</v>
      </c>
      <c r="AH895" s="53">
        <v>0</v>
      </c>
      <c r="AI895" s="53">
        <v>0</v>
      </c>
      <c r="AJ895" s="53">
        <v>0</v>
      </c>
      <c r="AK895" s="53">
        <v>0</v>
      </c>
      <c r="AL895" s="53">
        <v>0</v>
      </c>
      <c r="AM895" s="53" t="str">
        <f>I895-J895-K895-L895-M895-N895-O895-P895-Q895-R895-S895-T895-U895-V895-W895-X895-Y895-Z895-AA895-AB895-AC895-AD895-AE895-AF895-AG895+AH895-AI895+AJ895+AK895-AL895</f>
        <v>0</v>
      </c>
      <c r="AN895" s="53"/>
      <c r="AO895" s="27"/>
    </row>
    <row r="896" spans="1:41">
      <c r="A896" s="44">
        <v>868</v>
      </c>
      <c r="B896" s="46" t="s">
        <v>3506</v>
      </c>
      <c r="C896" s="48" t="s">
        <v>3507</v>
      </c>
      <c r="D896" s="51" t="s">
        <v>73</v>
      </c>
      <c r="E896" s="51" t="s">
        <v>3499</v>
      </c>
      <c r="F896" s="54" t="s">
        <v>3508</v>
      </c>
      <c r="G896" s="50">
        <v>3.3</v>
      </c>
      <c r="H896" s="51" t="s">
        <v>3509</v>
      </c>
      <c r="I896" s="53">
        <v>513000</v>
      </c>
      <c r="J896" s="53">
        <v>0</v>
      </c>
      <c r="K896" s="53">
        <v>25000</v>
      </c>
      <c r="L896" s="53">
        <v>0</v>
      </c>
      <c r="M896" s="53">
        <v>0</v>
      </c>
      <c r="N896" s="53">
        <v>0</v>
      </c>
      <c r="O896" s="53">
        <v>0</v>
      </c>
      <c r="P896" s="53">
        <v>0</v>
      </c>
      <c r="Q896" s="53">
        <v>0</v>
      </c>
      <c r="R896" s="53">
        <v>0</v>
      </c>
      <c r="S896" s="53">
        <v>0</v>
      </c>
      <c r="T896" s="53">
        <v>0</v>
      </c>
      <c r="U896" s="53">
        <v>1250</v>
      </c>
      <c r="V896" s="53">
        <v>0</v>
      </c>
      <c r="W896" s="53">
        <v>0</v>
      </c>
      <c r="X896" s="53">
        <v>0</v>
      </c>
      <c r="Y896" s="53">
        <v>0</v>
      </c>
      <c r="Z896" s="53">
        <v>0</v>
      </c>
      <c r="AA896" s="53">
        <v>0</v>
      </c>
      <c r="AB896" s="53">
        <v>0</v>
      </c>
      <c r="AC896" s="53">
        <v>0</v>
      </c>
      <c r="AD896" s="53">
        <v>0</v>
      </c>
      <c r="AE896" s="53">
        <v>0</v>
      </c>
      <c r="AF896" s="53">
        <v>0</v>
      </c>
      <c r="AG896" s="53">
        <v>0</v>
      </c>
      <c r="AH896" s="53">
        <v>0</v>
      </c>
      <c r="AI896" s="53">
        <v>0</v>
      </c>
      <c r="AJ896" s="53">
        <v>0</v>
      </c>
      <c r="AK896" s="53">
        <v>0</v>
      </c>
      <c r="AL896" s="53">
        <v>0</v>
      </c>
      <c r="AM896" s="53" t="str">
        <f>I896-J896-K896-L896-M896-N896-O896-P896-Q896-R896-S896-T896-U896-V896-W896-X896-Y896-Z896-AA896-AB896-AC896-AD896-AE896-AF896-AG896+AH896-AI896+AJ896+AK896-AL896</f>
        <v>0</v>
      </c>
      <c r="AN896" s="53"/>
      <c r="AO896" s="27"/>
    </row>
    <row r="897" spans="1:41">
      <c r="A897" s="44">
        <v>869</v>
      </c>
      <c r="B897" s="46" t="s">
        <v>3510</v>
      </c>
      <c r="C897" s="48" t="s">
        <v>3511</v>
      </c>
      <c r="D897" s="51" t="s">
        <v>73</v>
      </c>
      <c r="E897" s="51" t="s">
        <v>3499</v>
      </c>
      <c r="F897" s="54" t="s">
        <v>3512</v>
      </c>
      <c r="G897" s="50">
        <v>2</v>
      </c>
      <c r="H897" s="51" t="s">
        <v>3513</v>
      </c>
      <c r="I897" s="53">
        <v>512100</v>
      </c>
      <c r="J897" s="53">
        <v>0</v>
      </c>
      <c r="K897" s="53">
        <v>22000</v>
      </c>
      <c r="L897" s="53">
        <v>0</v>
      </c>
      <c r="M897" s="53">
        <v>0</v>
      </c>
      <c r="N897" s="53">
        <v>0</v>
      </c>
      <c r="O897" s="53">
        <v>0</v>
      </c>
      <c r="P897" s="53">
        <v>0</v>
      </c>
      <c r="Q897" s="53">
        <v>0</v>
      </c>
      <c r="R897" s="53">
        <v>0</v>
      </c>
      <c r="S897" s="53">
        <v>0</v>
      </c>
      <c r="T897" s="53">
        <v>0</v>
      </c>
      <c r="U897" s="53">
        <v>1100</v>
      </c>
      <c r="V897" s="53">
        <v>0</v>
      </c>
      <c r="W897" s="53">
        <v>0</v>
      </c>
      <c r="X897" s="53">
        <v>0</v>
      </c>
      <c r="Y897" s="53">
        <v>0</v>
      </c>
      <c r="Z897" s="53">
        <v>0</v>
      </c>
      <c r="AA897" s="53">
        <v>0</v>
      </c>
      <c r="AB897" s="53">
        <v>0</v>
      </c>
      <c r="AC897" s="53">
        <v>0</v>
      </c>
      <c r="AD897" s="53">
        <v>0</v>
      </c>
      <c r="AE897" s="53">
        <v>0</v>
      </c>
      <c r="AF897" s="53">
        <v>0</v>
      </c>
      <c r="AG897" s="53">
        <v>0</v>
      </c>
      <c r="AH897" s="53">
        <v>0</v>
      </c>
      <c r="AI897" s="53">
        <v>0</v>
      </c>
      <c r="AJ897" s="53">
        <v>0</v>
      </c>
      <c r="AK897" s="53">
        <v>0</v>
      </c>
      <c r="AL897" s="53">
        <v>0</v>
      </c>
      <c r="AM897" s="53" t="str">
        <f>I897-J897-K897-L897-M897-N897-O897-P897-Q897-R897-S897-T897-U897-V897-W897-X897-Y897-Z897-AA897-AB897-AC897-AD897-AE897-AF897-AG897+AH897-AI897+AJ897+AK897-AL897</f>
        <v>0</v>
      </c>
      <c r="AN897" s="53"/>
      <c r="AO897" s="27"/>
    </row>
    <row r="898" spans="1:41">
      <c r="A898" s="44">
        <v>870</v>
      </c>
      <c r="B898" s="46" t="s">
        <v>3514</v>
      </c>
      <c r="C898" s="48" t="s">
        <v>3515</v>
      </c>
      <c r="D898" s="51" t="s">
        <v>73</v>
      </c>
      <c r="E898" s="51" t="s">
        <v>3499</v>
      </c>
      <c r="F898" s="54" t="s">
        <v>3516</v>
      </c>
      <c r="G898" s="50">
        <v>2</v>
      </c>
      <c r="H898" s="51" t="s">
        <v>3517</v>
      </c>
      <c r="I898" s="53">
        <v>498500</v>
      </c>
      <c r="J898" s="53">
        <v>0</v>
      </c>
      <c r="K898" s="53">
        <v>22000</v>
      </c>
      <c r="L898" s="53">
        <v>0</v>
      </c>
      <c r="M898" s="53">
        <v>0</v>
      </c>
      <c r="N898" s="53">
        <v>0</v>
      </c>
      <c r="O898" s="53">
        <v>0</v>
      </c>
      <c r="P898" s="53">
        <v>0</v>
      </c>
      <c r="Q898" s="53">
        <v>0</v>
      </c>
      <c r="R898" s="53">
        <v>0</v>
      </c>
      <c r="S898" s="53">
        <v>0</v>
      </c>
      <c r="T898" s="53">
        <v>0</v>
      </c>
      <c r="U898" s="53">
        <v>1100</v>
      </c>
      <c r="V898" s="53">
        <v>0</v>
      </c>
      <c r="W898" s="53">
        <v>0</v>
      </c>
      <c r="X898" s="53">
        <v>0</v>
      </c>
      <c r="Y898" s="53">
        <v>0</v>
      </c>
      <c r="Z898" s="53">
        <v>0</v>
      </c>
      <c r="AA898" s="53">
        <v>0</v>
      </c>
      <c r="AB898" s="53">
        <v>0</v>
      </c>
      <c r="AC898" s="53">
        <v>0</v>
      </c>
      <c r="AD898" s="53">
        <v>0</v>
      </c>
      <c r="AE898" s="53">
        <v>0</v>
      </c>
      <c r="AF898" s="53">
        <v>0</v>
      </c>
      <c r="AG898" s="53">
        <v>0</v>
      </c>
      <c r="AH898" s="53">
        <v>0</v>
      </c>
      <c r="AI898" s="53">
        <v>0</v>
      </c>
      <c r="AJ898" s="53">
        <v>0</v>
      </c>
      <c r="AK898" s="53">
        <v>0</v>
      </c>
      <c r="AL898" s="53">
        <v>0</v>
      </c>
      <c r="AM898" s="53" t="str">
        <f>I898-J898-K898-L898-M898-N898-O898-P898-Q898-R898-S898-T898-U898-V898-W898-X898-Y898-Z898-AA898-AB898-AC898-AD898-AE898-AF898-AG898+AH898-AI898+AJ898+AK898-AL898</f>
        <v>0</v>
      </c>
      <c r="AN898" s="53"/>
      <c r="AO898" s="27"/>
    </row>
    <row r="899" spans="1:41">
      <c r="A899" s="44">
        <v>871</v>
      </c>
      <c r="B899" s="46" t="s">
        <v>3518</v>
      </c>
      <c r="C899" s="48" t="s">
        <v>3519</v>
      </c>
      <c r="D899" s="51" t="s">
        <v>73</v>
      </c>
      <c r="E899" s="51" t="s">
        <v>3499</v>
      </c>
      <c r="F899" s="54" t="s">
        <v>912</v>
      </c>
      <c r="G899" s="50">
        <v>3</v>
      </c>
      <c r="H899" s="51" t="s">
        <v>3520</v>
      </c>
      <c r="I899" s="53">
        <v>0</v>
      </c>
      <c r="J899" s="53">
        <v>0</v>
      </c>
      <c r="K899" s="53">
        <v>22000</v>
      </c>
      <c r="L899" s="53">
        <v>0</v>
      </c>
      <c r="M899" s="53">
        <v>0</v>
      </c>
      <c r="N899" s="53">
        <v>0</v>
      </c>
      <c r="O899" s="53">
        <v>0</v>
      </c>
      <c r="P899" s="53">
        <v>0</v>
      </c>
      <c r="Q899" s="53">
        <v>0</v>
      </c>
      <c r="R899" s="53">
        <v>0</v>
      </c>
      <c r="S899" s="53">
        <v>0</v>
      </c>
      <c r="T899" s="53">
        <v>0</v>
      </c>
      <c r="U899" s="53">
        <v>1100</v>
      </c>
      <c r="V899" s="53">
        <v>0</v>
      </c>
      <c r="W899" s="53">
        <v>0</v>
      </c>
      <c r="X899" s="53">
        <v>0</v>
      </c>
      <c r="Y899" s="53">
        <v>0</v>
      </c>
      <c r="Z899" s="53">
        <v>0</v>
      </c>
      <c r="AA899" s="53">
        <v>0</v>
      </c>
      <c r="AB899" s="53">
        <v>0</v>
      </c>
      <c r="AC899" s="53">
        <v>0</v>
      </c>
      <c r="AD899" s="53">
        <v>0</v>
      </c>
      <c r="AE899" s="53">
        <v>0</v>
      </c>
      <c r="AF899" s="53">
        <v>0</v>
      </c>
      <c r="AG899" s="53">
        <v>0</v>
      </c>
      <c r="AH899" s="53">
        <v>0</v>
      </c>
      <c r="AI899" s="53">
        <v>0</v>
      </c>
      <c r="AJ899" s="53">
        <v>0</v>
      </c>
      <c r="AK899" s="53">
        <v>0</v>
      </c>
      <c r="AL899" s="53">
        <v>0</v>
      </c>
      <c r="AM899" s="53" t="str">
        <f>I899-J899-K899-L899-M899-N899-O899-P899-Q899-R899-S899-T899-U899-V899-W899-X899-Y899-Z899-AA899-AB899-AC899-AD899-AE899-AF899-AG899+AH899-AI899+AJ899+AK899-AL899</f>
        <v>0</v>
      </c>
      <c r="AN899" s="53"/>
      <c r="AO899" s="27"/>
    </row>
    <row r="900" spans="1:41">
      <c r="A900" s="44">
        <v>872</v>
      </c>
      <c r="B900" s="46" t="s">
        <v>3521</v>
      </c>
      <c r="C900" s="48" t="s">
        <v>3522</v>
      </c>
      <c r="D900" s="51" t="s">
        <v>73</v>
      </c>
      <c r="E900" s="51" t="s">
        <v>3499</v>
      </c>
      <c r="F900" s="54" t="s">
        <v>2969</v>
      </c>
      <c r="G900" s="50">
        <v>2</v>
      </c>
      <c r="H900" s="51" t="s">
        <v>3523</v>
      </c>
      <c r="I900" s="53">
        <v>557100</v>
      </c>
      <c r="J900" s="53">
        <v>0</v>
      </c>
      <c r="K900" s="53">
        <v>22000</v>
      </c>
      <c r="L900" s="53">
        <v>0</v>
      </c>
      <c r="M900" s="53">
        <v>0</v>
      </c>
      <c r="N900" s="53">
        <v>0</v>
      </c>
      <c r="O900" s="53">
        <v>0</v>
      </c>
      <c r="P900" s="53">
        <v>0</v>
      </c>
      <c r="Q900" s="53">
        <v>0</v>
      </c>
      <c r="R900" s="53">
        <v>0</v>
      </c>
      <c r="S900" s="53">
        <v>0</v>
      </c>
      <c r="T900" s="53">
        <v>0</v>
      </c>
      <c r="U900" s="53">
        <v>1100</v>
      </c>
      <c r="V900" s="53">
        <v>0</v>
      </c>
      <c r="W900" s="53">
        <v>0</v>
      </c>
      <c r="X900" s="53">
        <v>0</v>
      </c>
      <c r="Y900" s="53">
        <v>0</v>
      </c>
      <c r="Z900" s="53">
        <v>0</v>
      </c>
      <c r="AA900" s="53">
        <v>0</v>
      </c>
      <c r="AB900" s="53">
        <v>0</v>
      </c>
      <c r="AC900" s="53">
        <v>0</v>
      </c>
      <c r="AD900" s="53">
        <v>0</v>
      </c>
      <c r="AE900" s="53">
        <v>0</v>
      </c>
      <c r="AF900" s="53">
        <v>0</v>
      </c>
      <c r="AG900" s="53">
        <v>0</v>
      </c>
      <c r="AH900" s="53">
        <v>0</v>
      </c>
      <c r="AI900" s="53">
        <v>0</v>
      </c>
      <c r="AJ900" s="53">
        <v>0</v>
      </c>
      <c r="AK900" s="53">
        <v>0</v>
      </c>
      <c r="AL900" s="53">
        <v>0</v>
      </c>
      <c r="AM900" s="53" t="str">
        <f>I900-J900-K900-L900-M900-N900-O900-P900-Q900-R900-S900-T900-U900-V900-W900-X900-Y900-Z900-AA900-AB900-AC900-AD900-AE900-AF900-AG900+AH900-AI900+AJ900+AK900-AL900</f>
        <v>0</v>
      </c>
      <c r="AN900" s="53"/>
      <c r="AO900" s="27"/>
    </row>
    <row r="901" spans="1:41">
      <c r="A901" s="44">
        <v>873</v>
      </c>
      <c r="B901" s="46" t="s">
        <v>3524</v>
      </c>
      <c r="C901" s="48" t="s">
        <v>3525</v>
      </c>
      <c r="D901" s="51" t="s">
        <v>73</v>
      </c>
      <c r="E901" s="51" t="s">
        <v>3499</v>
      </c>
      <c r="F901" s="54" t="s">
        <v>2562</v>
      </c>
      <c r="G901" s="50">
        <v>8</v>
      </c>
      <c r="H901" s="51" t="s">
        <v>3526</v>
      </c>
      <c r="I901" s="53">
        <v>1440000</v>
      </c>
      <c r="J901" s="53">
        <v>0</v>
      </c>
      <c r="K901" s="53">
        <v>39000</v>
      </c>
      <c r="L901" s="53">
        <v>0</v>
      </c>
      <c r="M901" s="53">
        <v>0</v>
      </c>
      <c r="N901" s="53">
        <v>0</v>
      </c>
      <c r="O901" s="53">
        <v>0</v>
      </c>
      <c r="P901" s="53">
        <v>0</v>
      </c>
      <c r="Q901" s="53">
        <v>0</v>
      </c>
      <c r="R901" s="53">
        <v>0</v>
      </c>
      <c r="S901" s="53">
        <v>0</v>
      </c>
      <c r="T901" s="53">
        <v>0</v>
      </c>
      <c r="U901" s="53">
        <v>1950</v>
      </c>
      <c r="V901" s="53">
        <v>0</v>
      </c>
      <c r="W901" s="53">
        <v>0</v>
      </c>
      <c r="X901" s="53">
        <v>0</v>
      </c>
      <c r="Y901" s="53">
        <v>0</v>
      </c>
      <c r="Z901" s="53">
        <v>0</v>
      </c>
      <c r="AA901" s="53">
        <v>0</v>
      </c>
      <c r="AB901" s="53">
        <v>0</v>
      </c>
      <c r="AC901" s="53">
        <v>0</v>
      </c>
      <c r="AD901" s="53">
        <v>0</v>
      </c>
      <c r="AE901" s="53">
        <v>0</v>
      </c>
      <c r="AF901" s="53">
        <v>0</v>
      </c>
      <c r="AG901" s="53">
        <v>0</v>
      </c>
      <c r="AH901" s="53">
        <v>0</v>
      </c>
      <c r="AI901" s="53">
        <v>0</v>
      </c>
      <c r="AJ901" s="53">
        <v>0</v>
      </c>
      <c r="AK901" s="53">
        <v>0</v>
      </c>
      <c r="AL901" s="53">
        <v>0</v>
      </c>
      <c r="AM901" s="53" t="str">
        <f>I901-J901-K901-L901-M901-N901-O901-P901-Q901-R901-S901-T901-U901-V901-W901-X901-Y901-Z901-AA901-AB901-AC901-AD901-AE901-AF901-AG901+AH901-AI901+AJ901+AK901-AL901</f>
        <v>0</v>
      </c>
      <c r="AN901" s="53"/>
      <c r="AO901" s="27"/>
    </row>
    <row r="902" spans="1:41">
      <c r="A902" s="44">
        <v>874</v>
      </c>
      <c r="B902" s="46" t="s">
        <v>3527</v>
      </c>
      <c r="C902" s="48" t="s">
        <v>3528</v>
      </c>
      <c r="D902" s="51" t="s">
        <v>73</v>
      </c>
      <c r="E902" s="51" t="s">
        <v>923</v>
      </c>
      <c r="F902" s="54" t="s">
        <v>3529</v>
      </c>
      <c r="G902" s="50">
        <v>3</v>
      </c>
      <c r="H902" s="51" t="s">
        <v>3530</v>
      </c>
      <c r="I902" s="53">
        <v>241100</v>
      </c>
      <c r="J902" s="53">
        <v>0</v>
      </c>
      <c r="K902" s="53">
        <v>22000</v>
      </c>
      <c r="L902" s="53">
        <v>0</v>
      </c>
      <c r="M902" s="53">
        <v>0</v>
      </c>
      <c r="N902" s="53">
        <v>0</v>
      </c>
      <c r="O902" s="53">
        <v>0</v>
      </c>
      <c r="P902" s="53">
        <v>0</v>
      </c>
      <c r="Q902" s="53">
        <v>0</v>
      </c>
      <c r="R902" s="53">
        <v>0</v>
      </c>
      <c r="S902" s="53">
        <v>0</v>
      </c>
      <c r="T902" s="53">
        <v>0</v>
      </c>
      <c r="U902" s="53">
        <v>1100</v>
      </c>
      <c r="V902" s="53">
        <v>0</v>
      </c>
      <c r="W902" s="53">
        <v>0</v>
      </c>
      <c r="X902" s="53">
        <v>0</v>
      </c>
      <c r="Y902" s="53">
        <v>0</v>
      </c>
      <c r="Z902" s="53">
        <v>0</v>
      </c>
      <c r="AA902" s="53">
        <v>0</v>
      </c>
      <c r="AB902" s="53">
        <v>0</v>
      </c>
      <c r="AC902" s="53">
        <v>0</v>
      </c>
      <c r="AD902" s="53">
        <v>0</v>
      </c>
      <c r="AE902" s="53">
        <v>0</v>
      </c>
      <c r="AF902" s="53">
        <v>0</v>
      </c>
      <c r="AG902" s="53">
        <v>0</v>
      </c>
      <c r="AH902" s="53">
        <v>0</v>
      </c>
      <c r="AI902" s="53">
        <v>0</v>
      </c>
      <c r="AJ902" s="53">
        <v>0</v>
      </c>
      <c r="AK902" s="53">
        <v>0</v>
      </c>
      <c r="AL902" s="53">
        <v>0</v>
      </c>
      <c r="AM902" s="53" t="str">
        <f>I902-J902-K902-L902-M902-N902-O902-P902-Q902-R902-S902-T902-U902-V902-W902-X902-Y902-Z902-AA902-AB902-AC902-AD902-AE902-AF902-AG902+AH902-AI902+AJ902+AK902-AL902</f>
        <v>0</v>
      </c>
      <c r="AN902" s="53"/>
      <c r="AO902" s="27"/>
    </row>
    <row r="903" spans="1:41">
      <c r="A903" s="44">
        <v>875</v>
      </c>
      <c r="B903" s="46" t="s">
        <v>3531</v>
      </c>
      <c r="C903" s="48" t="s">
        <v>3532</v>
      </c>
      <c r="D903" s="51" t="s">
        <v>73</v>
      </c>
      <c r="E903" s="51" t="s">
        <v>923</v>
      </c>
      <c r="F903" s="54" t="s">
        <v>3533</v>
      </c>
      <c r="G903" s="50">
        <v>3</v>
      </c>
      <c r="H903" s="51" t="s">
        <v>3534</v>
      </c>
      <c r="I903" s="53">
        <v>394100</v>
      </c>
      <c r="J903" s="53">
        <v>0</v>
      </c>
      <c r="K903" s="53">
        <v>22000</v>
      </c>
      <c r="L903" s="53">
        <v>0</v>
      </c>
      <c r="M903" s="53">
        <v>0</v>
      </c>
      <c r="N903" s="53">
        <v>0</v>
      </c>
      <c r="O903" s="53">
        <v>0</v>
      </c>
      <c r="P903" s="53">
        <v>0</v>
      </c>
      <c r="Q903" s="53">
        <v>0</v>
      </c>
      <c r="R903" s="53">
        <v>0</v>
      </c>
      <c r="S903" s="53">
        <v>0</v>
      </c>
      <c r="T903" s="53">
        <v>0</v>
      </c>
      <c r="U903" s="53">
        <v>1100</v>
      </c>
      <c r="V903" s="53">
        <v>0</v>
      </c>
      <c r="W903" s="53">
        <v>0</v>
      </c>
      <c r="X903" s="53">
        <v>0</v>
      </c>
      <c r="Y903" s="53">
        <v>0</v>
      </c>
      <c r="Z903" s="53">
        <v>0</v>
      </c>
      <c r="AA903" s="53">
        <v>0</v>
      </c>
      <c r="AB903" s="53">
        <v>0</v>
      </c>
      <c r="AC903" s="53">
        <v>0</v>
      </c>
      <c r="AD903" s="53">
        <v>0</v>
      </c>
      <c r="AE903" s="53">
        <v>0</v>
      </c>
      <c r="AF903" s="53">
        <v>0</v>
      </c>
      <c r="AG903" s="53">
        <v>0</v>
      </c>
      <c r="AH903" s="53">
        <v>0</v>
      </c>
      <c r="AI903" s="53">
        <v>0</v>
      </c>
      <c r="AJ903" s="53">
        <v>0</v>
      </c>
      <c r="AK903" s="53">
        <v>0</v>
      </c>
      <c r="AL903" s="53">
        <v>0</v>
      </c>
      <c r="AM903" s="53" t="str">
        <f>I903-J903-K903-L903-M903-N903-O903-P903-Q903-R903-S903-T903-U903-V903-W903-X903-Y903-Z903-AA903-AB903-AC903-AD903-AE903-AF903-AG903+AH903-AI903+AJ903+AK903-AL903</f>
        <v>0</v>
      </c>
      <c r="AN903" s="53"/>
      <c r="AO903" s="27"/>
    </row>
    <row r="904" spans="1:41">
      <c r="A904" s="44">
        <v>876</v>
      </c>
      <c r="B904" s="46" t="s">
        <v>3535</v>
      </c>
      <c r="C904" s="48" t="s">
        <v>3536</v>
      </c>
      <c r="D904" s="51" t="s">
        <v>73</v>
      </c>
      <c r="E904" s="51" t="s">
        <v>923</v>
      </c>
      <c r="F904" s="54" t="s">
        <v>3537</v>
      </c>
      <c r="G904" s="50">
        <v>3</v>
      </c>
      <c r="H904" s="51" t="s">
        <v>3538</v>
      </c>
      <c r="I904" s="53">
        <v>472500</v>
      </c>
      <c r="J904" s="53">
        <v>0</v>
      </c>
      <c r="K904" s="53">
        <v>22000</v>
      </c>
      <c r="L904" s="53">
        <v>0</v>
      </c>
      <c r="M904" s="53">
        <v>0</v>
      </c>
      <c r="N904" s="53">
        <v>0</v>
      </c>
      <c r="O904" s="53">
        <v>0</v>
      </c>
      <c r="P904" s="53">
        <v>0</v>
      </c>
      <c r="Q904" s="53">
        <v>0</v>
      </c>
      <c r="R904" s="53">
        <v>0</v>
      </c>
      <c r="S904" s="53">
        <v>0</v>
      </c>
      <c r="T904" s="53">
        <v>0</v>
      </c>
      <c r="U904" s="53">
        <v>1100</v>
      </c>
      <c r="V904" s="53">
        <v>0</v>
      </c>
      <c r="W904" s="53">
        <v>0</v>
      </c>
      <c r="X904" s="53">
        <v>0</v>
      </c>
      <c r="Y904" s="53">
        <v>0</v>
      </c>
      <c r="Z904" s="53">
        <v>0</v>
      </c>
      <c r="AA904" s="53">
        <v>0</v>
      </c>
      <c r="AB904" s="53">
        <v>0</v>
      </c>
      <c r="AC904" s="53">
        <v>0</v>
      </c>
      <c r="AD904" s="53">
        <v>0</v>
      </c>
      <c r="AE904" s="53">
        <v>0</v>
      </c>
      <c r="AF904" s="53">
        <v>0</v>
      </c>
      <c r="AG904" s="53">
        <v>0</v>
      </c>
      <c r="AH904" s="53">
        <v>0</v>
      </c>
      <c r="AI904" s="53">
        <v>0</v>
      </c>
      <c r="AJ904" s="53">
        <v>0</v>
      </c>
      <c r="AK904" s="53">
        <v>0</v>
      </c>
      <c r="AL904" s="53">
        <v>0</v>
      </c>
      <c r="AM904" s="53" t="str">
        <f>I904-J904-K904-L904-M904-N904-O904-P904-Q904-R904-S904-T904-U904-V904-W904-X904-Y904-Z904-AA904-AB904-AC904-AD904-AE904-AF904-AG904+AH904-AI904+AJ904+AK904-AL904</f>
        <v>0</v>
      </c>
      <c r="AN904" s="53"/>
      <c r="AO904" s="27"/>
    </row>
    <row r="905" spans="1:41">
      <c r="A905" s="44">
        <v>877</v>
      </c>
      <c r="B905" s="46" t="s">
        <v>3539</v>
      </c>
      <c r="C905" s="48" t="s">
        <v>3540</v>
      </c>
      <c r="D905" s="51" t="s">
        <v>73</v>
      </c>
      <c r="E905" s="51" t="s">
        <v>923</v>
      </c>
      <c r="F905" s="54" t="s">
        <v>3541</v>
      </c>
      <c r="G905" s="50">
        <v>9</v>
      </c>
      <c r="H905" s="51" t="s">
        <v>3542</v>
      </c>
      <c r="I905" s="53">
        <v>0</v>
      </c>
      <c r="J905" s="53">
        <v>0</v>
      </c>
      <c r="K905" s="53">
        <v>40000</v>
      </c>
      <c r="L905" s="53">
        <v>0</v>
      </c>
      <c r="M905" s="53">
        <v>0</v>
      </c>
      <c r="N905" s="53">
        <v>0</v>
      </c>
      <c r="O905" s="53">
        <v>0</v>
      </c>
      <c r="P905" s="53">
        <v>0</v>
      </c>
      <c r="Q905" s="53">
        <v>0</v>
      </c>
      <c r="R905" s="53">
        <v>0</v>
      </c>
      <c r="S905" s="53">
        <v>0</v>
      </c>
      <c r="T905" s="53">
        <v>0</v>
      </c>
      <c r="U905" s="53">
        <v>2000</v>
      </c>
      <c r="V905" s="53">
        <v>0</v>
      </c>
      <c r="W905" s="53">
        <v>0</v>
      </c>
      <c r="X905" s="53">
        <v>0</v>
      </c>
      <c r="Y905" s="53">
        <v>0</v>
      </c>
      <c r="Z905" s="53">
        <v>0</v>
      </c>
      <c r="AA905" s="53">
        <v>0</v>
      </c>
      <c r="AB905" s="53">
        <v>0</v>
      </c>
      <c r="AC905" s="53">
        <v>0</v>
      </c>
      <c r="AD905" s="53">
        <v>0</v>
      </c>
      <c r="AE905" s="53">
        <v>0</v>
      </c>
      <c r="AF905" s="53">
        <v>0</v>
      </c>
      <c r="AG905" s="53">
        <v>0</v>
      </c>
      <c r="AH905" s="53">
        <v>0</v>
      </c>
      <c r="AI905" s="53">
        <v>0</v>
      </c>
      <c r="AJ905" s="53">
        <v>0</v>
      </c>
      <c r="AK905" s="53">
        <v>0</v>
      </c>
      <c r="AL905" s="53">
        <v>0</v>
      </c>
      <c r="AM905" s="53" t="str">
        <f>I905-J905-K905-L905-M905-N905-O905-P905-Q905-R905-S905-T905-U905-V905-W905-X905-Y905-Z905-AA905-AB905-AC905-AD905-AE905-AF905-AG905+AH905-AI905+AJ905+AK905-AL905</f>
        <v>0</v>
      </c>
      <c r="AN905" s="53"/>
      <c r="AO905" s="27"/>
    </row>
    <row r="906" spans="1:41">
      <c r="A906" s="44">
        <v>878</v>
      </c>
      <c r="B906" s="46" t="s">
        <v>3543</v>
      </c>
      <c r="C906" s="48" t="s">
        <v>3544</v>
      </c>
      <c r="D906" s="51" t="s">
        <v>73</v>
      </c>
      <c r="E906" s="51" t="s">
        <v>923</v>
      </c>
      <c r="F906" s="54" t="s">
        <v>2629</v>
      </c>
      <c r="G906" s="50">
        <v>3</v>
      </c>
      <c r="H906" s="51" t="s">
        <v>3545</v>
      </c>
      <c r="I906" s="53">
        <v>1314000</v>
      </c>
      <c r="J906" s="53">
        <v>0</v>
      </c>
      <c r="K906" s="53">
        <v>22000</v>
      </c>
      <c r="L906" s="53">
        <v>0</v>
      </c>
      <c r="M906" s="53">
        <v>0</v>
      </c>
      <c r="N906" s="53">
        <v>0</v>
      </c>
      <c r="O906" s="53">
        <v>0</v>
      </c>
      <c r="P906" s="53">
        <v>0</v>
      </c>
      <c r="Q906" s="53">
        <v>0</v>
      </c>
      <c r="R906" s="53">
        <v>0</v>
      </c>
      <c r="S906" s="53">
        <v>0</v>
      </c>
      <c r="T906" s="53">
        <v>0</v>
      </c>
      <c r="U906" s="53">
        <v>1100</v>
      </c>
      <c r="V906" s="53">
        <v>0</v>
      </c>
      <c r="W906" s="53">
        <v>0</v>
      </c>
      <c r="X906" s="53">
        <v>0</v>
      </c>
      <c r="Y906" s="53">
        <v>0</v>
      </c>
      <c r="Z906" s="53">
        <v>0</v>
      </c>
      <c r="AA906" s="53">
        <v>0</v>
      </c>
      <c r="AB906" s="53">
        <v>0</v>
      </c>
      <c r="AC906" s="53">
        <v>0</v>
      </c>
      <c r="AD906" s="53">
        <v>0</v>
      </c>
      <c r="AE906" s="53">
        <v>0</v>
      </c>
      <c r="AF906" s="53">
        <v>0</v>
      </c>
      <c r="AG906" s="53">
        <v>0</v>
      </c>
      <c r="AH906" s="53">
        <v>0</v>
      </c>
      <c r="AI906" s="53">
        <v>0</v>
      </c>
      <c r="AJ906" s="53">
        <v>0</v>
      </c>
      <c r="AK906" s="53">
        <v>0</v>
      </c>
      <c r="AL906" s="53">
        <v>0</v>
      </c>
      <c r="AM906" s="53" t="str">
        <f>I906-J906-K906-L906-M906-N906-O906-P906-Q906-R906-S906-T906-U906-V906-W906-X906-Y906-Z906-AA906-AB906-AC906-AD906-AE906-AF906-AG906+AH906-AI906+AJ906+AK906-AL906</f>
        <v>0</v>
      </c>
      <c r="AN906" s="53"/>
      <c r="AO906" s="27"/>
    </row>
    <row r="907" spans="1:41">
      <c r="A907" s="44">
        <v>879</v>
      </c>
      <c r="B907" s="46" t="s">
        <v>3546</v>
      </c>
      <c r="C907" s="48" t="s">
        <v>3547</v>
      </c>
      <c r="D907" s="51" t="s">
        <v>73</v>
      </c>
      <c r="E907" s="51" t="s">
        <v>923</v>
      </c>
      <c r="F907" s="54" t="s">
        <v>2189</v>
      </c>
      <c r="G907" s="50">
        <v>3</v>
      </c>
      <c r="H907" s="51" t="s">
        <v>3548</v>
      </c>
      <c r="I907" s="53">
        <v>472500</v>
      </c>
      <c r="J907" s="53">
        <v>0</v>
      </c>
      <c r="K907" s="53">
        <v>22000</v>
      </c>
      <c r="L907" s="53">
        <v>0</v>
      </c>
      <c r="M907" s="53">
        <v>0</v>
      </c>
      <c r="N907" s="53">
        <v>0</v>
      </c>
      <c r="O907" s="53">
        <v>0</v>
      </c>
      <c r="P907" s="53">
        <v>0</v>
      </c>
      <c r="Q907" s="53">
        <v>0</v>
      </c>
      <c r="R907" s="53">
        <v>0</v>
      </c>
      <c r="S907" s="53">
        <v>0</v>
      </c>
      <c r="T907" s="53">
        <v>0</v>
      </c>
      <c r="U907" s="53">
        <v>1100</v>
      </c>
      <c r="V907" s="53">
        <v>0</v>
      </c>
      <c r="W907" s="53">
        <v>0</v>
      </c>
      <c r="X907" s="53">
        <v>0</v>
      </c>
      <c r="Y907" s="53">
        <v>0</v>
      </c>
      <c r="Z907" s="53">
        <v>0</v>
      </c>
      <c r="AA907" s="53">
        <v>0</v>
      </c>
      <c r="AB907" s="53">
        <v>0</v>
      </c>
      <c r="AC907" s="53">
        <v>0</v>
      </c>
      <c r="AD907" s="53">
        <v>0</v>
      </c>
      <c r="AE907" s="53">
        <v>0</v>
      </c>
      <c r="AF907" s="53">
        <v>0</v>
      </c>
      <c r="AG907" s="53">
        <v>0</v>
      </c>
      <c r="AH907" s="53">
        <v>0</v>
      </c>
      <c r="AI907" s="53">
        <v>0</v>
      </c>
      <c r="AJ907" s="53">
        <v>0</v>
      </c>
      <c r="AK907" s="53">
        <v>0</v>
      </c>
      <c r="AL907" s="53">
        <v>0</v>
      </c>
      <c r="AM907" s="53" t="str">
        <f>I907-J907-K907-L907-M907-N907-O907-P907-Q907-R907-S907-T907-U907-V907-W907-X907-Y907-Z907-AA907-AB907-AC907-AD907-AE907-AF907-AG907+AH907-AI907+AJ907+AK907-AL907</f>
        <v>0</v>
      </c>
      <c r="AN907" s="53"/>
      <c r="AO907" s="27"/>
    </row>
    <row r="908" spans="1:41">
      <c r="A908" s="44">
        <v>880</v>
      </c>
      <c r="B908" s="46" t="s">
        <v>3549</v>
      </c>
      <c r="C908" s="48" t="s">
        <v>3550</v>
      </c>
      <c r="D908" s="51" t="s">
        <v>73</v>
      </c>
      <c r="E908" s="51" t="s">
        <v>923</v>
      </c>
      <c r="F908" s="54" t="s">
        <v>3551</v>
      </c>
      <c r="G908" s="50">
        <v>3</v>
      </c>
      <c r="H908" s="51" t="s">
        <v>3552</v>
      </c>
      <c r="I908" s="53">
        <v>373500</v>
      </c>
      <c r="J908" s="53">
        <v>0</v>
      </c>
      <c r="K908" s="53">
        <v>22000</v>
      </c>
      <c r="L908" s="53">
        <v>0</v>
      </c>
      <c r="M908" s="53">
        <v>0</v>
      </c>
      <c r="N908" s="53">
        <v>0</v>
      </c>
      <c r="O908" s="53">
        <v>0</v>
      </c>
      <c r="P908" s="53">
        <v>0</v>
      </c>
      <c r="Q908" s="53">
        <v>0</v>
      </c>
      <c r="R908" s="53">
        <v>0</v>
      </c>
      <c r="S908" s="53">
        <v>0</v>
      </c>
      <c r="T908" s="53">
        <v>0</v>
      </c>
      <c r="U908" s="53">
        <v>1100</v>
      </c>
      <c r="V908" s="53">
        <v>0</v>
      </c>
      <c r="W908" s="53">
        <v>0</v>
      </c>
      <c r="X908" s="53">
        <v>0</v>
      </c>
      <c r="Y908" s="53">
        <v>0</v>
      </c>
      <c r="Z908" s="53">
        <v>0</v>
      </c>
      <c r="AA908" s="53">
        <v>0</v>
      </c>
      <c r="AB908" s="53">
        <v>0</v>
      </c>
      <c r="AC908" s="53">
        <v>0</v>
      </c>
      <c r="AD908" s="53">
        <v>0</v>
      </c>
      <c r="AE908" s="53">
        <v>0</v>
      </c>
      <c r="AF908" s="53">
        <v>0</v>
      </c>
      <c r="AG908" s="53">
        <v>0</v>
      </c>
      <c r="AH908" s="53">
        <v>0</v>
      </c>
      <c r="AI908" s="53">
        <v>0</v>
      </c>
      <c r="AJ908" s="53">
        <v>0</v>
      </c>
      <c r="AK908" s="53">
        <v>0</v>
      </c>
      <c r="AL908" s="53">
        <v>0</v>
      </c>
      <c r="AM908" s="53" t="str">
        <f>I908-J908-K908-L908-M908-N908-O908-P908-Q908-R908-S908-T908-U908-V908-W908-X908-Y908-Z908-AA908-AB908-AC908-AD908-AE908-AF908-AG908+AH908-AI908+AJ908+AK908-AL908</f>
        <v>0</v>
      </c>
      <c r="AN908" s="53"/>
      <c r="AO908" s="27"/>
    </row>
    <row r="909" spans="1:41">
      <c r="A909" s="44">
        <v>881</v>
      </c>
      <c r="B909" s="46" t="s">
        <v>3553</v>
      </c>
      <c r="C909" s="48" t="s">
        <v>3554</v>
      </c>
      <c r="D909" s="51" t="s">
        <v>73</v>
      </c>
      <c r="E909" s="51" t="s">
        <v>923</v>
      </c>
      <c r="F909" s="54" t="s">
        <v>2558</v>
      </c>
      <c r="G909" s="50">
        <v>3</v>
      </c>
      <c r="H909" s="51" t="s">
        <v>3555</v>
      </c>
      <c r="I909" s="53">
        <v>242100</v>
      </c>
      <c r="J909" s="53">
        <v>0</v>
      </c>
      <c r="K909" s="53">
        <v>22000</v>
      </c>
      <c r="L909" s="53">
        <v>0</v>
      </c>
      <c r="M909" s="53">
        <v>0</v>
      </c>
      <c r="N909" s="53">
        <v>0</v>
      </c>
      <c r="O909" s="53">
        <v>0</v>
      </c>
      <c r="P909" s="53">
        <v>0</v>
      </c>
      <c r="Q909" s="53">
        <v>0</v>
      </c>
      <c r="R909" s="53">
        <v>0</v>
      </c>
      <c r="S909" s="53">
        <v>0</v>
      </c>
      <c r="T909" s="53">
        <v>0</v>
      </c>
      <c r="U909" s="53">
        <v>1100</v>
      </c>
      <c r="V909" s="53">
        <v>0</v>
      </c>
      <c r="W909" s="53">
        <v>0</v>
      </c>
      <c r="X909" s="53">
        <v>0</v>
      </c>
      <c r="Y909" s="53">
        <v>0</v>
      </c>
      <c r="Z909" s="53">
        <v>0</v>
      </c>
      <c r="AA909" s="53">
        <v>0</v>
      </c>
      <c r="AB909" s="53">
        <v>0</v>
      </c>
      <c r="AC909" s="53">
        <v>0</v>
      </c>
      <c r="AD909" s="53">
        <v>0</v>
      </c>
      <c r="AE909" s="53">
        <v>0</v>
      </c>
      <c r="AF909" s="53">
        <v>0</v>
      </c>
      <c r="AG909" s="53">
        <v>0</v>
      </c>
      <c r="AH909" s="53">
        <v>0</v>
      </c>
      <c r="AI909" s="53">
        <v>0</v>
      </c>
      <c r="AJ909" s="53">
        <v>0</v>
      </c>
      <c r="AK909" s="53">
        <v>0</v>
      </c>
      <c r="AL909" s="53">
        <v>0</v>
      </c>
      <c r="AM909" s="53" t="str">
        <f>I909-J909-K909-L909-M909-N909-O909-P909-Q909-R909-S909-T909-U909-V909-W909-X909-Y909-Z909-AA909-AB909-AC909-AD909-AE909-AF909-AG909+AH909-AI909+AJ909+AK909-AL909</f>
        <v>0</v>
      </c>
      <c r="AN909" s="53"/>
      <c r="AO909" s="27"/>
    </row>
    <row r="910" spans="1:41">
      <c r="A910" s="44">
        <v>882</v>
      </c>
      <c r="B910" s="46" t="s">
        <v>3556</v>
      </c>
      <c r="C910" s="48" t="s">
        <v>3557</v>
      </c>
      <c r="D910" s="51" t="s">
        <v>73</v>
      </c>
      <c r="E910" s="51" t="s">
        <v>923</v>
      </c>
      <c r="F910" s="54" t="s">
        <v>3558</v>
      </c>
      <c r="G910" s="50">
        <v>3</v>
      </c>
      <c r="H910" s="51" t="s">
        <v>3559</v>
      </c>
      <c r="I910" s="53">
        <v>719100</v>
      </c>
      <c r="J910" s="53">
        <v>0</v>
      </c>
      <c r="K910" s="53">
        <v>22000</v>
      </c>
      <c r="L910" s="53">
        <v>0</v>
      </c>
      <c r="M910" s="53">
        <v>0</v>
      </c>
      <c r="N910" s="53">
        <v>0</v>
      </c>
      <c r="O910" s="53">
        <v>0</v>
      </c>
      <c r="P910" s="53">
        <v>0</v>
      </c>
      <c r="Q910" s="53">
        <v>0</v>
      </c>
      <c r="R910" s="53">
        <v>0</v>
      </c>
      <c r="S910" s="53">
        <v>0</v>
      </c>
      <c r="T910" s="53">
        <v>0</v>
      </c>
      <c r="U910" s="53">
        <v>1100</v>
      </c>
      <c r="V910" s="53">
        <v>0</v>
      </c>
      <c r="W910" s="53">
        <v>0</v>
      </c>
      <c r="X910" s="53">
        <v>0</v>
      </c>
      <c r="Y910" s="53">
        <v>0</v>
      </c>
      <c r="Z910" s="53">
        <v>0</v>
      </c>
      <c r="AA910" s="53">
        <v>0</v>
      </c>
      <c r="AB910" s="53">
        <v>0</v>
      </c>
      <c r="AC910" s="53">
        <v>0</v>
      </c>
      <c r="AD910" s="53">
        <v>0</v>
      </c>
      <c r="AE910" s="53">
        <v>0</v>
      </c>
      <c r="AF910" s="53">
        <v>0</v>
      </c>
      <c r="AG910" s="53">
        <v>0</v>
      </c>
      <c r="AH910" s="53">
        <v>0</v>
      </c>
      <c r="AI910" s="53">
        <v>0</v>
      </c>
      <c r="AJ910" s="53">
        <v>0</v>
      </c>
      <c r="AK910" s="53">
        <v>0</v>
      </c>
      <c r="AL910" s="53">
        <v>0</v>
      </c>
      <c r="AM910" s="53" t="str">
        <f>I910-J910-K910-L910-M910-N910-O910-P910-Q910-R910-S910-T910-U910-V910-W910-X910-Y910-Z910-AA910-AB910-AC910-AD910-AE910-AF910-AG910+AH910-AI910+AJ910+AK910-AL910</f>
        <v>0</v>
      </c>
      <c r="AN910" s="53"/>
      <c r="AO910" s="27"/>
    </row>
    <row r="911" spans="1:41">
      <c r="A911" s="44">
        <v>883</v>
      </c>
      <c r="B911" s="46" t="s">
        <v>3560</v>
      </c>
      <c r="C911" s="48" t="s">
        <v>3561</v>
      </c>
      <c r="D911" s="51" t="s">
        <v>73</v>
      </c>
      <c r="E911" s="51" t="s">
        <v>923</v>
      </c>
      <c r="F911" s="54" t="s">
        <v>3562</v>
      </c>
      <c r="G911" s="50">
        <v>4</v>
      </c>
      <c r="H911" s="51" t="s">
        <v>3563</v>
      </c>
      <c r="I911" s="53">
        <v>949500</v>
      </c>
      <c r="J911" s="53">
        <v>0</v>
      </c>
      <c r="K911" s="53">
        <v>25000</v>
      </c>
      <c r="L911" s="53">
        <v>0</v>
      </c>
      <c r="M911" s="53">
        <v>0</v>
      </c>
      <c r="N911" s="53">
        <v>0</v>
      </c>
      <c r="O911" s="53">
        <v>0</v>
      </c>
      <c r="P911" s="53">
        <v>0</v>
      </c>
      <c r="Q911" s="53">
        <v>0</v>
      </c>
      <c r="R911" s="53">
        <v>0</v>
      </c>
      <c r="S911" s="53">
        <v>0</v>
      </c>
      <c r="T911" s="53">
        <v>0</v>
      </c>
      <c r="U911" s="53">
        <v>1250</v>
      </c>
      <c r="V911" s="53">
        <v>0</v>
      </c>
      <c r="W911" s="53">
        <v>0</v>
      </c>
      <c r="X911" s="53">
        <v>0</v>
      </c>
      <c r="Y911" s="53">
        <v>0</v>
      </c>
      <c r="Z911" s="53">
        <v>0</v>
      </c>
      <c r="AA911" s="53">
        <v>0</v>
      </c>
      <c r="AB911" s="53">
        <v>0</v>
      </c>
      <c r="AC911" s="53">
        <v>0</v>
      </c>
      <c r="AD911" s="53">
        <v>0</v>
      </c>
      <c r="AE911" s="53">
        <v>0</v>
      </c>
      <c r="AF911" s="53">
        <v>0</v>
      </c>
      <c r="AG911" s="53">
        <v>0</v>
      </c>
      <c r="AH911" s="53">
        <v>0</v>
      </c>
      <c r="AI911" s="53">
        <v>0</v>
      </c>
      <c r="AJ911" s="53">
        <v>0</v>
      </c>
      <c r="AK911" s="53">
        <v>0</v>
      </c>
      <c r="AL911" s="53">
        <v>0</v>
      </c>
      <c r="AM911" s="53" t="str">
        <f>I911-J911-K911-L911-M911-N911-O911-P911-Q911-R911-S911-T911-U911-V911-W911-X911-Y911-Z911-AA911-AB911-AC911-AD911-AE911-AF911-AG911+AH911-AI911+AJ911+AK911-AL911</f>
        <v>0</v>
      </c>
      <c r="AN911" s="53"/>
      <c r="AO911" s="27"/>
    </row>
    <row r="912" spans="1:41">
      <c r="A912" s="44">
        <v>884</v>
      </c>
      <c r="B912" s="46" t="s">
        <v>3564</v>
      </c>
      <c r="C912" s="48" t="s">
        <v>3565</v>
      </c>
      <c r="D912" s="51" t="s">
        <v>73</v>
      </c>
      <c r="E912" s="51" t="s">
        <v>923</v>
      </c>
      <c r="F912" s="54" t="s">
        <v>3566</v>
      </c>
      <c r="G912" s="50">
        <v>5</v>
      </c>
      <c r="H912" s="51" t="s">
        <v>3567</v>
      </c>
      <c r="I912" s="53">
        <v>30000</v>
      </c>
      <c r="J912" s="53">
        <v>0</v>
      </c>
      <c r="K912" s="53">
        <v>27000</v>
      </c>
      <c r="L912" s="53">
        <v>0</v>
      </c>
      <c r="M912" s="53">
        <v>0</v>
      </c>
      <c r="N912" s="53">
        <v>0</v>
      </c>
      <c r="O912" s="53">
        <v>0</v>
      </c>
      <c r="P912" s="53">
        <v>0</v>
      </c>
      <c r="Q912" s="53">
        <v>0</v>
      </c>
      <c r="R912" s="53">
        <v>0</v>
      </c>
      <c r="S912" s="53">
        <v>0</v>
      </c>
      <c r="T912" s="53">
        <v>0</v>
      </c>
      <c r="U912" s="53">
        <v>1350</v>
      </c>
      <c r="V912" s="53">
        <v>0</v>
      </c>
      <c r="W912" s="53">
        <v>0</v>
      </c>
      <c r="X912" s="53">
        <v>0</v>
      </c>
      <c r="Y912" s="53">
        <v>14175</v>
      </c>
      <c r="Z912" s="53">
        <v>0</v>
      </c>
      <c r="AA912" s="53">
        <v>0</v>
      </c>
      <c r="AB912" s="53">
        <v>0</v>
      </c>
      <c r="AC912" s="53">
        <v>0</v>
      </c>
      <c r="AD912" s="53">
        <v>0</v>
      </c>
      <c r="AE912" s="53">
        <v>0</v>
      </c>
      <c r="AF912" s="53">
        <v>0</v>
      </c>
      <c r="AG912" s="53">
        <v>0</v>
      </c>
      <c r="AH912" s="53">
        <v>0</v>
      </c>
      <c r="AI912" s="53">
        <v>0</v>
      </c>
      <c r="AJ912" s="53">
        <v>0</v>
      </c>
      <c r="AK912" s="53">
        <v>0</v>
      </c>
      <c r="AL912" s="53">
        <v>0</v>
      </c>
      <c r="AM912" s="53" t="str">
        <f>I912-J912-K912-L912-M912-N912-O912-P912-Q912-R912-S912-T912-U912-V912-W912-X912-Y912-Z912-AA912-AB912-AC912-AD912-AE912-AF912-AG912+AH912-AI912+AJ912+AK912-AL912</f>
        <v>0</v>
      </c>
      <c r="AN912" s="53"/>
      <c r="AO912" s="27"/>
    </row>
    <row r="913" spans="1:41">
      <c r="A913" s="44">
        <v>885</v>
      </c>
      <c r="B913" s="46" t="s">
        <v>3568</v>
      </c>
      <c r="C913" s="48" t="s">
        <v>3569</v>
      </c>
      <c r="D913" s="51" t="s">
        <v>73</v>
      </c>
      <c r="E913" s="51" t="s">
        <v>2931</v>
      </c>
      <c r="F913" s="54" t="s">
        <v>3570</v>
      </c>
      <c r="G913" s="50">
        <v>9</v>
      </c>
      <c r="H913" s="51" t="s">
        <v>3571</v>
      </c>
      <c r="I913" s="53">
        <v>0</v>
      </c>
      <c r="J913" s="53">
        <v>0</v>
      </c>
      <c r="K913" s="53">
        <v>40000</v>
      </c>
      <c r="L913" s="53">
        <v>0</v>
      </c>
      <c r="M913" s="53">
        <v>0</v>
      </c>
      <c r="N913" s="53">
        <v>0</v>
      </c>
      <c r="O913" s="53">
        <v>0</v>
      </c>
      <c r="P913" s="53">
        <v>0</v>
      </c>
      <c r="Q913" s="53">
        <v>0</v>
      </c>
      <c r="R913" s="53">
        <v>0</v>
      </c>
      <c r="S913" s="53">
        <v>0</v>
      </c>
      <c r="T913" s="53">
        <v>0</v>
      </c>
      <c r="U913" s="53">
        <v>2000</v>
      </c>
      <c r="V913" s="53">
        <v>0</v>
      </c>
      <c r="W913" s="53">
        <v>0</v>
      </c>
      <c r="X913" s="53">
        <v>0</v>
      </c>
      <c r="Y913" s="53">
        <v>0</v>
      </c>
      <c r="Z913" s="53">
        <v>0</v>
      </c>
      <c r="AA913" s="53">
        <v>0</v>
      </c>
      <c r="AB913" s="53">
        <v>0</v>
      </c>
      <c r="AC913" s="53">
        <v>0</v>
      </c>
      <c r="AD913" s="53">
        <v>0</v>
      </c>
      <c r="AE913" s="53">
        <v>0</v>
      </c>
      <c r="AF913" s="53">
        <v>0</v>
      </c>
      <c r="AG913" s="53">
        <v>0</v>
      </c>
      <c r="AH913" s="53">
        <v>0</v>
      </c>
      <c r="AI913" s="53">
        <v>0</v>
      </c>
      <c r="AJ913" s="53">
        <v>0</v>
      </c>
      <c r="AK913" s="53">
        <v>0</v>
      </c>
      <c r="AL913" s="53">
        <v>0</v>
      </c>
      <c r="AM913" s="53" t="str">
        <f>I913-J913-K913-L913-M913-N913-O913-P913-Q913-R913-S913-T913-U913-V913-W913-X913-Y913-Z913-AA913-AB913-AC913-AD913-AE913-AF913-AG913+AH913-AI913+AJ913+AK913-AL913</f>
        <v>0</v>
      </c>
      <c r="AN913" s="53"/>
      <c r="AO913" s="27"/>
    </row>
    <row r="914" spans="1:41">
      <c r="A914" s="44">
        <v>886</v>
      </c>
      <c r="B914" s="46" t="s">
        <v>3572</v>
      </c>
      <c r="C914" s="48" t="s">
        <v>3573</v>
      </c>
      <c r="D914" s="51" t="s">
        <v>73</v>
      </c>
      <c r="E914" s="51" t="s">
        <v>2931</v>
      </c>
      <c r="F914" s="54" t="s">
        <v>3570</v>
      </c>
      <c r="G914" s="50">
        <v>7</v>
      </c>
      <c r="H914" s="51" t="s">
        <v>3574</v>
      </c>
      <c r="I914" s="53">
        <v>0</v>
      </c>
      <c r="J914" s="53">
        <v>0</v>
      </c>
      <c r="K914" s="53">
        <v>35000</v>
      </c>
      <c r="L914" s="53">
        <v>0</v>
      </c>
      <c r="M914" s="53">
        <v>0</v>
      </c>
      <c r="N914" s="53">
        <v>0</v>
      </c>
      <c r="O914" s="53">
        <v>0</v>
      </c>
      <c r="P914" s="53">
        <v>0</v>
      </c>
      <c r="Q914" s="53">
        <v>0</v>
      </c>
      <c r="R914" s="53">
        <v>0</v>
      </c>
      <c r="S914" s="53">
        <v>0</v>
      </c>
      <c r="T914" s="53">
        <v>0</v>
      </c>
      <c r="U914" s="53">
        <v>1750</v>
      </c>
      <c r="V914" s="53">
        <v>0</v>
      </c>
      <c r="W914" s="53">
        <v>0</v>
      </c>
      <c r="X914" s="53">
        <v>0</v>
      </c>
      <c r="Y914" s="53">
        <v>0</v>
      </c>
      <c r="Z914" s="53">
        <v>0</v>
      </c>
      <c r="AA914" s="53">
        <v>0</v>
      </c>
      <c r="AB914" s="53">
        <v>0</v>
      </c>
      <c r="AC914" s="53">
        <v>0</v>
      </c>
      <c r="AD914" s="53">
        <v>0</v>
      </c>
      <c r="AE914" s="53">
        <v>0</v>
      </c>
      <c r="AF914" s="53">
        <v>0</v>
      </c>
      <c r="AG914" s="53">
        <v>0</v>
      </c>
      <c r="AH914" s="53">
        <v>0</v>
      </c>
      <c r="AI914" s="53">
        <v>0</v>
      </c>
      <c r="AJ914" s="53">
        <v>0</v>
      </c>
      <c r="AK914" s="53">
        <v>0</v>
      </c>
      <c r="AL914" s="53">
        <v>0</v>
      </c>
      <c r="AM914" s="53" t="str">
        <f>I914-J914-K914-L914-M914-N914-O914-P914-Q914-R914-S914-T914-U914-V914-W914-X914-Y914-Z914-AA914-AB914-AC914-AD914-AE914-AF914-AG914+AH914-AI914+AJ914+AK914-AL914</f>
        <v>0</v>
      </c>
      <c r="AN914" s="53"/>
      <c r="AO914" s="27"/>
    </row>
    <row r="915" spans="1:41">
      <c r="A915" s="44">
        <v>887</v>
      </c>
      <c r="B915" s="46" t="s">
        <v>3575</v>
      </c>
      <c r="C915" s="48" t="s">
        <v>3576</v>
      </c>
      <c r="D915" s="51" t="s">
        <v>73</v>
      </c>
      <c r="E915" s="51" t="s">
        <v>3577</v>
      </c>
      <c r="F915" s="54" t="s">
        <v>2855</v>
      </c>
      <c r="G915" s="50">
        <v>3</v>
      </c>
      <c r="H915" s="51" t="s">
        <v>3578</v>
      </c>
      <c r="I915" s="53">
        <v>570500</v>
      </c>
      <c r="J915" s="53">
        <v>0</v>
      </c>
      <c r="K915" s="53">
        <v>22000</v>
      </c>
      <c r="L915" s="53">
        <v>0</v>
      </c>
      <c r="M915" s="53">
        <v>0</v>
      </c>
      <c r="N915" s="53">
        <v>0</v>
      </c>
      <c r="O915" s="53">
        <v>0</v>
      </c>
      <c r="P915" s="53">
        <v>0</v>
      </c>
      <c r="Q915" s="53">
        <v>0</v>
      </c>
      <c r="R915" s="53">
        <v>0</v>
      </c>
      <c r="S915" s="53">
        <v>0</v>
      </c>
      <c r="T915" s="53">
        <v>0</v>
      </c>
      <c r="U915" s="53">
        <v>1100</v>
      </c>
      <c r="V915" s="53">
        <v>0</v>
      </c>
      <c r="W915" s="53">
        <v>0</v>
      </c>
      <c r="X915" s="53">
        <v>0</v>
      </c>
      <c r="Y915" s="53">
        <v>0</v>
      </c>
      <c r="Z915" s="53">
        <v>0</v>
      </c>
      <c r="AA915" s="53">
        <v>0</v>
      </c>
      <c r="AB915" s="53">
        <v>0</v>
      </c>
      <c r="AC915" s="53">
        <v>0</v>
      </c>
      <c r="AD915" s="53">
        <v>0</v>
      </c>
      <c r="AE915" s="53">
        <v>0</v>
      </c>
      <c r="AF915" s="53">
        <v>0</v>
      </c>
      <c r="AG915" s="53">
        <v>0</v>
      </c>
      <c r="AH915" s="53">
        <v>0</v>
      </c>
      <c r="AI915" s="53">
        <v>0</v>
      </c>
      <c r="AJ915" s="53">
        <v>0</v>
      </c>
      <c r="AK915" s="53">
        <v>0</v>
      </c>
      <c r="AL915" s="53">
        <v>0</v>
      </c>
      <c r="AM915" s="53" t="str">
        <f>I915-J915-K915-L915-M915-N915-O915-P915-Q915-R915-S915-T915-U915-V915-W915-X915-Y915-Z915-AA915-AB915-AC915-AD915-AE915-AF915-AG915+AH915-AI915+AJ915+AK915-AL915</f>
        <v>0</v>
      </c>
      <c r="AN915" s="53"/>
      <c r="AO915" s="27"/>
    </row>
    <row r="916" spans="1:41">
      <c r="A916" s="44">
        <v>888</v>
      </c>
      <c r="B916" s="46" t="s">
        <v>3579</v>
      </c>
      <c r="C916" s="48" t="s">
        <v>3580</v>
      </c>
      <c r="D916" s="51" t="s">
        <v>73</v>
      </c>
      <c r="E916" s="51" t="s">
        <v>3581</v>
      </c>
      <c r="F916" s="54" t="s">
        <v>3582</v>
      </c>
      <c r="G916" s="50">
        <v>3</v>
      </c>
      <c r="H916" s="51" t="s">
        <v>3583</v>
      </c>
      <c r="I916" s="53">
        <v>539100</v>
      </c>
      <c r="J916" s="53">
        <v>0</v>
      </c>
      <c r="K916" s="53">
        <v>22000</v>
      </c>
      <c r="L916" s="53">
        <v>0</v>
      </c>
      <c r="M916" s="53">
        <v>0</v>
      </c>
      <c r="N916" s="53">
        <v>0</v>
      </c>
      <c r="O916" s="53">
        <v>0</v>
      </c>
      <c r="P916" s="53">
        <v>0</v>
      </c>
      <c r="Q916" s="53">
        <v>0</v>
      </c>
      <c r="R916" s="53">
        <v>0</v>
      </c>
      <c r="S916" s="53">
        <v>0</v>
      </c>
      <c r="T916" s="53">
        <v>0</v>
      </c>
      <c r="U916" s="53">
        <v>1100</v>
      </c>
      <c r="V916" s="53">
        <v>0</v>
      </c>
      <c r="W916" s="53">
        <v>0</v>
      </c>
      <c r="X916" s="53">
        <v>0</v>
      </c>
      <c r="Y916" s="53">
        <v>0</v>
      </c>
      <c r="Z916" s="53">
        <v>0</v>
      </c>
      <c r="AA916" s="53">
        <v>0</v>
      </c>
      <c r="AB916" s="53">
        <v>0</v>
      </c>
      <c r="AC916" s="53">
        <v>0</v>
      </c>
      <c r="AD916" s="53">
        <v>0</v>
      </c>
      <c r="AE916" s="53">
        <v>0</v>
      </c>
      <c r="AF916" s="53">
        <v>0</v>
      </c>
      <c r="AG916" s="53">
        <v>0</v>
      </c>
      <c r="AH916" s="53">
        <v>0</v>
      </c>
      <c r="AI916" s="53">
        <v>0</v>
      </c>
      <c r="AJ916" s="53">
        <v>0</v>
      </c>
      <c r="AK916" s="53">
        <v>0</v>
      </c>
      <c r="AL916" s="53">
        <v>0</v>
      </c>
      <c r="AM916" s="53" t="str">
        <f>I916-J916-K916-L916-M916-N916-O916-P916-Q916-R916-S916-T916-U916-V916-W916-X916-Y916-Z916-AA916-AB916-AC916-AD916-AE916-AF916-AG916+AH916-AI916+AJ916+AK916-AL916</f>
        <v>0</v>
      </c>
      <c r="AN916" s="53"/>
      <c r="AO916" s="27"/>
    </row>
    <row r="917" spans="1:41">
      <c r="A917" s="44">
        <v>889</v>
      </c>
      <c r="B917" s="46" t="s">
        <v>3584</v>
      </c>
      <c r="C917" s="48" t="s">
        <v>3585</v>
      </c>
      <c r="D917" s="51" t="s">
        <v>73</v>
      </c>
      <c r="E917" s="51" t="s">
        <v>3581</v>
      </c>
      <c r="F917" s="54" t="s">
        <v>3042</v>
      </c>
      <c r="G917" s="50">
        <v>3</v>
      </c>
      <c r="H917" s="51" t="s">
        <v>3586</v>
      </c>
      <c r="I917" s="53">
        <v>891000</v>
      </c>
      <c r="J917" s="53">
        <v>0</v>
      </c>
      <c r="K917" s="53">
        <v>22000</v>
      </c>
      <c r="L917" s="53">
        <v>0</v>
      </c>
      <c r="M917" s="53">
        <v>0</v>
      </c>
      <c r="N917" s="53">
        <v>0</v>
      </c>
      <c r="O917" s="53">
        <v>0</v>
      </c>
      <c r="P917" s="53">
        <v>0</v>
      </c>
      <c r="Q917" s="53">
        <v>0</v>
      </c>
      <c r="R917" s="53">
        <v>0</v>
      </c>
      <c r="S917" s="53">
        <v>0</v>
      </c>
      <c r="T917" s="53">
        <v>0</v>
      </c>
      <c r="U917" s="53">
        <v>1100</v>
      </c>
      <c r="V917" s="53">
        <v>0</v>
      </c>
      <c r="W917" s="53">
        <v>0</v>
      </c>
      <c r="X917" s="53">
        <v>0</v>
      </c>
      <c r="Y917" s="53">
        <v>0</v>
      </c>
      <c r="Z917" s="53">
        <v>0</v>
      </c>
      <c r="AA917" s="53">
        <v>0</v>
      </c>
      <c r="AB917" s="53">
        <v>0</v>
      </c>
      <c r="AC917" s="53">
        <v>0</v>
      </c>
      <c r="AD917" s="53">
        <v>0</v>
      </c>
      <c r="AE917" s="53">
        <v>0</v>
      </c>
      <c r="AF917" s="53">
        <v>0</v>
      </c>
      <c r="AG917" s="53">
        <v>0</v>
      </c>
      <c r="AH917" s="53">
        <v>0</v>
      </c>
      <c r="AI917" s="53">
        <v>0</v>
      </c>
      <c r="AJ917" s="53">
        <v>0</v>
      </c>
      <c r="AK917" s="53">
        <v>0</v>
      </c>
      <c r="AL917" s="53">
        <v>0</v>
      </c>
      <c r="AM917" s="53" t="str">
        <f>I917-J917-K917-L917-M917-N917-O917-P917-Q917-R917-S917-T917-U917-V917-W917-X917-Y917-Z917-AA917-AB917-AC917-AD917-AE917-AF917-AG917+AH917-AI917+AJ917+AK917-AL917</f>
        <v>0</v>
      </c>
      <c r="AN917" s="53"/>
      <c r="AO917" s="27"/>
    </row>
    <row r="918" spans="1:41">
      <c r="A918" s="44">
        <v>890</v>
      </c>
      <c r="B918" s="46" t="s">
        <v>3587</v>
      </c>
      <c r="C918" s="48" t="s">
        <v>3588</v>
      </c>
      <c r="D918" s="51" t="s">
        <v>73</v>
      </c>
      <c r="E918" s="51" t="s">
        <v>843</v>
      </c>
      <c r="F918" s="54" t="s">
        <v>3589</v>
      </c>
      <c r="G918" s="50">
        <v>3</v>
      </c>
      <c r="H918" s="51" t="s">
        <v>3590</v>
      </c>
      <c r="I918" s="53">
        <v>535500</v>
      </c>
      <c r="J918" s="53">
        <v>0</v>
      </c>
      <c r="K918" s="53">
        <v>22000</v>
      </c>
      <c r="L918" s="53">
        <v>0</v>
      </c>
      <c r="M918" s="53">
        <v>0</v>
      </c>
      <c r="N918" s="53">
        <v>0</v>
      </c>
      <c r="O918" s="53">
        <v>0</v>
      </c>
      <c r="P918" s="53">
        <v>0</v>
      </c>
      <c r="Q918" s="53">
        <v>0</v>
      </c>
      <c r="R918" s="53">
        <v>0</v>
      </c>
      <c r="S918" s="53">
        <v>0</v>
      </c>
      <c r="T918" s="53">
        <v>0</v>
      </c>
      <c r="U918" s="53">
        <v>1100</v>
      </c>
      <c r="V918" s="53">
        <v>0</v>
      </c>
      <c r="W918" s="53">
        <v>0</v>
      </c>
      <c r="X918" s="53">
        <v>0</v>
      </c>
      <c r="Y918" s="53">
        <v>0</v>
      </c>
      <c r="Z918" s="53">
        <v>0</v>
      </c>
      <c r="AA918" s="53">
        <v>0</v>
      </c>
      <c r="AB918" s="53">
        <v>0</v>
      </c>
      <c r="AC918" s="53">
        <v>0</v>
      </c>
      <c r="AD918" s="53">
        <v>0</v>
      </c>
      <c r="AE918" s="53">
        <v>0</v>
      </c>
      <c r="AF918" s="53">
        <v>0</v>
      </c>
      <c r="AG918" s="53">
        <v>0</v>
      </c>
      <c r="AH918" s="53">
        <v>0</v>
      </c>
      <c r="AI918" s="53">
        <v>0</v>
      </c>
      <c r="AJ918" s="53">
        <v>0</v>
      </c>
      <c r="AK918" s="53">
        <v>0</v>
      </c>
      <c r="AL918" s="53">
        <v>0</v>
      </c>
      <c r="AM918" s="53" t="str">
        <f>I918-J918-K918-L918-M918-N918-O918-P918-Q918-R918-S918-T918-U918-V918-W918-X918-Y918-Z918-AA918-AB918-AC918-AD918-AE918-AF918-AG918+AH918-AI918+AJ918+AK918-AL918</f>
        <v>0</v>
      </c>
      <c r="AN918" s="53"/>
      <c r="AO918" s="27"/>
    </row>
    <row r="919" spans="1:41">
      <c r="A919" s="44">
        <v>891</v>
      </c>
      <c r="B919" s="46" t="s">
        <v>3591</v>
      </c>
      <c r="C919" s="48" t="s">
        <v>3592</v>
      </c>
      <c r="D919" s="51" t="s">
        <v>73</v>
      </c>
      <c r="E919" s="51" t="s">
        <v>843</v>
      </c>
      <c r="F919" s="54" t="s">
        <v>3593</v>
      </c>
      <c r="G919" s="50">
        <v>3</v>
      </c>
      <c r="H919" s="51" t="s">
        <v>3594</v>
      </c>
      <c r="I919" s="53">
        <v>418500</v>
      </c>
      <c r="J919" s="53">
        <v>0</v>
      </c>
      <c r="K919" s="53">
        <v>22000</v>
      </c>
      <c r="L919" s="53">
        <v>0</v>
      </c>
      <c r="M919" s="53">
        <v>0</v>
      </c>
      <c r="N919" s="53">
        <v>0</v>
      </c>
      <c r="O919" s="53">
        <v>0</v>
      </c>
      <c r="P919" s="53">
        <v>0</v>
      </c>
      <c r="Q919" s="53">
        <v>0</v>
      </c>
      <c r="R919" s="53">
        <v>0</v>
      </c>
      <c r="S919" s="53">
        <v>0</v>
      </c>
      <c r="T919" s="53">
        <v>0</v>
      </c>
      <c r="U919" s="53">
        <v>1100</v>
      </c>
      <c r="V919" s="53">
        <v>0</v>
      </c>
      <c r="W919" s="53">
        <v>0</v>
      </c>
      <c r="X919" s="53">
        <v>0</v>
      </c>
      <c r="Y919" s="53">
        <v>0</v>
      </c>
      <c r="Z919" s="53">
        <v>0</v>
      </c>
      <c r="AA919" s="53">
        <v>0</v>
      </c>
      <c r="AB919" s="53">
        <v>0</v>
      </c>
      <c r="AC919" s="53">
        <v>0</v>
      </c>
      <c r="AD919" s="53">
        <v>0</v>
      </c>
      <c r="AE919" s="53">
        <v>0</v>
      </c>
      <c r="AF919" s="53">
        <v>0</v>
      </c>
      <c r="AG919" s="53">
        <v>0</v>
      </c>
      <c r="AH919" s="53">
        <v>0</v>
      </c>
      <c r="AI919" s="53">
        <v>0</v>
      </c>
      <c r="AJ919" s="53">
        <v>0</v>
      </c>
      <c r="AK919" s="53">
        <v>0</v>
      </c>
      <c r="AL919" s="53">
        <v>0</v>
      </c>
      <c r="AM919" s="53" t="str">
        <f>I919-J919-K919-L919-M919-N919-O919-P919-Q919-R919-S919-T919-U919-V919-W919-X919-Y919-Z919-AA919-AB919-AC919-AD919-AE919-AF919-AG919+AH919-AI919+AJ919+AK919-AL919</f>
        <v>0</v>
      </c>
      <c r="AN919" s="53"/>
      <c r="AO919" s="27"/>
    </row>
    <row r="920" spans="1:41">
      <c r="A920" s="44">
        <v>892</v>
      </c>
      <c r="B920" s="46" t="s">
        <v>3595</v>
      </c>
      <c r="C920" s="48" t="s">
        <v>3596</v>
      </c>
      <c r="D920" s="51" t="s">
        <v>73</v>
      </c>
      <c r="E920" s="51" t="s">
        <v>843</v>
      </c>
      <c r="F920" s="54" t="s">
        <v>3597</v>
      </c>
      <c r="G920" s="50">
        <v>3</v>
      </c>
      <c r="H920" s="51" t="s">
        <v>3598</v>
      </c>
      <c r="I920" s="53">
        <v>535500</v>
      </c>
      <c r="J920" s="53">
        <v>0</v>
      </c>
      <c r="K920" s="53">
        <v>22000</v>
      </c>
      <c r="L920" s="53">
        <v>0</v>
      </c>
      <c r="M920" s="53">
        <v>0</v>
      </c>
      <c r="N920" s="53">
        <v>0</v>
      </c>
      <c r="O920" s="53">
        <v>0</v>
      </c>
      <c r="P920" s="53">
        <v>0</v>
      </c>
      <c r="Q920" s="53">
        <v>0</v>
      </c>
      <c r="R920" s="53">
        <v>0</v>
      </c>
      <c r="S920" s="53">
        <v>0</v>
      </c>
      <c r="T920" s="53">
        <v>0</v>
      </c>
      <c r="U920" s="53">
        <v>1100</v>
      </c>
      <c r="V920" s="53">
        <v>0</v>
      </c>
      <c r="W920" s="53">
        <v>0</v>
      </c>
      <c r="X920" s="53">
        <v>0</v>
      </c>
      <c r="Y920" s="53">
        <v>0</v>
      </c>
      <c r="Z920" s="53">
        <v>0</v>
      </c>
      <c r="AA920" s="53">
        <v>0</v>
      </c>
      <c r="AB920" s="53">
        <v>0</v>
      </c>
      <c r="AC920" s="53">
        <v>0</v>
      </c>
      <c r="AD920" s="53">
        <v>0</v>
      </c>
      <c r="AE920" s="53">
        <v>0</v>
      </c>
      <c r="AF920" s="53">
        <v>0</v>
      </c>
      <c r="AG920" s="53">
        <v>0</v>
      </c>
      <c r="AH920" s="53">
        <v>0</v>
      </c>
      <c r="AI920" s="53">
        <v>0</v>
      </c>
      <c r="AJ920" s="53">
        <v>0</v>
      </c>
      <c r="AK920" s="53">
        <v>0</v>
      </c>
      <c r="AL920" s="53">
        <v>0</v>
      </c>
      <c r="AM920" s="53" t="str">
        <f>I920-J920-K920-L920-M920-N920-O920-P920-Q920-R920-S920-T920-U920-V920-W920-X920-Y920-Z920-AA920-AB920-AC920-AD920-AE920-AF920-AG920+AH920-AI920+AJ920+AK920-AL920</f>
        <v>0</v>
      </c>
      <c r="AN920" s="53"/>
      <c r="AO920" s="27"/>
    </row>
    <row r="921" spans="1:41">
      <c r="A921" s="44">
        <v>893</v>
      </c>
      <c r="B921" s="46" t="s">
        <v>3599</v>
      </c>
      <c r="C921" s="48" t="s">
        <v>3600</v>
      </c>
      <c r="D921" s="51" t="s">
        <v>73</v>
      </c>
      <c r="E921" s="51" t="s">
        <v>2299</v>
      </c>
      <c r="F921" s="54" t="s">
        <v>631</v>
      </c>
      <c r="G921" s="50">
        <v>3</v>
      </c>
      <c r="H921" s="51" t="s">
        <v>3601</v>
      </c>
      <c r="I921" s="53">
        <v>287100</v>
      </c>
      <c r="J921" s="53">
        <v>0</v>
      </c>
      <c r="K921" s="53">
        <v>22000</v>
      </c>
      <c r="L921" s="53">
        <v>0</v>
      </c>
      <c r="M921" s="53">
        <v>0</v>
      </c>
      <c r="N921" s="53">
        <v>0</v>
      </c>
      <c r="O921" s="53">
        <v>0</v>
      </c>
      <c r="P921" s="53">
        <v>0</v>
      </c>
      <c r="Q921" s="53">
        <v>0</v>
      </c>
      <c r="R921" s="53">
        <v>0</v>
      </c>
      <c r="S921" s="53">
        <v>0</v>
      </c>
      <c r="T921" s="53">
        <v>0</v>
      </c>
      <c r="U921" s="53">
        <v>1100</v>
      </c>
      <c r="V921" s="53">
        <v>0</v>
      </c>
      <c r="W921" s="53">
        <v>0</v>
      </c>
      <c r="X921" s="53">
        <v>0</v>
      </c>
      <c r="Y921" s="53">
        <v>0</v>
      </c>
      <c r="Z921" s="53">
        <v>0</v>
      </c>
      <c r="AA921" s="53">
        <v>0</v>
      </c>
      <c r="AB921" s="53">
        <v>0</v>
      </c>
      <c r="AC921" s="53">
        <v>0</v>
      </c>
      <c r="AD921" s="53">
        <v>0</v>
      </c>
      <c r="AE921" s="53">
        <v>0</v>
      </c>
      <c r="AF921" s="53">
        <v>0</v>
      </c>
      <c r="AG921" s="53">
        <v>0</v>
      </c>
      <c r="AH921" s="53">
        <v>0</v>
      </c>
      <c r="AI921" s="53">
        <v>0</v>
      </c>
      <c r="AJ921" s="53">
        <v>0</v>
      </c>
      <c r="AK921" s="53">
        <v>0</v>
      </c>
      <c r="AL921" s="53">
        <v>0</v>
      </c>
      <c r="AM921" s="53" t="str">
        <f>I921-J921-K921-L921-M921-N921-O921-P921-Q921-R921-S921-T921-U921-V921-W921-X921-Y921-Z921-AA921-AB921-AC921-AD921-AE921-AF921-AG921+AH921-AI921+AJ921+AK921-AL921</f>
        <v>0</v>
      </c>
      <c r="AN921" s="53"/>
      <c r="AO921" s="27"/>
    </row>
    <row r="922" spans="1:41">
      <c r="A922" s="44">
        <v>894</v>
      </c>
      <c r="B922" s="46" t="s">
        <v>3602</v>
      </c>
      <c r="C922" s="48" t="s">
        <v>3603</v>
      </c>
      <c r="D922" s="51" t="s">
        <v>73</v>
      </c>
      <c r="E922" s="51" t="s">
        <v>2299</v>
      </c>
      <c r="F922" s="54" t="s">
        <v>3604</v>
      </c>
      <c r="G922" s="50">
        <v>3</v>
      </c>
      <c r="H922" s="51" t="s">
        <v>3605</v>
      </c>
      <c r="I922" s="53">
        <v>891000</v>
      </c>
      <c r="J922" s="53">
        <v>0</v>
      </c>
      <c r="K922" s="53">
        <v>22000</v>
      </c>
      <c r="L922" s="53">
        <v>0</v>
      </c>
      <c r="M922" s="53">
        <v>0</v>
      </c>
      <c r="N922" s="53">
        <v>0</v>
      </c>
      <c r="O922" s="53">
        <v>0</v>
      </c>
      <c r="P922" s="53">
        <v>0</v>
      </c>
      <c r="Q922" s="53">
        <v>0</v>
      </c>
      <c r="R922" s="53">
        <v>0</v>
      </c>
      <c r="S922" s="53">
        <v>0</v>
      </c>
      <c r="T922" s="53">
        <v>0</v>
      </c>
      <c r="U922" s="53">
        <v>1100</v>
      </c>
      <c r="V922" s="53">
        <v>0</v>
      </c>
      <c r="W922" s="53">
        <v>0</v>
      </c>
      <c r="X922" s="53">
        <v>0</v>
      </c>
      <c r="Y922" s="53">
        <v>0</v>
      </c>
      <c r="Z922" s="53">
        <v>0</v>
      </c>
      <c r="AA922" s="53">
        <v>0</v>
      </c>
      <c r="AB922" s="53">
        <v>0</v>
      </c>
      <c r="AC922" s="53">
        <v>0</v>
      </c>
      <c r="AD922" s="53">
        <v>0</v>
      </c>
      <c r="AE922" s="53">
        <v>0</v>
      </c>
      <c r="AF922" s="53">
        <v>0</v>
      </c>
      <c r="AG922" s="53">
        <v>0</v>
      </c>
      <c r="AH922" s="53">
        <v>0</v>
      </c>
      <c r="AI922" s="53">
        <v>0</v>
      </c>
      <c r="AJ922" s="53">
        <v>0</v>
      </c>
      <c r="AK922" s="53">
        <v>0</v>
      </c>
      <c r="AL922" s="53">
        <v>0</v>
      </c>
      <c r="AM922" s="53" t="str">
        <f>I922-J922-K922-L922-M922-N922-O922-P922-Q922-R922-S922-T922-U922-V922-W922-X922-Y922-Z922-AA922-AB922-AC922-AD922-AE922-AF922-AG922+AH922-AI922+AJ922+AK922-AL922</f>
        <v>0</v>
      </c>
      <c r="AN922" s="53"/>
      <c r="AO922" s="27"/>
    </row>
    <row r="923" spans="1:41">
      <c r="A923" s="44">
        <v>895</v>
      </c>
      <c r="B923" s="46" t="s">
        <v>3606</v>
      </c>
      <c r="C923" s="48" t="s">
        <v>3607</v>
      </c>
      <c r="D923" s="51" t="s">
        <v>73</v>
      </c>
      <c r="E923" s="51" t="s">
        <v>3608</v>
      </c>
      <c r="F923" s="54" t="s">
        <v>2056</v>
      </c>
      <c r="G923" s="50">
        <v>3</v>
      </c>
      <c r="H923" s="51" t="s">
        <v>3609</v>
      </c>
      <c r="I923" s="53">
        <v>629100</v>
      </c>
      <c r="J923" s="53">
        <v>0</v>
      </c>
      <c r="K923" s="53">
        <v>22000</v>
      </c>
      <c r="L923" s="53">
        <v>0</v>
      </c>
      <c r="M923" s="53">
        <v>0</v>
      </c>
      <c r="N923" s="53">
        <v>0</v>
      </c>
      <c r="O923" s="53">
        <v>0</v>
      </c>
      <c r="P923" s="53">
        <v>0</v>
      </c>
      <c r="Q923" s="53">
        <v>0</v>
      </c>
      <c r="R923" s="53">
        <v>0</v>
      </c>
      <c r="S923" s="53">
        <v>0</v>
      </c>
      <c r="T923" s="53">
        <v>0</v>
      </c>
      <c r="U923" s="53">
        <v>1100</v>
      </c>
      <c r="V923" s="53">
        <v>0</v>
      </c>
      <c r="W923" s="53">
        <v>0</v>
      </c>
      <c r="X923" s="53">
        <v>0</v>
      </c>
      <c r="Y923" s="53">
        <v>0</v>
      </c>
      <c r="Z923" s="53">
        <v>0</v>
      </c>
      <c r="AA923" s="53">
        <v>0</v>
      </c>
      <c r="AB923" s="53">
        <v>0</v>
      </c>
      <c r="AC923" s="53">
        <v>0</v>
      </c>
      <c r="AD923" s="53">
        <v>0</v>
      </c>
      <c r="AE923" s="53">
        <v>0</v>
      </c>
      <c r="AF923" s="53">
        <v>0</v>
      </c>
      <c r="AG923" s="53">
        <v>0</v>
      </c>
      <c r="AH923" s="53">
        <v>0</v>
      </c>
      <c r="AI923" s="53">
        <v>0</v>
      </c>
      <c r="AJ923" s="53">
        <v>0</v>
      </c>
      <c r="AK923" s="53">
        <v>0</v>
      </c>
      <c r="AL923" s="53">
        <v>0</v>
      </c>
      <c r="AM923" s="53" t="str">
        <f>I923-J923-K923-L923-M923-N923-O923-P923-Q923-R923-S923-T923-U923-V923-W923-X923-Y923-Z923-AA923-AB923-AC923-AD923-AE923-AF923-AG923+AH923-AI923+AJ923+AK923-AL923</f>
        <v>0</v>
      </c>
      <c r="AN923" s="53"/>
      <c r="AO923" s="27"/>
    </row>
    <row r="924" spans="1:41">
      <c r="A924" s="44">
        <v>896</v>
      </c>
      <c r="B924" s="46" t="s">
        <v>3610</v>
      </c>
      <c r="C924" s="48" t="s">
        <v>3611</v>
      </c>
      <c r="D924" s="51" t="s">
        <v>73</v>
      </c>
      <c r="E924" s="51" t="s">
        <v>3608</v>
      </c>
      <c r="F924" s="54" t="s">
        <v>3612</v>
      </c>
      <c r="G924" s="50">
        <v>14</v>
      </c>
      <c r="H924" s="51" t="s">
        <v>3613</v>
      </c>
      <c r="I924" s="53">
        <v>3869100</v>
      </c>
      <c r="J924" s="53">
        <v>19346</v>
      </c>
      <c r="K924" s="53">
        <v>56000</v>
      </c>
      <c r="L924" s="53">
        <v>0</v>
      </c>
      <c r="M924" s="53">
        <v>0</v>
      </c>
      <c r="N924" s="53">
        <v>0</v>
      </c>
      <c r="O924" s="53">
        <v>0</v>
      </c>
      <c r="P924" s="53">
        <v>0</v>
      </c>
      <c r="Q924" s="53">
        <v>0</v>
      </c>
      <c r="R924" s="53">
        <v>0</v>
      </c>
      <c r="S924" s="53">
        <v>0</v>
      </c>
      <c r="T924" s="53">
        <v>0</v>
      </c>
      <c r="U924" s="53">
        <v>2800</v>
      </c>
      <c r="V924" s="53">
        <v>0</v>
      </c>
      <c r="W924" s="53">
        <v>0</v>
      </c>
      <c r="X924" s="53">
        <v>0</v>
      </c>
      <c r="Y924" s="53">
        <v>0</v>
      </c>
      <c r="Z924" s="53">
        <v>0</v>
      </c>
      <c r="AA924" s="53">
        <v>0</v>
      </c>
      <c r="AB924" s="53">
        <v>0</v>
      </c>
      <c r="AC924" s="53">
        <v>0</v>
      </c>
      <c r="AD924" s="53">
        <v>0</v>
      </c>
      <c r="AE924" s="53">
        <v>0</v>
      </c>
      <c r="AF924" s="53">
        <v>0</v>
      </c>
      <c r="AG924" s="53">
        <v>0</v>
      </c>
      <c r="AH924" s="53">
        <v>0</v>
      </c>
      <c r="AI924" s="53">
        <v>0</v>
      </c>
      <c r="AJ924" s="53">
        <v>0</v>
      </c>
      <c r="AK924" s="53">
        <v>0</v>
      </c>
      <c r="AL924" s="53">
        <v>0</v>
      </c>
      <c r="AM924" s="53" t="str">
        <f>I924-J924-K924-L924-M924-N924-O924-P924-Q924-R924-S924-T924-U924-V924-W924-X924-Y924-Z924-AA924-AB924-AC924-AD924-AE924-AF924-AG924+AH924-AI924+AJ924+AK924-AL924</f>
        <v>0</v>
      </c>
      <c r="AN924" s="53"/>
      <c r="AO924" s="27"/>
    </row>
    <row r="925" spans="1:41">
      <c r="A925" s="44">
        <v>897</v>
      </c>
      <c r="B925" s="46" t="s">
        <v>3614</v>
      </c>
      <c r="C925" s="48" t="s">
        <v>3615</v>
      </c>
      <c r="D925" s="51" t="s">
        <v>73</v>
      </c>
      <c r="E925" s="51" t="s">
        <v>3608</v>
      </c>
      <c r="F925" s="54" t="s">
        <v>2212</v>
      </c>
      <c r="G925" s="50">
        <v>3</v>
      </c>
      <c r="H925" s="51" t="s">
        <v>3616</v>
      </c>
      <c r="I925" s="53">
        <v>891000</v>
      </c>
      <c r="J925" s="53">
        <v>0</v>
      </c>
      <c r="K925" s="53">
        <v>22000</v>
      </c>
      <c r="L925" s="53">
        <v>0</v>
      </c>
      <c r="M925" s="53">
        <v>0</v>
      </c>
      <c r="N925" s="53">
        <v>0</v>
      </c>
      <c r="O925" s="53">
        <v>0</v>
      </c>
      <c r="P925" s="53">
        <v>0</v>
      </c>
      <c r="Q925" s="53">
        <v>0</v>
      </c>
      <c r="R925" s="53">
        <v>0</v>
      </c>
      <c r="S925" s="53">
        <v>0</v>
      </c>
      <c r="T925" s="53">
        <v>0</v>
      </c>
      <c r="U925" s="53">
        <v>1100</v>
      </c>
      <c r="V925" s="53">
        <v>0</v>
      </c>
      <c r="W925" s="53">
        <v>0</v>
      </c>
      <c r="X925" s="53">
        <v>0</v>
      </c>
      <c r="Y925" s="53">
        <v>0</v>
      </c>
      <c r="Z925" s="53">
        <v>0</v>
      </c>
      <c r="AA925" s="53">
        <v>0</v>
      </c>
      <c r="AB925" s="53">
        <v>0</v>
      </c>
      <c r="AC925" s="53">
        <v>0</v>
      </c>
      <c r="AD925" s="53">
        <v>0</v>
      </c>
      <c r="AE925" s="53">
        <v>0</v>
      </c>
      <c r="AF925" s="53">
        <v>0</v>
      </c>
      <c r="AG925" s="53">
        <v>0</v>
      </c>
      <c r="AH925" s="53">
        <v>0</v>
      </c>
      <c r="AI925" s="53">
        <v>0</v>
      </c>
      <c r="AJ925" s="53">
        <v>0</v>
      </c>
      <c r="AK925" s="53">
        <v>0</v>
      </c>
      <c r="AL925" s="53">
        <v>0</v>
      </c>
      <c r="AM925" s="53" t="str">
        <f>I925-J925-K925-L925-M925-N925-O925-P925-Q925-R925-S925-T925-U925-V925-W925-X925-Y925-Z925-AA925-AB925-AC925-AD925-AE925-AF925-AG925+AH925-AI925+AJ925+AK925-AL925</f>
        <v>0</v>
      </c>
      <c r="AN925" s="53"/>
      <c r="AO925" s="27"/>
    </row>
    <row r="926" spans="1:41">
      <c r="A926" s="44">
        <v>898</v>
      </c>
      <c r="B926" s="46" t="s">
        <v>3617</v>
      </c>
      <c r="C926" s="48" t="s">
        <v>3618</v>
      </c>
      <c r="D926" s="51" t="s">
        <v>73</v>
      </c>
      <c r="E926" s="51" t="s">
        <v>3608</v>
      </c>
      <c r="F926" s="54" t="s">
        <v>2855</v>
      </c>
      <c r="G926" s="50">
        <v>3</v>
      </c>
      <c r="H926" s="51" t="s">
        <v>3619</v>
      </c>
      <c r="I926" s="53">
        <v>215100</v>
      </c>
      <c r="J926" s="53">
        <v>0</v>
      </c>
      <c r="K926" s="53">
        <v>22000</v>
      </c>
      <c r="L926" s="53">
        <v>0</v>
      </c>
      <c r="M926" s="53">
        <v>0</v>
      </c>
      <c r="N926" s="53">
        <v>0</v>
      </c>
      <c r="O926" s="53">
        <v>0</v>
      </c>
      <c r="P926" s="53">
        <v>0</v>
      </c>
      <c r="Q926" s="53">
        <v>0</v>
      </c>
      <c r="R926" s="53">
        <v>0</v>
      </c>
      <c r="S926" s="53">
        <v>0</v>
      </c>
      <c r="T926" s="53">
        <v>0</v>
      </c>
      <c r="U926" s="53">
        <v>1100</v>
      </c>
      <c r="V926" s="53">
        <v>0</v>
      </c>
      <c r="W926" s="53">
        <v>0</v>
      </c>
      <c r="X926" s="53">
        <v>0</v>
      </c>
      <c r="Y926" s="53">
        <v>0</v>
      </c>
      <c r="Z926" s="53">
        <v>0</v>
      </c>
      <c r="AA926" s="53">
        <v>0</v>
      </c>
      <c r="AB926" s="53">
        <v>0</v>
      </c>
      <c r="AC926" s="53">
        <v>0</v>
      </c>
      <c r="AD926" s="53">
        <v>0</v>
      </c>
      <c r="AE926" s="53">
        <v>0</v>
      </c>
      <c r="AF926" s="53">
        <v>0</v>
      </c>
      <c r="AG926" s="53">
        <v>0</v>
      </c>
      <c r="AH926" s="53">
        <v>0</v>
      </c>
      <c r="AI926" s="53">
        <v>0</v>
      </c>
      <c r="AJ926" s="53">
        <v>0</v>
      </c>
      <c r="AK926" s="53">
        <v>0</v>
      </c>
      <c r="AL926" s="53">
        <v>0</v>
      </c>
      <c r="AM926" s="53" t="str">
        <f>I926-J926-K926-L926-M926-N926-O926-P926-Q926-R926-S926-T926-U926-V926-W926-X926-Y926-Z926-AA926-AB926-AC926-AD926-AE926-AF926-AG926+AH926-AI926+AJ926+AK926-AL926</f>
        <v>0</v>
      </c>
      <c r="AN926" s="53"/>
      <c r="AO926" s="27"/>
    </row>
    <row r="927" spans="1:41">
      <c r="A927" s="44">
        <v>899</v>
      </c>
      <c r="B927" s="46" t="s">
        <v>3620</v>
      </c>
      <c r="C927" s="48" t="s">
        <v>3621</v>
      </c>
      <c r="D927" s="51" t="s">
        <v>73</v>
      </c>
      <c r="E927" s="51" t="s">
        <v>3608</v>
      </c>
      <c r="F927" s="54" t="s">
        <v>631</v>
      </c>
      <c r="G927" s="50">
        <v>3</v>
      </c>
      <c r="H927" s="51" t="s">
        <v>3622</v>
      </c>
      <c r="I927" s="53">
        <v>535500</v>
      </c>
      <c r="J927" s="53">
        <v>0</v>
      </c>
      <c r="K927" s="53">
        <v>22000</v>
      </c>
      <c r="L927" s="53">
        <v>0</v>
      </c>
      <c r="M927" s="53">
        <v>0</v>
      </c>
      <c r="N927" s="53">
        <v>0</v>
      </c>
      <c r="O927" s="53">
        <v>0</v>
      </c>
      <c r="P927" s="53">
        <v>0</v>
      </c>
      <c r="Q927" s="53">
        <v>0</v>
      </c>
      <c r="R927" s="53">
        <v>0</v>
      </c>
      <c r="S927" s="53">
        <v>0</v>
      </c>
      <c r="T927" s="53">
        <v>0</v>
      </c>
      <c r="U927" s="53">
        <v>1100</v>
      </c>
      <c r="V927" s="53">
        <v>0</v>
      </c>
      <c r="W927" s="53">
        <v>0</v>
      </c>
      <c r="X927" s="53">
        <v>0</v>
      </c>
      <c r="Y927" s="53">
        <v>0</v>
      </c>
      <c r="Z927" s="53">
        <v>0</v>
      </c>
      <c r="AA927" s="53">
        <v>0</v>
      </c>
      <c r="AB927" s="53">
        <v>0</v>
      </c>
      <c r="AC927" s="53">
        <v>0</v>
      </c>
      <c r="AD927" s="53">
        <v>0</v>
      </c>
      <c r="AE927" s="53">
        <v>0</v>
      </c>
      <c r="AF927" s="53">
        <v>0</v>
      </c>
      <c r="AG927" s="53">
        <v>0</v>
      </c>
      <c r="AH927" s="53">
        <v>0</v>
      </c>
      <c r="AI927" s="53">
        <v>0</v>
      </c>
      <c r="AJ927" s="53">
        <v>0</v>
      </c>
      <c r="AK927" s="53">
        <v>0</v>
      </c>
      <c r="AL927" s="53">
        <v>0</v>
      </c>
      <c r="AM927" s="53" t="str">
        <f>I927-J927-K927-L927-M927-N927-O927-P927-Q927-R927-S927-T927-U927-V927-W927-X927-Y927-Z927-AA927-AB927-AC927-AD927-AE927-AF927-AG927+AH927-AI927+AJ927+AK927-AL927</f>
        <v>0</v>
      </c>
      <c r="AN927" s="53"/>
      <c r="AO927" s="27"/>
    </row>
    <row r="928" spans="1:41">
      <c r="A928" s="44">
        <v>900</v>
      </c>
      <c r="B928" s="46" t="s">
        <v>3623</v>
      </c>
      <c r="C928" s="48" t="s">
        <v>3624</v>
      </c>
      <c r="D928" s="51" t="s">
        <v>73</v>
      </c>
      <c r="E928" s="51" t="s">
        <v>3608</v>
      </c>
      <c r="F928" s="54" t="s">
        <v>3625</v>
      </c>
      <c r="G928" s="50">
        <v>3</v>
      </c>
      <c r="H928" s="51" t="s">
        <v>3626</v>
      </c>
      <c r="I928" s="53">
        <v>535500</v>
      </c>
      <c r="J928" s="53">
        <v>0</v>
      </c>
      <c r="K928" s="53">
        <v>22000</v>
      </c>
      <c r="L928" s="53">
        <v>0</v>
      </c>
      <c r="M928" s="53">
        <v>0</v>
      </c>
      <c r="N928" s="53">
        <v>0</v>
      </c>
      <c r="O928" s="53">
        <v>0</v>
      </c>
      <c r="P928" s="53">
        <v>0</v>
      </c>
      <c r="Q928" s="53">
        <v>0</v>
      </c>
      <c r="R928" s="53">
        <v>0</v>
      </c>
      <c r="S928" s="53">
        <v>0</v>
      </c>
      <c r="T928" s="53">
        <v>0</v>
      </c>
      <c r="U928" s="53">
        <v>1100</v>
      </c>
      <c r="V928" s="53">
        <v>0</v>
      </c>
      <c r="W928" s="53">
        <v>0</v>
      </c>
      <c r="X928" s="53">
        <v>0</v>
      </c>
      <c r="Y928" s="53">
        <v>0</v>
      </c>
      <c r="Z928" s="53">
        <v>0</v>
      </c>
      <c r="AA928" s="53">
        <v>0</v>
      </c>
      <c r="AB928" s="53">
        <v>0</v>
      </c>
      <c r="AC928" s="53">
        <v>0</v>
      </c>
      <c r="AD928" s="53">
        <v>0</v>
      </c>
      <c r="AE928" s="53">
        <v>0</v>
      </c>
      <c r="AF928" s="53">
        <v>0</v>
      </c>
      <c r="AG928" s="53">
        <v>0</v>
      </c>
      <c r="AH928" s="53">
        <v>0</v>
      </c>
      <c r="AI928" s="53">
        <v>0</v>
      </c>
      <c r="AJ928" s="53">
        <v>0</v>
      </c>
      <c r="AK928" s="53">
        <v>0</v>
      </c>
      <c r="AL928" s="53">
        <v>0</v>
      </c>
      <c r="AM928" s="53" t="str">
        <f>I928-J928-K928-L928-M928-N928-O928-P928-Q928-R928-S928-T928-U928-V928-W928-X928-Y928-Z928-AA928-AB928-AC928-AD928-AE928-AF928-AG928+AH928-AI928+AJ928+AK928-AL928</f>
        <v>0</v>
      </c>
      <c r="AN928" s="53"/>
      <c r="AO928" s="27"/>
    </row>
    <row r="929" spans="1:41">
      <c r="A929" s="44">
        <v>901</v>
      </c>
      <c r="B929" s="46" t="s">
        <v>3627</v>
      </c>
      <c r="C929" s="48" t="s">
        <v>3628</v>
      </c>
      <c r="D929" s="51" t="s">
        <v>73</v>
      </c>
      <c r="E929" s="51" t="s">
        <v>3629</v>
      </c>
      <c r="F929" s="54" t="s">
        <v>3630</v>
      </c>
      <c r="G929" s="50">
        <v>3</v>
      </c>
      <c r="H929" s="51" t="s">
        <v>3631</v>
      </c>
      <c r="I929" s="53">
        <v>427500</v>
      </c>
      <c r="J929" s="53">
        <v>0</v>
      </c>
      <c r="K929" s="53">
        <v>22000</v>
      </c>
      <c r="L929" s="53">
        <v>0</v>
      </c>
      <c r="M929" s="53">
        <v>0</v>
      </c>
      <c r="N929" s="53">
        <v>0</v>
      </c>
      <c r="O929" s="53">
        <v>0</v>
      </c>
      <c r="P929" s="53">
        <v>0</v>
      </c>
      <c r="Q929" s="53">
        <v>0</v>
      </c>
      <c r="R929" s="53">
        <v>0</v>
      </c>
      <c r="S929" s="53">
        <v>0</v>
      </c>
      <c r="T929" s="53">
        <v>0</v>
      </c>
      <c r="U929" s="53">
        <v>1100</v>
      </c>
      <c r="V929" s="53">
        <v>0</v>
      </c>
      <c r="W929" s="53">
        <v>0</v>
      </c>
      <c r="X929" s="53">
        <v>0</v>
      </c>
      <c r="Y929" s="53">
        <v>0</v>
      </c>
      <c r="Z929" s="53">
        <v>0</v>
      </c>
      <c r="AA929" s="53">
        <v>0</v>
      </c>
      <c r="AB929" s="53">
        <v>0</v>
      </c>
      <c r="AC929" s="53">
        <v>0</v>
      </c>
      <c r="AD929" s="53">
        <v>0</v>
      </c>
      <c r="AE929" s="53">
        <v>0</v>
      </c>
      <c r="AF929" s="53">
        <v>0</v>
      </c>
      <c r="AG929" s="53">
        <v>0</v>
      </c>
      <c r="AH929" s="53">
        <v>0</v>
      </c>
      <c r="AI929" s="53">
        <v>0</v>
      </c>
      <c r="AJ929" s="53">
        <v>0</v>
      </c>
      <c r="AK929" s="53">
        <v>0</v>
      </c>
      <c r="AL929" s="53">
        <v>0</v>
      </c>
      <c r="AM929" s="53" t="str">
        <f>I929-J929-K929-L929-M929-N929-O929-P929-Q929-R929-S929-T929-U929-V929-W929-X929-Y929-Z929-AA929-AB929-AC929-AD929-AE929-AF929-AG929+AH929-AI929+AJ929+AK929-AL929</f>
        <v>0</v>
      </c>
      <c r="AN929" s="53"/>
      <c r="AO929" s="27"/>
    </row>
    <row r="930" spans="1:41">
      <c r="A930" s="44">
        <v>902</v>
      </c>
      <c r="B930" s="46" t="s">
        <v>3632</v>
      </c>
      <c r="C930" s="48" t="s">
        <v>3633</v>
      </c>
      <c r="D930" s="51" t="s">
        <v>73</v>
      </c>
      <c r="E930" s="51" t="s">
        <v>3629</v>
      </c>
      <c r="F930" s="54" t="s">
        <v>3634</v>
      </c>
      <c r="G930" s="50">
        <v>3</v>
      </c>
      <c r="H930" s="51" t="s">
        <v>3635</v>
      </c>
      <c r="I930" s="53">
        <v>539100</v>
      </c>
      <c r="J930" s="53">
        <v>0</v>
      </c>
      <c r="K930" s="53">
        <v>22000</v>
      </c>
      <c r="L930" s="53">
        <v>0</v>
      </c>
      <c r="M930" s="53">
        <v>0</v>
      </c>
      <c r="N930" s="53">
        <v>0</v>
      </c>
      <c r="O930" s="53">
        <v>0</v>
      </c>
      <c r="P930" s="53">
        <v>0</v>
      </c>
      <c r="Q930" s="53">
        <v>0</v>
      </c>
      <c r="R930" s="53">
        <v>0</v>
      </c>
      <c r="S930" s="53">
        <v>0</v>
      </c>
      <c r="T930" s="53">
        <v>0</v>
      </c>
      <c r="U930" s="53">
        <v>1100</v>
      </c>
      <c r="V930" s="53">
        <v>0</v>
      </c>
      <c r="W930" s="53">
        <v>0</v>
      </c>
      <c r="X930" s="53">
        <v>0</v>
      </c>
      <c r="Y930" s="53">
        <v>0</v>
      </c>
      <c r="Z930" s="53">
        <v>0</v>
      </c>
      <c r="AA930" s="53">
        <v>0</v>
      </c>
      <c r="AB930" s="53">
        <v>0</v>
      </c>
      <c r="AC930" s="53">
        <v>0</v>
      </c>
      <c r="AD930" s="53">
        <v>0</v>
      </c>
      <c r="AE930" s="53">
        <v>0</v>
      </c>
      <c r="AF930" s="53">
        <v>0</v>
      </c>
      <c r="AG930" s="53">
        <v>0</v>
      </c>
      <c r="AH930" s="53">
        <v>0</v>
      </c>
      <c r="AI930" s="53">
        <v>0</v>
      </c>
      <c r="AJ930" s="53">
        <v>0</v>
      </c>
      <c r="AK930" s="53">
        <v>0</v>
      </c>
      <c r="AL930" s="53">
        <v>0</v>
      </c>
      <c r="AM930" s="53" t="str">
        <f>I930-J930-K930-L930-M930-N930-O930-P930-Q930-R930-S930-T930-U930-V930-W930-X930-Y930-Z930-AA930-AB930-AC930-AD930-AE930-AF930-AG930+AH930-AI930+AJ930+AK930-AL930</f>
        <v>0</v>
      </c>
      <c r="AN930" s="53"/>
      <c r="AO930" s="27"/>
    </row>
    <row r="931" spans="1:41">
      <c r="A931" s="44">
        <v>903</v>
      </c>
      <c r="B931" s="46" t="s">
        <v>3636</v>
      </c>
      <c r="C931" s="48" t="s">
        <v>3637</v>
      </c>
      <c r="D931" s="51" t="s">
        <v>73</v>
      </c>
      <c r="E931" s="51" t="s">
        <v>3629</v>
      </c>
      <c r="F931" s="54" t="s">
        <v>3638</v>
      </c>
      <c r="G931" s="50">
        <v>4</v>
      </c>
      <c r="H931" s="51" t="s">
        <v>3639</v>
      </c>
      <c r="I931" s="53">
        <v>1142100</v>
      </c>
      <c r="J931" s="53">
        <v>0</v>
      </c>
      <c r="K931" s="53">
        <v>25000</v>
      </c>
      <c r="L931" s="53">
        <v>0</v>
      </c>
      <c r="M931" s="53">
        <v>0</v>
      </c>
      <c r="N931" s="53">
        <v>0</v>
      </c>
      <c r="O931" s="53">
        <v>0</v>
      </c>
      <c r="P931" s="53">
        <v>0</v>
      </c>
      <c r="Q931" s="53">
        <v>0</v>
      </c>
      <c r="R931" s="53">
        <v>0</v>
      </c>
      <c r="S931" s="53">
        <v>0</v>
      </c>
      <c r="T931" s="53">
        <v>0</v>
      </c>
      <c r="U931" s="53">
        <v>1250</v>
      </c>
      <c r="V931" s="53">
        <v>0</v>
      </c>
      <c r="W931" s="53">
        <v>0</v>
      </c>
      <c r="X931" s="53">
        <v>0</v>
      </c>
      <c r="Y931" s="53">
        <v>0</v>
      </c>
      <c r="Z931" s="53">
        <v>0</v>
      </c>
      <c r="AA931" s="53">
        <v>0</v>
      </c>
      <c r="AB931" s="53">
        <v>0</v>
      </c>
      <c r="AC931" s="53">
        <v>0</v>
      </c>
      <c r="AD931" s="53">
        <v>0</v>
      </c>
      <c r="AE931" s="53">
        <v>0</v>
      </c>
      <c r="AF931" s="53">
        <v>0</v>
      </c>
      <c r="AG931" s="53">
        <v>0</v>
      </c>
      <c r="AH931" s="53">
        <v>0</v>
      </c>
      <c r="AI931" s="53">
        <v>0</v>
      </c>
      <c r="AJ931" s="53">
        <v>0</v>
      </c>
      <c r="AK931" s="53">
        <v>0</v>
      </c>
      <c r="AL931" s="53">
        <v>0</v>
      </c>
      <c r="AM931" s="53" t="str">
        <f>I931-J931-K931-L931-M931-N931-O931-P931-Q931-R931-S931-T931-U931-V931-W931-X931-Y931-Z931-AA931-AB931-AC931-AD931-AE931-AF931-AG931+AH931-AI931+AJ931+AK931-AL931</f>
        <v>0</v>
      </c>
      <c r="AN931" s="53"/>
      <c r="AO931" s="27"/>
    </row>
    <row r="932" spans="1:41">
      <c r="A932" s="44">
        <v>904</v>
      </c>
      <c r="B932" s="46" t="s">
        <v>3640</v>
      </c>
      <c r="C932" s="48" t="s">
        <v>3641</v>
      </c>
      <c r="D932" s="51" t="s">
        <v>73</v>
      </c>
      <c r="E932" s="51" t="s">
        <v>3642</v>
      </c>
      <c r="F932" s="54" t="s">
        <v>3643</v>
      </c>
      <c r="G932" s="50">
        <v>3</v>
      </c>
      <c r="H932" s="51" t="s">
        <v>3644</v>
      </c>
      <c r="I932" s="53">
        <v>891000</v>
      </c>
      <c r="J932" s="53">
        <v>0</v>
      </c>
      <c r="K932" s="53">
        <v>22000</v>
      </c>
      <c r="L932" s="53">
        <v>0</v>
      </c>
      <c r="M932" s="53">
        <v>0</v>
      </c>
      <c r="N932" s="53">
        <v>0</v>
      </c>
      <c r="O932" s="53">
        <v>0</v>
      </c>
      <c r="P932" s="53">
        <v>0</v>
      </c>
      <c r="Q932" s="53">
        <v>0</v>
      </c>
      <c r="R932" s="53">
        <v>0</v>
      </c>
      <c r="S932" s="53">
        <v>0</v>
      </c>
      <c r="T932" s="53">
        <v>0</v>
      </c>
      <c r="U932" s="53">
        <v>1100</v>
      </c>
      <c r="V932" s="53">
        <v>0</v>
      </c>
      <c r="W932" s="53">
        <v>0</v>
      </c>
      <c r="X932" s="53">
        <v>0</v>
      </c>
      <c r="Y932" s="53">
        <v>0</v>
      </c>
      <c r="Z932" s="53">
        <v>0</v>
      </c>
      <c r="AA932" s="53">
        <v>0</v>
      </c>
      <c r="AB932" s="53">
        <v>0</v>
      </c>
      <c r="AC932" s="53">
        <v>0</v>
      </c>
      <c r="AD932" s="53">
        <v>0</v>
      </c>
      <c r="AE932" s="53">
        <v>0</v>
      </c>
      <c r="AF932" s="53">
        <v>0</v>
      </c>
      <c r="AG932" s="53">
        <v>0</v>
      </c>
      <c r="AH932" s="53">
        <v>0</v>
      </c>
      <c r="AI932" s="53">
        <v>0</v>
      </c>
      <c r="AJ932" s="53">
        <v>0</v>
      </c>
      <c r="AK932" s="53">
        <v>0</v>
      </c>
      <c r="AL932" s="53">
        <v>0</v>
      </c>
      <c r="AM932" s="53" t="str">
        <f>I932-J932-K932-L932-M932-N932-O932-P932-Q932-R932-S932-T932-U932-V932-W932-X932-Y932-Z932-AA932-AB932-AC932-AD932-AE932-AF932-AG932+AH932-AI932+AJ932+AK932-AL932</f>
        <v>0</v>
      </c>
      <c r="AN932" s="53"/>
      <c r="AO932" s="27"/>
    </row>
    <row r="933" spans="1:41">
      <c r="A933" s="44">
        <v>905</v>
      </c>
      <c r="B933" s="46" t="s">
        <v>3645</v>
      </c>
      <c r="C933" s="48" t="s">
        <v>3646</v>
      </c>
      <c r="D933" s="51" t="s">
        <v>73</v>
      </c>
      <c r="E933" s="51" t="s">
        <v>2108</v>
      </c>
      <c r="F933" s="54" t="s">
        <v>3529</v>
      </c>
      <c r="G933" s="50">
        <v>5.8</v>
      </c>
      <c r="H933" s="51" t="s">
        <v>3647</v>
      </c>
      <c r="I933" s="53">
        <v>634000</v>
      </c>
      <c r="J933" s="53">
        <v>0</v>
      </c>
      <c r="K933" s="53">
        <v>31000</v>
      </c>
      <c r="L933" s="53">
        <v>0</v>
      </c>
      <c r="M933" s="53">
        <v>0</v>
      </c>
      <c r="N933" s="53">
        <v>0</v>
      </c>
      <c r="O933" s="53">
        <v>0</v>
      </c>
      <c r="P933" s="53">
        <v>0</v>
      </c>
      <c r="Q933" s="53">
        <v>0</v>
      </c>
      <c r="R933" s="53">
        <v>0</v>
      </c>
      <c r="S933" s="53">
        <v>0</v>
      </c>
      <c r="T933" s="53">
        <v>0</v>
      </c>
      <c r="U933" s="53">
        <v>1550</v>
      </c>
      <c r="V933" s="53">
        <v>0</v>
      </c>
      <c r="W933" s="53">
        <v>0</v>
      </c>
      <c r="X933" s="53">
        <v>0</v>
      </c>
      <c r="Y933" s="53">
        <v>0</v>
      </c>
      <c r="Z933" s="53">
        <v>0</v>
      </c>
      <c r="AA933" s="53">
        <v>0</v>
      </c>
      <c r="AB933" s="53">
        <v>0</v>
      </c>
      <c r="AC933" s="53">
        <v>0</v>
      </c>
      <c r="AD933" s="53">
        <v>0</v>
      </c>
      <c r="AE933" s="53">
        <v>0</v>
      </c>
      <c r="AF933" s="53">
        <v>0</v>
      </c>
      <c r="AG933" s="53">
        <v>0</v>
      </c>
      <c r="AH933" s="53">
        <v>0</v>
      </c>
      <c r="AI933" s="53">
        <v>0</v>
      </c>
      <c r="AJ933" s="53">
        <v>0</v>
      </c>
      <c r="AK933" s="53">
        <v>0</v>
      </c>
      <c r="AL933" s="53">
        <v>0</v>
      </c>
      <c r="AM933" s="53" t="str">
        <f>I933-J933-K933-L933-M933-N933-O933-P933-Q933-R933-S933-T933-U933-V933-W933-X933-Y933-Z933-AA933-AB933-AC933-AD933-AE933-AF933-AG933+AH933-AI933+AJ933+AK933-AL933</f>
        <v>0</v>
      </c>
      <c r="AN933" s="53"/>
      <c r="AO933" s="27"/>
    </row>
    <row r="934" spans="1:41">
      <c r="A934" s="44">
        <v>906</v>
      </c>
      <c r="B934" s="46" t="s">
        <v>3648</v>
      </c>
      <c r="C934" s="48" t="s">
        <v>3649</v>
      </c>
      <c r="D934" s="51" t="s">
        <v>73</v>
      </c>
      <c r="E934" s="51" t="s">
        <v>2108</v>
      </c>
      <c r="F934" s="54" t="s">
        <v>3650</v>
      </c>
      <c r="G934" s="50">
        <v>6</v>
      </c>
      <c r="H934" s="51" t="s">
        <v>3651</v>
      </c>
      <c r="I934" s="53">
        <v>1590000</v>
      </c>
      <c r="J934" s="53">
        <v>0</v>
      </c>
      <c r="K934" s="53">
        <v>31000</v>
      </c>
      <c r="L934" s="53">
        <v>0</v>
      </c>
      <c r="M934" s="53">
        <v>0</v>
      </c>
      <c r="N934" s="53">
        <v>0</v>
      </c>
      <c r="O934" s="53">
        <v>0</v>
      </c>
      <c r="P934" s="53">
        <v>0</v>
      </c>
      <c r="Q934" s="53">
        <v>0</v>
      </c>
      <c r="R934" s="53">
        <v>0</v>
      </c>
      <c r="S934" s="53">
        <v>0</v>
      </c>
      <c r="T934" s="53">
        <v>0</v>
      </c>
      <c r="U934" s="53">
        <v>1550</v>
      </c>
      <c r="V934" s="53">
        <v>0</v>
      </c>
      <c r="W934" s="53">
        <v>0</v>
      </c>
      <c r="X934" s="53">
        <v>0</v>
      </c>
      <c r="Y934" s="53">
        <v>0</v>
      </c>
      <c r="Z934" s="53">
        <v>0</v>
      </c>
      <c r="AA934" s="53">
        <v>0</v>
      </c>
      <c r="AB934" s="53">
        <v>0</v>
      </c>
      <c r="AC934" s="53">
        <v>0</v>
      </c>
      <c r="AD934" s="53">
        <v>0</v>
      </c>
      <c r="AE934" s="53">
        <v>0</v>
      </c>
      <c r="AF934" s="53">
        <v>0</v>
      </c>
      <c r="AG934" s="53">
        <v>0</v>
      </c>
      <c r="AH934" s="53">
        <v>0</v>
      </c>
      <c r="AI934" s="53">
        <v>0</v>
      </c>
      <c r="AJ934" s="53">
        <v>0</v>
      </c>
      <c r="AK934" s="53">
        <v>0</v>
      </c>
      <c r="AL934" s="53">
        <v>0</v>
      </c>
      <c r="AM934" s="53" t="str">
        <f>I934-J934-K934-L934-M934-N934-O934-P934-Q934-R934-S934-T934-U934-V934-W934-X934-Y934-Z934-AA934-AB934-AC934-AD934-AE934-AF934-AG934+AH934-AI934+AJ934+AK934-AL934</f>
        <v>0</v>
      </c>
      <c r="AN934" s="53"/>
      <c r="AO934" s="27"/>
    </row>
    <row r="935" spans="1:41">
      <c r="A935" s="44">
        <v>907</v>
      </c>
      <c r="B935" s="46" t="s">
        <v>3652</v>
      </c>
      <c r="C935" s="48" t="s">
        <v>3653</v>
      </c>
      <c r="D935" s="51" t="s">
        <v>73</v>
      </c>
      <c r="E935" s="51" t="s">
        <v>3654</v>
      </c>
      <c r="F935" s="54" t="s">
        <v>3655</v>
      </c>
      <c r="G935" s="50">
        <v>3</v>
      </c>
      <c r="H935" s="51" t="s">
        <v>3656</v>
      </c>
      <c r="I935" s="53">
        <v>0</v>
      </c>
      <c r="J935" s="53">
        <v>0</v>
      </c>
      <c r="K935" s="53">
        <v>22000</v>
      </c>
      <c r="L935" s="53">
        <v>0</v>
      </c>
      <c r="M935" s="53">
        <v>0</v>
      </c>
      <c r="N935" s="53">
        <v>0</v>
      </c>
      <c r="O935" s="53">
        <v>0</v>
      </c>
      <c r="P935" s="53">
        <v>0</v>
      </c>
      <c r="Q935" s="53">
        <v>0</v>
      </c>
      <c r="R935" s="53">
        <v>0</v>
      </c>
      <c r="S935" s="53">
        <v>0</v>
      </c>
      <c r="T935" s="53">
        <v>0</v>
      </c>
      <c r="U935" s="53">
        <v>1100</v>
      </c>
      <c r="V935" s="53">
        <v>0</v>
      </c>
      <c r="W935" s="53">
        <v>0</v>
      </c>
      <c r="X935" s="53">
        <v>0</v>
      </c>
      <c r="Y935" s="53">
        <v>11550</v>
      </c>
      <c r="Z935" s="53">
        <v>0</v>
      </c>
      <c r="AA935" s="53">
        <v>0</v>
      </c>
      <c r="AB935" s="53">
        <v>0</v>
      </c>
      <c r="AC935" s="53">
        <v>0</v>
      </c>
      <c r="AD935" s="53">
        <v>0</v>
      </c>
      <c r="AE935" s="53">
        <v>0</v>
      </c>
      <c r="AF935" s="53">
        <v>0</v>
      </c>
      <c r="AG935" s="53">
        <v>0</v>
      </c>
      <c r="AH935" s="53">
        <v>0</v>
      </c>
      <c r="AI935" s="53">
        <v>0</v>
      </c>
      <c r="AJ935" s="53">
        <v>0</v>
      </c>
      <c r="AK935" s="53">
        <v>0</v>
      </c>
      <c r="AL935" s="53">
        <v>0</v>
      </c>
      <c r="AM935" s="53" t="str">
        <f>I935-J935-K935-L935-M935-N935-O935-P935-Q935-R935-S935-T935-U935-V935-W935-X935-Y935-Z935-AA935-AB935-AC935-AD935-AE935-AF935-AG935+AH935-AI935+AJ935+AK935-AL935</f>
        <v>0</v>
      </c>
      <c r="AN935" s="53"/>
      <c r="AO935" s="27"/>
    </row>
    <row r="936" spans="1:41">
      <c r="A936" s="44">
        <v>908</v>
      </c>
      <c r="B936" s="46" t="s">
        <v>3657</v>
      </c>
      <c r="C936" s="48" t="s">
        <v>3658</v>
      </c>
      <c r="D936" s="51" t="s">
        <v>73</v>
      </c>
      <c r="E936" s="51" t="s">
        <v>957</v>
      </c>
      <c r="F936" s="54" t="s">
        <v>3659</v>
      </c>
      <c r="G936" s="50">
        <v>8</v>
      </c>
      <c r="H936" s="51" t="s">
        <v>3660</v>
      </c>
      <c r="I936" s="53">
        <v>0</v>
      </c>
      <c r="J936" s="53">
        <v>0</v>
      </c>
      <c r="K936" s="53">
        <v>39000</v>
      </c>
      <c r="L936" s="53">
        <v>0</v>
      </c>
      <c r="M936" s="53">
        <v>0</v>
      </c>
      <c r="N936" s="53">
        <v>0</v>
      </c>
      <c r="O936" s="53">
        <v>0</v>
      </c>
      <c r="P936" s="53">
        <v>0</v>
      </c>
      <c r="Q936" s="53">
        <v>0</v>
      </c>
      <c r="R936" s="53">
        <v>0</v>
      </c>
      <c r="S936" s="53">
        <v>0</v>
      </c>
      <c r="T936" s="53">
        <v>0</v>
      </c>
      <c r="U936" s="53">
        <v>1950</v>
      </c>
      <c r="V936" s="53">
        <v>0</v>
      </c>
      <c r="W936" s="53">
        <v>0</v>
      </c>
      <c r="X936" s="53">
        <v>0</v>
      </c>
      <c r="Y936" s="53">
        <v>5250</v>
      </c>
      <c r="Z936" s="53">
        <v>0</v>
      </c>
      <c r="AA936" s="53">
        <v>0</v>
      </c>
      <c r="AB936" s="53">
        <v>0</v>
      </c>
      <c r="AC936" s="53">
        <v>0</v>
      </c>
      <c r="AD936" s="53">
        <v>0</v>
      </c>
      <c r="AE936" s="53">
        <v>0</v>
      </c>
      <c r="AF936" s="53">
        <v>0</v>
      </c>
      <c r="AG936" s="53">
        <v>0</v>
      </c>
      <c r="AH936" s="53">
        <v>0</v>
      </c>
      <c r="AI936" s="53">
        <v>0</v>
      </c>
      <c r="AJ936" s="53">
        <v>0</v>
      </c>
      <c r="AK936" s="53">
        <v>0</v>
      </c>
      <c r="AL936" s="53">
        <v>0</v>
      </c>
      <c r="AM936" s="53" t="str">
        <f>I936-J936-K936-L936-M936-N936-O936-P936-Q936-R936-S936-T936-U936-V936-W936-X936-Y936-Z936-AA936-AB936-AC936-AD936-AE936-AF936-AG936+AH936-AI936+AJ936+AK936-AL936</f>
        <v>0</v>
      </c>
      <c r="AN936" s="53"/>
      <c r="AO936" s="27"/>
    </row>
    <row r="937" spans="1:41">
      <c r="A937" s="44">
        <v>909</v>
      </c>
      <c r="B937" s="46" t="s">
        <v>3661</v>
      </c>
      <c r="C937" s="48" t="s">
        <v>3662</v>
      </c>
      <c r="D937" s="51" t="s">
        <v>73</v>
      </c>
      <c r="E937" s="51" t="s">
        <v>957</v>
      </c>
      <c r="F937" s="54" t="s">
        <v>3663</v>
      </c>
      <c r="G937" s="50">
        <v>5</v>
      </c>
      <c r="H937" s="51" t="s">
        <v>3664</v>
      </c>
      <c r="I937" s="53">
        <v>0</v>
      </c>
      <c r="J937" s="53">
        <v>0</v>
      </c>
      <c r="K937" s="53">
        <v>27000</v>
      </c>
      <c r="L937" s="53">
        <v>0</v>
      </c>
      <c r="M937" s="53">
        <v>0</v>
      </c>
      <c r="N937" s="53">
        <v>0</v>
      </c>
      <c r="O937" s="53">
        <v>0</v>
      </c>
      <c r="P937" s="53">
        <v>0</v>
      </c>
      <c r="Q937" s="53">
        <v>0</v>
      </c>
      <c r="R937" s="53">
        <v>0</v>
      </c>
      <c r="S937" s="53">
        <v>0</v>
      </c>
      <c r="T937" s="53">
        <v>0</v>
      </c>
      <c r="U937" s="53">
        <v>1350</v>
      </c>
      <c r="V937" s="53">
        <v>0</v>
      </c>
      <c r="W937" s="53">
        <v>0</v>
      </c>
      <c r="X937" s="53">
        <v>0</v>
      </c>
      <c r="Y937" s="53">
        <v>14175</v>
      </c>
      <c r="Z937" s="53">
        <v>0</v>
      </c>
      <c r="AA937" s="53">
        <v>0</v>
      </c>
      <c r="AB937" s="53">
        <v>0</v>
      </c>
      <c r="AC937" s="53">
        <v>0</v>
      </c>
      <c r="AD937" s="53">
        <v>0</v>
      </c>
      <c r="AE937" s="53">
        <v>0</v>
      </c>
      <c r="AF937" s="53">
        <v>0</v>
      </c>
      <c r="AG937" s="53">
        <v>0</v>
      </c>
      <c r="AH937" s="53">
        <v>0</v>
      </c>
      <c r="AI937" s="53">
        <v>0</v>
      </c>
      <c r="AJ937" s="53">
        <v>0</v>
      </c>
      <c r="AK937" s="53">
        <v>0</v>
      </c>
      <c r="AL937" s="53">
        <v>0</v>
      </c>
      <c r="AM937" s="53" t="str">
        <f>I937-J937-K937-L937-M937-N937-O937-P937-Q937-R937-S937-T937-U937-V937-W937-X937-Y937-Z937-AA937-AB937-AC937-AD937-AE937-AF937-AG937+AH937-AI937+AJ937+AK937-AL937</f>
        <v>0</v>
      </c>
      <c r="AN937" s="53"/>
      <c r="AO937" s="27"/>
    </row>
    <row r="938" spans="1:41">
      <c r="A938" s="44">
        <v>910</v>
      </c>
      <c r="B938" s="46" t="s">
        <v>3665</v>
      </c>
      <c r="C938" s="48" t="s">
        <v>3666</v>
      </c>
      <c r="D938" s="51" t="s">
        <v>73</v>
      </c>
      <c r="E938" s="51" t="s">
        <v>3667</v>
      </c>
      <c r="F938" s="54" t="s">
        <v>3562</v>
      </c>
      <c r="G938" s="50">
        <v>2</v>
      </c>
      <c r="H938" s="51" t="s">
        <v>3668</v>
      </c>
      <c r="I938" s="53">
        <v>165000</v>
      </c>
      <c r="J938" s="53">
        <v>0</v>
      </c>
      <c r="K938" s="53">
        <v>23000</v>
      </c>
      <c r="L938" s="53">
        <v>0</v>
      </c>
      <c r="M938" s="53">
        <v>0</v>
      </c>
      <c r="N938" s="53">
        <v>0</v>
      </c>
      <c r="O938" s="53">
        <v>0</v>
      </c>
      <c r="P938" s="53">
        <v>0</v>
      </c>
      <c r="Q938" s="53">
        <v>0</v>
      </c>
      <c r="R938" s="53">
        <v>0</v>
      </c>
      <c r="S938" s="53">
        <v>0</v>
      </c>
      <c r="T938" s="53">
        <v>0</v>
      </c>
      <c r="U938" s="53">
        <v>1150</v>
      </c>
      <c r="V938" s="53">
        <v>0</v>
      </c>
      <c r="W938" s="53">
        <v>0</v>
      </c>
      <c r="X938" s="53">
        <v>0</v>
      </c>
      <c r="Y938" s="53">
        <v>0</v>
      </c>
      <c r="Z938" s="53">
        <v>0</v>
      </c>
      <c r="AA938" s="53">
        <v>0</v>
      </c>
      <c r="AB938" s="53">
        <v>0</v>
      </c>
      <c r="AC938" s="53">
        <v>0</v>
      </c>
      <c r="AD938" s="53">
        <v>0</v>
      </c>
      <c r="AE938" s="53">
        <v>0</v>
      </c>
      <c r="AF938" s="53">
        <v>0</v>
      </c>
      <c r="AG938" s="53">
        <v>0</v>
      </c>
      <c r="AH938" s="53">
        <v>0</v>
      </c>
      <c r="AI938" s="53">
        <v>0</v>
      </c>
      <c r="AJ938" s="53">
        <v>0</v>
      </c>
      <c r="AK938" s="53">
        <v>0</v>
      </c>
      <c r="AL938" s="53">
        <v>0</v>
      </c>
      <c r="AM938" s="53" t="str">
        <f>I938-J938-K938-L938-M938-N938-O938-P938-Q938-R938-S938-T938-U938-V938-W938-X938-Y938-Z938-AA938-AB938-AC938-AD938-AE938-AF938-AG938+AH938-AI938+AJ938+AK938-AL938</f>
        <v>0</v>
      </c>
      <c r="AN938" s="53"/>
      <c r="AO938" s="27"/>
    </row>
    <row r="939" spans="1:41">
      <c r="A939" s="44">
        <v>911</v>
      </c>
      <c r="B939" s="46" t="s">
        <v>3669</v>
      </c>
      <c r="C939" s="48" t="s">
        <v>3670</v>
      </c>
      <c r="D939" s="51" t="s">
        <v>73</v>
      </c>
      <c r="E939" s="51" t="s">
        <v>3667</v>
      </c>
      <c r="F939" s="54" t="s">
        <v>1660</v>
      </c>
      <c r="G939" s="50">
        <v>5</v>
      </c>
      <c r="H939" s="51" t="s">
        <v>3671</v>
      </c>
      <c r="I939" s="53">
        <v>970100</v>
      </c>
      <c r="J939" s="53">
        <v>0</v>
      </c>
      <c r="K939" s="53">
        <v>23000</v>
      </c>
      <c r="L939" s="53">
        <v>0</v>
      </c>
      <c r="M939" s="53">
        <v>0</v>
      </c>
      <c r="N939" s="53">
        <v>0</v>
      </c>
      <c r="O939" s="53">
        <v>0</v>
      </c>
      <c r="P939" s="53">
        <v>0</v>
      </c>
      <c r="Q939" s="53">
        <v>0</v>
      </c>
      <c r="R939" s="53">
        <v>0</v>
      </c>
      <c r="S939" s="53">
        <v>0</v>
      </c>
      <c r="T939" s="53">
        <v>0</v>
      </c>
      <c r="U939" s="53">
        <v>1150</v>
      </c>
      <c r="V939" s="53">
        <v>0</v>
      </c>
      <c r="W939" s="53">
        <v>0</v>
      </c>
      <c r="X939" s="53">
        <v>0</v>
      </c>
      <c r="Y939" s="53">
        <v>0</v>
      </c>
      <c r="Z939" s="53">
        <v>0</v>
      </c>
      <c r="AA939" s="53">
        <v>0</v>
      </c>
      <c r="AB939" s="53">
        <v>0</v>
      </c>
      <c r="AC939" s="53">
        <v>0</v>
      </c>
      <c r="AD939" s="53">
        <v>0</v>
      </c>
      <c r="AE939" s="53">
        <v>0</v>
      </c>
      <c r="AF939" s="53">
        <v>0</v>
      </c>
      <c r="AG939" s="53">
        <v>0</v>
      </c>
      <c r="AH939" s="53">
        <v>0</v>
      </c>
      <c r="AI939" s="53">
        <v>0</v>
      </c>
      <c r="AJ939" s="53">
        <v>0</v>
      </c>
      <c r="AK939" s="53">
        <v>0</v>
      </c>
      <c r="AL939" s="53">
        <v>0</v>
      </c>
      <c r="AM939" s="53" t="str">
        <f>I939-J939-K939-L939-M939-N939-O939-P939-Q939-R939-S939-T939-U939-V939-W939-X939-Y939-Z939-AA939-AB939-AC939-AD939-AE939-AF939-AG939+AH939-AI939+AJ939+AK939-AL939</f>
        <v>0</v>
      </c>
      <c r="AN939" s="53"/>
      <c r="AO939" s="27"/>
    </row>
    <row r="940" spans="1:41">
      <c r="A940" s="44">
        <v>912</v>
      </c>
      <c r="B940" s="46" t="s">
        <v>3672</v>
      </c>
      <c r="C940" s="48" t="s">
        <v>3673</v>
      </c>
      <c r="D940" s="51" t="s">
        <v>73</v>
      </c>
      <c r="E940" s="51" t="s">
        <v>3667</v>
      </c>
      <c r="F940" s="54" t="s">
        <v>3562</v>
      </c>
      <c r="G940" s="50">
        <v>2</v>
      </c>
      <c r="H940" s="51" t="s">
        <v>3674</v>
      </c>
      <c r="I940" s="53">
        <v>241100</v>
      </c>
      <c r="J940" s="53">
        <v>0</v>
      </c>
      <c r="K940" s="53">
        <v>23000</v>
      </c>
      <c r="L940" s="53">
        <v>0</v>
      </c>
      <c r="M940" s="53">
        <v>0</v>
      </c>
      <c r="N940" s="53">
        <v>0</v>
      </c>
      <c r="O940" s="53">
        <v>0</v>
      </c>
      <c r="P940" s="53">
        <v>0</v>
      </c>
      <c r="Q940" s="53">
        <v>0</v>
      </c>
      <c r="R940" s="53">
        <v>0</v>
      </c>
      <c r="S940" s="53">
        <v>0</v>
      </c>
      <c r="T940" s="53">
        <v>0</v>
      </c>
      <c r="U940" s="53">
        <v>1150</v>
      </c>
      <c r="V940" s="53">
        <v>0</v>
      </c>
      <c r="W940" s="53">
        <v>0</v>
      </c>
      <c r="X940" s="53">
        <v>0</v>
      </c>
      <c r="Y940" s="53">
        <v>0</v>
      </c>
      <c r="Z940" s="53">
        <v>0</v>
      </c>
      <c r="AA940" s="53">
        <v>0</v>
      </c>
      <c r="AB940" s="53">
        <v>0</v>
      </c>
      <c r="AC940" s="53">
        <v>0</v>
      </c>
      <c r="AD940" s="53">
        <v>0</v>
      </c>
      <c r="AE940" s="53">
        <v>0</v>
      </c>
      <c r="AF940" s="53">
        <v>0</v>
      </c>
      <c r="AG940" s="53">
        <v>0</v>
      </c>
      <c r="AH940" s="53">
        <v>0</v>
      </c>
      <c r="AI940" s="53">
        <v>0</v>
      </c>
      <c r="AJ940" s="53">
        <v>0</v>
      </c>
      <c r="AK940" s="53">
        <v>0</v>
      </c>
      <c r="AL940" s="53">
        <v>0</v>
      </c>
      <c r="AM940" s="53" t="str">
        <f>I940-J940-K940-L940-M940-N940-O940-P940-Q940-R940-S940-T940-U940-V940-W940-X940-Y940-Z940-AA940-AB940-AC940-AD940-AE940-AF940-AG940+AH940-AI940+AJ940+AK940-AL940</f>
        <v>0</v>
      </c>
      <c r="AN940" s="53"/>
      <c r="AO940" s="27"/>
    </row>
    <row r="941" spans="1:41">
      <c r="A941" s="44">
        <v>913</v>
      </c>
      <c r="B941" s="46" t="s">
        <v>3675</v>
      </c>
      <c r="C941" s="48" t="s">
        <v>3676</v>
      </c>
      <c r="D941" s="51" t="s">
        <v>73</v>
      </c>
      <c r="E941" s="51" t="s">
        <v>3667</v>
      </c>
      <c r="F941" s="54" t="s">
        <v>3677</v>
      </c>
      <c r="G941" s="50">
        <v>6</v>
      </c>
      <c r="H941" s="51" t="s">
        <v>3678</v>
      </c>
      <c r="I941" s="53">
        <v>1570000</v>
      </c>
      <c r="J941" s="53">
        <v>0</v>
      </c>
      <c r="K941" s="53">
        <v>24000</v>
      </c>
      <c r="L941" s="53">
        <v>0</v>
      </c>
      <c r="M941" s="53">
        <v>0</v>
      </c>
      <c r="N941" s="53">
        <v>0</v>
      </c>
      <c r="O941" s="53">
        <v>0</v>
      </c>
      <c r="P941" s="53">
        <v>0</v>
      </c>
      <c r="Q941" s="53">
        <v>0</v>
      </c>
      <c r="R941" s="53">
        <v>0</v>
      </c>
      <c r="S941" s="53">
        <v>0</v>
      </c>
      <c r="T941" s="53">
        <v>0</v>
      </c>
      <c r="U941" s="53">
        <v>1200</v>
      </c>
      <c r="V941" s="53">
        <v>0</v>
      </c>
      <c r="W941" s="53">
        <v>0</v>
      </c>
      <c r="X941" s="53">
        <v>0</v>
      </c>
      <c r="Y941" s="53">
        <v>0</v>
      </c>
      <c r="Z941" s="53">
        <v>0</v>
      </c>
      <c r="AA941" s="53">
        <v>0</v>
      </c>
      <c r="AB941" s="53">
        <v>0</v>
      </c>
      <c r="AC941" s="53">
        <v>0</v>
      </c>
      <c r="AD941" s="53">
        <v>0</v>
      </c>
      <c r="AE941" s="53">
        <v>0</v>
      </c>
      <c r="AF941" s="53">
        <v>0</v>
      </c>
      <c r="AG941" s="53">
        <v>0</v>
      </c>
      <c r="AH941" s="53">
        <v>0</v>
      </c>
      <c r="AI941" s="53">
        <v>0</v>
      </c>
      <c r="AJ941" s="53">
        <v>0</v>
      </c>
      <c r="AK941" s="53">
        <v>0</v>
      </c>
      <c r="AL941" s="53">
        <v>0</v>
      </c>
      <c r="AM941" s="53" t="str">
        <f>I941-J941-K941-L941-M941-N941-O941-P941-Q941-R941-S941-T941-U941-V941-W941-X941-Y941-Z941-AA941-AB941-AC941-AD941-AE941-AF941-AG941+AH941-AI941+AJ941+AK941-AL941</f>
        <v>0</v>
      </c>
      <c r="AN941" s="53"/>
      <c r="AO941" s="27"/>
    </row>
    <row r="942" spans="1:41">
      <c r="A942" s="44">
        <v>914</v>
      </c>
      <c r="B942" s="46" t="s">
        <v>3679</v>
      </c>
      <c r="C942" s="48" t="s">
        <v>3680</v>
      </c>
      <c r="D942" s="51" t="s">
        <v>73</v>
      </c>
      <c r="E942" s="51" t="s">
        <v>3667</v>
      </c>
      <c r="F942" s="54" t="s">
        <v>3681</v>
      </c>
      <c r="G942" s="50">
        <v>5</v>
      </c>
      <c r="H942" s="51" t="s">
        <v>3682</v>
      </c>
      <c r="I942" s="53">
        <v>926000</v>
      </c>
      <c r="J942" s="53">
        <v>0</v>
      </c>
      <c r="K942" s="53">
        <v>23000</v>
      </c>
      <c r="L942" s="53">
        <v>0</v>
      </c>
      <c r="M942" s="53">
        <v>0</v>
      </c>
      <c r="N942" s="53">
        <v>0</v>
      </c>
      <c r="O942" s="53">
        <v>0</v>
      </c>
      <c r="P942" s="53">
        <v>0</v>
      </c>
      <c r="Q942" s="53">
        <v>0</v>
      </c>
      <c r="R942" s="53">
        <v>0</v>
      </c>
      <c r="S942" s="53">
        <v>0</v>
      </c>
      <c r="T942" s="53">
        <v>0</v>
      </c>
      <c r="U942" s="53">
        <v>1150</v>
      </c>
      <c r="V942" s="53">
        <v>0</v>
      </c>
      <c r="W942" s="53">
        <v>0</v>
      </c>
      <c r="X942" s="53">
        <v>0</v>
      </c>
      <c r="Y942" s="53">
        <v>0</v>
      </c>
      <c r="Z942" s="53">
        <v>0</v>
      </c>
      <c r="AA942" s="53">
        <v>0</v>
      </c>
      <c r="AB942" s="53">
        <v>0</v>
      </c>
      <c r="AC942" s="53">
        <v>0</v>
      </c>
      <c r="AD942" s="53">
        <v>0</v>
      </c>
      <c r="AE942" s="53">
        <v>0</v>
      </c>
      <c r="AF942" s="53">
        <v>0</v>
      </c>
      <c r="AG942" s="53">
        <v>0</v>
      </c>
      <c r="AH942" s="53">
        <v>0</v>
      </c>
      <c r="AI942" s="53">
        <v>0</v>
      </c>
      <c r="AJ942" s="53">
        <v>0</v>
      </c>
      <c r="AK942" s="53">
        <v>0</v>
      </c>
      <c r="AL942" s="53">
        <v>0</v>
      </c>
      <c r="AM942" s="53" t="str">
        <f>I942-J942-K942-L942-M942-N942-O942-P942-Q942-R942-S942-T942-U942-V942-W942-X942-Y942-Z942-AA942-AB942-AC942-AD942-AE942-AF942-AG942+AH942-AI942+AJ942+AK942-AL942</f>
        <v>0</v>
      </c>
      <c r="AN942" s="53"/>
      <c r="AO942" s="27"/>
    </row>
    <row r="943" spans="1:41">
      <c r="A943" s="44">
        <v>915</v>
      </c>
      <c r="B943" s="46" t="s">
        <v>3683</v>
      </c>
      <c r="C943" s="48" t="s">
        <v>3684</v>
      </c>
      <c r="D943" s="51" t="s">
        <v>73</v>
      </c>
      <c r="E943" s="51" t="s">
        <v>3667</v>
      </c>
      <c r="F943" s="54" t="s">
        <v>3467</v>
      </c>
      <c r="G943" s="50">
        <v>4</v>
      </c>
      <c r="H943" s="51" t="s">
        <v>3685</v>
      </c>
      <c r="I943" s="53">
        <v>438200</v>
      </c>
      <c r="J943" s="53">
        <v>0</v>
      </c>
      <c r="K943" s="53">
        <v>23000</v>
      </c>
      <c r="L943" s="53">
        <v>0</v>
      </c>
      <c r="M943" s="53">
        <v>0</v>
      </c>
      <c r="N943" s="53">
        <v>0</v>
      </c>
      <c r="O943" s="53">
        <v>0</v>
      </c>
      <c r="P943" s="53">
        <v>0</v>
      </c>
      <c r="Q943" s="53">
        <v>0</v>
      </c>
      <c r="R943" s="53">
        <v>0</v>
      </c>
      <c r="S943" s="53">
        <v>0</v>
      </c>
      <c r="T943" s="53">
        <v>0</v>
      </c>
      <c r="U943" s="53">
        <v>1150</v>
      </c>
      <c r="V943" s="53">
        <v>0</v>
      </c>
      <c r="W943" s="53">
        <v>0</v>
      </c>
      <c r="X943" s="53">
        <v>0</v>
      </c>
      <c r="Y943" s="53">
        <v>0</v>
      </c>
      <c r="Z943" s="53">
        <v>0</v>
      </c>
      <c r="AA943" s="53">
        <v>0</v>
      </c>
      <c r="AB943" s="53">
        <v>0</v>
      </c>
      <c r="AC943" s="53">
        <v>0</v>
      </c>
      <c r="AD943" s="53">
        <v>0</v>
      </c>
      <c r="AE943" s="53">
        <v>0</v>
      </c>
      <c r="AF943" s="53">
        <v>0</v>
      </c>
      <c r="AG943" s="53">
        <v>0</v>
      </c>
      <c r="AH943" s="53">
        <v>0</v>
      </c>
      <c r="AI943" s="53">
        <v>0</v>
      </c>
      <c r="AJ943" s="53">
        <v>0</v>
      </c>
      <c r="AK943" s="53">
        <v>0</v>
      </c>
      <c r="AL943" s="53">
        <v>0</v>
      </c>
      <c r="AM943" s="53" t="str">
        <f>I943-J943-K943-L943-M943-N943-O943-P943-Q943-R943-S943-T943-U943-V943-W943-X943-Y943-Z943-AA943-AB943-AC943-AD943-AE943-AF943-AG943+AH943-AI943+AJ943+AK943-AL943</f>
        <v>0</v>
      </c>
      <c r="AN943" s="53"/>
      <c r="AO943" s="27"/>
    </row>
    <row r="944" spans="1:41">
      <c r="A944" s="44">
        <v>916</v>
      </c>
      <c r="B944" s="46" t="s">
        <v>3686</v>
      </c>
      <c r="C944" s="48" t="s">
        <v>3687</v>
      </c>
      <c r="D944" s="51" t="s">
        <v>73</v>
      </c>
      <c r="E944" s="51" t="s">
        <v>3667</v>
      </c>
      <c r="F944" s="54" t="s">
        <v>3467</v>
      </c>
      <c r="G944" s="50">
        <v>2</v>
      </c>
      <c r="H944" s="51" t="s">
        <v>3688</v>
      </c>
      <c r="I944" s="53">
        <v>354000</v>
      </c>
      <c r="J944" s="53">
        <v>0</v>
      </c>
      <c r="K944" s="53">
        <v>23000</v>
      </c>
      <c r="L944" s="53">
        <v>0</v>
      </c>
      <c r="M944" s="53">
        <v>0</v>
      </c>
      <c r="N944" s="53">
        <v>0</v>
      </c>
      <c r="O944" s="53">
        <v>0</v>
      </c>
      <c r="P944" s="53">
        <v>0</v>
      </c>
      <c r="Q944" s="53">
        <v>0</v>
      </c>
      <c r="R944" s="53">
        <v>0</v>
      </c>
      <c r="S944" s="53">
        <v>0</v>
      </c>
      <c r="T944" s="53">
        <v>0</v>
      </c>
      <c r="U944" s="53">
        <v>1150</v>
      </c>
      <c r="V944" s="53">
        <v>0</v>
      </c>
      <c r="W944" s="53">
        <v>0</v>
      </c>
      <c r="X944" s="53">
        <v>0</v>
      </c>
      <c r="Y944" s="53">
        <v>0</v>
      </c>
      <c r="Z944" s="53">
        <v>0</v>
      </c>
      <c r="AA944" s="53">
        <v>0</v>
      </c>
      <c r="AB944" s="53">
        <v>0</v>
      </c>
      <c r="AC944" s="53">
        <v>0</v>
      </c>
      <c r="AD944" s="53">
        <v>0</v>
      </c>
      <c r="AE944" s="53">
        <v>0</v>
      </c>
      <c r="AF944" s="53">
        <v>0</v>
      </c>
      <c r="AG944" s="53">
        <v>0</v>
      </c>
      <c r="AH944" s="53">
        <v>0</v>
      </c>
      <c r="AI944" s="53">
        <v>0</v>
      </c>
      <c r="AJ944" s="53">
        <v>0</v>
      </c>
      <c r="AK944" s="53">
        <v>0</v>
      </c>
      <c r="AL944" s="53">
        <v>0</v>
      </c>
      <c r="AM944" s="53" t="str">
        <f>I944-J944-K944-L944-M944-N944-O944-P944-Q944-R944-S944-T944-U944-V944-W944-X944-Y944-Z944-AA944-AB944-AC944-AD944-AE944-AF944-AG944+AH944-AI944+AJ944+AK944-AL944</f>
        <v>0</v>
      </c>
      <c r="AN944" s="53"/>
      <c r="AO944" s="27"/>
    </row>
    <row r="945" spans="1:41">
      <c r="A945" s="44">
        <v>917</v>
      </c>
      <c r="B945" s="46" t="s">
        <v>3689</v>
      </c>
      <c r="C945" s="48" t="s">
        <v>3690</v>
      </c>
      <c r="D945" s="51" t="s">
        <v>73</v>
      </c>
      <c r="E945" s="51" t="s">
        <v>3667</v>
      </c>
      <c r="F945" s="54" t="s">
        <v>3677</v>
      </c>
      <c r="G945" s="50">
        <v>2</v>
      </c>
      <c r="H945" s="51" t="s">
        <v>3691</v>
      </c>
      <c r="I945" s="53">
        <v>322100</v>
      </c>
      <c r="J945" s="53">
        <v>0</v>
      </c>
      <c r="K945" s="53">
        <v>23000</v>
      </c>
      <c r="L945" s="53">
        <v>0</v>
      </c>
      <c r="M945" s="53">
        <v>0</v>
      </c>
      <c r="N945" s="53">
        <v>0</v>
      </c>
      <c r="O945" s="53">
        <v>0</v>
      </c>
      <c r="P945" s="53">
        <v>0</v>
      </c>
      <c r="Q945" s="53">
        <v>0</v>
      </c>
      <c r="R945" s="53">
        <v>0</v>
      </c>
      <c r="S945" s="53">
        <v>0</v>
      </c>
      <c r="T945" s="53">
        <v>0</v>
      </c>
      <c r="U945" s="53">
        <v>1150</v>
      </c>
      <c r="V945" s="53">
        <v>0</v>
      </c>
      <c r="W945" s="53">
        <v>0</v>
      </c>
      <c r="X945" s="53">
        <v>0</v>
      </c>
      <c r="Y945" s="53">
        <v>0</v>
      </c>
      <c r="Z945" s="53">
        <v>0</v>
      </c>
      <c r="AA945" s="53">
        <v>0</v>
      </c>
      <c r="AB945" s="53">
        <v>0</v>
      </c>
      <c r="AC945" s="53">
        <v>0</v>
      </c>
      <c r="AD945" s="53">
        <v>0</v>
      </c>
      <c r="AE945" s="53">
        <v>0</v>
      </c>
      <c r="AF945" s="53">
        <v>0</v>
      </c>
      <c r="AG945" s="53">
        <v>0</v>
      </c>
      <c r="AH945" s="53">
        <v>0</v>
      </c>
      <c r="AI945" s="53">
        <v>0</v>
      </c>
      <c r="AJ945" s="53">
        <v>0</v>
      </c>
      <c r="AK945" s="53">
        <v>0</v>
      </c>
      <c r="AL945" s="53">
        <v>0</v>
      </c>
      <c r="AM945" s="53" t="str">
        <f>I945-J945-K945-L945-M945-N945-O945-P945-Q945-R945-S945-T945-U945-V945-W945-X945-Y945-Z945-AA945-AB945-AC945-AD945-AE945-AF945-AG945+AH945-AI945+AJ945+AK945-AL945</f>
        <v>0</v>
      </c>
      <c r="AN945" s="53"/>
      <c r="AO945" s="27"/>
    </row>
    <row r="946" spans="1:41">
      <c r="A946" s="44">
        <v>918</v>
      </c>
      <c r="B946" s="46" t="s">
        <v>3692</v>
      </c>
      <c r="C946" s="48" t="s">
        <v>3693</v>
      </c>
      <c r="D946" s="51" t="s">
        <v>73</v>
      </c>
      <c r="E946" s="51" t="s">
        <v>3694</v>
      </c>
      <c r="F946" s="54" t="s">
        <v>3695</v>
      </c>
      <c r="G946" s="50">
        <v>4</v>
      </c>
      <c r="H946" s="51" t="s">
        <v>3696</v>
      </c>
      <c r="I946" s="53">
        <v>690200</v>
      </c>
      <c r="J946" s="53">
        <v>0</v>
      </c>
      <c r="K946" s="53">
        <v>25000</v>
      </c>
      <c r="L946" s="53">
        <v>0</v>
      </c>
      <c r="M946" s="53">
        <v>0</v>
      </c>
      <c r="N946" s="53">
        <v>0</v>
      </c>
      <c r="O946" s="53">
        <v>0</v>
      </c>
      <c r="P946" s="53">
        <v>0</v>
      </c>
      <c r="Q946" s="53">
        <v>0</v>
      </c>
      <c r="R946" s="53">
        <v>0</v>
      </c>
      <c r="S946" s="53">
        <v>0</v>
      </c>
      <c r="T946" s="53">
        <v>0</v>
      </c>
      <c r="U946" s="53">
        <v>1250</v>
      </c>
      <c r="V946" s="53">
        <v>0</v>
      </c>
      <c r="W946" s="53">
        <v>0</v>
      </c>
      <c r="X946" s="53">
        <v>0</v>
      </c>
      <c r="Y946" s="53">
        <v>0</v>
      </c>
      <c r="Z946" s="53">
        <v>0</v>
      </c>
      <c r="AA946" s="53">
        <v>0</v>
      </c>
      <c r="AB946" s="53">
        <v>0</v>
      </c>
      <c r="AC946" s="53">
        <v>0</v>
      </c>
      <c r="AD946" s="53">
        <v>0</v>
      </c>
      <c r="AE946" s="53">
        <v>0</v>
      </c>
      <c r="AF946" s="53">
        <v>0</v>
      </c>
      <c r="AG946" s="53">
        <v>0</v>
      </c>
      <c r="AH946" s="53">
        <v>0</v>
      </c>
      <c r="AI946" s="53">
        <v>0</v>
      </c>
      <c r="AJ946" s="53">
        <v>0</v>
      </c>
      <c r="AK946" s="53">
        <v>0</v>
      </c>
      <c r="AL946" s="53">
        <v>0</v>
      </c>
      <c r="AM946" s="53" t="str">
        <f>I946-J946-K946-L946-M946-N946-O946-P946-Q946-R946-S946-T946-U946-V946-W946-X946-Y946-Z946-AA946-AB946-AC946-AD946-AE946-AF946-AG946+AH946-AI946+AJ946+AK946-AL946</f>
        <v>0</v>
      </c>
      <c r="AN946" s="53"/>
      <c r="AO946" s="27"/>
    </row>
    <row r="947" spans="1:41">
      <c r="A947" s="44">
        <v>919</v>
      </c>
      <c r="B947" s="46" t="s">
        <v>3697</v>
      </c>
      <c r="C947" s="48" t="s">
        <v>3698</v>
      </c>
      <c r="D947" s="51" t="s">
        <v>73</v>
      </c>
      <c r="E947" s="51" t="s">
        <v>3694</v>
      </c>
      <c r="F947" s="54" t="s">
        <v>3699</v>
      </c>
      <c r="G947" s="50">
        <v>2</v>
      </c>
      <c r="H947" s="51" t="s">
        <v>3700</v>
      </c>
      <c r="I947" s="53">
        <v>521000</v>
      </c>
      <c r="J947" s="53">
        <v>0</v>
      </c>
      <c r="K947" s="53">
        <v>22000</v>
      </c>
      <c r="L947" s="53">
        <v>0</v>
      </c>
      <c r="M947" s="53">
        <v>0</v>
      </c>
      <c r="N947" s="53">
        <v>0</v>
      </c>
      <c r="O947" s="53">
        <v>0</v>
      </c>
      <c r="P947" s="53">
        <v>0</v>
      </c>
      <c r="Q947" s="53">
        <v>0</v>
      </c>
      <c r="R947" s="53">
        <v>0</v>
      </c>
      <c r="S947" s="53">
        <v>0</v>
      </c>
      <c r="T947" s="53">
        <v>0</v>
      </c>
      <c r="U947" s="53">
        <v>1100</v>
      </c>
      <c r="V947" s="53">
        <v>0</v>
      </c>
      <c r="W947" s="53">
        <v>0</v>
      </c>
      <c r="X947" s="53">
        <v>0</v>
      </c>
      <c r="Y947" s="53">
        <v>0</v>
      </c>
      <c r="Z947" s="53">
        <v>0</v>
      </c>
      <c r="AA947" s="53">
        <v>0</v>
      </c>
      <c r="AB947" s="53">
        <v>0</v>
      </c>
      <c r="AC947" s="53">
        <v>0</v>
      </c>
      <c r="AD947" s="53">
        <v>0</v>
      </c>
      <c r="AE947" s="53">
        <v>0</v>
      </c>
      <c r="AF947" s="53">
        <v>0</v>
      </c>
      <c r="AG947" s="53">
        <v>0</v>
      </c>
      <c r="AH947" s="53">
        <v>0</v>
      </c>
      <c r="AI947" s="53">
        <v>0</v>
      </c>
      <c r="AJ947" s="53">
        <v>0</v>
      </c>
      <c r="AK947" s="53">
        <v>0</v>
      </c>
      <c r="AL947" s="53">
        <v>0</v>
      </c>
      <c r="AM947" s="53" t="str">
        <f>I947-J947-K947-L947-M947-N947-O947-P947-Q947-R947-S947-T947-U947-V947-W947-X947-Y947-Z947-AA947-AB947-AC947-AD947-AE947-AF947-AG947+AH947-AI947+AJ947+AK947-AL947</f>
        <v>0</v>
      </c>
      <c r="AN947" s="53"/>
      <c r="AO947" s="27"/>
    </row>
    <row r="948" spans="1:41">
      <c r="A948" s="44">
        <v>920</v>
      </c>
      <c r="B948" s="46" t="s">
        <v>3701</v>
      </c>
      <c r="C948" s="48" t="s">
        <v>3702</v>
      </c>
      <c r="D948" s="51" t="s">
        <v>73</v>
      </c>
      <c r="E948" s="51" t="s">
        <v>3694</v>
      </c>
      <c r="F948" s="54" t="s">
        <v>3407</v>
      </c>
      <c r="G948" s="50">
        <v>3</v>
      </c>
      <c r="H948" s="51" t="s">
        <v>3703</v>
      </c>
      <c r="I948" s="53">
        <v>570500</v>
      </c>
      <c r="J948" s="53">
        <v>0</v>
      </c>
      <c r="K948" s="53">
        <v>22000</v>
      </c>
      <c r="L948" s="53">
        <v>0</v>
      </c>
      <c r="M948" s="53">
        <v>0</v>
      </c>
      <c r="N948" s="53">
        <v>0</v>
      </c>
      <c r="O948" s="53">
        <v>0</v>
      </c>
      <c r="P948" s="53">
        <v>0</v>
      </c>
      <c r="Q948" s="53">
        <v>0</v>
      </c>
      <c r="R948" s="53">
        <v>0</v>
      </c>
      <c r="S948" s="53">
        <v>0</v>
      </c>
      <c r="T948" s="53">
        <v>0</v>
      </c>
      <c r="U948" s="53">
        <v>1100</v>
      </c>
      <c r="V948" s="53">
        <v>0</v>
      </c>
      <c r="W948" s="53">
        <v>0</v>
      </c>
      <c r="X948" s="53">
        <v>0</v>
      </c>
      <c r="Y948" s="53">
        <v>0</v>
      </c>
      <c r="Z948" s="53">
        <v>0</v>
      </c>
      <c r="AA948" s="53">
        <v>0</v>
      </c>
      <c r="AB948" s="53">
        <v>0</v>
      </c>
      <c r="AC948" s="53">
        <v>0</v>
      </c>
      <c r="AD948" s="53">
        <v>0</v>
      </c>
      <c r="AE948" s="53">
        <v>0</v>
      </c>
      <c r="AF948" s="53">
        <v>0</v>
      </c>
      <c r="AG948" s="53">
        <v>0</v>
      </c>
      <c r="AH948" s="53">
        <v>0</v>
      </c>
      <c r="AI948" s="53">
        <v>0</v>
      </c>
      <c r="AJ948" s="53">
        <v>0</v>
      </c>
      <c r="AK948" s="53">
        <v>0</v>
      </c>
      <c r="AL948" s="53">
        <v>0</v>
      </c>
      <c r="AM948" s="53" t="str">
        <f>I948-J948-K948-L948-M948-N948-O948-P948-Q948-R948-S948-T948-U948-V948-W948-X948-Y948-Z948-AA948-AB948-AC948-AD948-AE948-AF948-AG948+AH948-AI948+AJ948+AK948-AL948</f>
        <v>0</v>
      </c>
      <c r="AN948" s="53"/>
      <c r="AO948" s="27"/>
    </row>
    <row r="949" spans="1:41">
      <c r="A949" s="44">
        <v>921</v>
      </c>
      <c r="B949" s="46" t="s">
        <v>3704</v>
      </c>
      <c r="C949" s="48" t="s">
        <v>3705</v>
      </c>
      <c r="D949" s="51" t="s">
        <v>73</v>
      </c>
      <c r="E949" s="51" t="s">
        <v>3706</v>
      </c>
      <c r="F949" s="54" t="s">
        <v>3707</v>
      </c>
      <c r="G949" s="50">
        <v>5</v>
      </c>
      <c r="H949" s="51" t="s">
        <v>3708</v>
      </c>
      <c r="I949" s="53">
        <v>1099000</v>
      </c>
      <c r="J949" s="53">
        <v>0</v>
      </c>
      <c r="K949" s="53">
        <v>27000</v>
      </c>
      <c r="L949" s="53">
        <v>0</v>
      </c>
      <c r="M949" s="53">
        <v>0</v>
      </c>
      <c r="N949" s="53">
        <v>0</v>
      </c>
      <c r="O949" s="53">
        <v>0</v>
      </c>
      <c r="P949" s="53">
        <v>0</v>
      </c>
      <c r="Q949" s="53">
        <v>0</v>
      </c>
      <c r="R949" s="53">
        <v>0</v>
      </c>
      <c r="S949" s="53">
        <v>0</v>
      </c>
      <c r="T949" s="53">
        <v>0</v>
      </c>
      <c r="U949" s="53">
        <v>1350</v>
      </c>
      <c r="V949" s="53">
        <v>0</v>
      </c>
      <c r="W949" s="53">
        <v>0</v>
      </c>
      <c r="X949" s="53">
        <v>0</v>
      </c>
      <c r="Y949" s="53">
        <v>0</v>
      </c>
      <c r="Z949" s="53">
        <v>0</v>
      </c>
      <c r="AA949" s="53">
        <v>0</v>
      </c>
      <c r="AB949" s="53">
        <v>0</v>
      </c>
      <c r="AC949" s="53">
        <v>0</v>
      </c>
      <c r="AD949" s="53">
        <v>0</v>
      </c>
      <c r="AE949" s="53">
        <v>0</v>
      </c>
      <c r="AF949" s="53">
        <v>0</v>
      </c>
      <c r="AG949" s="53">
        <v>0</v>
      </c>
      <c r="AH949" s="53">
        <v>0</v>
      </c>
      <c r="AI949" s="53">
        <v>0</v>
      </c>
      <c r="AJ949" s="53">
        <v>0</v>
      </c>
      <c r="AK949" s="53">
        <v>0</v>
      </c>
      <c r="AL949" s="53">
        <v>0</v>
      </c>
      <c r="AM949" s="53" t="str">
        <f>I949-J949-K949-L949-M949-N949-O949-P949-Q949-R949-S949-T949-U949-V949-W949-X949-Y949-Z949-AA949-AB949-AC949-AD949-AE949-AF949-AG949+AH949-AI949+AJ949+AK949-AL949</f>
        <v>0</v>
      </c>
      <c r="AN949" s="53"/>
      <c r="AO949" s="27"/>
    </row>
    <row r="950" spans="1:41">
      <c r="A950" s="44">
        <v>922</v>
      </c>
      <c r="B950" s="46" t="s">
        <v>3709</v>
      </c>
      <c r="C950" s="48" t="s">
        <v>3710</v>
      </c>
      <c r="D950" s="51" t="s">
        <v>73</v>
      </c>
      <c r="E950" s="51" t="s">
        <v>3706</v>
      </c>
      <c r="F950" s="54" t="s">
        <v>3711</v>
      </c>
      <c r="G950" s="50">
        <v>10</v>
      </c>
      <c r="H950" s="51" t="s">
        <v>3712</v>
      </c>
      <c r="I950" s="53">
        <v>926000</v>
      </c>
      <c r="J950" s="53">
        <v>0</v>
      </c>
      <c r="K950" s="53">
        <v>40000</v>
      </c>
      <c r="L950" s="53">
        <v>0</v>
      </c>
      <c r="M950" s="53">
        <v>0</v>
      </c>
      <c r="N950" s="53">
        <v>0</v>
      </c>
      <c r="O950" s="53">
        <v>0</v>
      </c>
      <c r="P950" s="53">
        <v>0</v>
      </c>
      <c r="Q950" s="53">
        <v>0</v>
      </c>
      <c r="R950" s="53">
        <v>0</v>
      </c>
      <c r="S950" s="53">
        <v>0</v>
      </c>
      <c r="T950" s="53">
        <v>0</v>
      </c>
      <c r="U950" s="53">
        <v>2000</v>
      </c>
      <c r="V950" s="53">
        <v>0</v>
      </c>
      <c r="W950" s="53">
        <v>0</v>
      </c>
      <c r="X950" s="53">
        <v>0</v>
      </c>
      <c r="Y950" s="53">
        <v>0</v>
      </c>
      <c r="Z950" s="53">
        <v>0</v>
      </c>
      <c r="AA950" s="53">
        <v>0</v>
      </c>
      <c r="AB950" s="53">
        <v>0</v>
      </c>
      <c r="AC950" s="53">
        <v>0</v>
      </c>
      <c r="AD950" s="53">
        <v>0</v>
      </c>
      <c r="AE950" s="53">
        <v>0</v>
      </c>
      <c r="AF950" s="53">
        <v>0</v>
      </c>
      <c r="AG950" s="53">
        <v>0</v>
      </c>
      <c r="AH950" s="53">
        <v>0</v>
      </c>
      <c r="AI950" s="53">
        <v>0</v>
      </c>
      <c r="AJ950" s="53">
        <v>0</v>
      </c>
      <c r="AK950" s="53">
        <v>0</v>
      </c>
      <c r="AL950" s="53">
        <v>0</v>
      </c>
      <c r="AM950" s="53" t="str">
        <f>I950-J950-K950-L950-M950-N950-O950-P950-Q950-R950-S950-T950-U950-V950-W950-X950-Y950-Z950-AA950-AB950-AC950-AD950-AE950-AF950-AG950+AH950-AI950+AJ950+AK950-AL950</f>
        <v>0</v>
      </c>
      <c r="AN950" s="53"/>
      <c r="AO950" s="27"/>
    </row>
    <row r="951" spans="1:41">
      <c r="A951" s="44">
        <v>923</v>
      </c>
      <c r="B951" s="46" t="s">
        <v>3713</v>
      </c>
      <c r="C951" s="48" t="s">
        <v>3714</v>
      </c>
      <c r="D951" s="51" t="s">
        <v>73</v>
      </c>
      <c r="E951" s="51" t="s">
        <v>3706</v>
      </c>
      <c r="F951" s="54" t="s">
        <v>3715</v>
      </c>
      <c r="G951" s="50">
        <v>3</v>
      </c>
      <c r="H951" s="51" t="s">
        <v>3716</v>
      </c>
      <c r="I951" s="53">
        <v>570500</v>
      </c>
      <c r="J951" s="53">
        <v>0</v>
      </c>
      <c r="K951" s="53">
        <v>22000</v>
      </c>
      <c r="L951" s="53">
        <v>0</v>
      </c>
      <c r="M951" s="53">
        <v>0</v>
      </c>
      <c r="N951" s="53">
        <v>0</v>
      </c>
      <c r="O951" s="53">
        <v>0</v>
      </c>
      <c r="P951" s="53">
        <v>0</v>
      </c>
      <c r="Q951" s="53">
        <v>0</v>
      </c>
      <c r="R951" s="53">
        <v>0</v>
      </c>
      <c r="S951" s="53">
        <v>0</v>
      </c>
      <c r="T951" s="53">
        <v>0</v>
      </c>
      <c r="U951" s="53">
        <v>1100</v>
      </c>
      <c r="V951" s="53">
        <v>0</v>
      </c>
      <c r="W951" s="53">
        <v>0</v>
      </c>
      <c r="X951" s="53">
        <v>0</v>
      </c>
      <c r="Y951" s="53">
        <v>0</v>
      </c>
      <c r="Z951" s="53">
        <v>0</v>
      </c>
      <c r="AA951" s="53">
        <v>0</v>
      </c>
      <c r="AB951" s="53">
        <v>0</v>
      </c>
      <c r="AC951" s="53">
        <v>0</v>
      </c>
      <c r="AD951" s="53">
        <v>0</v>
      </c>
      <c r="AE951" s="53">
        <v>0</v>
      </c>
      <c r="AF951" s="53">
        <v>0</v>
      </c>
      <c r="AG951" s="53">
        <v>0</v>
      </c>
      <c r="AH951" s="53">
        <v>0</v>
      </c>
      <c r="AI951" s="53">
        <v>0</v>
      </c>
      <c r="AJ951" s="53">
        <v>0</v>
      </c>
      <c r="AK951" s="53">
        <v>0</v>
      </c>
      <c r="AL951" s="53">
        <v>0</v>
      </c>
      <c r="AM951" s="53" t="str">
        <f>I951-J951-K951-L951-M951-N951-O951-P951-Q951-R951-S951-T951-U951-V951-W951-X951-Y951-Z951-AA951-AB951-AC951-AD951-AE951-AF951-AG951+AH951-AI951+AJ951+AK951-AL951</f>
        <v>0</v>
      </c>
      <c r="AN951" s="53"/>
      <c r="AO951" s="27"/>
    </row>
    <row r="952" spans="1:41">
      <c r="A952" s="44">
        <v>924</v>
      </c>
      <c r="B952" s="46" t="s">
        <v>3717</v>
      </c>
      <c r="C952" s="48" t="s">
        <v>3718</v>
      </c>
      <c r="D952" s="51" t="s">
        <v>73</v>
      </c>
      <c r="E952" s="51" t="s">
        <v>3719</v>
      </c>
      <c r="F952" s="54" t="s">
        <v>3677</v>
      </c>
      <c r="G952" s="50">
        <v>1</v>
      </c>
      <c r="H952" s="51" t="s">
        <v>3720</v>
      </c>
      <c r="I952" s="53">
        <v>0</v>
      </c>
      <c r="J952" s="53">
        <v>0</v>
      </c>
      <c r="K952" s="53">
        <v>23000</v>
      </c>
      <c r="L952" s="53">
        <v>0</v>
      </c>
      <c r="M952" s="53">
        <v>0</v>
      </c>
      <c r="N952" s="53">
        <v>0</v>
      </c>
      <c r="O952" s="53">
        <v>0</v>
      </c>
      <c r="P952" s="53">
        <v>0</v>
      </c>
      <c r="Q952" s="53">
        <v>0</v>
      </c>
      <c r="R952" s="53">
        <v>0</v>
      </c>
      <c r="S952" s="53">
        <v>0</v>
      </c>
      <c r="T952" s="53">
        <v>0</v>
      </c>
      <c r="U952" s="53">
        <v>1150</v>
      </c>
      <c r="V952" s="53">
        <v>0</v>
      </c>
      <c r="W952" s="53">
        <v>0</v>
      </c>
      <c r="X952" s="53">
        <v>0</v>
      </c>
      <c r="Y952" s="53">
        <v>0</v>
      </c>
      <c r="Z952" s="53">
        <v>0</v>
      </c>
      <c r="AA952" s="53">
        <v>0</v>
      </c>
      <c r="AB952" s="53">
        <v>0</v>
      </c>
      <c r="AC952" s="53">
        <v>0</v>
      </c>
      <c r="AD952" s="53">
        <v>0</v>
      </c>
      <c r="AE952" s="53">
        <v>0</v>
      </c>
      <c r="AF952" s="53">
        <v>0</v>
      </c>
      <c r="AG952" s="53">
        <v>0</v>
      </c>
      <c r="AH952" s="53">
        <v>0</v>
      </c>
      <c r="AI952" s="53">
        <v>0</v>
      </c>
      <c r="AJ952" s="53">
        <v>0</v>
      </c>
      <c r="AK952" s="53">
        <v>0</v>
      </c>
      <c r="AL952" s="53">
        <v>0</v>
      </c>
      <c r="AM952" s="53" t="str">
        <f>I952-J952-K952-L952-M952-N952-O952-P952-Q952-R952-S952-T952-U952-V952-W952-X952-Y952-Z952-AA952-AB952-AC952-AD952-AE952-AF952-AG952+AH952-AI952+AJ952+AK952-AL952</f>
        <v>0</v>
      </c>
      <c r="AN952" s="53"/>
      <c r="AO952" s="27"/>
    </row>
    <row r="953" spans="1:41">
      <c r="A953" s="44">
        <v>925</v>
      </c>
      <c r="B953" s="46" t="s">
        <v>3721</v>
      </c>
      <c r="C953" s="48" t="s">
        <v>3722</v>
      </c>
      <c r="D953" s="51" t="s">
        <v>73</v>
      </c>
      <c r="E953" s="51" t="s">
        <v>3719</v>
      </c>
      <c r="F953" s="54" t="s">
        <v>3723</v>
      </c>
      <c r="G953" s="50">
        <v>5</v>
      </c>
      <c r="H953" s="51" t="s">
        <v>3724</v>
      </c>
      <c r="I953" s="53">
        <v>0</v>
      </c>
      <c r="J953" s="53">
        <v>0</v>
      </c>
      <c r="K953" s="53">
        <v>23000</v>
      </c>
      <c r="L953" s="53">
        <v>0</v>
      </c>
      <c r="M953" s="53">
        <v>0</v>
      </c>
      <c r="N953" s="53">
        <v>0</v>
      </c>
      <c r="O953" s="53">
        <v>0</v>
      </c>
      <c r="P953" s="53">
        <v>0</v>
      </c>
      <c r="Q953" s="53">
        <v>0</v>
      </c>
      <c r="R953" s="53">
        <v>0</v>
      </c>
      <c r="S953" s="53">
        <v>0</v>
      </c>
      <c r="T953" s="53">
        <v>0</v>
      </c>
      <c r="U953" s="53">
        <v>1150</v>
      </c>
      <c r="V953" s="53">
        <v>0</v>
      </c>
      <c r="W953" s="53">
        <v>0</v>
      </c>
      <c r="X953" s="53">
        <v>0</v>
      </c>
      <c r="Y953" s="53">
        <v>5250</v>
      </c>
      <c r="Z953" s="53">
        <v>0</v>
      </c>
      <c r="AA953" s="53">
        <v>0</v>
      </c>
      <c r="AB953" s="53">
        <v>0</v>
      </c>
      <c r="AC953" s="53">
        <v>0</v>
      </c>
      <c r="AD953" s="53">
        <v>0</v>
      </c>
      <c r="AE953" s="53">
        <v>0</v>
      </c>
      <c r="AF953" s="53">
        <v>0</v>
      </c>
      <c r="AG953" s="53">
        <v>0</v>
      </c>
      <c r="AH953" s="53">
        <v>0</v>
      </c>
      <c r="AI953" s="53">
        <v>0</v>
      </c>
      <c r="AJ953" s="53">
        <v>0</v>
      </c>
      <c r="AK953" s="53">
        <v>0</v>
      </c>
      <c r="AL953" s="53">
        <v>0</v>
      </c>
      <c r="AM953" s="53" t="str">
        <f>I953-J953-K953-L953-M953-N953-O953-P953-Q953-R953-S953-T953-U953-V953-W953-X953-Y953-Z953-AA953-AB953-AC953-AD953-AE953-AF953-AG953+AH953-AI953+AJ953+AK953-AL953</f>
        <v>0</v>
      </c>
      <c r="AN953" s="53"/>
      <c r="AO953" s="27"/>
    </row>
    <row r="954" spans="1:41">
      <c r="A954" s="44">
        <v>926</v>
      </c>
      <c r="B954" s="46" t="s">
        <v>3725</v>
      </c>
      <c r="C954" s="48" t="s">
        <v>3726</v>
      </c>
      <c r="D954" s="51" t="s">
        <v>73</v>
      </c>
      <c r="E954" s="51" t="s">
        <v>2787</v>
      </c>
      <c r="F954" s="54" t="s">
        <v>3727</v>
      </c>
      <c r="G954" s="50">
        <v>5</v>
      </c>
      <c r="H954" s="51" t="s">
        <v>3728</v>
      </c>
      <c r="I954" s="53">
        <v>926000</v>
      </c>
      <c r="J954" s="53">
        <v>0</v>
      </c>
      <c r="K954" s="53">
        <v>27000</v>
      </c>
      <c r="L954" s="53">
        <v>0</v>
      </c>
      <c r="M954" s="53">
        <v>0</v>
      </c>
      <c r="N954" s="53">
        <v>0</v>
      </c>
      <c r="O954" s="53">
        <v>0</v>
      </c>
      <c r="P954" s="53">
        <v>0</v>
      </c>
      <c r="Q954" s="53">
        <v>0</v>
      </c>
      <c r="R954" s="53">
        <v>0</v>
      </c>
      <c r="S954" s="53">
        <v>0</v>
      </c>
      <c r="T954" s="53">
        <v>0</v>
      </c>
      <c r="U954" s="53">
        <v>1350</v>
      </c>
      <c r="V954" s="53">
        <v>0</v>
      </c>
      <c r="W954" s="53">
        <v>0</v>
      </c>
      <c r="X954" s="53">
        <v>0</v>
      </c>
      <c r="Y954" s="53">
        <v>0</v>
      </c>
      <c r="Z954" s="53">
        <v>0</v>
      </c>
      <c r="AA954" s="53">
        <v>0</v>
      </c>
      <c r="AB954" s="53">
        <v>0</v>
      </c>
      <c r="AC954" s="53">
        <v>0</v>
      </c>
      <c r="AD954" s="53">
        <v>0</v>
      </c>
      <c r="AE954" s="53">
        <v>0</v>
      </c>
      <c r="AF954" s="53">
        <v>0</v>
      </c>
      <c r="AG954" s="53">
        <v>0</v>
      </c>
      <c r="AH954" s="53">
        <v>0</v>
      </c>
      <c r="AI954" s="53">
        <v>0</v>
      </c>
      <c r="AJ954" s="53">
        <v>0</v>
      </c>
      <c r="AK954" s="53">
        <v>0</v>
      </c>
      <c r="AL954" s="53">
        <v>0</v>
      </c>
      <c r="AM954" s="53" t="str">
        <f>I954-J954-K954-L954-M954-N954-O954-P954-Q954-R954-S954-T954-U954-V954-W954-X954-Y954-Z954-AA954-AB954-AC954-AD954-AE954-AF954-AG954+AH954-AI954+AJ954+AK954-AL954</f>
        <v>0</v>
      </c>
      <c r="AN954" s="53"/>
      <c r="AO954" s="27"/>
    </row>
    <row r="955" spans="1:41" customHeight="1" ht="19.5">
      <c r="A955" s="45"/>
      <c r="B955" s="47"/>
      <c r="C955" s="49"/>
      <c r="D955" s="52"/>
      <c r="E955" s="52"/>
      <c r="F955" s="55"/>
      <c r="G955" s="56"/>
      <c r="H955" s="52" t="s">
        <v>3729</v>
      </c>
      <c r="I955" s="57" t="str">
        <f>SUM(I28:I954)</f>
        <v>0</v>
      </c>
      <c r="J955" s="57" t="str">
        <f>SUM(J28:J954)</f>
        <v>0</v>
      </c>
      <c r="K955" s="57" t="str">
        <f>SUM(K28:K954)</f>
        <v>0</v>
      </c>
      <c r="L955" s="57" t="str">
        <f>SUM(L28:L954)</f>
        <v>0</v>
      </c>
      <c r="M955" s="57" t="str">
        <f>SUM(M28:M954)</f>
        <v>0</v>
      </c>
      <c r="N955" s="57" t="str">
        <f>SUM(N28:N954)</f>
        <v>0</v>
      </c>
      <c r="O955" s="57" t="str">
        <f>SUM(O28:O954)</f>
        <v>0</v>
      </c>
      <c r="P955" s="57" t="str">
        <f>SUM(P28:P954)</f>
        <v>0</v>
      </c>
      <c r="Q955" s="57" t="str">
        <f>SUM(Q28:Q954)</f>
        <v>0</v>
      </c>
      <c r="R955" s="57" t="str">
        <f>SUM(R28:R954)</f>
        <v>0</v>
      </c>
      <c r="S955" s="57" t="str">
        <f>SUM(S28:S954)</f>
        <v>0</v>
      </c>
      <c r="T955" s="57" t="str">
        <f>SUM(T28:T954)</f>
        <v>0</v>
      </c>
      <c r="U955" s="57" t="str">
        <f>SUM(U28:U954)</f>
        <v>0</v>
      </c>
      <c r="V955" s="57" t="str">
        <f>SUM(V28:V954)</f>
        <v>0</v>
      </c>
      <c r="W955" s="57" t="str">
        <f>SUM(W28:W954)</f>
        <v>0</v>
      </c>
      <c r="X955" s="57" t="str">
        <f>SUM(X28:X954)</f>
        <v>0</v>
      </c>
      <c r="Y955" s="57" t="str">
        <f>SUM(Y28:Y954)</f>
        <v>0</v>
      </c>
      <c r="Z955" s="57" t="str">
        <f>SUM(Z28:Z954)</f>
        <v>0</v>
      </c>
      <c r="AA955" s="57" t="str">
        <f>SUM(AA28:AA954)</f>
        <v>0</v>
      </c>
      <c r="AB955" s="57" t="str">
        <f>SUM(AB28:AB954)</f>
        <v>0</v>
      </c>
      <c r="AC955" s="57" t="str">
        <f>SUM(AC28:AC954)</f>
        <v>0</v>
      </c>
      <c r="AD955" s="57" t="str">
        <f>SUM(AD28:AD954)</f>
        <v>0</v>
      </c>
      <c r="AE955" s="57" t="str">
        <f>SUM(AE28:AE954)</f>
        <v>0</v>
      </c>
      <c r="AF955" s="57" t="str">
        <f>SUM(AF28:AF954)</f>
        <v>0</v>
      </c>
      <c r="AG955" s="57" t="str">
        <f>SUM(AG28:AG954)</f>
        <v>0</v>
      </c>
      <c r="AH955" s="57" t="str">
        <f>SUM(AH28:AH954)</f>
        <v>0</v>
      </c>
      <c r="AI955" s="57" t="str">
        <f>SUM(AI28:AI954)</f>
        <v>0</v>
      </c>
      <c r="AJ955" s="57" t="str">
        <f>SUM(AJ28:AJ954)</f>
        <v>0</v>
      </c>
      <c r="AK955" s="57" t="str">
        <f>SUM(AK28:AK954)</f>
        <v>0</v>
      </c>
      <c r="AL955" s="57" t="str">
        <f>SUM(AL28:AL954)</f>
        <v>0</v>
      </c>
      <c r="AM955" s="57" t="str">
        <f>SUM(AM28:AM954)</f>
        <v>0</v>
      </c>
      <c r="AN955" s="57"/>
      <c r="AO955" s="27"/>
    </row>
    <row r="956" spans="1:41" customHeight="1" ht="19.5">
      <c r="A956" s="2"/>
      <c r="B956" s="3"/>
      <c r="C956" s="4"/>
      <c r="D956" s="5"/>
      <c r="E956" s="5"/>
      <c r="F956" s="6"/>
      <c r="G956" s="7"/>
      <c r="H956" s="5"/>
      <c r="I956" s="8"/>
      <c r="J956" s="8"/>
      <c r="K956" s="8"/>
      <c r="L956" s="8"/>
      <c r="M956" s="8"/>
      <c r="N956" s="8"/>
      <c r="O956" s="8"/>
      <c r="P956" s="8"/>
      <c r="Q956" s="8"/>
      <c r="R956" s="8"/>
      <c r="S956" s="8"/>
      <c r="T956" s="8"/>
      <c r="U956" s="8"/>
      <c r="V956" s="8"/>
      <c r="W956" s="8"/>
      <c r="X956" s="8"/>
      <c r="Y956" s="27"/>
      <c r="Z956" s="27"/>
      <c r="AA956" s="27"/>
      <c r="AB956" s="27"/>
      <c r="AC956" s="27"/>
      <c r="AD956" s="27"/>
      <c r="AE956" s="27"/>
      <c r="AF956" s="27"/>
      <c r="AG956" s="27"/>
      <c r="AH956" s="27"/>
      <c r="AI956" s="27"/>
      <c r="AJ956" s="27"/>
      <c r="AK956" s="27"/>
      <c r="AL956" s="27"/>
      <c r="AM956" s="27"/>
      <c r="AN956" s="27"/>
      <c r="AO956" s="27"/>
    </row>
    <row r="957" spans="1:41" customHeight="1" ht="19.5">
      <c r="A957" s="35" t="s">
        <v>3730</v>
      </c>
      <c r="B957" s="3"/>
      <c r="C957" s="4"/>
      <c r="D957" s="5"/>
      <c r="E957" s="5"/>
      <c r="F957" s="6"/>
      <c r="G957" s="7"/>
      <c r="H957" s="5"/>
      <c r="I957" s="8"/>
      <c r="J957" s="8"/>
      <c r="K957" s="8"/>
      <c r="L957" s="8"/>
      <c r="M957" s="8"/>
      <c r="N957" s="8"/>
      <c r="O957" s="8"/>
      <c r="P957" s="8"/>
      <c r="Q957" s="8"/>
      <c r="R957" s="8"/>
      <c r="S957" s="8"/>
      <c r="T957" s="8"/>
      <c r="U957" s="8"/>
      <c r="V957" s="8"/>
      <c r="W957" s="8"/>
      <c r="X957" s="8"/>
      <c r="Y957" s="27"/>
      <c r="Z957" s="27"/>
      <c r="AA957" s="27"/>
      <c r="AB957" s="27"/>
      <c r="AC957" s="27"/>
      <c r="AD957" s="27"/>
      <c r="AE957" s="27"/>
      <c r="AF957" s="27"/>
      <c r="AG957" s="27"/>
      <c r="AH957" s="27"/>
      <c r="AI957" s="27"/>
      <c r="AJ957" s="27"/>
      <c r="AK957" s="27"/>
      <c r="AL957" s="27"/>
      <c r="AM957" s="27"/>
      <c r="AN957" s="27"/>
      <c r="AO957" s="27"/>
    </row>
    <row r="958" spans="1:41" customHeight="1" ht="88">
      <c r="A958" s="59" t="s">
        <v>20</v>
      </c>
      <c r="B958" s="60" t="s">
        <v>3731</v>
      </c>
      <c r="C958" s="30" t="s">
        <v>3732</v>
      </c>
      <c r="D958" s="61" t="s">
        <v>3733</v>
      </c>
      <c r="E958" s="61" t="s">
        <v>3734</v>
      </c>
      <c r="F958" s="6"/>
      <c r="G958" s="7"/>
      <c r="H958" s="5"/>
      <c r="I958" s="8"/>
      <c r="J958" s="7" t="s">
        <v>3735</v>
      </c>
      <c r="K958" s="8"/>
      <c r="L958" s="8"/>
      <c r="M958" s="8"/>
      <c r="N958" s="8"/>
      <c r="O958" s="8"/>
      <c r="P958" s="8"/>
      <c r="Q958" s="8"/>
      <c r="R958" s="8"/>
      <c r="S958" s="8"/>
      <c r="T958" s="8"/>
      <c r="U958" s="8"/>
      <c r="V958" s="8"/>
      <c r="W958" s="8"/>
      <c r="X958" s="8"/>
      <c r="Y958" s="27"/>
      <c r="Z958" s="27"/>
      <c r="AA958" s="27"/>
      <c r="AB958" s="27"/>
      <c r="AC958" s="27"/>
      <c r="AD958" s="27"/>
      <c r="AE958" s="27"/>
      <c r="AF958" s="27"/>
      <c r="AG958" s="27"/>
      <c r="AH958" s="27"/>
      <c r="AI958" s="27"/>
      <c r="AJ958" s="27"/>
      <c r="AK958" s="27"/>
      <c r="AL958" s="27"/>
      <c r="AM958" s="27"/>
      <c r="AN958" s="27"/>
      <c r="AO958" s="27"/>
    </row>
    <row r="959" spans="1:41" customHeight="1" ht="19.5">
      <c r="A959" s="45"/>
      <c r="B959" s="47"/>
      <c r="C959" s="49"/>
      <c r="D959" s="52"/>
      <c r="E959" s="52"/>
      <c r="F959" s="6"/>
      <c r="G959" s="7"/>
      <c r="H959" s="5"/>
      <c r="I959" s="8"/>
      <c r="J959" s="8"/>
      <c r="K959" s="8"/>
      <c r="L959" s="8"/>
      <c r="M959" s="8"/>
      <c r="N959" s="8"/>
      <c r="O959" s="8"/>
      <c r="P959" s="8"/>
      <c r="Q959" s="8"/>
      <c r="R959" s="8"/>
      <c r="S959" s="8"/>
      <c r="T959" s="8"/>
      <c r="U959" s="8"/>
      <c r="V959" s="8"/>
      <c r="W959" s="8"/>
      <c r="X959" s="8"/>
      <c r="Y959" s="27"/>
      <c r="Z959" s="27"/>
      <c r="AA959" s="27"/>
      <c r="AB959" s="27"/>
      <c r="AC959" s="27"/>
      <c r="AD959" s="27"/>
      <c r="AE959" s="27"/>
      <c r="AF959" s="27"/>
      <c r="AG959" s="27"/>
      <c r="AH959" s="27"/>
      <c r="AI959" s="27"/>
      <c r="AJ959" s="27"/>
      <c r="AK959" s="27"/>
      <c r="AL959" s="27"/>
      <c r="AM959" s="27"/>
      <c r="AN959" s="27"/>
      <c r="AO959" s="27"/>
    </row>
    <row r="960" spans="1:41" customHeight="1" ht="19.5">
      <c r="A960" s="2"/>
      <c r="B960" s="3"/>
      <c r="C960" s="4"/>
      <c r="D960" s="5"/>
      <c r="E960" s="5"/>
      <c r="F960" s="6"/>
      <c r="G960" s="7"/>
      <c r="H960" s="5"/>
      <c r="I960" s="8"/>
      <c r="J960" s="8"/>
      <c r="K960" s="8"/>
      <c r="L960" s="8"/>
      <c r="M960" s="8"/>
      <c r="N960" s="8"/>
      <c r="O960" s="8"/>
      <c r="P960" s="8"/>
      <c r="Q960" s="8"/>
      <c r="R960" s="8"/>
      <c r="S960" s="8"/>
      <c r="T960" s="8"/>
      <c r="U960" s="8"/>
      <c r="V960" s="8"/>
      <c r="W960" s="8"/>
      <c r="X960" s="8"/>
      <c r="Y960" s="27"/>
      <c r="Z960" s="27"/>
      <c r="AA960" s="27"/>
      <c r="AB960" s="27"/>
      <c r="AC960" s="27"/>
      <c r="AD960" s="27"/>
      <c r="AE960" s="27"/>
      <c r="AF960" s="27"/>
      <c r="AG960" s="27"/>
      <c r="AH960" s="27"/>
      <c r="AI960" s="27"/>
      <c r="AJ960" s="27"/>
      <c r="AK960" s="27"/>
      <c r="AL960" s="27"/>
      <c r="AM960" s="27"/>
      <c r="AN960" s="27"/>
      <c r="AO960" s="27"/>
    </row>
    <row r="961" spans="1:41" customHeight="1" ht="19.5">
      <c r="A961" s="35" t="s">
        <v>3736</v>
      </c>
      <c r="B961" s="3"/>
      <c r="C961" s="4"/>
      <c r="D961" s="5"/>
      <c r="E961" s="5"/>
      <c r="F961" s="6"/>
      <c r="G961" s="7"/>
      <c r="H961" s="5"/>
      <c r="I961" s="8"/>
      <c r="J961" s="8"/>
      <c r="K961" s="8"/>
      <c r="L961" s="8"/>
      <c r="M961" s="8"/>
      <c r="N961" s="8"/>
      <c r="O961" s="8"/>
      <c r="P961" s="8"/>
      <c r="Q961" s="8"/>
      <c r="R961" s="8"/>
      <c r="S961" s="8"/>
      <c r="T961" s="8"/>
      <c r="U961" s="8"/>
      <c r="V961" s="8"/>
      <c r="W961" s="8"/>
      <c r="X961" s="8"/>
      <c r="Y961" s="27"/>
      <c r="Z961" s="27"/>
      <c r="AA961" s="27"/>
      <c r="AB961" s="27"/>
      <c r="AC961" s="27"/>
      <c r="AD961" s="27"/>
      <c r="AE961" s="27"/>
      <c r="AF961" s="27"/>
      <c r="AG961" s="27"/>
      <c r="AH961" s="27"/>
      <c r="AI961" s="27"/>
      <c r="AJ961" s="27"/>
      <c r="AK961" s="27"/>
      <c r="AL961" s="27"/>
      <c r="AM961" s="27"/>
      <c r="AN961" s="27"/>
      <c r="AO961" s="27"/>
    </row>
    <row r="962" spans="1:41" customHeight="1" ht="19.5">
      <c r="A962" s="59" t="s">
        <v>20</v>
      </c>
      <c r="B962" s="60" t="s">
        <v>21</v>
      </c>
      <c r="C962" s="30" t="s">
        <v>24</v>
      </c>
      <c r="D962" s="61" t="s">
        <v>3737</v>
      </c>
      <c r="E962" s="61" t="s">
        <v>3738</v>
      </c>
      <c r="F962" s="6"/>
      <c r="G962" s="7"/>
      <c r="H962" s="5"/>
      <c r="I962" s="8"/>
      <c r="J962" s="8"/>
      <c r="K962" s="8"/>
      <c r="L962" s="8"/>
      <c r="M962" s="8"/>
      <c r="N962" s="8"/>
      <c r="O962" s="8"/>
      <c r="P962" s="8"/>
      <c r="Q962" s="8"/>
      <c r="R962" s="8"/>
      <c r="S962" s="8"/>
      <c r="T962" s="8"/>
      <c r="U962" s="8"/>
      <c r="V962" s="8"/>
      <c r="W962" s="8"/>
      <c r="X962" s="8"/>
      <c r="Y962" s="27"/>
      <c r="Z962" s="27"/>
      <c r="AA962" s="27"/>
      <c r="AB962" s="27"/>
      <c r="AC962" s="27"/>
      <c r="AD962" s="27"/>
      <c r="AE962" s="27"/>
      <c r="AF962" s="27"/>
      <c r="AG962" s="27"/>
      <c r="AH962" s="27"/>
      <c r="AI962" s="27"/>
      <c r="AJ962" s="27"/>
      <c r="AK962" s="27"/>
      <c r="AL962" s="27"/>
      <c r="AM962" s="27"/>
      <c r="AN962" s="27"/>
      <c r="AO962" s="27"/>
    </row>
    <row r="963" spans="1:41">
      <c r="A963" s="44">
        <v>1</v>
      </c>
      <c r="B963" s="46" t="s">
        <v>3739</v>
      </c>
      <c r="C963" s="48" t="s">
        <v>3740</v>
      </c>
      <c r="D963" s="51">
        <v>340000</v>
      </c>
      <c r="E963" s="51" t="s">
        <v>3741</v>
      </c>
      <c r="F963" s="6"/>
      <c r="G963" s="7"/>
      <c r="H963" s="5"/>
      <c r="I963" s="8"/>
      <c r="J963" s="8"/>
      <c r="K963" s="8"/>
      <c r="L963" s="8"/>
      <c r="M963" s="8"/>
      <c r="N963" s="8"/>
      <c r="O963" s="8"/>
      <c r="P963" s="8"/>
      <c r="Q963" s="8"/>
      <c r="R963" s="8"/>
      <c r="S963" s="8"/>
      <c r="T963" s="8"/>
      <c r="U963" s="8"/>
      <c r="V963" s="8"/>
      <c r="W963" s="8"/>
      <c r="X963" s="8"/>
      <c r="Y963" s="27"/>
      <c r="Z963" s="27"/>
      <c r="AA963" s="27"/>
      <c r="AB963" s="27"/>
      <c r="AC963" s="27"/>
      <c r="AD963" s="27"/>
      <c r="AE963" s="27"/>
      <c r="AF963" s="27"/>
      <c r="AG963" s="27"/>
      <c r="AH963" s="27"/>
      <c r="AI963" s="27"/>
      <c r="AJ963" s="27"/>
      <c r="AK963" s="27"/>
      <c r="AL963" s="27"/>
      <c r="AM963" s="27"/>
      <c r="AN963" s="27"/>
      <c r="AO963" s="27"/>
    </row>
    <row r="964" spans="1:41" customHeight="1" ht="19.5">
      <c r="A964" s="45"/>
      <c r="B964" s="47"/>
      <c r="C964" s="49"/>
      <c r="D964" s="52"/>
      <c r="E964" s="52"/>
      <c r="F964" s="6"/>
      <c r="G964" s="7"/>
      <c r="H964" s="5"/>
      <c r="I964" s="8"/>
      <c r="J964" s="8"/>
      <c r="K964" s="8"/>
      <c r="L964" s="8"/>
      <c r="M964" s="8"/>
      <c r="N964" s="8"/>
      <c r="O964" s="8"/>
      <c r="P964" s="8"/>
      <c r="Q964" s="8"/>
      <c r="R964" s="8"/>
      <c r="S964" s="8"/>
      <c r="T964" s="8"/>
      <c r="U964" s="8"/>
      <c r="V964" s="8"/>
      <c r="W964" s="8"/>
      <c r="X964" s="8"/>
      <c r="Y964" s="27"/>
      <c r="Z964" s="27"/>
      <c r="AA964" s="27"/>
      <c r="AB964" s="27"/>
      <c r="AC964" s="27"/>
      <c r="AD964" s="27"/>
      <c r="AE964" s="27"/>
      <c r="AF964" s="27"/>
      <c r="AG964" s="27"/>
      <c r="AH964" s="27"/>
      <c r="AI964" s="27"/>
      <c r="AJ964" s="27"/>
      <c r="AK964" s="27"/>
      <c r="AL964" s="27"/>
      <c r="AM964" s="27"/>
      <c r="AN964" s="27"/>
      <c r="AO964" s="27"/>
    </row>
    <row r="965" spans="1:41" customHeight="1" ht="19.5">
      <c r="A965" s="2"/>
      <c r="B965" s="3"/>
      <c r="C965" s="4"/>
      <c r="D965" s="5"/>
      <c r="E965" s="5"/>
      <c r="F965" s="6"/>
      <c r="G965" s="7"/>
      <c r="H965" s="5"/>
      <c r="I965" s="8"/>
      <c r="J965" s="8"/>
      <c r="K965" s="8"/>
      <c r="L965" s="8"/>
      <c r="M965" s="8"/>
      <c r="N965" s="8"/>
      <c r="O965" s="8"/>
      <c r="P965" s="8"/>
      <c r="Q965" s="8"/>
      <c r="R965" s="8"/>
      <c r="S965" s="8"/>
      <c r="T965" s="8"/>
      <c r="U965" s="8"/>
      <c r="V965" s="8"/>
      <c r="W965" s="8"/>
      <c r="X965" s="8"/>
      <c r="Y965" s="27"/>
      <c r="Z965" s="27"/>
      <c r="AA965" s="27"/>
      <c r="AB965" s="27"/>
      <c r="AC965" s="27"/>
      <c r="AD965" s="27"/>
      <c r="AE965" s="27"/>
      <c r="AF965" s="27"/>
      <c r="AG965" s="27"/>
      <c r="AH965" s="27"/>
      <c r="AI965" s="27"/>
      <c r="AJ965" s="27"/>
      <c r="AK965" s="27"/>
      <c r="AL965" s="27"/>
      <c r="AM965" s="27"/>
      <c r="AN965" s="27"/>
      <c r="AO965" s="27"/>
    </row>
    <row r="966" spans="1:41" customHeight="1" ht="19.5">
      <c r="A966" s="2"/>
      <c r="B966" s="3"/>
      <c r="C966" s="4"/>
      <c r="D966" s="5"/>
      <c r="E966" s="5"/>
      <c r="F966" s="6"/>
      <c r="G966" s="7"/>
      <c r="H966" s="5"/>
      <c r="I966" s="8"/>
      <c r="J966" s="8"/>
      <c r="K966" s="8"/>
      <c r="L966" s="8"/>
      <c r="M966" s="8"/>
      <c r="N966" s="8"/>
      <c r="O966" s="8"/>
      <c r="P966" s="8"/>
      <c r="Q966" s="8"/>
      <c r="R966" s="8"/>
      <c r="S966" s="8"/>
      <c r="T966" s="8"/>
      <c r="U966" s="8"/>
      <c r="V966" s="8"/>
      <c r="W966" s="8"/>
      <c r="X966" s="8"/>
      <c r="Y966" s="27"/>
      <c r="Z966" s="27"/>
      <c r="AA966" s="27"/>
      <c r="AB966" s="27"/>
      <c r="AC966" s="27"/>
      <c r="AD966" s="27"/>
      <c r="AE966" s="27"/>
      <c r="AF966" s="27"/>
      <c r="AG966" s="27"/>
      <c r="AH966" s="27"/>
      <c r="AI966" s="27"/>
      <c r="AJ966" s="27"/>
      <c r="AK966" s="27"/>
      <c r="AL966" s="27"/>
      <c r="AM966" s="27"/>
      <c r="AN966" s="27"/>
      <c r="AO966" s="27"/>
    </row>
    <row r="967" spans="1:41" customHeight="1" ht="19.5">
      <c r="A967" s="2"/>
      <c r="B967" s="3"/>
      <c r="C967" s="4"/>
      <c r="D967" s="5"/>
      <c r="E967" s="5"/>
      <c r="F967" s="6"/>
      <c r="G967" s="7"/>
      <c r="H967" s="5"/>
      <c r="I967" s="8"/>
      <c r="J967" s="8"/>
      <c r="K967" s="8"/>
      <c r="L967" s="8"/>
      <c r="M967" s="8"/>
      <c r="N967" s="8"/>
      <c r="O967" s="8"/>
      <c r="P967" s="8"/>
      <c r="Q967" s="8"/>
      <c r="R967" s="8"/>
      <c r="S967" s="8"/>
      <c r="T967" s="8"/>
      <c r="U967" s="8"/>
      <c r="V967" s="8"/>
      <c r="W967" s="8"/>
      <c r="X967" s="8"/>
      <c r="Y967" s="27"/>
      <c r="Z967" s="27"/>
      <c r="AA967" s="27"/>
      <c r="AB967" s="27"/>
      <c r="AC967" s="27"/>
      <c r="AD967" s="27"/>
      <c r="AE967" s="27"/>
      <c r="AF967" s="27"/>
      <c r="AG967" s="27"/>
      <c r="AH967" s="27"/>
      <c r="AI967" s="27"/>
      <c r="AJ967" s="27"/>
      <c r="AK967" s="27"/>
      <c r="AL967" s="27"/>
      <c r="AM967" s="27"/>
      <c r="AN967" s="27"/>
      <c r="AO967" s="27"/>
    </row>
    <row r="968" spans="1:41" customHeight="1" ht="19.5">
      <c r="A968" s="40" t="s">
        <v>3742</v>
      </c>
      <c r="B968" s="14"/>
      <c r="C968" s="62"/>
      <c r="D968" s="18"/>
      <c r="E968" s="18" t="s">
        <v>3743</v>
      </c>
      <c r="F968" s="6"/>
      <c r="G968" s="7"/>
      <c r="H968" s="5"/>
      <c r="I968" s="8"/>
      <c r="J968" s="8"/>
      <c r="K968" s="8"/>
      <c r="L968" s="8"/>
      <c r="M968" s="8"/>
      <c r="N968" s="8"/>
      <c r="O968" s="8"/>
      <c r="P968" s="8"/>
      <c r="Q968" s="8"/>
      <c r="R968" s="8"/>
      <c r="S968" s="8"/>
      <c r="T968" s="8"/>
      <c r="U968" s="8"/>
      <c r="V968" s="8"/>
      <c r="W968" s="8"/>
      <c r="X968" s="8"/>
      <c r="Y968" s="27"/>
      <c r="Z968" s="27"/>
      <c r="AA968" s="27"/>
      <c r="AB968" s="27"/>
      <c r="AC968" s="27"/>
      <c r="AD968" s="27"/>
      <c r="AE968" s="27"/>
      <c r="AF968" s="27"/>
      <c r="AG968" s="27"/>
      <c r="AH968" s="27"/>
      <c r="AI968" s="27"/>
      <c r="AJ968" s="27"/>
      <c r="AK968" s="27"/>
      <c r="AL968" s="27"/>
      <c r="AM968" s="27"/>
      <c r="AN968" s="27"/>
      <c r="AO968" s="27"/>
    </row>
    <row r="969" spans="1:41" customHeight="1" ht="19.5">
      <c r="A969" s="2"/>
      <c r="B969" s="3"/>
      <c r="C969" s="4"/>
      <c r="D969" s="5"/>
      <c r="E969" s="5"/>
      <c r="F969" s="6"/>
      <c r="G969" s="7"/>
      <c r="H969" s="5"/>
      <c r="I969" s="8"/>
      <c r="J969" s="8"/>
      <c r="K969" s="8"/>
      <c r="L969" s="8"/>
      <c r="M969" s="8"/>
      <c r="N969" s="8"/>
      <c r="O969" s="8"/>
      <c r="P969" s="8"/>
      <c r="Q969" s="8"/>
      <c r="R969" s="8"/>
      <c r="S969" s="8"/>
      <c r="T969" s="8"/>
      <c r="U969" s="8"/>
      <c r="V969" s="8"/>
      <c r="W969" s="8"/>
      <c r="X969" s="8"/>
      <c r="Y969" s="27"/>
      <c r="Z969" s="27"/>
      <c r="AA969" s="27"/>
      <c r="AB969" s="27"/>
      <c r="AC969" s="27"/>
      <c r="AD969" s="27"/>
      <c r="AE969" s="27"/>
      <c r="AF969" s="27"/>
      <c r="AG969" s="27"/>
      <c r="AH969" s="27"/>
      <c r="AI969" s="27"/>
      <c r="AJ969" s="27"/>
      <c r="AK969" s="27"/>
      <c r="AL969" s="27"/>
      <c r="AM969" s="27"/>
      <c r="AN969" s="27"/>
      <c r="AO969" s="27"/>
    </row>
    <row r="970" spans="1:41" customHeight="1" ht="19.5">
      <c r="A970" s="2"/>
      <c r="B970" s="3"/>
      <c r="C970" s="4"/>
      <c r="D970" s="5"/>
      <c r="E970" s="5"/>
      <c r="F970" s="6"/>
      <c r="G970" s="7"/>
      <c r="H970" s="5"/>
      <c r="I970" s="8"/>
      <c r="J970" s="8"/>
      <c r="K970" s="8"/>
      <c r="L970" s="8"/>
      <c r="M970" s="8"/>
      <c r="N970" s="8"/>
      <c r="O970" s="8"/>
      <c r="P970" s="8"/>
      <c r="Q970" s="8"/>
      <c r="R970" s="8"/>
      <c r="S970" s="8"/>
      <c r="T970" s="8"/>
      <c r="U970" s="8"/>
      <c r="V970" s="8"/>
      <c r="W970" s="8"/>
      <c r="X970" s="8"/>
      <c r="Y970" s="27"/>
      <c r="Z970" s="27"/>
      <c r="AA970" s="27"/>
      <c r="AB970" s="27"/>
      <c r="AC970" s="27"/>
      <c r="AD970" s="27"/>
      <c r="AE970" s="27"/>
      <c r="AF970" s="27"/>
      <c r="AG970" s="27"/>
      <c r="AH970" s="27"/>
      <c r="AI970" s="27"/>
      <c r="AJ970" s="27"/>
      <c r="AK970" s="27"/>
      <c r="AL970" s="27"/>
      <c r="AM970" s="27"/>
      <c r="AN970" s="27"/>
      <c r="AO970" s="27"/>
    </row>
    <row r="971" spans="1:41" customHeight="1" ht="19.5">
      <c r="A971" s="42" t="s">
        <v>3744</v>
      </c>
      <c r="B971" s="3"/>
      <c r="C971" s="4"/>
      <c r="D971" s="5"/>
      <c r="E971" s="5"/>
      <c r="F971" s="6"/>
      <c r="G971" s="7"/>
      <c r="H971" s="5"/>
      <c r="I971" s="8"/>
      <c r="J971" s="8"/>
      <c r="K971" s="8"/>
      <c r="L971" s="8"/>
      <c r="M971" s="8"/>
      <c r="N971" s="8"/>
      <c r="O971" s="8"/>
      <c r="P971" s="8"/>
      <c r="Q971" s="8"/>
      <c r="R971" s="8"/>
      <c r="S971" s="8"/>
      <c r="T971" s="8"/>
      <c r="U971" s="8"/>
      <c r="V971" s="8"/>
      <c r="W971" s="8"/>
      <c r="X971" s="8"/>
      <c r="Y971" s="27"/>
      <c r="Z971" s="27"/>
      <c r="AA971" s="27"/>
      <c r="AB971" s="27"/>
      <c r="AC971" s="27"/>
      <c r="AD971" s="27"/>
      <c r="AE971" s="27"/>
      <c r="AF971" s="27"/>
      <c r="AG971" s="27"/>
      <c r="AH971" s="27"/>
      <c r="AI971" s="27"/>
      <c r="AJ971" s="27"/>
      <c r="AK971" s="27"/>
      <c r="AL971" s="27"/>
      <c r="AM971" s="27"/>
      <c r="AN971" s="27"/>
      <c r="AO971" s="27"/>
    </row>
    <row r="972" spans="1:41" customHeight="1" ht="19.5">
      <c r="A972" s="2"/>
      <c r="B972" s="3"/>
      <c r="C972" s="4"/>
      <c r="D972" s="5"/>
      <c r="E972" s="5"/>
      <c r="F972" s="6"/>
      <c r="G972" s="7"/>
      <c r="H972" s="5"/>
      <c r="I972" s="8"/>
      <c r="J972" s="8"/>
      <c r="K972" s="8"/>
      <c r="L972" s="8"/>
      <c r="M972" s="8"/>
      <c r="N972" s="8"/>
      <c r="O972" s="8"/>
      <c r="P972" s="8"/>
      <c r="Q972" s="8"/>
      <c r="R972" s="8"/>
      <c r="S972" s="8"/>
      <c r="T972" s="8"/>
      <c r="U972" s="8"/>
      <c r="V972" s="8"/>
      <c r="W972" s="8"/>
      <c r="X972" s="8"/>
      <c r="Y972" s="27"/>
      <c r="Z972" s="27"/>
      <c r="AA972" s="27"/>
      <c r="AB972" s="27"/>
      <c r="AC972" s="27"/>
      <c r="AD972" s="27"/>
      <c r="AE972" s="27"/>
      <c r="AF972" s="27"/>
      <c r="AG972" s="27"/>
      <c r="AH972" s="27"/>
      <c r="AI972" s="27"/>
      <c r="AJ972" s="27"/>
      <c r="AK972" s="27"/>
      <c r="AL972" s="27"/>
      <c r="AM972" s="27"/>
      <c r="AN972" s="27"/>
      <c r="AO972" s="27"/>
    </row>
    <row r="973" spans="1:41" customHeight="1" ht="19.5">
      <c r="A973" s="2"/>
      <c r="B973" s="3"/>
      <c r="C973" s="4"/>
      <c r="D973" s="5"/>
      <c r="E973" s="5"/>
      <c r="F973" s="6"/>
      <c r="G973" s="7"/>
      <c r="H973" s="5"/>
      <c r="I973" s="8"/>
      <c r="J973" s="8"/>
      <c r="K973" s="8"/>
      <c r="L973" s="8"/>
      <c r="M973" s="8"/>
      <c r="N973" s="8"/>
      <c r="O973" s="8"/>
      <c r="P973" s="8"/>
      <c r="Q973" s="8"/>
      <c r="R973" s="8"/>
      <c r="S973" s="8"/>
      <c r="T973" s="8"/>
      <c r="U973" s="8"/>
      <c r="V973" s="8"/>
      <c r="W973" s="8"/>
      <c r="X973" s="8"/>
      <c r="Y973" s="27"/>
      <c r="Z973" s="27"/>
      <c r="AA973" s="27"/>
      <c r="AB973" s="27"/>
      <c r="AC973" s="27"/>
      <c r="AD973" s="27"/>
      <c r="AE973" s="27"/>
      <c r="AF973" s="27"/>
      <c r="AG973" s="27"/>
      <c r="AH973" s="27"/>
      <c r="AI973" s="27"/>
      <c r="AJ973" s="27"/>
      <c r="AK973" s="27"/>
      <c r="AL973" s="27"/>
      <c r="AM973" s="27"/>
      <c r="AN973" s="27"/>
      <c r="AO973" s="27"/>
    </row>
    <row r="974" spans="1:41" customHeight="1" ht="19.5">
      <c r="A974" s="2"/>
      <c r="B974" s="3"/>
      <c r="C974" s="4"/>
      <c r="D974" s="5"/>
      <c r="E974" s="5"/>
      <c r="F974" s="6"/>
      <c r="G974" s="7"/>
      <c r="H974" s="5"/>
      <c r="I974" s="8"/>
      <c r="J974" s="8"/>
      <c r="K974" s="8"/>
      <c r="L974" s="8"/>
      <c r="M974" s="8"/>
      <c r="N974" s="8"/>
      <c r="O974" s="8"/>
      <c r="P974" s="8"/>
      <c r="Q974" s="8"/>
      <c r="R974" s="8"/>
      <c r="S974" s="8"/>
      <c r="T974" s="8"/>
      <c r="U974" s="8"/>
      <c r="V974" s="8"/>
      <c r="W974" s="8"/>
      <c r="X974" s="8"/>
      <c r="Y974" s="27"/>
      <c r="Z974" s="27"/>
      <c r="AA974" s="27"/>
      <c r="AB974" s="27"/>
      <c r="AC974" s="27"/>
      <c r="AD974" s="27"/>
      <c r="AE974" s="27"/>
      <c r="AF974" s="27"/>
      <c r="AG974" s="27"/>
      <c r="AH974" s="27"/>
      <c r="AI974" s="27"/>
      <c r="AJ974" s="27"/>
      <c r="AK974" s="27"/>
      <c r="AL974" s="27"/>
      <c r="AM974" s="27"/>
      <c r="AN974" s="27"/>
      <c r="AO974" s="27"/>
    </row>
    <row r="975" spans="1:41" customHeight="1" ht="19.5">
      <c r="A975" s="2"/>
      <c r="B975" s="3"/>
      <c r="C975" s="4"/>
      <c r="D975" s="5"/>
      <c r="E975" s="5"/>
      <c r="F975" s="6"/>
      <c r="G975" s="7"/>
      <c r="H975" s="5"/>
      <c r="I975" s="8"/>
      <c r="J975" s="8"/>
      <c r="K975" s="8"/>
      <c r="L975" s="8"/>
      <c r="M975" s="8"/>
      <c r="N975" s="8"/>
      <c r="O975" s="8"/>
      <c r="P975" s="8"/>
      <c r="Q975" s="8"/>
      <c r="R975" s="8"/>
      <c r="S975" s="8"/>
      <c r="T975" s="8"/>
      <c r="U975" s="8"/>
      <c r="V975" s="8"/>
      <c r="W975" s="8"/>
      <c r="X975" s="8"/>
      <c r="Y975" s="27"/>
      <c r="Z975" s="27"/>
      <c r="AA975" s="27"/>
      <c r="AB975" s="27"/>
      <c r="AC975" s="27"/>
      <c r="AD975" s="27"/>
      <c r="AE975" s="27"/>
      <c r="AF975" s="27"/>
      <c r="AG975" s="27"/>
      <c r="AH975" s="27"/>
      <c r="AI975" s="27"/>
      <c r="AJ975" s="27"/>
      <c r="AK975" s="27"/>
      <c r="AL975" s="27"/>
      <c r="AM975" s="27"/>
      <c r="AN975" s="27"/>
      <c r="AO975" s="27"/>
    </row>
    <row r="976" spans="1:41" customHeight="1" ht="19.5">
      <c r="A976" s="2"/>
      <c r="B976" s="3"/>
      <c r="C976" s="4"/>
      <c r="D976" s="5"/>
      <c r="E976" s="5"/>
      <c r="F976" s="6"/>
      <c r="G976" s="7"/>
      <c r="H976" s="5"/>
      <c r="I976" s="8"/>
      <c r="J976" s="8"/>
      <c r="K976" s="8"/>
      <c r="L976" s="8"/>
      <c r="M976" s="8"/>
      <c r="N976" s="8"/>
      <c r="O976" s="8"/>
      <c r="P976" s="8"/>
      <c r="Q976" s="8"/>
      <c r="R976" s="8"/>
      <c r="S976" s="8"/>
      <c r="T976" s="8"/>
      <c r="U976" s="8"/>
      <c r="V976" s="8"/>
      <c r="W976" s="8"/>
      <c r="X976" s="8"/>
      <c r="Y976" s="27"/>
      <c r="Z976" s="27"/>
      <c r="AA976" s="27"/>
      <c r="AB976" s="27"/>
      <c r="AC976" s="27"/>
      <c r="AD976" s="27"/>
      <c r="AE976" s="27"/>
      <c r="AF976" s="27"/>
      <c r="AG976" s="27"/>
      <c r="AH976" s="27"/>
      <c r="AI976" s="27"/>
      <c r="AJ976" s="27"/>
      <c r="AK976" s="27"/>
      <c r="AL976" s="27"/>
      <c r="AM976" s="27"/>
      <c r="AN976" s="27"/>
      <c r="AO976" s="27"/>
    </row>
    <row r="977" spans="1:41" customHeight="1" ht="19.5">
      <c r="A977" s="2"/>
      <c r="B977" s="3"/>
      <c r="C977" s="4"/>
      <c r="D977" s="5"/>
      <c r="E977" s="5"/>
      <c r="F977" s="6"/>
      <c r="G977" s="7"/>
      <c r="H977" s="5"/>
      <c r="I977" s="8"/>
      <c r="J977" s="8"/>
      <c r="K977" s="8"/>
      <c r="L977" s="8"/>
      <c r="M977" s="8"/>
      <c r="N977" s="8"/>
      <c r="O977" s="8"/>
      <c r="P977" s="8"/>
      <c r="Q977" s="8"/>
      <c r="R977" s="8"/>
      <c r="S977" s="8"/>
      <c r="T977" s="8"/>
      <c r="U977" s="8"/>
      <c r="V977" s="8"/>
      <c r="W977" s="8"/>
      <c r="X977" s="8"/>
      <c r="Y977" s="27"/>
      <c r="Z977" s="27"/>
      <c r="AA977" s="27"/>
      <c r="AB977" s="27"/>
      <c r="AC977" s="27"/>
      <c r="AD977" s="27"/>
      <c r="AE977" s="27"/>
      <c r="AF977" s="27"/>
      <c r="AG977" s="27"/>
      <c r="AH977" s="27"/>
      <c r="AI977" s="27"/>
      <c r="AJ977" s="27"/>
      <c r="AK977" s="27"/>
      <c r="AL977" s="27"/>
      <c r="AM977" s="27"/>
      <c r="AN977" s="27"/>
      <c r="AO977" s="27"/>
    </row>
    <row r="978" spans="1:41" customHeight="1" ht="19.5">
      <c r="A978" s="2"/>
      <c r="B978" s="3"/>
      <c r="C978" s="4"/>
      <c r="D978" s="5"/>
      <c r="E978" s="5"/>
      <c r="F978" s="6"/>
      <c r="G978" s="7"/>
      <c r="H978" s="5"/>
      <c r="I978" s="8"/>
      <c r="J978" s="8"/>
      <c r="K978" s="8"/>
      <c r="L978" s="8"/>
      <c r="M978" s="8"/>
      <c r="N978" s="8"/>
      <c r="O978" s="8"/>
      <c r="P978" s="8"/>
      <c r="Q978" s="8"/>
      <c r="R978" s="8"/>
      <c r="S978" s="8"/>
      <c r="T978" s="8"/>
      <c r="U978" s="8"/>
      <c r="V978" s="8"/>
      <c r="W978" s="8"/>
      <c r="X978" s="8"/>
      <c r="Y978" s="27"/>
      <c r="Z978" s="27"/>
      <c r="AA978" s="27"/>
      <c r="AB978" s="27"/>
      <c r="AC978" s="27"/>
      <c r="AD978" s="27"/>
      <c r="AE978" s="27"/>
      <c r="AF978" s="27"/>
      <c r="AG978" s="27"/>
      <c r="AH978" s="27"/>
      <c r="AI978" s="27"/>
      <c r="AJ978" s="27"/>
      <c r="AK978" s="27"/>
      <c r="AL978" s="27"/>
      <c r="AM978" s="27"/>
      <c r="AN978" s="27"/>
      <c r="AO978" s="27"/>
    </row>
    <row r="979" spans="1:41" customHeight="1" ht="19.5">
      <c r="A979" s="2"/>
      <c r="B979" s="3"/>
      <c r="C979" s="4"/>
      <c r="D979" s="5"/>
      <c r="E979" s="5"/>
      <c r="F979" s="6"/>
      <c r="G979" s="7"/>
      <c r="H979" s="5"/>
      <c r="I979" s="8"/>
      <c r="J979" s="8"/>
      <c r="K979" s="8"/>
      <c r="L979" s="8"/>
      <c r="M979" s="8"/>
      <c r="N979" s="8"/>
      <c r="O979" s="8"/>
      <c r="P979" s="8"/>
      <c r="Q979" s="8"/>
      <c r="R979" s="8"/>
      <c r="S979" s="8"/>
      <c r="T979" s="8"/>
      <c r="U979" s="8"/>
      <c r="V979" s="8"/>
      <c r="W979" s="8"/>
      <c r="X979" s="8"/>
      <c r="Y979" s="27"/>
      <c r="Z979" s="27"/>
      <c r="AA979" s="27"/>
      <c r="AB979" s="27"/>
      <c r="AC979" s="27"/>
      <c r="AD979" s="27"/>
      <c r="AE979" s="27"/>
      <c r="AF979" s="27"/>
      <c r="AG979" s="27"/>
      <c r="AH979" s="27"/>
      <c r="AI979" s="27"/>
      <c r="AJ979" s="27"/>
      <c r="AK979" s="27"/>
      <c r="AL979" s="27"/>
      <c r="AM979" s="27"/>
      <c r="AN979" s="27"/>
      <c r="AO979" s="27"/>
    </row>
    <row r="980" spans="1:41" customHeight="1" ht="19.5">
      <c r="A980" s="2"/>
      <c r="B980" s="3"/>
      <c r="C980" s="4"/>
      <c r="D980" s="5"/>
      <c r="E980" s="5"/>
      <c r="F980" s="6"/>
      <c r="G980" s="7"/>
      <c r="H980" s="5"/>
      <c r="I980" s="8"/>
      <c r="J980" s="8"/>
      <c r="K980" s="8"/>
      <c r="L980" s="8"/>
      <c r="M980" s="8"/>
      <c r="N980" s="8"/>
      <c r="O980" s="8"/>
      <c r="P980" s="8"/>
      <c r="Q980" s="8"/>
      <c r="R980" s="8"/>
      <c r="S980" s="8"/>
      <c r="T980" s="8"/>
      <c r="U980" s="8"/>
      <c r="V980" s="8"/>
      <c r="W980" s="8"/>
      <c r="X980" s="8"/>
      <c r="Y980" s="27"/>
      <c r="Z980" s="27"/>
      <c r="AA980" s="27"/>
      <c r="AB980" s="27"/>
      <c r="AC980" s="27"/>
      <c r="AD980" s="27"/>
      <c r="AE980" s="27"/>
      <c r="AF980" s="27"/>
      <c r="AG980" s="27"/>
      <c r="AH980" s="27"/>
      <c r="AI980" s="27"/>
      <c r="AJ980" s="27"/>
      <c r="AK980" s="27"/>
      <c r="AL980" s="27"/>
      <c r="AM980" s="27"/>
      <c r="AN980" s="27"/>
      <c r="AO980" s="27"/>
    </row>
    <row r="981" spans="1:41" customHeight="1" ht="19.5">
      <c r="A981" s="2"/>
      <c r="B981" s="3"/>
      <c r="C981" s="4"/>
      <c r="D981" s="5"/>
      <c r="E981" s="5"/>
      <c r="F981" s="6"/>
      <c r="G981" s="7"/>
      <c r="H981" s="5"/>
      <c r="I981" s="8"/>
      <c r="J981" s="8"/>
      <c r="K981" s="8"/>
      <c r="L981" s="8"/>
      <c r="M981" s="8"/>
      <c r="N981" s="8"/>
      <c r="O981" s="8"/>
      <c r="P981" s="8"/>
      <c r="Q981" s="8"/>
      <c r="R981" s="8"/>
      <c r="S981" s="8"/>
      <c r="T981" s="8"/>
      <c r="U981" s="8"/>
      <c r="V981" s="8"/>
      <c r="W981" s="8"/>
      <c r="X981" s="8"/>
      <c r="Y981" s="27"/>
      <c r="Z981" s="27"/>
      <c r="AA981" s="27"/>
      <c r="AB981" s="27"/>
      <c r="AC981" s="27"/>
      <c r="AD981" s="27"/>
      <c r="AE981" s="27"/>
      <c r="AF981" s="27"/>
      <c r="AG981" s="27"/>
      <c r="AH981" s="27"/>
      <c r="AI981" s="27"/>
      <c r="AJ981" s="27"/>
      <c r="AK981" s="27"/>
      <c r="AL981" s="27"/>
      <c r="AM981" s="27"/>
      <c r="AN981" s="27"/>
      <c r="AO981" s="27"/>
    </row>
    <row r="982" spans="1:41" customHeight="1" ht="19.5">
      <c r="A982" s="2"/>
      <c r="B982" s="3"/>
      <c r="C982" s="4"/>
      <c r="D982" s="5"/>
      <c r="E982" s="5"/>
      <c r="F982" s="6"/>
      <c r="G982" s="7"/>
      <c r="H982" s="5"/>
      <c r="I982" s="8"/>
      <c r="J982" s="8"/>
      <c r="K982" s="8"/>
      <c r="L982" s="8"/>
      <c r="M982" s="8"/>
      <c r="N982" s="8"/>
      <c r="O982" s="8"/>
      <c r="P982" s="8"/>
      <c r="Q982" s="8"/>
      <c r="R982" s="8"/>
      <c r="S982" s="8"/>
      <c r="T982" s="8"/>
      <c r="U982" s="8"/>
      <c r="V982" s="8"/>
      <c r="W982" s="8"/>
      <c r="X982" s="8"/>
      <c r="Y982" s="27"/>
      <c r="Z982" s="27"/>
      <c r="AA982" s="27"/>
      <c r="AB982" s="27"/>
      <c r="AC982" s="27"/>
      <c r="AD982" s="27"/>
      <c r="AE982" s="27"/>
      <c r="AF982" s="27"/>
      <c r="AG982" s="27"/>
      <c r="AH982" s="27"/>
      <c r="AI982" s="27"/>
      <c r="AJ982" s="27"/>
      <c r="AK982" s="27"/>
      <c r="AL982" s="27"/>
      <c r="AM982" s="27"/>
      <c r="AN982" s="27"/>
      <c r="AO982" s="27"/>
    </row>
    <row r="983" spans="1:41" customHeight="1" ht="19.5">
      <c r="A983" s="2"/>
      <c r="B983" s="3"/>
      <c r="C983" s="4"/>
      <c r="D983" s="5"/>
      <c r="E983" s="5"/>
      <c r="F983" s="6"/>
      <c r="G983" s="7"/>
      <c r="H983" s="5"/>
      <c r="I983" s="8"/>
      <c r="J983" s="8"/>
      <c r="K983" s="8"/>
      <c r="L983" s="8"/>
      <c r="M983" s="8"/>
      <c r="N983" s="8"/>
      <c r="O983" s="8"/>
      <c r="P983" s="8"/>
      <c r="Q983" s="8"/>
      <c r="R983" s="8"/>
      <c r="S983" s="8"/>
      <c r="T983" s="8"/>
      <c r="U983" s="8"/>
      <c r="V983" s="8"/>
      <c r="W983" s="8"/>
      <c r="X983" s="8"/>
      <c r="Y983" s="27"/>
      <c r="Z983" s="27"/>
      <c r="AA983" s="27"/>
      <c r="AB983" s="27"/>
      <c r="AC983" s="27"/>
      <c r="AD983" s="27"/>
      <c r="AE983" s="27"/>
      <c r="AF983" s="27"/>
      <c r="AG983" s="27"/>
      <c r="AH983" s="27"/>
      <c r="AI983" s="27"/>
      <c r="AJ983" s="27"/>
      <c r="AK983" s="27"/>
      <c r="AL983" s="27"/>
      <c r="AM983" s="27"/>
      <c r="AN983" s="27"/>
      <c r="AO983" s="27"/>
    </row>
    <row r="984" spans="1:41" customHeight="1" ht="19.5">
      <c r="A984" s="2"/>
      <c r="B984" s="3"/>
      <c r="C984" s="4"/>
      <c r="D984" s="5"/>
      <c r="E984" s="5"/>
      <c r="F984" s="6"/>
      <c r="G984" s="7"/>
      <c r="H984" s="5"/>
      <c r="I984" s="8"/>
      <c r="J984" s="8"/>
      <c r="K984" s="8"/>
      <c r="L984" s="8"/>
      <c r="M984" s="8"/>
      <c r="N984" s="8"/>
      <c r="O984" s="8"/>
      <c r="P984" s="8"/>
      <c r="Q984" s="8"/>
      <c r="R984" s="8"/>
      <c r="S984" s="8"/>
      <c r="T984" s="8"/>
      <c r="U984" s="8"/>
      <c r="V984" s="8"/>
      <c r="W984" s="8"/>
      <c r="X984" s="8"/>
      <c r="Y984" s="27"/>
      <c r="Z984" s="27"/>
      <c r="AA984" s="27"/>
      <c r="AB984" s="27"/>
      <c r="AC984" s="27"/>
      <c r="AD984" s="27"/>
      <c r="AE984" s="27"/>
      <c r="AF984" s="27"/>
      <c r="AG984" s="27"/>
      <c r="AH984" s="27"/>
      <c r="AI984" s="27"/>
      <c r="AJ984" s="27"/>
      <c r="AK984" s="27"/>
      <c r="AL984" s="27"/>
      <c r="AM984" s="27"/>
      <c r="AN984" s="27"/>
      <c r="AO984" s="27"/>
    </row>
    <row r="985" spans="1:41" customHeight="1" ht="19.5">
      <c r="A985" s="2"/>
      <c r="B985" s="3"/>
      <c r="C985" s="4"/>
      <c r="D985" s="5"/>
      <c r="E985" s="5"/>
      <c r="F985" s="6"/>
      <c r="G985" s="7"/>
      <c r="H985" s="5"/>
      <c r="I985" s="8"/>
      <c r="J985" s="8"/>
      <c r="K985" s="8"/>
      <c r="L985" s="8"/>
      <c r="M985" s="8"/>
      <c r="N985" s="8"/>
      <c r="O985" s="8"/>
      <c r="P985" s="8"/>
      <c r="Q985" s="8"/>
      <c r="R985" s="8"/>
      <c r="S985" s="8"/>
      <c r="T985" s="8"/>
      <c r="U985" s="8"/>
      <c r="V985" s="8"/>
      <c r="W985" s="8"/>
      <c r="X985" s="8"/>
      <c r="Y985" s="27"/>
      <c r="Z985" s="27"/>
      <c r="AA985" s="27"/>
      <c r="AB985" s="27"/>
      <c r="AC985" s="27"/>
      <c r="AD985" s="27"/>
      <c r="AE985" s="27"/>
      <c r="AF985" s="27"/>
      <c r="AG985" s="27"/>
      <c r="AH985" s="27"/>
      <c r="AI985" s="27"/>
      <c r="AJ985" s="27"/>
      <c r="AK985" s="27"/>
      <c r="AL985" s="27"/>
      <c r="AM985" s="27"/>
      <c r="AN985" s="27"/>
      <c r="AO985" s="27"/>
    </row>
    <row r="986" spans="1:41" customHeight="1" ht="19.5">
      <c r="A986" s="2"/>
      <c r="B986" s="3"/>
      <c r="C986" s="4"/>
      <c r="D986" s="5"/>
      <c r="E986" s="5"/>
      <c r="F986" s="6"/>
      <c r="G986" s="7"/>
      <c r="H986" s="5"/>
      <c r="I986" s="8"/>
      <c r="J986" s="8"/>
      <c r="K986" s="8"/>
      <c r="L986" s="8"/>
      <c r="M986" s="8"/>
      <c r="N986" s="8"/>
      <c r="O986" s="8"/>
      <c r="P986" s="8"/>
      <c r="Q986" s="8"/>
      <c r="R986" s="8"/>
      <c r="S986" s="8"/>
      <c r="T986" s="8"/>
      <c r="U986" s="8"/>
      <c r="V986" s="8"/>
      <c r="W986" s="8"/>
      <c r="X986" s="8"/>
      <c r="Y986" s="27"/>
      <c r="Z986" s="27"/>
      <c r="AA986" s="27"/>
      <c r="AB986" s="27"/>
      <c r="AC986" s="27"/>
      <c r="AD986" s="27"/>
      <c r="AE986" s="27"/>
      <c r="AF986" s="27"/>
      <c r="AG986" s="27"/>
      <c r="AH986" s="27"/>
      <c r="AI986" s="27"/>
      <c r="AJ986" s="27"/>
      <c r="AK986" s="27"/>
      <c r="AL986" s="27"/>
      <c r="AM986" s="27"/>
      <c r="AN986" s="27"/>
      <c r="AO986" s="27"/>
    </row>
    <row r="987" spans="1:41" customHeight="1" ht="19.5">
      <c r="A987" s="2"/>
      <c r="B987" s="3"/>
      <c r="C987" s="4"/>
      <c r="D987" s="5"/>
      <c r="E987" s="5"/>
      <c r="F987" s="6"/>
      <c r="G987" s="7"/>
      <c r="H987" s="5"/>
      <c r="I987" s="8"/>
      <c r="J987" s="8"/>
      <c r="K987" s="8"/>
      <c r="L987" s="8"/>
      <c r="M987" s="8"/>
      <c r="N987" s="8"/>
      <c r="O987" s="8"/>
      <c r="P987" s="8"/>
      <c r="Q987" s="8"/>
      <c r="R987" s="8"/>
      <c r="S987" s="8"/>
      <c r="T987" s="8"/>
      <c r="U987" s="8"/>
      <c r="V987" s="8"/>
      <c r="W987" s="8"/>
      <c r="X987" s="8"/>
      <c r="Y987" s="27"/>
      <c r="Z987" s="27"/>
      <c r="AA987" s="27"/>
      <c r="AB987" s="27"/>
      <c r="AC987" s="27"/>
      <c r="AD987" s="27"/>
      <c r="AE987" s="27"/>
      <c r="AF987" s="27"/>
      <c r="AG987" s="27"/>
      <c r="AH987" s="27"/>
      <c r="AI987" s="27"/>
      <c r="AJ987" s="27"/>
      <c r="AK987" s="27"/>
      <c r="AL987" s="27"/>
      <c r="AM987" s="27"/>
      <c r="AN987" s="27"/>
      <c r="AO987" s="27"/>
    </row>
    <row r="988" spans="1:41" customHeight="1" ht="19.5">
      <c r="A988" s="2"/>
      <c r="B988" s="3"/>
      <c r="C988" s="4"/>
      <c r="D988" s="5"/>
      <c r="E988" s="5"/>
      <c r="F988" s="6"/>
      <c r="G988" s="7"/>
      <c r="H988" s="5"/>
      <c r="I988" s="8"/>
      <c r="J988" s="8"/>
      <c r="K988" s="8"/>
      <c r="L988" s="8"/>
      <c r="M988" s="8"/>
      <c r="N988" s="8"/>
      <c r="O988" s="8"/>
      <c r="P988" s="8"/>
      <c r="Q988" s="8"/>
      <c r="R988" s="8"/>
      <c r="S988" s="8"/>
      <c r="T988" s="8"/>
      <c r="U988" s="8"/>
      <c r="V988" s="8"/>
      <c r="W988" s="8"/>
      <c r="X988" s="8"/>
      <c r="Y988" s="27"/>
      <c r="Z988" s="27"/>
      <c r="AA988" s="27"/>
      <c r="AB988" s="27"/>
      <c r="AC988" s="27"/>
      <c r="AD988" s="27"/>
      <c r="AE988" s="27"/>
      <c r="AF988" s="27"/>
      <c r="AG988" s="27"/>
      <c r="AH988" s="27"/>
      <c r="AI988" s="27"/>
      <c r="AJ988" s="27"/>
      <c r="AK988" s="27"/>
      <c r="AL988" s="27"/>
      <c r="AM988" s="27"/>
      <c r="AN988" s="27"/>
      <c r="AO988" s="27"/>
    </row>
    <row r="989" spans="1:41" customHeight="1" ht="19.5">
      <c r="A989" s="2"/>
      <c r="B989" s="3"/>
      <c r="C989" s="4"/>
      <c r="D989" s="5"/>
      <c r="E989" s="5"/>
      <c r="F989" s="6"/>
      <c r="G989" s="7"/>
      <c r="H989" s="5"/>
      <c r="I989" s="8"/>
      <c r="J989" s="8"/>
      <c r="K989" s="8"/>
      <c r="L989" s="8"/>
      <c r="M989" s="8"/>
      <c r="N989" s="8"/>
      <c r="O989" s="8"/>
      <c r="P989" s="8"/>
      <c r="Q989" s="8"/>
      <c r="R989" s="8"/>
      <c r="S989" s="8"/>
      <c r="T989" s="8"/>
      <c r="U989" s="8"/>
      <c r="V989" s="8"/>
      <c r="W989" s="8"/>
      <c r="X989" s="8"/>
      <c r="Y989" s="27"/>
      <c r="Z989" s="27"/>
      <c r="AA989" s="27"/>
      <c r="AB989" s="27"/>
      <c r="AC989" s="27"/>
      <c r="AD989" s="27"/>
      <c r="AE989" s="27"/>
      <c r="AF989" s="27"/>
      <c r="AG989" s="27"/>
      <c r="AH989" s="27"/>
      <c r="AI989" s="27"/>
      <c r="AJ989" s="27"/>
      <c r="AK989" s="27"/>
      <c r="AL989" s="27"/>
      <c r="AM989" s="27"/>
      <c r="AN989" s="27"/>
      <c r="AO989" s="27"/>
    </row>
    <row r="990" spans="1:41" customHeight="1" ht="19.5">
      <c r="A990" s="2"/>
      <c r="B990" s="3"/>
      <c r="C990" s="4"/>
      <c r="D990" s="5"/>
      <c r="E990" s="5"/>
      <c r="F990" s="6"/>
      <c r="G990" s="7"/>
      <c r="H990" s="5"/>
      <c r="I990" s="8"/>
      <c r="J990" s="8"/>
      <c r="K990" s="8"/>
      <c r="L990" s="8"/>
      <c r="M990" s="8"/>
      <c r="N990" s="8"/>
      <c r="O990" s="8"/>
      <c r="P990" s="8"/>
      <c r="Q990" s="8"/>
      <c r="R990" s="8"/>
      <c r="S990" s="8"/>
      <c r="T990" s="8"/>
      <c r="U990" s="8"/>
      <c r="V990" s="8"/>
      <c r="W990" s="8"/>
      <c r="X990" s="8"/>
      <c r="Y990" s="27"/>
      <c r="Z990" s="27"/>
      <c r="AA990" s="27"/>
      <c r="AB990" s="27"/>
      <c r="AC990" s="27"/>
      <c r="AD990" s="27"/>
      <c r="AE990" s="27"/>
      <c r="AF990" s="27"/>
      <c r="AG990" s="27"/>
      <c r="AH990" s="27"/>
      <c r="AI990" s="27"/>
      <c r="AJ990" s="27"/>
      <c r="AK990" s="27"/>
      <c r="AL990" s="27"/>
      <c r="AM990" s="27"/>
      <c r="AN990" s="27"/>
      <c r="AO990" s="27"/>
    </row>
    <row r="991" spans="1:41" customHeight="1" ht="19.5">
      <c r="A991" s="2"/>
      <c r="B991" s="3"/>
      <c r="C991" s="4"/>
      <c r="D991" s="5"/>
      <c r="E991" s="5"/>
      <c r="F991" s="6"/>
      <c r="G991" s="7"/>
      <c r="H991" s="5"/>
      <c r="I991" s="8"/>
      <c r="J991" s="8"/>
      <c r="K991" s="8"/>
      <c r="L991" s="8"/>
      <c r="M991" s="8"/>
      <c r="N991" s="8"/>
      <c r="O991" s="8"/>
      <c r="P991" s="8"/>
      <c r="Q991" s="8"/>
      <c r="R991" s="8"/>
      <c r="S991" s="8"/>
      <c r="T991" s="8"/>
      <c r="U991" s="8"/>
      <c r="V991" s="8"/>
      <c r="W991" s="8"/>
      <c r="X991" s="8"/>
      <c r="Y991" s="27"/>
      <c r="Z991" s="27"/>
      <c r="AA991" s="27"/>
      <c r="AB991" s="27"/>
      <c r="AC991" s="27"/>
      <c r="AD991" s="27"/>
      <c r="AE991" s="27"/>
      <c r="AF991" s="27"/>
      <c r="AG991" s="27"/>
      <c r="AH991" s="27"/>
      <c r="AI991" s="27"/>
      <c r="AJ991" s="27"/>
      <c r="AK991" s="27"/>
      <c r="AL991" s="27"/>
      <c r="AM991" s="27"/>
      <c r="AN991" s="27"/>
      <c r="AO991" s="27"/>
    </row>
    <row r="992" spans="1:41" customHeight="1" ht="19.5">
      <c r="A992" s="2"/>
      <c r="B992" s="3"/>
      <c r="C992" s="4"/>
      <c r="D992" s="5"/>
      <c r="E992" s="5"/>
      <c r="F992" s="6"/>
      <c r="G992" s="7"/>
      <c r="H992" s="5"/>
      <c r="I992" s="8"/>
      <c r="J992" s="8"/>
      <c r="K992" s="8"/>
      <c r="L992" s="8"/>
      <c r="M992" s="8"/>
      <c r="N992" s="8"/>
      <c r="O992" s="8"/>
      <c r="P992" s="8"/>
      <c r="Q992" s="8"/>
      <c r="R992" s="8"/>
      <c r="S992" s="8"/>
      <c r="T992" s="8"/>
      <c r="U992" s="8"/>
      <c r="V992" s="8"/>
      <c r="W992" s="8"/>
      <c r="X992" s="8"/>
      <c r="Y992" s="27"/>
      <c r="Z992" s="27"/>
      <c r="AA992" s="27"/>
      <c r="AB992" s="27"/>
      <c r="AC992" s="27"/>
      <c r="AD992" s="27"/>
      <c r="AE992" s="27"/>
      <c r="AF992" s="27"/>
      <c r="AG992" s="27"/>
      <c r="AH992" s="27"/>
      <c r="AI992" s="27"/>
      <c r="AJ992" s="27"/>
      <c r="AK992" s="27"/>
      <c r="AL992" s="27"/>
      <c r="AM992" s="27"/>
      <c r="AN992" s="27"/>
      <c r="AO992" s="27"/>
    </row>
    <row r="993" spans="1:41" customHeight="1" ht="19.5">
      <c r="A993" s="2"/>
      <c r="B993" s="3"/>
      <c r="C993" s="4"/>
      <c r="D993" s="5"/>
      <c r="E993" s="5"/>
      <c r="F993" s="6"/>
      <c r="G993" s="7"/>
      <c r="H993" s="5"/>
      <c r="I993" s="8"/>
      <c r="J993" s="8"/>
      <c r="K993" s="8"/>
      <c r="L993" s="8"/>
      <c r="M993" s="8"/>
      <c r="N993" s="8"/>
      <c r="O993" s="8"/>
      <c r="P993" s="8"/>
      <c r="Q993" s="8"/>
      <c r="R993" s="8"/>
      <c r="S993" s="8"/>
      <c r="T993" s="8"/>
      <c r="U993" s="8"/>
      <c r="V993" s="8"/>
      <c r="W993" s="8"/>
      <c r="X993" s="8"/>
      <c r="Y993" s="27"/>
      <c r="Z993" s="27"/>
      <c r="AA993" s="27"/>
      <c r="AB993" s="27"/>
      <c r="AC993" s="27"/>
      <c r="AD993" s="27"/>
      <c r="AE993" s="27"/>
      <c r="AF993" s="27"/>
      <c r="AG993" s="27"/>
      <c r="AH993" s="27"/>
      <c r="AI993" s="27"/>
      <c r="AJ993" s="27"/>
      <c r="AK993" s="27"/>
      <c r="AL993" s="27"/>
      <c r="AM993" s="27"/>
      <c r="AN993" s="27"/>
      <c r="AO993" s="27"/>
    </row>
    <row r="994" spans="1:41" customHeight="1" ht="19.5">
      <c r="A994" s="2"/>
      <c r="B994" s="3"/>
      <c r="C994" s="4"/>
      <c r="D994" s="5"/>
      <c r="E994" s="5"/>
      <c r="F994" s="6"/>
      <c r="G994" s="7"/>
      <c r="H994" s="5"/>
      <c r="I994" s="8"/>
      <c r="J994" s="8"/>
      <c r="K994" s="8"/>
      <c r="L994" s="8"/>
      <c r="M994" s="8"/>
      <c r="N994" s="8"/>
      <c r="O994" s="8"/>
      <c r="P994" s="8"/>
      <c r="Q994" s="8"/>
      <c r="R994" s="8"/>
      <c r="S994" s="8"/>
      <c r="T994" s="8"/>
      <c r="U994" s="8"/>
      <c r="V994" s="8"/>
      <c r="W994" s="8"/>
      <c r="X994" s="8"/>
      <c r="Y994" s="27"/>
      <c r="Z994" s="27"/>
      <c r="AA994" s="27"/>
      <c r="AB994" s="27"/>
      <c r="AC994" s="27"/>
      <c r="AD994" s="27"/>
      <c r="AE994" s="27"/>
      <c r="AF994" s="27"/>
      <c r="AG994" s="27"/>
      <c r="AH994" s="27"/>
      <c r="AI994" s="27"/>
      <c r="AJ994" s="27"/>
      <c r="AK994" s="27"/>
      <c r="AL994" s="27"/>
      <c r="AM994" s="27"/>
      <c r="AN994" s="27"/>
      <c r="AO994" s="27"/>
    </row>
    <row r="995" spans="1:41" customHeight="1" ht="19.5">
      <c r="A995" s="2"/>
      <c r="B995" s="3"/>
      <c r="C995" s="4"/>
      <c r="D995" s="5"/>
      <c r="E995" s="5"/>
      <c r="F995" s="6"/>
      <c r="G995" s="7"/>
      <c r="H995" s="5"/>
      <c r="I995" s="8"/>
      <c r="J995" s="8"/>
      <c r="K995" s="8"/>
      <c r="L995" s="8"/>
      <c r="M995" s="8"/>
      <c r="N995" s="8"/>
      <c r="O995" s="8"/>
      <c r="P995" s="8"/>
      <c r="Q995" s="8"/>
      <c r="R995" s="8"/>
      <c r="S995" s="8"/>
      <c r="T995" s="8"/>
      <c r="U995" s="8"/>
      <c r="V995" s="8"/>
      <c r="W995" s="8"/>
      <c r="X995" s="8"/>
      <c r="Y995" s="27"/>
      <c r="Z995" s="27"/>
      <c r="AA995" s="27"/>
      <c r="AB995" s="27"/>
      <c r="AC995" s="27"/>
      <c r="AD995" s="27"/>
      <c r="AE995" s="27"/>
      <c r="AF995" s="27"/>
      <c r="AG995" s="27"/>
      <c r="AH995" s="27"/>
      <c r="AI995" s="27"/>
      <c r="AJ995" s="27"/>
      <c r="AK995" s="27"/>
      <c r="AL995" s="27"/>
      <c r="AM995" s="27"/>
      <c r="AN995" s="27"/>
      <c r="AO995" s="27"/>
    </row>
    <row r="996" spans="1:41" customHeight="1" ht="19.5">
      <c r="A996" s="2"/>
      <c r="B996" s="3"/>
      <c r="C996" s="4"/>
      <c r="D996" s="5"/>
      <c r="E996" s="5"/>
      <c r="F996" s="6"/>
      <c r="G996" s="7"/>
      <c r="H996" s="5"/>
      <c r="I996" s="8"/>
      <c r="J996" s="8"/>
      <c r="K996" s="8"/>
      <c r="L996" s="8"/>
      <c r="M996" s="8"/>
      <c r="N996" s="8"/>
      <c r="O996" s="8"/>
      <c r="P996" s="8"/>
      <c r="Q996" s="8"/>
      <c r="R996" s="8"/>
      <c r="S996" s="8"/>
      <c r="T996" s="8"/>
      <c r="U996" s="8"/>
      <c r="V996" s="8"/>
      <c r="W996" s="8"/>
      <c r="X996" s="8"/>
      <c r="Y996" s="27"/>
      <c r="Z996" s="27"/>
      <c r="AA996" s="27"/>
      <c r="AB996" s="27"/>
      <c r="AC996" s="27"/>
      <c r="AD996" s="27"/>
      <c r="AE996" s="27"/>
      <c r="AF996" s="27"/>
      <c r="AG996" s="27"/>
      <c r="AH996" s="27"/>
      <c r="AI996" s="27"/>
      <c r="AJ996" s="27"/>
      <c r="AK996" s="27"/>
      <c r="AL996" s="27"/>
      <c r="AM996" s="27"/>
      <c r="AN996" s="27"/>
      <c r="AO996" s="27"/>
    </row>
    <row r="997" spans="1:41" customHeight="1" ht="19.5">
      <c r="A997" s="2"/>
      <c r="B997" s="3"/>
      <c r="C997" s="4"/>
      <c r="D997" s="5"/>
      <c r="E997" s="5"/>
      <c r="F997" s="6"/>
      <c r="G997" s="7"/>
      <c r="H997" s="5"/>
      <c r="I997" s="8"/>
      <c r="J997" s="8"/>
      <c r="K997" s="8"/>
      <c r="L997" s="8"/>
      <c r="M997" s="8"/>
      <c r="N997" s="8"/>
      <c r="O997" s="8"/>
      <c r="P997" s="8"/>
      <c r="Q997" s="8"/>
      <c r="R997" s="8"/>
      <c r="S997" s="8"/>
      <c r="T997" s="8"/>
      <c r="U997" s="8"/>
      <c r="V997" s="8"/>
      <c r="W997" s="8"/>
      <c r="X997" s="8"/>
      <c r="Y997" s="27"/>
      <c r="Z997" s="27"/>
      <c r="AA997" s="27"/>
      <c r="AB997" s="27"/>
      <c r="AC997" s="27"/>
      <c r="AD997" s="27"/>
      <c r="AE997" s="27"/>
      <c r="AF997" s="27"/>
      <c r="AG997" s="27"/>
      <c r="AH997" s="27"/>
      <c r="AI997" s="27"/>
      <c r="AJ997" s="27"/>
      <c r="AK997" s="27"/>
      <c r="AL997" s="27"/>
      <c r="AM997" s="27"/>
      <c r="AN997" s="27"/>
      <c r="AO997" s="27"/>
    </row>
    <row r="998" spans="1:41" customHeight="1" ht="19.5">
      <c r="A998" s="2"/>
      <c r="B998" s="3"/>
      <c r="C998" s="4"/>
      <c r="D998" s="5"/>
      <c r="E998" s="5"/>
      <c r="F998" s="6"/>
      <c r="G998" s="7"/>
      <c r="H998" s="5"/>
      <c r="I998" s="8"/>
      <c r="J998" s="8"/>
      <c r="K998" s="8"/>
      <c r="L998" s="8"/>
      <c r="M998" s="8"/>
      <c r="N998" s="8"/>
      <c r="O998" s="8"/>
      <c r="P998" s="8"/>
      <c r="Q998" s="8"/>
      <c r="R998" s="8"/>
      <c r="S998" s="8"/>
      <c r="T998" s="8"/>
      <c r="U998" s="8"/>
      <c r="V998" s="8"/>
      <c r="W998" s="8"/>
      <c r="X998" s="8"/>
      <c r="Y998" s="27"/>
      <c r="Z998" s="27"/>
      <c r="AA998" s="27"/>
      <c r="AB998" s="27"/>
      <c r="AC998" s="27"/>
      <c r="AD998" s="27"/>
      <c r="AE998" s="27"/>
      <c r="AF998" s="27"/>
      <c r="AG998" s="27"/>
      <c r="AH998" s="27"/>
      <c r="AI998" s="27"/>
      <c r="AJ998" s="27"/>
      <c r="AK998" s="27"/>
      <c r="AL998" s="27"/>
      <c r="AM998" s="27"/>
      <c r="AN998" s="27"/>
      <c r="AO998" s="27"/>
    </row>
    <row r="999" spans="1:41" customHeight="1" ht="19.5">
      <c r="A999" s="2"/>
      <c r="B999" s="3"/>
      <c r="C999" s="4"/>
      <c r="D999" s="5"/>
      <c r="E999" s="5"/>
      <c r="F999" s="6"/>
      <c r="G999" s="7"/>
      <c r="H999" s="5"/>
      <c r="I999" s="8"/>
      <c r="J999" s="8"/>
      <c r="K999" s="8"/>
      <c r="L999" s="8"/>
      <c r="M999" s="8"/>
      <c r="N999" s="8"/>
      <c r="O999" s="8"/>
      <c r="P999" s="8"/>
      <c r="Q999" s="8"/>
      <c r="R999" s="8"/>
      <c r="S999" s="8"/>
      <c r="T999" s="8"/>
      <c r="U999" s="8"/>
      <c r="V999" s="8"/>
      <c r="W999" s="8"/>
      <c r="X999" s="8"/>
      <c r="Y999" s="27"/>
      <c r="Z999" s="27"/>
      <c r="AA999" s="27"/>
      <c r="AB999" s="27"/>
      <c r="AC999" s="27"/>
      <c r="AD999" s="27"/>
      <c r="AE999" s="27"/>
      <c r="AF999" s="27"/>
      <c r="AG999" s="27"/>
      <c r="AH999" s="27"/>
      <c r="AI999" s="27"/>
      <c r="AJ999" s="27"/>
      <c r="AK999" s="27"/>
      <c r="AL999" s="27"/>
      <c r="AM999" s="27"/>
      <c r="AN999" s="27"/>
      <c r="AO999" s="27"/>
    </row>
    <row r="1000" spans="1:41" customHeight="1" ht="19.5">
      <c r="A1000" s="2"/>
      <c r="B1000" s="3"/>
      <c r="C1000" s="4"/>
      <c r="D1000" s="5"/>
      <c r="E1000" s="5"/>
      <c r="F1000" s="6"/>
      <c r="G1000" s="7"/>
      <c r="H1000" s="5"/>
      <c r="I1000" s="8"/>
      <c r="J1000" s="8"/>
      <c r="K1000" s="8"/>
      <c r="L1000" s="8"/>
      <c r="M1000" s="8"/>
      <c r="N1000" s="8"/>
      <c r="O1000" s="8"/>
      <c r="P1000" s="8"/>
      <c r="Q1000" s="8"/>
      <c r="R1000" s="8"/>
      <c r="S1000" s="8"/>
      <c r="T1000" s="8"/>
      <c r="U1000" s="8"/>
      <c r="V1000" s="8"/>
      <c r="W1000" s="8"/>
      <c r="X1000" s="8"/>
      <c r="Y1000" s="27"/>
      <c r="Z1000" s="27"/>
      <c r="AA1000" s="27"/>
      <c r="AB1000" s="27"/>
      <c r="AC1000" s="27"/>
      <c r="AD1000" s="27"/>
      <c r="AE1000" s="27"/>
      <c r="AF1000" s="27"/>
      <c r="AG1000" s="27"/>
      <c r="AH1000" s="27"/>
      <c r="AI1000" s="27"/>
      <c r="AJ1000" s="27"/>
      <c r="AK1000" s="27"/>
      <c r="AL1000" s="27"/>
      <c r="AM1000" s="27"/>
      <c r="AN1000" s="27"/>
      <c r="AO1000" s="27"/>
    </row>
    <row r="1001" spans="1:41" customHeight="1" ht="19.5">
      <c r="A1001" s="2"/>
      <c r="B1001" s="3"/>
      <c r="C1001" s="4"/>
      <c r="D1001" s="5"/>
      <c r="E1001" s="5"/>
      <c r="F1001" s="6"/>
      <c r="G1001" s="7"/>
      <c r="H1001" s="5"/>
      <c r="I1001" s="8"/>
      <c r="J1001" s="8"/>
      <c r="K1001" s="8"/>
      <c r="L1001" s="8"/>
      <c r="M1001" s="8"/>
      <c r="N1001" s="8"/>
      <c r="O1001" s="8"/>
      <c r="P1001" s="8"/>
      <c r="Q1001" s="8"/>
      <c r="R1001" s="8"/>
      <c r="S1001" s="8"/>
      <c r="T1001" s="8"/>
      <c r="U1001" s="8"/>
      <c r="V1001" s="8"/>
      <c r="W1001" s="8"/>
      <c r="X1001" s="8"/>
      <c r="Y1001" s="27"/>
      <c r="Z1001" s="27"/>
      <c r="AA1001" s="27"/>
      <c r="AB1001" s="27"/>
      <c r="AC1001" s="27"/>
      <c r="AD1001" s="27"/>
      <c r="AE1001" s="27"/>
      <c r="AF1001" s="27"/>
      <c r="AG1001" s="27"/>
      <c r="AH1001" s="27"/>
      <c r="AI1001" s="27"/>
      <c r="AJ1001" s="27"/>
      <c r="AK1001" s="27"/>
      <c r="AL1001" s="27"/>
      <c r="AM1001" s="27"/>
      <c r="AN1001" s="27"/>
      <c r="AO1001" s="27"/>
    </row>
    <row r="1002" spans="1:41" customHeight="1" ht="19.5">
      <c r="A1002" s="2"/>
      <c r="B1002" s="3"/>
      <c r="C1002" s="4"/>
      <c r="D1002" s="5"/>
      <c r="E1002" s="5"/>
      <c r="F1002" s="6"/>
      <c r="G1002" s="7"/>
      <c r="H1002" s="5"/>
      <c r="I1002" s="8"/>
      <c r="J1002" s="8"/>
      <c r="K1002" s="8"/>
      <c r="L1002" s="8"/>
      <c r="M1002" s="8"/>
      <c r="N1002" s="8"/>
      <c r="O1002" s="8"/>
      <c r="P1002" s="8"/>
      <c r="Q1002" s="8"/>
      <c r="R1002" s="8"/>
      <c r="S1002" s="8"/>
      <c r="T1002" s="8"/>
      <c r="U1002" s="8"/>
      <c r="V1002" s="8"/>
      <c r="W1002" s="8"/>
      <c r="X1002" s="8"/>
      <c r="Y1002" s="27"/>
      <c r="Z1002" s="27"/>
      <c r="AA1002" s="27"/>
      <c r="AB1002" s="27"/>
      <c r="AC1002" s="27"/>
      <c r="AD1002" s="27"/>
      <c r="AE1002" s="27"/>
      <c r="AF1002" s="27"/>
      <c r="AG1002" s="27"/>
      <c r="AH1002" s="27"/>
      <c r="AI1002" s="27"/>
      <c r="AJ1002" s="27"/>
      <c r="AK1002" s="27"/>
      <c r="AL1002" s="27"/>
      <c r="AM1002" s="27"/>
      <c r="AN1002" s="27"/>
      <c r="AO1002" s="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7:E27"/>
    <mergeCell ref="A6:H6"/>
    <mergeCell ref="A12:D12"/>
    <mergeCell ref="A13:D13"/>
    <mergeCell ref="A14:D14"/>
    <mergeCell ref="A15:D15"/>
    <mergeCell ref="A23:D23"/>
    <mergeCell ref="A24:H24"/>
    <mergeCell ref="A16:D16"/>
    <mergeCell ref="A21:D21"/>
    <mergeCell ref="A22:G22"/>
    <mergeCell ref="A17:D17"/>
    <mergeCell ref="A18:D18"/>
    <mergeCell ref="A19:D19"/>
    <mergeCell ref="A20:D20"/>
    <mergeCell ref="A957:E957"/>
    <mergeCell ref="J958:S958"/>
    <mergeCell ref="A961:E961"/>
    <mergeCell ref="A968:D968"/>
    <mergeCell ref="E968:G968"/>
    <mergeCell ref="A971:D971"/>
  </mergeCells>
  <printOptions gridLines="false" gridLinesSet="true"/>
  <pageMargins left="0.7" right="0.7" top="0.75" bottom="0.75" header="0" footer="0"/>
  <pageSetup paperSize="1"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13-07-2026</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Darkness</dc:creator>
  <cp:lastModifiedBy>Darkness</cp:lastModifiedBy>
  <dcterms:created xsi:type="dcterms:W3CDTF">2020-06-04T18:22:00+07:00</dcterms:created>
  <dcterms:modified xsi:type="dcterms:W3CDTF">2025-10-30T17:53:57+07:00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1033-11.2.0.8991</vt:lpwstr>
  </property>
</Properties>
</file>