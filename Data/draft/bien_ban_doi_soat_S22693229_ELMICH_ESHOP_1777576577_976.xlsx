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01-05-2026" sheetId="1" r:id="rId4"/>
  </sheets>
  <definedNames/>
  <calcPr calcId="999999" calcMode="auto" calcCompleted="0" fullCalcOnLoad="1"/>
</workbook>
</file>

<file path=xl/sharedStrings.xml><?xml version="1.0" encoding="utf-8"?>
<sst xmlns="http://schemas.openxmlformats.org/spreadsheetml/2006/main" uniqueCount="7496">
  <si>
    <t>BIÊN BẢN ĐỐI SOÁT NGÀY 01-05-2026</t>
  </si>
  <si>
    <t>Shop</t>
  </si>
  <si>
    <t>ELMICH ESHOP</t>
  </si>
  <si>
    <t>Mã shop</t>
  </si>
  <si>
    <t>S22693229</t>
  </si>
  <si>
    <t>Ngày</t>
  </si>
  <si>
    <t>01-05-2026</t>
  </si>
  <si>
    <t xml:space="preserve">Tổng tiền CoD: </t>
  </si>
  <si>
    <t>Tổng phí dịch vụ phát sinh:</t>
  </si>
  <si>
    <t>Tổng phí dịch vụ đã thanh toán:</t>
  </si>
  <si>
    <t>Tổng phí dịch vụ cấn trừ:</t>
  </si>
  <si>
    <t>Tổng phí dịch vụ hoàn lại:</t>
  </si>
  <si>
    <t>Nợ tồn:</t>
  </si>
  <si>
    <t>Bồi hoàn:</t>
  </si>
  <si>
    <t>Đã thanh toán qua ví/SDC:</t>
  </si>
  <si>
    <t>Tiền chuyển khoản còn thừa:</t>
  </si>
  <si>
    <t>Phí chuyển khoản:</t>
  </si>
  <si>
    <t>Số tiền GHTK chuyển cho Shop:</t>
  </si>
  <si>
    <t>(Tiền CoD - Phí khai giá - Phí giao hàng - Phí dễ vỡ - Phí gia cố  - Phí thực phẩm khô - Phí hàng nguyên hộp - Phí thử hàng / đồng kiểm - Phí giao tận cửa - Phí kiểm tra tình trạng ĐH - Phí biên bản bàn giao có chữ ký - Phí thư tín, tài liệu - Phí HSD ngắn - Phí cây cối - Phí xác nhận OTP - Phí chuyển hoàn - Phí thay đổi địa chỉ giao - Phí lưu kho - Phí nguyên vật liệu - Phí giao lại - Phí trả lại hàng - Phí đổi địa chỉ trả hàng - Phí GAM - Tiền tip + Khuyến mãi - Phí dịch vụ cấn trừ + Phí dịch vụ hoàn lại + Phí dịch vụ đã thanh toán - Đã thanh toán qua ví/SDC - Nợ tồn + Bồi hoàn -  Phí chuyển khoản)</t>
  </si>
  <si>
    <t>CHI TIẾT</t>
  </si>
  <si>
    <t>STT</t>
  </si>
  <si>
    <t>Mã đơn hàng</t>
  </si>
  <si>
    <t>Mã đơn hàng shop</t>
  </si>
  <si>
    <t>Trạng thái đơn hàng</t>
  </si>
  <si>
    <t>Ngày tạo</t>
  </si>
  <si>
    <t>Ngày hoàn thành</t>
  </si>
  <si>
    <t>Khối lượng (Kg)</t>
  </si>
  <si>
    <t>Thông tin khách hàng</t>
  </si>
  <si>
    <t>Tiền CoD</t>
  </si>
  <si>
    <t>Phí khai giá</t>
  </si>
  <si>
    <t>Phí giao hàng</t>
  </si>
  <si>
    <t>Phí dễ vỡ</t>
  </si>
  <si>
    <t xml:space="preserve">Phí gia cố </t>
  </si>
  <si>
    <t>Phí thực phẩm khô</t>
  </si>
  <si>
    <t>Phí hàng nguyên hộp</t>
  </si>
  <si>
    <t>Phí thử hàng / đồng kiểm</t>
  </si>
  <si>
    <t>Phí giao tận cửa</t>
  </si>
  <si>
    <t>Phí kiểm tra tình trạng ĐH</t>
  </si>
  <si>
    <t>Phí biên bản bàn giao có chữ ký</t>
  </si>
  <si>
    <t>Phí thư tín, tài liệu</t>
  </si>
  <si>
    <t>Phí HSD ngắn</t>
  </si>
  <si>
    <t>Phí cây cối</t>
  </si>
  <si>
    <t>Phí xác nhận OTP</t>
  </si>
  <si>
    <t>Phí đồng kiểm lấy</t>
  </si>
  <si>
    <t>Phí chuyển hoàn</t>
  </si>
  <si>
    <t>Phí thay đổi địa chỉ giao</t>
  </si>
  <si>
    <t>Phí lưu kho</t>
  </si>
  <si>
    <t>Tiền tip COD</t>
  </si>
  <si>
    <t>Phí nguyên vật liệu</t>
  </si>
  <si>
    <t>Phí giao lại</t>
  </si>
  <si>
    <t>Phí trả lại hàng</t>
  </si>
  <si>
    <t>Phí đổi địa chỉ trả hàng</t>
  </si>
  <si>
    <t>Phí GAM</t>
  </si>
  <si>
    <t>Khuyến mãi</t>
  </si>
  <si>
    <t>Phí dịch vụ cấn trừ (1)</t>
  </si>
  <si>
    <t>Phí dịch vụ hoàn lại (2)</t>
  </si>
  <si>
    <t>Phí dịch vụ đã thanh toán (3)</t>
  </si>
  <si>
    <t>Đã thanh toán qua ví/SDC</t>
  </si>
  <si>
    <t>Thanh toán</t>
  </si>
  <si>
    <t>Ghi Chú</t>
  </si>
  <si>
    <t>S22693229.MB7-18-S2.1932963240</t>
  </si>
  <si>
    <t>SAPO120243002_603550</t>
  </si>
  <si>
    <t>Đã đối soát công nợ trả hàng</t>
  </si>
  <si>
    <t>16:41, 03-04-2026</t>
  </si>
  <si>
    <t>17:06, 25-04-2026</t>
  </si>
  <si>
    <t xml:space="preserve">Đoàn Thị Phượng
 số 4/237 Nguyễn Hữu Cầu, Ngọc Xuyên, Đồ Sơn, Hải Phòng, Phường Đồ Sơn, Phường Đồ Sơn, Hải Phòng
 0982770426
 </t>
  </si>
  <si>
    <t>S22693229.MB21-07-G1.1932895369</t>
  </si>
  <si>
    <t>SAPO123628825_603550</t>
  </si>
  <si>
    <t>13:34, 10-04-2026</t>
  </si>
  <si>
    <t>08:55, 24-04-2026</t>
  </si>
  <si>
    <t xml:space="preserve">Trương Hải Ly
 Tổ dân phố Đắng con, Phường Âu Lâu, Phường Âu Lâu, Lào Cai
 0349958816
 </t>
  </si>
  <si>
    <t>S22693229.BO.HNP142-O24.1787775567</t>
  </si>
  <si>
    <t>524021500079347</t>
  </si>
  <si>
    <t>Đã đối soát</t>
  </si>
  <si>
    <t>14:51, 10-04-2026</t>
  </si>
  <si>
    <t>16:27, 24-04-2026</t>
  </si>
  <si>
    <t xml:space="preserve">ELMICH LAZADA
 ELMICH LAZADA Đường Phan Trọng Tuệ, Xã Tam Hiệp, Thanh Trì, Hà Nội, Đường Phan Trọng Tuệ, Xã Đại Thanh, Xã Đại Thanh, Hà Nội, Xã Đại Thanh, Xã Đại Thanh, Hà Nội
 0934339383
 </t>
  </si>
  <si>
    <t>S22693229.MB14-06-E4.1577684469</t>
  </si>
  <si>
    <t>SAPO124058741_603550</t>
  </si>
  <si>
    <t>11:03, 11-04-2026</t>
  </si>
  <si>
    <t>08:23, 25-04-2026</t>
  </si>
  <si>
    <t xml:space="preserve">Trần đăng khoa
 Sn 182, thôn Thành Tâm, xã Đồng Văn, tỉnh Tuyên Quang, Xã Đồng Văn, Xã Đồng Văn, Tuyên Quang
 0915395726
 </t>
  </si>
  <si>
    <t>S22693229.BO.MT17-13-Z32.1030780693</t>
  </si>
  <si>
    <t>SAPO124902561_603550</t>
  </si>
  <si>
    <t>09:26, 13-04-2026</t>
  </si>
  <si>
    <t>16:36, 22-04-2026</t>
  </si>
  <si>
    <t xml:space="preserve">Thanh Thảo
 70 Nguyễn Tất Thành , xã krong Bông tỉnh dak lak, Xã Krông Bông, Xã Krông Bông, Đắk Lắk
 0945178747
 </t>
  </si>
  <si>
    <t>S22693229.MB4-09-T14.1172898474</t>
  </si>
  <si>
    <t>SAPO124912320_603550</t>
  </si>
  <si>
    <t>09:40, 13-04-2026</t>
  </si>
  <si>
    <t>11:55, 22-04-2026</t>
  </si>
  <si>
    <t xml:space="preserve">Nguyễn thị phượng
 Số nhà 19 ngõ 33 Trần Nhật Duật tổ 9 phường Bồ xuyên, Phường Thái Bình, Phường Thái Bình, Hưng Yên
 0968066366
 </t>
  </si>
  <si>
    <t>S22693229.BO.MB18-01-E1.1562984183</t>
  </si>
  <si>
    <t>SAPO124917594_603550</t>
  </si>
  <si>
    <t>09:44, 13-04-2026</t>
  </si>
  <si>
    <t>20:00, 23-04-2026</t>
  </si>
  <si>
    <t xml:space="preserve">Long Thị Lãnh
 3 Đường Mới Nà Ến, Thị Trấn Thanh Nhật, Huyện Hạ Lang, Cao Bằng, Xã Hạ Lang, Xã Hạ Lang, Cao Bằng
 0945092010
 </t>
  </si>
  <si>
    <t>S22693229.HNP48-A46.1939193271</t>
  </si>
  <si>
    <t>SAPO125381652_603550</t>
  </si>
  <si>
    <t>08:40, 14-04-2026</t>
  </si>
  <si>
    <t>19:16, 23-04-2026</t>
  </si>
  <si>
    <t xml:space="preserve">Nguyễn thị Vân Anh
 Số 169, dịch vụ 6 Phường Hà Đông, Phường Hà Đông, Hà Nội, Phường Hà Đông, Phường Hà Đông, Hà Nội
 0383823966
 </t>
  </si>
  <si>
    <t>S22693229.MB26-06-H9.1094359812</t>
  </si>
  <si>
    <t>SAPO125436500_603550</t>
  </si>
  <si>
    <t>09:57, 14-04-2026</t>
  </si>
  <si>
    <t>12:07, 22-04-2026</t>
  </si>
  <si>
    <t xml:space="preserve">Lê thị Bích thảo
 Xóm Trung Cửu, Xã Kim Liên, Xã Kim Liên, Nghệ An
 0985022237
 </t>
  </si>
  <si>
    <t>S22693229.BO.MN2-06-M823.1374820583</t>
  </si>
  <si>
    <t>SAPO125436846_603550</t>
  </si>
  <si>
    <t>09:58, 14-04-2026</t>
  </si>
  <si>
    <t>18:03, 23-04-2026</t>
  </si>
  <si>
    <t xml:space="preserve">Nguyễn thị trúc phương
 357 Võ Nguyên Giáp,, Phường Bình Dương, Phường Bình Dương, TP Hồ Chí Minh
 0917624629
 </t>
  </si>
  <si>
    <t>S22693229.BO.SGP43-M77.1100116014</t>
  </si>
  <si>
    <t>SAPO125437997_603550</t>
  </si>
  <si>
    <t>09:59, 14-04-2026</t>
  </si>
  <si>
    <t>13:54, 22-04-2026</t>
  </si>
  <si>
    <t xml:space="preserve">Nghia
 41b đường số 1, Thảo Điền, Phường An Khánh, Phường An Khánh, TP Hồ Chí Minh
 0965729346
 </t>
  </si>
  <si>
    <t>S22693229.BO.DN7-M7.1714014119</t>
  </si>
  <si>
    <t>SAPO125438027_603550</t>
  </si>
  <si>
    <t>14:31, 23-04-2026</t>
  </si>
  <si>
    <t xml:space="preserve">Trần Thị Loan
 19 Trường Sa, Phường Ngũ Hành Sơn, Phường Ngũ Hành Sơn, Đà Nẵng
 0869228604
 </t>
  </si>
  <si>
    <t>S22693229.BO.HNP142-O24.1485739115</t>
  </si>
  <si>
    <t>THU ĐƠN DMX 00006SO26030778041</t>
  </si>
  <si>
    <t>11:21, 14-04-2026</t>
  </si>
  <si>
    <t xml:space="preserve">ELMICH DMX
 ELMICH DMX Đường Phan Trọng Tuệ, Xã Tam Hiệp, Thanh Trì, Hà Nội, Đường Phan Trọng Tuệ, Xã Đại Thanh, Xã Đại Thanh, Hà Nội, Xã Đại Thanh, Xã Đại Thanh, Hà Nội
 0936299976
 </t>
  </si>
  <si>
    <t>S22693229.MB25-27-X5.1962306631</t>
  </si>
  <si>
    <t>SAPO125534496_603550</t>
  </si>
  <si>
    <t>13:30, 14-04-2026</t>
  </si>
  <si>
    <t>21:29, 24-04-2026</t>
  </si>
  <si>
    <t xml:space="preserve">Vũ Thị Bích Ngọc
 Vũ Thị Bích Ngọc, Xã Ngọc Lặc, Xã Ngọc Lặc, Thanh Hóa
 0328733828
 </t>
  </si>
  <si>
    <t>S22693229.BO.HNP146-G226.1910363841</t>
  </si>
  <si>
    <t>SAPO125534707_603550</t>
  </si>
  <si>
    <t>13:31, 14-04-2026</t>
  </si>
  <si>
    <t>22:45, 25-04-2026</t>
  </si>
  <si>
    <t xml:space="preserve">Ứng Hải Linh
 15, ngách 19/78, Đường Mai Động, Phường Tương Mai, Phường Tương Mai, Hà Nội
 0912770180
 </t>
  </si>
  <si>
    <t>S22693229.MB14-10-G2.1760921865</t>
  </si>
  <si>
    <t>SAPO125927685_603550</t>
  </si>
  <si>
    <t>09:23, 15-04-2026</t>
  </si>
  <si>
    <t>07:56, 28-04-2026</t>
  </si>
  <si>
    <t xml:space="preserve">Đặng Hồng
 Thôn mới xã Xuân Giang, Xã Xuân Giang, Xã Xuân Giang, Tuyên Quang
 0948688791
 </t>
  </si>
  <si>
    <t>S22693229.MB14-05-M4.1273875819</t>
  </si>
  <si>
    <t>SAPO125927712_603550</t>
  </si>
  <si>
    <t>09:39, 23-04-2026</t>
  </si>
  <si>
    <t xml:space="preserve">Long Chí Cường
 Tổ 1, Xã Pà Vầy Sủ, Xã Pà Vầy Sủ, Tuyên Quang
 0916160066
 </t>
  </si>
  <si>
    <t>S22693229.BO.MN12-11-M61.1491144331</t>
  </si>
  <si>
    <t>SAPO125928774_603550</t>
  </si>
  <si>
    <t>09:24, 15-04-2026</t>
  </si>
  <si>
    <t>07:27, 22-04-2026</t>
  </si>
  <si>
    <t xml:space="preserve">Nguyễn minh
 Hòa Quới tân nhuận đông đồng tháp, Xã Tân Nhuận Đông, Xã Tân Nhuận Đông, Đồng Tháp
 0949989548
 </t>
  </si>
  <si>
    <t>S22693229.BO.MN3-01-A09.1525296995</t>
  </si>
  <si>
    <t>SAPO125929214_603550</t>
  </si>
  <si>
    <t>09:25, 15-04-2026</t>
  </si>
  <si>
    <t>20:29, 25-04-2026</t>
  </si>
  <si>
    <t xml:space="preserve">Quân
 67/20A Hoàng Hoa Thám, Phường Vũng Tàu, Phường Vũng Tàu, TP Hồ Chí Minh
 0909877472
 </t>
  </si>
  <si>
    <t>S22693229.SGP47-V15.1517928626</t>
  </si>
  <si>
    <t>SAPO125929500_603550</t>
  </si>
  <si>
    <t>13:42, 24-04-2026</t>
  </si>
  <si>
    <t xml:space="preserve">Đặng Hoàng Việt
 Nguyễn xiển long bình thương mại dịch vụ số 14, Phường Long Bình, Phường Long Bình, TP Hồ Chí Minh
 0362133151
 </t>
  </si>
  <si>
    <t>S22693229.MB14-06-C6.1169208002</t>
  </si>
  <si>
    <t>SAPO125929705_603550</t>
  </si>
  <si>
    <t>09:26, 15-04-2026</t>
  </si>
  <si>
    <t>08:57, 23-04-2026</t>
  </si>
  <si>
    <t xml:space="preserve">Cường
 Quân sự xã thượng phùng, Xã Sơn Vĩ, Xã Sơn Vĩ, Tuyên Quang
 0985623686
 </t>
  </si>
  <si>
    <t>S22693229.BO.MT19-15-N09.1267576684</t>
  </si>
  <si>
    <t>SAPO125931696_603550</t>
  </si>
  <si>
    <t>09:28, 15-04-2026</t>
  </si>
  <si>
    <t>16:58, 22-04-2026</t>
  </si>
  <si>
    <t xml:space="preserve">Ngọc Liên
 lê thánh tôn thị trấn Liên Nghĩa Đức Trọng Lâm Đồng, Xã Đức Trọng, Xã Đức Trọng, Lâm Đồng
 0944727899
 </t>
  </si>
  <si>
    <t>S22693229.BO.MT6-04-B6.1105879400</t>
  </si>
  <si>
    <t>SAPO125931707_603550</t>
  </si>
  <si>
    <t>07:37, 27-04-2026</t>
  </si>
  <si>
    <t xml:space="preserve">Tran thi đoan trang
 La son Hưng Lộc ,huế, Xã Hưng Lộc, Xã Hưng Lộc, Thành phố Huế
 0986802105
 </t>
  </si>
  <si>
    <t>S22693229.MB27-14-O3.1155253170</t>
  </si>
  <si>
    <t>SAPO125964399_603550</t>
  </si>
  <si>
    <t>10:26, 15-04-2026</t>
  </si>
  <si>
    <t>07:48, 23-04-2026</t>
  </si>
  <si>
    <t xml:space="preserve">Đinh Thị Hằng
 Thôn 3  Phú Phong, Xã Hương Khê, Xã Hương Khê, Hà Tĩnh
 0911098296
 </t>
  </si>
  <si>
    <t>S22693229.BO.MT17-01-M04.1642397424</t>
  </si>
  <si>
    <t>SAPO126058255_603550</t>
  </si>
  <si>
    <t>13:11, 15-04-2026</t>
  </si>
  <si>
    <t>13:47, 23-04-2026</t>
  </si>
  <si>
    <t xml:space="preserve">Hoàng nhung
 TES 7-03 KHU DO THI TP CA PHE - NGUYEN DINH CHIEU, Phường Buôn Ma Thuột, Phường Buôn Ma Thuột, Đắk Lắk
 0914540808
 </t>
  </si>
  <si>
    <t>S22693229.MB18-02-C3.1006127340</t>
  </si>
  <si>
    <t>SAPO126486749_603550</t>
  </si>
  <si>
    <t>09:12, 16-04-2026</t>
  </si>
  <si>
    <t>08:25, 29-04-2026</t>
  </si>
  <si>
    <t xml:space="preserve">lanhphuongtrang lanhphuongtrang
 tổ dân phố 2, thị trấn bảo lạc, tỉnh cao bằng, Xã Bảo Lạc, Xã Bảo Lạc, Cao Bằng
 0975031954
 </t>
  </si>
  <si>
    <t>S22693229.MB8-16-P1.1767198175</t>
  </si>
  <si>
    <t>SAPO126486737_603550</t>
  </si>
  <si>
    <t>23:21, 22-04-2026</t>
  </si>
  <si>
    <t xml:space="preserve">Bùi phương Liên
 55A- Nguyễn Tự Cường, Phường Kinh Bắc, Phường Kinh Bắc, Bắc Ninh
 0912905077
 </t>
  </si>
  <si>
    <t>S22693229.BO.MN11-07-V73.1141897004</t>
  </si>
  <si>
    <t>SAPO126487377_603550</t>
  </si>
  <si>
    <t>13:03, 22-04-2026</t>
  </si>
  <si>
    <t xml:space="preserve">Huỳnh Sử
 81/6 đường số 1 KdC Metro, Phường Tân An, Phường Tân An, Cần Thơ
 0913591683
 </t>
  </si>
  <si>
    <t>S22693229.BO.SGP12-H64.1373481743</t>
  </si>
  <si>
    <t>SAPO126501598_603550</t>
  </si>
  <si>
    <t>09:30, 16-04-2026</t>
  </si>
  <si>
    <t>14:18, 23-04-2026</t>
  </si>
  <si>
    <t xml:space="preserve">Nguyễn Lê
 10/16 Hoàng hoa Thám, Phường Gia Định, Phường Gia Định, TP Hồ Chí Minh
 0903195678
 </t>
  </si>
  <si>
    <t>S22693229.MB22-03-D3.1262332816</t>
  </si>
  <si>
    <t>SAPO126501616_603550</t>
  </si>
  <si>
    <t>21:31, 27-04-2026</t>
  </si>
  <si>
    <t xml:space="preserve">Nguyễn Thị Thu Hằng
 Tổ 8, thị trấn khánh yên, huyện văn bàn, Xã Văn Bàn, Xã Văn Bàn, Lào Cai
 0912525925
 </t>
  </si>
  <si>
    <t>S22693229.BO.MT10-04-D45.1660960423</t>
  </si>
  <si>
    <t>SAPO126501605_603550</t>
  </si>
  <si>
    <t>15:53, 24-04-2026</t>
  </si>
  <si>
    <t xml:space="preserve">Mai Thị Thanh Loan
 132/25/1/2 Lê Hồng Phong, Phường Quy Nhơn, Phường Quy Nhơn, Gia Lai
 0945281697
 </t>
  </si>
  <si>
    <t>S22693229.BO.MN18-12-K21.1826947930</t>
  </si>
  <si>
    <t>SAPO126501600_603550</t>
  </si>
  <si>
    <t>12:34, 23-04-2026</t>
  </si>
  <si>
    <t xml:space="preserve">Đậm
 Phú tân, Xã Phú Tân, Xã Phú Tân, Cà Mau
 0854441767
 </t>
  </si>
  <si>
    <t>S22693229.BO.MN13-05-E02.1567160095</t>
  </si>
  <si>
    <t>SAPO126501599_603550</t>
  </si>
  <si>
    <t>16:54, 24-04-2026</t>
  </si>
  <si>
    <t xml:space="preserve">Võ minh cường
 Gần quán cafe thanh nhị, Xã Định Mỹ, Xã Định Mỹ, An Giang
 0768558669
 </t>
  </si>
  <si>
    <t>S22693229.BO.MN2-13-M35.1422790753</t>
  </si>
  <si>
    <t>SAPO126502077_603550</t>
  </si>
  <si>
    <t>09:31, 16-04-2026</t>
  </si>
  <si>
    <t>14:12, 23-04-2026</t>
  </si>
  <si>
    <t xml:space="preserve">trần thanh sang
 69 đường d3 khu dân cư chánh nghĩa thành phố thủ dầu, Phường Thủ Dầu Một, Phường Thủ Dầu Một, TP Hồ Chí Minh
 0918272612
 </t>
  </si>
  <si>
    <t>S22693229.BO.MN1-05-Z35.1420003515</t>
  </si>
  <si>
    <t>SAPO126502234_603550</t>
  </si>
  <si>
    <t>14:02, 24-04-2026</t>
  </si>
  <si>
    <t xml:space="preserve">Pham Thanh thuy
 Pkđk ái nghĩa nhơn trạch 25c kcn nhơn trạch 1, phước thiền, Xã Nhơn Trạch, Xã Nhơn Trạch, Đồng Nai
 0933839914
 </t>
  </si>
  <si>
    <t>S22693229.BO.MN2-16-P03.1166023678</t>
  </si>
  <si>
    <t>SAPO126502299_603550</t>
  </si>
  <si>
    <t>09:32, 16-04-2026</t>
  </si>
  <si>
    <t>17:14, 22-04-2026</t>
  </si>
  <si>
    <t xml:space="preserve">Nguyễn Thị Lương
 249 ấp Định Thới, Xã Dầu Tiếng, Xã Dầu Tiếng, TP Hồ Chí Minh
 0325176107
 </t>
  </si>
  <si>
    <t>S22693229.HNP78-B54.1589236975</t>
  </si>
  <si>
    <t>SAPO126521471_603550</t>
  </si>
  <si>
    <t>10:07, 16-04-2026</t>
  </si>
  <si>
    <t>14:07, 25-04-2026</t>
  </si>
  <si>
    <t xml:space="preserve">Lưu Hiền
 Số nhà 17 ngõ 69 do nha xuân phương hà nội, Phường Xuân Phương, Phường Xuân Phương, Hà Nội
 0395239284
 </t>
  </si>
  <si>
    <t>S22693229.BO.MN18-12-K21.1003933732</t>
  </si>
  <si>
    <t>SAPO126521643_603550</t>
  </si>
  <si>
    <t xml:space="preserve">Múi Mít
 Ấp đường cày xã phú tân tỉnh cà mau, Xã Phú Tân, Xã Phú Tân, Cà Mau
 0854441766
 </t>
  </si>
  <si>
    <t>S22693229.MB27-05-E11.1949799741</t>
  </si>
  <si>
    <t>SAPO126521775_603550</t>
  </si>
  <si>
    <t>10:08, 16-04-2026</t>
  </si>
  <si>
    <t>07:19, 22-04-2026</t>
  </si>
  <si>
    <t xml:space="preserve">Na Vo
 Lốp ô tô hoàng tuyết, Xã Nghi Xuân, Xã Nghi Xuân, Hà Tĩnh
 0975884788
 </t>
  </si>
  <si>
    <t>S22693229.HNP144-T77.1176615049</t>
  </si>
  <si>
    <t>SAPO126522066_603550</t>
  </si>
  <si>
    <t>15:58, 24-04-2026</t>
  </si>
  <si>
    <t xml:space="preserve">Hoàng Lệ
 Ngõ 3 Số 6 Xóm Mới Thôn Kim Bồng, Xã Ứng Hòa, Xã Ứng Hòa, Hà Nội
 0385450244
 </t>
  </si>
  <si>
    <t>S22693229.MB19-10-M11.1755883374</t>
  </si>
  <si>
    <t>đổi hàng đơn 260412KWBY2WPP</t>
  </si>
  <si>
    <t>11:17, 16-04-2026</t>
  </si>
  <si>
    <t>08:02, 24-04-2026</t>
  </si>
  <si>
    <t xml:space="preserve">Khách
 Đại Lý Bảo Hiểm Ô Tô, Xe Máy Vân Hải( gần Đại Lý Ngân Hà) xóm Tân Thái, Xã Đồng Hỷ, Tỉnh Thái Nguyên., Xã Đồng Hỷ, Xã Đồng Hỷ, Thái Nguyên
 0966735154
 </t>
  </si>
  <si>
    <t>S22693229.BO.SG12-02-B11.1083431555</t>
  </si>
  <si>
    <t>đổi hàng đơn 260408AECRMFTQ</t>
  </si>
  <si>
    <t>17:19, 25-04-2026</t>
  </si>
  <si>
    <t xml:space="preserve">Thủy Định
 76/3f, Ấp Tam Đông, đường Phạm Thị Giây TTT, Xã Thới Tam Thôn, Huyện Hóc Môn, TP. Hồ Chí Minh, Xã Đông Thạnh, Xã Đông Thạnh, TP Hồ Chí Minh
 0978195578
 </t>
  </si>
  <si>
    <t>S22693229.BO.MN7-01-D99.1690966706</t>
  </si>
  <si>
    <t>SAPO126595009_603550</t>
  </si>
  <si>
    <t>13:16, 16-04-2026</t>
  </si>
  <si>
    <t>14:57, 23-04-2026</t>
  </si>
  <si>
    <t xml:space="preserve">Huỳnh thị kim trà
 570nguyen tri phuong.phuong 7, Phường Mỹ Tho, Phường Mỹ Tho, Đồng Tháp
 0939492276
 </t>
  </si>
  <si>
    <t>S22693229.MB26-06-H9.1731087228</t>
  </si>
  <si>
    <t>SAPO126595437_603550</t>
  </si>
  <si>
    <t>13:17, 16-04-2026</t>
  </si>
  <si>
    <t>07:16, 22-04-2026</t>
  </si>
  <si>
    <t xml:space="preserve">Lê Thị Bích Thảo
 Xóm Trung Cửu, Xã Kim Liên, Xã Kim Liên, Nghệ An
 0985022237
 </t>
  </si>
  <si>
    <t>S22693229.SGP113-X26.1289320318</t>
  </si>
  <si>
    <t>SAPO126595603_603550</t>
  </si>
  <si>
    <t>17:16, 23-04-2026</t>
  </si>
  <si>
    <t xml:space="preserve">Nguyễn Thị Thắm
 290A/74C Dương Bá Trạc, Phường Chánh Hưng, Phường Chánh Hưng, TP Hồ Chí Minh
 0856730383
 </t>
  </si>
  <si>
    <t>S22693229.BO.SGP24-V70.1120433780</t>
  </si>
  <si>
    <t>583418480126362895</t>
  </si>
  <si>
    <t>13:48, 16-04-2026</t>
  </si>
  <si>
    <t>14:54, 22-04-2026</t>
  </si>
  <si>
    <t xml:space="preserve">kiệt
 Phạm Văn Đồng 
Phường Thủ Đức,Phường Thủ Đức,Hồ Chí Minh,Việt Nam, Chung cư Vietnam House, Phường Hiệp Bình, Phường Hiệp Bình, TP Hồ Chí Minh
 0369334781
 </t>
  </si>
  <si>
    <t>S22693229.HNP34-D184.1711512527</t>
  </si>
  <si>
    <t>SAPO126940719_603550</t>
  </si>
  <si>
    <t>08:34, 17-04-2026</t>
  </si>
  <si>
    <t>18:41, 24-04-2026</t>
  </si>
  <si>
    <t xml:space="preserve">Han Nguyen
 Ngõ 80 chùa Bộc, Phường Kim Liên, Phường Kim Liên, Hà Nội
 0939628212
 </t>
  </si>
  <si>
    <t>S22693229.SG12-02-E45.1802877247</t>
  </si>
  <si>
    <t>SAPO126942615_603550</t>
  </si>
  <si>
    <t>08:36, 17-04-2026</t>
  </si>
  <si>
    <t>16:56, 22-04-2026</t>
  </si>
  <si>
    <t xml:space="preserve">Nguyễn thị bé
 STT 44 tổ 2 ấp 5 đông thạnh hóc môn, Xã Đông Thạnh, Xã Đông Thạnh, TP Hồ Chí Minh
 0931809140
 </t>
  </si>
  <si>
    <t>S22693229.BO.MT12-21-X22.1570110213</t>
  </si>
  <si>
    <t>SAPO126973323_603550</t>
  </si>
  <si>
    <t>09:09, 17-04-2026</t>
  </si>
  <si>
    <t>16:43, 24-04-2026</t>
  </si>
  <si>
    <t xml:space="preserve">Nguyễn Hiệp Sơn
 Chung cư B, đường Nguyễn Thái Học, Phường Nha Trang, Phường Nha Trang, Khánh Hòa
 0976517576
 </t>
  </si>
  <si>
    <t>S22693229.MB19-08-A4.1748678561</t>
  </si>
  <si>
    <t>SAPO126973413_603550</t>
  </si>
  <si>
    <t>09:10, 17-04-2026</t>
  </si>
  <si>
    <t>18:07, 22-04-2026</t>
  </si>
  <si>
    <t xml:space="preserve">Phạm khắc tuấn
 Tổ 38 Phan Đình Phùng Thái Nguyên( túc duyên cũ), Phường Phan Đình Phùng, Phường Phan Đình Phùng, Thái Nguyên
 0978428412
 </t>
  </si>
  <si>
    <t>S22693229.MB9-17-G17.1436280647</t>
  </si>
  <si>
    <t>SAPO126973620_603550</t>
  </si>
  <si>
    <t>06:36, 24-04-2026</t>
  </si>
  <si>
    <t xml:space="preserve">dương ngọc dung
 cty JSE VN KCN Vân trung - Vân trung -  Việt yên - Bắc giang, Phường Nếnh, Phường Nếnh, Bắc Ninh
 0944513931
 </t>
  </si>
  <si>
    <t>S22693229.BO.SGP101-I92.1026400625</t>
  </si>
  <si>
    <t>SAPO126974013_603550</t>
  </si>
  <si>
    <t>09:11, 17-04-2026</t>
  </si>
  <si>
    <t>17:02, 22-04-2026</t>
  </si>
  <si>
    <t xml:space="preserve">Tram Huynh
 Nhà số 4, đường số 5, KDC Tấn Trường,, Phường Phú Thuận, Phường Phú Thuận, TP Hồ Chí Minh
 0903185279
 </t>
  </si>
  <si>
    <t>S22693229.BO.SGP65-W43.1378053981</t>
  </si>
  <si>
    <t>SAPO126974070_603550</t>
  </si>
  <si>
    <t>18:03, 24-04-2026</t>
  </si>
  <si>
    <t xml:space="preserve">Nguyen Thi Hai Lien
 126 Hồng Bàng, P12, Q5, Phường Chợ Lớn, Phường Chợ Lớn, TP Hồ Chí Minh
 0903071077
 </t>
  </si>
  <si>
    <t>S22693229.BO.MT17-18-I11.1771613619</t>
  </si>
  <si>
    <t>SAPO126985201_603550</t>
  </si>
  <si>
    <t>09:30, 17-04-2026</t>
  </si>
  <si>
    <t>16:16, 24-04-2026</t>
  </si>
  <si>
    <t xml:space="preserve">Vi Phượng
 263/11 Giải Phóng, Xã Krông Pắc, Xã Krông Pắc, Đắk Lắk
 0978265492
 </t>
  </si>
  <si>
    <t>S22693229.MB27-11-L9.1979267471</t>
  </si>
  <si>
    <t>SAPO126985261_603550</t>
  </si>
  <si>
    <t>22:06, 24-04-2026</t>
  </si>
  <si>
    <t xml:space="preserve">Đặng Oanh
 Thạch Kim, Lộc Hà, Hà Tĩnh, Xã Lộc Hà, Xã Lộc Hà, Hà Tĩnh
 0984215255
 </t>
  </si>
  <si>
    <t>S22693229.MB7-15-Y3.1217529821</t>
  </si>
  <si>
    <t>SAPO126999509_603550</t>
  </si>
  <si>
    <t>09:55, 17-04-2026</t>
  </si>
  <si>
    <t>17:42, 22-04-2026</t>
  </si>
  <si>
    <t xml:space="preserve">Đặng Thị Hải Yến
 341 đường đà nẵng, Phường Ngô Quyền, Phường Ngô Quyền, Hải Phòng
 0936887226
 </t>
  </si>
  <si>
    <t>S22693229.BO.MT11-01-A02.1873916706</t>
  </si>
  <si>
    <t>SAPO126999530_603550</t>
  </si>
  <si>
    <t>14:48, 25-04-2026</t>
  </si>
  <si>
    <t xml:space="preserve">Ngo tuyen
 Kp3, Phường Phú Yên, Phường Phú Yên, Đắk Lắk
 0905175342
 </t>
  </si>
  <si>
    <t>S22693229.HNP39-C21.1255963616</t>
  </si>
  <si>
    <t>SAPO126999523_603550</t>
  </si>
  <si>
    <t>19:42, 24-04-2026</t>
  </si>
  <si>
    <t xml:space="preserve">lê thị phượng
 số nhà 26 ngách 124/29 phố do nha tdp số 1 miêu nha p xuân phương hà nội, Phường Tây Mỗ, Phường Tây Mỗ, Hà Nội
 0986126654
 </t>
  </si>
  <si>
    <t>S22693229.BO.MT11-02-B02.1754870394</t>
  </si>
  <si>
    <t>SAPO126999531_603550</t>
  </si>
  <si>
    <t>14:16, 23-04-2026</t>
  </si>
  <si>
    <t xml:space="preserve">Lý Cúc Quyên
 Đường Lê thành phương, Phường Sông Cầu, Phường Sông Cầu, Đắk Lắk
 0943550013
 </t>
  </si>
  <si>
    <t>S22693229.MB15-10-L6.1024025131</t>
  </si>
  <si>
    <t>SAPO126999504_603550</t>
  </si>
  <si>
    <t>20:36, 22-04-2026</t>
  </si>
  <si>
    <t xml:space="preserve">Hà Thị Bích
 Trường THCS Mai Châu, Xã Mai Châu, Xã Mai Châu, Phú Thọ
 0338136999
 </t>
  </si>
  <si>
    <t>S22693229.BO.MN6-11-G22.1781868735</t>
  </si>
  <si>
    <t>SAPO126999511_603550</t>
  </si>
  <si>
    <t>17:49, 27-04-2026</t>
  </si>
  <si>
    <t xml:space="preserve">Trương kim ngân
 O 3 khu a Xã hâụ nghĩa, tây ninh( bidv hậu nghĩa), Xã Hậu Nghĩa, Xã Hậu Nghĩa, Tây Ninh
 0976697878
 </t>
  </si>
  <si>
    <t>S22693229.BO.MT4-02-B14.1142165272</t>
  </si>
  <si>
    <t>SAPO127000053_603550</t>
  </si>
  <si>
    <t>13:57, 22-04-2026</t>
  </si>
  <si>
    <t xml:space="preserve">tran dung
 Khu phố 4, Phường Ba Đồn, Phường Ba Đồn, Quảng Trị
 0917786069
 </t>
  </si>
  <si>
    <t>S22693229.MB18-02-F6.1457263929</t>
  </si>
  <si>
    <t>SAPO127000842_603550</t>
  </si>
  <si>
    <t>09:56, 17-04-2026</t>
  </si>
  <si>
    <t>07:51, 25-04-2026</t>
  </si>
  <si>
    <t xml:space="preserve">Hoàng Thái
 UBNd xã Thái Sơn, Xã Yên Thổ, Xã Yên Thổ, Cao Bằng
 0373390631
 </t>
  </si>
  <si>
    <t>S22693229.MB10-24-N23.1164372117</t>
  </si>
  <si>
    <t>SAPO127005854_603550</t>
  </si>
  <si>
    <t>10:07, 17-04-2026</t>
  </si>
  <si>
    <t>07:39, 24-04-2026</t>
  </si>
  <si>
    <t xml:space="preserve">Tống Hạnh
 Tống Hạnh Tổ 6 Khu 2  Hà Tu, Phường Hà Tu, Phường Hà Tu, Quảng Ninh
 0934962827
 </t>
  </si>
  <si>
    <t>S22693229.MB9-02-M18.1155686941</t>
  </si>
  <si>
    <t>SAPO127005845_603550</t>
  </si>
  <si>
    <t>18:56, 23-04-2026</t>
  </si>
  <si>
    <t xml:space="preserve">Bùi Thị Thanh Thủy
 trường Tiểu học Chũ số 1, phường Chũ, tỉnh Bắc Ninh, Phường Chũ, Phường Chũ, Bắc Ninh
 0388239468
 </t>
  </si>
  <si>
    <t>S22693229.MB16-02-B1.1188435036</t>
  </si>
  <si>
    <t>SAPO127005846_603550</t>
  </si>
  <si>
    <t>22:17, 24-04-2026</t>
  </si>
  <si>
    <t xml:space="preserve">Nguyễn Loan
 Nguyễn Loan, Trường THCS Nà Mường, Mộc Châu, Sơn La., Phường Mộc Châu, Phường Mộc Châu, Sơn La
 0942846433
 </t>
  </si>
  <si>
    <t>S22693229.MB25-17-I7.1944417959</t>
  </si>
  <si>
    <t>SAPO127005839_603550</t>
  </si>
  <si>
    <t>07:09, 23-04-2026</t>
  </si>
  <si>
    <t xml:space="preserve">Toan Hoang Van
 thôn thanh ngoại, xã hoạt giang, tỉnh Thanh Hóa, Xã Hoạt Giang, Xã Hoạt Giang, Thanh Hóa
 0964939107
 </t>
  </si>
  <si>
    <t>S22693229.MB1-07-G14.1475358665</t>
  </si>
  <si>
    <t>đổi hàng đơn 260415U74PSW0V</t>
  </si>
  <si>
    <t>10:56, 17-04-2026</t>
  </si>
  <si>
    <t>15:22, 24-04-2026</t>
  </si>
  <si>
    <t xml:space="preserve">Khách
 Khu miếu ngoại, Thôn 2, Lý Nhân, Ninh Bình, Xã Lý Nhân, Xã Lý Nhân, Ninh Bình
 0359932456
 </t>
  </si>
  <si>
    <t>S22693229.BO.MT14-06-Y09.1104461917</t>
  </si>
  <si>
    <t>SAPO127077270_603550</t>
  </si>
  <si>
    <t>13:17, 17-04-2026</t>
  </si>
  <si>
    <t>14:31, 24-04-2026</t>
  </si>
  <si>
    <t xml:space="preserve">Huỳnh Bích Duyên
 493 Nguyễn Tất Thành, Lương Sơn, Bắc Bình, Bình Thuận, Xã Lương Sơn, Xã Lương Sơn, Lâm Đồng
 0814488555
 </t>
  </si>
  <si>
    <t>S22693229.BO.MT6-05-E25.1193170228</t>
  </si>
  <si>
    <t>SAPO127077267_603550</t>
  </si>
  <si>
    <t>19:43, 25-04-2026</t>
  </si>
  <si>
    <t xml:space="preserve">Phan Thị Như Hòa
 01 Trần Hưng Đạo, Phường Phú Xuân, Phường Phú Xuân, Thành phố Huế
 0797160784
 </t>
  </si>
  <si>
    <t>S22693229.BO.MT19-05-D22.1845336252</t>
  </si>
  <si>
    <t>SAPO127077348_603550</t>
  </si>
  <si>
    <t>07:34, 25-04-2026</t>
  </si>
  <si>
    <t xml:space="preserve">Hương
 Gần tạp hóa Quang Tiền, Xã Phúc Thọ Lâm Hà, Xã Phúc Thọ Lâm Hà, Lâm Đồng
 0914889589
 </t>
  </si>
  <si>
    <t>S22693229.BO.MT17-25-G03.1895338466</t>
  </si>
  <si>
    <t>SAPO127077354_603550</t>
  </si>
  <si>
    <t>17:05, 23-04-2026</t>
  </si>
  <si>
    <t xml:space="preserve">Nguyễn Thị Diệu Lý
 271/9 Lê Duẩn, Phường Ea Kao, Phường Ea Kao, Đắk Lắk
 0912435454
 </t>
  </si>
  <si>
    <t>S22693229.HNP23-A86.1783793940</t>
  </si>
  <si>
    <t>SAPO127077664_603550</t>
  </si>
  <si>
    <t>13:18, 17-04-2026</t>
  </si>
  <si>
    <t>18:01, 22-04-2026</t>
  </si>
  <si>
    <t xml:space="preserve">Chị Trang Thắng
 56 ngõ 192 Kim mã, Phường Ngọc Hà, Phường Ngọc Hà, Hà Nội
 0344195260
 </t>
  </si>
  <si>
    <t>S22693229.BO.SGP43-M100.1648393181</t>
  </si>
  <si>
    <t>SAPO127077748_603550</t>
  </si>
  <si>
    <t>18:49, 28-04-2026</t>
  </si>
  <si>
    <t xml:space="preserve">NGUYỄN THỊ TƯỜNG VI
 30 Đường số 5, Phường An Khánh, Phường An Khánh, TP Hồ Chí Minh
 0772094244
 </t>
  </si>
  <si>
    <t>S22693229.BO.MN2-17-Q36.1124838230</t>
  </si>
  <si>
    <t>583480997904484135</t>
  </si>
  <si>
    <t>13:54, 17-04-2026</t>
  </si>
  <si>
    <t>17:35, 22-04-2026</t>
  </si>
  <si>
    <t xml:space="preserve">kha
 Huge Bamboo Textile(cty hugebamboo đường n7 mỹ phước 1) 
Phường Thới Hòa,Phường Thới Hòa,Hồ Chí Minh,Việt Nam, Phường Thới Hòa, Phường Thới Hòa, TP Hồ Chí Minh
 0916087694
 </t>
  </si>
  <si>
    <t>S22693229.BO.MN1-18-G61.1513331282</t>
  </si>
  <si>
    <t>583500101056627823</t>
  </si>
  <si>
    <t>19:01, 25-04-2026</t>
  </si>
  <si>
    <t xml:space="preserve">Lan Anh
 68a/36-khu phố 8- phường Long bình- đồng nai 
Phường Long Bình,Phường Long Bình,Đồng Nai,Việt Nam, Phường Long Bình, Phường Long Bình, Đồng Nai
 0968167767
 </t>
  </si>
  <si>
    <t>S22693229.BO.HNP27-N64.1990719808</t>
  </si>
  <si>
    <t>527685945504419</t>
  </si>
  <si>
    <t>08:39, 18-04-2026</t>
  </si>
  <si>
    <t>13:31, 24-04-2026</t>
  </si>
  <si>
    <t xml:space="preserve">Chị Hồng Thu
 S1.08 Vinhomes Ocean Park, Xã Gia Lâm, Hà Nội, Xã Gia Lâm, Xã Gia Lâm, Hà Nội
 0989428926
 </t>
  </si>
  <si>
    <t>S22693229.BO.HNP23-A84.1065447921</t>
  </si>
  <si>
    <t>SAPO127409722_603550</t>
  </si>
  <si>
    <t>08:54, 18-04-2026</t>
  </si>
  <si>
    <t>15:53, 23-04-2026</t>
  </si>
  <si>
    <t xml:space="preserve">Nguyễn Tiến Hải
 Số 32, ngách 515/13, Ngõ 515 Hoàng Hoa Thám, Phường Ngọc Hà, Phường Ngọc Hà, Hà Nội
 0983456458
 </t>
  </si>
  <si>
    <t>S22693229.SG11-05-F24.1163834279</t>
  </si>
  <si>
    <t>SAPO127410666_603550</t>
  </si>
  <si>
    <t>08:56, 18-04-2026</t>
  </si>
  <si>
    <t xml:space="preserve">Đào Hải Nam
 A8/5E1 Bông Văn Dĩa, Xã Tân Nhựt, Xã Tân Nhựt, TP Hồ Chí Minh
 0988862820
 </t>
  </si>
  <si>
    <t>S22693229.MN1-04-C10.1324358770</t>
  </si>
  <si>
    <t>SAPO127410826_603550</t>
  </si>
  <si>
    <t>12:19, 22-04-2026</t>
  </si>
  <si>
    <t xml:space="preserve">A kiet
 Công ty Chin lan shing rubber viet nam, đường 9, lô V, khu công nghiệp Hố Nai 3 , Xã Hố Nai 3, Huyện Trảng Bom, Đồng Nai, Phường Hố Nai, Phường Hố Nai, Đồng Nai
 0339008535
 </t>
  </si>
  <si>
    <t>S22693229.MN12-11-B42.1111313859</t>
  </si>
  <si>
    <t>SAPO127411312_603550</t>
  </si>
  <si>
    <t>15:48, 23-04-2026</t>
  </si>
  <si>
    <t xml:space="preserve">Nguyễn Trường Chinh
 Số 10 Nguyễn Sinh Sắc, Xã Tân Dương, Xã Tân Dương, Đồng Tháp
 0772828669
 </t>
  </si>
  <si>
    <t>S22693229.BO.MT12-07-D21.1502788283</t>
  </si>
  <si>
    <t>SAPO127423625_603550</t>
  </si>
  <si>
    <t>09:10, 18-04-2026</t>
  </si>
  <si>
    <t>17:06, 24-04-2026</t>
  </si>
  <si>
    <t xml:space="preserve">Tường vy
 14a tản đà phước long nha trang, Phường Nam Nha Trang, Phường Nam Nha Trang, Khánh Hòa
 0366857856
 </t>
  </si>
  <si>
    <t>S22693229.MB26-28-C24.1671955816</t>
  </si>
  <si>
    <t>SAPO127423603_603550</t>
  </si>
  <si>
    <t>19:48, 23-04-2026</t>
  </si>
  <si>
    <t xml:space="preserve">Lâm
 23, phòng định cảng, Phường Trường Vinh, Phường Trường Vinh, Nghệ An
 0982333678
 </t>
  </si>
  <si>
    <t>S22693229.BO.MN1-09-TS76.1202467601</t>
  </si>
  <si>
    <t>SAPO127423610_603550</t>
  </si>
  <si>
    <t>15:42, 24-04-2026</t>
  </si>
  <si>
    <t xml:space="preserve">Bùi Phương
 45 Hẻm 238 Phan Trung, Phường Tam Hiệp, Phường Tam Hiệp, Đồng Nai
 0915874886
 </t>
  </si>
  <si>
    <t>S22693229.BO.MN5-08-Q51.1267630560</t>
  </si>
  <si>
    <t>SAPO127423594_603550</t>
  </si>
  <si>
    <t>17:27, 28-04-2026</t>
  </si>
  <si>
    <t xml:space="preserve">Trần thị thuỷ
 Ấp thanh xuân, Xã Thiện Hưng, Xã Thiện Hưng, Đồng Nai
 0392643413
 </t>
  </si>
  <si>
    <t>S22693229.HNP142-O6.1206220016</t>
  </si>
  <si>
    <t>SAPO127423615_603550</t>
  </si>
  <si>
    <t>20:45, 23-04-2026</t>
  </si>
  <si>
    <t xml:space="preserve">duy minh nguyễn
 số 4 ngõ 304 đường tựu liệt, Xã Đại Thanh, Xã Đại Thanh, Hà Nội
 0329898312
 </t>
  </si>
  <si>
    <t>S22693229.MB2-03-C14.1701673523</t>
  </si>
  <si>
    <t>SAPO127423792_603550</t>
  </si>
  <si>
    <t>07:50, 28-04-2026</t>
  </si>
  <si>
    <t xml:space="preserve">Nguyễn Hằng
 Xóm 6 gia sinh gia viễn ninh bình, Phường Tây Hoa Lư, Phường Tây Hoa Lư, Ninh Bình
 0964574626
 </t>
  </si>
  <si>
    <t>S22693229.BO.SGP65-W40.1150964756</t>
  </si>
  <si>
    <t>SAPO127424468_603550</t>
  </si>
  <si>
    <t>09:11, 18-04-2026</t>
  </si>
  <si>
    <t>12:15, 25-04-2026</t>
  </si>
  <si>
    <t xml:space="preserve">An
 Block B Chung cư Sen Xanh, 36 Trịnh Đình Thảo, Phường Tân Phú, Phường Tân Phú, TP Hồ Chí Minh
 0382409029
 </t>
  </si>
  <si>
    <t>S22693229.BO.SGP24-V67.1686145406</t>
  </si>
  <si>
    <t>SAPO127424553_603550</t>
  </si>
  <si>
    <t>17:35, 25-04-2026</t>
  </si>
  <si>
    <t xml:space="preserve">Song Anh
 1/1/1B21 Linh Đông, Phường Hiệp Bình, Phường Hiệp Bình, TP Hồ Chí Minh
 0935061216
 </t>
  </si>
  <si>
    <t>S22693229.HNP78-H5.1266243322</t>
  </si>
  <si>
    <t>SAPO127425942_603550</t>
  </si>
  <si>
    <t>09:13, 18-04-2026</t>
  </si>
  <si>
    <t>21:27, 22-04-2026</t>
  </si>
  <si>
    <t xml:space="preserve">Ho quốc hung
 Trường đao Tao va phat trien nhan luc vietinbank, Xã Sơn Đồng, Xã Sơn Đồng, Hà Nội
 0356472518
 </t>
  </si>
  <si>
    <t>S22693229.BO.DN10-G09.1270738443</t>
  </si>
  <si>
    <t>SAPO127447075_603550</t>
  </si>
  <si>
    <t>09:46, 18-04-2026</t>
  </si>
  <si>
    <t>16:44, 22-04-2026</t>
  </si>
  <si>
    <t xml:space="preserve">Yen Ngoc Tran
 44 Phạm Tu An Hải Bắc, Phường An Hải, Phường An Hải, Đà Nẵng
 0979469124
 </t>
  </si>
  <si>
    <t>S22693229.MB4-02-B13.1728712760</t>
  </si>
  <si>
    <t>SAPO127447169_603550</t>
  </si>
  <si>
    <t>18:38, 23-04-2026</t>
  </si>
  <si>
    <t xml:space="preserve">Hang Nguyen Thi Thu
 Ngõ 190 Nguyễn Du. Thị trấn Quỳnh Côi. Quỳnh Phụ. Thái Bình., Xã Quỳnh Phụ, Xã Quỳnh Phụ, Hưng Yên
 0989447575
 </t>
  </si>
  <si>
    <t>S22693229.MB10-12-L9.1038620740</t>
  </si>
  <si>
    <t>SAPO127447325_603550</t>
  </si>
  <si>
    <t>21:22, 25-04-2026</t>
  </si>
  <si>
    <t xml:space="preserve">Đỗ Thuỳ An
 14 T6 K3  Bãi Cháy, Phường Bãi Cháy, Phường Bãi Cháy, Quảng Ninh
 0936898522
 </t>
  </si>
  <si>
    <t>S22693229.BO.MN1-02-S61.1173432344</t>
  </si>
  <si>
    <t>SAPO127447493_603550</t>
  </si>
  <si>
    <t>09:47, 18-04-2026</t>
  </si>
  <si>
    <t>19:17, 24-04-2026</t>
  </si>
  <si>
    <t xml:space="preserve">Hường Nguyễn
 Tổ 4 ấp 18, Phường Bảo Vinh, Phường Bảo Vinh, Đồng Nai
 0948729307
 </t>
  </si>
  <si>
    <t>S22693229.MB5-13-M29.1980877506</t>
  </si>
  <si>
    <t>SAPO127447597_603550</t>
  </si>
  <si>
    <t>18:37, 24-04-2026</t>
  </si>
  <si>
    <t xml:space="preserve">Chu Thị Dubg
 Đội 3 Thôn Đạo Khê, huyện Yên Mỹ, tỉnh Hưng Yên, Xã Yên Mỹ, Xã Yên Mỹ, Hưng Yên
 0966721137
 </t>
  </si>
  <si>
    <t>S22693229.MB26-29-W16.1444410412</t>
  </si>
  <si>
    <t>SAPO127447599_603550</t>
  </si>
  <si>
    <t>07:50, 23-04-2026</t>
  </si>
  <si>
    <t xml:space="preserve">Nguyen thi khuong
 Xóm phong tiến xã tiến thuỷ huyen quynh luu tỉnh nghệ an, Xã Quỳnh Phú, Xã Quỳnh Phú, Nghệ An
 0388379258
 </t>
  </si>
  <si>
    <t>S22693229.HNP52-Y82.1785124175</t>
  </si>
  <si>
    <t>SAPO127447679_603550</t>
  </si>
  <si>
    <t>21:09, 23-04-2026</t>
  </si>
  <si>
    <t xml:space="preserve">Lý Thu Phương
 Nguyễn Phương Anh. SN 114, ngõ 42, phố Triều Khúc, Phường Thanh Liệt, Hà Nội, Phường Thanh Liệt, Phường Thanh Liệt, Hà Nội
 0373212082
 </t>
  </si>
  <si>
    <t>S22693229.HNP78-H8.1895802038</t>
  </si>
  <si>
    <t>SAPO127447727_603550</t>
  </si>
  <si>
    <t>20:45, 27-04-2026</t>
  </si>
  <si>
    <t xml:space="preserve">Lê Hoa
 Số 37 liền kề 27 khu đô thị Vân Canh, Vân Canh, Hoài Đức, Hà Nội, Xã Sơn Đồng, Xã Sơn Đồng, Hà Nội
 0935386336
 </t>
  </si>
  <si>
    <t>S22693229.MB26-28-K1.1576213284</t>
  </si>
  <si>
    <t>SAPO127447738_603550</t>
  </si>
  <si>
    <t>13:08, 28-04-2026</t>
  </si>
  <si>
    <t xml:space="preserve">Banh Nga
 số nhà 72 đường Nguyễn Viết Xuân khối Đông Thọ phường Trường Vinh tỉnh Nghệ An, Phường Trường Vinh, Phường Trường Vinh, Nghệ An
 0915383342
 </t>
  </si>
  <si>
    <t>S22693229.BO.SGP25-P06.1446172054</t>
  </si>
  <si>
    <t>SAPO127447760_603550</t>
  </si>
  <si>
    <t>18:10, 25-04-2026</t>
  </si>
  <si>
    <t xml:space="preserve">Hải Đăng
 1042/7 tỉnh lộ 43, Phường Tam Bình, Phường Tam Bình, TP Hồ Chí Minh
 0398748112
 </t>
  </si>
  <si>
    <t>S22693229.MB8-04-D22.1321734510</t>
  </si>
  <si>
    <t>SAPO127447894_603550</t>
  </si>
  <si>
    <t>09:48, 18-04-2026</t>
  </si>
  <si>
    <t>07:33, 24-04-2026</t>
  </si>
  <si>
    <t xml:space="preserve">Nguyễn Hoan
 Cổng Chào Xóm Vườn Châu Cầu Châu Phong, Xã Phù Lãng, Xã Phù Lãng, Bắc Ninh
 0942588955
 </t>
  </si>
  <si>
    <t>S22693229.MB23-01-C11.1304742977</t>
  </si>
  <si>
    <t>SAPO127448097_603550</t>
  </si>
  <si>
    <t>09:11, 23-04-2026</t>
  </si>
  <si>
    <t xml:space="preserve">Lê kim oanh
 Số nhà 93 đường võ nguyên giáp xã sìn hồ tỉnh lai châu, Xã Sìn Hồ, Xã Sìn Hồ, Lai Châu
 0973547803
 </t>
  </si>
  <si>
    <t>S22693229.BO.MT17-01-S01.1262078104</t>
  </si>
  <si>
    <t>SAPO127448240_603550</t>
  </si>
  <si>
    <t>18:27, 25-04-2026</t>
  </si>
  <si>
    <t xml:space="preserve">Minh Giang Tran
 120 Trần phú, Phường Thành Nhất, Phường Thành Nhất, Đắk Lắk
 0902399352
 </t>
  </si>
  <si>
    <t>S22693229.MB27-11-L2.1364708577</t>
  </si>
  <si>
    <t>SAPO127448274_603550</t>
  </si>
  <si>
    <t>09:49, 18-04-2026</t>
  </si>
  <si>
    <t>07:40, 23-04-2026</t>
  </si>
  <si>
    <t xml:space="preserve">Lê Hồng Lĩnh
 xóm văn Thịnh xã Xuân Lộc, Xã Xuân Lộc, Xã Xuân Lộc, Hà Tĩnh
 0967564789
 </t>
  </si>
  <si>
    <t>S22693229.MB11-05-H11.1772807011</t>
  </si>
  <si>
    <t>SAPO127448419_603550</t>
  </si>
  <si>
    <t>14:41, 22-04-2026</t>
  </si>
  <si>
    <t xml:space="preserve">Minh
 Cty TNHH công nghiệp chính xác viêt nam 1, Phường Vĩnh Phúc, Phường Vĩnh Phúc, Phú Thọ
 0983588610
 </t>
  </si>
  <si>
    <t>S22693229.MB10-12-L16.1788346729</t>
  </si>
  <si>
    <t>SAPO127448532_603550</t>
  </si>
  <si>
    <t>09:25, 24-04-2026</t>
  </si>
  <si>
    <t xml:space="preserve">Thuỷ trân
 Tổ 6 khu 10 bãi cháy hạ long quảng ninh, Phường Bãi Cháy, Phường Bãi Cháy, Quảng Ninh
 0395701888
 </t>
  </si>
  <si>
    <t>S22693229.BO.SGP26-Q67.1762889735</t>
  </si>
  <si>
    <t>SAPO127448679_603550</t>
  </si>
  <si>
    <t>17:03, 25-04-2026</t>
  </si>
  <si>
    <t xml:space="preserve">trong khiem
 Số 54/4 đường 28, khu phố 4,, Phường Hiệp Bình, Phường Hiệp Bình, TP Hồ Chí Minh
 0333285373
 </t>
  </si>
  <si>
    <t>S22693229.BO.MT19-07-I6.1417110099</t>
  </si>
  <si>
    <t>SAPO127449476_603550</t>
  </si>
  <si>
    <t>09:52, 18-04-2026</t>
  </si>
  <si>
    <t>19:52, 25-04-2026</t>
  </si>
  <si>
    <t xml:space="preserve">Trương Thanh Huế
 14 dao duy từ, Xã Cát Tiên, Xã Cát Tiên, Lâm Đồng, Xã Cát Tiên, Xã Cát Tiên, Lâm Đồng
 0363988108
 </t>
  </si>
  <si>
    <t>S22693229.BO.MT18-01-H1.1357992242</t>
  </si>
  <si>
    <t>SAPO127450276_603550</t>
  </si>
  <si>
    <t>09:54, 18-04-2026</t>
  </si>
  <si>
    <t>18:05, 27-04-2026</t>
  </si>
  <si>
    <t xml:space="preserve">Thanh
 Trần Bình trọng tái định cư an phương, Phường Đông Gia Nghĩa, Phường Đông Gia Nghĩa, Lâm Đồng
 0905791468
 </t>
  </si>
  <si>
    <t>S22693229.BO.MN2-03-C73.1646793288</t>
  </si>
  <si>
    <t>bù hàng đơn 260414RG0PHW3B</t>
  </si>
  <si>
    <t>10:54, 18-04-2026</t>
  </si>
  <si>
    <t>14:21, 24-04-2026</t>
  </si>
  <si>
    <t xml:space="preserve">Khách
 2/38 bình đức 3, bình hoà, hồ chí minh, Phường Bình Hòa, Phường Bình Hòa, TP Hồ Chí Minh
 0866405077
 </t>
  </si>
  <si>
    <t>S22693229.BO.DN9-O20.1453684456</t>
  </si>
  <si>
    <t>bù hàng đơn 260415U2CVT2GK</t>
  </si>
  <si>
    <t>12:49, 25-04-2026</t>
  </si>
  <si>
    <t xml:space="preserve">Khách
 k20/22 phần lăng 8, phường an khê, thành phố đà nẵng, Phường An Khê, Phường An Khê, Đà Nẵng
 0905544587
 </t>
  </si>
  <si>
    <t>S22693229.BO.SGP47-V21.1156018111</t>
  </si>
  <si>
    <t>đổi hàng đơn 260413P7KCKV4R</t>
  </si>
  <si>
    <t>10:55, 18-04-2026</t>
  </si>
  <si>
    <t>19:28, 28-04-2026</t>
  </si>
  <si>
    <t xml:space="preserve">Khách
 Toà D, cc MT Eastmark city, Hồ Chí Minh, Phường Long Trường, Phường Long Trường, TP Hồ Chí Minh
 0775738552
 </t>
  </si>
  <si>
    <t>S22693229.BO.MT16-05-P83.1603308980</t>
  </si>
  <si>
    <t>đổi hàng đơn 260412KUE1AMWT</t>
  </si>
  <si>
    <t>18:07, 25-04-2026</t>
  </si>
  <si>
    <t xml:space="preserve">trinh
 270 tăng bạt hổ, yên đỗ, pleiku, gialai, Phường Diên Hồng, Phường Diên Hồng, Gia Lai
 0979325322
 </t>
  </si>
  <si>
    <t>S22693229.BO.MN5-05-T11.1905234533</t>
  </si>
  <si>
    <t>đổi hàng đơn 260414Q87V2TGV</t>
  </si>
  <si>
    <t>16:12, 24-04-2026</t>
  </si>
  <si>
    <t xml:space="preserve">Phạm thị trang
 Nakuno Coffe, Phường Hưng Chiến, Thị Xã Bình Long, Bình Phước, Phường Bình Long, Phường Bình Long, Đồng Nai
 0965142176
 </t>
  </si>
  <si>
    <t>S22693229.BO.SGP47-V14.1684176601</t>
  </si>
  <si>
    <t>đổi hàng đơn 260412KMSNEW8C</t>
  </si>
  <si>
    <t>13:18, 27-04-2026</t>
  </si>
  <si>
    <t xml:space="preserve">Thanh Nhàn
 Tòa S701, Vinhomes Grand Park, Phường Long Thạnh Mỹ, Thành Phố Thủ Đức, Hồ Chí Minh, Phường Long Bình, Phường Long Bình, TP Hồ Chí Minh
 0395755643
 </t>
  </si>
  <si>
    <t>S22693229.BO.DN10-G02.1973001405</t>
  </si>
  <si>
    <t>đổi hàng đơn 260328B3UYCGWM</t>
  </si>
  <si>
    <t>14:54, 24-04-2026</t>
  </si>
  <si>
    <t xml:space="preserve">Ngọc Khanh
 Monarchy B, 535 Trần Hưng Đạo, An Hải Tây, Sơn Trà, Đà Nẵng, Đường Trần Hưng Đạo, Phường An Hải, Phường An Hải, Đà Nẵng
 0824169387
 </t>
  </si>
  <si>
    <t>S22693229.MB8-01-A15.1343196325</t>
  </si>
  <si>
    <t>đổi hàng đơn 260415U219SNM8</t>
  </si>
  <si>
    <t>09:00, 24-04-2026</t>
  </si>
  <si>
    <t xml:space="preserve">Trang
 Chung cư cát tường thống nhất, Võ Cường, Thành Phố Bắc Ninh, Phường Võ Cường, Phường Võ Cường, Bắc Ninh
 0965745192
 </t>
  </si>
  <si>
    <t>S22693229.BO.SGP37-K21.1618730881</t>
  </si>
  <si>
    <t>đổi hàng đơn 260414RUX6H0R1</t>
  </si>
  <si>
    <t>11:53, 25-04-2026</t>
  </si>
  <si>
    <t xml:space="preserve">Kiểu oanh
 Chung Cư Stown Tham Lương: Căn B11.02: Số 102, Dương Thị Giang, Phường Đông Hưng Thuận, Thành phố Hồ Chí Minh, Phường Đông Hưng Thuận, Phường Đông Hưng Thuận, TP Hồ Chí Minh
 0913578944
 </t>
  </si>
  <si>
    <t>S22693229.BO.SGP76-S83.1020957947</t>
  </si>
  <si>
    <t>đổi hàng đơn 260414RXC6AYH9</t>
  </si>
  <si>
    <t>10:34, 24-04-2026</t>
  </si>
  <si>
    <t xml:space="preserve">Nguyễn Thị Thu Hiền
 1A Hồng Hà, Phường 2, Quận Tân Bình, Hồ Chí Minh, Phường Tân Sơn Hòa, Phường Tân Sơn Hòa, TP Hồ Chí Minh
 0387165539
 </t>
  </si>
  <si>
    <t>S22693229.BO.MT8-02-B8.1361149802</t>
  </si>
  <si>
    <t>đổi hàng đơn 260415TW2DQBXY</t>
  </si>
  <si>
    <t>18:00, 25-04-2026</t>
  </si>
  <si>
    <t xml:space="preserve">Khách
 Kp triêm đông 2, Điện phương, Điện bàn, Quảng nam, Phường Điện Bàn, Phường Điện Bàn, Đà Nẵng
 0905606244
 </t>
  </si>
  <si>
    <t>S22693229.BO.SGP105-N61.1707727873</t>
  </si>
  <si>
    <t>524379809606592</t>
  </si>
  <si>
    <t>11:37, 18-04-2026</t>
  </si>
  <si>
    <t>12:36, 24-04-2026</t>
  </si>
  <si>
    <t xml:space="preserve">Quochoang.hr
 20 Dương Quang Trung, Phường Hòa Hưng, TP Hồ Chí Minh, Phường Hòa Hưng, Phường Hòa Hưng, TP Hồ Chí Minh
 0906088649
 </t>
  </si>
  <si>
    <t>S22693229.BO.MN11-07-V52.1948296790</t>
  </si>
  <si>
    <t>SAPO128128103_603550</t>
  </si>
  <si>
    <t>07:09, 20-04-2026</t>
  </si>
  <si>
    <t>13:19, 24-04-2026</t>
  </si>
  <si>
    <t xml:space="preserve">Mạnh Dũng
 52 hẻm 3 Mậu Thân, Phường Ninh Kiều, Phường Ninh Kiều, Cần Thơ
 0385325458
 </t>
  </si>
  <si>
    <t>S22693229.MB6-14-C7.1712909194</t>
  </si>
  <si>
    <t>SAPO128128101_603550</t>
  </si>
  <si>
    <t>07:19, 23-04-2026</t>
  </si>
  <si>
    <t xml:space="preserve">Trang Nguyen
 Phương Tân, Xã Phú Thái, Xã Phú Thái, Hải Phòng
 0973865003
 </t>
  </si>
  <si>
    <t>S22693229.BO.MT6-05-E42.1581571380</t>
  </si>
  <si>
    <t>SAPO128128100_603550</t>
  </si>
  <si>
    <t>19:20, 24-04-2026</t>
  </si>
  <si>
    <t xml:space="preserve">Mi Lo
 7 Đường Bao Mỹ 7  Hương Sơ Huế, Phường Hương An, Phường Hương An, Thành phố Huế
 0905105605
 </t>
  </si>
  <si>
    <t>S22693229.MB8-01-A16.1904977180</t>
  </si>
  <si>
    <t>SAPO128128088_603550</t>
  </si>
  <si>
    <t>16:06, 27-04-2026</t>
  </si>
  <si>
    <t xml:space="preserve">Hoàng Hữu Hoà
 Khu 10  Võ Cường, Phường Võ Cường, Phường Võ Cường, Bắc Ninh
 0914491405
 </t>
  </si>
  <si>
    <t>S22693229.BO.MN8-07-O91.1179348655</t>
  </si>
  <si>
    <t>SAPO128128266_603550</t>
  </si>
  <si>
    <t>07:10, 20-04-2026</t>
  </si>
  <si>
    <t>14:19, 25-04-2026</t>
  </si>
  <si>
    <t xml:space="preserve">Thuỳ Vân
 14 ấp Tân đông xã Tân Phú huyện châu thành tỉnh bến tre ( Vĩnh Long mới), Xã Tân Phú, Xã Tân Phú, Vĩnh Long
 0984597070
 </t>
  </si>
  <si>
    <t>S22693229.MB10-02-B30.1205162317</t>
  </si>
  <si>
    <t>SAPO128128370_603550</t>
  </si>
  <si>
    <t>18:19, 24-04-2026</t>
  </si>
  <si>
    <t xml:space="preserve">Nguyễn Thảo
 Số Nhà 6 Ngách 2 Ngõ 46 Phố Hữu Nghị Tổ 4 Khu 7 Thanh Sơn, Phường Uông Bí, Phường Uông Bí, Quảng Ninh
 0965738768
 </t>
  </si>
  <si>
    <t>S22693229.MB26-39-I6.1778296894</t>
  </si>
  <si>
    <t>SAPO128128475_603550</t>
  </si>
  <si>
    <t>16:35, 25-04-2026</t>
  </si>
  <si>
    <t xml:space="preserve">Hoàng Thị Quyên
 Xóm Nam Tiên Phú Thành, Xã Đông Thành, Xã Đông Thành, Nghệ An
 0388491702
 </t>
  </si>
  <si>
    <t>S22693229.BO.MN1-06-TW34.1364414309</t>
  </si>
  <si>
    <t>SAPO128128637_603550</t>
  </si>
  <si>
    <t>16:34, 24-04-2026</t>
  </si>
  <si>
    <t xml:space="preserve">Hồng Phạm
 Cua hang thuốc thu y kim thuy ap nam ha, Xã Xuân Định, Xã Xuân Định, Đồng Nai
 0906575352
 </t>
  </si>
  <si>
    <t>S22693229.BO.MN19-01-T92.1458452042</t>
  </si>
  <si>
    <t>SAPO128128657_603550</t>
  </si>
  <si>
    <t>18:56, 27-04-2026</t>
  </si>
  <si>
    <t xml:space="preserve">Phạm Ngọc Hùng
 Cây thông trong xã Cửa Dương, Đặc Khu Phú Quốc, Đặc Khu Phú Quốc, An Giang
 0356183389
 </t>
  </si>
  <si>
    <t>S22693229.MB26-39-I6.1022449494</t>
  </si>
  <si>
    <t>SAPO128128937_603550</t>
  </si>
  <si>
    <t>07:11, 20-04-2026</t>
  </si>
  <si>
    <t>15:11, 24-04-2026</t>
  </si>
  <si>
    <t xml:space="preserve">Nguyễn Ngọc
 Làng Phan Xá  Hợp Thành, Xã Yên Thành, Xã Yên Thành, Nghệ An
 0384724783
 </t>
  </si>
  <si>
    <t>S22693229.BO.MT19-08-K01.1770256616</t>
  </si>
  <si>
    <t>SAPO128129010_603550</t>
  </si>
  <si>
    <t>18:58, 27-04-2026</t>
  </si>
  <si>
    <t xml:space="preserve">Vo Hue
 2 Nguyễn Thái Bình Thạnh Mỹ, Xã Đơn Dương, Xã Đơn Dương, Lâm Đồng
 0918672909
 </t>
  </si>
  <si>
    <t>S22693229.HNP142-O22.1576018450</t>
  </si>
  <si>
    <t>SAPO128129196_603550</t>
  </si>
  <si>
    <t>16:33, 24-04-2026</t>
  </si>
  <si>
    <t xml:space="preserve">Khuc Thanh Huyen
 Xóm 9 Yên Mỹ, Xã Nam Phù, Xã Nam Phù, Hà Nội
 0978350082
 </t>
  </si>
  <si>
    <t>S22693229.BO.SGP37-K21.1782091721</t>
  </si>
  <si>
    <t>SAPO128129228_603550</t>
  </si>
  <si>
    <t>20:50, 25-04-2026</t>
  </si>
  <si>
    <t xml:space="preserve">Phạm Ngọc Hùng
 278 Phan Van Hon, Phường Đông Hưng Thuận, Phường Đông Hưng Thuận, TP Hồ Chí Minh
 0938964996
 </t>
  </si>
  <si>
    <t>S22693229.BO.MN6-01-TA51.1682423201</t>
  </si>
  <si>
    <t>SAPO128129395_603550</t>
  </si>
  <si>
    <t>13:33, 24-04-2026</t>
  </si>
  <si>
    <t xml:space="preserve">Ngọc Hân
 83/4 nguyễn văn rành, Phường Tân An, Phường Tân An, Tây Ninh
 0913975530
 </t>
  </si>
  <si>
    <t>S22693229.HNP146-G215.1235927086</t>
  </si>
  <si>
    <t>SAPO128129470_603550</t>
  </si>
  <si>
    <t>20:48, 25-04-2026</t>
  </si>
  <si>
    <t xml:space="preserve">Chu Ngọc Khuyên
 352 Giải Phóng, Phường Phương Liệt, Phường Phương Liệt, Hà Nội
 0983693698
 </t>
  </si>
  <si>
    <t>S22693229.MB10-09-Z1.1347979844</t>
  </si>
  <si>
    <t>SAPO128129509_603550</t>
  </si>
  <si>
    <t>20:35, 27-04-2026</t>
  </si>
  <si>
    <t xml:space="preserve">Linh Ngoc Dinh
 Thôn 1 Hiệp Hòa, Phường Hiệp Hòa, Phường Hiệp Hòa, Quảng Ninh
 0372268285
 </t>
  </si>
  <si>
    <t>S22693229.MB3-01-A20.1556463028</t>
  </si>
  <si>
    <t>SAPO128130082_603550</t>
  </si>
  <si>
    <t>07:12, 20-04-2026</t>
  </si>
  <si>
    <t>17:25, 24-04-2026</t>
  </si>
  <si>
    <t xml:space="preserve">Thảo Týt
 Tổ dân phố khả lực, Phường Mỹ Lộc, Phường Mỹ Lộc, Ninh Bình
 0981467430
 </t>
  </si>
  <si>
    <t>S22693229.MB27-09-I3.1945586110</t>
  </si>
  <si>
    <t>SAPO128131722_603550</t>
  </si>
  <si>
    <t>07:15, 20-04-2026</t>
  </si>
  <si>
    <t>17:21, 25-04-2026</t>
  </si>
  <si>
    <t xml:space="preserve">Ngoc Tran
 Thôn Tiến Thọ  Đức Quang, Xã Đức Thọ, Xã Đức Thọ, Hà Tĩnh
 0963565626
 </t>
  </si>
  <si>
    <t>S22693229.BO.HNP23-A144.1087900702</t>
  </si>
  <si>
    <t>SAPO128147395_603550</t>
  </si>
  <si>
    <t>07:29, 20-04-2026</t>
  </si>
  <si>
    <t>15:34, 24-04-2026</t>
  </si>
  <si>
    <t xml:space="preserve">Thanh Phương Bùi
 599 Thuỵ Khuê, Phường Tây Hồ, Phường Tây Hồ, Hà Nội
 0832246490
 </t>
  </si>
  <si>
    <t>S22693229.HNP46-A36.1356109027</t>
  </si>
  <si>
    <t>SAPO128275805_603550</t>
  </si>
  <si>
    <t>08:43, 20-04-2026</t>
  </si>
  <si>
    <t>17:55, 23-04-2026</t>
  </si>
  <si>
    <t xml:space="preserve">Vũ Thị Hường
 19 Hoàng Sâm, Phường Nghĩa Đô, Phường Nghĩa Đô, Hà Nội
 0763658686
 </t>
  </si>
  <si>
    <t>S22693229.HNP32-D2.1092751380</t>
  </si>
  <si>
    <t>SAPO128275807_603550</t>
  </si>
  <si>
    <t>21:12, 24-04-2026</t>
  </si>
  <si>
    <t xml:space="preserve">C mỹ
 NO18.lk820 khu xê nam ninh- Phú lương- hà đông - hà nội, Phường Phú Lương, Phường Phú Lương, Hà Nội
 0708271262
 </t>
  </si>
  <si>
    <t>S22693229.HNP52-P37.1106411673</t>
  </si>
  <si>
    <t>SAPO128275811_603550</t>
  </si>
  <si>
    <t>21:26, 24-04-2026</t>
  </si>
  <si>
    <t xml:space="preserve">Nguyễn Thị Hương
 Số nhà 19, ngách 89/19/38. Tổ 1 bằng A. Phường Hoàng Liệt. HN, Phường Hoàng Liệt, Phường Hoàng Liệt, Hà Nội
 0987208386
 </t>
  </si>
  <si>
    <t>S22693229.HNP49-J177.1784722275</t>
  </si>
  <si>
    <t>SAPO128275791_603550</t>
  </si>
  <si>
    <t>19:52, 24-04-2026</t>
  </si>
  <si>
    <t xml:space="preserve">Lê Công Đoàn
 Số 34 ngách 49/48, ngõ 83 phố Thúy Lĩnh, Phường Vĩnh Hưng, Phường Vĩnh Hưng, Hà Nội
 0983328582
 </t>
  </si>
  <si>
    <t>S22693229.HNP146-G133.1151400730</t>
  </si>
  <si>
    <t>SAPO128275821_603550</t>
  </si>
  <si>
    <t>17:25, 25-04-2026</t>
  </si>
  <si>
    <t xml:space="preserve">Đỗ Thị Thủy
 Kim Giang, Phường Hoàng Mai, Phường Hoàng Mai, Hà Nội, Phường Hoàng Mai, Phường Hoàng Mai, Hà Nội
 0989578689
 </t>
  </si>
  <si>
    <t>S22693229.HNP25-F25.1838577807</t>
  </si>
  <si>
    <t>SAPO128275794_603550</t>
  </si>
  <si>
    <t>18:45, 24-04-2026</t>
  </si>
  <si>
    <t xml:space="preserve">Nguyễn Loan
 Vietinbank chi nhánh Thanh Xuân ngõ 8 hoàng đạo Thúy, Phường Thanh Xuân, Phường Thanh Xuân, Hà Nội
 0916305155
 </t>
  </si>
  <si>
    <t>S22693229.HNP47-M131.1830102674</t>
  </si>
  <si>
    <t>SAPO128276034_603550</t>
  </si>
  <si>
    <t>08:44, 20-04-2026</t>
  </si>
  <si>
    <t>17:48, 24-04-2026</t>
  </si>
  <si>
    <t xml:space="preserve">Mr Sửu
 14 Ngõ 580 đường La Thành, Phường Giảng Võ, Phường Giảng Võ, Hà Nội
 0904199744
 </t>
  </si>
  <si>
    <t>S22693229.HNP49-J173.1755123334</t>
  </si>
  <si>
    <t>SAPO128276289_603550</t>
  </si>
  <si>
    <t>18:09, 23-04-2026</t>
  </si>
  <si>
    <t xml:space="preserve">Huyen
 Ct3- 885 tam trinh, Phường Hoàng Mai, Phường Hoàng Mai, Hà Nội
 0987567586
 </t>
  </si>
  <si>
    <t>S22693229.HNP71-P11.1882358728</t>
  </si>
  <si>
    <t>SAPO128276626_603550</t>
  </si>
  <si>
    <t>17:02, 28-04-2026</t>
  </si>
  <si>
    <t xml:space="preserve">Dương
 7,2 Đường Vĩnh Phúc, Phường Ngọc Hà, Phường Ngọc Hà, Hà Nội, Phường Ngọc Hà, Phường Ngọc Hà, Hà Nội
 0979134518
 </t>
  </si>
  <si>
    <t>S22693229.HNP71-P3.1815462778</t>
  </si>
  <si>
    <t>SAPO128276974_603550</t>
  </si>
  <si>
    <t>17:19, 24-04-2026</t>
  </si>
  <si>
    <t xml:space="preserve">Hanh Mai
 57 Nguyễn Khắc Hiếu, Phường Ba Đình, Phường Ba Đình, Hà Nội
 0912349096
 </t>
  </si>
  <si>
    <t>S22693229.HNP46-A136.1617110310</t>
  </si>
  <si>
    <t>SAPO128277377_603550</t>
  </si>
  <si>
    <t>08:45, 20-04-2026</t>
  </si>
  <si>
    <t>20:18, 24-04-2026</t>
  </si>
  <si>
    <t xml:space="preserve">Chị Bích
 Tòa nhà Hoà Bình 106 Hoàng Quốc Việt, Phường Nghĩa Đô, Phường Nghĩa Đô, Hà Nội
 0915022588
 </t>
  </si>
  <si>
    <t>S22693229.HNP92-K22.1458505442</t>
  </si>
  <si>
    <t>SAPO128277727_603550</t>
  </si>
  <si>
    <t>14:05, 25-04-2026</t>
  </si>
  <si>
    <t xml:space="preserve">Lê thanh phương
 G2 Vinhomes Greenbay, Phường Từ Liêm, Phường Từ Liêm, Hà Nội
 0941216423
 </t>
  </si>
  <si>
    <t>S22693229.HNP115-V105.1238979187</t>
  </si>
  <si>
    <t>SAPO128278094_603550</t>
  </si>
  <si>
    <t>20:10, 25-04-2026</t>
  </si>
  <si>
    <t xml:space="preserve">Mai
 3/236 Phúc tiến, chương mỹ, hà nội, Phường Chương Mỹ, Phường Chương Mỹ, Hà Nội
 0848859866
 </t>
  </si>
  <si>
    <t>S22693229.SGP66-W27.1138340924</t>
  </si>
  <si>
    <t>SAPO128309106_603550</t>
  </si>
  <si>
    <t>09:10, 20-04-2026</t>
  </si>
  <si>
    <t>14:58, 24-04-2026</t>
  </si>
  <si>
    <t xml:space="preserve">Chị Điệp
 127/71/7 Lê Thúc Hoạch, Phường Phú Thọ Hòa, Phường Phú Thọ Hòa, TP Hồ Chí Minh
 0932171213
 </t>
  </si>
  <si>
    <t>S22693229.SGP76-S81.1503897829</t>
  </si>
  <si>
    <t>SAPO128309205_603550</t>
  </si>
  <si>
    <t>16:41, 23-04-2026</t>
  </si>
  <si>
    <t xml:space="preserve">Bui Hang
 226/5 Lê văn sỹ, phường 1. Tan binh, Phường Tân Sơn Hòa, Phường Tân Sơn Hòa, TP Hồ Chí Minh
 0977869455
 </t>
  </si>
  <si>
    <t>S22693229.SGP47-V28.1847356344</t>
  </si>
  <si>
    <t>SAPO128309395_603550</t>
  </si>
  <si>
    <t>19:18, 25-04-2026</t>
  </si>
  <si>
    <t xml:space="preserve">Nguyễn Thị Thu Nguyên
 1322 đường Nguyễn Duy Trinh, Phường Long Trường, Phường Long Trường, TP Hồ Chí Minh
 0704934717
 </t>
  </si>
  <si>
    <t>S22693229.MB6-07-H1.1609163532</t>
  </si>
  <si>
    <t>583513703440156401</t>
  </si>
  <si>
    <t>09:11, 20-04-2026</t>
  </si>
  <si>
    <t>14:09, 27-04-2026</t>
  </si>
  <si>
    <t xml:space="preserve">Lê thị thuý
 Tạp hoá công thuý xóm4 
Thanh Hải,Thanh Hà,Hải Dương,Việt Nam, Xã Hà Tây, Xã Hà Tây, Hải Phòng
 0325889391
 </t>
  </si>
  <si>
    <t>S22693229.MB10-03-C15.1829667714</t>
  </si>
  <si>
    <t>583497491236947938</t>
  </si>
  <si>
    <t>19:35, 24-04-2026</t>
  </si>
  <si>
    <t xml:space="preserve">Dung
 Số nhà 100 Quảng minh 3 
Xã Quảng Hà,Xã Quảng Hà,Quảng Ninh,Việt Nam, Xã Quảng Hà, Xã Quảng Hà, Quảng Ninh
 0981281522
 </t>
  </si>
  <si>
    <t>S22693229.HNP92-B46.1051475990</t>
  </si>
  <si>
    <t>583464533000881288</t>
  </si>
  <si>
    <t>09:12, 20-04-2026</t>
  </si>
  <si>
    <t>20:50, 24-04-2026</t>
  </si>
  <si>
    <t xml:space="preserve">Thảo
 41 ngõ 185 hồng đô 
Phường Từ Liêm,Phường Từ Liêm,Hà Nội,Việt Nam, Phường Từ Liêm, Phường Từ Liêm, Hà Nội
 0963640582
 </t>
  </si>
  <si>
    <t>S22693229.BO.MN12-17-C15.1844580216</t>
  </si>
  <si>
    <t>583492088967956180</t>
  </si>
  <si>
    <t>16:53, 29-04-2026</t>
  </si>
  <si>
    <t xml:space="preserve">Phuchung Nguyen
 Đường Trần Phú(Ngay Cổng số 3 bệnh viện hồng ngự) 
Phường An Bình,Phường An Bình,Đồng Tháp,Việt Nam, Phường An Bình, Phường An Bình, Đồng Tháp
 0932808075
 </t>
  </si>
  <si>
    <t>S22693229.BO.MT9-01-O5.1659623394</t>
  </si>
  <si>
    <t>583508015308244538</t>
  </si>
  <si>
    <t>15:54, 24-04-2026</t>
  </si>
  <si>
    <t xml:space="preserve">Ngọc Trâm
 đường Nguyễn Trường Tộ khu cn Quảng Phú 
Phường Nghĩa Lộ,Phường Nghĩa Lộ,Quảng Ngãi,Việt Nam, Phường Nghĩa Lộ, Phường Nghĩa Lộ, Quảng Ngãi
 0947844830
 </t>
  </si>
  <si>
    <t>S22693229.BO.MN2-32-F9.1881688822</t>
  </si>
  <si>
    <t>583506526450123919</t>
  </si>
  <si>
    <t>18:26, 25-04-2026</t>
  </si>
  <si>
    <t xml:space="preserve">Trúc
 Lô N ô 44 đường Lý Thái Tổ 
Hoà Phú,Thủ Dầu Một,Bình Dương,Việt Nam, Phường Bình Dương, Phường Bình Dương, TP Hồ Chí Minh
 0393749499
 </t>
  </si>
  <si>
    <t>S22693229.MB15-08-H3.1525183630</t>
  </si>
  <si>
    <t>SAPO128332761_603550</t>
  </si>
  <si>
    <t>09:31, 20-04-2026</t>
  </si>
  <si>
    <t>21:03, 28-04-2026</t>
  </si>
  <si>
    <t xml:space="preserve">Bùi Yên
 Xóm thây voi, Xã Thượng Cốc, Xã Thượng Cốc, Phú Thọ
 0979984766
 </t>
  </si>
  <si>
    <t>S22693229.MB7-03-B21.1602345256</t>
  </si>
  <si>
    <t>SAPO128334196_603550</t>
  </si>
  <si>
    <t>09:33, 20-04-2026</t>
  </si>
  <si>
    <t>22:12, 29-04-2026</t>
  </si>
  <si>
    <t xml:space="preserve">Phạm Đặng Nhật Minh
 TDP 2, phường Lưu Kiếm Hải Phòng, Phường Lưu Kiếm, Phường Lưu Kiếm, Hải Phòng
 0932256008
 </t>
  </si>
  <si>
    <t>S22693229.BO.MN11-07-V53.1686158371</t>
  </si>
  <si>
    <t>SAPO128334214_603550</t>
  </si>
  <si>
    <t xml:space="preserve">Nguyễn Hoàng Bảo Trâm
 37 hẻm 3 đường Mậu Thân, Phường Ninh Kiều, Phường Ninh Kiều, Cần Thơ
 0772178897
 </t>
  </si>
  <si>
    <t>S22693229.BO.MN6-01-S52.1329715901</t>
  </si>
  <si>
    <t>SAPO128334198_603550</t>
  </si>
  <si>
    <t xml:space="preserve">Nguyễn Thị Thu Thảo
 Ấp Bà Mía, Xã Mỹ Thạnh, Xã Mỹ Thạnh, Tây Ninh
 0977511066
 </t>
  </si>
  <si>
    <t>S22693229.BO.MN11-11-E44.1267236747</t>
  </si>
  <si>
    <t>SAPO128334224_603550</t>
  </si>
  <si>
    <t>13:34, 25-04-2026</t>
  </si>
  <si>
    <t xml:space="preserve">Hồ Hoàng Na
 B314 chung cư Hồng Loan, Phường Cái Răng, Phường Cái Răng, Cần Thơ
 0939465565
 </t>
  </si>
  <si>
    <t>S22693229.MB4-04-D9.1685977040</t>
  </si>
  <si>
    <t>SAPO128334215_603550</t>
  </si>
  <si>
    <t>15:09, 25-04-2026</t>
  </si>
  <si>
    <t xml:space="preserve">Phạm Hảo
 Thôn Đông Cao 1, Xã Ái Quốc, Xã Ái Quốc, Hưng Yên
 0986187510
 </t>
  </si>
  <si>
    <t>S22693229.MB9-07-U2.1581687758</t>
  </si>
  <si>
    <t>SAPO128334216_603550</t>
  </si>
  <si>
    <t>16:17, 25-04-2026</t>
  </si>
  <si>
    <t xml:space="preserve">Nguyễn Thị Linh
 Nhà ông bà Thơm Lợi , xóm 3, An Thịnh, Phường Tiền Phong, Phường Tiền Phong, Bắc Ninh
 0966394825
 </t>
  </si>
  <si>
    <t>S22693229.MB26-32-P18.1167024482</t>
  </si>
  <si>
    <t>SAPO128334220_603550</t>
  </si>
  <si>
    <t>16:59, 24-04-2026</t>
  </si>
  <si>
    <t xml:space="preserve">Huyentrang
 Nhà số 5, Phường Thái Hòa, Phường Thái Hòa, Nghệ An
 0989964977
 </t>
  </si>
  <si>
    <t>S22693229.BO.MT5-01-A55.1047663768</t>
  </si>
  <si>
    <t>SAPO128334200_603550</t>
  </si>
  <si>
    <t>14:57, 24-04-2026</t>
  </si>
  <si>
    <t xml:space="preserve">Lê Thủy
 411 Lê Duẩn, Xã Triệu Phong, Xã Triệu Phong, Quảng Trị
 0911252357
 </t>
  </si>
  <si>
    <t>S22693229.BO.SGP76-S88.1815418886</t>
  </si>
  <si>
    <t>SAPO128334209_603550</t>
  </si>
  <si>
    <t>16:08, 24-04-2026</t>
  </si>
  <si>
    <t xml:space="preserve">Thoa
 43/13 cộng hòa, Phường Tân Sơn Nhất, Phường Tân Sơn Nhất, TP Hồ Chí Minh
 0903700157
 </t>
  </si>
  <si>
    <t>S22693229.BO.MN13-12-V01.1602250498</t>
  </si>
  <si>
    <t>SAPO128334208_603550</t>
  </si>
  <si>
    <t>16:53, 25-04-2026</t>
  </si>
  <si>
    <t xml:space="preserve">Thủy Bùi
 Số 1412, ấp phú lợi, Xã Phú Hữu, Xã Phú Hữu, An Giang
 0942180005
 </t>
  </si>
  <si>
    <t>S22693229.BO.SGP39-Q31.1993525392</t>
  </si>
  <si>
    <t>SAPO128334204_603550</t>
  </si>
  <si>
    <t>17:55, 24-04-2026</t>
  </si>
  <si>
    <t xml:space="preserve">Hòa Nguyễn
 0933985000, Phường Bến Thành, Phường Bến Thành, TP Hồ Chí Minh
 0933985000
 </t>
  </si>
  <si>
    <t>S22693229.BO.MT12-07-D24.1346153708</t>
  </si>
  <si>
    <t>SAPO128334202_603550</t>
  </si>
  <si>
    <t>13:05, 24-04-2026</t>
  </si>
  <si>
    <t xml:space="preserve">lê cuc hoa
 33 Nguyễn Tri Phương, Phường Nam Nha Trang, Phường Nam Nha Trang, Khánh Hòa
 0775430503
 </t>
  </si>
  <si>
    <t>S22693229.BO.MN12-01-P21.1317671927</t>
  </si>
  <si>
    <t>SAPO128334210_603550</t>
  </si>
  <si>
    <t>13:21, 24-04-2026</t>
  </si>
  <si>
    <t xml:space="preserve">Nguyễn Thị Phương Chi
 67 Nguyễn Trãi , phường 2,, Phường Mỹ Ngãi, Phường Mỹ Ngãi, Đồng Tháp
 0918332939
 </t>
  </si>
  <si>
    <t>S22693229.MB13-06-E4.1623573130</t>
  </si>
  <si>
    <t>SAPO128334206_603550</t>
  </si>
  <si>
    <t>18:25, 24-04-2026</t>
  </si>
  <si>
    <t xml:space="preserve">Phạm Thanh Lộc
 Trại giam quyết tiến thôn đồng ván xã hưg Khánh tỉnh Lào cai, Xã Bình Ca, Xã Bình Ca, Tuyên Quang
 0968808441
 </t>
  </si>
  <si>
    <t>S22693229.MB26-09-N3.1232569291</t>
  </si>
  <si>
    <t>SAPO128334195_603550</t>
  </si>
  <si>
    <t>14:20, 24-04-2026</t>
  </si>
  <si>
    <t xml:space="preserve">Luong thi huyen
 Xóm Xuân tường, Xã Xuân Lâm, Xã Xuân Lâm, Nghệ An
 0975702177
 </t>
  </si>
  <si>
    <t>S22693229.BO.SGP01-M22.1579657334</t>
  </si>
  <si>
    <t>SAPO128334219_603550</t>
  </si>
  <si>
    <t>19:02, 25-04-2026</t>
  </si>
  <si>
    <t xml:space="preserve">Nguyễn Thị Bích Chiền
 42/22 đường số 3 phường 9 gò vấp, Phường Thông Tây Hội, Phường Thông Tây Hội, TP Hồ Chí Minh
 0978472827
 </t>
  </si>
  <si>
    <t>S22693229.BO.MT10-10-O32.1503383196</t>
  </si>
  <si>
    <t>SAPO128334285_603550</t>
  </si>
  <si>
    <t>15:04, 24-04-2026</t>
  </si>
  <si>
    <t xml:space="preserve">Hà thị mỹ tuyết
 Xóm 5, Phường Hoài Nhơn Bắc, Phường Hoài Nhơn Bắc, Gia Lai
 0977416535
 </t>
  </si>
  <si>
    <t>S22693229.BO.MT17-25-G03.1693039153</t>
  </si>
  <si>
    <t>SAPO128334335_603550</t>
  </si>
  <si>
    <t>16:58, 28-04-2026</t>
  </si>
  <si>
    <t xml:space="preserve">Hoàng Tuyến
 351/6 Lê Duẩn, Phường Ea Kao, Phường Ea Kao, Đắk Lắk
 0962725128
 </t>
  </si>
  <si>
    <t>S22693229.BO.MT10-14-V06.1229447731</t>
  </si>
  <si>
    <t>SAPO128334465_603550</t>
  </si>
  <si>
    <t>14:44, 24-04-2026</t>
  </si>
  <si>
    <t xml:space="preserve">Nguyễn Thị Thu Hà
 Chợ Canh Hiển - thôn Tân Quang - xã Canh Hiển - tỉnh Bình Định, Xã Canh Vinh, Xã Canh Vinh, Gia Lai
 0979744446
 </t>
  </si>
  <si>
    <t>S22693229.BO.SGP101-I87.1763021755</t>
  </si>
  <si>
    <t>SAPO128334514_603550</t>
  </si>
  <si>
    <t>16:10, 24-04-2026</t>
  </si>
  <si>
    <t xml:space="preserve">Kim
 210 Bùi Văn ba, Phường Tân Thuận, Phường Tân Thuận, TP Hồ Chí Minh
 0931471781
 </t>
  </si>
  <si>
    <t>S22693229.MB8-02-B21.1172880501</t>
  </si>
  <si>
    <t>SAPO128334579_603550</t>
  </si>
  <si>
    <t>13:30, 24-04-2026</t>
  </si>
  <si>
    <t xml:space="preserve">Phượng
 Công ty DTH, kcn đại đồng, Xã Đại Đồng, Xã Đại Đồng, Bắc Ninh
 0988164284
 </t>
  </si>
  <si>
    <t>S22693229.MB26-18-S8.1828843135</t>
  </si>
  <si>
    <t>SAPO128334609_603550</t>
  </si>
  <si>
    <t>07:13, 28-04-2026</t>
  </si>
  <si>
    <t xml:space="preserve">Hoàng Ngọc
 Xóm 5, Xã Nghĩa Đồng, Xã Nghĩa Đồng, Nghệ An
 0397856779
 </t>
  </si>
  <si>
    <t>S22693229.MB13-03-D2.1903898413</t>
  </si>
  <si>
    <t>SAPO128334705_603550</t>
  </si>
  <si>
    <t>09:34, 20-04-2026</t>
  </si>
  <si>
    <t>17:40, 28-04-2026</t>
  </si>
  <si>
    <t xml:space="preserve">Nguyễn Thị Thu Trang
 Trung tâm y tế khu vực Hàm Yên, Xã Hàm Yên, Xã Hàm Yên, Tuyên Quang
 0912185535
 </t>
  </si>
  <si>
    <t>S22693229.BO.SGP69-W64.1863816987</t>
  </si>
  <si>
    <t>SAPO128334757_603550</t>
  </si>
  <si>
    <t>12:55, 25-04-2026</t>
  </si>
  <si>
    <t xml:space="preserve">Chúc
 Số 2 đường n4 phuong son ky q tan phuKhu căn hộ Celadon City, Phường Tây Thạnh, Phường Tây Thạnh, TP Hồ Chí Minh, Phường Tây Thạnh, Phường Tây Thạnh, TP Hồ Chí Minh
 0905448754
 </t>
  </si>
  <si>
    <t>S22693229.BO.MT12-17-F03.1842415652</t>
  </si>
  <si>
    <t>SAPO128334799_603550</t>
  </si>
  <si>
    <t>21:51, 27-04-2026</t>
  </si>
  <si>
    <t xml:space="preserve">Châu
 Bến khế,bắc khánh vĩnh,khánh hoà, Xã Bắc Khánh Vĩnh, Xã Bắc Khánh Vĩnh, Khánh Hòa
 0855443266
 </t>
  </si>
  <si>
    <t>S22693229.BO.MN3-02-T14.1097237458</t>
  </si>
  <si>
    <t>SAPO128334840_603550</t>
  </si>
  <si>
    <t>14:37, 24-04-2026</t>
  </si>
  <si>
    <t xml:space="preserve">Nguyễn Thị Ngà
 Công tu cổ phần sản xuất container Hoà Phát, đường D9, KCN Phú Mỹ 2, Phường Tân Phước, TP. Hồ Chí Minh, Phường Tân Phước, Phường Tân Phước, TP Hồ Chí Minh
 0364189090
 </t>
  </si>
  <si>
    <t>S22693229.BO.SGP101-I100.1696665292</t>
  </si>
  <si>
    <t>SAPO128334936_603550</t>
  </si>
  <si>
    <t>18:51, 24-04-2026</t>
  </si>
  <si>
    <t xml:space="preserve">Nguyễn Thị Phương Hiếu
 642 Huỳnh Tấn Phát, Phường Tân Mỹ, Phường Tân Mỹ, TP Hồ Chí Minh
 0941964168
 </t>
  </si>
  <si>
    <t>S22693229.BO.SGP91-W86.1289295671</t>
  </si>
  <si>
    <t>SAPO128335194_603550</t>
  </si>
  <si>
    <t>14:17, 24-04-2026</t>
  </si>
  <si>
    <t xml:space="preserve">Nguyễn Xuân Thảo
 289/9 Bến Vân Đồn, Phường 2, Quận 4, Phường Vĩnh Hội, Phường Vĩnh Hội, TP Hồ Chí Minh
 0908588701
 </t>
  </si>
  <si>
    <t>S22693229.BO.MN1-46-V82.1502461162</t>
  </si>
  <si>
    <t>SAPO128335245_603550</t>
  </si>
  <si>
    <t>20:59, 24-04-2026</t>
  </si>
  <si>
    <t xml:space="preserve">Thanh Nguyen
 To5 ap3 xa phuoc thai long thanh tinh dong nai, Xã Phước Thái, Xã Phước Thái, Đồng Nai
 0961161819
 </t>
  </si>
  <si>
    <t>S22693229.BO.MN7-10-B55.1791869857</t>
  </si>
  <si>
    <t>SAPO128335432_603550</t>
  </si>
  <si>
    <t xml:space="preserve">Trần Minh Thiện
 Tổ 14, Ấp Phú Thuận, Phường Cai Lậy, Phường Cai Lậy, Đồng Tháp
 0939398499
 </t>
  </si>
  <si>
    <t>S22693229.BO.MT17-07-H25.1251609906</t>
  </si>
  <si>
    <t>SAPO128335464_603550</t>
  </si>
  <si>
    <t>19:27, 27-04-2026</t>
  </si>
  <si>
    <t xml:space="preserve">tâm an
 quán xay sát lúa gạo buôn rài, Xã Ea Drăng, Xã Ea Drăng, Đắk Lắk
 0911312747
 </t>
  </si>
  <si>
    <t>S22693229.BO.MT18-06-G52.1717806730</t>
  </si>
  <si>
    <t>SAPO128335543_603550</t>
  </si>
  <si>
    <t>19:22, 27-04-2026</t>
  </si>
  <si>
    <t xml:space="preserve">Hoàng Thủy Chung
 Tổ 1 TT Đăk mâm Krông nô đăk nông, Xã Krông Nô, Xã Krông Nô, Lâm Đồng
 0352104197
 </t>
  </si>
  <si>
    <t>S22693229.BO.SG12-01-B17.1335035184</t>
  </si>
  <si>
    <t>SAPO128335578_603550</t>
  </si>
  <si>
    <t>13:46, 24-04-2026</t>
  </si>
  <si>
    <t xml:space="preserve">Lê Thị Ngọc Bích
 Số 5, đường Tô Ký, Xã Bà Điểm, Xã Bà Điểm, TP Hồ Chí Minh
 0905287158
 </t>
  </si>
  <si>
    <t>S22693229.BO.MT6-12-M21.1336651051</t>
  </si>
  <si>
    <t>SAPO128336428_603550</t>
  </si>
  <si>
    <t>09:35, 20-04-2026</t>
  </si>
  <si>
    <t>14:15, 29-04-2026</t>
  </si>
  <si>
    <t xml:space="preserve">Vu thi hue
 12b cm3 Ecogarden, Phường Vỹ Dạ, Phường Vỹ Dạ, Thành phố Huế
 0915144399
 </t>
  </si>
  <si>
    <t>S22693229.BO.SGP113-X44.1406334461</t>
  </si>
  <si>
    <t>SAPO128342670_603550</t>
  </si>
  <si>
    <t>09:41, 20-04-2026</t>
  </si>
  <si>
    <t>16:33, 29-04-2026</t>
  </si>
  <si>
    <t xml:space="preserve">Nguyen hien
 39/9 Bông Sao F5 Q8, Phường Chánh Hưng, Phường Chánh Hưng, TP Hồ Chí Minh
 0938893079
 </t>
  </si>
  <si>
    <t>S22693229.BO.MT6-12-M74.1379522755</t>
  </si>
  <si>
    <t>SAPO128342660_603550</t>
  </si>
  <si>
    <t>16:32, 24-04-2026</t>
  </si>
  <si>
    <t xml:space="preserve">Tuyen
 57 Nguyen khoa chiem an cuu hue, Phường An Cựu, Phường An Cựu, Thành phố Huế
 0375379958
 </t>
  </si>
  <si>
    <t>S22693229.BO.MT10-10-O22.1665665259</t>
  </si>
  <si>
    <t>SAPO128342672_603550</t>
  </si>
  <si>
    <t>15:05, 24-04-2026</t>
  </si>
  <si>
    <t xml:space="preserve">Trần Thị Hoài Đông
 Hội An Hoài Châu Hoài Nhơn Bình định, Phường Tam Quan, Phường Tam Quan, Gia Lai
 0362791487
 </t>
  </si>
  <si>
    <t>S22693229.BO.SGP26-Q66.1895325922</t>
  </si>
  <si>
    <t>SAPO128342664_603550</t>
  </si>
  <si>
    <t>16:31, 24-04-2026</t>
  </si>
  <si>
    <t xml:space="preserve">Nguyễn Bá Hùng
 13/5 đường số 8, khu phố 2, Phường Hiệp Bình, Phường Hiệp Bình, TP Hồ Chí Minh
 0908163324
 </t>
  </si>
  <si>
    <t>S22693229.MB14-06-C7.1098199903</t>
  </si>
  <si>
    <t>SAPO128342673_603550</t>
  </si>
  <si>
    <t>20:54, 25-04-2026</t>
  </si>
  <si>
    <t xml:space="preserve">Huyền
 Trung tâm gdnn gdtx mèo vạc. Huyện mèo vạc. Tỉnh hà giang. Tập thể trung tâm, Xã Mèo Vạc, Xã Mèo Vạc, Tuyên Quang
 0986010357
 </t>
  </si>
  <si>
    <t>S22693229.BO.SGP37-K18.1842685065</t>
  </si>
  <si>
    <t>SAPO128342682_603550</t>
  </si>
  <si>
    <t>15:46, 27-04-2026</t>
  </si>
  <si>
    <t xml:space="preserve">Trần thị Lệ Huyền
 Đường Tân Thới Nhất 5, Phường Đông Hưng Thuận, Phường Đông Hưng Thuận, TP Hồ Chí Minh, Phường Đông Hưng Thuận, Phường Đông Hưng Thuận, TP Hồ Chí Minh
 0908526908
 </t>
  </si>
  <si>
    <t>S22693229.BO.MN3-05-H21.1226801851</t>
  </si>
  <si>
    <t>SAPO128342667_603550</t>
  </si>
  <si>
    <t>14:40, 25-04-2026</t>
  </si>
  <si>
    <t xml:space="preserve">Nguyễn Hiền
 24 Tuệ Tĩnh , phường Rạch Dừa, tp Vũng Tàu, Phường Rạch Dừa, Phường Rạch Dừa, TP Hồ Chí Minh
 0973173212
 </t>
  </si>
  <si>
    <t>S22693229.BO.SGP113-X33.1916641863</t>
  </si>
  <si>
    <t>SAPO128342652_603550</t>
  </si>
  <si>
    <t>18:37, 25-04-2026</t>
  </si>
  <si>
    <t xml:space="preserve">Đào duong
 125/207 nguyên Thị tần p2 q8 tphcm, Phường Chánh Hưng, Phường Chánh Hưng, TP Hồ Chí Minh
 0932388439
 </t>
  </si>
  <si>
    <t>S22693229.BO.DN10-G20.1884396677</t>
  </si>
  <si>
    <t>SAPO128342676_603550</t>
  </si>
  <si>
    <t>14:47, 24-04-2026</t>
  </si>
  <si>
    <t xml:space="preserve">Trần Mỹ Lệ
 P302/c3, chung cư an cư 5, đường lê lâm, Phường An Hải, Phường An Hải, Đà Nẵng
 0945583641
 </t>
  </si>
  <si>
    <t>S22693229.BO.MT4-06-F3.1435606652</t>
  </si>
  <si>
    <t>SAPO128342651_603550</t>
  </si>
  <si>
    <t>14:26, 25-04-2026</t>
  </si>
  <si>
    <t xml:space="preserve">Nguyễn Thị Kim Liên
 Thôn Trung, Xã Quảng Ninh, Xã Quảng Ninh, Quảng Trị
 0912427345
 </t>
  </si>
  <si>
    <t>S22693229.BO.MT16-02-D22.1484839291</t>
  </si>
  <si>
    <t>SAPO128342653_603550</t>
  </si>
  <si>
    <t>18:20, 24-04-2026</t>
  </si>
  <si>
    <t xml:space="preserve">ĐỨC THÁI VĂN
 5c/22 lương định của.phường hội phú.tỉnh gia lai, Phường Hội Phú, Phường Hội Phú, Gia Lai
 0969002278
 </t>
  </si>
  <si>
    <t>S22693229.BO.SGP11-V64.1407345072</t>
  </si>
  <si>
    <t>SAPO128342647_603550</t>
  </si>
  <si>
    <t>13:15, 25-04-2026</t>
  </si>
  <si>
    <t xml:space="preserve">Trần Thị Như
 83B Hoàng Sa, Phường Sài Gòn, Phường Sài Gòn, TP Hồ Chí Minh
 0903187899
 </t>
  </si>
  <si>
    <t>S22693229.MB7-40-D28.1571386797</t>
  </si>
  <si>
    <t>SAPO128342662_603550</t>
  </si>
  <si>
    <t>20:02, 27-04-2026</t>
  </si>
  <si>
    <t xml:space="preserve">Vũ Thị Thư
 Tổ DP 7, Phường An Dương, Phường An Dương, Hải Phòng
 0378487739
 </t>
  </si>
  <si>
    <t>S22693229.BO.SGP101-I96.1643021871</t>
  </si>
  <si>
    <t>SAPO128342666_603550</t>
  </si>
  <si>
    <t>19:12, 24-04-2026</t>
  </si>
  <si>
    <t xml:space="preserve">Ngô Khôn Diệu Tiên
 801 Nguyễn Văn Linh, P. Tân Phú q. 7 HCM, Phường Tân Mỹ, Phường Tân Mỹ, TP Hồ Chí Minh
 0908253437
 </t>
  </si>
  <si>
    <t>S22693229.BO.DN10-G13.1627864157</t>
  </si>
  <si>
    <t>SAPO128342656_603550</t>
  </si>
  <si>
    <t>13:34, 24-04-2026</t>
  </si>
  <si>
    <t xml:space="preserve">Phạm Thị Hàng
 Hồ Hán Thương - Vũng Thùng 1, Phường Sơn Trà, Phường Sơn Trà, Đà Nẵng
 0905953315
 </t>
  </si>
  <si>
    <t>S22693229.BO.SGP91-W84.1297628254</t>
  </si>
  <si>
    <t>SAPO128342655_603550</t>
  </si>
  <si>
    <t>20:48, 27-04-2026</t>
  </si>
  <si>
    <t xml:space="preserve">Trung Nghĩa
 598D lô T Đoàn Văn Bơ, Phường Khánh Hội, Phường Khánh Hội, TP Hồ Chí Minh
 0902931978
 </t>
  </si>
  <si>
    <t>S22693229.BO.MN8-04-P11.1499254807</t>
  </si>
  <si>
    <t>SAPO128342743_603550</t>
  </si>
  <si>
    <t>18:00, 27-04-2026</t>
  </si>
  <si>
    <t xml:space="preserve">Lương  Kim Hiền
 98 kp4 nguyên văn tu, thị trấn Châu Thành, châu thành, bến tre, Xã Phú Túc, Xã Phú Túc, Vĩnh Long
 0939559047
 </t>
  </si>
  <si>
    <t>S22693229.BO.MT10-06-G41.1403424047</t>
  </si>
  <si>
    <t>SAPO128342780_603550</t>
  </si>
  <si>
    <t>15:00, 24-04-2026</t>
  </si>
  <si>
    <t xml:space="preserve">Quynh Nga
 730 Quang Trung, Xã Phù Mỹ, Xã Phù Mỹ, Gia Lai
 0782124825
 </t>
  </si>
  <si>
    <t>S22693229.BO.SGP39-Q32.1990171779</t>
  </si>
  <si>
    <t>SAPO128342818_603550</t>
  </si>
  <si>
    <t>16:45, 24-04-2026</t>
  </si>
  <si>
    <t xml:space="preserve">Phan trang
 The Sarus, 67 Nguyễn Thị Minh Khai, Phường Bến Thành, Phường Bến Thành, TP Hồ Chí Minh
 0932705570
 </t>
  </si>
  <si>
    <t>S22693229.BO.MT17-01-L01.1226758224</t>
  </si>
  <si>
    <t>SAPO128342892_603550</t>
  </si>
  <si>
    <t>18:16, 24-04-2026</t>
  </si>
  <si>
    <t xml:space="preserve">Vân
 Hẻm 102A/4/1 nguyễn tất thành, Phường Tân Lập, Phường Tân Lập, Đắk Lắk
 0385910577
 </t>
  </si>
  <si>
    <t>S22693229.BO.SGP65-W44.1968129057</t>
  </si>
  <si>
    <t>SAPO128342928_603550</t>
  </si>
  <si>
    <t xml:space="preserve">Mai Huyền
 Đại học y dược TP HCM, cổng số 2, đường phù đổng Thiên Vương, Phường Chợ Lớn, Phường Chợ Lớn, TP Hồ Chí Minh
 0936840929
 </t>
  </si>
  <si>
    <t>S22693229.BO.DN10-G25.1168914572</t>
  </si>
  <si>
    <t>SAPO128342974_603550</t>
  </si>
  <si>
    <t>14:09, 28-04-2026</t>
  </si>
  <si>
    <t xml:space="preserve">Lam Việt
 96 yết kiêu, Sơn Trà, Đà Nẵng, Phường Sơn Trà, Phường Sơn Trà, Đà Nẵng
 0934789369
 </t>
  </si>
  <si>
    <t>S22693229.BO.SGP45-V06.1463858441</t>
  </si>
  <si>
    <t>SAPO128343083_603550</t>
  </si>
  <si>
    <t>09:42, 20-04-2026</t>
  </si>
  <si>
    <t>12:05, 24-04-2026</t>
  </si>
  <si>
    <t xml:space="preserve">Thanh
 503 Man Thiện, Phường Tăng Nhơn Phú, Phường Tăng Nhơn Phú, TP Hồ Chí Minh
 0909447847
 </t>
  </si>
  <si>
    <t>S22693229.MB26-28-C16.1910416475</t>
  </si>
  <si>
    <t>SAPO128343185_603550</t>
  </si>
  <si>
    <t xml:space="preserve">Toan
 103 kim đồng hưng phúc, Phường Trường Vinh, Phường Trường Vinh, Nghệ An
 0975957383
 </t>
  </si>
  <si>
    <t>S22693229.BO.MT17-03-C51.1216684853</t>
  </si>
  <si>
    <t>SAPO128343246_603550</t>
  </si>
  <si>
    <t>16:24, 25-04-2026</t>
  </si>
  <si>
    <t xml:space="preserve">Trần Thị Anh Đức
 07 Nguyễn Du, thôn 6, Xã Eakar, Tỉnh Đăk Lăk, Xã Ea Kar, Xã Ea Kar, Đắk Lắk
 0986996294
 </t>
  </si>
  <si>
    <t>S22693229.BO.SGP65-W43.1358102051</t>
  </si>
  <si>
    <t>SAPO128343279_603550</t>
  </si>
  <si>
    <t xml:space="preserve">Nguyễn Thị Yêm
 Bệnh viện Phạm Ngọc Thạch - Cổng 6 Ngô Quyền, Phường Chợ Lớn, Phường Chợ Lớn, TP Hồ Chí Minh
 0909904263
 </t>
  </si>
  <si>
    <t>S22693229.BO.MN7-18-E12.1992350794</t>
  </si>
  <si>
    <t>SAPO128343315_603550</t>
  </si>
  <si>
    <t>10:30, 24-04-2026</t>
  </si>
  <si>
    <t xml:space="preserve">Nguyễn Duy Khương
 Bảo hiểm xã hội Cái Bè khu 1 thị trấn Cái Bè huyện Cái Bè tỉnh tiền giang, Xã Cái Bè, Xã Cái Bè, Đồng Tháp
 0783911199
 </t>
  </si>
  <si>
    <t>S22693229.MB7-20-D14.1313773979</t>
  </si>
  <si>
    <t>SAPO128343400_603550</t>
  </si>
  <si>
    <t xml:space="preserve">Vũ Thư
 Tổ 7, Phường An Dương, Phường An Dương, Hải Phòng
 0378487739
 </t>
  </si>
  <si>
    <t>S22693229.BO.MT17-01-L01.1080950500</t>
  </si>
  <si>
    <t>SAPO128343427_603550</t>
  </si>
  <si>
    <t>14:29, 24-04-2026</t>
  </si>
  <si>
    <t xml:space="preserve">Le phuong
 48 nguyễn tất thành Phường BMT mới, Phường Buôn Ma Thuột, Phường Buôn Ma Thuột, Đắk Lắk
 0862002086
 </t>
  </si>
  <si>
    <t>S22693229.BO.DN10-G13.1214480967</t>
  </si>
  <si>
    <t>SAPO128343457_603550</t>
  </si>
  <si>
    <t xml:space="preserve">Phạm Thị Hằng
 Đường Hồ Hán Thương - Vũng Thunhf 1, Phường Sơn Trà, Phường Sơn Trà, Đà Nẵng
 0905953315
 </t>
  </si>
  <si>
    <t>S22693229.BO.MT16-02-A21.1901421824</t>
  </si>
  <si>
    <t>SAPO128343488_603550</t>
  </si>
  <si>
    <t>14:04, 24-04-2026</t>
  </si>
  <si>
    <t xml:space="preserve">Quỳnh Như
 4/9A lê lợi, Phường Pleiku, Phường Pleiku, Gia Lai
 0905732002
 </t>
  </si>
  <si>
    <t>S22693229.BO.SGP101-I102.1923941200</t>
  </si>
  <si>
    <t>SAPO128343513_603550</t>
  </si>
  <si>
    <t>17:07, 27-04-2026</t>
  </si>
  <si>
    <t xml:space="preserve">Ái
 10, đường 6, Nam phú, KDC Nam long, Phường Tân Thuận, Phường Tân Thuận, TP Hồ Chí Minh
 0903989960
 </t>
  </si>
  <si>
    <t>S22693229.MB8-10-J10.1798994466</t>
  </si>
  <si>
    <t>SAPO128343673_603550</t>
  </si>
  <si>
    <t>22:25, 26-04-2026</t>
  </si>
  <si>
    <t xml:space="preserve">Nguyễn thị minh kiên
 Cty tnhh công nghệ ho&amp;tao,châu cầu,châu phong,quế võ,bắc ninh, Xã Phù Lãng, Xã Phù Lãng, Bắc Ninh
 0962914493
 </t>
  </si>
  <si>
    <t>S22693229.MB5-05-E4.1360334009</t>
  </si>
  <si>
    <t>SAPO128343730_603550</t>
  </si>
  <si>
    <t>22:13, 28-04-2026</t>
  </si>
  <si>
    <t xml:space="preserve">Xuân Nguyễn
 Thôn Đồng quê xã mễ sở Hưng Yên, Xã Mễ Sở, Xã Mễ Sở, Hưng Yên
 0949990698
 </t>
  </si>
  <si>
    <t>S22693229.BO.MT16-07-U14.1078953857</t>
  </si>
  <si>
    <t>SAPO128343792_603550</t>
  </si>
  <si>
    <t xml:space="preserve">Trần Minh Giáp
 Công ty Cao su Chư Păh, 1 NGuyễn Thị Minh Khai, Xã Chư Păh, Xã Chư Păh, Gia Lai
 0976767671
 </t>
  </si>
  <si>
    <t>S22693229.HNP115-V88.1892472024</t>
  </si>
  <si>
    <t>SAPO128343961_603550</t>
  </si>
  <si>
    <t>09:43, 20-04-2026</t>
  </si>
  <si>
    <t>20:30, 25-04-2026</t>
  </si>
  <si>
    <t xml:space="preserve">NGUYỄN ĐĂNG MINH
 Thôn Ninh Sơn, TT Chúc Sơn, huyện Chương Mỹ, Phường Chương Mỹ, Phường Chương Mỹ, Hà Nội
 0915043498
 </t>
  </si>
  <si>
    <t>S22693229.BO.MN2-03-C73.1464223314</t>
  </si>
  <si>
    <t>SAPO128343994_603550</t>
  </si>
  <si>
    <t>19:24, 25-04-2026</t>
  </si>
  <si>
    <t xml:space="preserve">Hang
 Cc Marina tower, Vĩnh Phú 10, phường Bình Hòa, Phường Bình Hòa, Phường Bình Hòa, TP Hồ Chí Minh
 0926670708
 </t>
  </si>
  <si>
    <t>S22693229.BO.SGP34-K70.1178018297</t>
  </si>
  <si>
    <t>SAPO128344031_603550</t>
  </si>
  <si>
    <t xml:space="preserve">hà thành
 chung cư HÀ ĐÔ REVERSIDE, Phường Thới An, Phường Thới An, TP Hồ Chí Minh
 0908697099
 </t>
  </si>
  <si>
    <t>S22693229.SGP45-V25.1876395865</t>
  </si>
  <si>
    <t>SAPO128344064_603550</t>
  </si>
  <si>
    <t>16:24, 28-04-2026</t>
  </si>
  <si>
    <t xml:space="preserve">Nguyễn Hiền
 Trường Bùi Văn Mới. Khu phố 4. Đường Hồ Bá Phấn. P Phước Long. Q9, Phường Phước Long, Phường Phước Long, TP Hồ Chí Minh
 0918115402
 </t>
  </si>
  <si>
    <t>S22693229.BO.SGP65-W47.1863354278</t>
  </si>
  <si>
    <t>SAPO128344099_603550</t>
  </si>
  <si>
    <t xml:space="preserve">CHU THỊ MINH NGUYỆT
 359 trần hưng đạo, phường chợ lớn, tphcm, Phường Chợ Lớn, Phường Chợ Lớn, TP Hồ Chí Minh
 0987029077
 </t>
  </si>
  <si>
    <t>S22693229.BO.SGP107-S39.1103077709</t>
  </si>
  <si>
    <t>SAPO128344123_603550</t>
  </si>
  <si>
    <t>17:08, 25-04-2026</t>
  </si>
  <si>
    <t xml:space="preserve">Trần Thi Trang
 Chung cư Phú Thọ lô 4, p15, q11, TpHCM, Phường Phú Thọ, Phường Phú Thọ, TP Hồ Chí Minh
 0934396869
 </t>
  </si>
  <si>
    <t>S22693229.BO.MN5-05-T12.1409634693</t>
  </si>
  <si>
    <t>SAPO128344149_603550</t>
  </si>
  <si>
    <t>14:22, 28-04-2026</t>
  </si>
  <si>
    <t xml:space="preserve">Võ Đoàn Trúc Dân
 Số 1 Lý Thường Kiệt, Phường Bình Long, Phường Bình Long, Đồng Nai
 0978814430
 </t>
  </si>
  <si>
    <t>S22693229.MB25-23-Z06.1255144592</t>
  </si>
  <si>
    <t>SAPO128344174_603550</t>
  </si>
  <si>
    <t>19:14, 24-04-2026</t>
  </si>
  <si>
    <t xml:space="preserve">Nguyễn Văn Linh
 Xóm 1 đông thanh đông Sơn tỉnh thanh hóa, Phường Hạc Thành, Phường Hạc Thành, Thanh Hóa
 0384414420
 </t>
  </si>
  <si>
    <t>S22693229.BO.MT11-01-A93.1295361441</t>
  </si>
  <si>
    <t>SAPO128344198_603550</t>
  </si>
  <si>
    <t>13:21, 25-04-2026</t>
  </si>
  <si>
    <t xml:space="preserve">Mỹ Dung
 Ngã tư mậu thân và nguyễn hữu thọ, Phường Bình Kiến, Phường Bình Kiến, Đắk Lắk
 0912614311
 </t>
  </si>
  <si>
    <t>S22693229.BO.SGP105-N38.1174210011</t>
  </si>
  <si>
    <t>SAPO128344300_603550</t>
  </si>
  <si>
    <t>14:35, 27-04-2026</t>
  </si>
  <si>
    <t xml:space="preserve">Phung thuy duong
 738 trường sa, Phường Nhiêu Lộc, Phường Nhiêu Lộc, TP Hồ Chí Minh
 0902772916
 </t>
  </si>
  <si>
    <t>S22693229.BO.MT12-07-D92.1833085610</t>
  </si>
  <si>
    <t>SAPO128344322_603550</t>
  </si>
  <si>
    <t>13:41, 27-04-2026</t>
  </si>
  <si>
    <t xml:space="preserve">Dương Thuần Hiệp
 41/5/2 Phan Đình Giót, Phường Tây Nha Trang, Phường Tây Nha Trang, Khánh Hòa
 0935993228
 </t>
  </si>
  <si>
    <t>S22693229.BO.MT19-06-H09.1999251743</t>
  </si>
  <si>
    <t>SAPO128344405_603550</t>
  </si>
  <si>
    <t>18:12, 24-04-2026</t>
  </si>
  <si>
    <t xml:space="preserve">Ka hảo
 Phòng khám bs Hảo, Xã Di Linh, Xã Di Linh, Lâm Đồng
 0984393664
 </t>
  </si>
  <si>
    <t>S22693229.BO.SGP104-N71.1227433121</t>
  </si>
  <si>
    <t>SAPO128344488_603550</t>
  </si>
  <si>
    <t>18:56, 25-04-2026</t>
  </si>
  <si>
    <t xml:space="preserve">Phuoc
 270A lý thường kiệt, phường Diên Hồng, TPHCM, Phường Diên Hồng, Phường Diên Hồng, TP Hồ Chí Minh
 0919265099
 </t>
  </si>
  <si>
    <t>S22693229.MB10-04-D11.1227036958</t>
  </si>
  <si>
    <t>SAPO128344673_603550</t>
  </si>
  <si>
    <t>09:44, 20-04-2026</t>
  </si>
  <si>
    <t>20:36, 25-04-2026</t>
  </si>
  <si>
    <t xml:space="preserve">Nga
 27, Xã Bình Liêu, Xã Bình Liêu, Quảng Ninh
 0916686448
 </t>
  </si>
  <si>
    <t>S22693229.BO.SGP89-Y102.1625968416</t>
  </si>
  <si>
    <t>SAPO128344707_603550</t>
  </si>
  <si>
    <t>12:40, 24-04-2026</t>
  </si>
  <si>
    <t xml:space="preserve">Diep le
 371 điện biên phủ, Phường Xuân Hòa, Phường Xuân Hòa, TP Hồ Chí Minh
 0983110715
 </t>
  </si>
  <si>
    <t>S22693229.BO.SGP43-M61.1824241667</t>
  </si>
  <si>
    <t>SAPO128349155_603550</t>
  </si>
  <si>
    <t>09:49, 20-04-2026</t>
  </si>
  <si>
    <t>12:26, 24-04-2026</t>
  </si>
  <si>
    <t xml:space="preserve">Kim Anh
 17.12 chung cư Petroland, số 2 đường 62, P Bình Trưng, Phường Bình Trưng, Phường Bình Trưng, TP Hồ Chí Minh
 0987596598
 </t>
  </si>
  <si>
    <t>S22693229.BO.DN10-G13.1959839072</t>
  </si>
  <si>
    <t>SAPO128349152_603550</t>
  </si>
  <si>
    <t xml:space="preserve">Phạm Thị Hằng
 Đường Hồ Hán Thương - Vũng Thùng 1, Phường Sơn Trà, Phường Sơn Trà, Đà Nẵng
 0905053315
 </t>
  </si>
  <si>
    <t>S22693229.BO.MN3-01-A18.1038786742</t>
  </si>
  <si>
    <t>SAPO128349141_603550</t>
  </si>
  <si>
    <t>16:44, 24-04-2026</t>
  </si>
  <si>
    <t xml:space="preserve">phuoc huynhvan
 180/5/28 Ba Cu, Phường Vũng Tàu, Phường Vũng Tàu, TP Hồ Chí Minh
 0908879192
 </t>
  </si>
  <si>
    <t>S22693229.BO.MT12-07-D21.1013750207</t>
  </si>
  <si>
    <t>SAPO128349158_603550</t>
  </si>
  <si>
    <t xml:space="preserve">Nguyễn Bình
 51/4/1 Lương Thế Vinh, Phường Nam Nha Trang, Phường Nam Nha Trang, Khánh Hòa
 0976788025
 </t>
  </si>
  <si>
    <t>S22693229.BO.MN6-10-P31.1502735573</t>
  </si>
  <si>
    <t>SAPO128349140_603550</t>
  </si>
  <si>
    <t>16:37, 24-04-2026</t>
  </si>
  <si>
    <t xml:space="preserve">Đặng Điền Trung
 Khu dân cư ấp Gò Gòn, Xã Vĩnh Thạnh, Xã Vĩnh Thạnh, Tây Ninh
 0399673233
 </t>
  </si>
  <si>
    <t>S22693229.MB26-02-D1.1424510181</t>
  </si>
  <si>
    <t>SAPO128349147_603550</t>
  </si>
  <si>
    <t>07:50, 24-04-2026</t>
  </si>
  <si>
    <t xml:space="preserve">Trần thị phượng
 110 hòa đông thạch giám tương dương nghệ an, Xã Tương Dương, Xã Tương Dương, Nghệ An
 0372900256
 </t>
  </si>
  <si>
    <t>S22693229.BO.MN8-07-P35.1060871210</t>
  </si>
  <si>
    <t>SAPO128349151_603550</t>
  </si>
  <si>
    <t xml:space="preserve">Lê Hải Vân
 Ubnd xã An Phước, Xã Giao Long, Xã Giao Long, Vĩnh Long
 0919201082
 </t>
  </si>
  <si>
    <t>S22693229.BO.MT12-04-E23.1839080279</t>
  </si>
  <si>
    <t>SAPO128349159_603550</t>
  </si>
  <si>
    <t>14:58, 27-04-2026</t>
  </si>
  <si>
    <t xml:space="preserve">Trang
 50 An Định, Xã Diên Thọ, Xã Diên Thọ, Khánh Hòa
 0976410723
 </t>
  </si>
  <si>
    <t>S22693229.MB26-16-B12.1860261273</t>
  </si>
  <si>
    <t>SAPO128349134_603550</t>
  </si>
  <si>
    <t>14:12, 25-04-2026</t>
  </si>
  <si>
    <t xml:space="preserve">Cao Hoài
 Xóm Khoa Đà 3 - Hưng Tây, Xã Hưng Nguyên, Xã Hưng Nguyên, Nghệ An
 0972031494
 </t>
  </si>
  <si>
    <t>S22693229.MB10-12-L9.1401821580</t>
  </si>
  <si>
    <t>SAPO128349145_603550</t>
  </si>
  <si>
    <t>14:28, 25-04-2026</t>
  </si>
  <si>
    <t xml:space="preserve">Luulam
 Tổ 16khu4b, Phường Bãi Cháy, Phường Bãi Cháy, Quảng Ninh
 0359002228
 </t>
  </si>
  <si>
    <t>S22693229.MB25-34-T01.1979736178</t>
  </si>
  <si>
    <t>SAPO128349138_603550</t>
  </si>
  <si>
    <t>15:48, 22-04-2026</t>
  </si>
  <si>
    <t xml:space="preserve">Dang Hanh
 10 Tạ Quang Bửu, Phường Hàm Rồng, Phường Hàm Rồng, Thanh Hóa
 0904511803
 </t>
  </si>
  <si>
    <t>S22693229.BO.MT11-01-A12.1312527937</t>
  </si>
  <si>
    <t>SAPO128349146_603550</t>
  </si>
  <si>
    <t>13:42, 25-04-2026</t>
  </si>
  <si>
    <t xml:space="preserve">A hoang
 49 tản đà, Phường Tuy Hòa, Phường Tuy Hòa, Đắk Lắk
 0905790737
 </t>
  </si>
  <si>
    <t>S22693229.BO.MN2-16-P01.1635744800</t>
  </si>
  <si>
    <t>SAPO128349164_603550</t>
  </si>
  <si>
    <t>18:11, 25-04-2026</t>
  </si>
  <si>
    <t xml:space="preserve">Ly
 Đường N1, khu khố 2, Xã Dầu Tiếng, Xã Dầu Tiếng, TP Hồ Chí Minh
 0981157079
 </t>
  </si>
  <si>
    <t>S22693229.MB27-06-F7.1136607613</t>
  </si>
  <si>
    <t>SAPO128349132_603550</t>
  </si>
  <si>
    <t>14:41, 24-04-2026</t>
  </si>
  <si>
    <t xml:space="preserve">Hoang Tran
 Thôn Đông Nam Lý Cẩm Bình Hà Tĩnh, Xã Cẩm Lạc, Xã Cẩm Lạc, Hà Tĩnh
 0972903085
 </t>
  </si>
  <si>
    <t>S22693229.BO.MT17-01-M02.1082975262</t>
  </si>
  <si>
    <t>SAPO128349137_603550</t>
  </si>
  <si>
    <t>17:06, 28-04-2026</t>
  </si>
  <si>
    <t xml:space="preserve">Nguyen Thi Hoa
 232 phan chu trinh, Phường Buôn Ma Thuột, Phường Buôn Ma Thuột, Đắk Lắk
 0914410100
 </t>
  </si>
  <si>
    <t>S22693229.BO.MN2-05-H62.1112903080</t>
  </si>
  <si>
    <t>SAPO128349157_603550</t>
  </si>
  <si>
    <t>23:59, 27-04-2026</t>
  </si>
  <si>
    <t xml:space="preserve">Hải Mai
 15 Nguyễn Trung Trực, Phường Dĩ An, Phường Dĩ An, TP Hồ Chí Minh
 0988599617
 </t>
  </si>
  <si>
    <t>S22693229.BO.MT17-06-G12.1262895961</t>
  </si>
  <si>
    <t>SAPO128349161_603550</t>
  </si>
  <si>
    <t xml:space="preserve">Ngọc Linh
 89 Hùng Vương, xã Quảng Phú, Đắk Lắk, Xã Quảng Phú, Xã Quảng Phú, Đắk Lắk
 0823639739
 </t>
  </si>
  <si>
    <t>S22693229.MB25-09-TC2.1846711292</t>
  </si>
  <si>
    <t>SAPO128349222_603550</t>
  </si>
  <si>
    <t>07:52, 24-04-2026</t>
  </si>
  <si>
    <t xml:space="preserve">Phạm Hà
 Km 39, Xã Quan Sơn, Xã Quan Sơn, Thanh Hóa
 0986894765
 </t>
  </si>
  <si>
    <t>S22693229.BO.MN8-09-A23.1921072689</t>
  </si>
  <si>
    <t>SAPO128349244_603550</t>
  </si>
  <si>
    <t>15:06, 25-04-2026</t>
  </si>
  <si>
    <t xml:space="preserve">Thuỳ
 Ấp 1 Giồng Sầm, Xã Bình Đại, Xã Bình Đại, Vĩnh Long
 0349661403
 </t>
  </si>
  <si>
    <t>S22693229.BO.SGP11-V63.1783416163</t>
  </si>
  <si>
    <t>SAPO128349274_603550</t>
  </si>
  <si>
    <t>13:56, 24-04-2026</t>
  </si>
  <si>
    <t xml:space="preserve">Nguyễn Thị cúc
 25 thach thị thanh, Phường Tân Định, Phường Tân Định, TP Hồ Chí Minh
 0963937374
 </t>
  </si>
  <si>
    <t>S22693229.BO.SGP45-V25.1598761980</t>
  </si>
  <si>
    <t>SAPO128349306_603550</t>
  </si>
  <si>
    <t>13:55, 24-04-2026</t>
  </si>
  <si>
    <t xml:space="preserve">THUY HANG NGUYEN
 Số 127 đường 4, phường Phước Bình, TP Thủ Đức, TPHCM, Phường Phước Long, Phường Phước Long, TP Hồ Chí Minh
 0786623136
 </t>
  </si>
  <si>
    <t>S22693229.BO.SGP37-K28.1929128889</t>
  </si>
  <si>
    <t>SAPO128349352_603550</t>
  </si>
  <si>
    <t>16:48, 24-04-2026</t>
  </si>
  <si>
    <t xml:space="preserve">Đặng Hồng Thuỷ Tiên
 Chung cư Prosper Plaza số 22/14 đường Phan Văn Hớn, Phường Đông Hưng Thuận, Phường Đông Hưng Thuận, TP Hồ Chí Minh
 0933138613
 </t>
  </si>
  <si>
    <t>S22693229.BO.SGP24-V100.1429312694</t>
  </si>
  <si>
    <t>SAPO128349393_603550</t>
  </si>
  <si>
    <t>11:09, 24-04-2026</t>
  </si>
  <si>
    <t xml:space="preserve">lê van
 0888517222, Phường Thủ Đức, Phường Thủ Đức, TP Hồ Chí Minh
 0888517222
 </t>
  </si>
  <si>
    <t>S22693229.MB7-09-F8.1753821754</t>
  </si>
  <si>
    <t>SAPO128349532_603550</t>
  </si>
  <si>
    <t>15:20, 25-04-2026</t>
  </si>
  <si>
    <t xml:space="preserve">Đông hoàng
 Việt Tiến 1 - nhà bà Dậu chị thắm - gần ngã tư đượng, Xã Kiến Hải, Xã Kiến Hải, Hải Phòng
 0832091958
 </t>
  </si>
  <si>
    <t>S22693229.BO.DN9-O7.1402609597</t>
  </si>
  <si>
    <t>SAPO128349558_603550</t>
  </si>
  <si>
    <t>13:29, 24-04-2026</t>
  </si>
  <si>
    <t xml:space="preserve">Khánh Ngọc
 Chung cư A1 Đỗ Ngọc Du , Thanh Khê, Đà Nẵng, Phường Thanh Khê, Phường Thanh Khê, Đà Nẵng
 0932531190
 </t>
  </si>
  <si>
    <t>S22693229.BO.SGP45-V23.1300555344</t>
  </si>
  <si>
    <t>SAPO128349579_603550</t>
  </si>
  <si>
    <t xml:space="preserve">Giang Nguyen Thi Minh
 Chung Cư Ehome Đông Sài Gòn 2, khu phố 56, phường Phước Long, TP.TPHCM, Phường Phước Long, Phường Phước Long, TP Hồ Chí Minh
 0967230206
 </t>
  </si>
  <si>
    <t>S22693229.BO.MN6-14-W35.1532909426</t>
  </si>
  <si>
    <t>SAPO128349594_603550</t>
  </si>
  <si>
    <t>18:55, 24-04-2026</t>
  </si>
  <si>
    <t xml:space="preserve">Lê Thị Bích Trang
 68 dương văn dương khu phố 3 thị trấn tân thạnh, Xã Tân Thạnh, Xã Tân Thạnh, Tây Ninh
 0917347879
 </t>
  </si>
  <si>
    <t>S22693229.BO.MT12-21-X31.1878091381</t>
  </si>
  <si>
    <t>SAPO128349625_603550</t>
  </si>
  <si>
    <t>16:03, 24-04-2026</t>
  </si>
  <si>
    <t xml:space="preserve">Nhật Nam
 38 Phan Chu Trinh, Phường Nha Trang, Phường Nha Trang, Khánh Hòa
 0935182879
 </t>
  </si>
  <si>
    <t>S22693229.BO.MN3-03-C41.1207622971</t>
  </si>
  <si>
    <t>SAPO128349647_603550</t>
  </si>
  <si>
    <t>16:51, 24-04-2026</t>
  </si>
  <si>
    <t xml:space="preserve">Thảo
 Hẻm 515/55 điện biên phủ, Phường Bà Rịa, Phường Bà Rịa, TP Hồ Chí Minh
 0907112462
 </t>
  </si>
  <si>
    <t>S22693229.BO.MN2-29-TN13.1307309430</t>
  </si>
  <si>
    <t>SAPO128349672_603550</t>
  </si>
  <si>
    <t>09:50, 20-04-2026</t>
  </si>
  <si>
    <t>11:57, 24-04-2026</t>
  </si>
  <si>
    <t xml:space="preserve">Kim Sang
 228/5 đường 22 tháng 12, Thuận An, Bình Dương, Phường An Phú, Phường An Phú, TP Hồ Chí Minh
 0934881845
 </t>
  </si>
  <si>
    <t>S22693229.BO.MT14-03-C19.1634163222</t>
  </si>
  <si>
    <t>SAPO128349706_603550</t>
  </si>
  <si>
    <t>15:59, 29-04-2026</t>
  </si>
  <si>
    <t xml:space="preserve">Bạch lệ tú
 Kp1 đường phạm hùng, Xã Đức Linh, Xã Đức Linh, Lâm Đồng
 0903118006
 </t>
  </si>
  <si>
    <t>S22693229.BO.SGP59-P92.1010801646</t>
  </si>
  <si>
    <t>SAPO128349737_603550</t>
  </si>
  <si>
    <t>18:33, 24-04-2026</t>
  </si>
  <si>
    <t xml:space="preserve">Nguyen thị Cúc
 B302 cao ốc an Lạc số 28 Bùi Tư Toàn, Phường An Lạc, Phường An Lạc, TP Hồ Chí Minh
 0942151633
 </t>
  </si>
  <si>
    <t>S22693229.BO.MT4-06-F10.1695281722</t>
  </si>
  <si>
    <t>SAPO128349806_603550</t>
  </si>
  <si>
    <t>13:48, 24-04-2026</t>
  </si>
  <si>
    <t xml:space="preserve">Lê Thị Mỹ Hằng
 Xóm 2 - Trúc Ly - Xã Quảng Ninh - Tỉnh Quảng Trị, Xã Quảng Ninh, Xã Quảng Ninh, Quảng Trị
 0326663337
 </t>
  </si>
  <si>
    <t>S22693229.BO.MN3-01-A71.1905653999</t>
  </si>
  <si>
    <t>SAPO128349848_603550</t>
  </si>
  <si>
    <t xml:space="preserve">Hồ phú kim
 Sảnh A, cc 36 nguyễn thái học, Phường Tam Thắng, Phường Tam Thắng, TP Hồ Chí Minh
 0933486668
 </t>
  </si>
  <si>
    <t>S22693229.BO.MT6-04-B6.1243930490</t>
  </si>
  <si>
    <t>SAPO128349871_603550</t>
  </si>
  <si>
    <t>07:27, 24-04-2026</t>
  </si>
  <si>
    <t xml:space="preserve">Ngô Thị Hương
 Trường THPT Phú Lộc, Xã Phú Lộc, Xã Phú Lộc, Thành phố Huế
 0886564855
 </t>
  </si>
  <si>
    <t>S22693229.BO.MT10-05-E52.1681663076</t>
  </si>
  <si>
    <t>SAPO128349909_603550</t>
  </si>
  <si>
    <t xml:space="preserve">Hồ Xuân Sơn
 800 ql19, Phường An Nhơn Nam, Phường An Nhơn Nam, Gia Lai
 0906660234
 </t>
  </si>
  <si>
    <t>S22693229.BO.MN11-15-B82.1195259758</t>
  </si>
  <si>
    <t>SAPO128349936_603550</t>
  </si>
  <si>
    <t>16:21, 24-04-2026</t>
  </si>
  <si>
    <t xml:space="preserve">ĐỖ PHÚ BÌNH
 394 tổ 14 khu vực thới bình, Phường Thốt Nốt, Phường Thốt Nốt, Cần Thơ
 0962209966
 </t>
  </si>
  <si>
    <t>S22693229.BO.MT17-04-N01.1299480304</t>
  </si>
  <si>
    <t>SAPO128349949_603550</t>
  </si>
  <si>
    <t>16:05, 25-04-2026</t>
  </si>
  <si>
    <t xml:space="preserve">Nguyễn Thị Hạnh
 413 phạm văn đồng phường Tân hoà, Phường Tân Lập, Phường Tân Lập, Đắk Lắk
 0839222000
 </t>
  </si>
  <si>
    <t>S22693229.BO.MN3-05-H22.1105479664</t>
  </si>
  <si>
    <t>SAPO128349975_603550</t>
  </si>
  <si>
    <t xml:space="preserve">Phạm Thành Đô
 Công Ty MERMAID Việt Nam Đường 12, KCN Đông Xuyên, phường Rạch Dừa, Phường Rạch Dừa, Phường Rạch Dừa, TP Hồ Chí Minh
 0372334556
 </t>
  </si>
  <si>
    <t>S22693229.BO.MN1-02-S55.1087859601</t>
  </si>
  <si>
    <t>SAPO128350004_603550</t>
  </si>
  <si>
    <t>18:58, 28-04-2026</t>
  </si>
  <si>
    <t xml:space="preserve">Hào
 160 quang trung, Phường Long Khánh, Phường Long Khánh, Đồng Nai
 0968796838
 </t>
  </si>
  <si>
    <t>S22693229.BO.SGP43-M87.1466002847</t>
  </si>
  <si>
    <t>SAPO128350018_603550</t>
  </si>
  <si>
    <t>14:40, 24-04-2026</t>
  </si>
  <si>
    <t xml:space="preserve">Vân Anh
 Toà nhà Vista Somerset, 628 Võ Nguyên Giáp, Phường An Khánh, Phường An Khánh, TP Hồ Chí Minh
 0983579605
 </t>
  </si>
  <si>
    <t>S22693229.BO.SGP76-S88.1422308716</t>
  </si>
  <si>
    <t>SAPO128350038_603550</t>
  </si>
  <si>
    <t>11:13, 24-04-2026</t>
  </si>
  <si>
    <t xml:space="preserve">Thoa
 1025/20 EA CÁCH MẠNG THÁNG 8, phường 7, quận tân bình, Phường Tân Sơn Nhất, Phường Tân Sơn Nhất, TP Hồ Chí Minh
 0911968222
 </t>
  </si>
  <si>
    <t>S22693229.MB7-15-Y39.1507012827</t>
  </si>
  <si>
    <t>SAPO128350046_603550</t>
  </si>
  <si>
    <t>21:44, 24-04-2026</t>
  </si>
  <si>
    <t xml:space="preserve">Pham Yến
 Trạm điện gần trường học thôn Minh Hồng, Đặc Khu Cát Hải, Đặc Khu Cát Hải, Hải Phòng
 0383807029
 </t>
  </si>
  <si>
    <t>S22693229.MB25-23-Z06.1524792961</t>
  </si>
  <si>
    <t>SAPO128350055_603550</t>
  </si>
  <si>
    <t>23:02, 25-04-2026</t>
  </si>
  <si>
    <t xml:space="preserve">Nguyễn thi huệ
 Thôn 1 _ thịnh trị, Phường Hạc Thành, Phường Hạc Thành, Thanh Hóa
 0856807383
 </t>
  </si>
  <si>
    <t>S22693229.HNP137-S2.1916821073</t>
  </si>
  <si>
    <t>SAPO128350059_603550</t>
  </si>
  <si>
    <t>17:27, 27-04-2026</t>
  </si>
  <si>
    <t xml:space="preserve">Hồ thị thảo
 Thôn 4, canh nậu, thạch thất, Xã Tây Phương, Xã Tây Phương, Hà Nội
 0987198797
 </t>
  </si>
  <si>
    <t>S22693229.BO.MT8-04-D4.1854193021</t>
  </si>
  <si>
    <t>SAPO128350083_603550</t>
  </si>
  <si>
    <t>15:02, 24-04-2026</t>
  </si>
  <si>
    <t xml:space="preserve">Đỗ Thị Mai Xuân
 56 Hùng Vương,xã Đại Lộc, Tp Đà Nẵng, Xã Đại Lộc, Xã Đại Lộc, Đà Nẵng
 0938781206
 </t>
  </si>
  <si>
    <t>S22693229.BO.MN1-08-H61.1472508617</t>
  </si>
  <si>
    <t>SAPO128350100_603550</t>
  </si>
  <si>
    <t>14:04, 25-04-2026</t>
  </si>
  <si>
    <t xml:space="preserve">Nguyễn Thảo
 A100 đường D5 KDC Võ Thị Sáu, Phường Trấn Biên, Phường Trấn Biên, Đồng Nai
 0935086120
 </t>
  </si>
  <si>
    <t>S22693229.BO.SGP27-Q84.1956805714</t>
  </si>
  <si>
    <t>SAPO128350127_603550</t>
  </si>
  <si>
    <t>09:51, 20-04-2026</t>
  </si>
  <si>
    <t>15:30, 27-04-2026</t>
  </si>
  <si>
    <t xml:space="preserve">Nguyễn Nguyệt
 113/39C đường số 11kp4, Phường Linh Xuân, Phường Linh Xuân, TP Hồ Chí Minh
 0937616998
 </t>
  </si>
  <si>
    <t>S22693229.BO.MN1-18-G53.1573200544</t>
  </si>
  <si>
    <t>SAPO128350192_603550</t>
  </si>
  <si>
    <t xml:space="preserve">Vũ thụy linh
 29a/30 khu phố 5 gần giáo xứ lộc lâm, Phường Long Bình, Phường Long Bình, Đồng Nai
 0797418839
 </t>
  </si>
  <si>
    <t>S22693229.MB21-02-B2.1816347618</t>
  </si>
  <si>
    <t>SAPO128350198_603550</t>
  </si>
  <si>
    <t>20:32, 24-04-2026</t>
  </si>
  <si>
    <t xml:space="preserve">Sa Thị Thu Hà
 Tông co 2_Tân An_Nghĩa Lộ_ Yên Bái, Phường Nghĩa Lộ, Phường Nghĩa Lộ, Lào Cai
 0359625837
 </t>
  </si>
  <si>
    <t>S22693229.BO.MT12-07-D89.1647916563</t>
  </si>
  <si>
    <t>SAPO128350212_603550</t>
  </si>
  <si>
    <t>17:37, 24-04-2026</t>
  </si>
  <si>
    <t xml:space="preserve">Nguyễn Thị Hải
 Hẻm 577 đường 23/10, Phường Tây Nha Trang, Phường Tây Nha Trang, Khánh Hòa
 0901131774
 </t>
  </si>
  <si>
    <t>S22693229.BO.MN2-29-TC54.1867651977</t>
  </si>
  <si>
    <t>SAPO128350231_603550</t>
  </si>
  <si>
    <t>13:21, 29-04-2026</t>
  </si>
  <si>
    <t xml:space="preserve">Phạm thanh trường
 30/3 đại lộ bình dương, Phường Thuận Giao, Phường Thuận Giao, TP Hồ Chí Minh
 0385177570
 </t>
  </si>
  <si>
    <t>S22693229.MB27-09-I11.1450412485</t>
  </si>
  <si>
    <t>SAPO128350281_603550</t>
  </si>
  <si>
    <t>19:21, 28-04-2026</t>
  </si>
  <si>
    <t xml:space="preserve">Bùi thanh hoa
 18 ngô đức kế, Phường Bắc Hồng Lĩnh, Phường Bắc Hồng Lĩnh, Hà Tĩnh
 0943699777
 </t>
  </si>
  <si>
    <t>S22693229.MB3-16-W6.1487041836</t>
  </si>
  <si>
    <t>SAPO128350334_603550</t>
  </si>
  <si>
    <t>17:48, 25-04-2026</t>
  </si>
  <si>
    <t xml:space="preserve">Hoài
 Công ty Hưng Thịnh, thôn Việt Cường, Xã Cổ Lễ, Xã Cổ Lễ, Ninh Bình
 0986625228
 </t>
  </si>
  <si>
    <t>S22693229.HNP142-O17.1894369121</t>
  </si>
  <si>
    <t>SAPO128350371_603550</t>
  </si>
  <si>
    <t>13:25, 24-04-2026</t>
  </si>
  <si>
    <t xml:space="preserve">C Nghiêm
 Ngõ 2 xóm 4, Xã Nam Phù, Xã Nam Phù, Hà Nội
 0903407138
 </t>
  </si>
  <si>
    <t>S22693229.MB4-04-D5.1567794195</t>
  </si>
  <si>
    <t>SAPO128350443_603550</t>
  </si>
  <si>
    <t>17:47, 24-04-2026</t>
  </si>
  <si>
    <t xml:space="preserve">Bùi Thị Huệ
 Thôn Lương Phú xã Tiền Hải, Xã Tiền Hải, Xã Tiền Hải, Hưng Yên
 0932924627
 </t>
  </si>
  <si>
    <t>S22693229.BO.MT19-08-K43.1494138529</t>
  </si>
  <si>
    <t>SAPO128350467_603550</t>
  </si>
  <si>
    <t>20:02, 25-04-2026</t>
  </si>
  <si>
    <t xml:space="preserve">Minh Phương
 Thôn 3,, Xã Đơn Dương, Xã Đơn Dương, Lâm Đồng
 0982034576
 </t>
  </si>
  <si>
    <t>S22693229.HNP142-O18.1170274404</t>
  </si>
  <si>
    <t>SAPO128352288_603550</t>
  </si>
  <si>
    <t>09:56, 20-04-2026</t>
  </si>
  <si>
    <t>15:09, 23-04-2026</t>
  </si>
  <si>
    <t xml:space="preserve">Bang Dương
 Kho 708 liên ninh thanh trì hà nội, Xã Ngọc Hồi, Xã Ngọc Hồi, Hà Nội
 0972069745
 </t>
  </si>
  <si>
    <t>S22693229.BO.MN8-13-I11.1468769380</t>
  </si>
  <si>
    <t>SAPO128352291_603550</t>
  </si>
  <si>
    <t>13:51, 24-04-2026</t>
  </si>
  <si>
    <t xml:space="preserve">Võ Thị  Nhị Kiều
 117/12B khu phó 2 Thị trấn  chợ  lách  ben tre, Xã Chợ Lách, Xã Chợ Lách, Vĩnh Long
 0907090976
 </t>
  </si>
  <si>
    <t>S22693229.MB8-04-D6.1986114232</t>
  </si>
  <si>
    <t>SAPO128352313_603550</t>
  </si>
  <si>
    <t>20:51, 24-04-2026</t>
  </si>
  <si>
    <t xml:space="preserve">nguyễn thị dung
 khu tiền trong, Phường Hạp Lĩnh, Phường Hạp Lĩnh, Bắc Ninh
 0373523234
 </t>
  </si>
  <si>
    <t>S22693229.BO.SGP89-I12.1138620344</t>
  </si>
  <si>
    <t>SAPO128352295_603550</t>
  </si>
  <si>
    <t>12:42, 24-04-2026</t>
  </si>
  <si>
    <t xml:space="preserve">Tùng Thuy
 25 phạm ngọc thạch, Phường Xuân Hòa, Phường Xuân Hòa, TP Hồ Chí Minh
 0909163819
 </t>
  </si>
  <si>
    <t>S22693229.BO.MN15-06-K72.1736963511</t>
  </si>
  <si>
    <t>SAPO128352324_603550</t>
  </si>
  <si>
    <t xml:space="preserve">Kiều Nguyễn Thanh
 Trạm y tế xã long thạnh, ấp trường khánh 1, long thạnh, phụng hiệp, hậu giang, Xã Thạnh Hòa, Xã Thạnh Hòa, Cần Thơ
 0949573794
 </t>
  </si>
  <si>
    <t>S22693229.MB25-16-H16.1743783340</t>
  </si>
  <si>
    <t>SAPO128352301_603550</t>
  </si>
  <si>
    <t>19:25, 24-04-2026</t>
  </si>
  <si>
    <t xml:space="preserve">Ngô Nga
 Lô 59- CL10, mặt bằng hồ sen, quảng thành, thanh hoá, Phường Quảng Phú, Phường Quảng Phú, Thanh Hóa
 0981241555
 </t>
  </si>
  <si>
    <t>S22693229.BO.MT9-05-E1.1021872881</t>
  </si>
  <si>
    <t>SAPO128352328_603550</t>
  </si>
  <si>
    <t>18:04, 24-04-2026</t>
  </si>
  <si>
    <t xml:space="preserve">Trần Ngọc Tiến
 Thôn Nước Rạc, Xã Sơn Hà, Xã Sơn Hà, Quảng Ngãi
 0357935079
 </t>
  </si>
  <si>
    <t>S22693229.BO.MT9-01-A22.1407628571</t>
  </si>
  <si>
    <t>SAPO128352314_603550</t>
  </si>
  <si>
    <t>14:52, 24-04-2026</t>
  </si>
  <si>
    <t xml:space="preserve">Phượng Nguyễn
 63/13 Trần Hưng Đạo, Phường Cẩm Thành, Phường Cẩm Thành, Quảng Ngãi
 0905711011
 </t>
  </si>
  <si>
    <t>S22693229.BO.MT17-05-E21.1797549909</t>
  </si>
  <si>
    <t>SAPO128352306_603550</t>
  </si>
  <si>
    <t>18:26, 24-04-2026</t>
  </si>
  <si>
    <t xml:space="preserve">Loan
 Xã liên sơn lăk.tinh daklak, Xã Liên Sơn Lắk, Xã Liên Sơn Lắk, Đắk Lắk
 0914250479
 </t>
  </si>
  <si>
    <t>S22693229.BO.MT14-03-C19.1346509508</t>
  </si>
  <si>
    <t>SAPO128352317_603550</t>
  </si>
  <si>
    <t>16:18, 24-04-2026</t>
  </si>
  <si>
    <t xml:space="preserve">Đoàn thị kim anh
 Thôn võ xu 1, xã Đức linh, tỉnh lâm đồng ( d/c mới), Xã Đức Linh, Xã Đức Linh, Lâm Đồng
 0946422501
 </t>
  </si>
  <si>
    <t>S22693229.BO.SG14-04-E5.1170610054</t>
  </si>
  <si>
    <t>SAPO128352294_603550</t>
  </si>
  <si>
    <t>16:49, 25-04-2026</t>
  </si>
  <si>
    <t xml:space="preserve">Vân
 100/3b miễu ba, cần thạnh, cần giờ tphcm, Xã Cần Giờ, Xã Cần Giờ, TP Hồ Chí Minh
 0909374566
 </t>
  </si>
  <si>
    <t>S22693229.BO.MN3-05-H214.1800434551</t>
  </si>
  <si>
    <t>SAPO128352318_603550</t>
  </si>
  <si>
    <t>14:16, 28-04-2026</t>
  </si>
  <si>
    <t xml:space="preserve">Nguyễn Thị Thương
 780/8/61a, Phường Rạch Dừa, Phường Rạch Dừa, TP Hồ Chí Minh
 0915768456
 </t>
  </si>
  <si>
    <t>S22693229.BO.SGP43-M52.1429068850</t>
  </si>
  <si>
    <t>SAPO128352292_603550</t>
  </si>
  <si>
    <t>19:07, 25-04-2026</t>
  </si>
  <si>
    <t xml:space="preserve">Trương Nga
 Chung cư Feliz en Vista, số 1 Phan Văn Đáng, Tháp B, Phường Cát Lái, Phường Cát Lái, TP Hồ Chí Minh
 0906238472
 </t>
  </si>
  <si>
    <t>S22693229.MB15-01-A20.1060307047</t>
  </si>
  <si>
    <t>SAPO128352303_603550</t>
  </si>
  <si>
    <t>08:43, 22-04-2026</t>
  </si>
  <si>
    <t xml:space="preserve">Nguyễn Thị Minh Nguyệt
 Số nhà 20, đường Trần Quang Khải, Phường Hòa Bình, Phường Hòa Bình, Phú Thọ
 0911508358
 </t>
  </si>
  <si>
    <t>S22693229.BO.SGP39-Q21.1682608453</t>
  </si>
  <si>
    <t>SAPO128352326_603550</t>
  </si>
  <si>
    <t>16:30, 24-04-2026</t>
  </si>
  <si>
    <t xml:space="preserve">Ngọc Dung
 27-29 Phó Đức Chính P. Bến Thành TPHCM, Phường Bến Thành, Phường Bến Thành, TP Hồ Chí Minh
 0902573287
 </t>
  </si>
  <si>
    <t>S22693229.BO.MN14-01-A68.1563766172</t>
  </si>
  <si>
    <t>SAPO128352320_603550</t>
  </si>
  <si>
    <t>15:04, 25-04-2026</t>
  </si>
  <si>
    <t xml:space="preserve">Giàu Nguyễn
 76 Sư Vạn Hạnh, Phường Rạch Giá, Phường Rạch Giá, An Giang
 0907505140
 </t>
  </si>
  <si>
    <t>S22693229.BO.MT10-07-H52.1747944666</t>
  </si>
  <si>
    <t>SAPO128352331_603550</t>
  </si>
  <si>
    <t>19:31, 24-04-2026</t>
  </si>
  <si>
    <t xml:space="preserve">Ngô Thị Thanh Huyền
 Trung Tín 1 thị trấn Tuy Phước Tuy Phước Bình Định, Xã Tuy Phước, Xã Tuy Phước, Gia Lai
 0328573180
 </t>
  </si>
  <si>
    <t>S22693229.BO.MN2-05-H61.1256158656</t>
  </si>
  <si>
    <t>SAPO128352296_603550</t>
  </si>
  <si>
    <t xml:space="preserve">Tuyet
 46 nguyễn an ninh, Phường Dĩ An, Phường Dĩ An, TP Hồ Chí Minh
 0932418246
 </t>
  </si>
  <si>
    <t>S22693229.MB7-40-D28.1844772990</t>
  </si>
  <si>
    <t>SAPO128352300_603550</t>
  </si>
  <si>
    <t>19:44, 28-04-2026</t>
  </si>
  <si>
    <t xml:space="preserve">kim dung pham
 thành phố Hải Phòng, Phường An Dương, Phường An Dương, Hải Phòng
 0983270185
 </t>
  </si>
  <si>
    <t>S22693229.BO.MN18-01-A13.1617889275</t>
  </si>
  <si>
    <t>SAPO128352305_603550</t>
  </si>
  <si>
    <t>18:16, 25-04-2026</t>
  </si>
  <si>
    <t xml:space="preserve">Nguyễn Thị Hồng Khánh
 N8 4 khu nhà ở công vụ khí điện đạm p1, tp cà mau, Phường An Xuyên, Phường An Xuyên, Cà Mau
 0352726062
 </t>
  </si>
  <si>
    <t>S22693229.BO.MT10-07-H06.1666682489</t>
  </si>
  <si>
    <t>SAPO128352308_603550</t>
  </si>
  <si>
    <t>20:32, 27-04-2026</t>
  </si>
  <si>
    <t xml:space="preserve">Trần Thị Nhi
 242, Âu Cơ, Phường Quy Nhơn Tây, Phường Quy Nhơn Tây, Gia Lai
 0962534747
 </t>
  </si>
  <si>
    <t>S22693229.BO.SGP43-M90.1505488757</t>
  </si>
  <si>
    <t>SAPO128352334_603550</t>
  </si>
  <si>
    <t xml:space="preserve">Đào Phạm
 81 Dương Văn An, Phường An Khánh, Phường An Khánh, TP Hồ Chí Minh
 0708351256
 </t>
  </si>
  <si>
    <t>S22693229.BO.MT19-01-T08.1411268180</t>
  </si>
  <si>
    <t>SAPO128352333_603550</t>
  </si>
  <si>
    <t xml:space="preserve">ĐINH QUANG DƯƠNG
 100/1 Lý Tự Trọng, Phường Xuân Hương - Đà Lạt, Phường Xuân Hương - Đà Lạt, Lâm Đồng
 0913173390
 </t>
  </si>
  <si>
    <t>S22693229.BO.MT19-15-N31.1267764231</t>
  </si>
  <si>
    <t>SAPO128352302_603550</t>
  </si>
  <si>
    <t>18:51, 25-04-2026</t>
  </si>
  <si>
    <t xml:space="preserve">Hương Nấm
 25/15 Fi Nôm Thôn Định An, Xã Hiệp Thạnh, Xã Hiệp Thạnh, Lâm Đồng, Xã Hiệp Thạnh, Xã Hiệp Thạnh, Lâm Đồng
 0919517576
 </t>
  </si>
  <si>
    <t>S22693229.BO.MN2-09-X51.1480935628</t>
  </si>
  <si>
    <t>SAPO128352304_603550</t>
  </si>
  <si>
    <t>12:47, 25-04-2026</t>
  </si>
  <si>
    <t xml:space="preserve">Nguyễn Thị Mỹ Lộc
 Lô P15 đường N1 KCN Nam Tân Uyên mở rộng, Phường Tân Uyên, Phường Tân Uyên, TP Hồ Chí Minh
 0908002872
 </t>
  </si>
  <si>
    <t>S22693229.BO.DN17-I9.1090936242</t>
  </si>
  <si>
    <t>SAPO128352347_603550</t>
  </si>
  <si>
    <t>14:59, 24-04-2026</t>
  </si>
  <si>
    <t xml:space="preserve">Hoàng Trần Tú Phương
 107/2/1 Hoàng Thúc Trâm, Phường Hòa Cường, Phường Hòa Cường, Đà Nẵng
 0916009890
 </t>
  </si>
  <si>
    <t>S22693229.BO.SGP02-N13.1199934031</t>
  </si>
  <si>
    <t>SAPO128352373_603550</t>
  </si>
  <si>
    <t>16:53, 22-04-2026</t>
  </si>
  <si>
    <t xml:space="preserve">nguyen thi kieu lam
 164/25 nguyễn oanh, phương 17, go vap, hcm, Phường Gò Vấp, Phường Gò Vấp, TP Hồ Chí Minh
 0938209848
 </t>
  </si>
  <si>
    <t>S22693229.HNP55-D6.1906442681</t>
  </si>
  <si>
    <t>SAPO128352413_603550</t>
  </si>
  <si>
    <t>22:58, 24-04-2026</t>
  </si>
  <si>
    <t xml:space="preserve">Quỳnh Nguyễn
 Nhà 8D hẻm 1 nghách 22/81 đường Đông Ngạc, Phường Đông Ngạc, Phường Đông Ngạc, Hà Nội
 0378993120
 </t>
  </si>
  <si>
    <t>S22693229.BO.SGP11-V40.1051439288</t>
  </si>
  <si>
    <t>SAPO128352459_603550</t>
  </si>
  <si>
    <t>12:30, 24-04-2026</t>
  </si>
  <si>
    <t xml:space="preserve">HUỲNH THANH NHÃ
 Sky Gate, 36-38 Nguyễn Văn Trỗi, phường Cầu Kiệu, Phường Cầu Kiệu, Phường Cầu Kiệu, TP Hồ Chí Minh
 0862496877
 </t>
  </si>
  <si>
    <t>S22693229.MB25-15-G7.1795117361</t>
  </si>
  <si>
    <t>SAPO128352486_603550</t>
  </si>
  <si>
    <t>19:03, 29-04-2026</t>
  </si>
  <si>
    <t xml:space="preserve">hà thị hiền
 75 triệu quốc đạt, Xã Triệu Sơn, Xã Triệu Sơn, Thanh Hóa
 0985191959
 </t>
  </si>
  <si>
    <t>S22693229.BO.MN3-02-T52.1907757621</t>
  </si>
  <si>
    <t>SAPO128352521_603550</t>
  </si>
  <si>
    <t>20:14, 27-04-2026</t>
  </si>
  <si>
    <t xml:space="preserve">huyền
 cầm đồ minh quang chợ trảng cát, Phường Tân Thành, Phường Tân Thành, TP Hồ Chí Minh
 0934073007
 </t>
  </si>
  <si>
    <t>S22693229.BO.MT14-17-E72.1475099799</t>
  </si>
  <si>
    <t>SAPO128352556_603550</t>
  </si>
  <si>
    <t>19:05, 28-04-2026</t>
  </si>
  <si>
    <t xml:space="preserve">Thanh Trà
 204 Thống Nhất, Phường La Gi, Phường La Gi, Lâm Đồng
 0909326174
 </t>
  </si>
  <si>
    <t>S22693229.MB9-05-D18.1232769396</t>
  </si>
  <si>
    <t>SAPO128352656_603550</t>
  </si>
  <si>
    <t>07:56, 22-04-2026</t>
  </si>
  <si>
    <t xml:space="preserve">Phương Linh Nguyễn
 72, Phường Đa Mai, Phường Đa Mai, Bắc Ninh
 0327878186
 </t>
  </si>
  <si>
    <t>S22693229.BO.SGP69-W86.1099266673</t>
  </si>
  <si>
    <t>SAPO128352754_603550</t>
  </si>
  <si>
    <t>10:54, 24-04-2026</t>
  </si>
  <si>
    <t xml:space="preserve">Ngân
 Căn hộ Diamond Alnata, Toà A1, Sảnh Dân Cư, Celadon City, Q. Tân Phú, Phường Tân Sơn Nhì, Phường Tân Sơn Nhì, TP Hồ Chí Minh
 0908983683
 </t>
  </si>
  <si>
    <t>S22693229.BO.MN2-03-X96.1330635978</t>
  </si>
  <si>
    <t>SAPO128352767_603550</t>
  </si>
  <si>
    <t>14:03, 24-04-2026</t>
  </si>
  <si>
    <t xml:space="preserve">Thaihongduong
 99e/2 an thạnh15-, Phường Thuận An, Phường Thuận An, TP Hồ Chí Minh
 0919674674
 </t>
  </si>
  <si>
    <t>S22693229.BO.SGP11-V64.1966911060</t>
  </si>
  <si>
    <t>SAPO128352900_603550</t>
  </si>
  <si>
    <t>11:55, 24-04-2026</t>
  </si>
  <si>
    <t xml:space="preserve">Minh Huệ Phạm
 04 Nguyễn Đình Chiểu, Phường Sài Gòn, Phường Sài Gòn, TP Hồ Chí Minh
 0949453768
 </t>
  </si>
  <si>
    <t>S22693229.MB10-24-N9.1881741907</t>
  </si>
  <si>
    <t>SAPO128352946_603550</t>
  </si>
  <si>
    <t>09:57, 20-04-2026</t>
  </si>
  <si>
    <t>21:03, 29-04-2026</t>
  </si>
  <si>
    <t xml:space="preserve">Nhung
 Trường mầm non hoa lam t3k6c phường hồng hải- Quảng Ninh, Phường Hạ Long, Phường Hạ Long, Quảng Ninh
 0964782588
 </t>
  </si>
  <si>
    <t>S22693229.BO.DN9-O21.1795467528</t>
  </si>
  <si>
    <t>SAPO128352974_603550</t>
  </si>
  <si>
    <t>13:39, 24-04-2026</t>
  </si>
  <si>
    <t xml:space="preserve">Lê Na
 81 Huỳnh Ngọc Huệ, Phường Thanh Khê, Phường Thanh Khê, Đà Nẵng
 0906000868
 </t>
  </si>
  <si>
    <t>S22693229.BO.MT13-03-G52.1487142530</t>
  </si>
  <si>
    <t>SAPO128353048_603550</t>
  </si>
  <si>
    <t>18:18, 24-04-2026</t>
  </si>
  <si>
    <t xml:space="preserve">Thảo
 Nguyễn Văn cừ bvdk ninh thuan phan rang Ninh Thuận, Phường Ninh Chử, Phường Ninh Chử, Khánh Hòa
 0359989209
 </t>
  </si>
  <si>
    <t>S22693229.BO.DN9-O11.1115400980</t>
  </si>
  <si>
    <t>SAPO128353073_603550</t>
  </si>
  <si>
    <t>18:00, 24-04-2026</t>
  </si>
  <si>
    <t xml:space="preserve">Phạm Thị Xuân Linh
 06 hồ quý ly, Phường Thanh Khê, Phường Thanh Khê, Đà Nẵng
 0904947026
 </t>
  </si>
  <si>
    <t>S22693229.MB19-08-A10.1782723214</t>
  </si>
  <si>
    <t>SAPO128353174_603550</t>
  </si>
  <si>
    <t>23:24, 25-04-2026</t>
  </si>
  <si>
    <t xml:space="preserve">Cuong Manh
 Phuờng tích luơng thành phố thái nguyên, Phường Tích Lương, Phường Tích Lương, Thái Nguyên
 0977644404
 </t>
  </si>
  <si>
    <t>S22693229.BO.DN10-G12.1754004643</t>
  </si>
  <si>
    <t>SAPO128353243_603550</t>
  </si>
  <si>
    <t>12:51, 24-04-2026</t>
  </si>
  <si>
    <t xml:space="preserve">Huỳnh Hữu AN
 76 Đỗ Anh Hàn, phường Sơn Trà, Phường An Hải, Phường An Hải, Đà Nẵng
 0346287550
 </t>
  </si>
  <si>
    <t>S22693229.BO.MT14-06-D11.1163032272</t>
  </si>
  <si>
    <t>SAPO128353265_603550</t>
  </si>
  <si>
    <t>14:26, 24-04-2026</t>
  </si>
  <si>
    <t xml:space="preserve">Mai Thị Ngọc Diệp
 109 Trần Quốc Toản, Xã Phan Rí Cửa, Xã Phan Rí Cửa, Lâm Đồng
 0374569312
 </t>
  </si>
  <si>
    <t>S22693229.BO.MN14-01-A66.1169310812</t>
  </si>
  <si>
    <t>SAPO128353383_603550</t>
  </si>
  <si>
    <t>16:14, 24-04-2026</t>
  </si>
  <si>
    <t xml:space="preserve">Bảo Trân
 66 trần khánh dư, Phường Rạch Giá, Phường Rạch Giá, An Giang
 0852331991
 </t>
  </si>
  <si>
    <t>S22693229.BO.MT6-12-M65.1384595756</t>
  </si>
  <si>
    <t>SAPO128353424_603550</t>
  </si>
  <si>
    <t>15:47, 24-04-2026</t>
  </si>
  <si>
    <t xml:space="preserve">Vu thi hue
 62 chu văn an, Phường Thuận Hóa, Phường Thuận Hóa, Thành phố Huế
 0915144399
 </t>
  </si>
  <si>
    <t>S22693229.BO.SG14-06-C3.1453818339</t>
  </si>
  <si>
    <t>SAPO128353459_603550</t>
  </si>
  <si>
    <t>15:39, 29-04-2026</t>
  </si>
  <si>
    <t xml:space="preserve">Hung
 18a nguyễn hữu thọ ( căn 29), Xã Nhà Bè, Xã Nhà Bè, TP Hồ Chí Minh
 0903355935
 </t>
  </si>
  <si>
    <t>S22693229.BO.SGP01-M21.1136265853</t>
  </si>
  <si>
    <t>SAPO128353497_603550</t>
  </si>
  <si>
    <t>17:58, 27-04-2026</t>
  </si>
  <si>
    <t xml:space="preserve">Dung Nguyen
 862/158 Đường Lê Đức Thọ, Phường An Hội Đông, Phường An Hội Đông, TP Hồ Chí Minh, Phường An Hội Đông, Phường An Hội Đông, TP Hồ Chí Minh
 0914393374
 </t>
  </si>
  <si>
    <t>S22693229.BO.SGP11-V60.1925030696</t>
  </si>
  <si>
    <t>SAPO128353534_603550</t>
  </si>
  <si>
    <t>13:40, 24-04-2026</t>
  </si>
  <si>
    <t xml:space="preserve">Trúc
 96 đào duy anh, Phường Đức Nhuận, Phường Đức Nhuận, TP Hồ Chí Minh
 0989392297
 </t>
  </si>
  <si>
    <t>S22693229.BO.MT19-15-N31.1592266584</t>
  </si>
  <si>
    <t>SAPO128353587_603550</t>
  </si>
  <si>
    <t xml:space="preserve">Nguyễn Thanh Châu
 Ngã 3 sân golf, quốc lộ 20 Thôn Định An, Xã Hiệp Thạnh, Xã Hiệp Thạnh, Lâm Đồng, Xã Hiệp Thạnh, Xã Hiệp Thạnh, Lâm Đồng
 0911953779
 </t>
  </si>
  <si>
    <t>S22693229.MB11-11-L2.1806502781</t>
  </si>
  <si>
    <t>SAPO128353645_603550</t>
  </si>
  <si>
    <t>17:26, 27-04-2026</t>
  </si>
  <si>
    <t xml:space="preserve">Dương Hải Yến
 Thôn đồi.xã bồ sao, Xã Vĩnh Thành, Xã Vĩnh Thành, Phú Thọ
 0986636420
 </t>
  </si>
  <si>
    <t>S22693229.HNP17-H10.1782006976</t>
  </si>
  <si>
    <t>SAPO128353706_603550</t>
  </si>
  <si>
    <t>09:58, 20-04-2026</t>
  </si>
  <si>
    <t>18:39, 24-04-2026</t>
  </si>
  <si>
    <t xml:space="preserve">Tôn
 182 phố triều khúc, Phường Thanh Liệt, Phường Thanh Liệt, Hà Nội
 0963595369
 </t>
  </si>
  <si>
    <t>S22693229.BO.SGP13-H11.1899050395</t>
  </si>
  <si>
    <t>SAPO128353749_603550</t>
  </si>
  <si>
    <t>17:07, 25-04-2026</t>
  </si>
  <si>
    <t xml:space="preserve">Nguyễn Thế Tùng
 L2-03.11, vinhomes central Park, 208 Nguyễn hữu cảnh, Phường Thạnh Mỹ Tây, Phường Thạnh Mỹ Tây, TP Hồ Chí Minh
 0962194545
 </t>
  </si>
  <si>
    <t>S22693229.BO.DN16-H2.1814890428</t>
  </si>
  <si>
    <t>SAPO128357252_603550</t>
  </si>
  <si>
    <t>10:03, 20-04-2026</t>
  </si>
  <si>
    <t>18:43, 25-04-2026</t>
  </si>
  <si>
    <t xml:space="preserve">Hiền
 02 đỗ năng tế, Phường Liên Chiểu, Phường Liên Chiểu, Đà Nẵng
 0983554253
 </t>
  </si>
  <si>
    <t>S22693229.BO.MT12-21-X58.1725865988</t>
  </si>
  <si>
    <t>SAPO128357254_603550</t>
  </si>
  <si>
    <t>17:10, 24-04-2026</t>
  </si>
  <si>
    <t xml:space="preserve">Nguyễn Thanh Tùng
 93/3/3 Nguyễn Chích, Phường Bắc Nha Trang, Phường Bắc Nha Trang, Khánh Hòa
 0905490333
 </t>
  </si>
  <si>
    <t>S22693229.BO.SG14-06-C10.1884391231</t>
  </si>
  <si>
    <t>SAPO128357248_603550</t>
  </si>
  <si>
    <t>16:37, 27-04-2026</t>
  </si>
  <si>
    <t xml:space="preserve">Lê Thị Hoài Thanh
 90/83 Dương Cát Lợi, xã Nhà Bè, Thành phố Hồ Chí Minh, Xã Nhà Bè, Xã Nhà Bè, TP Hồ Chí Minh
 0912462578
 </t>
  </si>
  <si>
    <t>S22693229.BO.MN1-09-TS75.1743188813</t>
  </si>
  <si>
    <t>SAPO128357255_603550</t>
  </si>
  <si>
    <t xml:space="preserve">Huy Nguyen Quoc
 1241/58/15 Tổ 120 KP 27 Nguyễn Ái Quốc,, Phường Tam Hiệp, Phường Tam Hiệp, Đồng Nai
 0918507323
 </t>
  </si>
  <si>
    <t>S22693229.BO.SGP13-H05.1640569616</t>
  </si>
  <si>
    <t>SAPO128357247_603550</t>
  </si>
  <si>
    <t>13:45, 24-04-2026</t>
  </si>
  <si>
    <t xml:space="preserve">Phạm thị kim phương
 Landmark 1 208 nguyễn hữu canhr, Phường Thạnh Mỹ Tây, Phường Thạnh Mỹ Tây, TP Hồ Chí Minh
 0971588688
 </t>
  </si>
  <si>
    <t>S22693229.BO.MN2-32-F11.1057054114</t>
  </si>
  <si>
    <t>SAPO128357251_603550</t>
  </si>
  <si>
    <t>19:30, 24-04-2026</t>
  </si>
  <si>
    <t xml:space="preserve">Nhung
 Đường Thới Hòa 24,phường Thới Hòa, Phường Thới Hòa, Phường Thới Hòa, TP Hồ Chí Minh
 0334937649
 </t>
  </si>
  <si>
    <t>S22693229.BO.MN1-02-S52.1735101031</t>
  </si>
  <si>
    <t>SAPO128357253_603550</t>
  </si>
  <si>
    <t>18:46, 28-04-2026</t>
  </si>
  <si>
    <t xml:space="preserve">Nguyễn văn hùng
 Đường Lê Hồng Phong, Phường Long Khánh, Phường Long Khánh, Đồng Nai
 0977788788
 </t>
  </si>
  <si>
    <t>S22693229.MB7-15-Y3.1179618579</t>
  </si>
  <si>
    <t>SAPO128357374_603550</t>
  </si>
  <si>
    <t>10:04, 20-04-2026</t>
  </si>
  <si>
    <t>17:16, 27-04-2026</t>
  </si>
  <si>
    <t xml:space="preserve">Trần Vân
 Tháp A tòa HH3, Phường Ngô Quyền, Phường Ngô Quyền, Hải Phòng
 0838833566
 </t>
  </si>
  <si>
    <t>S22693229.BO.MT9-04-M1.1921006060</t>
  </si>
  <si>
    <t>583503660830328282</t>
  </si>
  <si>
    <t>10:16, 20-04-2026</t>
  </si>
  <si>
    <t>15:51, 24-04-2026</t>
  </si>
  <si>
    <t xml:space="preserve">Viên Hồ
 Sa Huỳnh, Quốc lộ 1A, Phổ Thạnh, Đức Phổ 
Phổ Thạnh,Đức Phổ,Quảng Ngãi,Việt Nam, Phường Sa Huỳnh, Phường Sa Huỳnh, Quảng Ngãi
 0386222317
 </t>
  </si>
  <si>
    <t>S22693229.BO.MN5-13-A12.1235054696</t>
  </si>
  <si>
    <t>583504659858884154</t>
  </si>
  <si>
    <t>18:29, 24-04-2026</t>
  </si>
  <si>
    <t xml:space="preserve">quỳnh tiên
 thôn tân phước(cổng cây xương rồng đối diện nhà trọ nguyễn minh) 
Xã Phú Riềng,Xã Phú Riềng,Đồng Nai,Việt Nam, Xã Phú Riềng, Xã Phú Riềng, Đồng Nai
 0868353039
 </t>
  </si>
  <si>
    <t>S22693229.BO.SGP27-Q86.1271625394</t>
  </si>
  <si>
    <t>583513282828928933</t>
  </si>
  <si>
    <t>12:48, 24-04-2026</t>
  </si>
  <si>
    <t xml:space="preserve">Long Thiên
 76/3 Đường Số 7 
Phường Linh Xuân,Phường Linh Xuân,Hồ Chí Minh,Việt Nam, Phường Linh Xuân, Phường Linh Xuân, TP Hồ Chí Minh
 0978658935
 </t>
  </si>
  <si>
    <t>S22693229.BO.MN1-04-Q5.1870681235</t>
  </si>
  <si>
    <t>583496522780149032</t>
  </si>
  <si>
    <t>14:35, 29-04-2026</t>
  </si>
  <si>
    <t xml:space="preserve">thuyduy0608
 Công đoàn CTY Pousung, Quốc lộ 1, 
Đồi 61,Trảng Bom,Đồng Nai,Việt Nam, Xã Trảng Bom, Xã Trảng Bom, Đồng Nai
 0862600608
 </t>
  </si>
  <si>
    <t>S22693229.BO.MN2-32-F31.1772692121</t>
  </si>
  <si>
    <t>583560363503420677</t>
  </si>
  <si>
    <t>19:37, 24-04-2026</t>
  </si>
  <si>
    <t xml:space="preserve">Khách đổi
 -"21, khu phố An Hòa, Hòa Lợi, Hồ Chí Minh", Phường Hòa Lợi, TP Hồ Chí Minh
 0974789426
 </t>
  </si>
  <si>
    <t>S22693229.BO.MT17-26-L05.1455169940</t>
  </si>
  <si>
    <t>bù hàng đơn 2603156QW976NY</t>
  </si>
  <si>
    <t>10:41, 20-04-2026</t>
  </si>
  <si>
    <t>19:04, 24-04-2026</t>
  </si>
  <si>
    <t xml:space="preserve">Khách
 Nhà Hàng King Place 3 (cũ), cạnh đi thẳng có đường đá rẽ trái nhà số 2 cổng 4 cánh màu đen., Phường Thiện An, Thị Xã Buôn Hồ, Đắk Lắk, Phường Buôn Hồ, Phường Buôn Hồ, Đắk Lắk
 0943248242
 </t>
  </si>
  <si>
    <t>S22693229.BO.MN3-03-C71.1347298987</t>
  </si>
  <si>
    <t>bù hàng đơn 260414SCN08XUK</t>
  </si>
  <si>
    <t xml:space="preserve">Trần Thị Thu Hằng
 Đường số 4, tổ 1, ấp Phước Tân 2, phường Long Hương, TP. Bà Rịa, Bà Rịa - Vũng Tàu., Phường Long Hương, Phường Long Hương, TP Hồ Chí Minh
 0908719085
 </t>
  </si>
  <si>
    <t>S22693229.BO.SGP45-V10.1535529206</t>
  </si>
  <si>
    <t>bù hàng đơn 260415U19RCH8P</t>
  </si>
  <si>
    <t>14:46, 24-04-2026</t>
  </si>
  <si>
    <t xml:space="preserve">Mai Hạnh
 Chung Cư C1, B202, Đường Man Thiện, Phường Hiệp Phú, Thành Phố Thủ Đức, TP. Hồ Chí Minh, Phường Tăng Nhơn Phú, Phường Tăng Nhơn Phú, TP Hồ Chí Minh
 0909830567
 </t>
  </si>
  <si>
    <t>S22693229.BO.SGP91-W87.1239276851</t>
  </si>
  <si>
    <t>bù hàng đơn 260415TNC5GFC8</t>
  </si>
  <si>
    <t>12:09, 25-04-2026</t>
  </si>
  <si>
    <t xml:space="preserve">Thùy Trang
 Chung Cư Phường 3, Lô B1, Đường Vĩnh Hội (cầu thang 3 - căn hộ 212), Phường 3, Quận 4, TP. Hồ Chí Minh, Phường Vĩnh Hội, Phường Vĩnh Hội, TP Hồ Chí Minh
 0393806720
 </t>
  </si>
  <si>
    <t>S22693229.MB26-32-P18.1434912379</t>
  </si>
  <si>
    <t>bù hàng đơn 260410F5RWPRR7</t>
  </si>
  <si>
    <t>07:32, 25-04-2026</t>
  </si>
  <si>
    <t xml:space="preserve">Khách
 Công ty TNHH Hamina (cty may) 
Xóm Hồng An, Xã nghĩa hồng, Huyện nghĩa đàn, Nghệ An, Xã Nghĩa Mai, Xã Nghĩa Mai, Nghệ An
 0364991794
 </t>
  </si>
  <si>
    <t>S22693229.BO.MN2-27-TA12.1096146135</t>
  </si>
  <si>
    <t>bù hàng đơn 260414SGY989SW</t>
  </si>
  <si>
    <t>14:14, 24-04-2026</t>
  </si>
  <si>
    <t xml:space="preserve">Khách
 355 dt741 xã vĩnh hoà, phú giáo, bình dương, Xã Phước Hòa, Xã Phước Hòa, TP Hồ Chí Minh
 0961200651
 </t>
  </si>
  <si>
    <t>S22693229.HNP17-H3-TUAN.1421309156</t>
  </si>
  <si>
    <t>bù hàng đơn 260415UR3KTP73</t>
  </si>
  <si>
    <t xml:space="preserve">Khách
 khu tập thể mộc đức, Phường Kiến Hưng, Phường Kiến Hưng, Hà Nội
 0949434323
 </t>
  </si>
  <si>
    <t>S22693229.BO.MN19-01-T93.1522584451</t>
  </si>
  <si>
    <t>đổi hàng đơn 260401MK2DKPW0</t>
  </si>
  <si>
    <t>15:57, 24-04-2026</t>
  </si>
  <si>
    <t xml:space="preserve">Khách
 Cây Thông Ngoài, Cửa Dương, Đặc khu Phú Quốc, Tỉnh An Giang, Đặc Khu Phú Quốc, Đặc Khu Phú Quốc, An Giang
 0976555720
 </t>
  </si>
  <si>
    <t>S22693229.BO.SGP105-N61.1360411584</t>
  </si>
  <si>
    <t>đổi hàng đơn 260415TPV23E39</t>
  </si>
  <si>
    <t>10:42, 20-04-2026</t>
  </si>
  <si>
    <t xml:space="preserve">Vĩnh Nhi
 343/18h, Tô Hiến Thành, Phường 12, Quận 10, TP. Hồ Chí Minh, Phường Hòa Hưng, Phường Hòa Hưng, TP Hồ Chí Minh
 0968738538
 </t>
  </si>
  <si>
    <t>S22693229.BO.MN2-07-G31.1925522911</t>
  </si>
  <si>
    <t>đổi hàng đơn 260415UKM7SARH</t>
  </si>
  <si>
    <t>15:11, 25-04-2026</t>
  </si>
  <si>
    <t xml:space="preserve">Bùi Thị Minh Thư
 số nhà 20/49/2D, đường Bình Thung, khu phố Bình Thung 1, Phường Bình An, Thành Phố Dĩ An, Bình Dương, Phường Đông Hòa, Phường Đông Hòa, TP Hồ Chí Minh
 0989725877
 </t>
  </si>
  <si>
    <t>S22693229.BO.MN1-04-N7.1731768294</t>
  </si>
  <si>
    <t>đổi hàng đơn 260415TY9YGETG</t>
  </si>
  <si>
    <t>16:40, 24-04-2026</t>
  </si>
  <si>
    <t xml:space="preserve">Kín Ly
 (Tiệm bánh Bếp 1688) 106 ĐT 762, Ấp Tân Thành, xã Thanh Bình, huyện Trảng Bom, tỉnh Đồng Nai, Xã Bàu Hàm, Xã Bàu Hàm, Đồng Nai
 0384168557
 </t>
  </si>
  <si>
    <t>S22693229.BO.SG11-10-B1.1651926368</t>
  </si>
  <si>
    <t>đổi hàng đơn 260322R7KJU3G3</t>
  </si>
  <si>
    <t>13:35, 24-04-2026</t>
  </si>
  <si>
    <t xml:space="preserve">Khách
 A8/246 ấp 1, xã Phong Phú, huyện Bình Chánh, Hồ Chí Minh, Xã Bình Hưng, Xã Bình Hưng, TP Hồ Chí Minh
 0906830419
 </t>
  </si>
  <si>
    <t>S22693229.HNP127-V28.1459255197</t>
  </si>
  <si>
    <t>đổi hàng đơn 2604172NAY5WSU</t>
  </si>
  <si>
    <t>18:57, 27-04-2026</t>
  </si>
  <si>
    <t xml:space="preserve">Khách
 đường ngõ quan, thôn lập phương, xã khai thái, huyện phú xuyên, hà nội, Xã Đại Xuyên, Xã Đại Xuyên, Hà Nội
 0366200775
 </t>
  </si>
  <si>
    <t>S22693229.BO.MT14-01-A70.1402677509</t>
  </si>
  <si>
    <t>đổi hàng đơn 26032545CQS1KN</t>
  </si>
  <si>
    <t>14:55, 24-04-2026</t>
  </si>
  <si>
    <t xml:space="preserve">Hồng Yến
 Hẻm 45/4 Đặng tất, p.thanh hải, phan thiết, bình thuận, Phường Thanh Hải, Thành Phố Phan Thiết, Bình Thuận, Phường Phú Thủy, Phường Phú Thủy, Lâm Đồng
 0984241227
 </t>
  </si>
  <si>
    <t>S22693229.BO.MT6-12-M54.1337000512</t>
  </si>
  <si>
    <t>đổi hàng đơn 260415UJQQ2PCA</t>
  </si>
  <si>
    <t>19:41, 24-04-2026</t>
  </si>
  <si>
    <t xml:space="preserve">Khách
 Đối diện 2/15/82 Quảng Tế, phường Thuỷ Xuân, Huế, Phường Thủy Xuân, Phường Thủy Xuân, Thành phố Huế
 0775501709
 </t>
  </si>
  <si>
    <t>S22693229.MB11-11-L5.1898833896</t>
  </si>
  <si>
    <t>583568826131711043</t>
  </si>
  <si>
    <t>11:18, 20-04-2026</t>
  </si>
  <si>
    <t>10:03, 24-04-2026</t>
  </si>
  <si>
    <t xml:space="preserve">Thuý Vân
 Trường THCS Lũng Hoà 
Lũng Hoà,Vĩnh Tường,Vĩnh Phúc,Việt Nam, Xã Vĩnh Thành, Xã Vĩnh Thành, Phú Thọ
 0966857696
 </t>
  </si>
  <si>
    <t>S22693229.HNP75-D33.1585090791</t>
  </si>
  <si>
    <t>583497574855312675</t>
  </si>
  <si>
    <t xml:space="preserve">mai phương
 số 7 ngách 138/39 Đ. Phú Diễn 
Phú Diễn,Bắc Từ Liêm,Hà Nội,Việt Nam, Phường Phú Diễn, Phường Phú Diễn, Hà Nội
 0946834143
 </t>
  </si>
  <si>
    <t>S22693229.BO.MN1-06-TW12.1590759891</t>
  </si>
  <si>
    <t>583506162709661073</t>
  </si>
  <si>
    <t>15:10, 25-04-2026</t>
  </si>
  <si>
    <t xml:space="preserve">Tâm
 Đường Song Hành(1a7song hành ,thị trấn gia ray ,Xuân Lộc,) 
Xã Xuân Lộc,Xã Xuân Lộc,Đồng Nai,Việt Nam, Xã Xuân Lộc, Xã Xuân Lộc, Đồng Nai
 0912459839
 </t>
  </si>
  <si>
    <t>S22693229.BO.SGP78-S50.1492407216</t>
  </si>
  <si>
    <t>583520467747571677</t>
  </si>
  <si>
    <t>11:19, 20-04-2026</t>
  </si>
  <si>
    <t>20:06, 24-04-2026</t>
  </si>
  <si>
    <t xml:space="preserve">Ngo ngoc
 Hẻm 1 Cù Chính Lan(1/20 cù chính lan) 
Tan Binh Ward,Tan Binh Ward,Ho Chi Minh,Vietnam, Phường Tân Bình, Phường Tân Bình, TP Hồ Chí Minh
 0912200142
 </t>
  </si>
  <si>
    <t>S22693229.BO.SG12-04-B16.1352600684</t>
  </si>
  <si>
    <t>583498854374868047</t>
  </si>
  <si>
    <t>18:08, 25-04-2026</t>
  </si>
  <si>
    <t xml:space="preserve">Hạnh Dung
 7/7A Đường Xuân Thới Sơn 5 
Xã Bà Điểm,Xã Bà Điểm,Hồ Chí Minh,Việt Nam, Trường Tiểu học Dương Công Khi, Xã Xuân Thới Sơn, Xã Xuân Thới Sơn, TP Hồ Chí Minh
 0963411615
 </t>
  </si>
  <si>
    <t>S22693229.BO.MT13-06-M21.1771780816</t>
  </si>
  <si>
    <t>583528662901490904</t>
  </si>
  <si>
    <t>17:34, 24-04-2026</t>
  </si>
  <si>
    <t xml:space="preserve">nguyễn thị tường vân
 37 Trần Quý Cáp, Thành phố Phan Rang - Tháp Chàm 
Mỹ Đông,Phan Rang-Tháp Chàm,Ninh Thuận,Việt Nam, Phường Đông Hải, Phường Đông Hải, Khánh Hòa
 0949742777
 </t>
  </si>
  <si>
    <t>S22693229.BO.MN7-01-D38.1805850305</t>
  </si>
  <si>
    <t>583503020253152684</t>
  </si>
  <si>
    <t>15:08, 24-04-2026</t>
  </si>
  <si>
    <t xml:space="preserve">Khách đổi
 -tòa nhà 8 sở, đường Hùng Vương(giao giờ hành chính) 
Đạo Thạnh,Mỹ Tho,Tiền Giang,Việt Nam, Phường Đạo Thạnh, Phường Đạo Thạnh, Đồng Tháp
 0944144117
 </t>
  </si>
  <si>
    <t>S22693229.HNP49-J81.1412037294</t>
  </si>
  <si>
    <t>583532997460854061</t>
  </si>
  <si>
    <t>19:00, 24-04-2026</t>
  </si>
  <si>
    <t xml:space="preserve">Khách đổi
 -58 Ng. 55 P. Thanh Lân 
Phường Vĩnh Hưng,Phường Vĩnh Hưng,Hà Nội,Việt Nam, Phường Vĩnh Hưng, Phường Vĩnh Hưng, Hà Nội
 0987559851
 </t>
  </si>
  <si>
    <t>S22693229.BO.DN16-H16.1154373255</t>
  </si>
  <si>
    <t>GỬI BÙ ĐƠN HÀNG ESO2812549</t>
  </si>
  <si>
    <t>11:22, 20-04-2026</t>
  </si>
  <si>
    <t>14:09, 25-04-2026</t>
  </si>
  <si>
    <t xml:space="preserve">Suong Nguyen
 Đà Sơn 6  Phương Hoà Khánh TP Đà Nẵng, Phường Hòa Khánh, Phường Hòa Khánh, Đà Nẵng
 0777913791
 </t>
  </si>
  <si>
    <t>S22693229.BO.MT17-01-L02.1376356378</t>
  </si>
  <si>
    <t>SAPO128446190_603550</t>
  </si>
  <si>
    <t>13:22, 20-04-2026</t>
  </si>
  <si>
    <t>14:30, 25-04-2026</t>
  </si>
  <si>
    <t xml:space="preserve">Nguyễn Thị Duyên
 189/24 Trần Quý Cáp, Phường Tân Lập, Phường Tân Lập, Đắk Lắk
 0905222167
 </t>
  </si>
  <si>
    <t>S22693229.BO.SGP107-S32.1931546396</t>
  </si>
  <si>
    <t>SAPO128446172_603550</t>
  </si>
  <si>
    <t>18:06, 24-04-2026</t>
  </si>
  <si>
    <t xml:space="preserve">Thảo
 304 hàn hải nguyên, Phường Bình Thới, Phường Bình Thới, TP Hồ Chí Minh
 0909440017
 </t>
  </si>
  <si>
    <t>S22693229.BO.MT6-05-E72.1527611994</t>
  </si>
  <si>
    <t>SAPO128446182_603550</t>
  </si>
  <si>
    <t>17:11, 24-04-2026</t>
  </si>
  <si>
    <t xml:space="preserve">Nguyễn Như Tý
 Trường Mầm non Quảng Thọ, Xã Quảng Điền, Xã Quảng Điền, Thành phố Huế
 0368548366
 </t>
  </si>
  <si>
    <t>S22693229.MB25-34-T01.1494799809</t>
  </si>
  <si>
    <t>SAPO128446193_603550</t>
  </si>
  <si>
    <t>15:47, 22-04-2026</t>
  </si>
  <si>
    <t>S22693229.BO.MT16-02-D63.1811265295</t>
  </si>
  <si>
    <t>SAPO128446191_603550</t>
  </si>
  <si>
    <t>17:22, 24-04-2026</t>
  </si>
  <si>
    <t xml:space="preserve">Thế Hiển
 69 Nguyễn Tất Thành phường Pleiku tỉnh Gia Lai, Phường Pleiku, Phường Pleiku, Gia Lai
 0935812828
 </t>
  </si>
  <si>
    <t>S22693229.BO.SGP65-W40.1809428052</t>
  </si>
  <si>
    <t>SAPO128446181_603550</t>
  </si>
  <si>
    <t>18:31, 24-04-2026</t>
  </si>
  <si>
    <t xml:space="preserve">Hanh
 36 Trịnh Đình Thảo, Phường Tân Phú, Phường Tân Phú, TP Hồ Chí Minh
 0908114869
 </t>
  </si>
  <si>
    <t>S22693229.BO.MN1-04-Q5.1808071410</t>
  </si>
  <si>
    <t>SAPO128446180_603550</t>
  </si>
  <si>
    <t>15:46, 24-04-2026</t>
  </si>
  <si>
    <t xml:space="preserve">Phạm Thảo
 Trường mầm non Ánh Dương ấp Tân phát xã đồi 61 trảng bom Đồng nai, Xã An Viễn, Xã An Viễn, Đồng Nai
 0784180134
 </t>
  </si>
  <si>
    <t>S22693229.BO.MN3-03-C62.1598912464</t>
  </si>
  <si>
    <t>SAPO128446176_603550</t>
  </si>
  <si>
    <t xml:space="preserve">Trương Thị Khanh Hiền
 77cách mạng tháng 8, Phường Long Hương, Phường Long Hương, TP Hồ Chí Minh
 0935793222
 </t>
  </si>
  <si>
    <t>S22693229.BO.SGP39-Q32.1388495929</t>
  </si>
  <si>
    <t>SAPO128446183_603550</t>
  </si>
  <si>
    <t>16:12, 28-04-2026</t>
  </si>
  <si>
    <t xml:space="preserve">Nguyễn Mai
 119 lê lợi phường bến thành q1, Phường Bến Thành, Phường Bến Thành, TP Hồ Chí Minh
 0798301088
 </t>
  </si>
  <si>
    <t>S22693229.BO.MN16-16-Z02.1290993048</t>
  </si>
  <si>
    <t>SAPO128446186_603550</t>
  </si>
  <si>
    <t>22:51, 27-04-2026</t>
  </si>
  <si>
    <t xml:space="preserve">Đinh thị điệp
 Khu 2, Đặc Khu Côn Đảo, Đặc Khu Côn Đảo, TP Hồ Chí Minh
 0908993527
 </t>
  </si>
  <si>
    <t>S22693229.MB9-05-D18.1531170852</t>
  </si>
  <si>
    <t>SAPO128446178_603550</t>
  </si>
  <si>
    <t>20:26, 24-04-2026</t>
  </si>
  <si>
    <t xml:space="preserve">Trang
 Số 2 Nguyễn Gia Thiều, Phường Bắc Giang, Phường Bắc Giang, Bắc Ninh
 0979102876
 </t>
  </si>
  <si>
    <t>S22693229.BO.MB7-14-TP25.1287114252</t>
  </si>
  <si>
    <t>SAPO128446188_603550</t>
  </si>
  <si>
    <t xml:space="preserve">Trần Thiên Tường
 Ban điều hành dự án xây dựng nhà ga T2 Cát Bi - Đường Lê Hồng Phong, Phường Hải An, Phường Hải An, Hải Phòng
 0915134229
 </t>
  </si>
  <si>
    <t>S22693229.BO.MT8-01-A18.1651185116</t>
  </si>
  <si>
    <t>SAPO128446232_603550</t>
  </si>
  <si>
    <t>17:32, 27-04-2026</t>
  </si>
  <si>
    <t xml:space="preserve">Lộc
 Thôn Phú Hưng xã Tam Xuân 1 huyện núi thành tỉnh quảng nam, Xã Tam Xuân, Xã Tam Xuân, Đà Nẵng
 0785650028
 </t>
  </si>
  <si>
    <t>S22693229.BO.MN11-07-V44.1842381061</t>
  </si>
  <si>
    <t>SAPO128446339_603550</t>
  </si>
  <si>
    <t>18:24, 25-04-2026</t>
  </si>
  <si>
    <t xml:space="preserve">Hồng Chi
 109 Trần Bình Trọng, Phường Ninh Kiều, Phường Ninh Kiều, Cần Thơ
 0939871889
 </t>
  </si>
  <si>
    <t>S22693229.BO.MN16-01-E11.1773208128</t>
  </si>
  <si>
    <t>SAPO128446368_603550</t>
  </si>
  <si>
    <t>13:23, 20-04-2026</t>
  </si>
  <si>
    <t>14:10, 27-04-2026</t>
  </si>
  <si>
    <t xml:space="preserve">Lý Thị Giỏi
 Đường số 1 khu dân cư hòa Mỹ, Phường Mỹ Xuyên, Phường Mỹ Xuyên, Cần Thơ
 0966341750
 </t>
  </si>
  <si>
    <t>S22693229.BO.SG12-04-D39.1659521505</t>
  </si>
  <si>
    <t>SAPO128446394_603550</t>
  </si>
  <si>
    <t>16:40, 25-04-2026</t>
  </si>
  <si>
    <t xml:space="preserve">Hồ phát mạnh
 Ấp 7, Xã Bà Điểm, Xã Bà Điểm, TP Hồ Chí Minh, Xã Bà Điểm, Xã Bà Điểm, TP Hồ Chí Minh
 0921858353
 </t>
  </si>
  <si>
    <t>S22693229.BO.MN4-03-C11.1176717461</t>
  </si>
  <si>
    <t>SAPO128446453_603550</t>
  </si>
  <si>
    <t>17:49, 24-04-2026</t>
  </si>
  <si>
    <t xml:space="preserve">Hoa lê
 Ấp 4 xã Tân châu tỉnh Tây Ninh, Xã Tân Châu, Xã Tân Châu, Tây Ninh
 0849030906
 </t>
  </si>
  <si>
    <t>S22693229.MB2-10-L2.1749607052</t>
  </si>
  <si>
    <t>SAPO128446995_603550</t>
  </si>
  <si>
    <t>22:05, 25-04-2026</t>
  </si>
  <si>
    <t xml:space="preserve">Nguyễn Thị Thanh Nhàn
 78, Đường Lý Thái Tổ, Phố Phúc Sơn, Phường Hoa Lư, Phường Hoa Lư, Ninh Bình
 0984999012
 </t>
  </si>
  <si>
    <t>S22693229.BO.SGP105-N52.1944065769</t>
  </si>
  <si>
    <t>583505375922849377</t>
  </si>
  <si>
    <t>15:00, 20-04-2026</t>
  </si>
  <si>
    <t>16:06, 24-04-2026</t>
  </si>
  <si>
    <t xml:space="preserve">Khách đổi
 -159/77/20 TRẦN VĂN ĐANG 
Phường 11,Quận 3,Hồ Chí Minh,Việt Nam, Phường Nhiêu Lộc, Phường Nhiêu Lộc, TP Hồ Chí Minh
 0849808603
 </t>
  </si>
  <si>
    <t>S22693229.MB10-03-C15.1027204459</t>
  </si>
  <si>
    <t>583473292164432974(đổi)</t>
  </si>
  <si>
    <t>20:51, 28-04-2026</t>
  </si>
  <si>
    <t xml:space="preserve">Khách dổi
 -Số nhà 100 Quảng minh 3 
Xã Quảng Hà,Xã Quảng Hà,Quảng Ninh,Việt Nam, Xã Quảng Hà, Xã Quảng Hà, Quảng Ninh
 0981281522
 </t>
  </si>
  <si>
    <t>S22693229.MB22-08-H9.1242400823</t>
  </si>
  <si>
    <t>583402375979697241</t>
  </si>
  <si>
    <t>19:02, 24-04-2026</t>
  </si>
  <si>
    <t xml:space="preserve">Thanh Ngọc
 QL70, Phong Niên(Km 37) 
Xã Xuân Quang,Xã Xuân Quang,Lào Cai,Việt Nam, Xã Xuân Quang, Xã Xuân Quang, Lào Cai
 0974633895
 </t>
  </si>
  <si>
    <t>S22693229.MB23-06-F4.1670467779</t>
  </si>
  <si>
    <t>583517817795086061</t>
  </si>
  <si>
    <t>15:01, 20-04-2026</t>
  </si>
  <si>
    <t>19:57, 24-04-2026</t>
  </si>
  <si>
    <t xml:space="preserve">Khách đổi
 -Xã Khoen On(Trường mầm non) 
Khoen On,Than Uyên,Lai Châu,Việt Nam, Xã Khoen On, Xã Khoen On, Lai Châu
 0375748221
 </t>
  </si>
  <si>
    <t>S22693229.BO.MT8-04-D21.1084756814</t>
  </si>
  <si>
    <t>583544992723010885</t>
  </si>
  <si>
    <t>14:18, 25-04-2026</t>
  </si>
  <si>
    <t xml:space="preserve">Khách bù
 -Chợ Trung Phước, Tl.610(Chị Trâm) 
Xã Nông Sơn,Xã Nông Sơn,Đà Nẵng,Việt Nam, Xã Nông Sơn, Xã Nông Sơn, Đà Nẵng
 0905686401
 </t>
  </si>
  <si>
    <t>S22693229.BO.MN2-09-I61.1799241524</t>
  </si>
  <si>
    <t>583515638193226986</t>
  </si>
  <si>
    <t>13:06, 24-04-2026</t>
  </si>
  <si>
    <t xml:space="preserve">Cúc
 (+84)963666729 
Tổ 1 long bình Khánh bình Tân Uyên bình dương(Cua hàng xe máy cúc nghĩa phát) 
Khánh Bình,Tân Uyên,Bình Dương,Việt Nam, Phường Tân Hiệp, Phường Tân Hiệp, TP Hồ Chí Minh
 0963666729
 </t>
  </si>
  <si>
    <t>S22693229.MB10-12-L9.1623141929</t>
  </si>
  <si>
    <t>583541001704212431</t>
  </si>
  <si>
    <t>21:57, 25-04-2026</t>
  </si>
  <si>
    <t xml:space="preserve">Nguyễn Thanh Xuân
 Chung cư Dragon Castle Cái Lân, Bãi Cháy 
Bãi Cháy,Hạ Long,Quảng Ninh,Việt Nam, Phường Bãi Cháy, Phường Bãi Cháy, Quảng Ninh
 0336304986
 </t>
  </si>
  <si>
    <t>S22693229.HNP49-J81.1106467025</t>
  </si>
  <si>
    <t>583480112615294224</t>
  </si>
  <si>
    <t xml:space="preserve">Khách đổi
 -4 Phố Thanh Lân 
Thanh Trì,Hoàng Mai,Hà Nội,Việt Nam, Phường Vĩnh Hưng, Phường Vĩnh Hưng, Hà Nội
 0971879256
 </t>
  </si>
  <si>
    <t>S22693229.HNP47-M83.1421976693</t>
  </si>
  <si>
    <t>SAPO128821307_603550</t>
  </si>
  <si>
    <t>08:39, 21-04-2026</t>
  </si>
  <si>
    <t>11:37, 22-04-2026</t>
  </si>
  <si>
    <t xml:space="preserve">Lê Thị Vân Chi
 số 5 láng hạ ba đình hà nội, Phường Láng, Phường Láng, Hà Nội
 0985846836
 </t>
  </si>
  <si>
    <t>S22693229.HNP47-M71.1328586559</t>
  </si>
  <si>
    <t>SAPO128821310_603550</t>
  </si>
  <si>
    <t>18:49, 27-04-2026</t>
  </si>
  <si>
    <t xml:space="preserve">Đặng Kim Anh
 Toà nhà Mipec -229 Tây Sơn, Phường Đống Đa, Phường Đống Đa, Hà Nội
 0918641865
 </t>
  </si>
  <si>
    <t>S22693229.HNP146-J42.1763516896</t>
  </si>
  <si>
    <t>SAPO128821312_603550</t>
  </si>
  <si>
    <t>18:27, 24-04-2026</t>
  </si>
  <si>
    <t xml:space="preserve">Nguyễn thị hoa
 Số 61/ ngách 15/ ngõ gốc đề/ minh khai/ hà noiij, Phường Tương Mai, Phường Tương Mai, Hà Nội
 0977733380
 </t>
  </si>
  <si>
    <t>S22693229.HNP52-Y82.1192967360</t>
  </si>
  <si>
    <t>SAPO128821299_603550</t>
  </si>
  <si>
    <t>17:01, 24-04-2026</t>
  </si>
  <si>
    <t xml:space="preserve">Vượng Nguyễn
 Số 15 ngách 112 ngõ 168 kim giang, Phường Khương Đình, Phường Khương Đình, Hà Nội
 0368980263
 </t>
  </si>
  <si>
    <t>S22693229.HNP146-G217.1872701557</t>
  </si>
  <si>
    <t>SAPO128821301_603550</t>
  </si>
  <si>
    <t>22:27, 24-04-2026</t>
  </si>
  <si>
    <t xml:space="preserve">Triệu Hải Hưng
 Số 9 ngõ 254 Minh Khai, Phường Vĩnh Tuy, Phường Vĩnh Tuy, Hà Nội
 0913514574
 </t>
  </si>
  <si>
    <t>S22693229.BO.MN2-07-G43.1957204672</t>
  </si>
  <si>
    <t>SAPO128823245_603550</t>
  </si>
  <si>
    <t>08:40, 21-04-2026</t>
  </si>
  <si>
    <t>14:10, 25-04-2026</t>
  </si>
  <si>
    <t xml:space="preserve">MAI THỊ BÍCH NGỌC
 5/11 hoang cầm, trung thắng, Phường Đông Hòa, Phường Đông Hòa, TP Hồ Chí Minh
 0938568788
 </t>
  </si>
  <si>
    <t>S22693229.SGP65-W39.1289607757</t>
  </si>
  <si>
    <t>SAPO128823248_603550</t>
  </si>
  <si>
    <t>17:40, 23-04-2026</t>
  </si>
  <si>
    <t xml:space="preserve">Khanh
 75/56/4 lý thánh tông, Phường Phú Thạnh, Phường Phú Thạnh, TP Hồ Chí Minh
 0888783232
 </t>
  </si>
  <si>
    <t>S22693229.SGP47-V30.1034394937</t>
  </si>
  <si>
    <t>SAPO128824051_603550</t>
  </si>
  <si>
    <t>08:41, 21-04-2026</t>
  </si>
  <si>
    <t xml:space="preserve">Nguyễn Thị Như
 124/6/13 võ văn hát, Phường Long Trường, Phường Long Trường, TP Hồ Chí Minh
 0908062575
 </t>
  </si>
  <si>
    <t>S22693229.MN2-05-E23.1130960765</t>
  </si>
  <si>
    <t>SAPO128824327_603550</t>
  </si>
  <si>
    <t>19:38, 25-04-2026</t>
  </si>
  <si>
    <t xml:space="preserve">Dung Lee
 Công ty cám, lô B2-19, 28 đường số 4, KCN Tân Đông Hiệp B, Phường Tân Đông Hiệp, Phường Tân Đông Hiệp, TP Hồ Chí Minh
 0979107226
 </t>
  </si>
  <si>
    <t>S22693229.BO.HNP34-D177.1996112944</t>
  </si>
  <si>
    <t>527722310540036</t>
  </si>
  <si>
    <t>08:50, 21-04-2026</t>
  </si>
  <si>
    <t>19:45, 28-04-2026</t>
  </si>
  <si>
    <t xml:space="preserve">Áries Nhái
 154 xã đàn ,phường văn miếu ,quốc tử giám hà nội, Phường Văn Miếu - Quốc Tử Giám, Phường Văn Miếu - Quốc Tử Giám, Hà Nội
 0368609820
 </t>
  </si>
  <si>
    <t>S22693229.BO.MN3-06-D81.1536841725</t>
  </si>
  <si>
    <t>SAPO128850717_603550</t>
  </si>
  <si>
    <t>09:12, 21-04-2026</t>
  </si>
  <si>
    <t xml:space="preserve">Bích Liên
 Tổ 5 thôn 4, Xã Bình Giã, Xã Bình Giã, TP Hồ Chí Minh
 0987989172
 </t>
  </si>
  <si>
    <t>S22693229.BO.MN8-04-C53.1446296759</t>
  </si>
  <si>
    <t>SAPO128850719_603550</t>
  </si>
  <si>
    <t xml:space="preserve">Moon Moon
 15 An Thuận A Mỹ Thạnh An, Phường An Hội, Phường An Hội, Vĩnh Long
 0939682506
 </t>
  </si>
  <si>
    <t>S22693229.BO.SGP24-V66.1416051520</t>
  </si>
  <si>
    <t>SAPO128850723_603550</t>
  </si>
  <si>
    <t>12:29, 25-04-2026</t>
  </si>
  <si>
    <t xml:space="preserve">Thanh Kiều
 7/9/4 Lý Tế Xuyên Linh Đông Thủ Đức, Phường Hiệp Bình, Phường Hiệp Bình, TP Hồ Chí Minh
 0768666813
 </t>
  </si>
  <si>
    <t>S22693229.BO.MN11-07-V53.1589758405</t>
  </si>
  <si>
    <t>SAPO128850726_603550</t>
  </si>
  <si>
    <t>13:05, 25-04-2026</t>
  </si>
  <si>
    <t xml:space="preserve">Dang Khoa Le
 162-162B Trần Hưng đạo - An Nghiệp- Ninh kiều - Cần thơ, Phường Ninh Kiều, Phường Ninh Kiều, Cần Thơ
 0976510012
 </t>
  </si>
  <si>
    <t>S22693229.HNP25-F132.1701096100</t>
  </si>
  <si>
    <t>SAPO128850733_603550</t>
  </si>
  <si>
    <t>21:36, 24-04-2026</t>
  </si>
  <si>
    <t xml:space="preserve">Phương Phương
 CH903, ĐN1 chung cư F4, 114 trung kính, yên hoà, hà nội, Phường Yên Hòa, Phường Yên Hòa, Hà Nội
 0975054699
 </t>
  </si>
  <si>
    <t>S22693229.HNP92-B46.1200750134</t>
  </si>
  <si>
    <t>SAPO128850787_603550</t>
  </si>
  <si>
    <t>14:09, 24-04-2026</t>
  </si>
  <si>
    <t xml:space="preserve">Quynh Duong
 trg Tiểu học Đoàn Thị điểm- số 1Trần văn Cẩn- Từ Liêm, Phường Từ Liêm, Phường Từ Liêm, Hà Nội
 0984842397
 </t>
  </si>
  <si>
    <t>S22693229.BO.MN2-17-Q51.1185029026</t>
  </si>
  <si>
    <t>SAPO128850823_603550</t>
  </si>
  <si>
    <t xml:space="preserve">Lý Thị KiềU Oanh
 trường mẫu giáo An Tây, Phường Tây Nam, Phường Tây Nam, TP Hồ Chí Minh
 0937116113
 </t>
  </si>
  <si>
    <t>S22693229.BO.MT5-03-C9.1655033388</t>
  </si>
  <si>
    <t>SAPO128850850_603550</t>
  </si>
  <si>
    <t>15:27, 24-04-2026</t>
  </si>
  <si>
    <t xml:space="preserve">Zuni Bảo Trân
 Tổ 1 Phú Hưng, Xã Hải Lăng, Xã Hải Lăng, Quảng Trị
 0886183837
 </t>
  </si>
  <si>
    <t>S22693229.BO.SGP76-S83.1564650159</t>
  </si>
  <si>
    <t>SAPO128850873_603550</t>
  </si>
  <si>
    <t>16:46, 24-04-2026</t>
  </si>
  <si>
    <t xml:space="preserve">Ruby Nguyen
 68 Bạch Đằng  2, Phường Tân Sơn Hòa, Phường Tân Sơn Hòa, TP Hồ Chí Minh
 0914201290
 </t>
  </si>
  <si>
    <t>S22693229.MB27-01-A12.1764064941</t>
  </si>
  <si>
    <t>SAPO128850900_603550</t>
  </si>
  <si>
    <t>13:13, 24-04-2026</t>
  </si>
  <si>
    <t xml:space="preserve">Bích Hà Nguyễn Thị
 2 Ngõ 2 Đường Sông Cày, Xã Thạch Hà, Xã Thạch Hà, Hà Tĩnh
 0945183674
 </t>
  </si>
  <si>
    <t>S22693229.BO.MN7-24-G43.1905880203</t>
  </si>
  <si>
    <t>SAPO128850931_603550</t>
  </si>
  <si>
    <t>11:34, 24-04-2026</t>
  </si>
  <si>
    <t xml:space="preserve">Hiền Nguyễn
 Ấp Tân Ninh Xuân Đông, Xã Bình Ninh, Xã Bình Ninh, Đồng Tháp
 0907881183
 </t>
  </si>
  <si>
    <t>S22693229.MB26-31-F10.1912623315</t>
  </si>
  <si>
    <t>SAPO128851024_603550</t>
  </si>
  <si>
    <t>17:31, 24-04-2026</t>
  </si>
  <si>
    <t xml:space="preserve">Minh Hoàng
 ,xóm Tân Châu ,xã Minh Châu, Xã Minh Châu, Xã Minh Châu, Nghệ An
 0914911299
 </t>
  </si>
  <si>
    <t>S22693229.MB3-16-H7.1059213741</t>
  </si>
  <si>
    <t>SAPO128851162_603550</t>
  </si>
  <si>
    <t>15:15, 24-04-2026</t>
  </si>
  <si>
    <t xml:space="preserve">Nguyễn Viết Lạng
 Xuân Ninh, Xã Xuân Trường, Xã Xuân Trường, Ninh Bình
 0915184328
 </t>
  </si>
  <si>
    <t>S22693229.BO.MN3-02-T35.1108974353</t>
  </si>
  <si>
    <t>SAPO128851194_603550</t>
  </si>
  <si>
    <t>19:39, 24-04-2026</t>
  </si>
  <si>
    <t xml:space="preserve">Đỗ An
 Chu Hải Tân Hải, Phường Tân Hải, Phường Tân Hải, TP Hồ Chí Minh
 0889233571
 </t>
  </si>
  <si>
    <t>S22693229.BO.MN2-29-K23.1315352604</t>
  </si>
  <si>
    <t>SAPO128858373_603550</t>
  </si>
  <si>
    <t>09:22, 21-04-2026</t>
  </si>
  <si>
    <t>17:17, 28-04-2026</t>
  </si>
  <si>
    <t xml:space="preserve">Mi Mai
 Bình phước a bình chuẩn thuan an bd, Phường An Phú, Phường An Phú, TP Hồ Chí Minh
 0394405931
 </t>
  </si>
  <si>
    <t>S22693229.BO.MT9-02-B5.1897571070</t>
  </si>
  <si>
    <t>583587417022825912</t>
  </si>
  <si>
    <t>10:23, 21-04-2026</t>
  </si>
  <si>
    <t>16:28, 25-04-2026</t>
  </si>
  <si>
    <t xml:space="preserve">Huỳnh Phan vũ
 Thôn Tham hội2(Quán nhậu Tùng Bê) 
Bình Thanh,Bình Sơn,Quảng Ngãi,Việt Nam, Xã Bình Sơn, Xã Bình Sơn, Quảng Ngãi
 0355788893
 </t>
  </si>
  <si>
    <t>S22693229.BO.MT14-01-A64.1298119383</t>
  </si>
  <si>
    <t>583518565921163213</t>
  </si>
  <si>
    <t>10:24, 21-04-2026</t>
  </si>
  <si>
    <t xml:space="preserve">Nguyễn Thị Huyền Trâm
 V74 văn thánh 2,phú tài, thành phố Phan thiết 
Phú Tài,Phan Thiết,Bình Thuận,Việt Nam, Phường Bình Thuận, Phường Bình Thuận, Lâm Đồng
 0945782751
 </t>
  </si>
  <si>
    <t>S22693229.BO.DN16-H1.1002510684</t>
  </si>
  <si>
    <t>583497678861338497</t>
  </si>
  <si>
    <t>17:51, 24-04-2026</t>
  </si>
  <si>
    <t xml:space="preserve">võ thị giáng châu
 88 Trần Bích San phường hải vân tp đà nẵng 
Phường Hải Vân,Phường Hải Vân,Đà Nẵng,Việt Nam, Phường Hải Vân, Phường Hải Vân, Đà Nẵng
 0785201703
 </t>
  </si>
  <si>
    <t>S22693229.HNP107-I32.1971541182</t>
  </si>
  <si>
    <t>583387178330916278</t>
  </si>
  <si>
    <t>15:55, 27-04-2026</t>
  </si>
  <si>
    <t xml:space="preserve">lê hoa
 252 đường mĩ đình , mĩ đình 2, hà nội252 Đ. Mỹ Đình, Mỹ Đình, Từ Liêm, Hà Nội- 252 đường mĩ đình , mĩ đình 2, hà nội, Phường Cầu Giấy, Phường Cầu Giấy, Hà Nội
 0763038783
 </t>
  </si>
  <si>
    <t>S22693229.BO.SGP02-N18.1989163616</t>
  </si>
  <si>
    <t>583501369162695807</t>
  </si>
  <si>
    <t>15:24, 24-04-2026</t>
  </si>
  <si>
    <t xml:space="preserve">Khách đổi
 -14 Số 30(hẻm đối diện BHX) 
Phường 6,Gò Vấp,Hồ Chí Minh,Việt Nam, Phường An Nhơn, Phường An Nhơn, TP Hồ Chí Minh
 0868847460
 </t>
  </si>
  <si>
    <t>S22693229.BO.SGP66-W23.1785314914</t>
  </si>
  <si>
    <t>583511818871932368</t>
  </si>
  <si>
    <t>17:41, 25-04-2026</t>
  </si>
  <si>
    <t xml:space="preserve">Khách đổi
 -343/48 A Trần Thủ Độ 
Phú Thạnh,Tân Phú,Hồ Chí Minh,Việt Nam, Phường Phú Thạnh, Phường Phú Thạnh, TP Hồ Chí Minh
 0963588430
 </t>
  </si>
  <si>
    <t>S22693229.BO.SGP113-X40.1790603409</t>
  </si>
  <si>
    <t>583520127238637406</t>
  </si>
  <si>
    <t>18:02, 24-04-2026</t>
  </si>
  <si>
    <t xml:space="preserve">Vương Quế Trinh
 43 Cao Xuân Dục 
Phường 12,Quận 8,Thành phố Hồ Chí Minh,Việt Nam, Phường Phú Định, Phường Phú Định, TP Hồ Chí Minh
 0907963390
 </t>
  </si>
  <si>
    <t>S22693229.BO.DN16-H19.1021900721</t>
  </si>
  <si>
    <t>583480763455080353( lần 2)</t>
  </si>
  <si>
    <t>17:12, 24-04-2026</t>
  </si>
  <si>
    <t xml:space="preserve">Khách đổi
 -22b lê vĩnh khanh(Công ty) 
Phường An Khê,Phường An Khê,Đà Nẵng,Việt Nam, Phường An Khê, Phường An Khê, Đà Nẵng
 0364544571
 </t>
  </si>
  <si>
    <t>S22693229.BO.SGP13-H02.1841872789</t>
  </si>
  <si>
    <t>583562523113981819</t>
  </si>
  <si>
    <t>14:16, 25-04-2026</t>
  </si>
  <si>
    <t xml:space="preserve">Nguyễn thị trang
 Đường Nguyễn Hữu Cảnh(180/109) 
Phường 22,Bình Thạnh,Thành phố Hồ Chí Minh,Việt Nam, Phường Thạnh Mỹ Tây, Phường Thạnh Mỹ Tây, TP Hồ Chí Minh
 0963844244
 </t>
  </si>
  <si>
    <t>S22693229.BO.SGP113-X72.1050376340</t>
  </si>
  <si>
    <t>583562891189454609</t>
  </si>
  <si>
    <t>17:38, 24-04-2026</t>
  </si>
  <si>
    <t xml:space="preserve">Trần minh công
 2753 Phạm Thế Hiển(Giao cho Quán hủ tiếu 2753) 
Phường 7,Quận 8,Hồ Chí Minh,Việt Nam, Phường Bình Đông, Phường Bình Đông, TP Hồ Chí Minh
 0825588853
 </t>
  </si>
  <si>
    <t>S22693229.BO.MN2-29-K11.1654762357</t>
  </si>
  <si>
    <t>583561592775476546</t>
  </si>
  <si>
    <t>19:11, 24-04-2026</t>
  </si>
  <si>
    <t xml:space="preserve">Hà Anh
 36b/21(bình phuoc B) 
Bình Chuẩn,Thuận An,Bình Dương,Việt Nam, Phường An Phú, Phường An Phú, TP Hồ Chí Minh
 0378813310
 </t>
  </si>
  <si>
    <t>S22693229.MB14-02-B4.1105136501</t>
  </si>
  <si>
    <t>583529155938387187</t>
  </si>
  <si>
    <t>18:03, 27-04-2026</t>
  </si>
  <si>
    <t xml:space="preserve">Éng
 63 QL279,
Xã Bắc Quang,Xã Bắc Quang,Tuyên Quang,Việt Nam, Xã Bắc Quang, Xã Bắc Quang, Tuyên Quang
 0977908983
 </t>
  </si>
  <si>
    <t>S22693229.BO.MN1-03-TN12.1628710467</t>
  </si>
  <si>
    <t>583519699032310927</t>
  </si>
  <si>
    <t>15:15, 25-04-2026</t>
  </si>
  <si>
    <t xml:space="preserve">Huỳnh Minh
 656/4/18 tổ 3 khu 9 
Tân Phú,Tân Phú,Đồng Nai,Việt Nam, Xã Tân Phú, Xã Tân Phú, Đồng Nai
 0343949555
 </t>
  </si>
  <si>
    <t>S22693229.BO.MN3-05-H21.1491314722</t>
  </si>
  <si>
    <t>583513527405479461</t>
  </si>
  <si>
    <t>12:49, 27-04-2026</t>
  </si>
  <si>
    <t xml:space="preserve">Liễu Trần
 47 Đường Hồ Tri Tân(Rạch Dừa) 
Rạch Dừa,Vũng Tàu,Bà Rịa - Vũng Tàu,Việt Nam, Phường Rạch Dừa, Phường Rạch Dừa, TP Hồ Chí Minh
 0937490354
 </t>
  </si>
  <si>
    <t>S22693229.BO.MN2-29-TN40.1994723103</t>
  </si>
  <si>
    <t>583533536564119435</t>
  </si>
  <si>
    <t>13:19, 25-04-2026</t>
  </si>
  <si>
    <t xml:space="preserve">Ngát
 shop khoan dung đường d5 
An Phú,Thuận An,Tinh Binh Duong,Việt Nam, Phường An Phú, Phường An Phú, TP Hồ Chí Minh
 0356252787
 </t>
  </si>
  <si>
    <t>S22693229.HNP49-J173.1498960703</t>
  </si>
  <si>
    <t>583527592198833749</t>
  </si>
  <si>
    <t>19:50, 28-04-2026</t>
  </si>
  <si>
    <t xml:space="preserve">nguyễn quỳnh
 Ngõ 383 Tam Trinh(ngách 1 nhà 12) 
Hoàng Văn Thụ,Hoàng Mai,Hà Nội,Việt Nam, Phường Hoàng Mai, Phường Hoàng Mai, Hà Nội
 0332998572
 </t>
  </si>
  <si>
    <t>S22693229.BO.SGP11-V39.1389975342</t>
  </si>
  <si>
    <t>583519250804737356</t>
  </si>
  <si>
    <t>13:32, 24-04-2026</t>
  </si>
  <si>
    <t xml:space="preserve">Hoàng Anh
 6 Hoa Mai 
Phường 2,Phú Nhuận,Thành phố Hồ Chí Minh,Việt Nam, Phường Cầu Kiệu, Phường Cầu Kiệu, TP Hồ Chí Minh
 0929602064
 </t>
  </si>
  <si>
    <t>S22693229.BO.SGP113-X60.1887864982</t>
  </si>
  <si>
    <t>583534594354677077</t>
  </si>
  <si>
    <t xml:space="preserve">Nguyễn Thị Mỹ Linh
 5/1 Hẻm 5 Mễ Cốc, phường 15 
Phường 15,Quận 8,Hồ Chí Minh,Việt Nam, Phường Phú Định, Phường Phú Định, TP Hồ Chí Minh
 0978946664
 </t>
  </si>
  <si>
    <t>S22693229.BO.SGP11-V46.1796414169</t>
  </si>
  <si>
    <t>583518579097634532</t>
  </si>
  <si>
    <t>13:18, 25-04-2026</t>
  </si>
  <si>
    <t xml:space="preserve">Quyên
 226 vạn kiếp phường 3 quận bình thạnh (226 vạn kiếp phường ba quận bình Thạnh) 
Ward 3,Bình Thạnh,Hồ Chí Minh,Việt Nam, Phường Gia Định, Phường Gia Định, TP Hồ Chí Minh
 0906397925
 </t>
  </si>
  <si>
    <t>S22693229.BO.HNP23-A90.1652715434</t>
  </si>
  <si>
    <t>583500167187302026</t>
  </si>
  <si>
    <t>14:08, 24-04-2026</t>
  </si>
  <si>
    <t xml:space="preserve">Phương
 167 Ngõ 189 Hoàng Hoa Thám 
Phường Ngọc Hà,Phường Ngọc Hà,Hà Nội,Việt Nam, , Phường Tây Hồ, Phường Tây Hồ, Hà Nội
 0961541106
 </t>
  </si>
  <si>
    <t>S22693229.BO.MN8-09-A31.1506765779</t>
  </si>
  <si>
    <t>583568825051808889</t>
  </si>
  <si>
    <t>10:25, 21-04-2026</t>
  </si>
  <si>
    <t xml:space="preserve">Khách đổi
 -Đường Bùi Sĩ Hùng 
Bình Thới,Bình Đại,Tinh Ben Tre,Việt Nam, Xã Bình Đại, Xã Bình Đại, Vĩnh Long
 0919457979
 </t>
  </si>
  <si>
    <t>S22693229.HNP132-A19.1500809144</t>
  </si>
  <si>
    <t>583499979472995717</t>
  </si>
  <si>
    <t>20:17, 24-04-2026</t>
  </si>
  <si>
    <t xml:space="preserve">Khách đổi
 -012 Ngõ 2 - Đường Thân Nhân Trung, Phù Linh(Tiệm bánh Bon Bon) 
Xã Sóc Sơn,Xã Sóc Sơn,Hà Nội,Việt Nam, Xã Sóc Sơn, Xã Sóc Sơn, Hà Nội
 0983049476
 </t>
  </si>
  <si>
    <t>S22693229.HNP52-Y82.1338766231</t>
  </si>
  <si>
    <t>583512171452990897</t>
  </si>
  <si>
    <t xml:space="preserve">Khách đổi
 KĐT Đại Kim, Phường Định Công, Phường Định Công, Hà Nội, Phường Định Công, Phường Định Công, Hà Nội
 0334434516
 </t>
  </si>
  <si>
    <t>S22693229.BO.MN14-05-H42.1041960432</t>
  </si>
  <si>
    <t>583355085837010105(  lần 2)</t>
  </si>
  <si>
    <t>19:46, 25-04-2026</t>
  </si>
  <si>
    <t xml:space="preserve">Nguyễn Thị Điễm
 810/125 Thạnh Lợi 
Thạnh Lộc,Giồng Riềng,Kiên Giang,Việt Nam, Xã Thạnh Hưng, Xã Thạnh Hưng, An Giang
 0358821833
 </t>
  </si>
  <si>
    <t>S22693229.BO.MT19-01-T21.1661114227</t>
  </si>
  <si>
    <t>SAPO128889733_603550</t>
  </si>
  <si>
    <t>10:27, 21-04-2026</t>
  </si>
  <si>
    <t>14:45, 25-04-2026</t>
  </si>
  <si>
    <t xml:space="preserve">Thủy
 38/21/1 Trương Văn Hoàn, Phường Lâm Viên - Đà Lạt, Phường Lâm Viên - Đà Lạt, Lâm Đồng
 0935503719
 </t>
  </si>
  <si>
    <t>S22693229.MB7-14-TP9.1409794844</t>
  </si>
  <si>
    <t>SAPO128889730_603550</t>
  </si>
  <si>
    <t>10:36, 23-04-2026</t>
  </si>
  <si>
    <t xml:space="preserve">Tran Hiong
 SB4-10 Vinhome Marina, Phường Lê Chân, Phường Lê Chân, Hải Phòng
 0911690228
 </t>
  </si>
  <si>
    <t>S22693229.BO.MN1-05-Z21.1530501677</t>
  </si>
  <si>
    <t>SAPO128889735_603550</t>
  </si>
  <si>
    <t>14:26, 27-04-2026</t>
  </si>
  <si>
    <t xml:space="preserve">Phun xăm san san
 Kp Phước Mỹ, Xã Nhơn Trạch, Xã Nhơn Trạch, Đồng Nai
 0834881161
 </t>
  </si>
  <si>
    <t>S22693229.MB10-24-N23.1249751928</t>
  </si>
  <si>
    <t>SAPO128889731_603550</t>
  </si>
  <si>
    <t>23:12, 28-04-2026</t>
  </si>
  <si>
    <t xml:space="preserve">Trần Thu Hiền
 Tổ 9-khu 2, Phường Hà Tu, Phường Hà Tu, Quảng Ninh
 0975617518
 </t>
  </si>
  <si>
    <t>S22693229.BO.MT18-01-H1.1957639252</t>
  </si>
  <si>
    <t>SAPO128889750_603550</t>
  </si>
  <si>
    <t>20:21, 28-04-2026</t>
  </si>
  <si>
    <t xml:space="preserve">Thảo
 Tổ 5, Phường Nam Gia Nghĩa, Phường Nam Gia Nghĩa, Lâm Đồng
 0989639719
 </t>
  </si>
  <si>
    <t>S22693229.BO.MN1-14-T1.1533651067</t>
  </si>
  <si>
    <t>SAPO128889751_603550</t>
  </si>
  <si>
    <t xml:space="preserve">Vũ hoàng uyên
 Trường mầm non Phú lý, Xã Phú Lý, Xã Phú Lý, Đồng Nai
 0366275586
 </t>
  </si>
  <si>
    <t>S22693229.BO.SGP113-X35.1365139723</t>
  </si>
  <si>
    <t>SAPO128889754_603550</t>
  </si>
  <si>
    <t>12:01, 24-04-2026</t>
  </si>
  <si>
    <t xml:space="preserve">Bạch Lữ Hồng Tuyết
 61 Phạm Thị Tánh, Phường Chánh Hưng, Phường Chánh Hưng, TP Hồ Chí Minh
 0913881319
 </t>
  </si>
  <si>
    <t>S22693229.MB5-08-H8.1071317258</t>
  </si>
  <si>
    <t>SAPO128889736_603550</t>
  </si>
  <si>
    <t>14:16, 24-04-2026</t>
  </si>
  <si>
    <t xml:space="preserve">Nguyễn thu lan
 Khu đồng quan, Xã Hoàng Hoa Thám, Xã Hoàng Hoa Thám, Hưng Yên
 0987043929
 </t>
  </si>
  <si>
    <t>S22693229.MB10-12-L56.1806187461</t>
  </si>
  <si>
    <t>SAPO128889741_603550</t>
  </si>
  <si>
    <t>08:50, 27-04-2026</t>
  </si>
  <si>
    <t xml:space="preserve">Trần Thị Thanh Thủy
 Số 417 tổ 63 khu 6, phường Hà khẩu, Hạ Long, Quảng Ninh, Phường Tuần Châu, Phường Tuần Châu, Quảng Ninh
 0356286568
 </t>
  </si>
  <si>
    <t>S22693229.BO.MT5-02-B7.1292787525</t>
  </si>
  <si>
    <t>SAPO128889732_603550</t>
  </si>
  <si>
    <t xml:space="preserve">Đỗ Văn Thành
 Anh Thành (Nhà nghỉ Nhị Linh). 236 Lê Duẩn- Thị Trấn Krong Klang, Xã Hướng Hiệp, Xã Hướng Hiệp, Quảng Trị
 0906056266
 </t>
  </si>
  <si>
    <t>S22693229.BO.MT19-06-H06.1107745534</t>
  </si>
  <si>
    <t>SAPO128889753_603550</t>
  </si>
  <si>
    <t xml:space="preserve">Nguyễn Khánh
 So 8 hoàng hoa tham thi trân Di linh huyện di linh lâm đông, Xã Di Linh, Xã Di Linh, Lâm Đồng
 0989422413
 </t>
  </si>
  <si>
    <t>S22693229.BO.MT19-28-E57.1273520098</t>
  </si>
  <si>
    <t>SAPO128889727_603550</t>
  </si>
  <si>
    <t>20:41, 24-04-2026</t>
  </si>
  <si>
    <t xml:space="preserve">trương thj mỹ duyên
 phòng khám Hà Thành, thôn 1, Xã Hòa Ninh, Xã Hòa Ninh, Lâm Đồng
 0916531900
 </t>
  </si>
  <si>
    <t>S22693229.MB26-39-J1.1357614332</t>
  </si>
  <si>
    <t>SAPO128889746_603550</t>
  </si>
  <si>
    <t>15:32, 24-04-2026</t>
  </si>
  <si>
    <t xml:space="preserve">Phan thị hiền
 Xóm đội cung, Xã Yên Thành, Xã Yên Thành, Nghệ An
 0966127127
 </t>
  </si>
  <si>
    <t>S22693229.BO.MN1-18-P22.1753797098</t>
  </si>
  <si>
    <t>SAPO128889738_603550</t>
  </si>
  <si>
    <t>20:04, 24-04-2026</t>
  </si>
  <si>
    <t xml:space="preserve">Võ Thị Phương Loan
 368 khu phố6, Phường Long Hưng, Phường Long Hưng, Đồng Nai
 0913839040
 </t>
  </si>
  <si>
    <t>S22693229.BO.MT12-21-X73.1036890405</t>
  </si>
  <si>
    <t>SAPO128889734_603550</t>
  </si>
  <si>
    <t xml:space="preserve">Huỳnh Thị Anh Đào
 01 Lý Tự Trọng, Phường Nha Trang, Phường Nha Trang, Khánh Hòa
 0935291363
 </t>
  </si>
  <si>
    <t>S22693229.BO.MT15-06-G45.1800828116</t>
  </si>
  <si>
    <t>SAPO128889728_603550</t>
  </si>
  <si>
    <t>18:29, 27-04-2026</t>
  </si>
  <si>
    <t xml:space="preserve">Phượng Lê
 465 Urê, Phường Kon Tum, Phường Kon Tum, Quảng Ngãi
 0905192384
 </t>
  </si>
  <si>
    <t>S22693229.BO.MN5-01-A103.1779905034</t>
  </si>
  <si>
    <t>SAPO128889739_603550</t>
  </si>
  <si>
    <t>18:08, 28-04-2026</t>
  </si>
  <si>
    <t xml:space="preserve">MAI
 Điện lực Đồng Phú, Thôn Tân an, xã Đồng Phú, tỉnh Đồng Nai, Xã Đồng Phú, Xã Đồng Phú, Đồng Nai
 0919227887
 </t>
  </si>
  <si>
    <t>S22693229.BO.MT4-01-A28.1905624447</t>
  </si>
  <si>
    <t>SAPO128889745_603550</t>
  </si>
  <si>
    <t>16:19, 24-04-2026</t>
  </si>
  <si>
    <t xml:space="preserve">Phạm hữu khánh
 12 ngõ 48 hoàng diệu, Phường Đồng Hới, Phường Đồng Hới, Quảng Trị
 0946009077
 </t>
  </si>
  <si>
    <t>S22693229.BO.SGP13-H08.1460741644</t>
  </si>
  <si>
    <t>SAPO128889756_603550</t>
  </si>
  <si>
    <t>14:51, 25-04-2026</t>
  </si>
  <si>
    <t xml:space="preserve">Bich Tam Phan
 113-115 Ung Van Khiem, P25, Q Binh Thanh, Phường Thạnh Mỹ Tây, Phường Thạnh Mỹ Tây, TP Hồ Chí Minh
 0908150002
 </t>
  </si>
  <si>
    <t>S22693229.BO.MT14-01-A41.1993729520</t>
  </si>
  <si>
    <t>SAPO128889720_603550</t>
  </si>
  <si>
    <t>16:09, 24-04-2026</t>
  </si>
  <si>
    <t xml:space="preserve">Trung
 Nhà thờ phú lâm, Xã Tuyên Quang, Xã Tuyên Quang, Lâm Đồng
 0986523528
 </t>
  </si>
  <si>
    <t>S22693229.BO.MN3-01-A62.1346669711</t>
  </si>
  <si>
    <t>SAPO128889737_603550</t>
  </si>
  <si>
    <t>14:19, 28-04-2026</t>
  </si>
  <si>
    <t xml:space="preserve">Ms Tường Anh
 195/27 hoàng văn thụ,, Phường Tam Thắng, Phường Tam Thắng, TP Hồ Chí Minh
 0989218009
 </t>
  </si>
  <si>
    <t>S22693229.BO.SGP100-I30.1411164087</t>
  </si>
  <si>
    <t>SAPO128889722_603550</t>
  </si>
  <si>
    <t>16:47, 24-04-2026</t>
  </si>
  <si>
    <t xml:space="preserve">TRẦN THÁI NGUYỆT LANG
 Cổng Đông 2, chung cư Sky garden, đường Phạm văn Nghị, Phường Tân Hưng, Phường Tân Hưng, TP Hồ Chí Minh
 0908312264
 </t>
  </si>
  <si>
    <t>S22693229.BO.MT12-21-X73.1762082374</t>
  </si>
  <si>
    <t>SAPO128889762_603550</t>
  </si>
  <si>
    <t>16:16, 27-04-2026</t>
  </si>
  <si>
    <t xml:space="preserve">Kieu Thanh Lan
 01 Trần Hưng Đạo, Phường Nha Trang, Phường Nha Trang, Khánh Hòa
 0934131084
 </t>
  </si>
  <si>
    <t>S22693229.BO.MT12-21-X74.1617283088</t>
  </si>
  <si>
    <t>SAPO128889747_603550</t>
  </si>
  <si>
    <t xml:space="preserve">Đinh Thế Giỏi
 86 Quang Trung, Phường Nha Trang, Phường Nha Trang, Khánh Hòa
 0905068808
 </t>
  </si>
  <si>
    <t>S22693229.BO.SGP105-N36.1974964613</t>
  </si>
  <si>
    <t>SAPO128889744_603550</t>
  </si>
  <si>
    <t>14:53, 24-04-2026</t>
  </si>
  <si>
    <t xml:space="preserve">Chị Thu
 8/4. Trần Triệu Luật, Phường Tân Hòa, Phường Tân Hòa, TP Hồ Chí Minh
 0919727282
 </t>
  </si>
  <si>
    <t>S22693229.BO.SGP100-I34.1056756940</t>
  </si>
  <si>
    <t>SAPO128889783_603550</t>
  </si>
  <si>
    <t>16:35, 24-04-2026</t>
  </si>
  <si>
    <t xml:space="preserve">Ngô Thuỷ
 120-122 Huỳnh Tấn Phát, Phường Tân Thuận, Phường Tân Thuận, TP Hồ Chí Minh
 0907963855
 </t>
  </si>
  <si>
    <t>S22693229.BO.MT13-06-D81.1831435610</t>
  </si>
  <si>
    <t>SAPO128889795_603550</t>
  </si>
  <si>
    <t>18:52, 25-04-2026</t>
  </si>
  <si>
    <t xml:space="preserve">Hương
 73 Bùi Xuân Phái, Phường Phan Rang, Phường Phan Rang, Khánh Hòa
 0387272776
 </t>
  </si>
  <si>
    <t>S22693229.HNP17-H2.1581537964</t>
  </si>
  <si>
    <t>SAPO128889801_603550</t>
  </si>
  <si>
    <t>17:55, 29-04-2026</t>
  </si>
  <si>
    <t xml:space="preserve">Huong Chi
 ct235 Thanh Liệt, Phường Thanh Liệt, Phường Thanh Liệt, Hà Nội, Phường Thanh Liệt, Phường Thanh Liệt, Hà Nội
 0777413333
 </t>
  </si>
  <si>
    <t>S22693229.BO.MT5-02-B5.1868337180</t>
  </si>
  <si>
    <t>SAPO128889818_603550</t>
  </si>
  <si>
    <t>17:45, 24-04-2026</t>
  </si>
  <si>
    <t xml:space="preserve">Tiến Trần
 Tân linh, Xã Khe Sanh, Xã Khe Sanh, Quảng Trị
 0945275246
 </t>
  </si>
  <si>
    <t>S22693229.BO.SGP12-H66.1256566782</t>
  </si>
  <si>
    <t>SAPO128889832_603550</t>
  </si>
  <si>
    <t xml:space="preserve">Thao Nhu
 111/8/111 Đang Thuy Trâm, Phường Bình Lợi Trung, Phường Bình Lợi Trung, TP Hồ Chí Minh
 0989115534
 </t>
  </si>
  <si>
    <t>S22693229.MB11-07-E3.1271392068</t>
  </si>
  <si>
    <t>SAPO128889859_603550</t>
  </si>
  <si>
    <t>07:46, 28-04-2026</t>
  </si>
  <si>
    <t xml:space="preserve">An pham minh
 ĐT 306, Xã Hội Thịnh, Xã Hội Thịnh, Phú Thọ
 0968403935
 </t>
  </si>
  <si>
    <t>S22693229.BO.MN2-05-H61.1244394928</t>
  </si>
  <si>
    <t>SAPO128889896_603550</t>
  </si>
  <si>
    <t>21:09, 24-04-2026</t>
  </si>
  <si>
    <t xml:space="preserve">Tuyet anh Huynh
 46 Nguyễn an ninh dĩ an, Phường Dĩ An, Phường Dĩ An, TP Hồ Chí Minh
 0962418246
 </t>
  </si>
  <si>
    <t>S22693229.BO.MN2-09-I111.1471444898</t>
  </si>
  <si>
    <t>SAPO128889958_603550</t>
  </si>
  <si>
    <t>13:23, 24-04-2026</t>
  </si>
  <si>
    <t xml:space="preserve">Vo vien
 Tổ 2 khu phố khánh vân khánh bình tân uyên bình dương, Phường Tân Uyên, TP Hồ Chí Minh
 0966627673
 </t>
  </si>
  <si>
    <t>S22693229.BO.SGP59-P80.1418807103</t>
  </si>
  <si>
    <t>SAPO128890036_603550</t>
  </si>
  <si>
    <t>13:31, 23-04-2026</t>
  </si>
  <si>
    <t xml:space="preserve">Ngoc
 Kinh Dương Vương, Phường An Lạc, Phường An Lạc, TP Hồ Chí Minh
 0903168235
 </t>
  </si>
  <si>
    <t>S22693229.BO.MT10-05-E73.1563772725</t>
  </si>
  <si>
    <t>SAPO128890061_603550</t>
  </si>
  <si>
    <t>16:39, 27-04-2026</t>
  </si>
  <si>
    <t xml:space="preserve">Nguyễn kiều trang
 142 lê duẩn, Phường An Nhơn, Phường An Nhơn, Gia Lai
 0982839288
 </t>
  </si>
  <si>
    <t>S22693229.MB10-06-F15.1085410651</t>
  </si>
  <si>
    <t>SAPO128890098_603550</t>
  </si>
  <si>
    <t xml:space="preserve">Hồ thắm
 Khu doc mạn xã Bình Khê huyện Đông Triều tỉnh Quảng Ninh, Phường Bình Khê, Phường Bình Khê, Quảng Ninh
 0782182840
 </t>
  </si>
  <si>
    <t>S22693229.BO.MN4-09-P21.1905572271</t>
  </si>
  <si>
    <t>SAPO128890131_603550</t>
  </si>
  <si>
    <t xml:space="preserve">Thi Tam Dao
 Xã Long Khánh huyện bến Cầu Tây Ninh, Xã Long Thuận, Xã Long Thuận, Tây Ninh
 0972531227
 </t>
  </si>
  <si>
    <t>S22693229.BO.SGP47-V18.1947034320</t>
  </si>
  <si>
    <t>SAPO128890210_603550</t>
  </si>
  <si>
    <t>10:28, 21-04-2026</t>
  </si>
  <si>
    <t>16:52, 25-04-2026</t>
  </si>
  <si>
    <t xml:space="preserve">Lê Thị Duy Hạnh
 S1.07 Vinhome Grand Park, Nguyễn Xiển, Phường Long Bình, Phường Long Bình, TP Hồ Chí Minh
 0902710227
 </t>
  </si>
  <si>
    <t>S22693229.BO.SGP104-S09.1463370166</t>
  </si>
  <si>
    <t>SAPO128890255_603550</t>
  </si>
  <si>
    <t xml:space="preserve">Trần nga
 28/32 trần bình trọng P 1 Q 5, Phường Chợ Quán, Phường Chợ Quán, TP Hồ Chí Minh
 0902832912
 </t>
  </si>
  <si>
    <t>S22693229.BO.MN1-08-H13.1623137161</t>
  </si>
  <si>
    <t>SAPO128890270_603550</t>
  </si>
  <si>
    <t>18:44, 28-04-2026</t>
  </si>
  <si>
    <t xml:space="preserve">Thu
 244 CMT8, Phường Trấn Biên, Phường Trấn Biên, Đồng Nai
 0982851306
 </t>
  </si>
  <si>
    <t>S22693229.BO.MN12-01-A04.1884873026</t>
  </si>
  <si>
    <t>SAPO128890280_603550</t>
  </si>
  <si>
    <t>13:20, 24-04-2026</t>
  </si>
  <si>
    <t xml:space="preserve">Nguyễn Thế Vi
 577,Lê Đại Hành, Phường Mỹ Trà, Phường Mỹ Trà, Đồng Tháp
 0966542904
 </t>
  </si>
  <si>
    <t>S22693229.MB13-01-M14.1353734179</t>
  </si>
  <si>
    <t>SAPO128890298_603550</t>
  </si>
  <si>
    <t>18:27, 27-04-2026</t>
  </si>
  <si>
    <t xml:space="preserve">Hồ Thị Sa
 Tổ 13, An Tường, TP Tuyên Quang, Tuyên Quang, Phường An Tường, Phường An Tường, Tuyên Quang
 0868985190
 </t>
  </si>
  <si>
    <t>S22693229.BO.MN3-02-T39.1243982087</t>
  </si>
  <si>
    <t>SAPO128890315_603550</t>
  </si>
  <si>
    <t>19:15, 27-04-2026</t>
  </si>
  <si>
    <t xml:space="preserve">Nguyễn kim Phượng
 Số 87 đường trường chinh,  khu phố Tân Phú, Phường Phú Mỹ, Phường Phú Mỹ, TP Hồ Chí Minh
 0974903277
 </t>
  </si>
  <si>
    <t>S22693229.BO.MN1-20-TP51.1665578228</t>
  </si>
  <si>
    <t>SAPO128890323_603550</t>
  </si>
  <si>
    <t>15:38, 24-04-2026</t>
  </si>
  <si>
    <t xml:space="preserve">Trần trang
 Khu 80 long đức 1, Phường Tam Phước, Phường Tam Phước, Đồng Nai
 0353233268
 </t>
  </si>
  <si>
    <t>S22693229.MB26-09-N5.1212710218</t>
  </si>
  <si>
    <t>SAPO128890343_603550</t>
  </si>
  <si>
    <t>18:57, 24-04-2026</t>
  </si>
  <si>
    <t xml:space="preserve">Nguyễn thị Huyền
 Xóm Long biên-xã kim bảng- nghệ an, Xã Kim Bảng, Xã Kim Bảng, Nghệ An
 0963298036
 </t>
  </si>
  <si>
    <t>S22693229.BO.MN3-02-T57.1731320763</t>
  </si>
  <si>
    <t>SAPO128890357_603550</t>
  </si>
  <si>
    <t>18:35, 24-04-2026</t>
  </si>
  <si>
    <t xml:space="preserve">Do thi luyến
 To 7 kp Suối nhum p hắc dịch TP Phú Mỹ brvt, Phường Tân Thành, Phường Tân Thành, TP Hồ Chí Minh
 0385897448
 </t>
  </si>
  <si>
    <t>S22693229.BO.MT11-01-A71.1570082272</t>
  </si>
  <si>
    <t>SAPO128890369_603550</t>
  </si>
  <si>
    <t>14:53, 25-04-2026</t>
  </si>
  <si>
    <t xml:space="preserve">Nguyễn xuân hương
 73 nguyễn huệ, Phường Tuy Hòa, Phường Tuy Hòa, Đắk Lắk
 0977493579
 </t>
  </si>
  <si>
    <t>S22693229.BO.SGP101-I100.1808671247</t>
  </si>
  <si>
    <t>SAPO128890381_603550</t>
  </si>
  <si>
    <t>12:13, 24-04-2026</t>
  </si>
  <si>
    <t xml:space="preserve">Sang Nguyen
 The Ascentia, A1209, Nguyen Luong Bang, Phường Tân Mỹ, Phường Tân Mỹ, TP Hồ Chí Minh
 0903803302
 </t>
  </si>
  <si>
    <t>S22693229.BO.MT19-15-N04.1439413501</t>
  </si>
  <si>
    <t>SAPO128890412_603550</t>
  </si>
  <si>
    <t>16:57, 24-04-2026</t>
  </si>
  <si>
    <t xml:space="preserve">Đặng Hạnh
 Tòa án nhân dân khu vực 2-Lâm Đồng, Xã Đức Trọng, Xã Đức Trọng, Lâm Đồng
 0915455102
 </t>
  </si>
  <si>
    <t>S22693229.BO.DN10-G36.1050974968</t>
  </si>
  <si>
    <t>SAPO128890468_603550</t>
  </si>
  <si>
    <t xml:space="preserve">Lê mi bình
 148/15 lý tự trọng, Phường Hải Châu, Phường Hải Châu, Đà Nẵng
 0944275868
 </t>
  </si>
  <si>
    <t>S22693229.BO.MN6-02-C81.1284406849</t>
  </si>
  <si>
    <t>SAPO128890472_603550</t>
  </si>
  <si>
    <t>19:39, 25-04-2026</t>
  </si>
  <si>
    <t xml:space="preserve">Nguyễn Thị
 Đường số 9 khu dân cư Thanh yến ,ấp 5 Nhựt Chánh xã Bình Đức ,tỉnh Tây Ninh, Xã Bình Đức, Xã Bình Đức, Tây Ninh
 0784987489
 </t>
  </si>
  <si>
    <t>S22693229.BO.SGP101-I99.1665263292</t>
  </si>
  <si>
    <t>SAPO128890482_603550</t>
  </si>
  <si>
    <t>15:19, 24-04-2026</t>
  </si>
  <si>
    <t xml:space="preserve">Trần Tú
 Cc Midtown Lô M7 block D đường số 16, Phường Tân Mỹ, Phường Tân Mỹ, TP Hồ Chí Minh
 0914378989
 </t>
  </si>
  <si>
    <t>S22693229.MB26-31-F7.1537722611</t>
  </si>
  <si>
    <t>SAPO128890503_603550</t>
  </si>
  <si>
    <t>20:15, 25-04-2026</t>
  </si>
  <si>
    <t xml:space="preserve">Phan Thị Thuý
 Coffe phuc 1989, Xã Diễn Châu, Xã Diễn Châu, Nghệ An
 0385040357
 </t>
  </si>
  <si>
    <t>S22693229.BO.MN8-04-C42.1194677850</t>
  </si>
  <si>
    <t>SAPO128890563_603550</t>
  </si>
  <si>
    <t>10:29, 21-04-2026</t>
  </si>
  <si>
    <t>17:26, 24-04-2026</t>
  </si>
  <si>
    <t xml:space="preserve">thingocyen tran
 223C Hùng Vương, Phường Bến Tre, Phường Bến Tre, Vĩnh Long
 0919197627
 </t>
  </si>
  <si>
    <t>S22693229.BO.MN2-05-E33.1851928875</t>
  </si>
  <si>
    <t>SAPO128890602_603550</t>
  </si>
  <si>
    <t>19:39, 29-04-2026</t>
  </si>
  <si>
    <t xml:space="preserve">Nguyễn Lan
 Số 21 đường 13 khu phố Nhị đồng 1 dĩ An TP HCM, Phường Dĩ An, Phường Dĩ An, TP Hồ Chí Minh
 0984262046
 </t>
  </si>
  <si>
    <t>S22693229.BO.SGP78-S46.1013493606</t>
  </si>
  <si>
    <t>SAPO128890693_603550</t>
  </si>
  <si>
    <t>13:10, 24-04-2026</t>
  </si>
  <si>
    <t xml:space="preserve">An
 39 Bàu Cát 7 p.14 quận Tân Bình, Phường Tân Bình, Phường Tân Bình, TP Hồ Chí Minh
 0907809407
 </t>
  </si>
  <si>
    <t>S22693229.MB27-03-C11.1510115804</t>
  </si>
  <si>
    <t>SAPO128890717_603550</t>
  </si>
  <si>
    <t>17:05, 28-04-2026</t>
  </si>
  <si>
    <t xml:space="preserve">Oanh
 thôn Hoa Tân,, Xã Kỳ Hoa, Xã Kỳ Hoa, Hà Tĩnh
 0915446399
 </t>
  </si>
  <si>
    <t>S22693229.BO.MN1-20-TP94.1731579923</t>
  </si>
  <si>
    <t>SAPO128896626_603550</t>
  </si>
  <si>
    <t>10:44, 21-04-2026</t>
  </si>
  <si>
    <t xml:space="preserve">Nguyễn thuy trang
 Hẻm 137 nguyễn hải, ấp 3, Xã An Phước, Xã An Phước, Đồng Nai
 0934841855
 </t>
  </si>
  <si>
    <t>S22693229.BO.MN1-20-TP94.1689114280</t>
  </si>
  <si>
    <t>SAPO128896628_603550</t>
  </si>
  <si>
    <t>S22693229.BO.MN2-32-F9.1733177910</t>
  </si>
  <si>
    <t>SAPO128905147_603550</t>
  </si>
  <si>
    <t>11:03, 21-04-2026</t>
  </si>
  <si>
    <t>17:14, 27-04-2026</t>
  </si>
  <si>
    <t xml:space="preserve">Nguyễn Thị Cẩm Thạch
 Cty Hữu Nghị Miền Nam , Đường Số 2, KCN Sóng Thần 3, Phường Bình Dương, Phường Bình Dương, TP Hồ Chí Minh
 0398452154
 </t>
  </si>
  <si>
    <t>S22693229.BO.SGP100-I33.1236598444</t>
  </si>
  <si>
    <t>SAPO128905169_603550</t>
  </si>
  <si>
    <t>10:36, 25-04-2026</t>
  </si>
  <si>
    <t xml:space="preserve">Cao hoàng phương anh
 C10.01 chung cư himlam riverside, hoàng trọng mậu, Phường Tân Hưng, Phường Tân Hưng, TP Hồ Chí Minh
 0973152008
 </t>
  </si>
  <si>
    <t>S22693229.BO.SGP39-Q41.1417875481</t>
  </si>
  <si>
    <t>SAPO128905160_603550</t>
  </si>
  <si>
    <t>17:53, 25-04-2026</t>
  </si>
  <si>
    <t xml:space="preserve">Phạm thị tuyến
 286 cô Bắc, Phường Cầu Ông Lãnh, Phường Cầu Ông Lãnh, TP Hồ Chí Minh
 0936611569
 </t>
  </si>
  <si>
    <t>S22693229.MB7-03-B1.1483691859</t>
  </si>
  <si>
    <t>SAPO128905164_603550</t>
  </si>
  <si>
    <t>22:14, 24-04-2026</t>
  </si>
  <si>
    <t xml:space="preserve">Khanh
 Tổ 6, Phường Thiên Hương, Phường Thiên Hương, Hải Phòng
 0918080703
 </t>
  </si>
  <si>
    <t>S22693229.HNP119-E1.1481274193</t>
  </si>
  <si>
    <t>SAPO128905157_603550</t>
  </si>
  <si>
    <t>13:48, 25-04-2026</t>
  </si>
  <si>
    <t xml:space="preserve">Ms. Ha
 Tòa, Xã Vĩnh Thanh, Xã Vĩnh Thanh, Hà Nội
 0988130926
 </t>
  </si>
  <si>
    <t>S22693229.BO.SGP89-I05.1504097768</t>
  </si>
  <si>
    <t>SAPO128905155_603550</t>
  </si>
  <si>
    <t xml:space="preserve">Lê thị na
 179c hai bà trưng.võ thị sáu .q3, Phường Xuân Hòa, Phường Xuân Hòa, TP Hồ Chí Minh
 0902918220
 </t>
  </si>
  <si>
    <t>S22693229.BO.SGP11-V40.1490207584</t>
  </si>
  <si>
    <t>SAPO128905154_603550</t>
  </si>
  <si>
    <t xml:space="preserve">Trần Thị Lệ
 72/22 Duy Tân, Phường Cầu Kiệu, Phường Cầu Kiệu, TP Hồ Chí Minh
 0986797829
 </t>
  </si>
  <si>
    <t>S22693229.BO.SGP12-H51.1850356634</t>
  </si>
  <si>
    <t>SAPO128905143_603550</t>
  </si>
  <si>
    <t>18:50, 28-04-2026</t>
  </si>
  <si>
    <t xml:space="preserve">Phạm Thị Mỹ Linh
 17 Huỳnh Đình Hai, Phường Bình Thạnh, Phường Bình Thạnh, TP Hồ Chí Minh
 0909024422
 </t>
  </si>
  <si>
    <t>S22693229.BO.MN5-04-C84.1519140082</t>
  </si>
  <si>
    <t>SAPO128905163_603550</t>
  </si>
  <si>
    <t>15:50, 27-04-2026</t>
  </si>
  <si>
    <t xml:space="preserve">hương
 trạm y tế Bình Sơn Huyện phú riềng tỉnh bình phước, Phường Phước Bình, Phường Phước Bình, Đồng Nai
 0984410300
 </t>
  </si>
  <si>
    <t>S22693229.BO.MT8-05-E10.1556982659</t>
  </si>
  <si>
    <t>SAPO128905149_603550</t>
  </si>
  <si>
    <t>17:29, 24-04-2026</t>
  </si>
  <si>
    <t xml:space="preserve">Le thị thu
 Nhà sàn - kim bồng Tây - Cẩm kim - hội an, Phường Hội An, Phường Hội An, Đà Nẵng
 0905819401
 </t>
  </si>
  <si>
    <t>S22693229.BO.MN3-03-C62.1074896551</t>
  </si>
  <si>
    <t>SAPO128905156_603550</t>
  </si>
  <si>
    <t>16:06, 25-04-2026</t>
  </si>
  <si>
    <t xml:space="preserve">Lưu Thị Phương Loan
 611 quốc lộ 51 khu phố hương Sơn, phường Long Hương TP Bà Rịa Tỉnh BRVT, Phường Long Hương, Phường Long Hương, TP Hồ Chí Minh
 0933925636
 </t>
  </si>
  <si>
    <t>S22693229.BO.SGP100-I30.1041482390</t>
  </si>
  <si>
    <t>SAPO128905153_603550</t>
  </si>
  <si>
    <t>15:07, 24-04-2026</t>
  </si>
  <si>
    <t xml:space="preserve">Trần Thai Nguyệt Lang
 Cổng Đông 2,chung cư Sky garden, đường Phạm  văn Nghị, Phường Tân Hưng, Phường Tân Hưng, TP Hồ Chí Minh
 0908312264
 </t>
  </si>
  <si>
    <t>S22693229.MB24-10-D17.1401017639</t>
  </si>
  <si>
    <t>SAPO128905146_603550</t>
  </si>
  <si>
    <t>19:53, 24-04-2026</t>
  </si>
  <si>
    <t xml:space="preserve">Thảo Hoàng
 Ngã tưC4 xã thanh hưng cũ, Xã Thanh Nưa, Xã Thanh Nưa, Điện Biên
 0978001736
 </t>
  </si>
  <si>
    <t>S22693229.BO.MT12-21-X32.1926763105</t>
  </si>
  <si>
    <t>SAPO128905190_603550</t>
  </si>
  <si>
    <t>11:04, 21-04-2026</t>
  </si>
  <si>
    <t>17:39, 27-04-2026</t>
  </si>
  <si>
    <t xml:space="preserve">Trí
 43/6/17 Tôn Thất Tùng , Phường Nha Trang, Phường Nha Trang, Khánh Hòa, Phường Nha Trang, Phường Nha Trang, Khánh Hòa
 0935156686
 </t>
  </si>
  <si>
    <t>S22693229.BO.SGP105-N44.1949769639</t>
  </si>
  <si>
    <t>SAPO128905223_603550</t>
  </si>
  <si>
    <t>15:02, 25-04-2026</t>
  </si>
  <si>
    <t xml:space="preserve">Kha
 5c Nguyễn giãng Thanh, Phường Hòa Hưng, Phường Hòa Hưng, TP Hồ Chí Minh, Phường Hòa Hưng, Phường Hòa Hưng, TP Hồ Chí Minh
 0346245560
 </t>
  </si>
  <si>
    <t>S22693229.BO.SGP105-N44.1629671824</t>
  </si>
  <si>
    <t>SAPO128905228_603550</t>
  </si>
  <si>
    <t xml:space="preserve">Kha
 5C Nguyễn Giản Thanh, phường Hoà Hưng, Tp. Hcm, Phường Hòa Hưng, Phường Hòa Hưng, TP Hồ Chí Minh
 0346245560
 </t>
  </si>
  <si>
    <t>S22693229.BO.MT9-01-A5.1460355002</t>
  </si>
  <si>
    <t>SAPO128905253_603550</t>
  </si>
  <si>
    <t xml:space="preserve">Chung
 Số nhà 10 đường Trương Quyền (Lô 34, đường số 1 Nguyễn Khuyến), tp Quảng Ngãi, Phường Nghĩa Lộ, Phường Nghĩa Lộ, Quảng Ngãi
 0978676226
 </t>
  </si>
  <si>
    <t>S22693229.BO.MN17-03-S43.1109612041</t>
  </si>
  <si>
    <t>SAPO128905277_603550</t>
  </si>
  <si>
    <t>14:48, 24-04-2026</t>
  </si>
  <si>
    <t xml:space="preserve">Trang Ngọc Tuấn
 Số 9, đường Võ Văn Kiệt, Phường Bạc Liêu, Phường Bạc Liêu, Cà Mau
 0918606267
 </t>
  </si>
  <si>
    <t>S22693229.HNP142-O18.1078053319</t>
  </si>
  <si>
    <t>SAPO128905297_603550</t>
  </si>
  <si>
    <t>14:49, 25-04-2026</t>
  </si>
  <si>
    <t xml:space="preserve">HOÀNG TRUNG HIẾU
 Nam, Xã Nam Phù, Xã Nam Phù, Hà Nội
 0989385592
 </t>
  </si>
  <si>
    <t>S22693229.HNP142-O17.1292837643</t>
  </si>
  <si>
    <t>SAPO128905327_603550</t>
  </si>
  <si>
    <t>16:04, 24-04-2026</t>
  </si>
  <si>
    <t>S22693229.BO.MN13-09-D10.1413030770</t>
  </si>
  <si>
    <t>SAPO128905367_603550</t>
  </si>
  <si>
    <t>16:25, 25-04-2026</t>
  </si>
  <si>
    <t xml:space="preserve">Trần thị Bích loan
 Vĩnh phú, Xã Vĩnh Thạnh Trung, Xã Vĩnh Thạnh Trung, An Giang
 0379566667
 </t>
  </si>
  <si>
    <t>S22693229.BO.SGP11-V57.1437879479</t>
  </si>
  <si>
    <t>SAPO128905414_603550</t>
  </si>
  <si>
    <t xml:space="preserve">Nguyễn trung kiên
 68 phan đăng lưu, Phường Đức Nhuận, Phường Đức Nhuận, TP Hồ Chí Minh
 0938071468
 </t>
  </si>
  <si>
    <t>S22693229.BO.MN5-01-A253.1808462791</t>
  </si>
  <si>
    <t>SAPO128905469_603550</t>
  </si>
  <si>
    <t>15:20, 24-04-2026</t>
  </si>
  <si>
    <t xml:space="preserve">Nguyen Thi Dung
 Tổ 2, kp Phú Mỹ, phường Bình Phước, tỉnh Đồng Nai, Phường Bình Phước, Phường Bình Phước, Đồng Nai
 0937838878
 </t>
  </si>
  <si>
    <t>S22693229.BO.MT8-05-E23.1368111210</t>
  </si>
  <si>
    <t>SAPO128905509_603550</t>
  </si>
  <si>
    <t xml:space="preserve">Phan Thi Hien
 To 20B Thon Phuoc Trung, Cam Kim, Phường Hội An, Phường Hội An, Đà Nẵng
 0905101930
 </t>
  </si>
  <si>
    <t>S22693229.BO.MN9-11-U71.1569760108</t>
  </si>
  <si>
    <t>SAPO128905547_603550</t>
  </si>
  <si>
    <t xml:space="preserve">Trần Thị Dương Diệp
 46/23, khóm 8, Phường Phước Hậu, Phường Phước Hậu, Vĩnh Long
 0944325051
 </t>
  </si>
  <si>
    <t>S22693229.BO.MT12-07-D21.1716582570</t>
  </si>
  <si>
    <t>SAPO128905721_603550</t>
  </si>
  <si>
    <t>11:05, 21-04-2026</t>
  </si>
  <si>
    <t>18:50, 25-04-2026</t>
  </si>
  <si>
    <t xml:space="preserve">Le duy linh
 142 Lê Hồng Phong, Phường Nam Nha Trang, Phường Nam Nha Trang, Khánh Hòa
 0834633977
 </t>
  </si>
  <si>
    <t>S22693229.MB5-13-M15.1501706705</t>
  </si>
  <si>
    <t>SAPO128951819_603550</t>
  </si>
  <si>
    <t>13:14, 21-04-2026</t>
  </si>
  <si>
    <t>14:39, 24-04-2026</t>
  </si>
  <si>
    <t xml:space="preserve">Nguyễn Thị Hoa
 Đội 1- Hương Quất- Thành Công- khoái châu- Hưng Yên, Xã Chí Minh, Xã Chí Minh, Hưng Yên
 0975813078
 </t>
  </si>
  <si>
    <t>S22693229.MB10-24-N9.1645671311</t>
  </si>
  <si>
    <t>SAPO128952194_603550</t>
  </si>
  <si>
    <t xml:space="preserve">Huyền trang
 Sn 42b Lê lợi phường Hồng gai tỉnh quảng Ninh, Phường Hồng Gai, Phường Hồng Gai, Quảng Ninh
 0902046648
 </t>
  </si>
  <si>
    <t>S22693229.BO.MT8-05-E10.1228766041</t>
  </si>
  <si>
    <t>SAPO128952182_603550</t>
  </si>
  <si>
    <t>14:43, 24-04-2026</t>
  </si>
  <si>
    <t xml:space="preserve">Trần Thị Trinh
 567a Hai Bà Trưng, Phường Hội An, Phường Hội An, Đà Nẵng
 0935878959
 </t>
  </si>
  <si>
    <t>S22693229.BO.MN3-11-T01.1258233196</t>
  </si>
  <si>
    <t>SAPO128952181_603550</t>
  </si>
  <si>
    <t>18:02, 25-04-2026</t>
  </si>
  <si>
    <t xml:space="preserve">Phan An
 127/20/2 Phạm Hồng Thái, Phường Tam Thắng, Phường Tam Thắng, TP Hồ Chí Minh
 0398195825
 </t>
  </si>
  <si>
    <t>S22693229.BO.MN1-10-I89.1932228037</t>
  </si>
  <si>
    <t>SAPO128952178_603550</t>
  </si>
  <si>
    <t xml:space="preserve">Lê Thị Trâm Anh
 Tổ 6 ẤP 1, Xã Sông Ray, Xã Sông Ray, Đồng Nai
 0984606566
 </t>
  </si>
  <si>
    <t>S22693229.BO.MT19-23-G02.1587484088</t>
  </si>
  <si>
    <t>SAPO128952197_603550</t>
  </si>
  <si>
    <t>17:43, 25-04-2026</t>
  </si>
  <si>
    <t xml:space="preserve">Nguyễn phượng
 62 bạch đằng, Xã Nam Ban Lâm Hà, Xã Nam Ban Lâm Hà, Lâm Đồng
 0977697660
 </t>
  </si>
  <si>
    <t>S22693229.BO.SGP105-S66.1132046716</t>
  </si>
  <si>
    <t>SAPO128952184_603550</t>
  </si>
  <si>
    <t>12:11, 24-04-2026</t>
  </si>
  <si>
    <t xml:space="preserve">Jenny Ho
 958/86/30 Lạc Long Quân, P Tân Hoà, TP. HCM, Phường Tân Hòa, Phường Tân Hòa, TP Hồ Chí Minh
 0989271517
 </t>
  </si>
  <si>
    <t>S22693229.BO.MT16-05-P83.1838809070</t>
  </si>
  <si>
    <t>SAPO128952201_603550</t>
  </si>
  <si>
    <t>19:27, 25-04-2026</t>
  </si>
  <si>
    <t xml:space="preserve">Lan anh
 05 Lý Thái Tổ, Phường Diên Hồng, Phường Diên Hồng, Gia Lai
 0974003377
 </t>
  </si>
  <si>
    <t>S22693229.BO.MN1-09-TS94.1300890752</t>
  </si>
  <si>
    <t>SAPO128952191_603550</t>
  </si>
  <si>
    <t>20:24, 25-04-2026</t>
  </si>
  <si>
    <t xml:space="preserve">Nguyen Hang
 Ấp 3, Xã Bình Lợi, Phường Tân Triều, Phường Tân Triều, Đồng Nai, Phường Tân Triều, Phường Tân Triều, Đồng Nai
 0949597239
 </t>
  </si>
  <si>
    <t>S22693229.BO.MN6-01-S13.1751904012</t>
  </si>
  <si>
    <t>SAPO128952189_603550</t>
  </si>
  <si>
    <t xml:space="preserve">Phan Quang Vinh
 63 lô C, khu phố 1, Xã Thủ Thừa, Xã Thủ Thừa, Tây Ninh
 0918089880
 </t>
  </si>
  <si>
    <t>S22693229.BO.MN11-07-V66.1403191272</t>
  </si>
  <si>
    <t>SAPO128952193_603550</t>
  </si>
  <si>
    <t xml:space="preserve">Dung
 69 đường số 3 khu Đại Ngân, Phường Tân An, Phường Tân An, Cần Thơ
 0919245605
 </t>
  </si>
  <si>
    <t>S22693229.BO.SGP37-K17.1232396960</t>
  </si>
  <si>
    <t>SAPO128952185_603550</t>
  </si>
  <si>
    <t>17:33, 24-04-2026</t>
  </si>
  <si>
    <t xml:space="preserve">Le Thi Chung
 B58 đường C1, kp1,, Phường Đông Hưng Thuận, Phường Đông Hưng Thuận, TP Hồ Chí Minh
 0907129557
 </t>
  </si>
  <si>
    <t>S22693229.BO.SGP104-S06.1973854039</t>
  </si>
  <si>
    <t>SAPO128952179_603550</t>
  </si>
  <si>
    <t>15:49, 24-04-2026</t>
  </si>
  <si>
    <t xml:space="preserve">Hoa
 128-139 Nguyễn Duy Dương P9 Q5 TPHCM, Phường An Đông, Phường An Đông, TP Hồ Chí Minh
 0918737680
 </t>
  </si>
  <si>
    <t>S22693229.MB19-02-C5.1329424036</t>
  </si>
  <si>
    <t>SAPO128952187_603550</t>
  </si>
  <si>
    <t>20:55, 25-04-2026</t>
  </si>
  <si>
    <t xml:space="preserve">Dương Hinh
 14, Xã Vạn Phú, Xã Vạn Phú, Thái Nguyên
 0972479226
 </t>
  </si>
  <si>
    <t>S22693229.MB20-01-C12.1000757717</t>
  </si>
  <si>
    <t>SAPO128952202_603550</t>
  </si>
  <si>
    <t>07:54, 25-04-2026</t>
  </si>
  <si>
    <t xml:space="preserve">Lê Vân
 UBND xã Đồng Phúc, Xã Đồng Phúc, Xã Đồng Phúc, Thái Nguyên
 0962926178
 </t>
  </si>
  <si>
    <t>S22693229.BO.MN1-09-TS79.1654351038</t>
  </si>
  <si>
    <t>SAPO128952291_603550</t>
  </si>
  <si>
    <t xml:space="preserve">Nguyễn minh phương
 253 phạm văn thuận, Phường Tam Hiệp, Phường Tam Hiệp, Đồng Nai
 0911019191
 </t>
  </si>
  <si>
    <t>S22693229.MB18-03-M2.1712775388</t>
  </si>
  <si>
    <t>SAPO128952338_603550</t>
  </si>
  <si>
    <t>09:38, 25-04-2026</t>
  </si>
  <si>
    <t xml:space="preserve">THI
 Trúc Long, Sóc Hà, Hà Quảng, Cao Bằng, Xã Trường Hà, Xã Trường Hà, Cao Bằng
 0383691719
 </t>
  </si>
  <si>
    <t>S22693229.BO.DN9-O2.1925682027</t>
  </si>
  <si>
    <t>SAPO128952381_603550</t>
  </si>
  <si>
    <t xml:space="preserve">Oanh
 316 trần cao vân, Phường Thanh Khê, Phường Thanh Khê, Đà Nẵng
 0935322789
 </t>
  </si>
  <si>
    <t>S22693229.BO.SGP47-V22.1970987295</t>
  </si>
  <si>
    <t>SAPO128952438_603550</t>
  </si>
  <si>
    <t>14:55, 25-04-2026</t>
  </si>
  <si>
    <t xml:space="preserve">Lê Thị Thu Huyền
 21 Đường 6, Khu Dân cư Khang An,Phường Phú Hữu , Quận 9 (nay là Phường Lomg Trường) TPHCM, Phường Long Trường, Phường Long Trường, TP Hồ Chí Minh
 0363594826
 </t>
  </si>
  <si>
    <t>S22693229.BO.SGP43-M87.1198349874</t>
  </si>
  <si>
    <t>SAPO128952481_603550</t>
  </si>
  <si>
    <t>14:41, 25-04-2026</t>
  </si>
  <si>
    <t xml:space="preserve">Nguyễn Xen
 CÔNG TY CỔ PHẦN NÔNG NGHIỆP TRƯỜNG HẢI A: Tầng 2, Tòa nhà SADORA, địa chỉ: Số 2 Đường 13, P. An Khánh, TP. Thủ Đức, TP.HCM. SDT  Ms Xen : 793677779, Phường An Khánh, Phường An Khánh, TP Hồ Chí Minh
 0935788086
 </t>
  </si>
  <si>
    <t>S22693229.MB26-28-C16.1878847617</t>
  </si>
  <si>
    <t>SAPO128952566_603550</t>
  </si>
  <si>
    <t>14:07, 24-04-2026</t>
  </si>
  <si>
    <t xml:space="preserve">Huyền
 NS9, Ngõ 64, Nguyễn Sỹ Sách, Phường Trường Vinh, tỉnh Nghệ An, Phường Trường Vinh, Phường Trường Vinh, Nghệ An
 0988614735
 </t>
  </si>
  <si>
    <t>S22693229.BO.SGP47-V15.1052383569</t>
  </si>
  <si>
    <t>SAPO128952586_603550</t>
  </si>
  <si>
    <t xml:space="preserve">DAO THI HONG DIEM
 Bs15, Vinhome GrandPark, Phường Long Bình, Phường Long Bình, TP Hồ Chí Minh
 0937925486
 </t>
  </si>
  <si>
    <t>S22693229.BO.MN12-11-B12.1464394691</t>
  </si>
  <si>
    <t>SAPO128952772_603550</t>
  </si>
  <si>
    <t>13:15, 21-04-2026</t>
  </si>
  <si>
    <t>12:20, 28-04-2026</t>
  </si>
  <si>
    <t xml:space="preserve">Nguyễn kiều
 249/1a khóm tân an, Phường Sa Đéc, Phường Sa Đéc, Đồng Tháp
 0917897509
 </t>
  </si>
  <si>
    <t>S22693229.BO.SG11-05-F23.1659834673</t>
  </si>
  <si>
    <t>SAPO128952825_603550</t>
  </si>
  <si>
    <t>16:25, 28-04-2026</t>
  </si>
  <si>
    <t xml:space="preserve">Vĩnh Hải Nguyễn
 A7/27.kp1.tân túc.bình chánh tp hcm, Xã Tân Nhựt, Xã Tân Nhựt, TP Hồ Chí Minh
 0779007779
 </t>
  </si>
  <si>
    <t>S22693229.BO.SGP11-V65.1094435247</t>
  </si>
  <si>
    <t>SAPO128957135_603550</t>
  </si>
  <si>
    <t>13:22, 21-04-2026</t>
  </si>
  <si>
    <t xml:space="preserve">Vien Hoang
 37 Nguyễn Văn Thủ, P Đakao, Q.1, Tp.HCM, Phường Sài Gòn, Phường Sài Gòn, TP Hồ Chí Minh
 0966228138
 </t>
  </si>
  <si>
    <t>S22693229.BO.SG11-10-K10.1409643416</t>
  </si>
  <si>
    <t>SAPO128957134_603550</t>
  </si>
  <si>
    <t>11:35, 24-04-2026</t>
  </si>
  <si>
    <t xml:space="preserve">Long
 P5-01 đường số 1 KDC Phi Long 5, Xã Bình Hưng, Xã Bình Hưng, TP Hồ Chí Minh
 0907836680
 </t>
  </si>
  <si>
    <t>S22693229.HNP127-V24.1020884957</t>
  </si>
  <si>
    <t>bù hàng đơn 2604185GHP4VC5</t>
  </si>
  <si>
    <t>13:49, 21-04-2026</t>
  </si>
  <si>
    <t>17:37, 27-04-2026</t>
  </si>
  <si>
    <t xml:space="preserve">Khách
 Số 18 thôn Kiều Đoài , xã Đại Xuyên , huyện Phú Xuyên, Hà nội, Xã Đại Xuyên, Xã Đại Xuyên, Hà Nội
 0369313638
 </t>
  </si>
  <si>
    <t>S22693229.BO.MT14-03-C23.1540618185</t>
  </si>
  <si>
    <t>bù hàng đơn 260415STW80Y8E</t>
  </si>
  <si>
    <t>17:24, 28-04-2026</t>
  </si>
  <si>
    <t xml:space="preserve">Khách
 65, ĐT766 Thôn Đức Hạnh 4, Xã Hoài Đức, Lâm Đồng, Xã Hoài Đức, Xã Hoài Đức, Lâm Đồng
 0348965878
 </t>
  </si>
  <si>
    <t>S22693229.BO.MT9-02-B9.1919179736</t>
  </si>
  <si>
    <t>bù hàng đơn 260415UXVRA4R4</t>
  </si>
  <si>
    <t>15:12, 29-04-2026</t>
  </si>
  <si>
    <t xml:space="preserve">Trần Thị Thảo
 Đội 7, Đông Thuận, Bình Trung, Bình Sơn, Quảng Ngãi, Xã Bình Sơn, Xã Bình Sơn, Quảng Ngãi
 0935753718
 </t>
  </si>
  <si>
    <t>S22693229.BO.SGP24-V81.1412573479</t>
  </si>
  <si>
    <t>bù hàng đơn 260410EBEUN4J7</t>
  </si>
  <si>
    <t>12:09, 28-04-2026</t>
  </si>
  <si>
    <t xml:space="preserve">Khách
 34 đường 12, phường Trường Thọ, Thủ Đức, Hồ Chí Minh, Phường Thủ Đức, Phường Thủ Đức, TP Hồ Chí Minh
 0834592441
 </t>
  </si>
  <si>
    <t>S22693229.HNP25-F32.1445648563</t>
  </si>
  <si>
    <t>bù hàng đơn 260417343NAFKP</t>
  </si>
  <si>
    <t>19:43, 28-04-2026</t>
  </si>
  <si>
    <t xml:space="preserve">Ngọc Bích
 Tòa A, Hoành Sơn Complex, Ngõ 282 Nguyễn Huy Tường, Phường Thanh Xuân, Hà Nội, Phường Thanh Xuân, Phường Thanh Xuân, Hà Nội
 0982801001
 </t>
  </si>
  <si>
    <t>S22693229.MB3-01-A10.1493624151</t>
  </si>
  <si>
    <t>bù hàng đơn 260418560SUSXV</t>
  </si>
  <si>
    <t>13:14, 27-04-2026</t>
  </si>
  <si>
    <t xml:space="preserve">Khách
 8/4/73 Nguyễn Tri Phương, Phường Trường Thi, Nam Định, Phường Trường Thi, Phường Trường Thi, Ninh Bình
 0763589589
 </t>
  </si>
  <si>
    <t>S22693229.MB5-05-E15.1991440693</t>
  </si>
  <si>
    <t>bù hàng đơn 2604185B6PXC8C</t>
  </si>
  <si>
    <t>14:11, 27-04-2026</t>
  </si>
  <si>
    <t xml:space="preserve">Khách
 KĐ8-152, Kinh đô 8, Vinhomes Ocean Park 2, Nghĩa Trụ, Hưng Yên, Xã Nghĩa Trụ, Xã Nghĩa Trụ, Hưng Yên
 0335832356
 </t>
  </si>
  <si>
    <t>S22693229.MB27-11-L9.1963313017</t>
  </si>
  <si>
    <t>bù hàng đơn 260410FDQ3MBFB</t>
  </si>
  <si>
    <t>20:22, 27-04-2026</t>
  </si>
  <si>
    <t xml:space="preserve">Dương
 Quầy thuốc 24h, Thanh ngọc, Phù lưu, lộc hà, hà tĩnh, Xã Lộc Hà, Xã Lộc Hà, Hà Tĩnh
 0961651282
 </t>
  </si>
  <si>
    <t>S22693229.HNP34-K57.1349192193</t>
  </si>
  <si>
    <t>bù hàng đơn 260415TC9VQ7JQ</t>
  </si>
  <si>
    <t xml:space="preserve">Nguyễn Trần Chiến Thắng
 Ngõ 69 Tam Khương, Khương Thượng, Phường Đống Đa, Hà Nội, Phường Kim Liên, Phường Kim Liên, Hà Nội
 0387503876
 </t>
  </si>
  <si>
    <t>S22693229.MB7-17-A22.1163051847</t>
  </si>
  <si>
    <t>đổi hàng đơn 260404VFP322VQ</t>
  </si>
  <si>
    <t>21:11, 27-04-2026</t>
  </si>
  <si>
    <t xml:space="preserve">Khách
 số 783 đường Hùng Vương, phường Hồng Bàng, Hải Phòng, Phường Hồng Bàng, Phường Hồng Bàng, Hải Phòng
 0976188809
 </t>
  </si>
  <si>
    <t>S22693229.MB7-02-B15.1700960321</t>
  </si>
  <si>
    <t>đổi hàng đơn 260415U328GWA3</t>
  </si>
  <si>
    <t>20:51, 27-04-2026</t>
  </si>
  <si>
    <t xml:space="preserve">Lê Thúy Ngân
 Thôn Xích Thổ, Xã Hồng Thái, Huyện An Dương, Hải Phòng, Phường An Hải, Phường An Hải, Hải Phòng
 0965682912
 </t>
  </si>
  <si>
    <t>S22693229.MB3-05-F4.1737768094</t>
  </si>
  <si>
    <t>đổi hàng đơn 2604161CJ78GXR</t>
  </si>
  <si>
    <t>18:32, 27-04-2026</t>
  </si>
  <si>
    <t xml:space="preserve">Khách
 xóm 6, quần liêu, nghĩa sơn, nghĩa hưng, nam định, Xã Nghĩa Sơn, Xã Nghĩa Sơn, Ninh Bình
 0379044886
 </t>
  </si>
  <si>
    <t>S22693229.BO.MT9-01-A3.1194807208</t>
  </si>
  <si>
    <t>đổi hàng đơn 260415TXH29FQ5</t>
  </si>
  <si>
    <t>13:50, 21-04-2026</t>
  </si>
  <si>
    <t>17:06, 29-04-2026</t>
  </si>
  <si>
    <t xml:space="preserve">Khách
 95 Lý Đạo Thành, Phường Nghĩa Lộ, Tỉnh Quảng Ngãi, Phường Nghĩa Lộ, Phường Nghĩa Lộ, Quảng Ngãi
 0917810020
 </t>
  </si>
  <si>
    <t>S22693229.MB6-17-D2.1062354561</t>
  </si>
  <si>
    <t>đổi hàng đơn 260415V3CPHNV3</t>
  </si>
  <si>
    <t>14:03, 27-04-2026</t>
  </si>
  <si>
    <t xml:space="preserve">Khách
 Số 4 đường nguyễn đình chiểu, phường ngọc châu, hải dương, hải phòng, Phường Hải Dương, Phường Hải Dương, Hải Phòng
 0965011266
 </t>
  </si>
  <si>
    <t>S22693229.MB25-06-F6.1491664402</t>
  </si>
  <si>
    <t>đổi hàng lần 2 đơn 26040519H62VDF</t>
  </si>
  <si>
    <t>16:50, 27-04-2026</t>
  </si>
  <si>
    <t xml:space="preserve">Phạm thị dung
 Thôn trường sơn, Xã các sơn, Thanh hóa, Xã Các Sơn, Xã Các Sơn, Thanh Hóa
 0369612942
 </t>
  </si>
  <si>
    <t>S22693229.BO.MT14-01-A64.1102387015</t>
  </si>
  <si>
    <t>đổi hàng đơn 260404VQ4DKX4D</t>
  </si>
  <si>
    <t>14:45, 28-04-2026</t>
  </si>
  <si>
    <t xml:space="preserve">Khách
 70 đại nẫm , thôn xuân hoà , xã phong nẫm , Phan thiết, tỉnh bình thuận, Phường Bình Thuận, Phường Bình Thuận, Lâm Đồng
 0904036448
 </t>
  </si>
  <si>
    <t>S22693229.BO.SGP12-H61.1077638272</t>
  </si>
  <si>
    <t>14:25, 21-04-2026</t>
  </si>
  <si>
    <t>14:18, 24-04-2026</t>
  </si>
  <si>
    <t xml:space="preserve">Trang Lưu
 261/40/15R Chu Văn An, Phường BÌnh Thạnh, TP. Hồ Chí Minh, Phường Bình Thạnh, Phường Bình Thạnh, TP Hồ Chí Minh
 0969824763
 </t>
  </si>
  <si>
    <t>S22693229.BO.SG14-06-C4.1299537887</t>
  </si>
  <si>
    <t>đơn tặng 2</t>
  </si>
  <si>
    <t>14:41, 21-04-2026</t>
  </si>
  <si>
    <t xml:space="preserve">hạ huỳnh
 Hẻm 778 nguyễn bình ấp 2 xã Hiệp Phước TP HCM, Xã Hiệp Phước, Xã Hiệp Phước, TP Hồ Chí Minh
 0988784395
 </t>
  </si>
  <si>
    <t>S22693229.MB5-05-E9.1248685257</t>
  </si>
  <si>
    <t>mobile_69e7364e-dd74-4fb9-8273-4cfe0a6e4e0c</t>
  </si>
  <si>
    <t>15:33, 21-04-2026</t>
  </si>
  <si>
    <t>12:49, 23-04-2026</t>
  </si>
  <si>
    <t xml:space="preserve">nguyen thi kieu lam
 thôn mụ lạc đạo văn lâm hưng yên, Xã Văn Giang, Xã Văn Giang, Hưng Yên
 0972069745
 </t>
  </si>
  <si>
    <t>S22693229.HNP78-H1.1044402619</t>
  </si>
  <si>
    <t>583600455640385010</t>
  </si>
  <si>
    <t>15:50, 21-04-2026</t>
  </si>
  <si>
    <t>20:13, 24-04-2026</t>
  </si>
  <si>
    <t xml:space="preserve">Khách bù
 -số 1 ngõ 169 thôn Dền 
Di Trạch,Hoài Đức,Hà Nội,Việt Nam, Xã Hoài Đức, Xã Hoài Đức, Hà Nội
 0961001321
 </t>
  </si>
  <si>
    <t>S22693229.BO.MT19-02-B50.1254066565</t>
  </si>
  <si>
    <t>583534626252359267</t>
  </si>
  <si>
    <t xml:space="preserve">Khách đổi
 -16 Phạm Ngũ Lão, thành phố Bảo Lộc 
Phường 2 Bảo Lộc,Phường 2 Bảo Lộc,Lâm Đồng,Việt Nam, Phường 2 Bảo Lộc, Phường 2 Bảo Lộc, Lâm Đồng
 0937479911
 </t>
  </si>
  <si>
    <t>S22693229.BO.MT9-01-A25.1148341700</t>
  </si>
  <si>
    <t>ESO2734839 - đổi trả 9309PG</t>
  </si>
  <si>
    <t>16:22, 21-04-2026</t>
  </si>
  <si>
    <t>14:35, 24-04-2026</t>
  </si>
  <si>
    <t xml:space="preserve">Trương Đông
 246 Võ thị sáu (Gara Phú Đông), Phường Chánh Lộ, Thành phố Quảng Ngãi, Quảng Ngãi, Vietnam, Phường Cẩm Thành, Phường Cẩm Thành, Quảng Ngãi
 0913470222
 </t>
  </si>
  <si>
    <t>S22693229.BO.SGP113-X43.1560117330</t>
  </si>
  <si>
    <t>ESO2800423 - đổi trả 8443</t>
  </si>
  <si>
    <t>13:58, 25-04-2026</t>
  </si>
  <si>
    <t xml:space="preserve">Nguyễn Thuý
 1079 Ph, Phường 5, Quận 8, TP Hồ Chí Minh, Vietnam, Phường Bình Đông, Phường Bình Đông, TP Hồ Chí Minh
 0905290600
 </t>
  </si>
  <si>
    <t>S22693229.MB11-07-E5.1412069639</t>
  </si>
  <si>
    <t>ESO2687823 - đổi trả 9215GB</t>
  </si>
  <si>
    <t>20:20, 24-04-2026</t>
  </si>
  <si>
    <t xml:space="preserve">Hoài
 Diên Lâm, Xã Duy Phiên, Huyện Tam Dương, Vĩnh Phúc, Vietnam, Xã Hội Thịnh, Xã Hội Thịnh, Phú Thọ
 0368573940
 </t>
  </si>
  <si>
    <t>S22693229.BO.MT6-12-M72.1126846952</t>
  </si>
  <si>
    <t>ESO2691144 - đổi trả 8723</t>
  </si>
  <si>
    <t>19:43, 24-04-2026</t>
  </si>
  <si>
    <t xml:space="preserve">Ngo Thi Diem Ai
 42 Minh Mang, Phường Thủy Xuân, Thành phố Huế, Thừa Thiên Huế, Vietnam, Phường Thủy Xuân, Phường Thủy Xuân, Thành phố Huế
 0913420523
 </t>
  </si>
  <si>
    <t>S22693229.BO.SG11-10-B1.1919260758</t>
  </si>
  <si>
    <t>00006SO26042407906</t>
  </si>
  <si>
    <t>16:35, 21-04-2026</t>
  </si>
  <si>
    <t>17:00, 27-04-2026</t>
  </si>
  <si>
    <t xml:space="preserve">Hồng Cẩm
 D1011 Chung Cư Happy City Nguyễn Văn Linh, Xã Bình Hưng, Thành phố Hồ Chí Minh, Xã Bình Hưng, Xã Bình Hưng, TP Hồ Chí Minh
 0985429798
 </t>
  </si>
  <si>
    <t>S22693229.BO.HNP142-O6.1799210515</t>
  </si>
  <si>
    <t>Thu đơn 00006SO26042407906</t>
  </si>
  <si>
    <t>16:37, 21-04-2026</t>
  </si>
  <si>
    <t>17:45, 28-04-2026</t>
  </si>
  <si>
    <t>S22693229.BO.HNP114-V50.1044904895</t>
  </si>
  <si>
    <t>17:18, 21-04-2026</t>
  </si>
  <si>
    <t>19:16, 27-04-2026</t>
  </si>
  <si>
    <t xml:space="preserve">Chị Thúy
 Tòa HH02.1A  đô thị Thanh Hà xã Bình Minh Hà Nội, Xã Bình Minh, Xã Bình Minh, Hà Nội
 0974350775
 </t>
  </si>
  <si>
    <t>S22693229.MB6-02-B11.1909618072</t>
  </si>
  <si>
    <t>ĐƠN GIAO NHẦM SINH TỐ ESO2817055</t>
  </si>
  <si>
    <t>21:32, 21-04-2026</t>
  </si>
  <si>
    <t xml:space="preserve">Oanh Trần
 Địa chỉ Cty may Michigan, Phường Lê Đại Hành, Phường Lê Đại Hành, Hải Phòng
 0346470369
 </t>
  </si>
  <si>
    <t>S22693229.HNP132-A4.1051616917</t>
  </si>
  <si>
    <t>ĐƠN ĐỔI MÁY KO HĐ ESO2812056</t>
  </si>
  <si>
    <t>21:39, 21-04-2026</t>
  </si>
  <si>
    <t>19:12, 27-04-2026</t>
  </si>
  <si>
    <t xml:space="preserve">Nguyễn Hiền
 Sn36 ngõ 1 xóm đông dược hạ tiên dược sóc sơn hà nội, Xã Sóc Sơn, Xã Sóc Sơn, Hà Nội
 0369971995
 </t>
  </si>
  <si>
    <t>S22693229.HNP105-A69.1593671297</t>
  </si>
  <si>
    <t>SAPO129287615_603550</t>
  </si>
  <si>
    <t>08:40, 22-04-2026</t>
  </si>
  <si>
    <t>18:19, 27-04-2026</t>
  </si>
  <si>
    <t xml:space="preserve">C tuyết
 Số 2 vũ trọng khánh mộ lao hà đông, Phường Hà Đông, Phường Hà Đông, Hà Nội
 0866458338
 </t>
  </si>
  <si>
    <t>S22693229.HNP55-D2.1573458615</t>
  </si>
  <si>
    <t>SAPO129287603_603550</t>
  </si>
  <si>
    <t>20:26, 25-04-2026</t>
  </si>
  <si>
    <t xml:space="preserve">Nguyễn Vinh
 102 Mạc Xá, Phường Thượng Cát, Phường Thượng Cát, Hà Nội
 0949469999
 </t>
  </si>
  <si>
    <t>S22693229.HNP92-K22.1898245392</t>
  </si>
  <si>
    <t>SAPO129287605_603550</t>
  </si>
  <si>
    <t xml:space="preserve">Nguyễn Thái
 G2 Vinhomes Greenbay, Phường Từ Liêm, Phường Từ Liêm, Hà Nội
 0888906628
 </t>
  </si>
  <si>
    <t>S22693229.HNP107-I34.1932468092</t>
  </si>
  <si>
    <t>SAPO129287600_603550</t>
  </si>
  <si>
    <t>17:27, 25-04-2026</t>
  </si>
  <si>
    <t xml:space="preserve">Huong
 105 nguyễn khả trạc, Phường Nghĩa Đô, Phường Nghĩa Đô, Hà Nội
 0983288889
 </t>
  </si>
  <si>
    <t>S22693229.HNP46-F96.1501580739</t>
  </si>
  <si>
    <t>SAPO129287602_603550</t>
  </si>
  <si>
    <t>19:49, 25-04-2026</t>
  </si>
  <si>
    <t xml:space="preserve">Lê Nguyễn Thanh Hương
 4a ngõ 228 đường Cầu Giấy, Phường Cầu Giấy, Phường Cầu Giấy, Hà Nội
 0983337675
 </t>
  </si>
  <si>
    <t>S22693229.HNP75-D32.1503781486</t>
  </si>
  <si>
    <t>SAPO129287616_603550</t>
  </si>
  <si>
    <t xml:space="preserve">Nguyen Huong
 Số 4 hẻm 23 /72 /65 /43 Đức Diễn, Phường Phúc Diễn, Quận Bắc Từ Liêm, Hà Nội, Phường Cầu Giấy, Phường Cầu Giấy, Hà Nội
 0902037730
 </t>
  </si>
  <si>
    <t>S22693229.HNP23-A144.1760052394</t>
  </si>
  <si>
    <t>SAPO129287599_603550</t>
  </si>
  <si>
    <t>15:41, 24-04-2026</t>
  </si>
  <si>
    <t xml:space="preserve">Vân
 196 thụy khuê, Phường Tây Hồ, Phường Tây Hồ, Hà Nội
 0349585899
 </t>
  </si>
  <si>
    <t>S22693229.HNP99-Q32.1709736457</t>
  </si>
  <si>
    <t>SAPO129287601_603550</t>
  </si>
  <si>
    <t xml:space="preserve">Minh hải
 Xí nghiệp chế tạo thiết bị hàng không tổ 1, Phường Long Biên, Phường Long Biên, Hà Nội
 0947128684
 </t>
  </si>
  <si>
    <t>S22693229.HNP47-M83.1994640856</t>
  </si>
  <si>
    <t>SAPO129287609_603550</t>
  </si>
  <si>
    <t>14:27, 23-04-2026</t>
  </si>
  <si>
    <t xml:space="preserve">nguyen bao ngoc
 số 5 Láng Hạ, Tòa Vinaincon , Phường Ô Chợ Dừa, Hà Nội, Phường Láng, Phường Láng, Hà Nội
 0901255593
 </t>
  </si>
  <si>
    <t>S22693229.HNP52-Y138.1988845736</t>
  </si>
  <si>
    <t>SAPO129287608_603550</t>
  </si>
  <si>
    <t>21:25, 24-04-2026</t>
  </si>
  <si>
    <t xml:space="preserve">linh nguyễn
 số 9 dịch vụ 12 khu tây nam linh đàm, Phường Hoàng Mai, Phường Hoàng Mai, Hà Nội
 0969755019
 </t>
  </si>
  <si>
    <t>S22693229.HNP55-D2.1017444444</t>
  </si>
  <si>
    <t>SAPO129287652_603550</t>
  </si>
  <si>
    <t xml:space="preserve">Quyen
 Số 3 ngõ 40 đường Liên mạc, Phường Thượng Cát, Phường Thượng Cát, Hà Nội
 0945331006
 </t>
  </si>
  <si>
    <t>S22693229.BO.HNP46-A36.1325777737</t>
  </si>
  <si>
    <t>SAPO129287676_603550</t>
  </si>
  <si>
    <t>22:20, 25-04-2026</t>
  </si>
  <si>
    <t xml:space="preserve">Lê Tân
 ng.63/26/19/26 Dịch Vọng hầu, Phường Cầu Giấy, thành phố Hà Nội, Phường Cầu Giấy, Phường Cầu Giấy, Hà Nội
 0395026268
 </t>
  </si>
  <si>
    <t>S22693229.HNP44-G130.1808501039</t>
  </si>
  <si>
    <t>SAPO129287760_603550</t>
  </si>
  <si>
    <t xml:space="preserve">Nguyen Kim Duc
 89 Tam Trinh, Phường Vĩnh Tuy, Phường Vĩnh Tuy, Hà Nội
 0966094216
 </t>
  </si>
  <si>
    <t>S22693229.HNP57-K26.1130759871</t>
  </si>
  <si>
    <t>SAPO129290035_603550</t>
  </si>
  <si>
    <t>08:42, 22-04-2026</t>
  </si>
  <si>
    <t xml:space="preserve">Hạnh zip
 A3 BT7 đường Ngô Huy Quỳnh., Phường Việt Hưng, Phường Việt Hưng, Hà Nội
 0983668787
 </t>
  </si>
  <si>
    <t>S22693229.MN2-13-M84.1084150267</t>
  </si>
  <si>
    <t>SAPO129291090_603550</t>
  </si>
  <si>
    <t>08:44, 22-04-2026</t>
  </si>
  <si>
    <t>18:47, 25-04-2026</t>
  </si>
  <si>
    <t xml:space="preserve">NGUYỄN THỊ CẨM GIANG
 541/86/17, hồ văn cống, kp8, Phường Chánh Hiệp, Phường Chánh Hiệp, TP Hồ Chí Minh
 0358772003
 </t>
  </si>
  <si>
    <t>S22693229.MN4-01-A51.1388540344</t>
  </si>
  <si>
    <t>SAPO129291182_603550</t>
  </si>
  <si>
    <t>14:22, 24-04-2026</t>
  </si>
  <si>
    <t xml:space="preserve">Lê nhã
 2 đường G phường 3,, Phường Tân Ninh, Phường Tân Ninh, Tây Ninh
 0846644224
 </t>
  </si>
  <si>
    <t>S22693229.MB17-07-F2.1788279110</t>
  </si>
  <si>
    <t>SAPO129309135_603550</t>
  </si>
  <si>
    <t>09:05, 22-04-2026</t>
  </si>
  <si>
    <t>18:33, 29-04-2026</t>
  </si>
  <si>
    <t xml:space="preserve">Hứa thị lý
 Còn Pù trấn ninh ₫iêm hệ lạng sơn, Xã Điềm He, Xã Điềm He, Lạng Sơn
 0963900409
 </t>
  </si>
  <si>
    <t>S22693229.BO.SGP101-I96.1393046066</t>
  </si>
  <si>
    <t>SAPO129309128_603550</t>
  </si>
  <si>
    <t>15:11, 27-04-2026</t>
  </si>
  <si>
    <t xml:space="preserve">DUONG THI TRUC LY
 Chung cư Green View, đường 17, P. Tân Phú, Q7, TP.HCM, Phường Tân Mỹ, Phường Tân Mỹ, TP Hồ Chí Minh
 0979793079
 </t>
  </si>
  <si>
    <t>S22693229.BO.MT14-06-Y09.1212402891</t>
  </si>
  <si>
    <t>SAPO129309134_603550</t>
  </si>
  <si>
    <t>14:41, 28-04-2026</t>
  </si>
  <si>
    <t xml:space="preserve">Huỳnh Bích Duyên
 493, Xã Lương Sơn, Xã Lương Sơn, Lâm Đồng
 0814488555
 </t>
  </si>
  <si>
    <t>S22693229.MB25-33-S01.1537914970</t>
  </si>
  <si>
    <t>SAPO129309131_603550</t>
  </si>
  <si>
    <t>11:54, 24-04-2026</t>
  </si>
  <si>
    <t xml:space="preserve">Nguyễn hinh
 Thôn 4, tiên trang, Xã Tiên Trang, Xã Tiên Trang, Thanh Hóa
 0943375195
 </t>
  </si>
  <si>
    <t>S22693229.BO.MN2-13-M15.1150256578</t>
  </si>
  <si>
    <t>SAPO129309123_603550</t>
  </si>
  <si>
    <t>18:23, 27-04-2026</t>
  </si>
  <si>
    <t xml:space="preserve">Hồ thị bích hà
 14 đường N2, KDC phú hòa, TDM bình dương, spa Tâm An, Phường Phú Lợi, Phường Phú Lợi, TP Hồ Chí Minh
 0933701700
 </t>
  </si>
  <si>
    <t>S22693229.HNP124-T93.1960464944</t>
  </si>
  <si>
    <t>SAPO129309132_603550</t>
  </si>
  <si>
    <t>18:39, 27-04-2026</t>
  </si>
  <si>
    <t xml:space="preserve">Dung Võ
 Số nhà 21,ngõ 19, Xã Mỹ Đức, Xã Mỹ Đức, Hà Nội
 0937690179
 </t>
  </si>
  <si>
    <t>S22693229.MB7-18-S18.1764181497</t>
  </si>
  <si>
    <t>SAPO129309125_603550</t>
  </si>
  <si>
    <t>14:20, 28-04-2026</t>
  </si>
  <si>
    <t xml:space="preserve">Đào Văn huấn
 1095 phạm văn đồng, Phường Dương Kinh, Phường Dương Kinh, Hải Phòng
 0936003434
 </t>
  </si>
  <si>
    <t>S22693229.MB5-13-M22.1548519043</t>
  </si>
  <si>
    <t>SAPO129309139_603550</t>
  </si>
  <si>
    <t>19:31, 27-04-2026</t>
  </si>
  <si>
    <t xml:space="preserve">Vũ Thị Thúy
 Kho A34, Xã Yên Mỹ, Xã Yên Mỹ, Hưng Yên
 0978179480
 </t>
  </si>
  <si>
    <t>S22693229.BO.SGP54-P63.1992685515</t>
  </si>
  <si>
    <t>SAPO129309136_603550</t>
  </si>
  <si>
    <t>18:19, 25-04-2026</t>
  </si>
  <si>
    <t xml:space="preserve">Lê Dũng
 339/13 nguyễn thị tú .phường bhh B .quận bình tân tphcm, Phường Bình Tân, Phường Bình Tân, TP Hồ Chí Minh
 0933022024
 </t>
  </si>
  <si>
    <t>S22693229.BO.SGP11-V36.1206460635</t>
  </si>
  <si>
    <t>SAPO129309141_603550</t>
  </si>
  <si>
    <t>16:55, 28-04-2026</t>
  </si>
  <si>
    <t xml:space="preserve">Nguyễn Thoại
 518/8/21 Lê Văn Sỹ, phường Phú Nhuận, Phường Phú Nhuận, Phường Phú Nhuận, TP Hồ Chí Minh
 0962003519
 </t>
  </si>
  <si>
    <t>S22693229.BO.MT14-01-A12.1674740275</t>
  </si>
  <si>
    <t>SAPO129309143_603550</t>
  </si>
  <si>
    <t>14:38, 25-04-2026</t>
  </si>
  <si>
    <t xml:space="preserve">Nguyễn Ngọc duyên an
 Khu phố Phú Trường, Phường Hàm Thắng, Phường Hàm Thắng, Lâm Đồng
 0889096168
 </t>
  </si>
  <si>
    <t>S22693229.BO.MT6-12-M31.1857980232</t>
  </si>
  <si>
    <t>SAPO129309140_603550</t>
  </si>
  <si>
    <t>19:06, 29-04-2026</t>
  </si>
  <si>
    <t xml:space="preserve">Trần hoàng minh thi
 51 nguyễn huệ, p thuận hóa, tp huế, Phường Thuận Hóa, Phường Thuận Hóa, Thành phố Huế
 0903531559
 </t>
  </si>
  <si>
    <t>S22693229.BO.SGP113-X70.1413785721</t>
  </si>
  <si>
    <t>SAPO129309127_603550</t>
  </si>
  <si>
    <t>18:12, 25-04-2026</t>
  </si>
  <si>
    <t xml:space="preserve">Trần Thị Thuỳ
 937D/4 Tạ Quang Bửu, Phường Bình Đông, Phường Bình Đông, TP Hồ Chí Minh
 0907250618
 </t>
  </si>
  <si>
    <t>S22693229.BO.DN10-G10.1481307601</t>
  </si>
  <si>
    <t>SAPO129309146_603550</t>
  </si>
  <si>
    <t>15:13, 25-04-2026</t>
  </si>
  <si>
    <t xml:space="preserve">Bùi Toản
 70 An Nhơn 7, Phường An Hải, Phường An Hải, Đà Nẵng
 0913560726
 </t>
  </si>
  <si>
    <t>S22693229.BO.MN3-03-C02.1965634641</t>
  </si>
  <si>
    <t>SAPO129309133_603550</t>
  </si>
  <si>
    <t>13:49, 27-04-2026</t>
  </si>
  <si>
    <t xml:space="preserve">Trần Hồng Quỳ
 2536A nguyên chí Thanh, Phường Bà Rịa, Phường Bà Rịa, TP Hồ Chí Minh
 0919581166
 </t>
  </si>
  <si>
    <t>S22693229.HNP17-H2.1510234003</t>
  </si>
  <si>
    <t>SAPO129309130_603550</t>
  </si>
  <si>
    <t>14:12, 24-04-2026</t>
  </si>
  <si>
    <t xml:space="preserve">Vũ Chất
 918 Kim Giang, Phường Thanh Liệt, Phường Thanh Liệt, Hà Nội
 0904364930
 </t>
  </si>
  <si>
    <t>S22693229.BO.MT12-07-D31.1944968719</t>
  </si>
  <si>
    <t>SAPO129309145_603550</t>
  </si>
  <si>
    <t>14:33, 29-04-2026</t>
  </si>
  <si>
    <t xml:space="preserve">Lê Nhã Uyên
 Sth30.27 đường 1A kdt Lê Hồng Phong 2, Phường Nam Nha Trang, Phường Nam Nha Trang, Khánh Hòa
 0914148289
 </t>
  </si>
  <si>
    <t>S22693229.BO.MT12-21-X58.1670626093</t>
  </si>
  <si>
    <t>SAPO129309212_603550</t>
  </si>
  <si>
    <t>18:14, 27-04-2026</t>
  </si>
  <si>
    <t xml:space="preserve">Hoang
 A2.8 chung cu hưng phú, vĩnh hải, Phường Bắc Nha Trang, Phường Bắc Nha Trang, Khánh Hòa
 0377088869
 </t>
  </si>
  <si>
    <t>S22693229.BO.SGP104-N64.1829365594</t>
  </si>
  <si>
    <t>SAPO129309261_603550</t>
  </si>
  <si>
    <t>13:10, 28-04-2026</t>
  </si>
  <si>
    <t xml:space="preserve">BÙI THỊ MINH TRAM
 50 Đường Nhật Tảo, Phường Vườn Lài, Phường Vườn Lài, TP Hồ Chí Minh, Phường Vườn Lài, Phường Vườn Lài, TP Hồ Chí Minh
 0909736447
 </t>
  </si>
  <si>
    <t>S22693229.MB6-17-D7.1404322469</t>
  </si>
  <si>
    <t>SAPO129309311_603550</t>
  </si>
  <si>
    <t>15:12, 24-04-2026</t>
  </si>
  <si>
    <t xml:space="preserve">Vũ thị lan anh
 60-quang trung- phường hải dương, Phường Hải Dương, Phường Hải Dương, Hải Phòng
 0904856792
 </t>
  </si>
  <si>
    <t>S22693229.SGP05-N18.1388463157</t>
  </si>
  <si>
    <t>SAPO129309348_603550</t>
  </si>
  <si>
    <t>16:34, 25-04-2026</t>
  </si>
  <si>
    <t xml:space="preserve">Nguyễn Hải
 284/6 Phạm Văn Bạch, Phường Tân Sơn, Phường Tân Sơn, TP Hồ Chí Minh
 0937000099
 </t>
  </si>
  <si>
    <t>S22693229.BO.SGP43-M52.1605175723</t>
  </si>
  <si>
    <t>SAPO129309397_603550</t>
  </si>
  <si>
    <t xml:space="preserve">Nguyễn thị hạnh
 One Verandah - số 2 Bát Nàn, Phường Cát Lái, Phường Cát Lái, TP Hồ Chí Minh
 0985886388
 </t>
  </si>
  <si>
    <t>S22693229.BO.MT6-12-G2.1601902991</t>
  </si>
  <si>
    <t>SAPO129309464_603550</t>
  </si>
  <si>
    <t xml:space="preserve">Trường
 huyện Nam Đông, Xã Khe Tre, Xã Khe Tre, Thành phố Huế
 0918536842
 </t>
  </si>
  <si>
    <t>S22693229.BO.MT12-21-X83.1961507921</t>
  </si>
  <si>
    <t>SAPO129309499_603550</t>
  </si>
  <si>
    <t>14:59, 25-04-2026</t>
  </si>
  <si>
    <t xml:space="preserve">Trương Thị Hồng Vân
 125 Nguyễn Thiện Thuật, Phường Nha Trang, Phường Nha Trang, Khánh Hòa
 0946079111
 </t>
  </si>
  <si>
    <t>S22693229.BO.SGP66-W29.1037461322</t>
  </si>
  <si>
    <t>SAPO129309546_603550</t>
  </si>
  <si>
    <t>13:45, 27-04-2026</t>
  </si>
  <si>
    <t xml:space="preserve">Nhung
 52 thành công, Phường Phú Thọ Hòa, Phường Phú Thọ Hòa, TP Hồ Chí Minh
 0986000987
 </t>
  </si>
  <si>
    <t>S22693229.BO.SGP47-V13.1576890904</t>
  </si>
  <si>
    <t>SAPO129309586_603550</t>
  </si>
  <si>
    <t xml:space="preserve">Oanh Nguyen thi phuong
 380 Hoàng Hữu Nam, Phường Long Bình, Phường Long Bình, TP Hồ Chí Minh
 0903879786
 </t>
  </si>
  <si>
    <t>S22693229.BO.MN3-01-A71.1275206537</t>
  </si>
  <si>
    <t>SAPO129309702_603550</t>
  </si>
  <si>
    <t xml:space="preserve">Hồng Hồ
 Số 2 đường Pasteur Phường 7, Phường Tam Thắng, Phường Tam Thắng, TP Hồ Chí Minh
 0349730482
 </t>
  </si>
  <si>
    <t>S22693229.BO.MT8-02-B14.1060083666</t>
  </si>
  <si>
    <t>SAPO129309764_603550</t>
  </si>
  <si>
    <t>17:26, 25-04-2026</t>
  </si>
  <si>
    <t xml:space="preserve">Mai thanh trì
 202 dt 609 Thôn nhị dinh 3, Xã Điện Bàn Tây, Xã Điện Bàn Tây, Đà Nẵng
 0905439775
 </t>
  </si>
  <si>
    <t>S22693229.BO.SGP101-I97.1649260059</t>
  </si>
  <si>
    <t>SAPO129309816_603550</t>
  </si>
  <si>
    <t>13:02, 25-04-2026</t>
  </si>
  <si>
    <t xml:space="preserve">NHƯ ÁNH
 A56, nội khu nam đô, Phường Tân Mỹ, Phường Tân Mỹ, TP Hồ Chí Minh
 0903888567
 </t>
  </si>
  <si>
    <t>S22693229.BO.MT12-21-X58.1241225520</t>
  </si>
  <si>
    <t>SAPO129309890_603550</t>
  </si>
  <si>
    <t>14:31, 28-04-2026</t>
  </si>
  <si>
    <t>S22693229.BO.MT5-03-C1.1878867575</t>
  </si>
  <si>
    <t>SAPO129309944_603550</t>
  </si>
  <si>
    <t xml:space="preserve">mai
 79 Lê Duẩn, Phường Quảng Trị, Phường Quảng Trị, Quảng Trị
 0977709082
 </t>
  </si>
  <si>
    <t>S22693229.BO.MN14-06-Q62.1000724055</t>
  </si>
  <si>
    <t>SAPO129310059_603550</t>
  </si>
  <si>
    <t>14:40, 27-04-2026</t>
  </si>
  <si>
    <t xml:space="preserve">Tran Thi Tuyet Phuong
 G1-G2 Huỳnh Thúc Kháng, Phường Rạch Giá, Phường Rạch Giá, An Giang
 0908919005
 </t>
  </si>
  <si>
    <t>S22693229.BO.MT10-04-D62.1027033819</t>
  </si>
  <si>
    <t>SAPO129310619_603550</t>
  </si>
  <si>
    <t>09:06, 22-04-2026</t>
  </si>
  <si>
    <t>14:37, 25-04-2026</t>
  </si>
  <si>
    <t xml:space="preserve">Lý Thị Tú
 Lô 156 Tây Sơn,, Phường Quy Nhơn Nam, Phường Quy Nhơn Nam, Gia Lai
 0905113999
 </t>
  </si>
  <si>
    <t>S22693229.BO.MN12-01-F12.1143016983</t>
  </si>
  <si>
    <t>SAPO129310621_603550</t>
  </si>
  <si>
    <t>14:56, 27-04-2026</t>
  </si>
  <si>
    <t xml:space="preserve">Nguyễn Thị Hằng
 214 Nguyễn Huệ,, Phường Mỹ Ngãi, Phường Mỹ Ngãi, Đồng Tháp
 0704598650
 </t>
  </si>
  <si>
    <t>S22693229.BO.MT18-05-E21.1169251550</t>
  </si>
  <si>
    <t>SAPO129310620_603550</t>
  </si>
  <si>
    <t>19:20, 25-04-2026</t>
  </si>
  <si>
    <t xml:space="preserve">Thanh Huyền
 Truòng Lê Đình Chinh, Xã Trường Xuân, Xã Trường Xuân, Lâm Đồng
 0986614848
 </t>
  </si>
  <si>
    <t>S22693229.BO.SGP104-N65.1779314624</t>
  </si>
  <si>
    <t>SAPO129317568_603550</t>
  </si>
  <si>
    <t>09:15, 22-04-2026</t>
  </si>
  <si>
    <t>11:58, 29-04-2026</t>
  </si>
  <si>
    <t xml:space="preserve">Ngọc
 Số 7 đường 3 tháng 2, p. Vườn lài, Phường Vườn Lài, Phường Vườn Lài, TP Hồ Chí Minh
 0908862989
 </t>
  </si>
  <si>
    <t>S22693229.HNP47-M83.1985842975</t>
  </si>
  <si>
    <t>SAPO129318949_603550</t>
  </si>
  <si>
    <t>09:17, 22-04-2026</t>
  </si>
  <si>
    <t>15:56, 27-04-2026</t>
  </si>
  <si>
    <t xml:space="preserve">Lan Thanh
 Trường Tiểu học Thành Công B, ngõ 12 Láng Hạ, Phường Láng, Phường Láng, Hà Nội
 0988778588
 </t>
  </si>
  <si>
    <t>S22693229.BO.MN17-08-N71.1799364287</t>
  </si>
  <si>
    <t>SAPO129319238_603550</t>
  </si>
  <si>
    <t>15:10, 27-04-2026</t>
  </si>
  <si>
    <t xml:space="preserve">Lê Trung Tín
 Khóm 5. Hộ phòng. Giá rai. Bạc liêu, Phường Giá Rai, Phường Giá Rai, Cà Mau
 0911557788
 </t>
  </si>
  <si>
    <t>S22693229.MB25-17-I6.1667577127</t>
  </si>
  <si>
    <t>SAPO129319250_603550</t>
  </si>
  <si>
    <t>21:56, 24-04-2026</t>
  </si>
  <si>
    <t xml:space="preserve">Thu Hằng
 62a Lê Lợi Lam Sơn Bỉm Sơn Thanh Hoá, Phường Bỉm Sơn, Phường Bỉm Sơn, Thanh Hóa
 0988701351
 </t>
  </si>
  <si>
    <t>S22693229.BO.SGP37-K18.1635101983</t>
  </si>
  <si>
    <t>SAPO129319239_603550</t>
  </si>
  <si>
    <t xml:space="preserve">Nguyen huynh thuy hang
 56/6t quoc lo 1a, Phường Đông Hưng Thuận, Phường Đông Hưng Thuận, TP Hồ Chí Minh
 0903951536
 </t>
  </si>
  <si>
    <t>S22693229.MB5-14-B5.1259336404</t>
  </si>
  <si>
    <t>SAPO129319236_603550</t>
  </si>
  <si>
    <t>19:10, 24-04-2026</t>
  </si>
  <si>
    <t xml:space="preserve">trang
 chợ Dầm, Phường Mỹ Hào, Phường Mỹ Hào, Hưng Yên
 0977256825
 </t>
  </si>
  <si>
    <t>S22693229.MB4-07-G7.1043225834</t>
  </si>
  <si>
    <t>SAPO129319265_603550</t>
  </si>
  <si>
    <t xml:space="preserve">bùi thị len
 587 trần lãm, Phường Trần Lãm, Phường Trần Lãm, Hưng Yên
 0985139834
 </t>
  </si>
  <si>
    <t>S22693229.BO.SGP11-V59.1777419265</t>
  </si>
  <si>
    <t>SAPO129319246_603550</t>
  </si>
  <si>
    <t>12:54, 25-04-2026</t>
  </si>
  <si>
    <t xml:space="preserve">Trần Thị Hường
 173 Nguyễn Trọng Tuyển, Phường Phú Nhuận, Phường Phú Nhuận, TP Hồ Chí Minh
 0904533123
 </t>
  </si>
  <si>
    <t>S22693229.BO.MT11-02-B02.1589403502</t>
  </si>
  <si>
    <t>SAPO129319243_603550</t>
  </si>
  <si>
    <t xml:space="preserve">LƯU THỊ BẠCH LÀI
 Long Hải, Xuân Phú, sông cầu, phú yên, Phường Sông Cầu, Phường Sông Cầu, Đắk Lắk
 0949768559
 </t>
  </si>
  <si>
    <t>S22693229.BO.SGP54-P64.1112816287</t>
  </si>
  <si>
    <t>SAPO129319267_603550</t>
  </si>
  <si>
    <t xml:space="preserve">Trần thị Tùng
 412/3 đường Bình Thành Bình Tân Hồ Chí Minh, Phường Bình Tân, Phường Bình Tân, TP Hồ Chí Minh
 0985508074
 </t>
  </si>
  <si>
    <t>S22693229.MB7-17-A3.1913200386</t>
  </si>
  <si>
    <t>SAPO129319252_603550</t>
  </si>
  <si>
    <t>20:27, 24-04-2026</t>
  </si>
  <si>
    <t xml:space="preserve">Chu vân
 216 hùng, Phường Hồng Bàng, Phường Hồng Bàng, Hải Phòng
 0914664646
 </t>
  </si>
  <si>
    <t>S22693229.MB9-09-S1.1278556504</t>
  </si>
  <si>
    <t>SAPO129319263_603550</t>
  </si>
  <si>
    <t>14:50, 25-04-2026</t>
  </si>
  <si>
    <t xml:space="preserve">Nguyễn văn Đinh
 Số 2, Hoàng hoa thám, Xã Yên Thế, Xã Yên Thế, Bắc Ninh
 0945876298
 </t>
  </si>
  <si>
    <t>S22693229.BO.MN5-06-M161.1413409202</t>
  </si>
  <si>
    <t>SAPO129319254_603550</t>
  </si>
  <si>
    <t xml:space="preserve">Hoang Kim Ngọc
 159 ấp bồn xăng xã lộc quang, Xã Lộc Quang, Xã Lộc Quang, Đồng Nai
 0772002060
 </t>
  </si>
  <si>
    <t>S22693229.BO.SGP59-P79.1163969784</t>
  </si>
  <si>
    <t>SAPO129319266_603550</t>
  </si>
  <si>
    <t>15:45, 25-04-2026</t>
  </si>
  <si>
    <t xml:space="preserve">Nguyễn Ngô Tấn Tài
 38 Lô F cư xá Phú Lâm D phường Bình Phú, Phường Bình Phú, Phường Bình Phú, TP Hồ Chí Minh
 0906845873
 </t>
  </si>
  <si>
    <t>S22693229.MB27-01-A31.1191362660</t>
  </si>
  <si>
    <t>SAPO129319242_603550</t>
  </si>
  <si>
    <t>19:57, 27-04-2026</t>
  </si>
  <si>
    <t xml:space="preserve">Thúy Nguyễn
 Bà Liên , xóm bắc tiến nhà ngo,xã lưu vĩnh sơn.thạch hà .hà tĩnh, Xã Toàn Lưu, Xã Toàn Lưu, Hà Tĩnh
 0988356731
 </t>
  </si>
  <si>
    <t>S22693229.MB26-04-V1.1032549037</t>
  </si>
  <si>
    <t>SAPO129319245_603550</t>
  </si>
  <si>
    <t>16:56, 24-04-2026</t>
  </si>
  <si>
    <t xml:space="preserve">Oanh
 Yên khánh, Xã Đô Lương, Xã Đô Lương, Nghệ An
 0972406239
 </t>
  </si>
  <si>
    <t>S22693229.BO.MN13-03-Y72.1397864815</t>
  </si>
  <si>
    <t>SAPO129319255_603550</t>
  </si>
  <si>
    <t>14:18, 27-04-2026</t>
  </si>
  <si>
    <t xml:space="preserve">Nguyễn Thị Xuân Tiên
 Số nhà 19, đường số 8, KDC tây sông Hậu, Phường Long Xuyên, Phường Long Xuyên, An Giang
 0908498875
 </t>
  </si>
  <si>
    <t>S22693229.MB26-28-T6.1712313703</t>
  </si>
  <si>
    <t>SAPO129319249_603550</t>
  </si>
  <si>
    <t>14:58, 28-04-2026</t>
  </si>
  <si>
    <t xml:space="preserve">Hoàng thảo
 Khối 6 Phúc Thọ vinh lộc  nghệ an, Phường Vinh Lộc, Phường Vinh Lộc, Nghệ An
 0949510780
 </t>
  </si>
  <si>
    <t>S22693229.BO.MN2-13-M71.1077532178</t>
  </si>
  <si>
    <t>SAPO129319268_603550</t>
  </si>
  <si>
    <t xml:space="preserve">THANH QUYÊN
 106 ĐẠI LỘ BÌNH DƯƠNG, KHU 7, Phường Phú Lợi, Phường Phú Lợi, TP Hồ Chí Minh
 0903103953
 </t>
  </si>
  <si>
    <t>S22693229.MB7-14-TP26.1527066937</t>
  </si>
  <si>
    <t>SAPO129319257_603550</t>
  </si>
  <si>
    <t xml:space="preserve">Trần Ngọc Quỳnh
 Viện kiểm sát nhân dân thành phố Hải Phòng. Lô 18 đường Lê Hồng Phong, Phường Hải An, Phường Hải An, Hải Phòng
 0936772355
 </t>
  </si>
  <si>
    <t>S22693229.BO.MT15-06-G45.1229788680</t>
  </si>
  <si>
    <t>SAPO129319244_603550</t>
  </si>
  <si>
    <t>15:35, 25-04-2026</t>
  </si>
  <si>
    <t xml:space="preserve">Phượng Lê
 465 Ure, Phường Kon Tum, Phường Kon Tum, Quảng Ngãi
 0931640456
 </t>
  </si>
  <si>
    <t>S22693229.MB26-32-P6.1841303549</t>
  </si>
  <si>
    <t>SAPO129319264_603550</t>
  </si>
  <si>
    <t xml:space="preserve">Huyentrang
 Nhà số 5 đường 19 ngõ 19/5 khối tân thắng, Phường Thái Hòa, Phường Thái Hòa, Nghệ An
 0989964977
 </t>
  </si>
  <si>
    <t>S22693229.BO.MN17-03-D11.1248716077</t>
  </si>
  <si>
    <t>SAPO129319271_603550</t>
  </si>
  <si>
    <t xml:space="preserve">La Châu Anh Duy
 Hẻm 2, Nhà số 7, đường Trần Huỳnh, huyện Hòa Bình, tỉnh Bạc Liêu, Xã Hòa Bình, Xã Hòa Bình, Cà Mau
 0943247703
 </t>
  </si>
  <si>
    <t>S22693229.BO.MN1-05-Z37.1937314959</t>
  </si>
  <si>
    <t>SAPO129319241_603550</t>
  </si>
  <si>
    <t>20:20, 25-04-2026</t>
  </si>
  <si>
    <t xml:space="preserve">Đinh viết hùng
 Cuối hẽm 713 nhà tro kim ngân ấp 5 hiệp phước nhơn trạch đồng nai, Xã Nhơn Trạch, Xã Nhơn Trạch, Đồng Nai
 0868392294
 </t>
  </si>
  <si>
    <t>S22693229.MB12-02-B7.1197387337</t>
  </si>
  <si>
    <t>SAPO129319237_603550</t>
  </si>
  <si>
    <t>19:29, 27-04-2026</t>
  </si>
  <si>
    <t xml:space="preserve">Thanh Loan
 Số nhà 5_ngõ 261, Xã Cẩm Khê, Xã Cẩm Khê, Phú Thọ
 0868745293
 </t>
  </si>
  <si>
    <t>S22693229.BO.MN13-03-Y72.1637295234</t>
  </si>
  <si>
    <t>SAPO129319260_603550</t>
  </si>
  <si>
    <t>13:41, 25-04-2026</t>
  </si>
  <si>
    <t xml:space="preserve">PHUONG
 326 Hùng Vương, Phường Long Xuyên, Phường Long Xuyên, An Giang
 0949426852
 </t>
  </si>
  <si>
    <t>S22693229.BO.SG11-10-B16.1788393962</t>
  </si>
  <si>
    <t>SAPO129319248_603550</t>
  </si>
  <si>
    <t>15:18, 29-04-2026</t>
  </si>
  <si>
    <t xml:space="preserve">Võ Thanh Tâm
 Ấp 2 Xã Hưng Long, Xã Hưng Long, Xã Hưng Long, TP Hồ Chí Minh, Xã Hưng Long, Xã Hưng Long, TP Hồ Chí Minh
 0366766772
 </t>
  </si>
  <si>
    <t>S22693229.MB26-16-E9.1721328246</t>
  </si>
  <si>
    <t>SAPO129319262_603550</t>
  </si>
  <si>
    <t xml:space="preserve">Trang
 Số nhà 26 ngõ 5, Phường Trường Vinh, Phường Trường Vinh, Nghệ An
 0919166056
 </t>
  </si>
  <si>
    <t>S22693229.MB9-17-G9.1777447081</t>
  </si>
  <si>
    <t>SAPO129319329_603550</t>
  </si>
  <si>
    <t>19:33, 24-04-2026</t>
  </si>
  <si>
    <t xml:space="preserve">Nguyễn Bá Sơn
 Công ty Samkwang, Phường Nếnh, Phường Nếnh, Bắc Ninh
 0968158258
 </t>
  </si>
  <si>
    <t>S22693229.BO.MT9-01-O2.1275710048</t>
  </si>
  <si>
    <t>SAPO129319372_603550</t>
  </si>
  <si>
    <t>15:53, 28-04-2026</t>
  </si>
  <si>
    <t xml:space="preserve">Yến Nguyễn
 1, Phường Nghĩa Lộ, Phường Nghĩa Lộ, Quảng Ngãi
 0989271794
 </t>
  </si>
  <si>
    <t>S22693229.BO.MT16-23-C32.1144368718</t>
  </si>
  <si>
    <t>SAPO129319427_603550</t>
  </si>
  <si>
    <t xml:space="preserve">Lê Bích Ngọc
 102 Hoàng Hoa Thám, Phường An Khê, Phường An Khê, Gia Lai
 0963384052
 </t>
  </si>
  <si>
    <t>S22693229.BO.SGP39-Q24.1785488179</t>
  </si>
  <si>
    <t>SAPO129319456_603550</t>
  </si>
  <si>
    <t>12:44, 29-04-2026</t>
  </si>
  <si>
    <t xml:space="preserve">Thúy Nga Lại
 Số 8 Võ Văn Kiệt, Phường Bến Thành, Phường Bến Thành, TP Hồ Chí Minh
 0983107128
 </t>
  </si>
  <si>
    <t>S22693229.BO.SGP69-W64.1589597198</t>
  </si>
  <si>
    <t>SAPO129319493_603550</t>
  </si>
  <si>
    <t>16:14, 27-04-2026</t>
  </si>
  <si>
    <t xml:space="preserve">Hoa
 Block a6 alnata plus Khu căn hộ Celadon City, Phường Tây Thạnh, Phường Tây Thạnh, TP Hồ Chí Minh, Phường Tây Thạnh, Phường Tây Thạnh, TP Hồ Chí Minh
 0908879152
 </t>
  </si>
  <si>
    <t>S22693229.MB9-05-D15.1033781393</t>
  </si>
  <si>
    <t>SAPO129319521_603550</t>
  </si>
  <si>
    <t>12:31, 25-04-2026</t>
  </si>
  <si>
    <t xml:space="preserve">Hà
 38, Châu Xuyên, Trần Phú, TP Bắc Giang, Phường Bắc Giang, Phường Bắc Giang, Bắc Ninh
 0915275600
 </t>
  </si>
  <si>
    <t>S22693229.BO.MN1-46-V61.1829119000</t>
  </si>
  <si>
    <t>SAPO129319555_603550</t>
  </si>
  <si>
    <t>20:07, 27-04-2026</t>
  </si>
  <si>
    <t xml:space="preserve">Thuỳ liên
 Tổ 6, ấp 1a, Xã Phước Thái, Xã Phước Thái, Đồng Nai
 0933121494
 </t>
  </si>
  <si>
    <t>S22693229.BO.SG11-05-F17.1029520523</t>
  </si>
  <si>
    <t>SAPO129319595_603550</t>
  </si>
  <si>
    <t xml:space="preserve">Võ Thị Hồng Diễm
 E7/139B thế Lữ, Xã Tân Nhựt, Xã Tân Nhựt, TP Hồ Chí Minh
 0903021154
 </t>
  </si>
  <si>
    <t>S22693229.BO.MT8-04-D4.1938051205</t>
  </si>
  <si>
    <t>SAPO129319663_603550</t>
  </si>
  <si>
    <t>09:18, 22-04-2026</t>
  </si>
  <si>
    <t>16:50, 28-04-2026</t>
  </si>
  <si>
    <t xml:space="preserve">Chị Llan
 Hòa Mỹ Đại Nghĩa Đại Lộc QNam, Xã Đại Lộc, Xã Đại Lộc, Đà Nẵng
 0973715009
 </t>
  </si>
  <si>
    <t>S22693229.BO.SGP76-S83.1861298127</t>
  </si>
  <si>
    <t>SAPO129319705_603550</t>
  </si>
  <si>
    <t>14:21, 25-04-2026</t>
  </si>
  <si>
    <t xml:space="preserve">Nguyễn Thanh Phong
 131/36 Bùi Thị Xuân, Phường Tân Sơn Hòa, Phường Tân Sơn Hòa, TP Hồ Chí Minh
 0902545351
 </t>
  </si>
  <si>
    <t>S22693229.BO.MN19-01-D90.1894920793</t>
  </si>
  <si>
    <t>SAPO129319750_603550</t>
  </si>
  <si>
    <t>14:02, 29-04-2026</t>
  </si>
  <si>
    <t xml:space="preserve">Đặng Châu Anh
 B8303, khu BIM waterfront, Đặc Khu Phú Quốc, Đặc Khu Phú Quốc, An Giang
 0388242170
 </t>
  </si>
  <si>
    <t>S22693229.BO.SG14-04-E3.1230532848</t>
  </si>
  <si>
    <t>SAPO129319798_603550</t>
  </si>
  <si>
    <t xml:space="preserve">Tuyết
 222 đường Duyên Hải, Xã Cần Giờ, Xã Cần Giờ, TP Hồ Chí Minh
 0975067070
 </t>
  </si>
  <si>
    <t>S22693229.BO.MN2-05-H13.1332686700</t>
  </si>
  <si>
    <t>SAPO129319854_603550</t>
  </si>
  <si>
    <t>19:21, 25-04-2026</t>
  </si>
  <si>
    <t xml:space="preserve">Tiến Bùi thị
 Trường Mầm non Hương Ban Mai khu căn cứ 301 phường Thống nhất 2 TP Dĩ An Bình Dương, Phường Dĩ An, Phường Dĩ An, TP Hồ Chí Minh
 0348884809
 </t>
  </si>
  <si>
    <t>S22693229.MB2-03-C14.1098170992</t>
  </si>
  <si>
    <t>SAPO129319883_603550</t>
  </si>
  <si>
    <t xml:space="preserve">Thu Ba
 Trạm y tế Gia Lạc, Xã Gia Phong, Xã Gia Phong, Ninh Bình
 0978470949
 </t>
  </si>
  <si>
    <t>S22693229.BO.MT8-05-E10.1189468393</t>
  </si>
  <si>
    <t>SAPO129319921_603550</t>
  </si>
  <si>
    <t>16:57, 25-04-2026</t>
  </si>
  <si>
    <t xml:space="preserve">Trần Minh Tú
 32 Phan Ngọc Nhân, Phường Hội An Tây, Phường Hội An Tây, Đà Nẵng
 0785072222
 </t>
  </si>
  <si>
    <t>S22693229.MB15-03-B4.1858765458</t>
  </si>
  <si>
    <t>SAPO129319951_603550</t>
  </si>
  <si>
    <t>21:15, 24-04-2026</t>
  </si>
  <si>
    <t xml:space="preserve">Hung Trinh
 Khu An phương, Xã Tân Lạc, Xã Tân Lạc, Phú Thọ
 0963956300
 </t>
  </si>
  <si>
    <t>S22693229.BO.MT13-03-G6.1283619219</t>
  </si>
  <si>
    <t>SAPO129319983_603550</t>
  </si>
  <si>
    <t xml:space="preserve">Hoàng Quốc Bảo
 Hòn Đỏ Homestay, Xã Vĩnh Hải, Xã Vĩnh Hải, Khánh Hòa
 0909839184
 </t>
  </si>
  <si>
    <t>S22693229.BO.MT13-03-G6.1960688873</t>
  </si>
  <si>
    <t>SAPO129320002_603550</t>
  </si>
  <si>
    <t>S22693229.BO.MT16-02-A33.1136194419</t>
  </si>
  <si>
    <t>SAPO129320050_603550</t>
  </si>
  <si>
    <t>15:44, 28-04-2026</t>
  </si>
  <si>
    <t xml:space="preserve">Hoàng vân
 18/20/19 tuệ tĩnh, Phường Diên Hồng, Phường Diên Hồng, Gia Lai
 0905684173
 </t>
  </si>
  <si>
    <t>S22693229.HNP116-T128.1961947862</t>
  </si>
  <si>
    <t>SAPO129320078_603550</t>
  </si>
  <si>
    <t>18:21, 25-04-2026</t>
  </si>
  <si>
    <t xml:space="preserve">Duong huong
 Thôn Văn Sơn, Xã Trần Phú, Xã Trần Phú, Hà Nội
 0966791490
 </t>
  </si>
  <si>
    <t>S22693229.BO.MT10-04-D04.1787290614</t>
  </si>
  <si>
    <t>SAPO129320132_603550</t>
  </si>
  <si>
    <t>18:41, 25-04-2026</t>
  </si>
  <si>
    <t xml:space="preserve">Trinh Nguyễn
 08 Nguyễn Thị Định, Phường Quy Nhơn Nam, Phường Quy Nhơn Nam, Gia Lai
 0914479969
 </t>
  </si>
  <si>
    <t>S22693229.BO.MN4-07-M81.1215065784</t>
  </si>
  <si>
    <t>SAPO129320220_603550</t>
  </si>
  <si>
    <t>11:54, 25-04-2026</t>
  </si>
  <si>
    <t xml:space="preserve">Thuý
 Số 1, hẻm 2, đường Xóm mới, Phường Hòa Thành, Phường Hòa Thành, Tây Ninh
 0818997788
 </t>
  </si>
  <si>
    <t>S22693229.BO.DN7-M17.1165177693</t>
  </si>
  <si>
    <t>SAPO129320254_603550</t>
  </si>
  <si>
    <t>13:32, 25-04-2026</t>
  </si>
  <si>
    <t xml:space="preserve">Nguyễn Chiến Thắng
 Lô 10 an thượng 38, Phường Ngũ Hành Sơn, Phường Ngũ Hành Sơn, Đà Nẵng
 0329346769
 </t>
  </si>
  <si>
    <t>S22693229.BO.SGP101-I100.1476386808</t>
  </si>
  <si>
    <t>SAPO129320301_603550</t>
  </si>
  <si>
    <t>12:30, 25-04-2026</t>
  </si>
  <si>
    <t xml:space="preserve">Hương
 81 đường số 2 KDC Phú Mỹ, Phường Tân Mỹ, Phường Tân Mỹ, TP Hồ Chí Minh
 0383425077
 </t>
  </si>
  <si>
    <t>S22693229.BO.MT12-07-D21.1224281853</t>
  </si>
  <si>
    <t>SAPO129320369_603550</t>
  </si>
  <si>
    <t xml:space="preserve">Tran hoai thuong
 452/70a Lê Hồng Phong, Phường Nam Nha Trang, Phường Nam Nha Trang, Khánh Hòa
 0901582968
 </t>
  </si>
  <si>
    <t>S22693229.MB16-03-D1.1655236321</t>
  </si>
  <si>
    <t>SAPO129320398_603550</t>
  </si>
  <si>
    <t>21:10, 24-04-2026</t>
  </si>
  <si>
    <t xml:space="preserve">Tòng Thị Tình
 Trung tâm Dịch vụ tổng hợp, xã Sông Mã, tỉnh Sơn La, Xã Sông Mã, Xã Sông Mã, Sơn La
 0985063736
 </t>
  </si>
  <si>
    <t>S22693229.MB6-23-P2.1295413323</t>
  </si>
  <si>
    <t>SAPO129320441_603550</t>
  </si>
  <si>
    <t>09:19, 22-04-2026</t>
  </si>
  <si>
    <t>14:50, 27-04-2026</t>
  </si>
  <si>
    <t xml:space="preserve">Lê Thị Thúy Hải
 Khu đô thị Tây Bắc, Xã Kẻ Sặt, Xã Kẻ Sặt, Hải Phòng
 0908780683
 </t>
  </si>
  <si>
    <t>S22693229.MB12-02-B14.1288459215</t>
  </si>
  <si>
    <t>SAPO129320471_603550</t>
  </si>
  <si>
    <t xml:space="preserve">Hà Dung
 Số nhà 54, khu Tân Thành, xã Cẩm Khê, Xã Cẩm Khê, Xã Cẩm Khê, Phú Thọ
 0985249652
 </t>
  </si>
  <si>
    <t>S22693229.BO.MT19-01-A04.1262995397</t>
  </si>
  <si>
    <t>SAPO129320495_603550</t>
  </si>
  <si>
    <t>15:29, 25-04-2026</t>
  </si>
  <si>
    <t xml:space="preserve">Nguyen linh
 53 Hùng Vương, phường lâm viên đà lạt, lâm đồng, Phường Lâm Viên - Đà Lạt, Phường Lâm Viên - Đà Lạt, Lâm Đồng
 0908829527
 </t>
  </si>
  <si>
    <t>S22693229.MB6-02-B21.1620178143</t>
  </si>
  <si>
    <t>SAPO129320515_603550</t>
  </si>
  <si>
    <t>21:02, 24-04-2026</t>
  </si>
  <si>
    <t xml:space="preserve">Nguyễn Hạnh
 Khu 1 -phả lại -chí linh-hải dương, Phường Chí Linh, Phường Chí Linh, Hải Phòng
 0965062793
 </t>
  </si>
  <si>
    <t>S22693229.BO.MN8-06-J21.1948234565</t>
  </si>
  <si>
    <t>SAPO129320563_603550</t>
  </si>
  <si>
    <t>17:12, 27-04-2026</t>
  </si>
  <si>
    <t xml:space="preserve">Thùy Nguyễn
 130/1 ấp Phú Lợi, Xã Đại Điền, Xã Đại Điền, Vĩnh Long
 0909838819
 </t>
  </si>
  <si>
    <t>S22693229.MB6-07-H3.1215270246</t>
  </si>
  <si>
    <t>SAPO129320587_603550</t>
  </si>
  <si>
    <t xml:space="preserve">Nguyễn Kiêm Doanh
 Xóm 4 thôn cổ chẩm 1, Xã Hà Bắc, Xã Hà Bắc, Hải Phòng
 0985033000
 </t>
  </si>
  <si>
    <t>S22693229.MB7-15-Y4.1239588302</t>
  </si>
  <si>
    <t>SAPO129320603_603550</t>
  </si>
  <si>
    <t>18:59, 25-04-2026</t>
  </si>
  <si>
    <t xml:space="preserve">Lê Oanh
 21a/267 lê thánh tông, Phường Ngô Quyền, Phường Ngô Quyền, Hải Phòng
 0913658595
 </t>
  </si>
  <si>
    <t>S22693229.BO.DN17-I1.1578369619</t>
  </si>
  <si>
    <t>SAPO129320619_603550</t>
  </si>
  <si>
    <t xml:space="preserve">lê Châu
 k4/11 đường 2/9, Phường Hải Châu, Phường Hải Châu, Đà Nẵng
 0988855519
 </t>
  </si>
  <si>
    <t>S22693229.MB26-04-V1.1625378391</t>
  </si>
  <si>
    <t>SAPO129320634_603550</t>
  </si>
  <si>
    <t>13:16, 24-04-2026</t>
  </si>
  <si>
    <t xml:space="preserve">HẠNH LONG
 SN 2, ngách 2, ngõ 101, đường Phan Bội Châu, Thị Trấn Đô Lương, Nghệ An, Xã Đô Lương, Xã Đô Lương, Nghệ An
 0976466021
 </t>
  </si>
  <si>
    <t>S22693229.MB18-03-H12.1260240747</t>
  </si>
  <si>
    <t>SAPO129320659_603550</t>
  </si>
  <si>
    <t xml:space="preserve">Hiền Trần
 Tổ 7, Phường Thục Phán, Phường Thục Phán, Cao Bằng
 0336211713
 </t>
  </si>
  <si>
    <t>S22693229.BO.DN16-H12.1243365868</t>
  </si>
  <si>
    <t>SAPO129320675_603550</t>
  </si>
  <si>
    <t>17:20, 28-04-2026</t>
  </si>
  <si>
    <t xml:space="preserve">Thùy Trinh
 168 Nguyễn Sinh Sắc, Phường Hòa Khánh, Phường Hòa Khánh, Đà Nẵng
 0935812210
 </t>
  </si>
  <si>
    <t>S22693229.MB17-01-E13.1367261538</t>
  </si>
  <si>
    <t>SAPO129320690_603550</t>
  </si>
  <si>
    <t>19:33, 25-04-2026</t>
  </si>
  <si>
    <t xml:space="preserve">Hieu hoang
 56 bông lau, Phường Kỳ Lừa, Phường Kỳ Lừa, Lạng Sơn
 0904868663
 </t>
  </si>
  <si>
    <t>S22693229.BO.MN1-05-Z37.1711318799</t>
  </si>
  <si>
    <t>SAPO129320707_603550</t>
  </si>
  <si>
    <t>12:46, 25-04-2026</t>
  </si>
  <si>
    <t xml:space="preserve">Kim Ngoc
 Ấp 5 xã nhơn trạch đồng nai, Xã Nhơn Trạch, Xã Nhơn Trạch, Đồng Nai
 0931544486
 </t>
  </si>
  <si>
    <t>S22693229.BO.MT19-02-V31.1067155010</t>
  </si>
  <si>
    <t>SAPO129320727_603550</t>
  </si>
  <si>
    <t>18:46, 25-04-2026</t>
  </si>
  <si>
    <t xml:space="preserve">Phạm hồng đăng
 15 lạc long quân, Xã Bảo Lâm 1, Xã Bảo Lâm 1, Lâm Đồng
 0989640251
 </t>
  </si>
  <si>
    <t>S22693229.BO.MN19-01-T42.1533744271</t>
  </si>
  <si>
    <t>SAPO129320809_603550</t>
  </si>
  <si>
    <t xml:space="preserve">Thanhnhan Truong
 Tổ 4 ấp suối đá xã dương tơ phú quốc kiên giang, Đặc Khu Phú Quốc, Đặc Khu Phú Quốc, An Giang
 0939188312
 </t>
  </si>
  <si>
    <t>S22693229.BO.SGP05-N21.1178031756</t>
  </si>
  <si>
    <t>SAPO129320825_603550</t>
  </si>
  <si>
    <t>17:29, 25-04-2026</t>
  </si>
  <si>
    <t xml:space="preserve">Sơn triệu
 84/40/13 Bùi Quang Là-P12-Gò Vấp, Phường An Hội Tây, Phường An Hội Tây, TP Hồ Chí Minh
 0986474114
 </t>
  </si>
  <si>
    <t>S22693229.BO.SGP45-V02.1446452092</t>
  </si>
  <si>
    <t>SAPO129320868_603550</t>
  </si>
  <si>
    <t>15:52, 25-04-2026</t>
  </si>
  <si>
    <t xml:space="preserve">Bùi thị Nhien
 Cty jabil vn, cổng 3 khu công nghệ cao, tp hcm, Phường Tăng Nhơn Phú, Phường Tăng Nhơn Phú, TP Hồ Chí Minh
 0988820058
 </t>
  </si>
  <si>
    <t>S22693229.MB10-12-L9.1272322360</t>
  </si>
  <si>
    <t>SAPO129320976_603550</t>
  </si>
  <si>
    <t>19:47, 24-04-2026</t>
  </si>
  <si>
    <t xml:space="preserve">Mai phi Điệp
 Chung cư Icon40 Hùng thắng, Phường Bãi Cháy, Phường Bãi Cháy, Quảng Ninh
 0835528266
 </t>
  </si>
  <si>
    <t>S22693229.BO.SG13-08-D28.1813758997</t>
  </si>
  <si>
    <t>SAPO129321019_603550</t>
  </si>
  <si>
    <t>09:20, 22-04-2026</t>
  </si>
  <si>
    <t>14:56, 25-04-2026</t>
  </si>
  <si>
    <t xml:space="preserve">Hạ Lâm
 114/9 Lê Thị Giót, bến đò 1,, Xã Củ Chi, Xã Củ Chi, TP Hồ Chí Minh
 0798792631
 </t>
  </si>
  <si>
    <t>S22693229.BO.MN19-01-A60.1124768538</t>
  </si>
  <si>
    <t>SAPO129321122_603550</t>
  </si>
  <si>
    <t>19:24, 27-04-2026</t>
  </si>
  <si>
    <t xml:space="preserve">Dương lê
 423 nguyễn văn cừ khu phố 6 an thới Phú quốc, Đặc Khu Phú Quốc, Đặc Khu Phú Quốc, An Giang
 0918407272
 </t>
  </si>
  <si>
    <t>S22693229.MB10-04-D6.1858132902</t>
  </si>
  <si>
    <t>SAPO129322535_603550</t>
  </si>
  <si>
    <t>09:21, 22-04-2026</t>
  </si>
  <si>
    <t xml:space="preserve">Giang Ta
 Số 39, phố Quang Trung, Xã Tiên Yên, Xã Tiên Yên, Quảng Ninh
 0869320883
 </t>
  </si>
  <si>
    <t>S22693229.BO.MT19-01-A08.1821921728</t>
  </si>
  <si>
    <t>SAPO129322534_603550</t>
  </si>
  <si>
    <t>17:32, 29-04-2026</t>
  </si>
  <si>
    <t xml:space="preserve">Nhung
 1 phạm ngọc thạch, Phường Cam Ly - Đà Lạt, Phường Cam Ly - Đà Lạt, Lâm Đồng
 0986642589
 </t>
  </si>
  <si>
    <t>S22693229.BO.SGP34-K71.1984917943</t>
  </si>
  <si>
    <t>SAPO129322533_603550</t>
  </si>
  <si>
    <t>17:20, 25-04-2026</t>
  </si>
  <si>
    <t xml:space="preserve">Nguyễn Hoàng Long
 345, trương thị hoa,, Phường Tân Thới Hiệp, Phường Tân Thới Hiệp, TP Hồ Chí Minh
 0905239998
 </t>
  </si>
  <si>
    <t>S22693229.MB9-07-U14.1779119686</t>
  </si>
  <si>
    <t>SAPO129322531_603550</t>
  </si>
  <si>
    <t xml:space="preserve">Trần Thị Minh
 Tổ dân phố 5, Phường Yên Dũng, Phường Yên Dũng, Bắc Ninh
 0386158862
 </t>
  </si>
  <si>
    <t>S22693229.BO.DN10-G02.1858129443</t>
  </si>
  <si>
    <t>SAPO129322536_603550</t>
  </si>
  <si>
    <t xml:space="preserve">Thanh Huyền
 sảnh B chung cư 16 Trần Phú, Phường Hải Châu, Phường Hải Châu, Đà Nẵng
 0975879377
 </t>
  </si>
  <si>
    <t>S22693229.HNP25-F29.1073400870</t>
  </si>
  <si>
    <t>527781193356924</t>
  </si>
  <si>
    <t>09:52, 22-04-2026</t>
  </si>
  <si>
    <t>16:29, 25-04-2026</t>
  </si>
  <si>
    <t xml:space="preserve">Đỗ Tiến Vinh
 Trường trung cấp du lịch Hà Nội, 16 ngõ 143 Nguyễn Ngọc Vũ, Hà Nội, Phường Yên Hòa, Phường Yên Hòa, Hà Nội
 0387847939
 </t>
  </si>
  <si>
    <t>S22693229.MB26-36-TC3.1705577759</t>
  </si>
  <si>
    <t>SAPO129341702_603550</t>
  </si>
  <si>
    <t>09:57, 22-04-2026</t>
  </si>
  <si>
    <t>16:02, 25-04-2026</t>
  </si>
  <si>
    <t xml:space="preserve">Hoa Hoàng
 59 thẩm ồm, thôn tân hương, xã quỳ châu, t nghệ an, Xã Quỳ Châu, Xã Quỳ Châu, Nghệ An
 0981086881
 </t>
  </si>
  <si>
    <t>S22693229.BO.MT8-22-X32.1237189548</t>
  </si>
  <si>
    <t>SAPO129341704_603550</t>
  </si>
  <si>
    <t>15:45, 27-04-2026</t>
  </si>
  <si>
    <t xml:space="preserve">Kim Loan
 tổ 2 thôn phước an xã Bình Hải ,Nay là xã Thăng Trường thành phố Đà Nẵng, Xã Thăng Trường, Xã Thăng Trường, Đà Nẵng
 0908594017
 </t>
  </si>
  <si>
    <t>S22693229.BO.MT8-05-E22.1712108045</t>
  </si>
  <si>
    <t>SAPO129341705_603550</t>
  </si>
  <si>
    <t>19:41, 25-04-2026</t>
  </si>
  <si>
    <t xml:space="preserve">Bánh Kem Hồng Vân
 07 trần cao Vân Phường Hội An Thành phố đà nẵng, Phường Hội An, Phường Hội An, Đà Nẵng
 0985686324
 </t>
  </si>
  <si>
    <t>S22693229.MB10-11-H2.1483535301</t>
  </si>
  <si>
    <t>SAPO129341703_603550</t>
  </si>
  <si>
    <t>21:51, 24-04-2026</t>
  </si>
  <si>
    <t xml:space="preserve">Hieu Hoang
 nhà số 1 khu 7, đặc khu Vân Đồn, tỉnh Quảng Ninh, Đặc Khu Vân Đồn, Đặc Khu Vân Đồn, Quảng Ninh
 0978333856
 </t>
  </si>
  <si>
    <t>S22693229.BO.MT11-09-H04.1221535861</t>
  </si>
  <si>
    <t>SAPO129341708_603550</t>
  </si>
  <si>
    <t>14:36, 25-04-2026</t>
  </si>
  <si>
    <t xml:space="preserve">Lê Thị Hồng Thuận
 Khu Phố Trung Hoà  Củng Sơn, Xã Sơn Hòa, Xã Sơn Hòa, Đắk Lắk
 0857744077
 </t>
  </si>
  <si>
    <t>S22693229.BO.MT10-04-D71.1995607686</t>
  </si>
  <si>
    <t>SAPO129341710_603550</t>
  </si>
  <si>
    <t xml:space="preserve">Giao Nguyen
 191 Nguyễn Thái Học  Ngô Mây Quy Nhơn, Phường Quy Nhơn Nam, Phường Quy Nhơn Nam, Gia Lai
 0986641445
 </t>
  </si>
  <si>
    <t>S22693229.MB21-05-E2.1324156028</t>
  </si>
  <si>
    <t>SAPO129341701_603550</t>
  </si>
  <si>
    <t>20:56, 24-04-2026</t>
  </si>
  <si>
    <t xml:space="preserve">Hoang Nguyen
 công ty cp xi măng và khoáng sản yên bái. Số 274. Đường hương lý, tổ 12 thị trấn yên bình h.yên bình t.yên bái, Xã Yên Bình, Xã Yên Bình, Lào Cai
 0868385785
 </t>
  </si>
  <si>
    <t>S22693229.MB27-06-F8.1582947540</t>
  </si>
  <si>
    <t>SAPO129341707_603550</t>
  </si>
  <si>
    <t>17:38, 25-04-2026</t>
  </si>
  <si>
    <t xml:space="preserve">Bảo Ngọc
 Tổ Dân Phố Yên Hà  Thiên Cầm, Xã Thiên Cầm, Xã Thiên Cầm, Hà Tĩnh
 0984467538
 </t>
  </si>
  <si>
    <t>S22693229.BO.MN3-09-M23.1147337859</t>
  </si>
  <si>
    <t>SAPO129341714_603550</t>
  </si>
  <si>
    <t>17:05, 27-04-2026</t>
  </si>
  <si>
    <t xml:space="preserve">Phuong Pham
 Tổ 2 Ấp Bà Rịa, Xã Hồ Tràm, Xã Hồ Tràm, TP Hồ Chí Minh
 0373905339
 </t>
  </si>
  <si>
    <t>S22693229.MB26-16-X11.1995940683</t>
  </si>
  <si>
    <t>SAPO129341712_603550</t>
  </si>
  <si>
    <t>18:11, 24-04-2026</t>
  </si>
  <si>
    <t xml:space="preserve">Vinh Nguyễn An
 Nguyễn Trường Tộ Đông Vĩnh, Phường Thành Vinh, Phường Thành Vinh, Nghệ An
 0934352354
 </t>
  </si>
  <si>
    <t>S22693229.BO.MT4-01-A22.1815751128</t>
  </si>
  <si>
    <t>SAPO129341706_603550</t>
  </si>
  <si>
    <t>14:30, 24-04-2026</t>
  </si>
  <si>
    <t xml:space="preserve">Khánh Duy
 số nhà 75 tôn thất Tùng tổ dân phố 10, Phường Đồng Thuận, Phường Đồng Thuận, Quảng Trị
 0982533655
 </t>
  </si>
  <si>
    <t>S22693229.BO.MT16-02-D77.1682935231</t>
  </si>
  <si>
    <t>SAPO129341709_603550</t>
  </si>
  <si>
    <t>13:52, 25-04-2026</t>
  </si>
  <si>
    <t xml:space="preserve">Ngoc Vinh Cao
 246/18 phù đổng, phường Pleiku, tỉnh gia lai., Phường Pleiku, Phường Pleiku, Gia Lai
 0914620475
 </t>
  </si>
  <si>
    <t>S22693229.MB7-17-A23.1217648366</t>
  </si>
  <si>
    <t>SAPO129341730_603550</t>
  </si>
  <si>
    <t xml:space="preserve">Phuong Thao Hoang
 Số 1, Hùng vương, Sở dầu, Hồng bàng, HP, Phường Hồng Bàng, Phường Hồng Bàng, Hải Phòng
 0975079167
 </t>
  </si>
  <si>
    <t>S22693229.BO.MT15-06-G52.1484036846</t>
  </si>
  <si>
    <t>SAPO129341741_603550</t>
  </si>
  <si>
    <t>16:17, 29-04-2026</t>
  </si>
  <si>
    <t xml:space="preserve">BÙI THỦY
 17 NGUYỄN THIỆN THUẬT, Phường Đăk Cấm, Phường Đăk Cấm, Quảng Ngãi
 0976430051
 </t>
  </si>
  <si>
    <t>S22693229.BO.SGP59-P84.1681424447</t>
  </si>
  <si>
    <t>SAPO129341752_603550</t>
  </si>
  <si>
    <t>16:11, 28-04-2026</t>
  </si>
  <si>
    <t xml:space="preserve">Ngoc
 402/5 Kinh Dương Vương, Phường An Lạc, Phường An Lạc, TP Hồ Chí Minh
 0903168235
 </t>
  </si>
  <si>
    <t>S22693229.MB25-34-M1.1701587533</t>
  </si>
  <si>
    <t>SAPO129341762_603550</t>
  </si>
  <si>
    <t>19:36, 27-04-2026</t>
  </si>
  <si>
    <t xml:space="preserve">Linh Linh Nguyen
 Số Nhà 18. Đường Đê Sông Chu Xóm 2, Xã Thiệu Hóa, Xã Thiệu Hóa, Thanh Hóa
 0838861536
 </t>
  </si>
  <si>
    <t>S22693229.MB9-07-U5.1947474982</t>
  </si>
  <si>
    <t>SAPO129341782_603550</t>
  </si>
  <si>
    <t>17:05, 25-04-2026</t>
  </si>
  <si>
    <t xml:space="preserve">Bùi Thu Hiền
 Thôn Hồng Giang  Đồng Việt, Xã Đồng Việt, Xã Đồng Việt, Bắc Ninh
 0985998129
 </t>
  </si>
  <si>
    <t>S22693229.MB25-23-Z02.1329709391</t>
  </si>
  <si>
    <t>SAPO129341822_603550</t>
  </si>
  <si>
    <t xml:space="preserve">Nguyễn Thị Thuý Hằng
 154 Phan Bội Châu  Hạc Thành, Phường Hạc Thành, Phường Hạc Thành, Thanh Hóa
 0986721362
 </t>
  </si>
  <si>
    <t>S22693229.BO.MT10-05-E11.1203642257</t>
  </si>
  <si>
    <t>SAPO129341848_603550</t>
  </si>
  <si>
    <t>18:48, 27-04-2026</t>
  </si>
  <si>
    <t xml:space="preserve">Huy Khanh
 109 Ngô Đức Đệ Nhơn An, Phường An Nhơn Đông, Phường An Nhơn Đông, Gia Lai
 0975154477
 </t>
  </si>
  <si>
    <t>S22693229.BO.MT4-02-B28.1186920344</t>
  </si>
  <si>
    <t>SAPO129341874_603550</t>
  </si>
  <si>
    <t>12:45, 25-04-2026</t>
  </si>
  <si>
    <t xml:space="preserve">Bình Phú
 thôn 2 - quảng kim- quảng Trạch -quảng bình, Xã Phú Trạch, Xã Phú Trạch, Quảng Trị
 0888367867
 </t>
  </si>
  <si>
    <t>S22693229.BO.MT5-05-E4.1204251264</t>
  </si>
  <si>
    <t>SAPO129342019_603550</t>
  </si>
  <si>
    <t>09:58, 22-04-2026</t>
  </si>
  <si>
    <t>19:30, 25-04-2026</t>
  </si>
  <si>
    <t xml:space="preserve">Phương Thảo
 Thôn An Du Đông 2, xã Cửa Tùng, tỉnh Quảng Trị., Xã Cửa Tùng, Xã Cửa Tùng, Quảng Trị
 0948450925
 </t>
  </si>
  <si>
    <t>S22693229.BO.MT10-09-P04.1075016263</t>
  </si>
  <si>
    <t>SAPO129342080_603550</t>
  </si>
  <si>
    <t>15:58, 25-04-2026</t>
  </si>
  <si>
    <t xml:space="preserve">Đặng Phượng
 56 Lê Hồng Phong Tăng Bạt Hổ, Xã Hoài Ân, Xã Hoài Ân, Gia Lai
 0979454719
 </t>
  </si>
  <si>
    <t>S22693229.BO.MT11-08-K2.1087310897</t>
  </si>
  <si>
    <t>SAPO129342112_603550</t>
  </si>
  <si>
    <t>13:03, 25-04-2026</t>
  </si>
  <si>
    <t xml:space="preserve">Nguyễn Thị Thu Thuỷ
 , thôn Phụng Tường 1, phú hoà 2, Đắk Lắk, Xã Phú Hòa 2, Xã Phú Hòa 2, Đắk Lắk
 0702631731
 </t>
  </si>
  <si>
    <t>S22693229.BO.MT14-05-G02.1601314038</t>
  </si>
  <si>
    <t>SAPO129342129_603550</t>
  </si>
  <si>
    <t>17:08, 29-04-2026</t>
  </si>
  <si>
    <t xml:space="preserve">Phuong Dat Tu
 Thôn Phú hòa, hàm trí, hàm thuận bắc, bình thuận, Xã Hàm Thuận Bắc, Xã Hàm Thuận Bắc, Lâm Đồng
 0347624014
 </t>
  </si>
  <si>
    <t>S22693229.BO.SG11-10-K22.1132874629</t>
  </si>
  <si>
    <t>SAPO129342232_603550</t>
  </si>
  <si>
    <t>16:38, 27-04-2026</t>
  </si>
  <si>
    <t xml:space="preserve">Bau Nguyen
 chung cư Lovera vista, số 2, đường số 19, KDC số 4, xã Phong Phú, Bình Chánh, TP HCM, Xã Bình Hưng, Xã Bình Hưng, TP Hồ Chí Minh
 0333888325
 </t>
  </si>
  <si>
    <t>S22693229.BO.MT4-01-A28.1791887880</t>
  </si>
  <si>
    <t>SAPO129342253_603550</t>
  </si>
  <si>
    <t xml:space="preserve">Trần Lan Tú
 Bệnh viện hữu nghị Việt Nam cuba Phương Đồng Hới - Tỉnh quảng trị, Phường Đồng Hới, Phường Đồng Hới, Quảng Trị
 0915002889
 </t>
  </si>
  <si>
    <t>S22693229.MB4-03-C14.1713465272</t>
  </si>
  <si>
    <t>SAPO129343453_603550</t>
  </si>
  <si>
    <t>10:00, 22-04-2026</t>
  </si>
  <si>
    <t>15:25, 24-04-2026</t>
  </si>
  <si>
    <t xml:space="preserve">Anh Huong
 Ngã ba _thuỵ liên _thái thuỵ _thái bình, Xã Thái Thụy, Xã Thái Thụy, Hưng Yên
 0389745332
 </t>
  </si>
  <si>
    <t>S22693229.BO.MB25-28-V9.1102603313</t>
  </si>
  <si>
    <t>SAPO129344408_603550</t>
  </si>
  <si>
    <t>10:03, 22-04-2026</t>
  </si>
  <si>
    <t>17:44, 28-04-2026</t>
  </si>
  <si>
    <t xml:space="preserve">Bùi Minh PQ
 quỹ tín dụng nhân dân ngư lộc( thôn minh thịnh -xã vạn lộc - thanh hoá), Xã Vạn Lộc, Xã Vạn Lộc, Thanh Hóa
 0984019066
 </t>
  </si>
  <si>
    <t>S22693229.BO.MN4-07-M22.1621708740</t>
  </si>
  <si>
    <t>SAPO129418795_603550</t>
  </si>
  <si>
    <t>13:20, 22-04-2026</t>
  </si>
  <si>
    <t>11:08, 24-04-2026</t>
  </si>
  <si>
    <t xml:space="preserve">Hiền
 104, Hai Bà Trưng, khu phố 3, Phường Long Hoa, Phường Long Hoa, Tây Ninh
 0908426085
 </t>
  </si>
  <si>
    <t>S22693229.MN1-02-S33.1062222338</t>
  </si>
  <si>
    <t>SAPO129418791_603550</t>
  </si>
  <si>
    <t>17:21, 24-04-2026</t>
  </si>
  <si>
    <t xml:space="preserve">Lỷ sướng sầu
 Công ty tnhh united jumbo, Phường Bình Lộc, Phường Bình Lộc, Đồng Nai
 0865010579
 </t>
  </si>
  <si>
    <t>S22693229.MN1-05-Z22.1236699845</t>
  </si>
  <si>
    <t>SAPO129418792_603550</t>
  </si>
  <si>
    <t xml:space="preserve">Nguyễn Mậu Đức
 294 Lý Thái Tổ - Ấp Bến Săn, Xã Nhơn Trạch, Xã Nhơn Trạch, Đồng Nai
 0972267758
 </t>
  </si>
  <si>
    <t>S22693229.MN7-10-B66.1722196362</t>
  </si>
  <si>
    <t>SAPO129418794_603550</t>
  </si>
  <si>
    <t>14:05, 24-04-2026</t>
  </si>
  <si>
    <t xml:space="preserve">Lê Thị Hồng
 Ấp Tân Thiện, Xã Hiệp Đức, Xã Hiệp Đức, Đồng Tháp
 0384394798
 </t>
  </si>
  <si>
    <t>S22693229.SGP24-V72.1254128401</t>
  </si>
  <si>
    <t>SAPO129418796_603550</t>
  </si>
  <si>
    <t>13:06, 25-04-2026</t>
  </si>
  <si>
    <t xml:space="preserve">Đỗ Thị Thành Tựu
 93/24 đường số 2 phường Tam Bình, Thủ Đức, Phường Tam Bình, Phường Tam Bình, TP Hồ Chí Minh
 0906090381
 </t>
  </si>
  <si>
    <t>S22693229.SGP100-I41.1408935157</t>
  </si>
  <si>
    <t>SAPO129418793_603550</t>
  </si>
  <si>
    <t>18:14, 24-04-2026</t>
  </si>
  <si>
    <t xml:space="preserve">Dung le
 Số 14- Đường 63 Tân Quy Đông, Phường Tân Hưng, Phường Tân Hưng, TP Hồ Chí Minh
 0918399855
 </t>
  </si>
  <si>
    <t>S22693229.BO.DN9-O15.1317330303</t>
  </si>
  <si>
    <t>SAPO129422713_603550</t>
  </si>
  <si>
    <t>13:26, 22-04-2026</t>
  </si>
  <si>
    <t>13:47, 28-04-2026</t>
  </si>
  <si>
    <t xml:space="preserve">Ngọc Thanh Nguyễn
 231/6 Lê Duẩn, Phường Thanh Khê, Phường Thanh Khê, Đà Nẵng
 0905026846
 </t>
  </si>
  <si>
    <t>S22693229.BO.SGP34-K69.1197890136</t>
  </si>
  <si>
    <t>SAPO129422720_603550</t>
  </si>
  <si>
    <t xml:space="preserve">Minh Nhựt
 119/9 TX43, Phường Thới An, Phường Thới An, TP Hồ Chí Minh
 0961080639
 </t>
  </si>
  <si>
    <t>S22693229.BO.MT17-11-T11.1991556045</t>
  </si>
  <si>
    <t>SAPO129422701_603550</t>
  </si>
  <si>
    <t>19:00, 27-04-2026</t>
  </si>
  <si>
    <t xml:space="preserve">Trần thị nhài
 Buôn eabhok, Xã Dray Bhăng, Xã Dray Bhăng, Đắk Lắk
 0943099918
 </t>
  </si>
  <si>
    <t>S22693229.BO.MT16-02-A34.1513167106</t>
  </si>
  <si>
    <t>SAPO129422716_603550</t>
  </si>
  <si>
    <t>17:01, 28-04-2026</t>
  </si>
  <si>
    <t xml:space="preserve">Trần diễm phúc
 145/14 đường Thống Nhất, Phường Diên Hồng, Phường Diên Hồng, Gia Lai
 0983048839
 </t>
  </si>
  <si>
    <t>S22693229.BO.MT4-01-A21.1289514285</t>
  </si>
  <si>
    <t>SAPO129422719_603550</t>
  </si>
  <si>
    <t>14:42, 27-04-2026</t>
  </si>
  <si>
    <t xml:space="preserve">Nguyễn Công Chức
 119 Trường Chinh, Phường Đồng Thuận, Phường Đồng Thuận, Quảng Trị
 0966585789
 </t>
  </si>
  <si>
    <t>S22693229.MB19-08-A12.1453061605</t>
  </si>
  <si>
    <t>SAPO129422692_603550</t>
  </si>
  <si>
    <t>15:19, 27-04-2026</t>
  </si>
  <si>
    <t xml:space="preserve">Nguyễn
 Số nhà 12, ngõ 141, đường phùng chí kiên, Phường Phan Đình Phùng, Phường Phan Đình Phùng, Thái Nguyên
 0989846918
 </t>
  </si>
  <si>
    <t>S22693229.MB19-05-F2.1578440402</t>
  </si>
  <si>
    <t>SAPO129422690_603550</t>
  </si>
  <si>
    <t>15:01, 28-04-2026</t>
  </si>
  <si>
    <t xml:space="preserve">Đào kim ánh
 Khoa khám bệnh trung tâm y tế phổ yên thái nguyên, Phường Phổ Yên, Phường Phổ Yên, Thái Nguyên
 0982778223
 </t>
  </si>
  <si>
    <t>S22693229.BO.MT16-23-C32.1577529378</t>
  </si>
  <si>
    <t>SAPO129422703_603550</t>
  </si>
  <si>
    <t>19:38, 27-04-2026</t>
  </si>
  <si>
    <t xml:space="preserve">Hà Thị Bích Thảo
 Trung tâm y tế An Khê, tổ 2, Phường An Khê, Phường An Khê, Gia Lai
 0383498507
 </t>
  </si>
  <si>
    <t>S22693229.HNP71-P12.1372519301</t>
  </si>
  <si>
    <t>SAPO129422706_603550</t>
  </si>
  <si>
    <t xml:space="preserve">Hằng
 2c hàng bồ, Phường Hoàn Kiếm, Phường Hoàn Kiếm, Hà Nội
 0972611643
 </t>
  </si>
  <si>
    <t>S22693229.HNP118-A1.1162271502</t>
  </si>
  <si>
    <t>SAPO129422689_603550</t>
  </si>
  <si>
    <t>18:44, 25-04-2026</t>
  </si>
  <si>
    <t xml:space="preserve">Bùi Thị Ngọc Lan
 thôn Xuân Trạch, Xã Đông Anh, Xã Đông Anh, Hà Nội
 0987754356
 </t>
  </si>
  <si>
    <t>S22693229.HNP98-E3.1448861367</t>
  </si>
  <si>
    <t>SAPO129422702_603550</t>
  </si>
  <si>
    <t>20:05, 28-04-2026</t>
  </si>
  <si>
    <t xml:space="preserve">Lê Quỳnh Nga
 Tổng kho Petrolimex Đức Giang số 51 phố Đức Giang, Phường Việt Hưng, Phường Việt Hưng, Hà Nội
 0912815927
 </t>
  </si>
  <si>
    <t>S22693229.MB19-05-F2.1581626305</t>
  </si>
  <si>
    <t>SAPO129422687_603550</t>
  </si>
  <si>
    <t>20:33, 27-04-2026</t>
  </si>
  <si>
    <t xml:space="preserve">Phạm Sinh Thái
 Tổ dân phố Quán Vã phường Ba Hàng, Phường Phổ Yên, Phường Phổ Yên, Thái Nguyên
 0966323398
 </t>
  </si>
  <si>
    <t>S22693229.BO.SGP02-N13.1953657621</t>
  </si>
  <si>
    <t>SAPO129422715_603550</t>
  </si>
  <si>
    <t>17:09, 27-04-2026</t>
  </si>
  <si>
    <t xml:space="preserve">Phan Lộc
 139 đường 12, kdc Citiland Parkhill,Phan Văn trị, Phường Gò Vấp, Phường Gò Vấp, TP Hồ Chí Minh
 0909872864
 </t>
  </si>
  <si>
    <t>S22693229.MB15-08-H2.1711042147</t>
  </si>
  <si>
    <t>SAPO129422717_603550</t>
  </si>
  <si>
    <t xml:space="preserve">Mai Thanh
 Xóm Ninh Sơn, Xã Yên Phú, Xã Yên Phú, Phú Thọ
 0916879286
 </t>
  </si>
  <si>
    <t>S22693229.BO.SGP01-M33.1453132853</t>
  </si>
  <si>
    <t>SAPO129422710_603550</t>
  </si>
  <si>
    <t>17:56, 28-04-2026</t>
  </si>
  <si>
    <t xml:space="preserve">Bình
 884/51 Lê Đức Thọ, Phường An Hội Đông, Phường An Hội Đông, TP Hồ Chí Minh
 0903129721
 </t>
  </si>
  <si>
    <t>S22693229.MB8-06-F8.1626166657</t>
  </si>
  <si>
    <t>SAPO129422709_603550</t>
  </si>
  <si>
    <t>05:45, 26-04-2026</t>
  </si>
  <si>
    <t xml:space="preserve">Phạm Thị Kim Thủy
 Cty minh trí kcn yên phong long châu bắc ninh, Xã Yên Phong, Xã Yên Phong, Bắc Ninh
 0386391474
 </t>
  </si>
  <si>
    <t>S22693229.BO.SGP11-V62.1571631577</t>
  </si>
  <si>
    <t>SAPO129422700_603550</t>
  </si>
  <si>
    <t>12:41, 27-04-2026</t>
  </si>
  <si>
    <t xml:space="preserve">Thu Hương
 55 Trần Nhật Duật, Phường Tân Định, Phường Tân Định, TP Hồ Chí Minh
 0918682788
 </t>
  </si>
  <si>
    <t>S22693229.BO.SGP11-V37.1259942768</t>
  </si>
  <si>
    <t>SAPO129422712_603550</t>
  </si>
  <si>
    <t>12:16, 29-04-2026</t>
  </si>
  <si>
    <t xml:space="preserve">Lê Ngọc Uyên
 21A nguyễn văn trỗi, Phường Phú Nhuận, Phường Phú Nhuận, TP Hồ Chí Minh
 0909016793
 </t>
  </si>
  <si>
    <t>S22693229.BO.MN2-07-TK23.1734631872</t>
  </si>
  <si>
    <t>SAPO129422696_603550</t>
  </si>
  <si>
    <t>14:26, 28-04-2026</t>
  </si>
  <si>
    <t xml:space="preserve">Nguyen Huynh Ha Trang
 Chung cư Bcons Polaris Lê Trọng Tấn, Phường Dĩ An, Phường Dĩ An, TP Hồ Chí Minh
 0919195580
 </t>
  </si>
  <si>
    <t>S22693229.BO.SGP89-I12.1083973101</t>
  </si>
  <si>
    <t>SAPO129422721_603550</t>
  </si>
  <si>
    <t>12:13, 29-04-2026</t>
  </si>
  <si>
    <t xml:space="preserve">Nguyễn Trần Nguyên Bách
 69 Phạm Ngọc Thạch, Phường Xuân Hòa, Phường Xuân Hòa, TP Hồ Chí Minh
 0798883632
 </t>
  </si>
  <si>
    <t>S22693229.MB4-06-F5.1533887141</t>
  </si>
  <si>
    <t>SAPO129422699_603550</t>
  </si>
  <si>
    <t>15:56, 25-04-2026</t>
  </si>
  <si>
    <t xml:space="preserve">Khải Trần
 Đội 7 thanh lãng, Xã Hồng Minh, Xã Hồng Minh, Hưng Yên
 0336212832
 </t>
  </si>
  <si>
    <t>S22693229.HNP132-A1.1749622745</t>
  </si>
  <si>
    <t>SAPO129422711_603550</t>
  </si>
  <si>
    <t>19:09, 29-04-2026</t>
  </si>
  <si>
    <t xml:space="preserve">Nguyễn Phan Diễm Hằng
 Số 9, ngõ trại, đường xóm núi, xuân đoài, Xã Sóc Sơn, Xã Sóc Sơn, Hà Nội
 0982088635
 </t>
  </si>
  <si>
    <t>S22693229.MB18-03-H7.1025480775</t>
  </si>
  <si>
    <t>SAPO129422708_603550</t>
  </si>
  <si>
    <t>16:02, 29-04-2026</t>
  </si>
  <si>
    <t xml:space="preserve">Nông Thị Chuyền
 Tổ 14 Phường Tân Giang, Phường Tân Giang, Phường Tân Giang, Cao Bằng
 0915605885
 </t>
  </si>
  <si>
    <t>S22693229.BO.MN8-05-K53.1755840998</t>
  </si>
  <si>
    <t>SAPO129422693_603550</t>
  </si>
  <si>
    <t>11:26, 28-04-2026</t>
  </si>
  <si>
    <t xml:space="preserve">Bùi Huyền Trân
 67 Ấp Tân Phước, Xã Mỏ Cày, Xã Mỏ Cày, Vĩnh Long
 0903962257
 </t>
  </si>
  <si>
    <t>S22693229.BO.SGP13-H09.1872200233</t>
  </si>
  <si>
    <t>SAPO129422686_603550</t>
  </si>
  <si>
    <t>16:49, 27-04-2026</t>
  </si>
  <si>
    <t xml:space="preserve">Mai Ngọc Yến
 Cc mỹ đức, 220 xô viết nghệ tĩnh, Phường Thạnh Mỹ Tây, Phường Thạnh Mỹ Tây, TP Hồ Chí Minh
 0793867786
 </t>
  </si>
  <si>
    <t>S22693229.BO.SGP24-V80.1908433155</t>
  </si>
  <si>
    <t>SAPO129422698_603550</t>
  </si>
  <si>
    <t>15:39, 27-04-2026</t>
  </si>
  <si>
    <t xml:space="preserve">Lâm thị Hạnh
 Số 1. Đường 6, khu phố 2, Phường Thủ Đức, Phường Thủ Đức, TP Hồ Chí Minh
 0982873035
 </t>
  </si>
  <si>
    <t>S22693229.HNP99-Q31.1118996915</t>
  </si>
  <si>
    <t>SAPO129422704_603550</t>
  </si>
  <si>
    <t>14:03, 25-04-2026</t>
  </si>
  <si>
    <t xml:space="preserve">vũ thị lan anh
 Số 15 ngõ 565/98 cự khối, Phường Long Biên, Phường Long Biên, Hà Nội
 0973468707
 </t>
  </si>
  <si>
    <t>S22693229.HNP99-Q31.1907747648</t>
  </si>
  <si>
    <t>SAPO129422707_603550</t>
  </si>
  <si>
    <t xml:space="preserve">phạm hồng quang
 61 đường thạch bàn, Phường Long Biên, Phường Long Biên, Hà Nội
 0962868515
 </t>
  </si>
  <si>
    <t>S22693229.HNP45-C185.1453168789</t>
  </si>
  <si>
    <t>SAPO129422737_603550</t>
  </si>
  <si>
    <t>14:36, 29-04-2026</t>
  </si>
  <si>
    <t xml:space="preserve">Nguyễn Văn Sinh
 Số 77 phố Nhật Tảo, TDP.Nhật Tảo 3, Phường Đông Ngạc, Phường Đông Ngạc, Hà Nội
 0983023871
 </t>
  </si>
  <si>
    <t>S22693229.MB11-05-H13.1428320153</t>
  </si>
  <si>
    <t>SAPO129422750_603550</t>
  </si>
  <si>
    <t>18:08, 27-04-2026</t>
  </si>
  <si>
    <t xml:space="preserve">Bùi Thị Phương Lan
 Số nhà 29 phố Lê Xoay, Phường Vĩnh Phúc, Phường Vĩnh Phúc, Phú Thọ
 0931457586
 </t>
  </si>
  <si>
    <t>S22693229.HNP44-J123.1259759925</t>
  </si>
  <si>
    <t>SAPO129422774_603550</t>
  </si>
  <si>
    <t xml:space="preserve">Tran Nam
 22 ngõ 10 Hương Viên, Phường Hai Bà Trưng, Phường Hai Bà Trưng, Hà Nội
 0982289899
 </t>
  </si>
  <si>
    <t>S22693229.BO.SGP105-S66.1619375283</t>
  </si>
  <si>
    <t>SAPO129422802_603550</t>
  </si>
  <si>
    <t>13:18, 28-04-2026</t>
  </si>
  <si>
    <t xml:space="preserve">Trần Văn Thanh
 270B Lý Thường KIệt Phường Tân Hòa HCMĐường Lý Thường Kiệt, Phường Tân Hòa, Phường Tân Hòa, TP Hồ Chí MinhĐường Lý Thường Kiệt, Phường Tân Hòa, Phường Tân Hòa, TP Hồ Chí Minh, Phường Tân Hòa, Phường Tân Hòa, TP Hồ Chí Minh
 0903364354
 </t>
  </si>
  <si>
    <t>S22693229.MB26-31-I11.1074687298</t>
  </si>
  <si>
    <t>SAPO129422824_603550</t>
  </si>
  <si>
    <t xml:space="preserve">Chu Đức Nam
 Xóm Liên Thắng (xóm 3, xã Diễn Trường cũ) xã Hùng Châu, tỉnh Nghệ An, Xã Hùng Châu, Xã Hùng Châu, Nghệ An
 0967698767
 </t>
  </si>
  <si>
    <t>S22693229.BO.MN13-10-U35.1470310489</t>
  </si>
  <si>
    <t>SAPO129422858_603550</t>
  </si>
  <si>
    <t>14:16, 29-04-2026</t>
  </si>
  <si>
    <t xml:space="preserve">A Thái
 125 trưng nữ vương, Phường Châu Đốc, Phường Châu Đốc, An Giang
 0975993995
 </t>
  </si>
  <si>
    <t>S22693229.MB20-01-D7.1073222791</t>
  </si>
  <si>
    <t>SAPO129422911_603550</t>
  </si>
  <si>
    <t xml:space="preserve">Lường Đình Hùng
 Thôn Nà Chào, xã Như Cố, Huyện Chợ Mới, tỉnh Bắc Kạn, Xã Chợ Mới, Xã Chợ Mới, Thái Nguyên
 0964789313
 </t>
  </si>
  <si>
    <t>S22693229.MB26-28-C22.1105972880</t>
  </si>
  <si>
    <t>SAPO129422946_603550</t>
  </si>
  <si>
    <t>20:17, 28-04-2026</t>
  </si>
  <si>
    <t xml:space="preserve">Lê thị Phuong
 119 Lê Hồng Phong, Phường Trường Vinh, Phường Trường Vinh, Nghệ An
 0978849552
 </t>
  </si>
  <si>
    <t>S22693229.BO.SGP37-K21.1172228738</t>
  </si>
  <si>
    <t>SAPO129422966_603550</t>
  </si>
  <si>
    <t>15:27, 27-04-2026</t>
  </si>
  <si>
    <t xml:space="preserve">Nguyễn Viết Thái
 106 Phan Văn Hớn, Phường Đông Hưng Thuận, Phường Đông Hưng Thuận, TP Hồ Chí Minh
 0978674008
 </t>
  </si>
  <si>
    <t>S22693229.BO.MN3-09-M87.1700399467</t>
  </si>
  <si>
    <t>SAPO129422981_603550</t>
  </si>
  <si>
    <t>17:28, 28-04-2026</t>
  </si>
  <si>
    <t xml:space="preserve">Nguyễn Thị Kim Ngọc
 Kho vải tổ 7 ấp4 Hoà Bình, Xã Hòa Hội, Xã Hòa Hội, TP Hồ Chí Minh
 0908428012
 </t>
  </si>
  <si>
    <t>S22693229.MB11-05-H11.1726941203</t>
  </si>
  <si>
    <t>SAPO129422992_603550</t>
  </si>
  <si>
    <t>16:00, 28-04-2026</t>
  </si>
  <si>
    <t xml:space="preserve">Hoàng thị lý
 Số 18 ngõ 8 đồng tum, Phường Vĩnh Phúc, Phường Vĩnh Phúc, Phú Thọ
 0986671233
 </t>
  </si>
  <si>
    <t>S22693229.HNP48-A46.1423205099</t>
  </si>
  <si>
    <t>SAPO129423010_603550</t>
  </si>
  <si>
    <t>18:53, 29-04-2026</t>
  </si>
  <si>
    <t xml:space="preserve">Vân Anh
 Số 169, dịch vụ 6, chợ Xa La, Phường Hà Đông, Phường Hà Đông, Hà Nội
 0383823966
 </t>
  </si>
  <si>
    <t>S22693229.MB8-02-B9.1732366481</t>
  </si>
  <si>
    <t>SAPO129423029_603550</t>
  </si>
  <si>
    <t>18:55, 29-04-2026</t>
  </si>
  <si>
    <t xml:space="preserve">Việt Hằng
 Toà án khu vực 7 bắc ninh cơ sở 2, Phường Từ Sơn, Phường Từ Sơn, Bắc Ninh
 0368140969
 </t>
  </si>
  <si>
    <t>S22693229.BO.SGP75-S72.1435294858</t>
  </si>
  <si>
    <t>SAPO129423050_603550</t>
  </si>
  <si>
    <t>14:25, 27-04-2026</t>
  </si>
  <si>
    <t xml:space="preserve">Vân Nguyễn
 108/8 Trần Mai Ninh, Phường Bảy Hiền, Phường Bảy Hiền, TP Hồ Chí Minh
 0938871441
 </t>
  </si>
  <si>
    <t>S22693229.HNP44-J131.1331647861</t>
  </si>
  <si>
    <t>SAPO129423062_603550</t>
  </si>
  <si>
    <t xml:space="preserve">Phạm Phương Nga
 218A Lò Đúc, Phường Hai Bà Trưng, Phường Hai Bà Trưng, Hà Nội
 0986846563
 </t>
  </si>
  <si>
    <t>S22693229.MB27-04-D3.1496780007</t>
  </si>
  <si>
    <t>SAPO129423071_603550</t>
  </si>
  <si>
    <t xml:space="preserve">Huyền Hoàng
 Cầu Tràn - Thôn 3, Xã Sơn Giang, Xã Sơn Giang, Hà Tĩnh
 0972697244
 </t>
  </si>
  <si>
    <t>S22693229.HNP83-D12.1408358830</t>
  </si>
  <si>
    <t>SAPO129423105_603550</t>
  </si>
  <si>
    <t>18:29, 28-04-2026</t>
  </si>
  <si>
    <t xml:space="preserve">Ngô nhật Thắng
 85 Bà triệu Bệnh viện Mắt trung ương, Phường Hai Bà Trưng, Phường Hai Bà Trưng, Hà Nội
 0913223520
 </t>
  </si>
  <si>
    <t>S22693229.MB3-01-A12.1157021831</t>
  </si>
  <si>
    <t>SAPO129423132_603550</t>
  </si>
  <si>
    <t xml:space="preserve">Vũ thị phương nga
 21/124 trần huy liệu, Phường Trường Thi, Phường Trường Thi, Ninh Bình
 0948177628
 </t>
  </si>
  <si>
    <t>S22693229.BO.MN10-04-D71.1262783322</t>
  </si>
  <si>
    <t>SAPO129423173_603550</t>
  </si>
  <si>
    <t>19:23, 28-04-2026</t>
  </si>
  <si>
    <t xml:space="preserve">Trần thị yến nhi
 Bưu điện cầu ngang, Xã Cầu Ngang, Xã Cầu Ngang, Vĩnh Long
 0961990535
 </t>
  </si>
  <si>
    <t>S22693229.BO.MN3-01-W32.1748551045</t>
  </si>
  <si>
    <t>SAPO129423205_603550</t>
  </si>
  <si>
    <t>18:00, 29-04-2026</t>
  </si>
  <si>
    <t xml:space="preserve">Minh
 Chung cu Vtau plaza 207 le hong phong, Phường Tam Thắng, Phường Tam Thắng, TP Hồ Chí Minh
 0904118687
 </t>
  </si>
  <si>
    <t>S22693229.BO.SGP65-W47.1630600061</t>
  </si>
  <si>
    <t>SAPO129423221_603550</t>
  </si>
  <si>
    <t>13:27, 22-04-2026</t>
  </si>
  <si>
    <t>13:47, 27-04-2026</t>
  </si>
  <si>
    <t xml:space="preserve">Thu Bình
 69 kí hòa p.11 q.5, Phường Chợ Lớn, Phường Chợ Lớn, TP Hồ Chí Minh
 0903854456
 </t>
  </si>
  <si>
    <t>S22693229.MB17-01-D10.1732328849</t>
  </si>
  <si>
    <t>SAPO129423230_603550</t>
  </si>
  <si>
    <t>19:55, 29-04-2026</t>
  </si>
  <si>
    <t xml:space="preserve">Nguyễn Công Hưởng
 Toà nhà Hành Chính công xã Na Sầm, Xã Na Sầm, Xã Na Sầm, Lạng Sơn
 0396956256
 </t>
  </si>
  <si>
    <t>S22693229.MB10-02-B9.1449079257</t>
  </si>
  <si>
    <t>SAPO129423236_603550</t>
  </si>
  <si>
    <t>16:54, 27-04-2026</t>
  </si>
  <si>
    <t xml:space="preserve">Phạm Thị Hoa
 Tổ 4 Tân Lập 1, Phường Yên Tử, Phường Yên Tử, Quảng Ninh
 0989626122
 </t>
  </si>
  <si>
    <t>S22693229.BO.SG14-06-C3.1108250844</t>
  </si>
  <si>
    <t>SAPO129423250_603550</t>
  </si>
  <si>
    <t>19:34, 28-04-2026</t>
  </si>
  <si>
    <t xml:space="preserve">Trần Việt Trinh
 1716/46/24/24a Huỳnh tấn phát, nhà bè, hcm, Xã Nhà Bè, Xã Nhà Bè, TP Hồ Chí Minh
 0939868201
 </t>
  </si>
  <si>
    <t>S22693229.MB13-02-L7.1982712241</t>
  </si>
  <si>
    <t>SAPO129423268_603550</t>
  </si>
  <si>
    <t>08:29, 27-04-2026</t>
  </si>
  <si>
    <t xml:space="preserve">Ma Thị Bởi
 Trạm y tế Hồng Quang, Xã Minh Quang, Xã Minh Quang, Tuyên Quang
 0969782189
 </t>
  </si>
  <si>
    <t>S22693229.HNP98-E11.1657587159</t>
  </si>
  <si>
    <t>SAPO129423284_603550</t>
  </si>
  <si>
    <t xml:space="preserve">Chị Minh
 41B ngõ 154 Ngọc Lâm, Phường Bồ Đề, Phường Bồ Đề, Hà Nội
 0392233590
 </t>
  </si>
  <si>
    <t>S22693229.MB13-01-A10.1350719678</t>
  </si>
  <si>
    <t>SAPO129423303_603550</t>
  </si>
  <si>
    <t>18:22, 25-04-2026</t>
  </si>
  <si>
    <t xml:space="preserve">Bùi Kiên
 Xóm 12 nhà máy Z129, Xã Nhữ Khê, Xã Nhữ Khê, Tuyên Quang
 0972986780
 </t>
  </si>
  <si>
    <t>S22693229.BO.MT17-01-M04.1435740302</t>
  </si>
  <si>
    <t>SAPO129423328_603550</t>
  </si>
  <si>
    <t>14:37, 28-04-2026</t>
  </si>
  <si>
    <t xml:space="preserve">Hải hà
 35 phan chu trinh, Phường Buôn Ma Thuột, Phường Buôn Ma Thuột, Đắk Lắk
 0905219846
 </t>
  </si>
  <si>
    <t>S22693229.HNP107-B34.1547070150</t>
  </si>
  <si>
    <t>SAPO129423345_603550</t>
  </si>
  <si>
    <t>13:29, 28-04-2026</t>
  </si>
  <si>
    <t xml:space="preserve">Lê Hải Hà
 A4 số 170 Nguyễn Đổng Chi, Phường Từ Liêm, Phường Từ Liêm, Hà Nội
 0917214943
 </t>
  </si>
  <si>
    <t>S22693229.MB25-30-R4.1843198842</t>
  </si>
  <si>
    <t>SAPO129423369_603550</t>
  </si>
  <si>
    <t>18:55, 28-04-2026</t>
  </si>
  <si>
    <t xml:space="preserve">Nguyễn thị khánh huyền
 Tổ dân phố liên hưng, phường hải bình, tỉnh thanh hoá, Phường Hải Bình, Phường Hải Bình, Thanh Hóa
 0868862368
 </t>
  </si>
  <si>
    <t>S22693229.BO.MT10-09-P04.1429442130</t>
  </si>
  <si>
    <t>SAPO129423388_603550</t>
  </si>
  <si>
    <t>15:43, 28-04-2026</t>
  </si>
  <si>
    <t xml:space="preserve">Trần Thị Yến Nhi
 61 phạm văn đồng, Xã Hoài Ân, Xã Hoài Ân, Gia Lai
 0973045357
 </t>
  </si>
  <si>
    <t>S22693229.MB2-10-L37.1149221156</t>
  </si>
  <si>
    <t>SAPO129424007_603550</t>
  </si>
  <si>
    <t>13:28, 22-04-2026</t>
  </si>
  <si>
    <t>17:57, 27-04-2026</t>
  </si>
  <si>
    <t xml:space="preserve">Lê Thị hương
 Số nhà 203A26 ngõ 293 đường Nguyễn Văn cừ phố chu Văn An, Phường Hoa Lư, Phường Hoa Lư, Ninh Bình
 0978463258
 </t>
  </si>
  <si>
    <t>S22693229.BO.MN3-06-D30.1045608555</t>
  </si>
  <si>
    <t>trả đơn 524021500079347</t>
  </si>
  <si>
    <t>13:47, 22-04-2026</t>
  </si>
  <si>
    <t xml:space="preserve">Lê Thị Thanh
 số nhà 28 đường 29 thôn Quảng Thành 1 Xã Nghĩa Thành huyện Châu Đức tỉnh Bà Rịa Vũng Tàu, Xã Nghĩa Thành, Xã Nghĩa Thành, TP Hồ Chí Minh
 0937764592
 </t>
  </si>
  <si>
    <t>S22693229.HNP47-M83.1986120970</t>
  </si>
  <si>
    <t>SAPO129445916_603550</t>
  </si>
  <si>
    <t>13:51, 22-04-2026</t>
  </si>
  <si>
    <t>14:06, 28-04-2026</t>
  </si>
  <si>
    <t>S22693229.HNP92-F101.1675582068</t>
  </si>
  <si>
    <t>SAPO129445920_603550</t>
  </si>
  <si>
    <t>19:17, 25-04-2026</t>
  </si>
  <si>
    <t xml:space="preserve">Trần Xuân Hương
 ct4, vimeco nguyễn chánh, Phường Thanh Xuân, Phường Thanh Xuân, Hà Nội
 0902696583
 </t>
  </si>
  <si>
    <t>S22693229.MB17-01-D10.1981450014</t>
  </si>
  <si>
    <t>SAPO129445924_603550</t>
  </si>
  <si>
    <t>17:18, 28-04-2026</t>
  </si>
  <si>
    <t xml:space="preserve">Lăng thu
 Cổng trường cấp 3 , xã đồng đăng , lạng sơn, Xã Đồng Đăng, Xã Đồng Đăng, Lạng Sơn
 0395622188
 </t>
  </si>
  <si>
    <t>S22693229.HNP46-C85.1311386277</t>
  </si>
  <si>
    <t>SAPO129445921_603550</t>
  </si>
  <si>
    <t>23:02, 28-04-2026</t>
  </si>
  <si>
    <t xml:space="preserve">Lê Hạnh
 N04B-T2 khu đoàn ngoại giao, Phường Xuân Đỉnh, Phường Xuân Đỉnh, Hà Nội
 0988913519
 </t>
  </si>
  <si>
    <t>S22693229.HNP25-F16.1475892915</t>
  </si>
  <si>
    <t>SAPO129445915_603550</t>
  </si>
  <si>
    <t>15:49, 25-04-2026</t>
  </si>
  <si>
    <t xml:space="preserve">HÀ THANH
 Nhà N1A, KĐT Trung Hoà - Nhân Chính, phường Yên Hoà, ngõ 1 Nguyễn Thị Thập, Phường Thanh Xuân, Phường Thanh Xuân, Hà Nội
 0984117777
 </t>
  </si>
  <si>
    <t>S22693229.BO.MN7-01-D98.1582918622</t>
  </si>
  <si>
    <t>SAPO129445922_603550</t>
  </si>
  <si>
    <t>18:30, 27-04-2026</t>
  </si>
  <si>
    <t xml:space="preserve">Le dong nghi
 Hẻm bánh mi hồng ngọc.chợ vĩnh kim, Xã Vĩnh Kim, Xã Vĩnh Kim, Đồng Tháp
 0985456709
 </t>
  </si>
  <si>
    <t>S22693229.MB12-03-H6.1418294495</t>
  </si>
  <si>
    <t>SAPO129445918_603550</t>
  </si>
  <si>
    <t>19:02, 28-04-2026</t>
  </si>
  <si>
    <t xml:space="preserve">Vũ Thị
 Khu 11, đồng trung Xã Tu Vũ, Xã Tu Vũ, Phú Thọ, Xã Tu Vũ, Xã Tu Vũ, Phú Thọ
 0377178341
 </t>
  </si>
  <si>
    <t>S22693229.MB19-08-A12.1430868061</t>
  </si>
  <si>
    <t>SAPO129445917_603550</t>
  </si>
  <si>
    <t xml:space="preserve">Nguyễn Văn Tú
 Số nhà 12, ngõ 141, đường phùng chí kiên, Phường Phan Đình Phùng, Phường Phan Đình Phùng, Thái Nguyên
 0989846918
 </t>
  </si>
  <si>
    <t>S22693229.BO.MN3-08-S322.1121030027</t>
  </si>
  <si>
    <t>SAPO129446534_603550</t>
  </si>
  <si>
    <t>13:52, 22-04-2026</t>
  </si>
  <si>
    <t>16:34, 28-04-2026</t>
  </si>
  <si>
    <t xml:space="preserve">LÊ Thị Hà
 Tổ 1, Ấp Phước Lăng, Tam Phước, Long Điền, Xã Long Điền, Xã Long Điền, TP Hồ Chí Minh
 0931362261
 </t>
  </si>
  <si>
    <t>S22693229.MB5-08-H14.1409249718</t>
  </si>
  <si>
    <t>mobile_69e87275-e7a0-42f6-901c-44380a6e4d58</t>
  </si>
  <si>
    <t>14:02, 22-04-2026</t>
  </si>
  <si>
    <t xml:space="preserve">Trang Nguyen
 Ngũ phúc, tam đa, phù cừ, hưng yên, Xã Tống Trân, Xã Tống Trân, Hưng Yên
 0973865003
 </t>
  </si>
  <si>
    <t>S22693229.HNP130-M62.1883867849</t>
  </si>
  <si>
    <t>bù hàng đơn 26042097SBXVHV</t>
  </si>
  <si>
    <t>14:11, 22-04-2026</t>
  </si>
  <si>
    <t>17:08, 24-04-2026</t>
  </si>
  <si>
    <t xml:space="preserve">Nhung (Cương Định)
 Xóm 9, Thôn Thạch Thán 4, xã Quốc Oai, Hà Nội, Xã Quốc Oai, Xã Quốc Oai, Hà Nội
 0988989214
 </t>
  </si>
  <si>
    <t>S22693229.BO.DN7-M15.1208736274</t>
  </si>
  <si>
    <t>bù hàng đơn 2604185FHVMF18</t>
  </si>
  <si>
    <t>12:42, 25-04-2026</t>
  </si>
  <si>
    <t xml:space="preserve">Khách
 Số 24, Đường Trần Khánh Dư, Bắc Mỹ Phú, Phường Ngũ Hành Sơn, Thành phố Đà Nẵng., Phường Ngũ Hành Sơn, Phường Ngũ Hành Sơn, Đà Nẵng
 0901909165
 </t>
  </si>
  <si>
    <t>S22693229.MB25-16-H04.1299831860</t>
  </si>
  <si>
    <t>bù hàng đơn 2604197XRGNQUC</t>
  </si>
  <si>
    <t>17:42, 24-04-2026</t>
  </si>
  <si>
    <t xml:space="preserve">Khách
 Toà c tecco đông vệ, phường Đông Vệ, Thanh Hóa, Phường Hạc Thành, Phường Hạc Thành, Thanh Hóa
 0367893037
 </t>
  </si>
  <si>
    <t>S22693229.MB10-13-M19.1538639621</t>
  </si>
  <si>
    <t>bù hàng đơn 260414SHK5B6RA</t>
  </si>
  <si>
    <t>21:15, 27-04-2026</t>
  </si>
  <si>
    <t xml:space="preserve">Nguyễn Giang
 788 Hoàng Quốc Việt, Tây Sơn, Cẩm Sơn, Cẩm Phả, Quảng Ninh, Phường Cửa Ông, Phường Cửa Ông, Quảng Ninh
 0966751505
 </t>
  </si>
  <si>
    <t>S22693229.MB1-03-C12.1083985269</t>
  </si>
  <si>
    <t>bù hàng đơn 260420AWB7UGTY</t>
  </si>
  <si>
    <t>14:42, 24-04-2026</t>
  </si>
  <si>
    <t xml:space="preserve">Khách
 Cty cptăcn Vina Kcn Cty Hoà mạc, duy tiên, hà nam, Phường Duy Tân, Phường Duy Tân, Ninh Bình
 0988648278
 </t>
  </si>
  <si>
    <t>S22693229.BO.MT6-05-E42.1280875563</t>
  </si>
  <si>
    <t>bù hàng đơn 260414SMM1SQ9G</t>
  </si>
  <si>
    <t>19:50, 25-04-2026</t>
  </si>
  <si>
    <t xml:space="preserve">Khách
 32 Đặng Trần Côn, Huế, Phường Phú Xuân, Huế, Phường Phú Xuân, Phường Phú Xuân, Thành phố Huế
 0932496783
 </t>
  </si>
  <si>
    <t>S22693229.BO.MN1-20-P31.1299511486</t>
  </si>
  <si>
    <t>bù hàng đơn 2603034XEM7Y3C</t>
  </si>
  <si>
    <t>13:04, 27-04-2026</t>
  </si>
  <si>
    <t xml:space="preserve">Khách
 17/14 Thành Thái, phường Phước Tân, Đồng Nai, Phường Phước Tân, Phường Phước Tân, Đồng Nai
 0366333433
 </t>
  </si>
  <si>
    <t>S22693229.HNP132-A14.1538204783</t>
  </si>
  <si>
    <t>bù hàng đơn 260420AFJJSTF5</t>
  </si>
  <si>
    <t>19:01, 28-04-2026</t>
  </si>
  <si>
    <t xml:space="preserve">Lương thị hoa
 Trường mầm non Phù Linh A, Phù Linh, Sóc Sơn, Hà Nội, Xã Sóc Sơn, Xã Sóc Sơn, Hà Nội
 0398140456
 </t>
  </si>
  <si>
    <t>S22693229.HNP62-Y32.1634635084</t>
  </si>
  <si>
    <t>đổi hàng đơn 2604197FFTB2XX</t>
  </si>
  <si>
    <t>14:12, 22-04-2026</t>
  </si>
  <si>
    <t>12:13, 25-04-2026</t>
  </si>
  <si>
    <t xml:space="preserve">Khách
 CT12A Kim Văn Kim Lũ Phường Định Công, Hà Nội, Phường Định Công, Phường Định Công, Hà Nội
 0948998838
 </t>
  </si>
  <si>
    <t>S22693229.BO.SGP43-M61.1922158618</t>
  </si>
  <si>
    <t>đổi hàng đơn 26040649WY1DR2</t>
  </si>
  <si>
    <t>17:28, 25-04-2026</t>
  </si>
  <si>
    <t xml:space="preserve">Khách
 29/18, Đường Số 5, Phường Bình Trưng Đông, Thành Phố Thủ Đức, TP. Hồ Chí Minh., Phường Bình Trưng, Phường Bình Trưng, TP Hồ Chí Minh
 0839039238
 </t>
  </si>
  <si>
    <t>S22693229.MB12-06-F11.1381952001</t>
  </si>
  <si>
    <t>đổi hàng đơn 260420A6H4RQUF</t>
  </si>
  <si>
    <t>20:42, 27-04-2026</t>
  </si>
  <si>
    <t xml:space="preserve">Huyền
 bệnh viện đa Khoa hùng vương, Chí đám, đoan hùng, phú thọ, Xã Đoan Hùng, Xã Đoan Hùng, Phú Thọ
 0819800115
 </t>
  </si>
  <si>
    <t>S22693229.MB1-01-A15.1316529322</t>
  </si>
  <si>
    <t>đổi hàng đơn 26042098HR0W3S</t>
  </si>
  <si>
    <t xml:space="preserve">Trần thị thanh hương
 Anh anh mart, Đường chu văn an, Phường liêm chính, phủ lý, hà nam, Phường Phủ Lý, Phường Phủ Lý, Ninh Bình
 0988718911
 </t>
  </si>
  <si>
    <t>S22693229.MB6-14-C17.1547583464</t>
  </si>
  <si>
    <t>đổi hàng đơn 260110NENC4NDV</t>
  </si>
  <si>
    <t>17:03, 24-04-2026</t>
  </si>
  <si>
    <t xml:space="preserve">Ms. Hương
 cổng trong chợ Đồng, Đồng Cẩm, Kim Thành, Hải Dương, Xã Kim Thành, Xã Kim Thành, Hải Phòng
 0982573090
 </t>
  </si>
  <si>
    <t>S22693229.HNP142-O22.1232599439</t>
  </si>
  <si>
    <t>đổi hàng đơn 2604209UP7XD4U</t>
  </si>
  <si>
    <t>16:08, 25-04-2026</t>
  </si>
  <si>
    <t xml:space="preserve">PHẠM THỊ PHƯƠNG
 Công Ty Cổ Phần Đầu Tư Và Phát Triển Trần Gia, Thôn Đại Lộ, Xã Nam Phủ, Thành phố Hà Nội, Xã Nam Phù, Xã Nam Phù, Hà Nội
 0983359263
 </t>
  </si>
  <si>
    <t>S22693229.BO.MN1-06-TW71.1316931988</t>
  </si>
  <si>
    <t>đổi hàng đơn 260404V8ESM54W</t>
  </si>
  <si>
    <t>19:05, 27-04-2026</t>
  </si>
  <si>
    <t xml:space="preserve">Nguyễn Thị Thanh Thủy
 Số 232, Ấp 2a, Xã Xuân Hưng, Huyện Xuân Lộc, Tỉnh Đồng Nai, Xã Xuân Hòa, Xã Xuân Hòa, Đồng Nai
 0974327911
 </t>
  </si>
  <si>
    <t>S22693229.HNP52-P37.1100893191</t>
  </si>
  <si>
    <t>đổi hàng đơn 2604198RQ4JRQJ</t>
  </si>
  <si>
    <t xml:space="preserve">Khách
 Phòng 2106, chung cư Rainbow Linh Đàm, phường Hoàng Mai, Hà Nội, Phường Hoàng Mai, Phường Hoàng Mai, Hà Nội
 0914292326
 </t>
  </si>
  <si>
    <t>S22693229.BO.MT4-02-B16.1462371283</t>
  </si>
  <si>
    <t>đổi hàng đơn 26040406S2TVHN</t>
  </si>
  <si>
    <t>18:05, 25-04-2026</t>
  </si>
  <si>
    <t xml:space="preserve">Hiền
 Đc thôn 5, bắc trạch, bố trạch, quảng bình, Xã Bắc Trạch, Xã Bắc Trạch, Quảng Trị
 0844898919
 </t>
  </si>
  <si>
    <t>S22693229.HNP39-C20.1632676003</t>
  </si>
  <si>
    <t>đổi hàng đơn 260408A9KGU3H7</t>
  </si>
  <si>
    <t>13:26, 24-04-2026</t>
  </si>
  <si>
    <t xml:space="preserve">Ngọc Tư
 Số 19, Ngách 87/9, Đường Hoa Thám, thôn Độc Lập, Xã La Phù, Huyện Hoài Đức, Hà Nội, Xã An Khánh, Xã An Khánh, Hà Nội
 0969655205
 </t>
  </si>
  <si>
    <t>S22693229.BO.SGP26-Q64.1814250254</t>
  </si>
  <si>
    <t>'583526299119617652</t>
  </si>
  <si>
    <t>15:15, 22-04-2026</t>
  </si>
  <si>
    <t>13:29, 27-04-2026</t>
  </si>
  <si>
    <t xml:space="preserve">Khách đổi
 -138 Đường 47 
Hiep Binh Chanh,Thủ Đức,Hồ Chí Minh,Việt Nam, Phường Hiệp Bình, Phường Hiệp Bình, TP Hồ Chí Minh
 0908996777
 </t>
  </si>
  <si>
    <t>S22693229.MB9-07-U7.1429573753</t>
  </si>
  <si>
    <t>'583470730123380395</t>
  </si>
  <si>
    <t>17:54, 25-04-2026</t>
  </si>
  <si>
    <t xml:space="preserve">Trần thị lễ
 Toàn thắng 
Lão Hộ,Yên Dũng,Bắc Giang,Việt Nam, Phường Tân An, Phường Tân An, Bắc Ninh
 0982244291
 </t>
  </si>
  <si>
    <t>S22693229.MB6-11-M16.1044394117</t>
  </si>
  <si>
    <t>'583499555775940197 lần 2</t>
  </si>
  <si>
    <t>19:52, 28-04-2026</t>
  </si>
  <si>
    <t xml:space="preserve">kahsch đổi
 -Công ty TNHH FUJIKURA KASEI VIETNAM, Lô 13.1,Đường số 10, KCN Cẩm Điền, Lương Điền, Cẩm Giàng(Công ty Fujikura Kasei Việt Nam, Lô 13.1, đường số 10, KCN Cẩm Điền- Lương Điền, xã Cẩm Giàng, Hải Phòng) 
Lương Điền,Cẩm Giàng,Hải Dương,Việt Nam, Xã Cẩm Giang, Xã Cẩm Giang, Hải Phòng
 0379175416
 </t>
  </si>
  <si>
    <t>S22693229.BO.MN1-08-H64.1901394470</t>
  </si>
  <si>
    <t>'583498728616526898</t>
  </si>
  <si>
    <t>18:30, 28-04-2026</t>
  </si>
  <si>
    <t xml:space="preserve">Chau
 287 cư xá đường, kp10 
An Bình,Biên Hòa,Đồng Nai,Việt Nam, Phường Trấn Biên, Phường Trấn Biên, Đồng Nai
 0365100106
 </t>
  </si>
  <si>
    <t>S22693229.HNP03-K60.1662094416</t>
  </si>
  <si>
    <t>'583455386732758389</t>
  </si>
  <si>
    <t>20:04, 27-04-2026</t>
  </si>
  <si>
    <t xml:space="preserve">Khashc đổi
 -34 Ngõ 1 Phan Đình Giót 
Phường Phương Liệt,Phường Phương Liệt,Hà Nội,Việt Nam, Phường Phương Liệt, Phường Phương Liệt, Hà Nội
 0962196800
 </t>
  </si>
  <si>
    <t>S22693229.MB26-29-W11.1415034631</t>
  </si>
  <si>
    <t>'583572953653216716</t>
  </si>
  <si>
    <t xml:space="preserve">Phan bích
 Nhà thờ Giáo họ VĂN PHÚ, Đ. Đức Mẹ Maria, Quỳnh Hưng 
Xã Quỳnh Lưu,Xã Quỳnh Lưu,Nghệ An,Việt Nam, Xã Quỳnh Lưu, Xã Quỳnh Lưu, Nghệ An
 0369589023
 </t>
  </si>
  <si>
    <t>S22693229.BO.SGP01-M19.1096592212</t>
  </si>
  <si>
    <t>'583532173395134202</t>
  </si>
  <si>
    <t>17:41, 27-04-2026</t>
  </si>
  <si>
    <t xml:space="preserve">Phương Thảo
 730/118 lê đức thọ p an hội đông tphcm 
Phường An Hội Đông,Phường An Hội Đông,Hồ Chí Minh,Việt Nam, Phường An Hội Đông, Phường An Hội Đông, TP Hồ Chí Minh
 0945260228
 </t>
  </si>
  <si>
    <t>S22693229.BO.MT4-07-G3.1101196550</t>
  </si>
  <si>
    <t>'583478037569832791</t>
  </si>
  <si>
    <t xml:space="preserve">Măng Em
 Thôn 1kim bảng. Minh hóa. Minh hóa. Quảng bình 
Xã Kim Phú,Xã Kim Phú,Quảng Trị,Việt Nam, Xã Kim Phú, Xã Kim Phú, Quảng Trị
 0852990599
 </t>
  </si>
  <si>
    <t>S22693229.MB6-07-H10.1556632171</t>
  </si>
  <si>
    <t>'583535373629162583</t>
  </si>
  <si>
    <t>19:28, 24-04-2026</t>
  </si>
  <si>
    <t xml:space="preserve">mai bảo
 nhà bán hoa,khu cầu thiệu, vĩnh lập , thanh hà , hải dương 
Vĩnh Lập,Thanh Hà,Hải Dương,Việt Nam, Xã Hà Đông, Xã Hà Đông, Hải Phòng
 0842092193
 </t>
  </si>
  <si>
    <t>S22693229.HNP83-D3.1291745534</t>
  </si>
  <si>
    <t>'583498934814475568</t>
  </si>
  <si>
    <t>18:24, 28-04-2026</t>
  </si>
  <si>
    <t xml:space="preserve">Khách đổi
 -87 P. Nguyễn Thái Học, Văn Miếu – Quốc Tử Giám 
Phường Văn Miếu - Quốc Tử Giám,Phường Văn Miếu - Quốc Tử Giám,Hà Nội,Việt Nam, Phường Văn Miếu - Quốc Tử Giám, Phường Văn Miếu - Quốc Tử Giám, Hà Nội
 0398390502
 </t>
  </si>
  <si>
    <t>S22693229.BO.MT19-01-A13.1484660659</t>
  </si>
  <si>
    <t>'583532053717550424</t>
  </si>
  <si>
    <t>14:59, 27-04-2026</t>
  </si>
  <si>
    <t xml:space="preserve">Khách đổi
 -Số 4 vạn kiếp p8 lâm viên Đalat 
Phường Lâm Viên - Đà Lạt,Phường Lâm Viên - Đà Lạt,Lâm Đồng,Việt Nam, Phường Lâm Viên - Đà Lạt, Phường Lâm Viên - Đà Lạt, Lâm Đồng
 0367666968
 </t>
  </si>
  <si>
    <t>S22693229.HNP47-M71.1639424774</t>
  </si>
  <si>
    <t>'583496741541480394</t>
  </si>
  <si>
    <t xml:space="preserve">Trang
 165 Thái Hà(MB 165 Thái Hà) 
Phường Láng,Phường Láng,Hà Nội,Việt Nam, Phường Láng, Phường Láng, Hà Nội
 0984035983
 </t>
  </si>
  <si>
    <t>S22693229.HNP05-L70.1233794415</t>
  </si>
  <si>
    <t>'583614618181534854</t>
  </si>
  <si>
    <t xml:space="preserve">Ngọc Anh
 216A Ngõ 271 Phố Bùi Xương Trạch 
Phường Định Công,Phường Định Công,Hà Nội,Việt Nam, Phường Định Công, Phường Định Công, Hà Nội
 0389233888
 </t>
  </si>
  <si>
    <t>S22693229.HNP52-G48.1275731904</t>
  </si>
  <si>
    <t>'583499549580298101</t>
  </si>
  <si>
    <t>16:18, 25-04-2026</t>
  </si>
  <si>
    <t xml:space="preserve">Đào minh việt
 159 Đường Nguyễn Xiển
Phường Khương Đình,Phường Khương Đình,Hà Nội,Việt Nam, Phường Khương Đình, Phường Khương Đình, Hà Nội
 0918228704
 </t>
  </si>
  <si>
    <t>S22693229.HNP126-H21.1178246331</t>
  </si>
  <si>
    <t>'583559164911125846</t>
  </si>
  <si>
    <t>16:13, 25-04-2026</t>
  </si>
  <si>
    <t xml:space="preserve">Mơ ước tuổi thơ
 thôn Trùng Quán, Yên Thường(Số 23 ngõ 37 Đường Ninh Hiệp Xóm lẻ Trùng Quán Xã Phù Đổng HN) 
Xã Phù Đổng,Xã Phù Đổng,Hà Nội,Việt Nam, Xã Phù Đổng, Xã Phù Đổng, Hà Nội
 0982203700
 </t>
  </si>
  <si>
    <t>S22693229.BO.MN3-09-M85.1229396198</t>
  </si>
  <si>
    <t>'583499924172145676</t>
  </si>
  <si>
    <t>15:16, 22-04-2026</t>
  </si>
  <si>
    <t>19:45, 27-04-2026</t>
  </si>
  <si>
    <t xml:space="preserve">Thanh Chúc
 Ấp 7 (Đường sau cơ khí Luân), Hoà Bình, Xuyên Mộc, BRVT., Xã Hòa Hội, Xã Hòa Hội, TP Hồ Chí Minh
 0979227827
 </t>
  </si>
  <si>
    <t>S22693229.BO.SGP43-M62.1438413176</t>
  </si>
  <si>
    <t>'583535032358962485</t>
  </si>
  <si>
    <t xml:space="preserve">Khách đổi
 -33b Đường số 42(Nhà trọ Nhật Quang) 
Bình Trưng Đông,Quận 2,Hồ Chí Minh,Việt Nam, Phường Bình Trưng, Phường Bình Trưng, TP Hồ Chí Minh
 0329741389
 </t>
  </si>
  <si>
    <t>S22693229.HNP71-P13.1874803749</t>
  </si>
  <si>
    <t>SAPO129731971_603550</t>
  </si>
  <si>
    <t>08:23, 23-04-2026</t>
  </si>
  <si>
    <t>18:01, 24-04-2026</t>
  </si>
  <si>
    <t xml:space="preserve">Vũ Thu Thuỷ
 Số 26 cửa đông, Phường Hoàn Kiếm, Phường Hoàn Kiếm, Hà Nội
 0904362183
 </t>
  </si>
  <si>
    <t>S22693229.HNP105-A44.1399196369</t>
  </si>
  <si>
    <t>SAPO129731973_603550</t>
  </si>
  <si>
    <t>13:07, 25-04-2026</t>
  </si>
  <si>
    <t xml:space="preserve">Nguyễn Hồng Hà
 Toà A Mulberry lane, Nguyễn Văn Lộc, Đại Mỗ, Phường Hà Đông, Phường Hà Đông, Hà Nội
 0986906699
 </t>
  </si>
  <si>
    <t>S22693229.HNP46-C46.1040382515</t>
  </si>
  <si>
    <t>SAPO129731972_603550</t>
  </si>
  <si>
    <t>14:24, 25-04-2026</t>
  </si>
  <si>
    <t xml:space="preserve">Nguyễn Quang Hoà
 21b7 cc GreenStar 234 phạm văn đồng, Phường Phú Diễn, Phường Phú Diễn, Hà Nội
 0983513519
 </t>
  </si>
  <si>
    <t>S22693229.HNP25-F14.1008881275</t>
  </si>
  <si>
    <t>SAPO129731969_603550</t>
  </si>
  <si>
    <t>13:20, 25-04-2026</t>
  </si>
  <si>
    <t xml:space="preserve">Ngọc
 19 Nhân Hòa, Phường Thanh Xuân, Phường Thanh Xuân, Hà Nội
 0326057905
 </t>
  </si>
  <si>
    <t>S22693229.HNP25-F19.1929170225</t>
  </si>
  <si>
    <t>SAPO129731975_603550</t>
  </si>
  <si>
    <t>14:06, 24-04-2026</t>
  </si>
  <si>
    <t xml:space="preserve">Trần Linh
 25 lê văn thiêm, Phường Thanh Xuân, Phường Thanh Xuân, Hà Nội
 0968849198
 </t>
  </si>
  <si>
    <t>S22693229.HNP52-Y55.1570677792</t>
  </si>
  <si>
    <t>SAPO129731967_603550</t>
  </si>
  <si>
    <t>20:06, 25-04-2026</t>
  </si>
  <si>
    <t xml:space="preserve">Lê Thị Hà
 B3 lô 15 KĐT Định Công, Hoàng Mai, Hà Nội, Phường Định Công, Phường Định Công, Hà Nội
 0969036486
 </t>
  </si>
  <si>
    <t>S22693229.HNP39-H22.1564441578</t>
  </si>
  <si>
    <t>SAPO129731983_603550</t>
  </si>
  <si>
    <t>18:30, 25-04-2026</t>
  </si>
  <si>
    <t xml:space="preserve">Nguyệt
 Số 22 ngõ 159 tổ dân phố kiên quyết phường dương nội hà đông hà nội, Phường Dương Nội, Phường Dương Nội, Hà Nội
 0987716335
 </t>
  </si>
  <si>
    <t>S22693229.HNP107-B39.1663156246</t>
  </si>
  <si>
    <t>SAPO129731970_603550</t>
  </si>
  <si>
    <t xml:space="preserve">Thành Lãm
 121 nguyễn văn giáp phường cầu diễn quận nam từ liêm, Phường Từ Liêm, Phường Từ Liêm, Hà Nội
 0972493926
 </t>
  </si>
  <si>
    <t>S22693229.HNP107-I31.1758246153</t>
  </si>
  <si>
    <t>SAPO129731976_603550</t>
  </si>
  <si>
    <t xml:space="preserve">Lê Thu Hà
 Học viện Báo chí cà Tuyên truyền, 36 Xuân Thuỷ, Cầu Giấy, Hà Nội, Phường Cầu Giấy, Phường Cầu Giấy, Hà Nội
 0989288993
 </t>
  </si>
  <si>
    <t>S22693229.BO.HNP52-Y58.1364235744</t>
  </si>
  <si>
    <t>SAPO129731964_603550</t>
  </si>
  <si>
    <t>16:07, 24-04-2026</t>
  </si>
  <si>
    <t xml:space="preserve">Thuỷ
 Chung cư Sky Central, Phường Định Công, Phường Định Công, Hà Nội
 0916627999
 </t>
  </si>
  <si>
    <t>S22693229.HNP52-G48.1817366331</t>
  </si>
  <si>
    <t>SAPO129731977_603550</t>
  </si>
  <si>
    <t xml:space="preserve">Hoàng Thế Cường
 Villa 62 khu C, khu đô thị The manor central park, Phường Định Công, Phường Định Công, Hà Nội
 0912008654
 </t>
  </si>
  <si>
    <t>S22693229.HNP52-G48.1399719541</t>
  </si>
  <si>
    <t>SAPO129731974_603550</t>
  </si>
  <si>
    <t xml:space="preserve">Hoàng Thế cường
 Villa 62, khu C, khu đô thị the manor central park, Phường Định Công, Phường Định Công, Hà Nội
 0912008654
 </t>
  </si>
  <si>
    <t>S22693229.HNP92-K24.1053597503</t>
  </si>
  <si>
    <t>SAPO129731978_603550</t>
  </si>
  <si>
    <t>14:23, 24-04-2026</t>
  </si>
  <si>
    <t xml:space="preserve">Hà Mai Anh
 Số 5 Đồng me, Phường Từ Liêm, Phường Từ Liêm, Hà Nội
 0915112268
 </t>
  </si>
  <si>
    <t>S22693229.HNP46-F90.1979240788</t>
  </si>
  <si>
    <t>SAPO129731981_603550</t>
  </si>
  <si>
    <t xml:space="preserve">Minh
 78 Dịch Vọng Hậu, Phường Cầu Giấy, Phường Cầu Giấy, Hà Nội
 0904498818
 </t>
  </si>
  <si>
    <t>S22693229.HNP55-D6.1223988049</t>
  </si>
  <si>
    <t>SAPO129732045_603550</t>
  </si>
  <si>
    <t>20:07, 25-04-2026</t>
  </si>
  <si>
    <t xml:space="preserve">Mai Thị Thúy
 12A05, OCT5A, Khu đô thị Handi Resco, Phường Đông Ngạc, Phường Đông Ngạc, Hà Nội
 0918802968
 </t>
  </si>
  <si>
    <t>S22693229.HNP55-D10.1064973130</t>
  </si>
  <si>
    <t>SAPO129732121_603550</t>
  </si>
  <si>
    <t>S22693229.HNP57-K26.1243813919</t>
  </si>
  <si>
    <t>SAPO129732159_603550</t>
  </si>
  <si>
    <t>13:00, 24-04-2026</t>
  </si>
  <si>
    <t xml:space="preserve">Ngô Văn Hùng
 Chung cư CT19A, Phường Việt Hưng, Phường Việt Hưng, Hà Nội
 0969597983
 </t>
  </si>
  <si>
    <t>S22693229.HNP103-J38.1604134487</t>
  </si>
  <si>
    <t>SAPO129732197_603550</t>
  </si>
  <si>
    <t xml:space="preserve">Hà
 T10 times city, Phường Vĩnh Tuy, Phường Vĩnh Tuy, Hà Nội
 0869599979
 </t>
  </si>
  <si>
    <t>S22693229.HNP57-K26.1571395714</t>
  </si>
  <si>
    <t>SAPO129732268_603550</t>
  </si>
  <si>
    <t xml:space="preserve">Tung Nguyen
 GH5 - CT17, Phường Việt Hưng, Phường Việt Hưng, Hà Nội
 0929306666
 </t>
  </si>
  <si>
    <t>S22693229.HNP25-F25.1140353921</t>
  </si>
  <si>
    <t>SAPO129732303_603550</t>
  </si>
  <si>
    <t xml:space="preserve">Ngọc
 25T1 Hoàng Đạo Thuý, Phường Thanh Xuân, Phường Thanh Xuân, Hà Nội
 0963620395
 </t>
  </si>
  <si>
    <t>S22693229.HNP83-D14.1849851631</t>
  </si>
  <si>
    <t>SAPO129732344_603550</t>
  </si>
  <si>
    <t xml:space="preserve">Thuý
 82 Nguyễn Du, Phường Hai Bà Trưng, Phường Hai Bà Trưng, Hà Nội
 0912544050
 </t>
  </si>
  <si>
    <t>S22693229.HNP71-P4.1707851363</t>
  </si>
  <si>
    <t>SAPO129734094_603550</t>
  </si>
  <si>
    <t>08:25, 23-04-2026</t>
  </si>
  <si>
    <t>21:22, 27-04-2026</t>
  </si>
  <si>
    <t xml:space="preserve">Le thuy ha
 232 phố Vũ Miên, Phường Tây Hồ, Phường Tây Hồ, Hà Nội
 0853991982
 </t>
  </si>
  <si>
    <t>S22693229.BO.MN2-13-M81.1310882229</t>
  </si>
  <si>
    <t>SAPO129735404_603550</t>
  </si>
  <si>
    <t>08:26, 23-04-2026</t>
  </si>
  <si>
    <t>20:43, 24-04-2026</t>
  </si>
  <si>
    <t xml:space="preserve">Lê Xuân Thủy
 20 DX99, Khu phố 7, Hiệp An, Thủ Dầu Một, Bình Dương, Phường Phú An, Phường Phú An, TP Hồ Chí Minh
 0362108707
 </t>
  </si>
  <si>
    <t>S22693229.MN1-20-TP94.1321541092</t>
  </si>
  <si>
    <t>SAPO129735401_603550</t>
  </si>
  <si>
    <t xml:space="preserve">Nguyễn Thị Diệu Thủy
 84/1/60 Lê Duẩn - Tổ 5 - Ấp Bàu Cá, Xã An Phước, Xã An Phước, Đồng Nai
 0973278580
 </t>
  </si>
  <si>
    <t>S22693229.MN12-17-C71.1060840313</t>
  </si>
  <si>
    <t>SAPO129735400_603550</t>
  </si>
  <si>
    <t xml:space="preserve">Bùi Mỹ Trang
 Long phước, long khánh a, hồng ngự, đồng tháp, Xã Long Khánh, Xã Long Khánh, Đồng Tháp
 0939123425
 </t>
  </si>
  <si>
    <t>S22693229.SG11-03-A20.1242763659</t>
  </si>
  <si>
    <t>SAPO129735397_603550</t>
  </si>
  <si>
    <t xml:space="preserve">Hòa Nguyễn
 E20/14F/1, Vinh Loc street, Xã Tân Vĩnh Lộc, Xã Tân Vĩnh Lộc, TP Hồ Chí Minh
 0357669229
 </t>
  </si>
  <si>
    <t>S22693229.MN3-06-D62.1842967390</t>
  </si>
  <si>
    <t>SAPO129735405_603550</t>
  </si>
  <si>
    <t xml:space="preserve">Trần Thị Nữ
 UBND XÃ XUÂN SƠN, huyện Châu Đức, tỉnh BRVT, Xã Xuân Sơn, Xã Xuân Sơn, TP Hồ Chí Minh
 0985718807
 </t>
  </si>
  <si>
    <t>S22693229.SGP113-X72.1594868017</t>
  </si>
  <si>
    <t>SAPO129735502_603550</t>
  </si>
  <si>
    <t xml:space="preserve">Chị Quyên
 35A Rạch Cát Bến Lức, Phường Bình Đông, Phường Bình Đông, TP Hồ Chí Minh
 0783842774
 </t>
  </si>
  <si>
    <t>S22693229.SGP43-M56.1258766765</t>
  </si>
  <si>
    <t>SAPO129764967_603550</t>
  </si>
  <si>
    <t>08:56, 23-04-2026</t>
  </si>
  <si>
    <t xml:space="preserve">Tâm Nguyễn
 B19.07 chung cư citiesto, đường 33CL, Phường Cát Lái, Phường Cát Lái, TP Hồ Chí Minh
 0981408587
 </t>
  </si>
  <si>
    <t>S22693229.SGP91-W89.1675320968</t>
  </si>
  <si>
    <t>SAPO129764956_603550</t>
  </si>
  <si>
    <t xml:space="preserve">Thanh Phan
 346 Bến Vân Đồn, Phường Vĩnh Hội, Phường Vĩnh Hội, TP Hồ Chí Minh
 0789819888
 </t>
  </si>
  <si>
    <t>S22693229.MN2-05-E33.1611076223</t>
  </si>
  <si>
    <t>SAPO129764960_603550</t>
  </si>
  <si>
    <t xml:space="preserve">Trần Thị Hồng
 30 đường 12, TTHCDA, KP. Nhìn Đồng 2, Phường Dĩ An, Phường Dĩ An, TP Hồ Chí Minh
 0971494179
 </t>
  </si>
  <si>
    <t>S22693229.SGP47-V27.1233061148</t>
  </si>
  <si>
    <t>SAPO129764971_603550</t>
  </si>
  <si>
    <t xml:space="preserve">Đỗ Tiến Đạt
 1275 Nguyễn Duy Trinh, Phường Long Trường, Phường Long Trường, TP Hồ Chí Minh
 0989597082
 </t>
  </si>
  <si>
    <t>S22693229.BO.MT10-05-E73.1980558166</t>
  </si>
  <si>
    <t>SAPO129764962_603550</t>
  </si>
  <si>
    <t xml:space="preserve">Nguyễn kiểu trang
 142 lê duẩn, Phường An Nhơn, Phường An Nhơn, Gia Lai
 0982839288
 </t>
  </si>
  <si>
    <t>S22693229.SGP01-M19.1851490623</t>
  </si>
  <si>
    <t>SAPO129764972_603550</t>
  </si>
  <si>
    <t>18:24, 24-04-2026</t>
  </si>
  <si>
    <t xml:space="preserve">Trần Thị Bình
 1380/5 Lê Đức Thọ P13 Quận Gò Vấp TP, Phường An Hội Đông, Phường An Hội Đông, TP Hồ Chí Minh
 0932665277
 </t>
  </si>
  <si>
    <t>S22693229.MN2-03-A43.1044456400</t>
  </si>
  <si>
    <t>SAPO129765040_603550</t>
  </si>
  <si>
    <t>13:12, 24-04-2026</t>
  </si>
  <si>
    <t xml:space="preserve">Nguyễn Thị Thu Hằng
 14 đường số 5 KCN VSIP1, P. Bình Hòa, Thuận An, Bình Dương, Phường Bình Hòa, Phường Bình Hòa, TP Hồ Chí Minh
 0913503018
 </t>
  </si>
  <si>
    <t>S22693229.MN3-01-A18.1558371320</t>
  </si>
  <si>
    <t>SAPO129765049_603550</t>
  </si>
  <si>
    <t>18:54, 27-04-2026</t>
  </si>
  <si>
    <t xml:space="preserve">Thuy
 149 võ thị sáu, Phường Vũng Tàu, Phường Vũng Tàu, TP Hồ Chí Minh
 0903007761
 </t>
  </si>
  <si>
    <t>S22693229.SGP105-N39.1925870022</t>
  </si>
  <si>
    <t>SAPO129765092_603550</t>
  </si>
  <si>
    <t xml:space="preserve">Tran Huy Thach
 322/3/5 CMT8 P.10 Q.3, Phường Nhiêu Lộc, Phường Nhiêu Lộc, TP Hồ Chí Minh
 0908319964
 </t>
  </si>
  <si>
    <t>S22693229.SGP12-H45.1463454233</t>
  </si>
  <si>
    <t>SAPO129765122_603550</t>
  </si>
  <si>
    <t xml:space="preserve">Trần Thị Mỹ Hằng
 558/45B, bình quới, Phường Bình Quới, Phường Bình Quới, TP Hồ Chí Minh
 0949777579
 </t>
  </si>
  <si>
    <t>S22693229.BO.MN1-18-G61.1840904299</t>
  </si>
  <si>
    <t>583500101056627823(đổi lần 2)</t>
  </si>
  <si>
    <t>13:13, 28-04-2026</t>
  </si>
  <si>
    <t xml:space="preserve">Lan Anh
 "68a/36-khu phố 8- phường Long bình- đồng nai Phường Long Bình,Phường Long Bình,Đồng Nai,Việt Nam", Phường Long Bình, Phường Long Bình, Đồng Nai
 0968167767
 </t>
  </si>
  <si>
    <t>S22693229.HNP137-S14.1473385369</t>
  </si>
  <si>
    <t>SAPO129777825_603550</t>
  </si>
  <si>
    <t>09:12, 23-04-2026</t>
  </si>
  <si>
    <t xml:space="preserve">Xuân Thành
 Thôn Cốc Trại, Xã Thạch Thất, Xã Thạch Thất, Hà Nội
 0975033863
 </t>
  </si>
  <si>
    <t>S22693229.MB5-06-F13.1459712911</t>
  </si>
  <si>
    <t>SAPO129777807_603550</t>
  </si>
  <si>
    <t>18:52, 24-04-2026</t>
  </si>
  <si>
    <t xml:space="preserve">Cao Thị Kiên Chung
 Đội 1, thôn Thị Trung, Xã Như Quỳnh, Xã Như Quỳnh, Hưng Yên
 0947041688
 </t>
  </si>
  <si>
    <t>S22693229.MB3-03-C17.1136565869</t>
  </si>
  <si>
    <t>SAPO129777814_603550</t>
  </si>
  <si>
    <t>12:52, 25-04-2026</t>
  </si>
  <si>
    <t xml:space="preserve">Lê thị Hoa
 Đội 6 yên phú ý yên nam đinh, Xã Phong Doanh, Xã Phong Doanh, Ninh Bình
 0815662833
 </t>
  </si>
  <si>
    <t>S22693229.MB7-14-TP9.1159838989</t>
  </si>
  <si>
    <t>SAPO129777801_603550</t>
  </si>
  <si>
    <t>18:34, 24-04-2026</t>
  </si>
  <si>
    <t xml:space="preserve">Tran Huong
 SB4-10 Vinhome Marina, đường Võ Nguyên Giáp, Phường Lê Chân, Phường Lê Chân, Hải Phòng
 0911690228
 </t>
  </si>
  <si>
    <t>S22693229.MB7-14-TP9.1462642711</t>
  </si>
  <si>
    <t>SAPO129777791_603550</t>
  </si>
  <si>
    <t>20:23, 25-04-2026</t>
  </si>
  <si>
    <t xml:space="preserve">Tran Huong
 SB4-10 Vinhome Marina , đường Võ nguyên Giáp, Phường Lê Chân, Phường Lê Chân, Hải Phòng
 0911690228
 </t>
  </si>
  <si>
    <t>S22693229.BO.MN9-09-B31.1854710188</t>
  </si>
  <si>
    <t>SAPO129777811_603550</t>
  </si>
  <si>
    <t xml:space="preserve">Mộng Thường
 Vlxd Lưu Gia( Binh Phú) ấp Bình Ninh, Xã Ngãi Tứ, Xã Ngãi Tứ, Vĩnh Long
 0907029864
 </t>
  </si>
  <si>
    <t>S22693229.BO.MT10-04-D82.1147183417</t>
  </si>
  <si>
    <t>SAPO129777820_603550</t>
  </si>
  <si>
    <t>14:08, 28-04-2026</t>
  </si>
  <si>
    <t xml:space="preserve">Phan Văn Lực
 148 Thanh Niên, Phường Quy Nhơn Nam, Phường Quy Nhơn Nam, Gia Lai
 0382554871
 </t>
  </si>
  <si>
    <t>S22693229.MB12-11-M5.1565475915</t>
  </si>
  <si>
    <t>SAPO129777806_603550</t>
  </si>
  <si>
    <t>20:10, 24-04-2026</t>
  </si>
  <si>
    <t xml:space="preserve">Bùi thế hoàng
 Khu 1,vanlang hahoa phu tho, Xã Văn Lang, Xã Văn Lang, Phú Thọ
 0972350027
 </t>
  </si>
  <si>
    <t>S22693229.BO.DN8-E2.1438774445</t>
  </si>
  <si>
    <t>SAPO129777788_603550</t>
  </si>
  <si>
    <t>13:24, 27-04-2026</t>
  </si>
  <si>
    <t xml:space="preserve">Bùi thị thanh hương
 523/32 cách mạng tháng tám, Phường Cẩm Lệ, Phường Cẩm Lệ, Đà Nẵng
 0901171947
 </t>
  </si>
  <si>
    <t>S22693229.BO.DN16-H2.1670243301</t>
  </si>
  <si>
    <t>SAPO129777790_603550</t>
  </si>
  <si>
    <t xml:space="preserve">Quang
 27 khánh an 3, Phường Liên Chiểu, Phường Liên Chiểu, Đà Nẵng
 0905334678
 </t>
  </si>
  <si>
    <t>S22693229.MB7-15-Y3.1110545952</t>
  </si>
  <si>
    <t>SAPO129777800_603550</t>
  </si>
  <si>
    <t>16:32, 25-04-2026</t>
  </si>
  <si>
    <t xml:space="preserve">Nguyễn Kim Thái
 Số 8/305 Đông Khê, Phường Ngô Quyền, Phường Ngô Quyền, Hải Phòng
 0979531682
 </t>
  </si>
  <si>
    <t>S22693229.BO.DN16-H17.1471459780</t>
  </si>
  <si>
    <t>SAPO129777818_603550</t>
  </si>
  <si>
    <t>18:36, 25-04-2026</t>
  </si>
  <si>
    <t xml:space="preserve">OUDIS MÁY ĐẾM TIỀN
 77/10 phan khoang an khê đà nẵng, Phường An Khê, Phường An Khê, Đà Nẵng
 0975582200
 </t>
  </si>
  <si>
    <t>S22693229.BO.MT8-05-E2.1848841668</t>
  </si>
  <si>
    <t>SAPO129777789_603550</t>
  </si>
  <si>
    <t>14:33, 25-04-2026</t>
  </si>
  <si>
    <t xml:space="preserve">Phạm thị anh thư
 488 Cửa Đại, Hội An, Quảng nam, Phường Hội An Đông, Phường Hội An Đông, Đà Nẵng
 0988006775
 </t>
  </si>
  <si>
    <t>S22693229.BO.MN1-09-TS81.1530294633</t>
  </si>
  <si>
    <t>SAPO129777805_603550</t>
  </si>
  <si>
    <t>14:05, 28-04-2026</t>
  </si>
  <si>
    <t xml:space="preserve">Quý
 819 nguyễn ái quốc, Phường Tam Hiệp, Phường Tam Hiệp, Đồng Nai
 0899271099
 </t>
  </si>
  <si>
    <t>S22693229.MB19-08-A4.1920648874</t>
  </si>
  <si>
    <t>SAPO129777803_603550</t>
  </si>
  <si>
    <t>19:09, 28-04-2026</t>
  </si>
  <si>
    <t xml:space="preserve">Luân Thị Năm
 Số 10, Đường Cách Mạng Tháng 8, Phường Phan Đình Phùng, Phường Phan Đình Phùng, Thái Nguyên
 0915197666
 </t>
  </si>
  <si>
    <t>S22693229.BO.MT11-01-A93.1803505608</t>
  </si>
  <si>
    <t>SAPO129777813_603550</t>
  </si>
  <si>
    <t>11:57, 27-04-2026</t>
  </si>
  <si>
    <t xml:space="preserve">Nguyễn Minh Tùng
 49 Võ Văn Tần, Phường Bình Kiến, Phường Bình Kiến, Đắk Lắk
 0856065040
 </t>
  </si>
  <si>
    <t>S22693229.MB25-21-K09.1787887833</t>
  </si>
  <si>
    <t>SAPO129777823_603550</t>
  </si>
  <si>
    <t>18:11, 29-04-2026</t>
  </si>
  <si>
    <t xml:space="preserve">Lê Nam
 Đội Ngọc Long, Xã Ngọc Trạo, Xã Ngọc Trạo, Thanh Hóa
 0368929202
 </t>
  </si>
  <si>
    <t>S22693229.MB11-02-B9.1777621681</t>
  </si>
  <si>
    <t>SAPO129777796_603550</t>
  </si>
  <si>
    <t xml:space="preserve">Phượng
 Thôn Bản Hậu xã Tử Du huyện Lập Thạch tỉnh vĩnh phúc, Xã Lập Thạch, Xã Lập Thạch, Phú Thọ
 0973381239
 </t>
  </si>
  <si>
    <t>S22693229.MB25-34-T14.1616136369</t>
  </si>
  <si>
    <t>SAPO129777831_603550</t>
  </si>
  <si>
    <t xml:space="preserve">Hoàng thị tâm
 96 triệu quốc đạt p hạc thành tỉnh thanh hoá, Phường Hạc Thành, Phường Hạc Thành, Thanh Hóa
 0819908668
 </t>
  </si>
  <si>
    <t>S22693229.BO.MT11-03-C61.1930870204</t>
  </si>
  <si>
    <t>SAPO129777804_603550</t>
  </si>
  <si>
    <t>17:46, 29-04-2026</t>
  </si>
  <si>
    <t xml:space="preserve">Yến linh
 Thôn eamkeng, xã eabar, sông hinh, phú yên, Xã Ea Bá, Xã Ea Bá, Đắk Lắk
 0985153844
 </t>
  </si>
  <si>
    <t>S22693229.BO.MN1-18-Q71.1950538643</t>
  </si>
  <si>
    <t>SAPO129777812_603550</t>
  </si>
  <si>
    <t>11:38, 27-04-2026</t>
  </si>
  <si>
    <t xml:space="preserve">Le cong thuong
 680/10, Phường Long Bình, Phường Long Bình, Đồng Nai
 0932525525
 </t>
  </si>
  <si>
    <t>S22693229.BO.MT13-03-G4.1768839339</t>
  </si>
  <si>
    <t>SAPO129777832_603550</t>
  </si>
  <si>
    <t>14:40, 28-04-2026</t>
  </si>
  <si>
    <t xml:space="preserve">Lưu Thị Thùy Trang
 Nhà trẻ Bình Minh, Hộ Diêm, Hộ Hải, Ninh Hải, Ninh Thuận, Xã Xuân Hải, Xã Xuân Hải, Khánh Hòa
 0961247473
 </t>
  </si>
  <si>
    <t>S22693229.MB25-18-S03.1707050768</t>
  </si>
  <si>
    <t>SAPO129777797_603550</t>
  </si>
  <si>
    <t>15:48, 24-04-2026</t>
  </si>
  <si>
    <t xml:space="preserve">Trần Thị Mơ
 Cụm 9 phố Phúc Cường, Phường Quảng Phú, Phường Quảng Phú, Thanh Hóa
 0868558778
 </t>
  </si>
  <si>
    <t>S22693229.BO.MT14-01-A06.1538470073</t>
  </si>
  <si>
    <t>SAPO129777802_603550</t>
  </si>
  <si>
    <t>14:21, 27-04-2026</t>
  </si>
  <si>
    <t xml:space="preserve">KHANG UYÊN
 49 Cao Thắng, Phường Phan Thiết, Phường Phan Thiết, Lâm Đồng
 0986751008
 </t>
  </si>
  <si>
    <t>S22693229.MB25-23-N07.1407537152</t>
  </si>
  <si>
    <t>SAPO129777795_603550</t>
  </si>
  <si>
    <t xml:space="preserve">Trần Hồng Trang
 35 Hà Văn Mao,, Phường Hạc Thành, Phường Hạc Thành, Thanh Hóa
 0915744433
 </t>
  </si>
  <si>
    <t>S22693229.MB1-01-A18.1091621180</t>
  </si>
  <si>
    <t>SAPO129777822_603550</t>
  </si>
  <si>
    <t xml:space="preserve">Bùi
 112 Bùi Văn Dị, Phường Phủ Lý, Phường Phủ Lý, Ninh Bình
 0985818556
 </t>
  </si>
  <si>
    <t>S22693229.MB7-02-B6.1003650376</t>
  </si>
  <si>
    <t>SAPO129777793_603550</t>
  </si>
  <si>
    <t>21:38, 28-04-2026</t>
  </si>
  <si>
    <t xml:space="preserve">Nguyễn thị xuân
 Số nhà 19, phấn dũng, phường hưng đạo, hải phòng, Phường Hưng Đạo, Phường Hưng Đạo, Hải Phòng
 0911126661
 </t>
  </si>
  <si>
    <t>S22693229.BO.SGP05-N18.1263790377</t>
  </si>
  <si>
    <t>SAPO129777821_603550</t>
  </si>
  <si>
    <t xml:space="preserve">THIEN
 72/74 Huỳnh Văn Nghệ phường Tân Sơn , tphcm, Phường Tân Sơn, Phường Tân Sơn, TP Hồ Chí Minh
 0919737712
 </t>
  </si>
  <si>
    <t>S22693229.BO.MT12-21-X83.1836979853</t>
  </si>
  <si>
    <t>SAPO129777810_603550</t>
  </si>
  <si>
    <t>14:52, 28-04-2026</t>
  </si>
  <si>
    <t xml:space="preserve">Phạm Kim Quyên
 119 Hoàng Hoa Thám, Phường Nha Trang, Phường Nha Trang, Khánh Hòa
 0978810008
 </t>
  </si>
  <si>
    <t>S22693229.HNP46-C49.1637539645</t>
  </si>
  <si>
    <t>SAPO129777799_603550</t>
  </si>
  <si>
    <t>18:15, 24-04-2026</t>
  </si>
  <si>
    <t xml:space="preserve">Lê minh
 234 phạm văn đồng toà 27a1 chung chung cư green star, Phường Nghĩa Đô, Phường Nghĩa Đô, Hà Nội
 0916116865
 </t>
  </si>
  <si>
    <t>S22693229.BO.MT12-07-D31.1985764444</t>
  </si>
  <si>
    <t>SAPO129777792_603550</t>
  </si>
  <si>
    <t>15:30, 28-04-2026</t>
  </si>
  <si>
    <t xml:space="preserve">trung nguyen
 sth2503 đường 14 khu hà quang 2, Phường Nam Nha Trang, Phường Nam Nha Trang, Khánh Hòa
 0888847027
 </t>
  </si>
  <si>
    <t>S22693229.MB25-14-R01.1398905657</t>
  </si>
  <si>
    <t>SAPO129777816_603550</t>
  </si>
  <si>
    <t xml:space="preserve">Nguyễn xuân quyền
 Thôn 2. Xã như xuân. Tỉnh thanh hoá., Xã Như Xuân, Xã Như Xuân, Thanh Hóa
 0799181986
 </t>
  </si>
  <si>
    <t>S22693229.HNP127-V4.1533903364</t>
  </si>
  <si>
    <t>SAPO129777819_603550</t>
  </si>
  <si>
    <t xml:space="preserve">Đặng Trần Thinh
 Số nhà 65 Đường Ba Đình, Thôn Hội, Văn Hoàng, Phú Xuyên, Xã Phượng Dực, Xã Phượng Dực, Hà Nội
 0837891980
 </t>
  </si>
  <si>
    <t>S22693229.BO.MT4-02-B2.1074728670</t>
  </si>
  <si>
    <t>SAPO129777827_603550</t>
  </si>
  <si>
    <t>15:35, 28-04-2026</t>
  </si>
  <si>
    <t xml:space="preserve">hoàng anh toàn
 114 chu văn an, Phường Ba Đồn, Phường Ba Đồn, Quảng Trị
 0913579232
 </t>
  </si>
  <si>
    <t>S22693229.MB8-02-B15.1356480305</t>
  </si>
  <si>
    <t>SAPO129777809_603550</t>
  </si>
  <si>
    <t>20:41, 27-04-2026</t>
  </si>
  <si>
    <t xml:space="preserve">Quý
 6/61 khu phố Nguyễn giáo đồng nguyên từ sơn bắc ninh, Phường Đồng Nguyên, Phường Đồng Nguyên, Bắc Ninh
 0943792089
 </t>
  </si>
  <si>
    <t>S22693229.MB11-11-L5.1764915518</t>
  </si>
  <si>
    <t>SAPO129777830_603550</t>
  </si>
  <si>
    <t>20:49, 24-04-2026</t>
  </si>
  <si>
    <t xml:space="preserve">Bui nhung
 Đối diện ngõ 25 xã Đại Đồng huyện Vĩnh Tường tỉnh Vĩnh Phúc, Xã Vĩnh Hưng, Xã Vĩnh Hưng, Phú Thọ
 0356086899
 </t>
  </si>
  <si>
    <t>S22693229.MB23-01-A5.1285063108</t>
  </si>
  <si>
    <t>SAPO129777817_603550</t>
  </si>
  <si>
    <t>19:08, 25-04-2026</t>
  </si>
  <si>
    <t xml:space="preserve">Phạm Hằng
 105 nguyễn thị định, Phường Tân Phong, Phường Tân Phong, Lai Châu
 0966262189
 </t>
  </si>
  <si>
    <t>S22693229.HNP25-F17.1162890097</t>
  </si>
  <si>
    <t>SAPO129777824_603550</t>
  </si>
  <si>
    <t>17:25, 28-04-2026</t>
  </si>
  <si>
    <t xml:space="preserve">Diệu Linh Nguyễn
 49a Vũ Trọng Phụng, Phường Thanh Xuân, Phường Thanh Xuân, Hà Nội
 0912984567
 </t>
  </si>
  <si>
    <t>S22693229.MB25-14-E12.1363909812</t>
  </si>
  <si>
    <t>SAPO129777828_603550</t>
  </si>
  <si>
    <t xml:space="preserve">Dung AnNa
 Sn 702-thôn đặng đỗi-xã trường văn -nông cống-thanh hoá, Xã Trường Văn, Xã Trường Văn, Thanh Hóa
 0989951158
 </t>
  </si>
  <si>
    <t>S22693229.BO.MT5-01-A7.1984803713</t>
  </si>
  <si>
    <t>SAPO129777826_603550</t>
  </si>
  <si>
    <t>14:47, 27-04-2026</t>
  </si>
  <si>
    <t xml:space="preserve">anh
 hồ tùng mậu, khu phố tân vĩnh, Phường Nam Đông Hà, Phường Nam Đông Hà, Quảng Trị
 0962484999
 </t>
  </si>
  <si>
    <t>S22693229.MB5-13-M11.1506479421</t>
  </si>
  <si>
    <t>SAPO129777887_603550</t>
  </si>
  <si>
    <t>18:53, 24-04-2026</t>
  </si>
  <si>
    <t xml:space="preserve">Phan thị quyên
 Đội 4 bình kiều khoái châu Hưng yên, Xã Khoái Châu, Xã Khoái Châu, Hưng Yên
 0974710866
 </t>
  </si>
  <si>
    <t>S22693229.BO.MN7-18-E51.1215731152</t>
  </si>
  <si>
    <t>SAPO129777930_603550</t>
  </si>
  <si>
    <t>14:36, 28-04-2026</t>
  </si>
  <si>
    <t xml:space="preserve">Anh Huấn
 Tổ dân Phố 5, ấp Hậu Hoà, Xã Hội Cư, Tỉnh Đồng Tháp, Xã Hội Cư, Xã Hội Cư, Đồng Tháp
 0938966623
 </t>
  </si>
  <si>
    <t>S22693229.BO.MT14-07-M61.1419515224</t>
  </si>
  <si>
    <t>SAPO129777979_603550</t>
  </si>
  <si>
    <t xml:space="preserve">Nguyên linh
 Thôn 4 xã măng tố tánh linh bình thuận, Xã Bắc Ruộng, Xã Bắc Ruộng, Lâm Đồng
 0706102030
 </t>
  </si>
  <si>
    <t>S22693229.HNP55-D6.1706822076</t>
  </si>
  <si>
    <t>SAPO129778010_603550</t>
  </si>
  <si>
    <t>17:57, 28-04-2026</t>
  </si>
  <si>
    <t xml:space="preserve">Phuong
 Oct5A resco cổ nhuế 2, Phường Đông Ngạc, Phường Đông Ngạc, Hà Nội
 0913726289
 </t>
  </si>
  <si>
    <t>S22693229.MB14-05-M4.1428027215</t>
  </si>
  <si>
    <t>SAPO129778059_603550</t>
  </si>
  <si>
    <t>20:38, 27-04-2026</t>
  </si>
  <si>
    <t xml:space="preserve">Vũ Thị Hiền
 tổ 1 thị trấn Cốc Pài huyện Xín Mần tỉnh Hà Giang, Xã Pà Vầy Sủ, Xã Pà Vầy Sủ, Tuyên Quang
 0984526884
 </t>
  </si>
  <si>
    <t>S22693229.MB7-31-H12.1331385725</t>
  </si>
  <si>
    <t>SAPO129778078_603550</t>
  </si>
  <si>
    <t>22:10, 27-04-2026</t>
  </si>
  <si>
    <t xml:space="preserve">Huong
 TDP Thuỷ Sơn 7, Phường Thủy Nguyên, Phường Thủy Nguyên, Hải Phòng
 0384276286
 </t>
  </si>
  <si>
    <t>S22693229.MB9-17-G19.1409571730</t>
  </si>
  <si>
    <t>SAPO129778110_603550</t>
  </si>
  <si>
    <t>14:27, 25-04-2026</t>
  </si>
  <si>
    <t xml:space="preserve">Nguyễn Thị Như Nguyệt
 319, Thân Nhân Trung, Phường Việt Yên, Phường Việt Yên, Bắc Ninh
 0916554727
 </t>
  </si>
  <si>
    <t>S22693229.HNP25-B179.1134132750</t>
  </si>
  <si>
    <t>SAPO129778120_603550</t>
  </si>
  <si>
    <t>09:13, 23-04-2026</t>
  </si>
  <si>
    <t>19:10, 28-04-2026</t>
  </si>
  <si>
    <t xml:space="preserve">Sherin Micheal
 26 Huỳnh Thúc Kháng, Phường Láng, Phường Láng, Hà Nội, Phường Láng, Phường Láng, Hà Nội
 0971059840
 </t>
  </si>
  <si>
    <t>S22693229.MB2-10-L37.1904063288</t>
  </si>
  <si>
    <t>SAPO129778137_603550</t>
  </si>
  <si>
    <t xml:space="preserve">Nguyễn Thị Thanh Nhàn
 78 đ Lý Thái Tổ, Phường Hoa Lư, Phường Hoa Lư, Ninh Bình
 0984999012
 </t>
  </si>
  <si>
    <t>S22693229.HNP98-E12.1134244797</t>
  </si>
  <si>
    <t>SAPO129778173_603550</t>
  </si>
  <si>
    <t xml:space="preserve">Nguyễn Thanh Mai
 Số 4, ngách 24/7, ngõ 24, Ngọc Lâm, Phường Bồ Đề, Phường Bồ Đề, Hà Nội
 0906285880
 </t>
  </si>
  <si>
    <t>S22693229.BO.MN14-01-A68.1830697226</t>
  </si>
  <si>
    <t>SAPO129778207_603550</t>
  </si>
  <si>
    <t>18:21, 27-04-2026</t>
  </si>
  <si>
    <t xml:space="preserve">Phạm thị dung
 Căn 24, p11 đặng thị tám, an hòa rạch giá, Phường Rạch Giá, Phường Rạch Giá, An Giang
 0387643866
 </t>
  </si>
  <si>
    <t>S22693229.BO.SGP25-Q47.1393212401</t>
  </si>
  <si>
    <t>SAPO129778236_603550</t>
  </si>
  <si>
    <t>21:07, 28-04-2026</t>
  </si>
  <si>
    <t xml:space="preserve">Nguyễn Văn Hảo
 Cty HACOME, số 463 Quốc lộ 13, KP5, Phường Hiệp Bình Phước, Thủ Đức, Hồ Chí Minh., Phường Hiệp Bình, Phường Hiệp Bình, TP Hồ Chí Minh
 0919331497
 </t>
  </si>
  <si>
    <t>S22693229.MB6-08-Z1.1814483919</t>
  </si>
  <si>
    <t>SAPO129778258_603550</t>
  </si>
  <si>
    <t xml:space="preserve">Nguyễn Thị Hường
 Xuân Nẻo - Hưng Đạo - Tứ Kỳ - Hải Dương, Xã Đại Sơn, Xã Đại Sơn, Hải Phòng
 0396955116
 </t>
  </si>
  <si>
    <t>S22693229.MB6-12-K8.1333505407</t>
  </si>
  <si>
    <t>SAPO129778312_603550</t>
  </si>
  <si>
    <t>14:44, 27-04-2026</t>
  </si>
  <si>
    <t xml:space="preserve">Xuân Sơn Nguyễn
 Công ty xi măng phúc sơn, Phường Nhị Chiểu, Phường Nhị Chiểu, Hải Phòng
 0904992622
 </t>
  </si>
  <si>
    <t>S22693229.HNP124-T95.1924820278</t>
  </si>
  <si>
    <t>SAPO129778353_603550</t>
  </si>
  <si>
    <t xml:space="preserve">Lê Hoa
 Sn 11 Ngõ 473 đường Đại Nghĩa_ Xã Mỹ Đức_ Hà Nội, Xã Mỹ Đức, Xã Mỹ Đức, Hà Nội
 0976875242
 </t>
  </si>
  <si>
    <t>S22693229.BO.SGP59-P74.1020653248</t>
  </si>
  <si>
    <t>SAPO129778388_603550</t>
  </si>
  <si>
    <t>13:23, 28-04-2026</t>
  </si>
  <si>
    <t xml:space="preserve">Trần thị ngọc lộc
 241/3 Tân Hoà Đông p14q6, Phường Phú Lâm, Phường Phú Lâm, TP Hồ Chí Minh
 0918164833
 </t>
  </si>
  <si>
    <t>S22693229.BO.DN8-E15.1973473783</t>
  </si>
  <si>
    <t>SAPO129778435_603550</t>
  </si>
  <si>
    <t>17:55, 27-04-2026</t>
  </si>
  <si>
    <t xml:space="preserve">trần tra
 54 thanh lương 10, Phường Hòa Xuân, Phường Hòa Xuân, Đà Nẵng
 0934805800
 </t>
  </si>
  <si>
    <t>S22693229.BO.MB4-09-T34.1010576873</t>
  </si>
  <si>
    <t>SAPO129778491_603550</t>
  </si>
  <si>
    <t xml:space="preserve">Phạm Thị Nhung
 sn 2 to 23 đường sô 7, Phường Trần Lãm, Phường Trần Lãm, Hưng Yên
 0986886577
 </t>
  </si>
  <si>
    <t>S22693229.MB16-01-A8.1063111881</t>
  </si>
  <si>
    <t>SAPO129778547_603550</t>
  </si>
  <si>
    <t>15:48, 25-04-2026</t>
  </si>
  <si>
    <t xml:space="preserve">Hường
 Số 160 đường 3/2, Phường Tô Hiệu, Phường Tô Hiệu, Sơn La
 0963309633
 </t>
  </si>
  <si>
    <t>S22693229.BO.SGP11-V46.1130627303</t>
  </si>
  <si>
    <t>SAPO129778588_603550</t>
  </si>
  <si>
    <t>16:39, 29-04-2026</t>
  </si>
  <si>
    <t xml:space="preserve">Tram Hua
 Số 7 Phan Đăng Lưu, Phường Gia Định, Phường Gia Định, TP Hồ Chí Minh
 0919751123
 </t>
  </si>
  <si>
    <t>S22693229.MB6-09-Y10.1456683763</t>
  </si>
  <si>
    <t>SAPO129778617_603550</t>
  </si>
  <si>
    <t xml:space="preserve">Nguyễn Thị Nga
 Trường THCS Lam Sơn, Xã Bắc Thanh Miện, Xã Bắc Thanh Miện, Hải Phòng
 0988125488
 </t>
  </si>
  <si>
    <t>S22693229.BO.MT17-11-T12.1609952941</t>
  </si>
  <si>
    <t>SAPO129778659_603550</t>
  </si>
  <si>
    <t>15:52, 28-04-2026</t>
  </si>
  <si>
    <t xml:space="preserve">Minh hậu
 Thôn kim châu, Xã Dray Bhăng, Xã Dray Bhăng, Đắk Lắk
 0914733347
 </t>
  </si>
  <si>
    <t>S22693229.BO.MT10-04-D62.1052333207</t>
  </si>
  <si>
    <t>SAPO129778695_603550</t>
  </si>
  <si>
    <t>14:10, 29-04-2026</t>
  </si>
  <si>
    <t xml:space="preserve">Võ Thị Mỹ Huyền
 Chung cư Lamer, đường Tây Sơn, Quang Trung, Quy Nhơn bình định, Phường Quy Nhơn Nam, Phường Quy Nhơn Nam, Gia Lai
 0969836937
 </t>
  </si>
  <si>
    <t>S22693229.BO.SGP104-N71.1241850960</t>
  </si>
  <si>
    <t>SAPO129778735_603550</t>
  </si>
  <si>
    <t>18:54, 28-04-2026</t>
  </si>
  <si>
    <t xml:space="preserve">Lê Thị Tròn
 270 Lý Thường Kiệt, Phường Diên Hồng, Phường Diên Hồng, TP Hồ Chí Minh
 0942888650
 </t>
  </si>
  <si>
    <t>S22693229.MB7-14-TP21.1050696467</t>
  </si>
  <si>
    <t>SAPO129778775_603550</t>
  </si>
  <si>
    <t xml:space="preserve">Phan thị dung
 Sn 4/28/455, Phường Hải An, Phường Hải An, Hải Phòng
 0982612684
 </t>
  </si>
  <si>
    <t>S22693229.BO.SGP105-N38.1678187386</t>
  </si>
  <si>
    <t>SAPO129778798_603550</t>
  </si>
  <si>
    <t xml:space="preserve">An
 118/15 trần quang diệu phường nhiêu lộc, Phường Nhiêu Lộc, Phường Nhiêu Lộc, TP Hồ Chí Minh
 0908973794
 </t>
  </si>
  <si>
    <t>S22693229.BO.MN3-02-T52.1247383005</t>
  </si>
  <si>
    <t>SAPO129778847_603550</t>
  </si>
  <si>
    <t xml:space="preserve">Đỗ toản
 Tổ 5 vạn hạnh đường nguyễn duy trinh phú mỹ phú mỹ b, Phường Phú Mỹ, Phường Phú Mỹ, TP Hồ Chí Minh
 0398633873
 </t>
  </si>
  <si>
    <t>S22693229.MB9-05-D16.1300299340</t>
  </si>
  <si>
    <t>SAPO129778885_603550</t>
  </si>
  <si>
    <t>17:56, 24-04-2026</t>
  </si>
  <si>
    <t xml:space="preserve">Thanh hoa
 37 thân công tài, Phường Bắc Giang, Phường Bắc Giang, Bắc Ninh
 0914806080
 </t>
  </si>
  <si>
    <t>S22693229.MB22-01-A6.1854634263</t>
  </si>
  <si>
    <t>SAPO129778911_603550</t>
  </si>
  <si>
    <t>17:57, 29-04-2026</t>
  </si>
  <si>
    <t xml:space="preserve">Nguyễn thị lan hưng
 Chung cư tecco kim tân, phường lào cai, tỉnh lào cai, Phường Lào Cai, Phường Lào Cai, Lào Cai
 0968807668
 </t>
  </si>
  <si>
    <t>S22693229.MB3-02-B11.1360230928</t>
  </si>
  <si>
    <t>SAPO129778972_603550</t>
  </si>
  <si>
    <t>14:42, 25-04-2026</t>
  </si>
  <si>
    <t xml:space="preserve">Vũ Thị Sơn
 thôn Ninh Quý, Xã Minh Thái, Xã Minh Thái, Ninh Bình
 0942516630
 </t>
  </si>
  <si>
    <t>S22693229.BO.MN3-03-C02.1782885022</t>
  </si>
  <si>
    <t>SAPO129779006_603550</t>
  </si>
  <si>
    <t>19:07, 28-04-2026</t>
  </si>
  <si>
    <t xml:space="preserve">Nguyễn Vân Anh
 Hẻm số 200 Trần Hưng Đạo - Tổ 4 - Khu Phố 3, Phường Bà Rịa, Phường Bà Rịa, TP Hồ Chí Minh
 0772939096
 </t>
  </si>
  <si>
    <t>S22693229.BO.MT17-01-M04.1533022362</t>
  </si>
  <si>
    <t>SAPO129779059_603550</t>
  </si>
  <si>
    <t>18:26, 29-04-2026</t>
  </si>
  <si>
    <t xml:space="preserve">Nguyen thanh tung
 17 nguyen tat thanh, Phường Buôn Ma Thuột, Phường Buôn Ma Thuột, Đắk Lắk
 0934909007
 </t>
  </si>
  <si>
    <t>S22693229.HNP116-T133.1375611925</t>
  </si>
  <si>
    <t>SAPO129779127_603550</t>
  </si>
  <si>
    <t>09:14, 23-04-2026</t>
  </si>
  <si>
    <t xml:space="preserve">Nguyễn Thị Ngọc
 Số 11 ,Đội 4 ,Thôn 1 ,Quảng Bị ,Hà Nội, Xã Quảng Bị, Xã Quảng Bị, Hà Nội
 0985038946
 </t>
  </si>
  <si>
    <t>S22693229.MB7-40-D20.1972073003</t>
  </si>
  <si>
    <t>SAPO129779173_603550</t>
  </si>
  <si>
    <t>21:55, 28-04-2026</t>
  </si>
  <si>
    <t xml:space="preserve">Lê Anh Tuấn
 Công ty cổ phần Quốc tế S.A.M.N,E.C, phường An Phong, phường An Phong, Hải Phòng
 0934244774
 </t>
  </si>
  <si>
    <t>S22693229.MB10-12-L9.1853612545</t>
  </si>
  <si>
    <t>SAPO129779233_603550</t>
  </si>
  <si>
    <t xml:space="preserve">Hiền
 613, t5, k10, Phường Bãi Cháy, Phường Bãi Cháy, Quảng Ninh
 0358236545
 </t>
  </si>
  <si>
    <t>S22693229.MB10-24-N9.1218797099</t>
  </si>
  <si>
    <t>SAPO129779342_603550</t>
  </si>
  <si>
    <t>19:33, 28-04-2026</t>
  </si>
  <si>
    <t xml:space="preserve">Nguyễn Thanh Vân
 Số nhà 85 ngõ 33 đường Nguyễn Văn Cừ, Phường Hạ Long, Phường Hạ Long, Quảng Ninh
 0862732827
 </t>
  </si>
  <si>
    <t>S22693229.HNP121-D15.1438866135</t>
  </si>
  <si>
    <t>SAPO129779379_603550</t>
  </si>
  <si>
    <t>18:43, 24-04-2026</t>
  </si>
  <si>
    <t xml:space="preserve">Trần Hằng
 Thôn Văn Quán, Xã Mê Linh, Xã Mê Linh, Hà Nội
 0965971486
 </t>
  </si>
  <si>
    <t>S22693229.MB6-09-Y2.1949637468</t>
  </si>
  <si>
    <t>SAPO129779412_603550</t>
  </si>
  <si>
    <t>15:18, 27-04-2026</t>
  </si>
  <si>
    <t xml:space="preserve">Tô thị ngân
 Số 8 khu phù nội, Xã Thanh Miện, Xã Thanh Miện, Hải Phòng
 0398691091
 </t>
  </si>
  <si>
    <t>S22693229.BO.MN1-05-Z12.1958149800</t>
  </si>
  <si>
    <t>SAPO129779449_603550</t>
  </si>
  <si>
    <t>15:19, 28-04-2026</t>
  </si>
  <si>
    <t xml:space="preserve">Phạm Thị Thu Hằng
 Đường liên ấp, Bến Cam, Phước Thiền, Nhơn Trạch, Đồng Nai, Xã Nhơn Trạch, Xã Nhơn Trạch, Đồng Nai
 0797253850
 </t>
  </si>
  <si>
    <t>S22693229.BO.MN1-02-S71.1753337790</t>
  </si>
  <si>
    <t>SAPO129779483_603550</t>
  </si>
  <si>
    <t xml:space="preserve">Hiến
 303 QL1A, Hưng Hiệp, Xã Dầu Giây, Xã Dầu Giây, Đồng Nai
 0764718291
 </t>
  </si>
  <si>
    <t>S22693229.BO.MN4-05-H99.1772034900</t>
  </si>
  <si>
    <t>SAPO129779516_603550</t>
  </si>
  <si>
    <t>16:41, 27-04-2026</t>
  </si>
  <si>
    <t xml:space="preserve">Nguyễn thị Hồng đào
 Nhà máy Ngọc Hân: ấp suối ông đình, xã trà vong, huyện Tân biên, tỉnh Tây ninh, Xã Trà Vong, Xã Trà Vong, Tây Ninh
 0918383872
 </t>
  </si>
  <si>
    <t>S22693229.MB26-02-D1.1061500248</t>
  </si>
  <si>
    <t>SAPO129779559_603550</t>
  </si>
  <si>
    <t>11:48, 25-04-2026</t>
  </si>
  <si>
    <t xml:space="preserve">Nguyễn Thị Huệ
 Trường THCS thị trấn Thạch Giám, Xã Tương Dương, Xã Tương Dương, Nghệ An
 0816607977
 </t>
  </si>
  <si>
    <t>S22693229.MB26-16-X11.1381562696</t>
  </si>
  <si>
    <t>SAPO129779601_603550</t>
  </si>
  <si>
    <t>20:24, 28-04-2026</t>
  </si>
  <si>
    <t xml:space="preserve">LÔ THU
 25 mịn khai, p thành vinh. Nghệ an, Phường Thành Vinh, Phường Thành Vinh, Nghệ An
 0856241786
 </t>
  </si>
  <si>
    <t>S22693229.BO.SGP91-W89.1419121132</t>
  </si>
  <si>
    <t>SAPO129779634_603550</t>
  </si>
  <si>
    <t>17:03, 27-04-2026</t>
  </si>
  <si>
    <t xml:space="preserve">Huyền Phạm
 Cổng Sau Gold View. P1. Quận 4, Phường Vĩnh Hội, Phường Vĩnh Hội, TP Hồ Chí Minh
 0934141088
 </t>
  </si>
  <si>
    <t>S22693229.BO.MT5-03-C10.1716141289</t>
  </si>
  <si>
    <t>SAPO129779659_603550</t>
  </si>
  <si>
    <t>14:35, 28-04-2026</t>
  </si>
  <si>
    <t xml:space="preserve">Nguyễn nghĩa
 275 trần hưng đạo, Phường Quảng Trị, Phường Quảng Trị, Quảng Trị
 0971180246
 </t>
  </si>
  <si>
    <t>S22693229.HNP46-C46.1596650930</t>
  </si>
  <si>
    <t>SAPO129779685_603550</t>
  </si>
  <si>
    <t xml:space="preserve">Trần Bích Thuỷ
 Nhà A5, ngõ 649 Phạm Văn Đồng, Phường Nghĩa Đô, Phường Nghĩa Đô, Hà Nội
 0979666658
 </t>
  </si>
  <si>
    <t>S22693229.MB6-06-G8.1146038623</t>
  </si>
  <si>
    <t>SAPO129779722_603550</t>
  </si>
  <si>
    <t>17:38, 29-04-2026</t>
  </si>
  <si>
    <t xml:space="preserve">Nguyễn thị Liễu
 Nhà thuốc Minh Liễu chợ rồng, Xã Trần Phú, Xã Trần Phú, Hải Phòng
 0988342731
 </t>
  </si>
  <si>
    <t>S22693229.HNP39-C4.1979026505</t>
  </si>
  <si>
    <t>SAPO129779770_603550</t>
  </si>
  <si>
    <t xml:space="preserve">Vũ thị Thanh Nga
 Số 14 xóm sân bóng thôn phương quan, Xã An Khánh, Xã An Khánh, Hà Nội
 0329868400
 </t>
  </si>
  <si>
    <t>S22693229.MB7-15-Y42.1468534288</t>
  </si>
  <si>
    <t>SAPO129779856_603550</t>
  </si>
  <si>
    <t xml:space="preserve">Phạm Phương
 Hh1 chung cư Đổng Quốc Bình, Phường Gia Viên, Phường Gia Viên, Hải Phòng
 0948727944
 </t>
  </si>
  <si>
    <t>S22693229.MB19-15-T13.1961696254</t>
  </si>
  <si>
    <t>SAPO129779899_603550</t>
  </si>
  <si>
    <t>20:37, 24-04-2026</t>
  </si>
  <si>
    <t xml:space="preserve">Thái Chi
 Khu tái định cư Trung Thành xóm Cây Xanh, Phường Quyết Thắng, Phường Quyết Thắng, Thái Nguyên
 0913772081
 </t>
  </si>
  <si>
    <t>S22693229.MB26-31-F7.1798213234</t>
  </si>
  <si>
    <t>SAPO129779946_603550</t>
  </si>
  <si>
    <t>16:43, 25-04-2026</t>
  </si>
  <si>
    <t xml:space="preserve">Phan thị thuý
 Cf phúc 89 công viên thị trấn diễn châu, Xã Diễn Châu, Xã Diễn Châu, Nghệ An
 0385040357
 </t>
  </si>
  <si>
    <t>S22693229.BO.MT6-11-L10.1779566731</t>
  </si>
  <si>
    <t>SAPO129780644_603550</t>
  </si>
  <si>
    <t>09:15, 23-04-2026</t>
  </si>
  <si>
    <t>16:05, 27-04-2026</t>
  </si>
  <si>
    <t xml:space="preserve">Phạm Thị Thơm
 TDP Thuận Hoà, Phường Hóa Châu, Phường Hóa Châu, Thành phố Huế
 0935944027
 </t>
  </si>
  <si>
    <t>S22693229.BO.SGP43-M62.1240327665</t>
  </si>
  <si>
    <t>583499323994899816( đổi l2)</t>
  </si>
  <si>
    <t>09:17, 23-04-2026</t>
  </si>
  <si>
    <t>19:04, 29-04-2026</t>
  </si>
  <si>
    <t xml:space="preserve">Khách đổi
 -33b Đường số 42(Nhà trọ Nhật Quang) 
Bình Trưng Đông,Quận 2,Hồ Chí Minh,Việt Nam, Phường Bình Trưng, Phường Bình Trưng, TP Hồ Chí Minh
 0974271238
 </t>
  </si>
  <si>
    <t>S22693229.MB12-09-L2.1515271056</t>
  </si>
  <si>
    <t>583519479225156935( đổi ) lần 2)</t>
  </si>
  <si>
    <t>13:47, 25-04-2026</t>
  </si>
  <si>
    <t xml:space="preserve">Khashc đổi
 -Đường Hậu Lộc, Hùng Sơn(Ngõ 53 đừờng hậu lộc khu 2 xã lâm thao phú thọ) 
Xã Lâm Thao,Xã Lâm Thao,Phú Thọ,Việt Nam, Xã Lâm Thao, Xã Lâm Thao, Phú Thọ
 0396128308
 </t>
  </si>
  <si>
    <t>S22693229.HNP45-C189.1292370965</t>
  </si>
  <si>
    <t>583597687344432352</t>
  </si>
  <si>
    <t>17:44, 24-04-2026</t>
  </si>
  <si>
    <t xml:space="preserve">Khách đổi
 -Ngõ 677 Lạc Long Quân 
Phường Phú Thượng,Phường Phú Thượng,Hà Nội,Việt Nam, Phường Phú Thượng, Phường Phú Thượng, Hà Nội
 0333704587
 </t>
  </si>
  <si>
    <t>S22693229.BO.MN2-03-C83.1317960787</t>
  </si>
  <si>
    <t>583480286334714967( đổi l2)</t>
  </si>
  <si>
    <t>17:43, 27-04-2026</t>
  </si>
  <si>
    <t xml:space="preserve">Nguyễn Hữu Tráng
 62 /11Vĩnh Phú 33, Thuận An 
Vĩnh Phú,Thuan An,Binh Duong,Vietnam, Phường Bình Hòa, Phường Bình Hòa, TP Hồ Chí Minh
 0919206706
 </t>
  </si>
  <si>
    <t>S22693229.BO.MT19-01-A22.1056819013</t>
  </si>
  <si>
    <t>SAPO129781849_603550</t>
  </si>
  <si>
    <t>19:43, 29-04-2026</t>
  </si>
  <si>
    <t xml:space="preserve">TRẦN MINH TIẾN
 31/17 Đường Nguyễn Đình Quân, Phường Cam Ly - Đà Lạt, Phường Cam Ly - Đà Lạt, Lâm Đồng, Phường Cam Ly - Đà Lạt, Phường Cam Ly - Đà Lạt, Lâm Đồng
 0963893489
 </t>
  </si>
  <si>
    <t>S22693229.MB10-02-B11.1840437856</t>
  </si>
  <si>
    <t>SAPO129782716_603550</t>
  </si>
  <si>
    <t>09:19, 23-04-2026</t>
  </si>
  <si>
    <t xml:space="preserve">Nguyễn thị Thúy Quỳnh
 121c, tổ 1, khu 1 thành Sơn uông bí quảng ninh, Phường Uông Bí, Phường Uông Bí, Quảng Ninh
 0948414699
 </t>
  </si>
  <si>
    <t>S22693229.MB10-24-N9.1919631054</t>
  </si>
  <si>
    <t>SAPO129782727_603550</t>
  </si>
  <si>
    <t>21:40, 28-04-2026</t>
  </si>
  <si>
    <t xml:space="preserve">Nguyễn Xuân Đông
 Số  1 đường 25/4, Phường Hồng Gai, Phường Hồng Gai, Quảng Ninh
 0912114888
 </t>
  </si>
  <si>
    <t>S22693229.HNP116-T333.1898866511</t>
  </si>
  <si>
    <t>SAPO129782724_603550</t>
  </si>
  <si>
    <t xml:space="preserve">Hà Trang
 Ubnd xã hữu văn, Xã Trần Phú, Xã Trần Phú, Hà Nội
 0975984224
 </t>
  </si>
  <si>
    <t>S22693229.MB2-10-L37.1829054247</t>
  </si>
  <si>
    <t>SAPO129782718_603550</t>
  </si>
  <si>
    <t xml:space="preserve">Nguyễn Thị Thanh Nhàn
 78 Đ Lý Thái Tổ, Phường Hoa Lư, Phường Hoa Lư, Ninh Bình
 0984999012
 </t>
  </si>
  <si>
    <t>S22693229.BO.DN16-H14.1101382600</t>
  </si>
  <si>
    <t>SAPO129782719_603550</t>
  </si>
  <si>
    <t>19:13, 27-04-2026</t>
  </si>
  <si>
    <t xml:space="preserve">Quỳnh
 Đà nẵng, Phường Hòa Khánh, Phường Hòa Khánh, Đà Nẵng
 0388736442
 </t>
  </si>
  <si>
    <t>S22693229.MB8-03-C10.1062466958</t>
  </si>
  <si>
    <t>SAPO129782728_603550</t>
  </si>
  <si>
    <t>19:23, 24-04-2026</t>
  </si>
  <si>
    <t xml:space="preserve">Phuong
 Tư chi tân chi tiên du băc ninh, Xã Tân Chi, Xã Tân Chi, Bắc Ninh
 0971111080
 </t>
  </si>
  <si>
    <t>S22693229.BO.MB25-16-U11.1759488610</t>
  </si>
  <si>
    <t>SAPO129782717_603550</t>
  </si>
  <si>
    <t xml:space="preserve">Phan Thị Hà
 SN 17/01/22 đường Trần Thủ Độ, Phường Hạc Thành, Phường Hạc Thành, Thanh Hóa
 0949087656
 </t>
  </si>
  <si>
    <t>S22693229.BO.DN17-I4.1681533894</t>
  </si>
  <si>
    <t>SAPO129782723_603550</t>
  </si>
  <si>
    <t>15:13, 27-04-2026</t>
  </si>
  <si>
    <t xml:space="preserve">Nguyễn thị thanh thuy
 225 hàn thuyên, Phường Hòa Cường, Phường Hòa Cường, Đà Nẵng
 0935219329
 </t>
  </si>
  <si>
    <t>S22693229.MB27-05-E9.1342705250</t>
  </si>
  <si>
    <t>SAPO129782730_603550</t>
  </si>
  <si>
    <t xml:space="preserve">Nguyễn Thị Hiền
 95, đường Nguyễn Du, Xã Tiên Điền, tỉnh Hà Tĩnh, Xã Tiên Điền, Xã Tiên Điền, Hà Tĩnh
 0931774868
 </t>
  </si>
  <si>
    <t>S22693229.BO.MT6-03-D13.1449028510</t>
  </si>
  <si>
    <t>SAPO129782711_603550</t>
  </si>
  <si>
    <t>18:44, 27-04-2026</t>
  </si>
  <si>
    <t xml:space="preserve">Trần Quang Thế Hiển
 Nhà sách Tuổi Hồng- Chợ An Lỗ, Phường Phong Thái, Phường Phong Thái, Thành phố Huế
 0986650883
 </t>
  </si>
  <si>
    <t>S22693229.BO.MT16-02-D77.1131426910</t>
  </si>
  <si>
    <t>SAPO129782725_603550</t>
  </si>
  <si>
    <t>18:22, 27-04-2026</t>
  </si>
  <si>
    <t xml:space="preserve">Trần Nguyễn Như Thuỷ
 369 trường chinh, phường hội phú, gia lai, Phường Hội Phú, Phường Hội Phú, Gia Lai
 0979577968
 </t>
  </si>
  <si>
    <t>S22693229.BO.SGP76-S81.1681247758</t>
  </si>
  <si>
    <t>SAPO129782712_603550</t>
  </si>
  <si>
    <t>14:30, 27-04-2026</t>
  </si>
  <si>
    <t xml:space="preserve">Nguyen Vy
 137 Bùi Thị Xuân, Phường Tân Sơn Hòa, Phường Tân Sơn Hòa, TP Hồ Chí Minh
 0938975569
 </t>
  </si>
  <si>
    <t>S22693229.MB8-16-P9.1059913022</t>
  </si>
  <si>
    <t>SAPO129782726_603550</t>
  </si>
  <si>
    <t xml:space="preserve">Vũ Thị Phượng
 Khu Quả Cảm, Phường Kinh Bắc, Phường Kinh Bắc, Bắc Ninh
 0984226145
 </t>
  </si>
  <si>
    <t>S22693229.MB10-12-L14.1540027402</t>
  </si>
  <si>
    <t>SAPO129782731_603550</t>
  </si>
  <si>
    <t>20:47, 28-04-2026</t>
  </si>
  <si>
    <t xml:space="preserve">hoàng Thị Nhung
 Nhà B bệnh viện Bãi Cháy, Phường Việt Hưng, Phường Việt Hưng, Quảng Ninh
 0342498752
 </t>
  </si>
  <si>
    <t>S22693229.BO.DN10-G03.1958239267</t>
  </si>
  <si>
    <t>SAPO129782721_603550</t>
  </si>
  <si>
    <t>16:42, 27-04-2026</t>
  </si>
  <si>
    <t xml:space="preserve">Trịnh Minh
 35 nguyễn thông, Phường An Hải, Phường An Hải, Đà Nẵng
 0912000068
 </t>
  </si>
  <si>
    <t>S22693229.BO.SGP65-W47.1745327600</t>
  </si>
  <si>
    <t>SAPO129782788_603550</t>
  </si>
  <si>
    <t>18:38, 28-04-2026</t>
  </si>
  <si>
    <t xml:space="preserve">Thu Bình
 69 kí hòa, Phường Chợ Lớn, Phường Chợ Lớn, TP Hồ Chí Minh
 0903854456
 </t>
  </si>
  <si>
    <t>S22693229.MB12-03-C18.1607381566</t>
  </si>
  <si>
    <t>SAPO129782810_603550</t>
  </si>
  <si>
    <t xml:space="preserve">Lưu thuý mười
 Khu 5b,xã tân phú,tỉnh phú thọ, Xã Tân Sơn, Xã Tân Sơn, Phú Thọ
 0973739281
 </t>
  </si>
  <si>
    <t>S22693229.BO.MN2-29-TN13.1723715755</t>
  </si>
  <si>
    <t>SAPO129782845_603550</t>
  </si>
  <si>
    <t>16:08, 29-04-2026</t>
  </si>
  <si>
    <t xml:space="preserve">Chị Phượng
 Cty Đại Xuyên, Đường An Phú 23, Kp 1B, Phường An Phú, Phường An Phú, TP Hồ Chí Minh
 0909084887
 </t>
  </si>
  <si>
    <t>S22693229.MB13-01-F12.1067214858</t>
  </si>
  <si>
    <t>SAPO129782885_603550</t>
  </si>
  <si>
    <t xml:space="preserve">Nguyễn Thị Phong
 Sn 118A đường Tân Hà, Phường Minh Xuân, Phường Minh Xuân, Tuyên Quang
 0372061482
 </t>
  </si>
  <si>
    <t>S22693229.HNP115-V107.1145722364</t>
  </si>
  <si>
    <t>SAPO129782925_603550</t>
  </si>
  <si>
    <t>19:40, 25-04-2026</t>
  </si>
  <si>
    <t xml:space="preserve">Phạm Thị Nga
 Công ty cổ phần kim khí Đông Sơn, cụm CN Đồng Đế km 27 xã Phú Nghĩa thành phố Hà Nội, Xã Phú Nghĩa, Xã Phú Nghĩa, Hà Nội
 0356874022
 </t>
  </si>
  <si>
    <t>S22693229.BO.MT19-02-B43.1239036100</t>
  </si>
  <si>
    <t>SAPO129782965_603550</t>
  </si>
  <si>
    <t>18:13, 29-04-2026</t>
  </si>
  <si>
    <t xml:space="preserve">Đỗ Thị Bích Hạnh
 Số 11 Chu Văn An Thị Trấn Lộc Thắng, Xã Bảo Lâm 1, Xã Bảo Lâm 1, Lâm Đồng
 0373990251
 </t>
  </si>
  <si>
    <t>S22693229.MB25-07-S16.1452790092</t>
  </si>
  <si>
    <t>SAPO129783011_603550</t>
  </si>
  <si>
    <t>17:27, 24-04-2026</t>
  </si>
  <si>
    <t xml:space="preserve">chị Hải
 Điền Trạch, Xã Sao Vàng, Xã Sao Vàng, Thanh Hóa
 0977168819
 </t>
  </si>
  <si>
    <t>S22693229.BO.MN3-01-W01.1137543919</t>
  </si>
  <si>
    <t>SAPO129783056_603550</t>
  </si>
  <si>
    <t>18:51, 27-04-2026</t>
  </si>
  <si>
    <t xml:space="preserve">Thuy Pham
 Chung cư Phoenic B, phường Nguyễn An Ninh, TP Vũng Tàu, Phường Tam Thắng, Phường Tam Thắng, TP Hồ Chí Minh
 0979936188
 </t>
  </si>
  <si>
    <t>S22693229.HNP139-V69.1378361689</t>
  </si>
  <si>
    <t>SAPO129788491_603550</t>
  </si>
  <si>
    <t>09:29, 23-04-2026</t>
  </si>
  <si>
    <t>16:28, 27-04-2026</t>
  </si>
  <si>
    <t xml:space="preserve">Yến
 147 mã kiều, Xã Thanh Oai, Xã Thanh Oai, Hà Nội
 0984734912
 </t>
  </si>
  <si>
    <t>S22693229.BO.MN5-01-A281.1779503809</t>
  </si>
  <si>
    <t>SAPO129788502_603550</t>
  </si>
  <si>
    <t>17:12, 28-04-2026</t>
  </si>
  <si>
    <t xml:space="preserve">Trương Thí
 711, Ql14, Phường Bình Phước, Phường Bình Phước, Đồng Nai
 0919186779
 </t>
  </si>
  <si>
    <t>S22693229.MB8-02-B9.1969598377</t>
  </si>
  <si>
    <t>SAPO129788517_603550</t>
  </si>
  <si>
    <t>14:33, 24-04-2026</t>
  </si>
  <si>
    <t xml:space="preserve">Hoàng Thị Châu Anh
 SH75-76 dự án Centa city - Đường Hữu Nghị, KCN đô thị và dịch vụ Vsip Bắc Ninh, Phường Từ Sơn, Phường Từ Sơn, Bắc Ninh
 0902110017
 </t>
  </si>
  <si>
    <t>S22693229.MB7-15-Y36.1236488387</t>
  </si>
  <si>
    <t>SAPO129788546_603550</t>
  </si>
  <si>
    <t>09:35, 24-04-2026</t>
  </si>
  <si>
    <t xml:space="preserve">lê thii thu huyền
 36 lô 9, Phường Hải An, Phường Hải An, Hải Phòng
 0983721382
 </t>
  </si>
  <si>
    <t>S22693229.MB8-02-B9.1771110134</t>
  </si>
  <si>
    <t>SAPO129788565_603550</t>
  </si>
  <si>
    <t>S22693229.HNP121-F14.1718498599</t>
  </si>
  <si>
    <t>SAPO129805956_603550</t>
  </si>
  <si>
    <t>10:04, 23-04-2026</t>
  </si>
  <si>
    <t>08:29, 25-04-2026</t>
  </si>
  <si>
    <t xml:space="preserve">Nguyễn Chuyên
 . thôn Thanh vân- xã Tiến Thắng - Tp Hà Nộ, Xã Tiến Thắng, Xã Tiến Thắng, Hà Nội
 0977939909
 </t>
  </si>
  <si>
    <t>S22693229.HNP25-F16.1867013456</t>
  </si>
  <si>
    <t>SAPO129805957_603550</t>
  </si>
  <si>
    <t xml:space="preserve">Chị  Huệ
 25T1 N05 Hoàng Đạo Thúy, Phường Thanh Xuân, Phường Thanh Xuân, Hà Nội
 0983600180
 </t>
  </si>
  <si>
    <t>S22693229.BO.MT11-06-G52.1786422488</t>
  </si>
  <si>
    <t>SAPO129805958_603550</t>
  </si>
  <si>
    <t>14:55, 28-04-2026</t>
  </si>
  <si>
    <t xml:space="preserve">Nguyễn Mỹ Dung
 Thôn Phú Hội, Xã Tuy An Đông, Xã Tuy An Đông, Đắk Lắk
 0986008197
 </t>
  </si>
  <si>
    <t>S22693229.BO.MT16-02-D77.1978581049</t>
  </si>
  <si>
    <t>SAPO129805955_603550</t>
  </si>
  <si>
    <t>13:58, 29-04-2026</t>
  </si>
  <si>
    <t xml:space="preserve">Cao Ngoc Vinh
 246/18 Phù Đổng, phường Pleiku, tỉnh Gia Lai, Phường Pleiku, Phường Pleiku, Gia Lai
 0914620475
 </t>
  </si>
  <si>
    <t>S22693229.HNP52-Y56.1908897278</t>
  </si>
  <si>
    <t>SAPO129805965_603550</t>
  </si>
  <si>
    <t>21:17, 24-04-2026</t>
  </si>
  <si>
    <t xml:space="preserve">Hoang Sim
 160 Ngõ 337 Định Công, Phường Định Công, Phường Định Công, Hà Nội
 0988362102
 </t>
  </si>
  <si>
    <t>S22693229.HNP119-E4.1176201282</t>
  </si>
  <si>
    <t>SAPO129805960_603550</t>
  </si>
  <si>
    <t xml:space="preserve">Dung Quang
 Số 24 Xóm Đông, Xã Thiên Lộc, Xã Thiên Lộc, Hà Nội
 0988448404
 </t>
  </si>
  <si>
    <t>S22693229.BO.MT14-06-D11.1864744959</t>
  </si>
  <si>
    <t>SAPO129805954_603550</t>
  </si>
  <si>
    <t xml:space="preserve">Thu Bon
 Qlộ1A  Chí Công, Xã Phan Rí Cửa, Xã Phan Rí Cửa, Lâm Đồng
 0855508777
 </t>
  </si>
  <si>
    <t>S22693229.MB26-40-A4.1917365641</t>
  </si>
  <si>
    <t>SAPO129805949_603550</t>
  </si>
  <si>
    <t>20:00, 27-04-2026</t>
  </si>
  <si>
    <t xml:space="preserve">Nguyễn Thị Hồng Thương
 103 Hồ Bá Kiện - Hẻm 1 - Nhà 8, Phường Vinh Hưng, Phường Vinh Hưng, Nghệ An
 0835365666
 </t>
  </si>
  <si>
    <t>S22693229.BO.MN8-04-P42.1420964283</t>
  </si>
  <si>
    <t>SAPO129805959_603550</t>
  </si>
  <si>
    <t>18:28, 27-04-2026</t>
  </si>
  <si>
    <t xml:space="preserve">Thuận Thảo
 Ấp An Hòa Thạnh, Xã Giao Long, Xã Giao Long, Vĩnh Long
 0399287439
 </t>
  </si>
  <si>
    <t>S22693229.MB2-03-C7.1329694477</t>
  </si>
  <si>
    <t>SAPO129805950_603550</t>
  </si>
  <si>
    <t>19:26, 25-04-2026</t>
  </si>
  <si>
    <t xml:space="preserve">Hoa Lê
 thôn đồng tâm, xã cúc phương, tỉnh ninh bình, Xã Cúc Phương, Xã Cúc Phương, Ninh Bình
 0345788572
 </t>
  </si>
  <si>
    <t>S22693229.HNP27-N57.1290564365</t>
  </si>
  <si>
    <t>SAPO129805963_603550</t>
  </si>
  <si>
    <t>16:32, 29-04-2026</t>
  </si>
  <si>
    <t xml:space="preserve">Hong Nhung
 Số Nhà 29 Ngách 66/3 Xóm Chiến Thắng Ngọc Động, Xã Bát Tràng, Xã Bát Tràng, Hà Nội
 0988625569
 </t>
  </si>
  <si>
    <t>S22693229.BO.MN18-15-C12.1333311440</t>
  </si>
  <si>
    <t>SAPO129805952_603550</t>
  </si>
  <si>
    <t>16:22, 27-04-2026</t>
  </si>
  <si>
    <t xml:space="preserve">Nữ Nguyễn
 Khóm 4, Xã Năm Căn, Xã Năm Căn, Cà Mau
 0941245328
 </t>
  </si>
  <si>
    <t>S22693229.BO.MN7-01-D03.1329617479</t>
  </si>
  <si>
    <t>SAPO129805951_603550</t>
  </si>
  <si>
    <t xml:space="preserve">Tứ Nương
 Ấp bờ xe xã thạnh Phú huyện Châu Thành tỉnh tiền Giang, Xã Long Hưng, Xã Long Hưng, Đồng Tháp
 0904339515
 </t>
  </si>
  <si>
    <t>S22693229.MB19-07-H10.1357999845</t>
  </si>
  <si>
    <t>SAPO129805997_603550</t>
  </si>
  <si>
    <t>17:15, 24-04-2026</t>
  </si>
  <si>
    <t xml:space="preserve">Quyên Đỗ
 Trường Tiểu học Giang Tiên. Xã Phú Lương, tỉnh Thái Nguyên., Xã Phú Lương, Xã Phú Lương, Thái Nguyên
 0974057167
 </t>
  </si>
  <si>
    <t>S22693229.BO.MT19-06-H07.1893638754</t>
  </si>
  <si>
    <t>SAPO129806009_603550</t>
  </si>
  <si>
    <t>10:05, 23-04-2026</t>
  </si>
  <si>
    <t xml:space="preserve">Chị Hường
 209 lý thường kiệt, Xã Di Linh, Xã Di Linh, Lâm Đồng
 0945037679
 </t>
  </si>
  <si>
    <t>S22693229.BO.MN1-08-H61.1816305098</t>
  </si>
  <si>
    <t>SAPO129806034_603550</t>
  </si>
  <si>
    <t xml:space="preserve">Quynh Nga
 So 38, võ thị sáu, Phường Trấn Biên, Phường Trấn Biên, Đồng Nai
 0907509247
 </t>
  </si>
  <si>
    <t>S22693229.MB9-04-L1.1362683605</t>
  </si>
  <si>
    <t>SAPO129806069_603550</t>
  </si>
  <si>
    <t>12:16, 24-04-2026</t>
  </si>
  <si>
    <t xml:space="preserve">Giáp Thị Diện
 Trung Tâm Giáo Dục Nghề Nghiệp Giáo Dục Thường Xuyên Huyện Lục Nam, Phố Bình Minh, Thị Trấn Đồi Ngô Huyện Lục Nam Tỉnh Bắc Giang, Xã Lục Nam, Xã Lục Nam, Bắc Ninh
 0383344783
 </t>
  </si>
  <si>
    <t>S22693229.MB22-01-A6.1531301662</t>
  </si>
  <si>
    <t>SAPO129806093_603550</t>
  </si>
  <si>
    <t xml:space="preserve">Hang Nguyen
 Phố Chu Văn An, Phường Lào Cai, Phường Lào Cai, Lào Cai
 0919723782
 </t>
  </si>
  <si>
    <t>S22693229.MB14-03-N5.1211158343</t>
  </si>
  <si>
    <t>SAPO129806105_603550</t>
  </si>
  <si>
    <t>19:32, 27-04-2026</t>
  </si>
  <si>
    <t xml:space="preserve">Dung Linh Hoàng
 Số 4 Ngõ 77 Đường Trần Phú, Phường Hà Giang 2, Phường Hà Giang 2, Tuyên Quang
 0978849151
 </t>
  </si>
  <si>
    <t>S22693229.BO.MT12-07-D62.1938810410</t>
  </si>
  <si>
    <t>SAPO129806118_603550</t>
  </si>
  <si>
    <t>14:13, 28-04-2026</t>
  </si>
  <si>
    <t xml:space="preserve">Tho Tranthituyet
 45 xóm hạ , thái thông, Phường Nam Nha Trang, Phường Nam Nha Trang, Khánh Hòa
 0905755879
 </t>
  </si>
  <si>
    <t>S22693229.HNP138-S72.1323256203</t>
  </si>
  <si>
    <t>SAPO129806138_603550</t>
  </si>
  <si>
    <t>18:20, 25-04-2026</t>
  </si>
  <si>
    <t xml:space="preserve">Hoa Vuong
 Phòng kế hoạch Công ty may bình yênVân lôi - hạ bằng - hà nooik, Xã Hạ Bằng, Xã Hạ Bằng, Hà Nội
 0962154956
 </t>
  </si>
  <si>
    <t>S22693229.BO.MT10-04-D16.1862109975</t>
  </si>
  <si>
    <t>SAPO129806156_603550</t>
  </si>
  <si>
    <t>16:47, 27-04-2026</t>
  </si>
  <si>
    <t xml:space="preserve">Maihuong Nguyenthi
 77 Lê Đình Lý  Nhơn Bình  Quy Nhơn, Phường Quy Nhơn Đông, Phường Quy Nhơn Đông, Gia Lai
 0354437999
 </t>
  </si>
  <si>
    <t>S22693229.MB19-05-S10.1566321015</t>
  </si>
  <si>
    <t>SAPO129806174_603550</t>
  </si>
  <si>
    <t>18:10, 24-04-2026</t>
  </si>
  <si>
    <t xml:space="preserve">Dang Thi Thanh Phuong
 Đông Sinh Hồng Tiến, Phường Phổ Yên, Phường Phổ Yên, Thái Nguyên
 0973138735
 </t>
  </si>
  <si>
    <t>S22693229.MB14-03-N14.1336217997</t>
  </si>
  <si>
    <t>SAPO129806181_603550</t>
  </si>
  <si>
    <t>19:37, 25-04-2026</t>
  </si>
  <si>
    <t xml:space="preserve">Châm Phạm Huyền
 07 Ngõ 29 Lê Hoàn Tổ Dân Phố 2, Phường Hà Giang 1, Phường Hà Giang 1, Tuyên Quang
 0949196122
 </t>
  </si>
  <si>
    <t>S22693229.BO.MN5-08-Q51.1024612251</t>
  </si>
  <si>
    <t>SAPO129806215_603550</t>
  </si>
  <si>
    <t>16:33, 28-04-2026</t>
  </si>
  <si>
    <t xml:space="preserve">Giang My
 Khu Phố Thanh Xuân, Xã Thiện Hưng, Xã Thiện Hưng, Đồng Nai
 0366864799
 </t>
  </si>
  <si>
    <t>S22693229.MB25-30-R2.1636520444</t>
  </si>
  <si>
    <t>SAPO129806234_603550</t>
  </si>
  <si>
    <t xml:space="preserve">Ha Linh Mai
 26B KTT xi măng Nghi Sơn, Phường Nghi Sơn, Phường Nghi Sơn, Thanh Hóa
 0948579926
 </t>
  </si>
  <si>
    <t>S22693229.MB1-04-D9.1573543916</t>
  </si>
  <si>
    <t>ĐƠN ĐỔI CHẢO MÃ ĐƠN ESO2810541</t>
  </si>
  <si>
    <t>10:51, 23-04-2026</t>
  </si>
  <si>
    <t>14:07, 28-04-2026</t>
  </si>
  <si>
    <t xml:space="preserve">Ngoan Lai
 thử hòa, Xã Thanh Tân, Huyện Thanh Liêm, Hà Nam, Xã Thanh Lâm, Xã Thanh Lâm, Ninh Bình
 0382976217
 </t>
  </si>
  <si>
    <t>S22693229.BO.MT17-18-I04.1876934834</t>
  </si>
  <si>
    <t>bù hàng đơn 26041739H1SUSX</t>
  </si>
  <si>
    <t>11:06, 23-04-2026</t>
  </si>
  <si>
    <t>18:53, 27-04-2026</t>
  </si>
  <si>
    <t xml:space="preserve">Dương Thị Thu Hà
 140 Đường Giải Phóng, Xã Krong Pắc, Tỉnh Dăk Lăk, Xã Krông Pắc, Xã Krông Pắc, Đắk Lắk
 0935832626
 </t>
  </si>
  <si>
    <t>S22693229.MB9-07-U4.1181253394</t>
  </si>
  <si>
    <t>bù hàng đơn 260421D3T4SFBT</t>
  </si>
  <si>
    <t xml:space="preserve">Nguyễn Tuyết
 Nhà hoa viễn đường đi ra đê Thôn Nam Sơn, Xã Đồng Việt, Tỉnh Bắc Ninh, Xã Đồng Việt, Xã Đồng Việt, Bắc Ninh
 0921996226
 </t>
  </si>
  <si>
    <t>S22693229.BO.MN13-14-X11.1679074469</t>
  </si>
  <si>
    <t>bù hàng đơn 260410F5RYMAA5</t>
  </si>
  <si>
    <t>15:17, 28-04-2026</t>
  </si>
  <si>
    <t xml:space="preserve">Thuỳ Dương
 495, Tổ 19, Ấp Trung Châu, Xã Mỹ Hiệp, Huyện Chợ Mới, Tỉnh An Giang, Xã Cù Lao Giêng, Xã Cù Lao Giêng, An Giang
 0862302462
 </t>
  </si>
  <si>
    <t>S22693229.MB8-04-D24.1264740178</t>
  </si>
  <si>
    <t>bù hàng đơn 260420A7Y574HF</t>
  </si>
  <si>
    <t>20:58, 24-04-2026</t>
  </si>
  <si>
    <t xml:space="preserve">Nguyễn Thị Ngọc
 Từ Phong, Cách Bi, Quế Võ, Bắc Ninh, Phường Bồng Lai, Phường Bồng Lai, Bắc Ninh
 0977098698
 </t>
  </si>
  <si>
    <t>S22693229.BO.DN7-M8.1323866220</t>
  </si>
  <si>
    <t>bù hàng đơn 260420AKW5ET5M</t>
  </si>
  <si>
    <t>17:50, 27-04-2026</t>
  </si>
  <si>
    <t xml:space="preserve">A Duy
 C414 FPT Plaza 1, đường Hoàng Minh Thắng, phường Hòa Hải, Quận Ngũ Hành Sơn, Đà Nẵng, Phường Ngũ Hành Sơn, Phường Ngũ Hành Sơn, Đà Nẵng
 0975599205
 </t>
  </si>
  <si>
    <t>S22693229.BO.MT6-12-M46.1105644367</t>
  </si>
  <si>
    <t>bù hàng đơn 260415UCBJDYME</t>
  </si>
  <si>
    <t xml:space="preserve">Nguyễn Thị Thùy Dương
 Đại học Luật Huế,phường An Cựu, thành phố Huế, Phường An Cựu, Phường An Cựu, Thành phố Huế
 0972112035
 </t>
  </si>
  <si>
    <t>S22693229.BO.SGP37-K27.1089272500</t>
  </si>
  <si>
    <t>bù hàng đơn 2604186GT49RPA</t>
  </si>
  <si>
    <t>17:30, 27-04-2026</t>
  </si>
  <si>
    <t xml:space="preserve">Nguyễn Hồng Lương
 320/28 Trường Chinh, P.Đông Hưng Thuận, Hồ Chí Minh, Phường Đông Hưng Thuận, Phường Đông Hưng Thuận, TP Hồ Chí Minh
 0938111656
 </t>
  </si>
  <si>
    <t>S22693229.HNP55-D13.1317816857</t>
  </si>
  <si>
    <t>đổi hàng đơn 2604209AMCFX6W</t>
  </si>
  <si>
    <t>16:44, 25-04-2026</t>
  </si>
  <si>
    <t xml:space="preserve">Đàm Kiều Trang
 Số 26, Đường Cầu Noi, Phường Đông Ngạc, Thành phố Hà Nội, Phường Đông Ngạc, Phường Đông Ngạc, Hà Nội
 0942015698
 </t>
  </si>
  <si>
    <t>S22693229.MB8-04-D10.1740355664</t>
  </si>
  <si>
    <t>đổi hàng đơn 260420A611T9YK</t>
  </si>
  <si>
    <t>13:28, 25-04-2026</t>
  </si>
  <si>
    <t xml:space="preserve">Vân anh
 Cty jangwwon tech vina, phương liễu, bắc ninh, Phường Phương Liễu, Phường Phương Liễu, Bắc Ninh
 0399738508
 </t>
  </si>
  <si>
    <t>S22693229.MB7-04-E7.1487415258</t>
  </si>
  <si>
    <t>đổi hàng đơn 260415V4S7B45D</t>
  </si>
  <si>
    <t xml:space="preserve">thảo
 tiên đôi nội, đoàn lập, tân minh, hải phòng, Xã Tân Minh, Xã Tân Minh, Hải Phòng
 0967173060
 </t>
  </si>
  <si>
    <t>S22693229.MB7-14-TP26.1862072598</t>
  </si>
  <si>
    <t>đổi hàng đơn 2604089PAXA0Y3</t>
  </si>
  <si>
    <t>18:06, 28-04-2026</t>
  </si>
  <si>
    <t xml:space="preserve">Nguyễn Đức Nhật
 Tòa nhà Hàng Hải Liên Minh, Số 802 Lê Hồng Phong, Phường Thành Tô, Quận Hải An, Thành phố Hải Phòng., Phường Hải An, Phường Hải An, Hải Phòng
 0915348941
 </t>
  </si>
  <si>
    <t>S22693229.HNP98-E8.1406734695</t>
  </si>
  <si>
    <t>đổi hàng đơn 260420BEUVCDCJ</t>
  </si>
  <si>
    <t>11:07, 23-04-2026</t>
  </si>
  <si>
    <t xml:space="preserve">Khách
 Ngõ 243, Tổ 8, Ngọc Thụy, Long Biên, Hà Nội, Phường Bồ Đề, Phường Bồ Đề, Hà Nội
 0987805484
 </t>
  </si>
  <si>
    <t>S22693229.BO.MT5-03-C6.1356007576</t>
  </si>
  <si>
    <t>đổi hàng đơn 2604077R5DU2F1</t>
  </si>
  <si>
    <t>14:45, 27-04-2026</t>
  </si>
  <si>
    <t xml:space="preserve">Khách
 Thôn bắc phước, Xã nam, cửa việt, Tỉnh quảng trị, Xã Nam Cửa Việt, Xã Nam Cửa Việt, Quảng Trị
 0828310345
 </t>
  </si>
  <si>
    <t>S22693229.BO.HNP47-B173.1354674177</t>
  </si>
  <si>
    <t>đổi hàng đơn 260413P1T2QVYV</t>
  </si>
  <si>
    <t>13:57, 29-04-2026</t>
  </si>
  <si>
    <t xml:space="preserve">Khách
 18 ngõ 42, Phố thành công, Ba đình, Hà Nội, Đường Thành Công, Phường Giảng Võ, Phường Giảng Võ, Hà Nội
 0974124292
 </t>
  </si>
  <si>
    <t>S22693229.MB20-01-A4.1599412500</t>
  </si>
  <si>
    <t>đổi hàng đơn 260404079M1DE4</t>
  </si>
  <si>
    <t xml:space="preserve">Trần Thị Thu Hường
 Tổ 13, phường Bắc Kạn, tỉnh Thái Nguyên, Phường Bắc Kạn, Phường Bắc Kạn, Thái Nguyên
 0985669985
 </t>
  </si>
  <si>
    <t>S22693229.HNP141-T38.1673288506</t>
  </si>
  <si>
    <t>đổi hàng đơn 260415U0XJQCT6</t>
  </si>
  <si>
    <t>16:47, 25-04-2026</t>
  </si>
  <si>
    <t xml:space="preserve">Vinh
 cụm 2 duyên trường, xã Hồng Vân, thành phố Hà Nội, Xã Hồng Vân, Xã Hồng Vân, Hà Nội
 0945676238
 </t>
  </si>
  <si>
    <t>S22693229.MN2-32-F32.1502655450</t>
  </si>
  <si>
    <t>SAPO129874618_603550</t>
  </si>
  <si>
    <t>13:12, 23-04-2026</t>
  </si>
  <si>
    <t xml:space="preserve">Lê Mỹ Đơn
 573 Nguyễn Văn Thành (phòng khám Đa khoa Bảo Minh), Phường Hòa Lợi, Phường Hòa Lợi, TP Hồ Chí Minh
 0976254427
 </t>
  </si>
  <si>
    <t>S22693229.BO.MT17-01-S02.1380670018</t>
  </si>
  <si>
    <t>SAPO129874617_603550</t>
  </si>
  <si>
    <t>14:14, 25-04-2026</t>
  </si>
  <si>
    <t xml:space="preserve">Thái Vĩnh
 152 Y Jut, Phường Buôn Ma Thuột, Phường Buôn Ma Thuột, Đắk Lắk
 0901915799
 </t>
  </si>
  <si>
    <t>S22693229.MN14-01-A90.1424943976</t>
  </si>
  <si>
    <t>SAPO129874615_603550</t>
  </si>
  <si>
    <t>13:46, 25-04-2026</t>
  </si>
  <si>
    <t xml:space="preserve">Hiền
 261 cmt8, Phường Rạch Giá, Phường Rạch Giá, An Giang
 0978411077
 </t>
  </si>
  <si>
    <t>S22693229.SG13-06-C46.1760604732</t>
  </si>
  <si>
    <t>SAPO129874619_603550</t>
  </si>
  <si>
    <t>16:16, 25-04-2026</t>
  </si>
  <si>
    <t xml:space="preserve">Ngô thị oanh
 381/10 đường 151 bình mỹ, Xã Bình Mỹ, Xã Bình Mỹ, TP Hồ Chí Minh
 0984812187
 </t>
  </si>
  <si>
    <t>S22693229.MB17-01-D10.1970235292</t>
  </si>
  <si>
    <t>SAPO129877943_603550</t>
  </si>
  <si>
    <t>13:16, 23-04-2026</t>
  </si>
  <si>
    <t>18:17, 27-04-2026</t>
  </si>
  <si>
    <t xml:space="preserve">Vi nguyên
 Cấp 3, Xã Đồng Đăng, Xã Đồng Đăng, Lạng Sơn
 0963689568
 </t>
  </si>
  <si>
    <t>S22693229.BO.SGP24-V81.1334854446</t>
  </si>
  <si>
    <t>SAPO129877936_603550</t>
  </si>
  <si>
    <t>12:14, 27-04-2026</t>
  </si>
  <si>
    <t xml:space="preserve">Trần Ngọc Khánh
 Số 34 Đường 12, phường Trường Thọ, thành phố Thủ Đức, TP. HCM, Phường Thủ Đức, Phường Thủ Đức, TP Hồ Chí Minh
 0933412334
 </t>
  </si>
  <si>
    <t>S22693229.MB10-09-Z9.1580461814</t>
  </si>
  <si>
    <t>SAPO129877953_603550</t>
  </si>
  <si>
    <t>21:39, 24-04-2026</t>
  </si>
  <si>
    <t xml:space="preserve">Nguyễn Vân
 Núi Đanh Tiền An Quảng Yên Quảng Ninh, Phường Quảng Yên, Phường Quảng Yên, Quảng Ninh
 0973955666
 </t>
  </si>
  <si>
    <t>S22693229.BO.MN2-05-E101.1342589290</t>
  </si>
  <si>
    <t>SAPO129877937_603550</t>
  </si>
  <si>
    <t>23:39, 27-04-2026</t>
  </si>
  <si>
    <t xml:space="preserve">Nguyễn Lan
 133/1 đường cây Da, Tân Bình, Dĩ An, Bình Dương, Phường Tân Đông Hiệp, Phường Tân Đông Hiệp, TP Hồ Chí Minh
 0333501325
 </t>
  </si>
  <si>
    <t>S22693229.BO.SGP54-X95.1143354610</t>
  </si>
  <si>
    <t>SAPO129877962_603550</t>
  </si>
  <si>
    <t>18:52, 27-04-2026</t>
  </si>
  <si>
    <t xml:space="preserve">Nguyen Pham Hung
 28 Phạm Đăng Giảng, Phường Bình Hưng Hòa, Phường Bình Hưng Hòa, TP Hồ Chí Minh
 0918178639
 </t>
  </si>
  <si>
    <t>S22693229.HNP75-D33.1001350255</t>
  </si>
  <si>
    <t>SAPO129877952_603550</t>
  </si>
  <si>
    <t xml:space="preserve">Nguyễn Quang Hưng
 160 - Phú Diễn, Phường Phú Diễn, Phường Phú Diễn, Hà Nội
 0936968588
 </t>
  </si>
  <si>
    <t>S22693229.MB25-07-W6.1774839576</t>
  </si>
  <si>
    <t>SAPO129877944_603550</t>
  </si>
  <si>
    <t>13:59, 24-04-2026</t>
  </si>
  <si>
    <t xml:space="preserve">Lê hà
 Thôn 3 xã phú xuân thanh hóa, Xã Phú Xuân, Xã Phú Xuân, Thanh Hóa
 0988034635
 </t>
  </si>
  <si>
    <t>S22693229.MB10-09-Z9.1601235684</t>
  </si>
  <si>
    <t>SAPO129877947_603550</t>
  </si>
  <si>
    <t>20:01, 27-04-2026</t>
  </si>
  <si>
    <t xml:space="preserve">Nguyên Vân
 Núi Đanh Tiền An Quảng Yên Quảng Ninh, Phường Quảng Yên, Phường Quảng Yên, Quảng Ninh
 0973955666
 </t>
  </si>
  <si>
    <t>S22693229.BO.SGP101-I99.1577288676</t>
  </si>
  <si>
    <t>SAPO129877948_603550</t>
  </si>
  <si>
    <t>12:19, 28-04-2026</t>
  </si>
  <si>
    <t xml:space="preserve">Hương
 81 đường 2 KDC Phú Mỹ , Hoàng Quốc Việt, Phường Tân Mỹ, Phường Tân Mỹ, TP Hồ Chí Minh
 0383425077
 </t>
  </si>
  <si>
    <t>S22693229.HNP39-C4.1250528654</t>
  </si>
  <si>
    <t>SAPO129877965_603550</t>
  </si>
  <si>
    <t xml:space="preserve">Tạ Thị Phương Thảo
 Tạ Thị Phương Thảo 989188465 số 15km 15 Đại lộ Thăng Long - Quyết Tiến ( Gần cửa hàng Chim cảnh) - xã Vân Côn - Hoài Đức - Hà Nội, Xã An Khánh, Xã An Khánh, Hà Nội
 0989188465
 </t>
  </si>
  <si>
    <t>S22693229.MB2-10-L37.1948765463</t>
  </si>
  <si>
    <t>SAPO129877938_603550</t>
  </si>
  <si>
    <t xml:space="preserve">Nguyễn Thị Thanh Nhàn
 78 Lý Thái Tổ, Phường Hoa Lư, Phường Hoa Lư, Ninh Bình
 0916430366
 </t>
  </si>
  <si>
    <t>S22693229.MB6-07-H2.1516887177</t>
  </si>
  <si>
    <t>SAPO129877960_603550</t>
  </si>
  <si>
    <t xml:space="preserve">Dung
 Xóm 6, Xã Hà Bắc, Xã Hà Bắc, Hải Phòng
 0908026866
 </t>
  </si>
  <si>
    <t>S22693229.MB1-03-C6.1190974544</t>
  </si>
  <si>
    <t>SAPO129877963_603550</t>
  </si>
  <si>
    <t xml:space="preserve">huệ
 cty gentherm việt nam, kcn đồng văn 2, duy tiên, hà nam, Phường Đồng Văn, Phường Đồng Văn, Ninh Bình
 0935217268
 </t>
  </si>
  <si>
    <t>S22693229.BO.MN3-06-D40.1273899794</t>
  </si>
  <si>
    <t>SAPO129877935_603550</t>
  </si>
  <si>
    <t xml:space="preserve">Trần thị ngọc diệp
 Tổ 3. Ấp nghi lộc, Xã Bình Giã, Xã Bình Giã, TP Hồ Chí Minh
 0377148444
 </t>
  </si>
  <si>
    <t>S22693229.BO.MT14-07-M21.1775662180</t>
  </si>
  <si>
    <t>SAPO129877940_603550</t>
  </si>
  <si>
    <t>17:33, 27-04-2026</t>
  </si>
  <si>
    <t xml:space="preserve">Võ Thị Nhã
 8/11 đường Lê Văn Triều, Xã Tánh Linh, Xã Tánh Linh, Lâm Đồng
 0979310540
 </t>
  </si>
  <si>
    <t>S22693229.MB26-15-L16.1753281176</t>
  </si>
  <si>
    <t>SAPO129877966_603550</t>
  </si>
  <si>
    <t>12:53, 27-04-2026</t>
  </si>
  <si>
    <t xml:space="preserve">Lê Thị Hải Yến
 Đường số 16 Bắc Kim Hoà, Xã Trung Lộc, Xã Trung Lộc, Nghệ An
 0912986348
 </t>
  </si>
  <si>
    <t>S22693229.BO.SGP27-Q87.1822280557</t>
  </si>
  <si>
    <t>SAPO129877949_603550</t>
  </si>
  <si>
    <t xml:space="preserve">Phạm Quỳnh Châu
 163E/19 Đường 11, Phường Linh Xuân, Phường Linh Xuân, TP Hồ Chí Minh
 0932132470
 </t>
  </si>
  <si>
    <t>S22693229.HNP119-E7.1272756963</t>
  </si>
  <si>
    <t>SAPO129877951_603550</t>
  </si>
  <si>
    <t xml:space="preserve">Vũ Thị Thu Hiền
 Nhà hàng Thuần Việt, đội 7, thôn Bầu, Kim Chung, Xã Thiên Lộc, Xã Thiên Lộc, Hà Nội
 0936288106
 </t>
  </si>
  <si>
    <t>S22693229.MB7-15-Y36.1415802763</t>
  </si>
  <si>
    <t>SAPO129877961_603550</t>
  </si>
  <si>
    <t>17:53, 24-04-2026</t>
  </si>
  <si>
    <t xml:space="preserve">vũ thị hương
 số 73 tái định cư đằng hải -vườn hồng -hải an-hải phòng, Phường Hải An, Phường Hải An, Hải Phòng
 0988779127
 </t>
  </si>
  <si>
    <t>S22693229.HNP78-B54.1277804215</t>
  </si>
  <si>
    <t>SAPO129877959_603550</t>
  </si>
  <si>
    <t xml:space="preserve">Đoàn Minh Yến
 Toà Ct1A, chung cư Hateco Apollo Xuân Phương, Phường Xuân Phương, Phường Xuân Phương, Hà Nội
 0982662290
 </t>
  </si>
  <si>
    <t>S22693229.BO.MT12-07-D62.1386059037</t>
  </si>
  <si>
    <t>SAPO129877939_603550</t>
  </si>
  <si>
    <t>13:27, 29-04-2026</t>
  </si>
  <si>
    <t xml:space="preserve">Lê Thị Hồng Sa
 72LK 75 đường 67, KĐT Mỹ Gia an Khánh,, Phường Nam Nha Trang, Phường Nam Nha Trang, Khánh Hòa
 0935338279
 </t>
  </si>
  <si>
    <t>S22693229.MB5-05-E9.1616366436</t>
  </si>
  <si>
    <t>SAPO129877945_603550</t>
  </si>
  <si>
    <t>21:36, 25-04-2026</t>
  </si>
  <si>
    <t xml:space="preserve">Chu Kim Dung
 Căn hộ 2808A, Toà R2, Khu Swanlake Residences, Ecopark, Xã Phụng Công, Xã Phụng Công, Hưng Yên
 0985247765
 </t>
  </si>
  <si>
    <t>S22693229.HNP118-A6.1563456001</t>
  </si>
  <si>
    <t>SAPO129878024_603550</t>
  </si>
  <si>
    <t xml:space="preserve">Phạm Thị Hồng Diên
 Sn 19, tổ 8, Thị Trấn Đông Anh( nay là Xã Thư Lâm), Hà Nội, Xã Thư Lâm, Xã Thư Lâm, Hà Nội
 0368875482
 </t>
  </si>
  <si>
    <t>S22693229.MB12-06-F11.1149425910</t>
  </si>
  <si>
    <t>SAPO129878066_603550</t>
  </si>
  <si>
    <t>16:55, 24-04-2026</t>
  </si>
  <si>
    <t xml:space="preserve">Hồng ngọc
 Tập thể huyện uỷ đoan hùng, Xã Đoan Hùng, Xã Đoan Hùng, Phú Thọ
 0942328592
 </t>
  </si>
  <si>
    <t>S22693229.BO.MN1-11-O42.1239574407</t>
  </si>
  <si>
    <t>SAPO129878092_603550</t>
  </si>
  <si>
    <t xml:space="preserve">Văn Bình
 1556/E Phú Tân, Xã Thống Nhất, Xã Thống Nhất, Đồng Nai
 0906639169
 </t>
  </si>
  <si>
    <t>S22693229.MB6-06-G1.1873840889</t>
  </si>
  <si>
    <t>SAPO129878124_603550</t>
  </si>
  <si>
    <t>17:35, 24-04-2026</t>
  </si>
  <si>
    <t xml:space="preserve">Nguyễn Thanh Vân
 Linh khê, Xã Trần Phú, Xã Trần Phú, Hải Phòng
 0936290089
 </t>
  </si>
  <si>
    <t>S22693229.MB1-06-F5.1824862386</t>
  </si>
  <si>
    <t>SAPO129878151_603550</t>
  </si>
  <si>
    <t xml:space="preserve">ÔNG HÀ HIỀN
 Xóm 7 Thôn Trung Hòa, Phường Tam Chúc, Phường Tam Chúc, Ninh Bình
 0982072959
 </t>
  </si>
  <si>
    <t>S22693229.BO.MN10-09-T41.1401204043</t>
  </si>
  <si>
    <t>SAPO129878222_603550</t>
  </si>
  <si>
    <t>13:17, 23-04-2026</t>
  </si>
  <si>
    <t>14:51, 29-04-2026</t>
  </si>
  <si>
    <t xml:space="preserve">Huỳnh Thị Huệ
 Khóm 2, Xã Tiểu Cần, Xã Tiểu Cần, Vĩnh Long
 0862091520
 </t>
  </si>
  <si>
    <t>S22693229.BO.SGP35-K02.1153599756</t>
  </si>
  <si>
    <t>SAPO129878241_603550</t>
  </si>
  <si>
    <t>16:15, 27-04-2026</t>
  </si>
  <si>
    <t xml:space="preserve">Thúy
 145/55 huỳnh thị hai, Phường Trung Mỹ Tây, Phường Trung Mỹ Tây, TP Hồ Chí Minh
 0933350546
 </t>
  </si>
  <si>
    <t>S22693229.BO.MT9-01-A5.1267226185</t>
  </si>
  <si>
    <t>SAPO129878279_603550</t>
  </si>
  <si>
    <t>17:48, 28-04-2026</t>
  </si>
  <si>
    <t xml:space="preserve">Chung
 Số nhà 10 đường Trương Quyền (Lô 34 đường số 1 Nguyễn Khuyến), tp Quảng Ngãi, Phường Nghĩa Lộ, Phường Nghĩa Lộ, Quảng Ngãi
 0978676226
 </t>
  </si>
  <si>
    <t>S22693229.BO.DN17-I2.1214821723</t>
  </si>
  <si>
    <t>SAPO129878298_603550</t>
  </si>
  <si>
    <t>13:56, 28-04-2026</t>
  </si>
  <si>
    <t xml:space="preserve">Chi Bui
 150 Duy Tân, Phường Hòa Cường, Phường Hòa Cường, Đà Nẵng
 0905155114
 </t>
  </si>
  <si>
    <t>S22693229.HNP99-Q35.1882275370</t>
  </si>
  <si>
    <t>SAPO129878315_603550</t>
  </si>
  <si>
    <t>17:21, 27-04-2026</t>
  </si>
  <si>
    <t xml:space="preserve">Nguyễn Vân Ang
 Ngõ 216 đường Cổ Linh trường TH ĐOÀN KẾT, Phường Long Biên, Phường Long Biên, Hà Nội
 0983971158
 </t>
  </si>
  <si>
    <t>S22693229.BO.SGP27-Q77.1718150401</t>
  </si>
  <si>
    <t>SAPO129878349_603550</t>
  </si>
  <si>
    <t>17:25, 27-04-2026</t>
  </si>
  <si>
    <t xml:space="preserve">Ta Ha
 116/24A đường 17, Phường Linh Xuân, Phường Linh Xuân, TP Hồ Chí Minh
 0938714079
 </t>
  </si>
  <si>
    <t>S22693229.MB15-08-H3.1531223745</t>
  </si>
  <si>
    <t>SAPO129878384_603550</t>
  </si>
  <si>
    <t>19:40, 27-04-2026</t>
  </si>
  <si>
    <t xml:space="preserve">Bùi văn lực
 Xóm trang,thượng, lạc sơn,Hòa Bình, Xã Thượng Cốc, Xã Thượng Cốc, Phú Thọ
 0988375864
 </t>
  </si>
  <si>
    <t>S22693229.BO.MN3-01-A09.1833634263</t>
  </si>
  <si>
    <t>SAPO129878403_603550</t>
  </si>
  <si>
    <t>14:46, 28-04-2026</t>
  </si>
  <si>
    <t xml:space="preserve">Lê phương nam
 171 hoàng hoa thám, Phường Vũng Tàu, Phường Vũng Tàu, TP Hồ Chí Minh
 0977019899
 </t>
  </si>
  <si>
    <t>S22693229.MB3-01-A12.1584765471</t>
  </si>
  <si>
    <t>SAPO129878427_603550</t>
  </si>
  <si>
    <t>15:45, 24-04-2026</t>
  </si>
  <si>
    <t xml:space="preserve">Kim Cúc Trần Thị
 170 đường giải phóng, phường cửa bắc , Tp Nam định , tỉnh nam định, Phường Nam Định, Phường Nam Định, Ninh Bình
 0378037968
 </t>
  </si>
  <si>
    <t>S22693229.MB25-34-T08.1845297244</t>
  </si>
  <si>
    <t>SAPO129878484_603550</t>
  </si>
  <si>
    <t>14:13, 24-04-2026</t>
  </si>
  <si>
    <t xml:space="preserve">Nguyễn Thị Ngọc Trinh
 118 Đông Quang, phường Hàm Rồng, Thanh Hóa, Phường Hàm Rồng, Phường Hàm Rồng, Thanh Hóa
 0946533683
 </t>
  </si>
  <si>
    <t>S22693229.BO.SGP59-P80.1664608600</t>
  </si>
  <si>
    <t>SAPO129878504_603550</t>
  </si>
  <si>
    <t>16:45, 27-04-2026</t>
  </si>
  <si>
    <t xml:space="preserve">Hanh Cot
 Block C, CC Moonlight Boulevard, 510 Kinh Dương Vương, Phường An Lạc, Phường An Lạc, TP Hồ Chí Minh
 0398038313
 </t>
  </si>
  <si>
    <t>S22693229.MB11-05-H12.1922237207</t>
  </si>
  <si>
    <t>SAPO129878528_603550</t>
  </si>
  <si>
    <t xml:space="preserve">Phan Đức Mạnh
 Ngân hàng Nam Á, đường Nguyễn Tất Thành, Liên Bảo, Vĩnh Yên, Vĩnh Phúc, Phường Vĩnh Phúc, Phường Vĩnh Phúc, Phú Thọ
 0973637684
 </t>
  </si>
  <si>
    <t>S22693229.HNP146-G88.1797422250</t>
  </si>
  <si>
    <t>SAPO129878585_603550</t>
  </si>
  <si>
    <t>13:04, 24-04-2026</t>
  </si>
  <si>
    <t xml:space="preserve">Hằng Vũ
 Số 11 ngõ 357 phố Bạch Mai, phường Bạch Mai, Quận Hai Bà Trưng, Phường Bạch Mai, Phường Bạch Mai, Hà Nội
 0846658208
 </t>
  </si>
  <si>
    <t>S22693229.HNP39-C17.1782104729</t>
  </si>
  <si>
    <t>SAPO129878612_603550</t>
  </si>
  <si>
    <t>17:53, 27-04-2026</t>
  </si>
  <si>
    <t xml:space="preserve">Phạm Thị Trang
 toà i1, vinhomes smart city, tây mỗ, Phường Tây Mỗ, Phường Tây Mỗ, Hà Nội
 0963542489
 </t>
  </si>
  <si>
    <t>S22693229.BO.MN3-05-H21.1667735203</t>
  </si>
  <si>
    <t>SAPO129878657_603550</t>
  </si>
  <si>
    <t>12:00, 29-04-2026</t>
  </si>
  <si>
    <t xml:space="preserve">Nguyễn nương
 524/2b đường 30 tháng 4, Phường Rạch Dừa, Phường Rạch Dừa, TP Hồ Chí Minh
 0931204578
 </t>
  </si>
  <si>
    <t>S22693229.HNP129-S42.1218584787</t>
  </si>
  <si>
    <t>SAPO129878680_603550</t>
  </si>
  <si>
    <t>17:40, 24-04-2026</t>
  </si>
  <si>
    <t xml:space="preserve">Ngọc Ánh
 Thôn Cẩm Đình, Xã Phúc Lộc, Xã Phúc Lộc, Xã Phúc Lộc, Hà Nội
 0982041284
 </t>
  </si>
  <si>
    <t>S22693229.HNP23-A86.1013358560</t>
  </si>
  <si>
    <t>SAPO129878703_603550</t>
  </si>
  <si>
    <t>17:55, 25-04-2026</t>
  </si>
  <si>
    <t xml:space="preserve">Hương nguyễn
 39/2/371 kim mã, Phường Ba Đình, Phường Ba Đình, Hà Nội
 0988571616
 </t>
  </si>
  <si>
    <t>S22693229.HNP119-E7.1591872222</t>
  </si>
  <si>
    <t>SAPO129878734_603550</t>
  </si>
  <si>
    <t>18:13, 24-04-2026</t>
  </si>
  <si>
    <t xml:space="preserve">Thiên Ngọc
 Công ty Hanoi steel center , kcn bắc thăng long, võng la , đông anh. Hà nội, Xã Thiên Lộc, Xã Thiên Lộc, Hà Nội
 0945709325
 </t>
  </si>
  <si>
    <t>S22693229.MB20-01-H8.1002904019</t>
  </si>
  <si>
    <t>SAPO129878761_603550</t>
  </si>
  <si>
    <t>21:23, 27-04-2026</t>
  </si>
  <si>
    <t xml:space="preserve">Hoàng Toản
 Tiểu khu 1, Xã Nà Phặc, Xã Nà Phặc, Thái Nguyên
 0976808538
 </t>
  </si>
  <si>
    <t>S22693229.BO.MT13-06-D51.1440235711</t>
  </si>
  <si>
    <t>SAPO129878789_603550</t>
  </si>
  <si>
    <t>20:23, 27-04-2026</t>
  </si>
  <si>
    <t xml:space="preserve">Lê Giầu
 17/19 thống nhất, Phường Phan Rang, Phường Phan Rang, Khánh Hòa
 0969103799
 </t>
  </si>
  <si>
    <t>S22693229.BO.SGP66-W25.1513685578</t>
  </si>
  <si>
    <t>SAPO129878818_603550</t>
  </si>
  <si>
    <t>18:27, 28-04-2026</t>
  </si>
  <si>
    <t xml:space="preserve">Phan thị chín
 95 Lê cao lãng, Phường Phú Thạnh, Phường Phú Thạnh, TP Hồ Chí Minh
 0907232580
 </t>
  </si>
  <si>
    <t>S22693229.BO.SGP27-Q80.1668755389</t>
  </si>
  <si>
    <t>SAPO129878831_603550</t>
  </si>
  <si>
    <t>13:18, 23-04-2026</t>
  </si>
  <si>
    <t xml:space="preserve">VU THI HANH
 So 6 Duong D3, KP1, Linh Tay, Thu Duc, Phường Linh Xuân, Phường Linh Xuân, TP Hồ Chí Minh
 0918762779
 </t>
  </si>
  <si>
    <t>S22693229.BO.SGP34-K58.1085681677</t>
  </si>
  <si>
    <t>SAPO129878848_603550</t>
  </si>
  <si>
    <t>18:37, 27-04-2026</t>
  </si>
  <si>
    <t xml:space="preserve">Nguyễn Thị Anh Đào
 43/46/17/38 vườn lài, Phường An Phú Đông, Phường An Phú Đông, TP Hồ Chí Minh
 0902699659
 </t>
  </si>
  <si>
    <t>S22693229.MB25-34-T07.1053456226</t>
  </si>
  <si>
    <t>SAPO129878864_603550</t>
  </si>
  <si>
    <t xml:space="preserve">Trần thị lâm
 Kiều Tiến- Hoằng Đại- Thanh Hóa, Phường Nguyệt Viên, Phường Nguyệt Viên, Thanh Hóa
 0362548388
 </t>
  </si>
  <si>
    <t>S22693229.BO.SGP66-W25.1599045832</t>
  </si>
  <si>
    <t>SAPO129878887_603550</t>
  </si>
  <si>
    <t>13:43, 27-04-2026</t>
  </si>
  <si>
    <t xml:space="preserve">Tuyên
 26 bình long, Phường Phú Thạnh, Phường Phú Thạnh, TP Hồ Chí Minh
 0962920056
 </t>
  </si>
  <si>
    <t>S22693229.BO.SGP113-X70.1404617643</t>
  </si>
  <si>
    <t>SAPO129878916_603550</t>
  </si>
  <si>
    <t>12:35, 27-04-2026</t>
  </si>
  <si>
    <t xml:space="preserve">Kim
 85/17 Bùi Minh Trực, Phường Bình Đông, Phường Bình Đông, TP Hồ Chí Minh
 0906402809
 </t>
  </si>
  <si>
    <t>S22693229.BO.MT4-01-A13.1413893331</t>
  </si>
  <si>
    <t>SAPO129878954_603550</t>
  </si>
  <si>
    <t xml:space="preserve">Phan Thị Thu Thảo
 Tổ 1, tổ dân phố 10 Phường Đồng Sơn TP Đồng Hới, tỉnh Quảng Bình, Phường Đồng Sơn, Phường Đồng Sơn, Quảng Trị
 0825785181
 </t>
  </si>
  <si>
    <t>S22693229.BO.MT16-08-H12.1322041309</t>
  </si>
  <si>
    <t>SAPO129879017_603550</t>
  </si>
  <si>
    <t xml:space="preserve">Tố Loan
 82 Quang Trung, Xã Ia Grai, Xã Ia Grai, Gia Lai
 0765139311
 </t>
  </si>
  <si>
    <t>S22693229.BO.DN10-G34.1339827291</t>
  </si>
  <si>
    <t>SAPO129879061_603550</t>
  </si>
  <si>
    <t>14:29, 25-04-2026</t>
  </si>
  <si>
    <t xml:space="preserve">Xuân Hoà
 148/53B Lý Tự Trọng, Phường Hải Châu, Phường Hải Châu, Đà Nẵng
 0935251182
 </t>
  </si>
  <si>
    <t>S22693229.MB3-05-F4.1667678973</t>
  </si>
  <si>
    <t>SAPO129879092_603550</t>
  </si>
  <si>
    <t xml:space="preserve">Nguyễn Loan
 Xóm Quần Liêu, Xã Nghĩa Sơn, Xã Nghĩa Sơn, Ninh Bình
 0978661933
 </t>
  </si>
  <si>
    <t>S22693229.MB9-04-L1.1740442031</t>
  </si>
  <si>
    <t>SAPO129879128_603550</t>
  </si>
  <si>
    <t xml:space="preserve">Nguyễn thị tuyển
 Làn 2 phố bình minh thị trấn đồi ngô lục nam bắc giang, Xã Lục Nam, Xã Lục Nam, Bắc Ninh
 0973463085
 </t>
  </si>
  <si>
    <t>S22693229.MB4-07-G2.1540518652</t>
  </si>
  <si>
    <t>SAPO129879161_603550</t>
  </si>
  <si>
    <t xml:space="preserve">Đăng Nguyên
 SN804 KHU CỘNG HÒA KIẾN XƯƠNG THÁI BÌNH, Xã Kiến Xương, Xã Kiến Xương, Hưng Yên
 0927139666
 </t>
  </si>
  <si>
    <t>S22693229.MB17-03-C9.1715867509</t>
  </si>
  <si>
    <t>SAPO129879216_603550</t>
  </si>
  <si>
    <t>19:56, 24-04-2026</t>
  </si>
  <si>
    <t xml:space="preserve">Hai nam
 Thôn ngọc thành, Xã Hữu Lũng, Xã Hữu Lũng, Lạng Sơn
 0973430225
 </t>
  </si>
  <si>
    <t>S22693229.MB10-04-D11.1377325301</t>
  </si>
  <si>
    <t>SAPO129879235_603550</t>
  </si>
  <si>
    <t xml:space="preserve">Ngô Thị Dung
 Số nhà 32 khu bình dân thị trấn Bình Liêu Quảng Ninh, Xã Bình Liêu, Xã Bình Liêu, Quảng Ninh
 0352722229
 </t>
  </si>
  <si>
    <t>S22693229.MB6-14-C17.1031077471</t>
  </si>
  <si>
    <t>SAPO129879265_603550</t>
  </si>
  <si>
    <t>18:45, 27-04-2026</t>
  </si>
  <si>
    <t xml:space="preserve">Vũ Thị Mai
 Đội 5 kim đính Kim Thành Hải Dương, Xã An Thành, Xã An Thành, Hải Phòng
 0983486105
 </t>
  </si>
  <si>
    <t>S22693229.MB11-13-N3.1003656610</t>
  </si>
  <si>
    <t>SAPO129879288_603550</t>
  </si>
  <si>
    <t xml:space="preserve">Trần Thị Dung
 Trường Tiểu học Đồng Quê, Xã Tam Sơn, Xã Tam Sơn, Phú Thọ
 0982862377
 </t>
  </si>
  <si>
    <t>S22693229.BO.HNP52-P37.1754799802</t>
  </si>
  <si>
    <t>SAPO129883455_603550</t>
  </si>
  <si>
    <t>13:23, 23-04-2026</t>
  </si>
  <si>
    <t>22:18, 28-04-2026</t>
  </si>
  <si>
    <t xml:space="preserve">Nguyễn Thị Hương
 Số nhà 19, ngách 89/19/38. Tổ 1, bằng A, Phường Hoàng Liệt, Phường Hoàng Liệt, Hà Nội
 0987208383
 </t>
  </si>
  <si>
    <t>S22693229.MB15-03-C6.1630758995</t>
  </si>
  <si>
    <t>SAPO129885403_603550</t>
  </si>
  <si>
    <t>13:26, 23-04-2026</t>
  </si>
  <si>
    <t>15:39, 25-04-2026</t>
  </si>
  <si>
    <t xml:space="preserve">Trang xinh
 Trang xinh ngõ 5 đường phạm văn đồng tiểu khu 13, Xã Lương Sơn, Xã Lương Sơn, Phú Thọ
 0979372866
 </t>
  </si>
  <si>
    <t>S22693229.MB10-11-H1.1060718213</t>
  </si>
  <si>
    <t>SAPO129885408_603550</t>
  </si>
  <si>
    <t xml:space="preserve">Cẩm vân
 Đông hải đông xá, Đặc Khu Vân Đồn, Đặc Khu Vân Đồn, Quảng Ninh
 0977416091
 </t>
  </si>
  <si>
    <t>S22693229.MB15-03-C6.1970832923</t>
  </si>
  <si>
    <t>SAPO129885404_603550</t>
  </si>
  <si>
    <t xml:space="preserve">Trang xinh
 Ngõ 5 đường phạm văn đồng tiểu khu 13, Xã Lương Sơn, Xã Lương Sơn, Phú Thọ
 0979372866
 </t>
  </si>
  <si>
    <t>S22693229.MB7-31-H12.1320398068</t>
  </si>
  <si>
    <t>SAPO129885642_603550</t>
  </si>
  <si>
    <t>13:27, 23-04-2026</t>
  </si>
  <si>
    <t xml:space="preserve">Nguyễn Huyền
 Số 11/14 khu đô thị Quang minh phường thủy Sơn thủy nguyên Hải phòng, Phường Thủy Nguyên, Phường Thủy Nguyên, Hải Phòng
 0983279793
 </t>
  </si>
  <si>
    <t>S22693229.MB2-10-L37.1057266191</t>
  </si>
  <si>
    <t>SAPO129885981_603550</t>
  </si>
  <si>
    <t>S22693229.MB5-05-E10.1748357468</t>
  </si>
  <si>
    <t>583626989712213363</t>
  </si>
  <si>
    <t>14:20, 23-04-2026</t>
  </si>
  <si>
    <t xml:space="preserve">Phạm Miền
 Thôn Nhân Vực, xã Nghĩa Trụ, tỉnh Hưng Yên(Ông bà Dũng Thắm) 
Long Hưng,Văn Giang,Hưng Yên,Việt Nam, Xã Nghĩa Trụ, Xã Nghĩa Trụ, Hưng Yên
 0973507360
 </t>
  </si>
  <si>
    <t>S22693229.HNP92-K22.1052475187</t>
  </si>
  <si>
    <t>583513306879788267( giao lại)</t>
  </si>
  <si>
    <t xml:space="preserve">Thang Dang
 P 701 Ct2a chung cư vov, 
Me Tri,Tu Liem,Ha Noi,Vietnam, Phường Từ Liêm, Phường Từ Liêm, Hà Nội
 0912221811
 </t>
  </si>
  <si>
    <t>S22693229.BO.SGP43-M54.1710118757</t>
  </si>
  <si>
    <t>583605256829765283</t>
  </si>
  <si>
    <t>15:58, 27-04-2026</t>
  </si>
  <si>
    <t xml:space="preserve">Trần Nguyên Hưng
 Căn Hộ Citialto-Kiến Á Quận 2(CitiAlto Block D toà ở cuối đường) 
Phường Cát Lái,Phường Cát Lái,Hồ Chí Minh,Việt Nam, Phường Cát Lái, Phường Cát Lái, TP Hồ Chí Minh
 0913834514
 </t>
  </si>
  <si>
    <t>S22693229.MB12-03-C3.1978555465</t>
  </si>
  <si>
    <t>583641999280538648</t>
  </si>
  <si>
    <t xml:space="preserve">Khách bù
 -Mật 2 văn miếu thanh sơn phú thọ(Mật 2 văn miếu thanh sơn phú thọ) 
Xã Văn Miếu,Xã Văn Miếu,Phú Thọ,Việt Nam, Xã Văn Miếu, Xã Văn Miếu, Phú Thọ
 0974164345
 </t>
  </si>
  <si>
    <t>S22693229.BO.SGP91-W77.1725057081</t>
  </si>
  <si>
    <t>583589778670716665</t>
  </si>
  <si>
    <t>12:23, 28-04-2026</t>
  </si>
  <si>
    <t xml:space="preserve">Ngân
 756/27 Đoàn Văn Bơ 
Phường 16,Quận 4,Hồ Chí Minh,Việt Nam, Phường Xóm Chiếu, Phường Xóm Chiếu, TP Hồ Chí Minh
 0972489039
 </t>
  </si>
  <si>
    <t>S22693229.HNP49-J81.1869910540</t>
  </si>
  <si>
    <t>583532997460854061( đổi l2)</t>
  </si>
  <si>
    <t>S22693229.BO.HNP27-N64.1629625940</t>
  </si>
  <si>
    <t>ĐƠN THIẾU NÚM VUNG SO.2604-001290 4710034536</t>
  </si>
  <si>
    <t>07:41, 24-04-2026</t>
  </si>
  <si>
    <t>12:24, 29-04-2026</t>
  </si>
  <si>
    <t xml:space="preserve">Anh Trường
 Vinhomes Ocean Park, Xã Gia Lâm, Hà Nội, Xã Gia Lâm, Xã Gia Lâm, Hà Nội
 0901368193
 </t>
  </si>
  <si>
    <t>S22693229.HNP25-F14.1683037418</t>
  </si>
  <si>
    <t>SAPO130201964_603550</t>
  </si>
  <si>
    <t>08:42, 24-04-2026</t>
  </si>
  <si>
    <t>13:34, 27-04-2026</t>
  </si>
  <si>
    <t xml:space="preserve">Phuong Oanh
 Số 19 Ngõ 68 Quan Nhân, Phường Thanh Xuân, Phường Thanh Xuân, Hà Nội
 0933436699
 </t>
  </si>
  <si>
    <t>S22693229.HNP25-F14.1590984557</t>
  </si>
  <si>
    <t>SAPO130201969_603550</t>
  </si>
  <si>
    <t>S22693229.HNP83-D5.1140400021</t>
  </si>
  <si>
    <t>SAPO130201973_603550</t>
  </si>
  <si>
    <t>19:03, 28-04-2026</t>
  </si>
  <si>
    <t xml:space="preserve">Chi
 Số 95-97 Lê Duẩn, Phường Cửa Nam, Thành phố Hà Nội, Việt Nam, Phường Cửa Nam, Phường Cửa Nam, Hà Nội
 0336698728
 </t>
  </si>
  <si>
    <t>S22693229.HNP25-F16.1683884470</t>
  </si>
  <si>
    <t>SAPO130201970_603550</t>
  </si>
  <si>
    <t>13:48, 28-04-2026</t>
  </si>
  <si>
    <t xml:space="preserve">Thu
 17T7 Trung Hoà Nhân Chính, đường Hoàng Đạo Thuý, Phường Thanh Xuân, Phường Thanh Xuân, Hà Nội
 0985125096
 </t>
  </si>
  <si>
    <t>S22693229.HNP92-K25.1037275171</t>
  </si>
  <si>
    <t>SAPO130201971_603550</t>
  </si>
  <si>
    <t xml:space="preserve">Ngoc
 CT1C khu đô thị Vinaconex 3Khu Đô Thị Vinaconex 3, từ liêm, Phường Từ Liêm, Phường Từ Liêm, Hà Nội, Phường Từ Liêm, Phường Từ Liêm, Hà Nội
 0784143139
 </t>
  </si>
  <si>
    <t>S22693229.HNP46-A136.1295569771</t>
  </si>
  <si>
    <t>SAPO130201962_603550</t>
  </si>
  <si>
    <t>19:20, 28-04-2026</t>
  </si>
  <si>
    <t xml:space="preserve">Bùi Thị Minh Thuỳ
 CT3 Nghĩa Đô, 106 Hoàng Quốc, Phường Nghĩa Đô, Phường Nghĩa Đô, Hà Nội
 0989347247
 </t>
  </si>
  <si>
    <t>S22693229.HNP49-J171.1958769863</t>
  </si>
  <si>
    <t>SAPO130201963_603550</t>
  </si>
  <si>
    <t>18:25, 25-04-2026</t>
  </si>
  <si>
    <t xml:space="preserve">le thi trang
 gần kho a9 cảng khuyến lương, Phường Lĩnh Nam, Phường Lĩnh Nam, Hà Nội
 0985348793
 </t>
  </si>
  <si>
    <t>S22693229.HNP103-J129.1466619814</t>
  </si>
  <si>
    <t>SAPO130201968_603550</t>
  </si>
  <si>
    <t>17:51, 28-04-2026</t>
  </si>
  <si>
    <t xml:space="preserve">Duy
 Ngân hàng ACB, số 51 Lạc Trung, Phường Vĩnh Tuy, Phường Vĩnh Tuy, Hà Nội
 0944739899
 </t>
  </si>
  <si>
    <t>S22693229.HNP99-Q42.1539466350</t>
  </si>
  <si>
    <t>SAPO130201966_603550</t>
  </si>
  <si>
    <t>18:15, 27-04-2026</t>
  </si>
  <si>
    <t xml:space="preserve">Nguyen Ngoc
 Sân bay gia lâm phúc đồng long biên, Phường Phúc Lợi, Phường Phúc Lợi, Hà Nội
 0347883386
 </t>
  </si>
  <si>
    <t>S22693229.HNP34-D175.1263885873</t>
  </si>
  <si>
    <t>SAPO130201967_603550</t>
  </si>
  <si>
    <t>19:05, 25-04-2026</t>
  </si>
  <si>
    <t xml:space="preserve">Phạm quân
 G2 trung tự - đống đa - h.nọi, Phường Kim Liên, Phường Kim Liên, Hà Nội
 0989768998
 </t>
  </si>
  <si>
    <t>S22693229.HNP45-C191.1427038671</t>
  </si>
  <si>
    <t>SAPO130201961_603550</t>
  </si>
  <si>
    <t xml:space="preserve">Nguyễn Trang
 134 Đường nước Phần Lan, Phường Hồng Hà, Phường Hồng Hà, Hà Nội
 0934200879
 </t>
  </si>
  <si>
    <t>S22693229.HNP105-B11.1778557183</t>
  </si>
  <si>
    <t>SAPO130201965_603550</t>
  </si>
  <si>
    <t>18:27, 29-04-2026</t>
  </si>
  <si>
    <t xml:space="preserve">Ms Ha
 To: Chu Thu Hà Số 6 LK 8 khu nhà ở Cục cảnh sát hình sự - 84 Nguyễn Thanh Bình, Vạn Phúc , Hà Đông, Hà Nội. Đt: 936889989, Phường Hà Đông, Phường Hà Đông, Hà Nội
 0936889989
 </t>
  </si>
  <si>
    <t>S22693229.HNP23-A80.1783944021</t>
  </si>
  <si>
    <t>SAPO130202021_603550</t>
  </si>
  <si>
    <t>16:23, 25-04-2026</t>
  </si>
  <si>
    <t xml:space="preserve">Lý Vân
 5 ngách 68/16 ngõ 68 Đội Cấn, Ba Đình, Hà Nội, Phường Ngọc Hà, Phường Ngọc Hà, Hà Nội
 0915341014
 </t>
  </si>
  <si>
    <t>S22693229.HNP92-B46.1556507891</t>
  </si>
  <si>
    <t>SAPO130202067_603550</t>
  </si>
  <si>
    <t>13:23, 25-04-2026</t>
  </si>
  <si>
    <t xml:space="preserve">Nguyễn Thị Ngân Giang
 68 Lê Quang Đạo, Phú Đô, Nam Từ Liêm, Hà Nội, Phường Từ Liêm, Phường Từ Liêm, Hà Nội
 0827123777
 </t>
  </si>
  <si>
    <t>S22693229.HNP11-F70.1725688875</t>
  </si>
  <si>
    <t>SAPO130202126_603550</t>
  </si>
  <si>
    <t xml:space="preserve">Nguyễn Thị Ly
 262 Lacasta Văn Phú - Kiến Hưng - Hà Nội, Phường Kiến Hưng, Phường Kiến Hưng, Hà Nội
 0967863672
 </t>
  </si>
  <si>
    <t>S22693229.HNP83-D10.1672040273</t>
  </si>
  <si>
    <t>SAPO130202162_603550</t>
  </si>
  <si>
    <t>19:16, 28-04-2026</t>
  </si>
  <si>
    <t xml:space="preserve">Lê Duy Tùng
 77 trần hưng đạo, Phường Cửa Nam, Phường Cửa Nam, Hà Nội
 0964184667
 </t>
  </si>
  <si>
    <t>S22693229.HNP11-F45.1888660166</t>
  </si>
  <si>
    <t>SAPO130202200_603550</t>
  </si>
  <si>
    <t>17:23, 27-04-2026</t>
  </si>
  <si>
    <t xml:space="preserve">Thu
 nhà thi đấu Hà Đông, 182 Quang Trung, Hà Đông Hà Nội, Phường Hà Đông, Phường Hà Đông, Hà Nội
 0859647359
 </t>
  </si>
  <si>
    <t>S22693229.HNP92-K5.1535027145</t>
  </si>
  <si>
    <t>SAPO130202247_603550</t>
  </si>
  <si>
    <t>08:43, 24-04-2026</t>
  </si>
  <si>
    <t xml:space="preserve">Nguyễn Quang Đạo
 Số 1 ngõ 126 mễ trì hạ, Phường Từ Liêm, Phường Từ Liêm, Hà Nội
 0941945926
 </t>
  </si>
  <si>
    <t>S22693229.HNP92-F126.1331270120</t>
  </si>
  <si>
    <t>SAPO130202317_603550</t>
  </si>
  <si>
    <t>19:10, 25-04-2026</t>
  </si>
  <si>
    <t xml:space="preserve">Hoàng hà
 Sảnh b chung cư 48 trần kim xuyến, Phường Cầu Giấy, Phường Cầu Giấy, Hà Nội
 0974436488
 </t>
  </si>
  <si>
    <t>S22693229.HNP25-F12.1892555590</t>
  </si>
  <si>
    <t>SAPO130202368_603550</t>
  </si>
  <si>
    <t>18:04, 28-04-2026</t>
  </si>
  <si>
    <t xml:space="preserve">Mạc Sợi
 35 Lê Văn Lương, Phường Thanh Xuân, Phường Thanh Xuân, Hà Nội
 0339568384
 </t>
  </si>
  <si>
    <t>S22693229.SGP76-S83.1525442966</t>
  </si>
  <si>
    <t>SAPO130204348_603550</t>
  </si>
  <si>
    <t>08:45, 24-04-2026</t>
  </si>
  <si>
    <t xml:space="preserve">Truong Thi Hong Giang
 A75/6E/33 Bạch Đằng, Phường Tân Sơn Hòa, Phường Tân Sơn Hòa, TP Hồ Chí Minh
 0968838885
 </t>
  </si>
  <si>
    <t>S22693229.MN13-14-K26.1856759220</t>
  </si>
  <si>
    <t>SAPO130204352_603550</t>
  </si>
  <si>
    <t>14:15, 25-04-2026</t>
  </si>
  <si>
    <t xml:space="preserve">Quency
 Nhà máy gạch phước hưng 3, Xã Nhơn Mỹ, Xã Nhơn Mỹ, An Giang
 0964232505
 </t>
  </si>
  <si>
    <t>S22693229.SGP54-P62.1824905307</t>
  </si>
  <si>
    <t>SAPO130204344_603550</t>
  </si>
  <si>
    <t xml:space="preserve">Võ Thư
 33 đường 2A KDC Vĩnh Lộc, Phường Bình Tân, Phường Bình Tân, TP Hồ Chí Minh
 0977009822
 </t>
  </si>
  <si>
    <t>S22693229.SGP104-N71.1450048310</t>
  </si>
  <si>
    <t>SAPO130204346_603550</t>
  </si>
  <si>
    <t>15:35, 27-04-2026</t>
  </si>
  <si>
    <t xml:space="preserve">Nguyễn Thị Thùy Linh
 270B Lý Thường Kiệt, Phường Diên Hồng, Phường Diên Hồng, Phường Diên Hồng, TP Hồ Chí Minh
 0888993099
 </t>
  </si>
  <si>
    <t>S22693229.MN11-07-V63.1062000667</t>
  </si>
  <si>
    <t>SAPO130204349_603550</t>
  </si>
  <si>
    <t xml:space="preserve">Minh Nghi
 168 nguyễn hiền, kdc 91B, Phường Tân An, Phường Tân An, Cần Thơ
 0939824482
 </t>
  </si>
  <si>
    <t>S22693229.MN2-13-M15.1512092596</t>
  </si>
  <si>
    <t>SAPO130204342_603550</t>
  </si>
  <si>
    <t xml:space="preserve">Lê Thị Minh Ngọc
 Số 35 đường D5, Khu Dân Cư Phú Hoà 1, Phường Phú Lợi, Phường Phú Lợi, TP Hồ Chí Minh
 0909134815
 </t>
  </si>
  <si>
    <t>S22693229.MN1-09-TS11.1809091443</t>
  </si>
  <si>
    <t>SAPO130204355_603550</t>
  </si>
  <si>
    <t>21:44, 28-04-2026</t>
  </si>
  <si>
    <t xml:space="preserve">Chu minh hue
 33e/12 kp 2 p trang dai ,bien hoa dong nai, Phường Trảng Dài, Phường Trảng Dài, Đồng Nai
 0347450515
 </t>
  </si>
  <si>
    <t>S22693229.MN2-17-Q800.1572070048</t>
  </si>
  <si>
    <t>SAPO130204345_603550</t>
  </si>
  <si>
    <t xml:space="preserve">Trang Linh
 216, tổ 5 , Kp Bàu Hốt, Thị trấn Lai Uyên, bàu bàng, Bình dương, Xã Bàu Bàng, Xã Bàu Bàng, TP Hồ Chí Minh
 0932161701
 </t>
  </si>
  <si>
    <t>S22693229.SGP101-I100.1440976413</t>
  </si>
  <si>
    <t>SAPO130204339_603550</t>
  </si>
  <si>
    <t xml:space="preserve">Vĩnh Khang
 E23 CC BELLEZA, Phường Tân Mỹ, Phường Tân Mỹ, TP Hồ Chí Minh
 0886116898
 </t>
  </si>
  <si>
    <t>S22693229.SGP76-S97.1037708233</t>
  </si>
  <si>
    <t>SAPO130204350_603550</t>
  </si>
  <si>
    <t xml:space="preserve">Mai Phương
 2/8 Hồng Hà, Phường Tân Sơn Hòa, Phường Tân Sơn Hòa, TP Hồ Chí Minh
 0908353638
 </t>
  </si>
  <si>
    <t>S22693229.BO.SGP27-Q88.1382790165</t>
  </si>
  <si>
    <t>SAPO130204351_603550</t>
  </si>
  <si>
    <t>13:11, 25-04-2026</t>
  </si>
  <si>
    <t xml:space="preserve">Nguyễn minh dương
 230 đường linh trung phường linh trung thu Đức, Phường Linh Xuân, Phường Linh Xuân, TP Hồ Chí Minh
 0908860507
 </t>
  </si>
  <si>
    <t>S22693229.MN14-06-Q62.1627161850</t>
  </si>
  <si>
    <t>SAPO130204421_603550</t>
  </si>
  <si>
    <t>S22693229.MN1-15-K41.1147148542</t>
  </si>
  <si>
    <t>SAPO130204444_603550</t>
  </si>
  <si>
    <t xml:space="preserve">Kim hiến
 Ấp vĩnh cửu xã phước an tỉnh đồng nai, Xã Phước An, Xã Phước An, Đồng Nai
 0977400540
 </t>
  </si>
  <si>
    <t>S22693229.SGP91-W84.1662150522</t>
  </si>
  <si>
    <t>SAPO130204480_603550</t>
  </si>
  <si>
    <t xml:space="preserve">ANH MINH
 670/43 ĐOÀN VĂN BƠ, Phường Xóm Chiếu, Phường Xóm Chiếu, TP Hồ Chí Minh
 0972939709
 </t>
  </si>
  <si>
    <t>S22693229.HNP25-F35.1944876772</t>
  </si>
  <si>
    <t>SAPO130204924_603550</t>
  </si>
  <si>
    <t>15:01, 29-04-2026</t>
  </si>
  <si>
    <t xml:space="preserve">Ngọc
 chung cư 47 Nguyễn Tuân, Phường Thanh Xuân, Phường Thanh Xuân, Hà Nội
 0912084382
 </t>
  </si>
  <si>
    <t>S22693229.MB22-01-G6.1737017860</t>
  </si>
  <si>
    <t>SAPO130209952_603550</t>
  </si>
  <si>
    <t>08:52, 24-04-2026</t>
  </si>
  <si>
    <t>19:13, 29-04-2026</t>
  </si>
  <si>
    <t xml:space="preserve">nganphuong tran
 Tổ 8, Phường Cam Đường, Phường Cam Đường, Lào Cai
 0962553525
 </t>
  </si>
  <si>
    <t>S22693229.MB10-12-L55.1906498757</t>
  </si>
  <si>
    <t>SAPO130211884_603550</t>
  </si>
  <si>
    <t>08:54, 24-04-2026</t>
  </si>
  <si>
    <t>19:03, 27-04-2026</t>
  </si>
  <si>
    <t xml:space="preserve">Đào Xuân Trình
 An Biên 1, Phường Hoành Bồ, Phường Hoành Bồ, Quảng Ninh
 0986557556
 </t>
  </si>
  <si>
    <t>S22693229.BO.MT17-27-Q25.1531806655</t>
  </si>
  <si>
    <t>SAPO130211890_603550</t>
  </si>
  <si>
    <t>19:09, 27-04-2026</t>
  </si>
  <si>
    <t xml:space="preserve">Hoài Nhơn Nguyễn
 Nhà sách Lan Anh, Xã Dliê Ya, Xã Dliê Ya, Đắk Lắk
 0947430930
 </t>
  </si>
  <si>
    <t>S22693229.BO.MT8-02-B23.1801103797</t>
  </si>
  <si>
    <t>SAPO130211886_603550</t>
  </si>
  <si>
    <t xml:space="preserve">hanh huynh
 Văn Phòng Hợp Nhân, Phường Điện Bàn Đông, Phường Điện Bàn Đông, Đà Nẵng
 0905636041
 </t>
  </si>
  <si>
    <t>S22693229.BO.MT9-02-N7.1335263546</t>
  </si>
  <si>
    <t>SAPO130211889_603550</t>
  </si>
  <si>
    <t>17:32, 28-04-2026</t>
  </si>
  <si>
    <t xml:space="preserve">Tâm
 Uỷ ban bình trị, bình sơn, quảng ngãi, Xã Vạn Tường, Xã Vạn Tường, Quảng Ngãi
 0949109477
 </t>
  </si>
  <si>
    <t>S22693229.BO.SGP26-Q67.1659143118</t>
  </si>
  <si>
    <t>SAPO130211891_603550</t>
  </si>
  <si>
    <t>12:29, 27-04-2026</t>
  </si>
  <si>
    <t xml:space="preserve">Cao thị Ngọc diệp
 50/1 đường 26, Phường Hiệp Bình, Phường Hiệp Bình, TP Hồ Chí Minh
 0909521502
 </t>
  </si>
  <si>
    <t>S22693229.BO.MN3-02-T57.1184606974</t>
  </si>
  <si>
    <t>SAPO130211893_603550</t>
  </si>
  <si>
    <t>18:36, 29-04-2026</t>
  </si>
  <si>
    <t xml:space="preserve">NGUYỄN TRỌNG QUÂN
 Tổ 9 khu phố thị vải phường mỹ xuân tp phú mỹ brvt, Phường Phú Mỹ, Phường Phú Mỹ, TP Hồ Chí Minh
 0964702072
 </t>
  </si>
  <si>
    <t>S22693229.MB11-05-A4.1343349613</t>
  </si>
  <si>
    <t>SAPO130211892_603550</t>
  </si>
  <si>
    <t xml:space="preserve">Đỗ Thị Ngọc Thanh
 Số 2 Trịnh Hoài Đức - Đông Thành, Phường Vĩnh Yên, Phường Vĩnh Yên, Phú Thọ
 0913663386
 </t>
  </si>
  <si>
    <t>S22693229.BO.DN16-H5.1985854394</t>
  </si>
  <si>
    <t>SAPO130211885_603550</t>
  </si>
  <si>
    <t>14:32, 27-04-2026</t>
  </si>
  <si>
    <t xml:space="preserve">Chery
 K875/6 nguyễn lương bằng, Phường Hải Vân, Phường Hải Vân, Đà Nẵng
 0775409579
 </t>
  </si>
  <si>
    <t>S22693229.BO.MN14-06-Q82.1722343878</t>
  </si>
  <si>
    <t>SAPO130211894_603550</t>
  </si>
  <si>
    <t>16:56, 28-04-2026</t>
  </si>
  <si>
    <t xml:space="preserve">Danh Hết
 mega khu biệt thự seaview, Phường Rạch Giá, Phường Rạch Giá, An Giang, Phường Rạch Giá, Phường Rạch Giá, An Giang
 0367621304
 </t>
  </si>
  <si>
    <t>S22693229.MB16-01-A8.1642461999</t>
  </si>
  <si>
    <t>SAPO130211883_603550</t>
  </si>
  <si>
    <t xml:space="preserve">Hà Phương
 Ngõ 104 Nguyễn Trãi, Phường Quyết Thắng cũ, TP Sơn La, tỉnh Sơn La, Phường Tô Hiệu, Phường Tô Hiệu, Sơn La
 0974391889
 </t>
  </si>
  <si>
    <t>S22693229.BO.SGP76-S83.1401624053</t>
  </si>
  <si>
    <t>SAPO130211950_603550</t>
  </si>
  <si>
    <t xml:space="preserve">NGUYEN THỊ HỒNG HUẾ
 159/21 Bạch Đằng, Phường Tân Sơn Hòa, Phường Tân Sơn Hòa, TP Hồ Chí Minh
 0902155912
 </t>
  </si>
  <si>
    <t>S22693229.MB22-01-G22.1358769087</t>
  </si>
  <si>
    <t>SAPO130220528_603550</t>
  </si>
  <si>
    <t>09:04, 24-04-2026</t>
  </si>
  <si>
    <t>20:18, 25-04-2026</t>
  </si>
  <si>
    <t xml:space="preserve">Nguyễn Thị Gấm
 061 Hoàng Lan, Bitexco, Phường Cam Đường, Phường Cam Đường, Lào Cai
 0972577298
 </t>
  </si>
  <si>
    <t>S22693229.BO.SGP54-X97.1002872169</t>
  </si>
  <si>
    <t>SAPO130220497_603550</t>
  </si>
  <si>
    <t>18:09, 28-04-2026</t>
  </si>
  <si>
    <t xml:space="preserve">Vu Huyen
 403/18 Hương Lộ 3, Phường Bình Hưng Hòa, Phường Bình Hưng Hòa, TP Hồ Chí Minh
 0388319048
 </t>
  </si>
  <si>
    <t>S22693229.MB7-02-B1.1198947326</t>
  </si>
  <si>
    <t>SAPO130220518_603550</t>
  </si>
  <si>
    <t xml:space="preserve">Nguyễn Thị Lệ Giang
 19/357 nguyễn lương bằng, phường Phù Liễn Tp Hải Phòng, Phường Phù Liễn, Phường Phù Liễn, Hải Phòng
 0936511830
 </t>
  </si>
  <si>
    <t>S22693229.MB10-23-B2.1224577934</t>
  </si>
  <si>
    <t>SAPO130220519_603550</t>
  </si>
  <si>
    <t>18:42, 25-04-2026</t>
  </si>
  <si>
    <t xml:space="preserve">Huong pham hoai
 01 đại lộ hoà bình, Phường Móng Cái 1, Phường Móng Cái 1, Quảng Ninh
 0913393343
 </t>
  </si>
  <si>
    <t>S22693229.HNP134-P56.1741501656</t>
  </si>
  <si>
    <t>SAPO130220517_603550</t>
  </si>
  <si>
    <t>18:54, 25-04-2026</t>
  </si>
  <si>
    <t xml:space="preserve">Nguyễn liễu
 Siêu thị đồ gỗ kim liên thanh vị thanh Mỹ sơn Tây Hà Nội, Phường Tùng Thiện, Phường Tùng Thiện, Hà Nội
 0934888899
 </t>
  </si>
  <si>
    <t>S22693229.BO.DN8-E25.1274399723</t>
  </si>
  <si>
    <t>SAPO130220520_603550</t>
  </si>
  <si>
    <t>15:51, 27-04-2026</t>
  </si>
  <si>
    <t xml:space="preserve">Nguyễn Thanh Hóa
 232 Trường Sơn, Phường Cẩm Lệ, Phường Cẩm Lệ, Đà Nẵng
 0903554068
 </t>
  </si>
  <si>
    <t>S22693229.BO.SGP107-S28.1771570988</t>
  </si>
  <si>
    <t>SAPO130220503_603550</t>
  </si>
  <si>
    <t>14:44, 28-04-2026</t>
  </si>
  <si>
    <t xml:space="preserve">Nguyễn Thị Hồng Vân
 157/38/43/7 Mai Xuân Thưởng, Phường Bình Tiên, TP.HCM, Phường Bình Tiên, Phường Bình Tiên, TP Hồ Chí Minh
 0968765041
 </t>
  </si>
  <si>
    <t>S22693229.MB10-09-Z16.1450774222</t>
  </si>
  <si>
    <t>SAPO130220514_603550</t>
  </si>
  <si>
    <t>19:19, 25-04-2026</t>
  </si>
  <si>
    <t xml:space="preserve">Ngô thị nhung
 Ngõ 98 khu phong cóc 4 phường phong cốc, Phường Phong Cốc, Phường Phong Cốc, Quảng Ninh
 0399895998
 </t>
  </si>
  <si>
    <t>S22693229.BO.MN13-14-K23.1921141171</t>
  </si>
  <si>
    <t>SAPO130220511_603550</t>
  </si>
  <si>
    <t>14:47, 29-04-2026</t>
  </si>
  <si>
    <t xml:space="preserve">Nguyên Ngọc Quỳnh
 31c nguyễn hữu cảnh, Xã Chợ Mới, Xã Chợ Mới, An Giang
 0908393594
 </t>
  </si>
  <si>
    <t>S22693229.MB9-01-B5.1855074106</t>
  </si>
  <si>
    <t>SAPO130220531_603550</t>
  </si>
  <si>
    <t>15:08, 28-04-2026</t>
  </si>
  <si>
    <t xml:space="preserve">Trần thị hảo
 Bệnh viện đa khoa Bắc Ninh số 1 ,, Phường Bắc Giang, Phường Bắc Giang, Bắc Ninh
 0986037829
 </t>
  </si>
  <si>
    <t>S22693229.BO.SGP104-S06.1172008301</t>
  </si>
  <si>
    <t>SAPO130220521_603550</t>
  </si>
  <si>
    <t>16:02, 28-04-2026</t>
  </si>
  <si>
    <t xml:space="preserve">Tăng Thiện Huy
 67 Huỳnh Mẫn Đạt, Phường An Đông, Phường An Đông, TP Hồ Chí Minh
 0988611238
 </t>
  </si>
  <si>
    <t>S22693229.BO.MN1-20-TP51.1149638605</t>
  </si>
  <si>
    <t>SAPO130220502_603550</t>
  </si>
  <si>
    <t>14:48, 27-04-2026</t>
  </si>
  <si>
    <t xml:space="preserve">Lê Thị Ngọc mai
 276/26 nguyễn hoàng, khu phố Long Đức 1, Phường Tam Phước, Phường Tam Phước, Đồng Nai
 0983528303
 </t>
  </si>
  <si>
    <t>S22693229.MB23-01-A2.1805418454</t>
  </si>
  <si>
    <t>SAPO130220525_603550</t>
  </si>
  <si>
    <t>14:26, 29-04-2026</t>
  </si>
  <si>
    <t xml:space="preserve">Thanh
 Tổ Quyết Tiến 6, Phường Đoàn Kết, Phường Đoàn Kết, Lai Châu
 0868413212
 </t>
  </si>
  <si>
    <t>S22693229.HNP114-V38.1770987619</t>
  </si>
  <si>
    <t>SAPO130220509_603550</t>
  </si>
  <si>
    <t xml:space="preserve">Nhớ Chu
 Điểm y tế cao viên, Xã Bình Minh, Xã Bình Minh, Hà Nội
 0936113395
 </t>
  </si>
  <si>
    <t>S22693229.MB5-13-M11.1815952431</t>
  </si>
  <si>
    <t>SAPO130220508_603550</t>
  </si>
  <si>
    <t>19:51, 28-04-2026</t>
  </si>
  <si>
    <t xml:space="preserve">Vũ Nhàn
 số nhà 14, ngõ 64, nguyễn khoái, thị trấn khoái châu, khoái châu, hưng yên, Xã Khoái Châu, Xã Khoái Châu, Hưng Yên
 0336696789
 </t>
  </si>
  <si>
    <t>S22693229.BO.SGP45-V22.1354710688</t>
  </si>
  <si>
    <t>SAPO130220496_603550</t>
  </si>
  <si>
    <t>16:26, 28-04-2026</t>
  </si>
  <si>
    <t xml:space="preserve">Nguyễn Thị Thuỳ Dương
 11 Thanh Nga, Phường Phước Long, Phường Phước Long, TP Hồ Chí Minh
 0983681272
 </t>
  </si>
  <si>
    <t>S22693229.HNP11-F41.1819775764</t>
  </si>
  <si>
    <t>SAPO130220500_603550</t>
  </si>
  <si>
    <t xml:space="preserve">Lưu Thị Hương
 P 1702 ct3 cc hyundai hillstate, Phường Hà Đông, Phường Hà Đông, Hà Nội
 0982281008
 </t>
  </si>
  <si>
    <t>S22693229.HNP118-A1.1010215721</t>
  </si>
  <si>
    <t>SAPO130220504_603550</t>
  </si>
  <si>
    <t xml:space="preserve">Thanh Thuy
 Văn tinh, xuân canh, đông anh, hà nội, Xã Đông Anh, Xã Đông Anh, Hà Nội
 0934689059
 </t>
  </si>
  <si>
    <t>S22693229.BO.MT12-07-D81.1663528769</t>
  </si>
  <si>
    <t>SAPO130220513_603550</t>
  </si>
  <si>
    <t xml:space="preserve">trần thị thu hà
 L16a14 đường t8 khu đô thị an bình tân, Phường Nam Nha Trang, Phường Nam Nha Trang, Khánh Hòa
 0368540617
 </t>
  </si>
  <si>
    <t>S22693229.BO.MT14-01-A32.1382882704</t>
  </si>
  <si>
    <t>SAPO130220501_603550</t>
  </si>
  <si>
    <t>15:10, 29-04-2026</t>
  </si>
  <si>
    <t xml:space="preserve">Nguyễn Văn Biên
 Thôn tiến thành  ký túc xá nvpt, Phường Tiến Thành, Phường Tiến Thành, Lâm Đồng
 0915266236
 </t>
  </si>
  <si>
    <t>S22693229.BO.MT12-17-F9.1708927835</t>
  </si>
  <si>
    <t>SAPO130220526_603550</t>
  </si>
  <si>
    <t>17:15, 29-04-2026</t>
  </si>
  <si>
    <t xml:space="preserve">phụng lê
 Suối sâu Bắc Khánh Vĩnh Khánh Hoà, Xã Bắc Khánh Vĩnh, Xã Bắc Khánh Vĩnh, Khánh Hòa
 0972105922
 </t>
  </si>
  <si>
    <t>S22693229.MB7-17-A13.1927796229</t>
  </si>
  <si>
    <t>SAPO130220506_603550</t>
  </si>
  <si>
    <t xml:space="preserve">Đoàn Liên
 47/24 hùng duệ vương, Phường Hồng Bàng, Phường Hồng Bàng, Hải Phòng
 0966614512
 </t>
  </si>
  <si>
    <t>S22693229.HNP141-T40.1041858293</t>
  </si>
  <si>
    <t>SAPO130220516_603550</t>
  </si>
  <si>
    <t>18:31, 25-04-2026</t>
  </si>
  <si>
    <t xml:space="preserve">Lê thương
 Thôn Hưng Hiền, Xã Thường Tín, Xã Thường Tín, Hà Nội
 0988559438
 </t>
  </si>
  <si>
    <t>S22693229.BO.MT4-02-B9.1967184640</t>
  </si>
  <si>
    <t>SAPO130220524_603550</t>
  </si>
  <si>
    <t>13:19, 28-04-2026</t>
  </si>
  <si>
    <t xml:space="preserve">Đoàn thị Thu
 Thôn Long Trung, Xã Nam Ba Đồn, Xã Nam Ba Đồn, Quảng Trị
 0945056586
 </t>
  </si>
  <si>
    <t>S22693229.HNP118-A2.1390259274</t>
  </si>
  <si>
    <t>SAPO130220522_603550</t>
  </si>
  <si>
    <t>20:26, 27-04-2026</t>
  </si>
  <si>
    <t xml:space="preserve">Nghiêm thị sang
 Số nhà 316, hà lỗ, liên hà, đông anh, hà nội, Xã Thư Lâm, Xã Thư Lâm, Hà Nội
 0972200468
 </t>
  </si>
  <si>
    <t>S22693229.MB3-06-G1.1333812670</t>
  </si>
  <si>
    <t>SAPO130220515_603550</t>
  </si>
  <si>
    <t>12:18, 27-04-2026</t>
  </si>
  <si>
    <t xml:space="preserve">Trần Thị Hà
 22 Đinh Lễ- KĐT hoà vượng phường Lộc vượng , tp nam định định tỉnh nam định, Phường Nam Định, Phường Nam Định, Ninh Bình
 0947390191
 </t>
  </si>
  <si>
    <t>S22693229.BO.MN4-01-A41.1705822798</t>
  </si>
  <si>
    <t>SAPO130220530_603550</t>
  </si>
  <si>
    <t>18:39, 28-04-2026</t>
  </si>
  <si>
    <t xml:space="preserve">Hà Thị Hải Yến
 Tổ 10, Ninh Phú, Phường Ninh Thạnh, Phường Ninh Thạnh, Tây Ninh
 0984577967
 </t>
  </si>
  <si>
    <t>S22693229.MB11-14-Q6.1064975356</t>
  </si>
  <si>
    <t>SAPO130220643_603550</t>
  </si>
  <si>
    <t>14:27, 27-04-2026</t>
  </si>
  <si>
    <t xml:space="preserve">Đỗ Thị nhất
 Thôn Minh Tân xã Nhân Đạo huyện Sông lô tỉnh, Xã Hải Lựu, Xã Hải Lựu, Phú Thọ
 0869565516
 </t>
  </si>
  <si>
    <t>S22693229.BO.MN2-28-TB90.1300238769</t>
  </si>
  <si>
    <t>SAPO130220668_603550</t>
  </si>
  <si>
    <t>12:41, 29-04-2026</t>
  </si>
  <si>
    <t xml:space="preserve">Tran thi vinh
 Tổ 2, kp tân mỹ, p.tan đông hiep, Phường Tân Đông Hiệp, Phường Tân Đông Hiệp, TP Hồ Chí Minh
 0918333891
 </t>
  </si>
  <si>
    <t>S22693229.MB8-04-D14.1327744239</t>
  </si>
  <si>
    <t>SAPO130220742_603550</t>
  </si>
  <si>
    <t>20:17, 27-04-2026</t>
  </si>
  <si>
    <t xml:space="preserve">Anh Hợp
 Nhà văn hóa khu phố sau, Phường Quế Võ, Phường Quế Võ, Bắc Ninh
 0982382638
 </t>
  </si>
  <si>
    <t>S22693229.MB11-09-K3.1790820196</t>
  </si>
  <si>
    <t>SAPO130220762_603550</t>
  </si>
  <si>
    <t>19:34, 25-04-2026</t>
  </si>
  <si>
    <t xml:space="preserve">Nguyễn Tuyết
 Tạp hóa bà Oanh Sự, thôn Thiện Kế, Xã Bình Xuyên, Xã Bình Xuyên, Phú Thọ
 0985269785
 </t>
  </si>
  <si>
    <t>S22693229.BO.MN10-09-T41.1216055808</t>
  </si>
  <si>
    <t>SAPO130220802_603550</t>
  </si>
  <si>
    <t xml:space="preserve">Huỳnh Thị Huệ
 Khóm 2, Xã Tiểu Cần, Xã Tiểu Cần, Vĩnh Long
 0832091520
 </t>
  </si>
  <si>
    <t>S22693229.HNP123-F4.1297962274</t>
  </si>
  <si>
    <t>SAPO130220836_603550</t>
  </si>
  <si>
    <t>16:20, 25-04-2026</t>
  </si>
  <si>
    <t xml:space="preserve">nguyen duyen
 Thôn Chi Đông 3, xã Quang Minh, TP Hà Nội, Xã Quang Minh, Xã Quang Minh, Hà Nội
 0966120092
 </t>
  </si>
  <si>
    <t>S22693229.BO.MN11-07-V73.1665009554</t>
  </si>
  <si>
    <t>SAPO130220863_603550</t>
  </si>
  <si>
    <t xml:space="preserve">Hằng
 373C/4 Đường 3 tháng 2., Phường Tân An, Phường Tân An, Cần Thơ
 0975952027
 </t>
  </si>
  <si>
    <t>S22693229.MB15-05-D11.1648443889</t>
  </si>
  <si>
    <t>SAPO130220882_603550</t>
  </si>
  <si>
    <t>21:46, 27-04-2026</t>
  </si>
  <si>
    <t xml:space="preserve">Vũ Đình Kiên
 khu Lạng, xã, Xã Kim Bôi, Xã Kim Bôi, Phú Thọ
 0987711389
 </t>
  </si>
  <si>
    <t>S22693229.BO.MT8-05-E6.1158937538</t>
  </si>
  <si>
    <t>SAPO130220901_603550</t>
  </si>
  <si>
    <t>16:35, 29-04-2026</t>
  </si>
  <si>
    <t xml:space="preserve">Truong Thao
 22/2 Trần Quang Khải, phường Cẩm Châu, Hội An, Quảng Nam, Phường Hội An Đông, Phường Hội An Đông, Đà Nẵng
 0707007091
 </t>
  </si>
  <si>
    <t>S22693229.HNP114-V50.1656503887</t>
  </si>
  <si>
    <t>SAPO130220919_603550</t>
  </si>
  <si>
    <t>22:57, 25-04-2026</t>
  </si>
  <si>
    <t xml:space="preserve">Thúy
 63 ngõ thí, cự đà, Xã Bình Minh, Xã Bình Minh, Hà Nội
 0974725068
 </t>
  </si>
  <si>
    <t>S22693229.MB7-15-Y7.1820542921</t>
  </si>
  <si>
    <t>SAPO130220959_603550</t>
  </si>
  <si>
    <t>18:41, 28-04-2026</t>
  </si>
  <si>
    <t xml:space="preserve">Lưu Văn Hung
 Số 51 Lê Lai, phuòng máy chai, quận Ngô Quyền, tp Hải Phòng, Phường Ngô Quyền, Phường Ngô Quyền, Hải Phòng
 0983586807
 </t>
  </si>
  <si>
    <t>S22693229.MB19-08-A3.1724073474</t>
  </si>
  <si>
    <t>SAPO130220987_603550</t>
  </si>
  <si>
    <t>15:31, 25-04-2026</t>
  </si>
  <si>
    <t xml:space="preserve">C Hương
 CC Tecco Phù Liễn, Phường Phan Đình Phùng, Phường Phan Đình Phùng, Thái Nguyên
 0986220784
 </t>
  </si>
  <si>
    <t>S22693229.MB10-13-M5.1682397784</t>
  </si>
  <si>
    <t>SAPO130221006_603550</t>
  </si>
  <si>
    <t>09:05, 24-04-2026</t>
  </si>
  <si>
    <t>20:08, 28-04-2026</t>
  </si>
  <si>
    <t xml:space="preserve">Le quang
 Ngõ 860 đường trần phú, Phường Quang Hanh, Phường Quang Hanh, Quảng Ninh
 0904514495
 </t>
  </si>
  <si>
    <t>S22693229.BO.DN9-O25.1250896864</t>
  </si>
  <si>
    <t>SAPO130221045_603550</t>
  </si>
  <si>
    <t>14:31, 27-04-2026</t>
  </si>
  <si>
    <t xml:space="preserve">NGUYỄN THỊ KIM PHƯỢNG
 H06/12 K339 Trường Chinh, Phường An Khê, Phường An Khê, Đà Nẵng
 0932770635
 </t>
  </si>
  <si>
    <t>S22693229.MB9-08-P12.1802236340</t>
  </si>
  <si>
    <t>SAPO130221067_603550</t>
  </si>
  <si>
    <t xml:space="preserve">Phượng
 Thôn Hậu-Liên Chung-Tân Yên-Bắc Giang, Xã Phúc Hòa, Xã Phúc Hòa, Bắc Ninh
 0989485258
 </t>
  </si>
  <si>
    <t>S22693229.BO.MT4-05-E14.1413960806</t>
  </si>
  <si>
    <t>SAPO130221096_603550</t>
  </si>
  <si>
    <t>18:02, 28-04-2026</t>
  </si>
  <si>
    <t xml:space="preserve">Hà Thị Yến
 Thanh Vinh,, Xã Bắc Trạch, Xã Bắc Trạch, Quảng Trị
 0918916250
 </t>
  </si>
  <si>
    <t>S22693229.MB9-05-D18.1948324548</t>
  </si>
  <si>
    <t>SAPO130221161_603550</t>
  </si>
  <si>
    <t>17:42, 25-04-2026</t>
  </si>
  <si>
    <t xml:space="preserve">Đào Thị Ảnh
 Số nhà 36A Đường Nguyễn Thị Lưu phường Ngô Quyền, Phường Bắc Giang, Phường Bắc Giang, Bắc Ninh
 0912310700
 </t>
  </si>
  <si>
    <t>S22693229.BO.MN3-09-M91.1856541719</t>
  </si>
  <si>
    <t>SAPO130221229_603550</t>
  </si>
  <si>
    <t xml:space="preserve">Milla nguyen
 Ấp nhân trung xã xuyên mộc huyện xuyên mộc tỉnh brvtau, Xã Xuyên Mộc, Xã Xuyên Mộc, TP Hồ Chí Minh
 0886079981
 </t>
  </si>
  <si>
    <t>S22693229.HNP118-A3.1793644309</t>
  </si>
  <si>
    <t>SAPO130221257_603550</t>
  </si>
  <si>
    <t xml:space="preserve">Le Huyen
 Tòa án nhân dân khu vực 7 -  Hà Nội, km 1, xã Phúc Thinh,Hà Nội, Xã Phúc Thịnh, Xã Phúc Thịnh, Hà Nội
 0985325919
 </t>
  </si>
  <si>
    <t>S22693229.BO.SGP104-S02.1996862501</t>
  </si>
  <si>
    <t>SAPO130221287_603550</t>
  </si>
  <si>
    <t>12:46, 27-04-2026</t>
  </si>
  <si>
    <t xml:space="preserve">Nguyễn Kim Thuý
 40 Trần Hưng Đạo, Phường An Đông, Phường An Đông, TP Hồ Chí Minh
 0939615940
 </t>
  </si>
  <si>
    <t>S22693229.HNP115-V95.1585683623</t>
  </si>
  <si>
    <t>SAPO130221305_603550</t>
  </si>
  <si>
    <t>18:36, 27-04-2026</t>
  </si>
  <si>
    <t xml:space="preserve">Hồ thị hằng
 Nghĩa Hảo, Xã Phú Nghĩa, Xã Phú Nghĩa, Hà Nội, Xã Phú Nghĩa, Xã Phú Nghĩa, Hà Nội
 0985562145
 </t>
  </si>
  <si>
    <t>S22693229.MB7-15-Y47.1248766379</t>
  </si>
  <si>
    <t>SAPO130221318_603550</t>
  </si>
  <si>
    <t>15:45, 28-04-2026</t>
  </si>
  <si>
    <t xml:space="preserve">Nguyễn Thị Lan
 195 Lạch Tray, Phường Gia Viên, Phường Gia Viên, Hải Phòng
 0904197998
 </t>
  </si>
  <si>
    <t>S22693229.MB10-02-B12.1385479642</t>
  </si>
  <si>
    <t>SAPO130221363_603550</t>
  </si>
  <si>
    <t>19:31, 28-04-2026</t>
  </si>
  <si>
    <t xml:space="preserve">nguyễn trung tuyến
 tổ 5 khu 6, Phường Uông Bí, Phường Uông Bí, Quảng Ninh
 0969239890
 </t>
  </si>
  <si>
    <t>S22693229.MB19-08-A3.1085450658</t>
  </si>
  <si>
    <t>SAPO130221397_603550</t>
  </si>
  <si>
    <t xml:space="preserve">anh hoa tran
 Sn 19A ngõ54 b Phủ liễn phường Phan Đình Phùng, Phường Phan Đình Phùng, Phường Phan Đình Phùng, Thái Nguyên
 0985888553
 </t>
  </si>
  <si>
    <t>S22693229.MB11-07-E3.1560521042</t>
  </si>
  <si>
    <t>SAPO130221447_603550</t>
  </si>
  <si>
    <t>17:18, 29-04-2026</t>
  </si>
  <si>
    <t xml:space="preserve">Hue
 Trung tâm bảo trợ sao mai, Xã Hội Thịnh, Xã Hội Thịnh, Phú Thọ
 0966822322
 </t>
  </si>
  <si>
    <t>S22693229.BO.SGP113-X27.1271665444</t>
  </si>
  <si>
    <t>SAPO130221489_603550</t>
  </si>
  <si>
    <t>17:03, 28-04-2026</t>
  </si>
  <si>
    <t xml:space="preserve">Vương Ngọc Hà
 186 Âu Dương Lân, Phường Chánh Hưng, Phường Chánh Hưng, TP Hồ Chí Minh
 0902497794
 </t>
  </si>
  <si>
    <t>S22693229.BO.SGP13-H09.1122368258</t>
  </si>
  <si>
    <t>SAPO130221580_603550</t>
  </si>
  <si>
    <t>13:59, 28-04-2026</t>
  </si>
  <si>
    <t xml:space="preserve">Nguyen Thi Thuy Duong
 City Garden 59 Ngô Tất Tố, P19, Bình Thạnh tháp P2-1202, Phường Thạnh Mỹ Tây, Phường Thạnh Mỹ Tây, TP Hồ Chí Minh
 0908115585
 </t>
  </si>
  <si>
    <t>S22693229.MB7-17-A22.1819417259</t>
  </si>
  <si>
    <t>SAPO130221602_603550</t>
  </si>
  <si>
    <t xml:space="preserve">Nguyen thi my dung
 603 đường Hùng Vương, Phường Hồng Bàng, Phường Hồng Bàng, Hải Phòng
 0986929252
 </t>
  </si>
  <si>
    <t>S22693229.MB25-21-K03.1083789036</t>
  </si>
  <si>
    <t>SAPO130221623_603550</t>
  </si>
  <si>
    <t>21:51, 25-04-2026</t>
  </si>
  <si>
    <t xml:space="preserve">Bùi Thị Thơm
 Thôn Bãi cháy, Xã Thành Vinh, Xã Thành Vinh, Thanh Hóa
 0378037065
 </t>
  </si>
  <si>
    <t>S22693229.MB27-01-A7.1806163241</t>
  </si>
  <si>
    <t>SAPO130221662_603550</t>
  </si>
  <si>
    <t>19:41, 27-04-2026</t>
  </si>
  <si>
    <t xml:space="preserve">Trương Thị Thuý
 Số nhà 10- Ngách 24/1 ngõ 1 đường hàm nghi Phường Hà Huy Tập - HT, Phường Thành Sen, Phường Thành Sen, Hà Tĩnh
 0963325458
 </t>
  </si>
  <si>
    <t>S22693229.MB12-15-N19.1243791960</t>
  </si>
  <si>
    <t>SAPO130221676_603550</t>
  </si>
  <si>
    <t>16:06, 28-04-2026</t>
  </si>
  <si>
    <t xml:space="preserve">Nguyễn Minh Tiến
 Số 8 phố Ngô gia tự, Phường Việt Trì, Phường Việt Trì, Phú Thọ
 0989204568
 </t>
  </si>
  <si>
    <t>S22693229.MB7-17-A50.1062297929</t>
  </si>
  <si>
    <t>SAPO130221687_603550</t>
  </si>
  <si>
    <t xml:space="preserve">Nguyễn Thị Hà
 9/47 Hoàng Quý, Lê Chân, Hải Phòng, Phường Lê Chân, Phường Lê Chân, Hải Phòng
 0379812721
 </t>
  </si>
  <si>
    <t>S22693229.MB7-15-Y23.1176278488</t>
  </si>
  <si>
    <t>SAPO130221700_603550</t>
  </si>
  <si>
    <t>09:06, 24-04-2026</t>
  </si>
  <si>
    <t>16:46, 27-04-2026</t>
  </si>
  <si>
    <t xml:space="preserve">Nguyễn Thị Thanh Huyền
 10/411 đường Đà Nẵng, đoạn xá 2, Phường Đông Hải, Phường Đông Hải, Hải Phòng
 0936219991
 </t>
  </si>
  <si>
    <t>S22693229.MB7-15-Y36.1098183197</t>
  </si>
  <si>
    <t>SAPO130221726_603550</t>
  </si>
  <si>
    <t>18:01, 27-04-2026</t>
  </si>
  <si>
    <t xml:space="preserve">lê thị thu Huyền
 36 lô 9, Phường Hải An, Phường Hải An, Hải Phòng
 0983721382
 </t>
  </si>
  <si>
    <t>S22693229.HNP78-H1.1589819303</t>
  </si>
  <si>
    <t>SAPO130221757_603550</t>
  </si>
  <si>
    <t>20:56, 25-04-2026</t>
  </si>
  <si>
    <t xml:space="preserve">Hoàng Tấn Lộc
 Khu 6 _ Thị Trấn Trạm Trôi, Xã Hoài Đức, Xã Hoài Đức, Hà Nội
 0979866366
 </t>
  </si>
  <si>
    <t>S22693229.MB17-01-A9.1713367469</t>
  </si>
  <si>
    <t>SAPO130221779_603550</t>
  </si>
  <si>
    <t xml:space="preserve">Hằng Đỗ
 650 đường Trần Đăng Ninh, hoàng đồng, p.tam thanh, lạng sơn, Phường Tam Thanh, Phường Tam Thanh, Lạng Sơn
 0983876620
 </t>
  </si>
  <si>
    <t>S22693229.BO.MN2-29-TN13.1571804214</t>
  </si>
  <si>
    <t>SAPO130221807_603550</t>
  </si>
  <si>
    <t>13:00, 29-04-2026</t>
  </si>
  <si>
    <t xml:space="preserve">Dung Dung
 Tạp hóa thảo nguyên a2d101 đường na4 cc becamex, Phường An Phú, Phường An Phú, TP Hồ Chí Minh
 0797766700
 </t>
  </si>
  <si>
    <t>S22693229.MB7-15-Y42.1728305065</t>
  </si>
  <si>
    <t>SAPO130221863_603550</t>
  </si>
  <si>
    <t>16:57, 28-04-2026</t>
  </si>
  <si>
    <t xml:space="preserve">Phạm Trung Thành
 6/2a/1286 Nguyễn Bỉnh Khiêm, Đông Hải, Hải Phòng, Phường Đông Hải, Phường Đông Hải, Hải Phòng
 0796465600
 </t>
  </si>
  <si>
    <t>S22693229.BO.MN18-09-G41.1028828059</t>
  </si>
  <si>
    <t>SAPO130221890_603550</t>
  </si>
  <si>
    <t xml:space="preserve">Nguyen Trang
 Khóm 1, Xã Trần Văn Thời, Xã Trần Văn Thời, Cà Mau
 0942246899
 </t>
  </si>
  <si>
    <t>S22693229.BO.MT6-12-M21.1002105854</t>
  </si>
  <si>
    <t>SAPO130221924_603550</t>
  </si>
  <si>
    <t>17:54, 28-04-2026</t>
  </si>
  <si>
    <t xml:space="preserve">Nguyễn Anh
 Xóm 1, Dương Nỗ Nam, Phường Vỹ Dạ, Phường Vỹ Dạ, Thành phố Huế
 0901414386
 </t>
  </si>
  <si>
    <t>S22693229.MB3-04-E15.1313068835</t>
  </si>
  <si>
    <t>SAPO130221956_603550</t>
  </si>
  <si>
    <t>18:28, 25-04-2026</t>
  </si>
  <si>
    <t xml:space="preserve">Nguyễn chức
 Giao bình ninh bình, Xã Giao Bình, Xã Giao Bình, Ninh Bình
 0987051092
 </t>
  </si>
  <si>
    <t>S22693229.BO.MN8-04-P42.1118212143</t>
  </si>
  <si>
    <t>SAPO130221988_603550</t>
  </si>
  <si>
    <t xml:space="preserve">Yến trang
 Ấp an nghĩa xã an hóa châu thành bến tre, Xã Giao Long, Xã Giao Long, Vĩnh Long
 0909090645
 </t>
  </si>
  <si>
    <t>S22693229.BO.SGP104-S06.1935721588</t>
  </si>
  <si>
    <t>SAPO130222022_603550</t>
  </si>
  <si>
    <t>13:17, 28-04-2026</t>
  </si>
  <si>
    <t xml:space="preserve">Đào Văn Ngọc
 67 Huỳnh Mẫn Đạt, Phường An Đông, Phường An Đông, TP Hồ Chí Minh
 0938891010
 </t>
  </si>
  <si>
    <t>S22693229.MB9-08-P17.1800479460</t>
  </si>
  <si>
    <t>SAPO130222036_603550</t>
  </si>
  <si>
    <t xml:space="preserve">Nguyễn thị mai nhi
 Khu hành chính công, Xã Tân Yên, Xã Tân Yên, Bắc Ninh
 0962084236
 </t>
  </si>
  <si>
    <t>S22693229.BO.MT14-07-M21.1207885922</t>
  </si>
  <si>
    <t>SAPO130222052_603550</t>
  </si>
  <si>
    <t>16:40, 29-04-2026</t>
  </si>
  <si>
    <t xml:space="preserve">Nguyễn thị yến
 1205, Xã Tánh Linh, Xã Tánh Linh, Lâm Đồng
 0918244339
 </t>
  </si>
  <si>
    <t>S22693229.BO.MN5-10-J62.1924652374</t>
  </si>
  <si>
    <t>SAPO130222082_603550</t>
  </si>
  <si>
    <t>21:21, 29-04-2026</t>
  </si>
  <si>
    <t xml:space="preserve">Chau nu
 Kcn chơn thành, Phường Chơn Thành, Phường Chơn Thành, Đồng Nai
 0986715167
 </t>
  </si>
  <si>
    <t>S22693229.MB16-02-B1.1292085836</t>
  </si>
  <si>
    <t>SAPO130222090_603550</t>
  </si>
  <si>
    <t>17:17, 25-04-2026</t>
  </si>
  <si>
    <t xml:space="preserve">Lê thị huyền
 Tiểu khu 32 thị trấn nông trường Mộc Châu Sơn La, Phường Mộc Châu, Phường Mộc Châu, Sơn La
 0985269662
 </t>
  </si>
  <si>
    <t>S22693229.MB9-17-G17.1323216762</t>
  </si>
  <si>
    <t>SAPO130222114_603550</t>
  </si>
  <si>
    <t xml:space="preserve">nguyễn thị quy
 công ty sejong wise, lô cn-17, kcn vân trung, Phường Nếnh, Phường Nếnh, Bắc Ninh
 0962897231
 </t>
  </si>
  <si>
    <t>S22693229.BO.MT6-04-B12.1036462175</t>
  </si>
  <si>
    <t>SAPO130222128_603550</t>
  </si>
  <si>
    <t>20:18, 29-04-2026</t>
  </si>
  <si>
    <t xml:space="preserve">Phạm thị đoan trang
 Tổ dân phố 4. Thị trấn Phú Lộc, Xã Phú Lộc, Xã Phú Lộc, Thành phố Huế
 0382184458
 </t>
  </si>
  <si>
    <t>S22693229.MB7-17-A46.1349792616</t>
  </si>
  <si>
    <t>SAPO130222172_603550</t>
  </si>
  <si>
    <t>19:46, 29-04-2026</t>
  </si>
  <si>
    <t xml:space="preserve">Ngọc
 58 cát cụt, lê chân, hải phòng, Phường An Biên, Phường An Biên, Hải Phòng
 0818333688
 </t>
  </si>
  <si>
    <t>S22693229.BO.MN2-13-M71.1177912940</t>
  </si>
  <si>
    <t>SAPO130222206_603550</t>
  </si>
  <si>
    <t>20:10, 27-04-2026</t>
  </si>
  <si>
    <t xml:space="preserve">Nguyễn thị thuỳ trang
 121/41/12/12 đường Phạm Ngọc Thạch, Phường Phú Lợi, Phường Phú Lợi, TP Hồ Chí Minh
 0329161062
 </t>
  </si>
  <si>
    <t>S22693229.BO.MN3-09-M85.1737532183</t>
  </si>
  <si>
    <t>SAPO130222213_603550</t>
  </si>
  <si>
    <t>19:32, 28-04-2026</t>
  </si>
  <si>
    <t xml:space="preserve">Lê Tuân
 Ấp 1, Xã Hòa Hội, Xã Hòa Hội, TP Hồ Chí Minh
 0931379566
 </t>
  </si>
  <si>
    <t>S22693229.BO.MN10-01-C31.1957626052</t>
  </si>
  <si>
    <t>SAPO130227681_603550</t>
  </si>
  <si>
    <t>09:12, 24-04-2026</t>
  </si>
  <si>
    <t>14:34, 27-04-2026</t>
  </si>
  <si>
    <t xml:space="preserve">My ngo
 Ấp Phú Thạnh, Xã Bình Phú, Xã Bình Phú, Vĩnh Long
 0937225917
 </t>
  </si>
  <si>
    <t>S22693229.HNP47-M131.1643537751</t>
  </si>
  <si>
    <t>SAPO130227677_603550</t>
  </si>
  <si>
    <t xml:space="preserve">Dương Thăng
 282A Đặng Tiến Đông, Đống Đa, Hà Nội, Phường Đống Đa, Phường Đống Đa, Hà Nội
 0936327537
 </t>
  </si>
  <si>
    <t>S22693229.MB27-05-E2.1621023134</t>
  </si>
  <si>
    <t>SAPO130227682_603550</t>
  </si>
  <si>
    <t>16:54, 28-04-2026</t>
  </si>
  <si>
    <t xml:space="preserve">Thơm
 Thôn nam mới, Xã Cổ Đạm, Xã Cổ Đạm, Hà Tĩnh
 0961997308
 </t>
  </si>
  <si>
    <t>S22693229.HNP11-D4.1355592313</t>
  </si>
  <si>
    <t>SAPO130227680_603550</t>
  </si>
  <si>
    <t>15:21, 25-04-2026</t>
  </si>
  <si>
    <t xml:space="preserve">Yến
 C01- L17 an vượng KĐTM Dương Nội, Phường Dương Nội, Phường Dương Nội, Hà Nội
 0912816716
 </t>
  </si>
  <si>
    <t>S22693229.BO.SG11-03-B4.1315798247</t>
  </si>
  <si>
    <t>SAPO130227678_603550</t>
  </si>
  <si>
    <t>13:30, 28-04-2026</t>
  </si>
  <si>
    <t>S22693229.MB8-16-P5.1296671279</t>
  </si>
  <si>
    <t>SAPO130227679_603550</t>
  </si>
  <si>
    <t xml:space="preserve">Đỗ Thúy Tình
 Ngõ 666 ngách 33 hẻm 1 khu Bê Tông Thụ Ninh phường Vạn An thành phố Bắc Ninh tỉnh Bắc Ninh, Phường Kinh Bắc, Phường Kinh Bắc, Bắc Ninh
 0949192405
 </t>
  </si>
  <si>
    <t>S22693229.BO.MN9-11-A100.1381129571</t>
  </si>
  <si>
    <t>SAPO130228236_603550</t>
  </si>
  <si>
    <t>18:16, 27-04-2026</t>
  </si>
  <si>
    <t xml:space="preserve">Hồng Ân
 85/4  cầu Rạch Rô, khóm Vĩnh Bình, phường Tân Ngãi, tỉnh Vĩnh Long, Phường Tân Ngãi, Phường Tân Ngãi, Vĩnh Long
 0783835312
 </t>
  </si>
  <si>
    <t>S22693229.MB7-15-Y4.1707485527</t>
  </si>
  <si>
    <t>527843125585207</t>
  </si>
  <si>
    <t>10:13, 24-04-2026</t>
  </si>
  <si>
    <t>16:04, 27-04-2026</t>
  </si>
  <si>
    <t xml:space="preserve">Đặng Nhật Quang
 8/21/215 lê lai, phường ngô quyền, hải phòng, Phường Ngô Quyền, Phường Ngô Quyền, Hải Phòng
 0978334391
 </t>
  </si>
  <si>
    <t>S22693229.HNP146-G133.1224543812</t>
  </si>
  <si>
    <t>SAPO130267656_603550</t>
  </si>
  <si>
    <t>10:40, 24-04-2026</t>
  </si>
  <si>
    <t xml:space="preserve">Tâm An
 Sảnh Za cc felizhomes 279 Hoàng Mai, Phường Hoàng Mai, Phường Hoàng Mai, Hà Nội
 0328521439
 </t>
  </si>
  <si>
    <t>S22693229.HNP146-G217.1799560543</t>
  </si>
  <si>
    <t>SAPO130267659_603550</t>
  </si>
  <si>
    <t>17:47, 27-04-2026</t>
  </si>
  <si>
    <t xml:space="preserve">Nguyễn Minh Nguyệt
 P11 Time City Minh Khai, Phường Vĩnh Tuy, Phường Vĩnh Tuy, Hà Nội
 0915959202
 </t>
  </si>
  <si>
    <t>S22693229.MB7-17-A31.1606769965</t>
  </si>
  <si>
    <t>SAPO130267652_603550</t>
  </si>
  <si>
    <t>19:52, 29-04-2026</t>
  </si>
  <si>
    <t xml:space="preserve">Hảo Phạm
 127 Lán Bè, Phường An Biên, Phường An Biên, Hải Phòng
 0936933633
 </t>
  </si>
  <si>
    <t>S22693229.MB25-07-W3.1118899337</t>
  </si>
  <si>
    <t>SAPO130267653_603550</t>
  </si>
  <si>
    <t>20:27, 27-04-2026</t>
  </si>
  <si>
    <t xml:space="preserve">Quyên Bùi
 Khu Quân Bình, Xã Thọ Xuân, Xã Thọ Xuân, Thanh Hóa
 0976324134
 </t>
  </si>
  <si>
    <t>S22693229.MB2-04-F1.1841301649</t>
  </si>
  <si>
    <t>SAPO130267662_603550</t>
  </si>
  <si>
    <t>20:55, 28-04-2026</t>
  </si>
  <si>
    <t xml:space="preserve">Nguyễn Thị Len
 số nhà 39, ngách 2, ngõ 78 đường Thanh Niên, thôn Phú Thịnh, Xã Yên Mô, Xã Yên Mô, Ninh Bình
 0982268906
 </t>
  </si>
  <si>
    <t>S22693229.BO.MN7-15-C85.1823019750</t>
  </si>
  <si>
    <t>SAPO130267657_603550</t>
  </si>
  <si>
    <t>13:07, 27-04-2026</t>
  </si>
  <si>
    <t xml:space="preserve">Loan Huỳnh
 Ấp Thạnh Lợi, Xã Long Bình, Xã Long Bình, Đồng Tháp
 0966270893
 </t>
  </si>
  <si>
    <t>S22693229.MB6-17-D8.1373770610</t>
  </si>
  <si>
    <t>SAPO130267668_603550</t>
  </si>
  <si>
    <t>15:03, 28-04-2026</t>
  </si>
  <si>
    <t xml:space="preserve">Ha Pham
 trường mầm non Nguyễn Trãi số 1 Hoàng Hoa thám, Phường Thành Đông, Phường Thành Đông, Hải Phòng
 0989731269
 </t>
  </si>
  <si>
    <t>S22693229.MB3-01-A11.1187264306</t>
  </si>
  <si>
    <t>SAPO130267660_603550</t>
  </si>
  <si>
    <t>13:46, 28-04-2026</t>
  </si>
  <si>
    <t xml:space="preserve">Phượng Trần
 Khu Đô Thị Dệt  Cửa Bắc Tp, Phường Nam Định, Phường Nam Định, Ninh Bình
 0812959825
 </t>
  </si>
  <si>
    <t>S22693229.MB1-06-F6.1396342053</t>
  </si>
  <si>
    <t>SAPO130267665_603550</t>
  </si>
  <si>
    <t>17:50, 25-04-2026</t>
  </si>
  <si>
    <t xml:space="preserve">Lieu Le Thi
 Xóm 3  Nhật Tân, Phường Kim Thanh, Phường Kim Thanh, Ninh Bình
 0355390010
 </t>
  </si>
  <si>
    <t>S22693229.HNP48-L33-TRUONG.1631459964</t>
  </si>
  <si>
    <t>SAPO130267658_603550</t>
  </si>
  <si>
    <t xml:space="preserve">Hoa Nguyen
 3 Ngách 83/39 Xóm Án Triều Khúc Tân Triều, Phường Thanh Liệt, Phường Thanh Liệt, Hà Nội
 0943885659
 </t>
  </si>
  <si>
    <t>S22693229.MB4-06-F11.1314560146</t>
  </si>
  <si>
    <t>SAPO130267663_603550</t>
  </si>
  <si>
    <t xml:space="preserve">Xuân Lưu Thị
 39 Lê thái tổ Hưng nhânxã Long Hưng tỉnh Hưng yên, Xã Long Hưng, Xã Long Hưng, Hưng Yên
 0393747301
 </t>
  </si>
  <si>
    <t>S22693229.HNP55-D9.1297874118</t>
  </si>
  <si>
    <t>SAPO130267666_603550</t>
  </si>
  <si>
    <t>20:07, 29-04-2026</t>
  </si>
  <si>
    <t xml:space="preserve">Thanh Hiền Tạ
 ố 3 ngõ 3 đỗ nhuận phường xuân đỉnh hà nội, Phường Xuân Đỉnh, Phường Xuân Đỉnh, Hà Nội
 0986657672
 </t>
  </si>
  <si>
    <t>S22693229.BO.MN1-08-P62.1729340091</t>
  </si>
  <si>
    <t>SAPO130267667_603550</t>
  </si>
  <si>
    <t>18:16, 29-04-2026</t>
  </si>
  <si>
    <t xml:space="preserve">Quy Le
 cty boramtek đường 17a kcn biên Hòa 2, Phường Biên Hòa, Phường Biên Hòa, Đồng Nai
 0358619856
 </t>
  </si>
  <si>
    <t>S22693229.BO.MN5-10-A21.1496144617</t>
  </si>
  <si>
    <t>SAPO130267655_603550</t>
  </si>
  <si>
    <t xml:space="preserve">Nguyễn Minh Quang
 phòng thí nghiệm công ty TNHH TM vina lôh1h2 khu công nghiệp Minh Hưng hàn quốc, Phường Minh Hưng, Phường Minh Hưng, Đồng Nai
 0395016328
 </t>
  </si>
  <si>
    <t>S22693229.BO.MT11-01-A72.1331774458</t>
  </si>
  <si>
    <t>SAPO130267661_603550</t>
  </si>
  <si>
    <t xml:space="preserve">Nguyễn Thị Mai Trinh
 32 Lê Hồng Phong P7 Tuy Hòa, Phường Tuy Hòa, Phường Tuy Hòa, Đắk Lắk
 0942032716
 </t>
  </si>
  <si>
    <t>S22693229.HNP135-P65.1249899399</t>
  </si>
  <si>
    <t>SAPO130267654_603550</t>
  </si>
  <si>
    <t>15:31, 27-04-2026</t>
  </si>
  <si>
    <t xml:space="preserve">Ngô Thảo
 Sn 25 ngõ 1, Nguyễn Thái Học, Phường Sơn Tây, Phường Sơn Tây, Hà Nội
 0988977678
 </t>
  </si>
  <si>
    <t>S22693229.BO.MT16-12-G02.1589910066</t>
  </si>
  <si>
    <t>SAPO130267664_603550</t>
  </si>
  <si>
    <t>19:28, 27-04-2026</t>
  </si>
  <si>
    <t xml:space="preserve">Nong San
 ủy ban xã Ia Pia, Xã Ia Pia, Xã Ia Pia, Gia Lai
 0908975281
 </t>
  </si>
  <si>
    <t>S22693229.MB22-01-G21.1868501299</t>
  </si>
  <si>
    <t>SAPO130267703_603550</t>
  </si>
  <si>
    <t xml:space="preserve">Van Toan
 thôn Phời 2, xã Hợp Thành, tỉnh Lào Cai, Xã Hợp Thành, Xã Hợp Thành, Lào Cai
 0385526511
 </t>
  </si>
  <si>
    <t>S22693229.BO.SGP37-K28.1637215938</t>
  </si>
  <si>
    <t>SAPO130267717_603550</t>
  </si>
  <si>
    <t>15:57, 28-04-2026</t>
  </si>
  <si>
    <t xml:space="preserve">Trần Sương
 cty tnhh aban 44 tân thới nhất 8, Tân Thới Nhất 8, Phường Đông Hưng Thuận, Phường Đông Hưng Thuận, TP Hồ Chí Minh
 0377729306
 </t>
  </si>
  <si>
    <t>S22693229.BO.MT15-06-G45.1095515842</t>
  </si>
  <si>
    <t>SAPO130267728_603550</t>
  </si>
  <si>
    <t>15:32, 28-04-2026</t>
  </si>
  <si>
    <t xml:space="preserve">Truong Nguyen
 C10-05 Trần Nhân Tông, Phường Kon Tum, Phường Kon Tum, Quảng Ngãi
 0944486386
 </t>
  </si>
  <si>
    <t>S22693229.HNP105-V8.1139533354</t>
  </si>
  <si>
    <t>SAPO130267741_603550</t>
  </si>
  <si>
    <t xml:space="preserve">My Linh Nguyen
 15 Tố Hữu Nhân Chính, Phường Đại Mỗ, Phường Đại Mỗ, Hà Nội
 0906248296
 </t>
  </si>
  <si>
    <t>S22693229.MB16-01-A19.1145781347</t>
  </si>
  <si>
    <t>SAPO130267759_603550</t>
  </si>
  <si>
    <t>19:01, 27-04-2026</t>
  </si>
  <si>
    <t xml:space="preserve">Hien Ha
 Số 634 lê duẩn, tổ 4, Phường Chiềng Sinh, Phường Chiềng Sinh, Sơn La
 0842081988
 </t>
  </si>
  <si>
    <t>S22693229.MB19-15-L4.1025966462</t>
  </si>
  <si>
    <t>SAPO130267776_603550</t>
  </si>
  <si>
    <t>20:47, 27-04-2026</t>
  </si>
  <si>
    <t xml:space="preserve">Trần Thúy Vân
 Tổ 4 Quang Vinh, Phường Quan Triều, Phường Quan Triều, Thái Nguyên
 0966048983
 </t>
  </si>
  <si>
    <t>S22693229.MB26-31-F11.1204952871</t>
  </si>
  <si>
    <t>SAPO130267788_603550</t>
  </si>
  <si>
    <t>20:06, 28-04-2026</t>
  </si>
  <si>
    <t xml:space="preserve">Nga Chung
 số  2 Xóm 5, Xã Quảng Châu, Xã Quảng Châu, Nghệ An
 0975322611
 </t>
  </si>
  <si>
    <t>S22693229.MB22-01-G20.1627085346</t>
  </si>
  <si>
    <t>SAPO130267810_603550</t>
  </si>
  <si>
    <t>10:41, 24-04-2026</t>
  </si>
  <si>
    <t xml:space="preserve">Trần An
 083 Nguyễn Trãi Tổ 3, Phường Cam Đường, Phường Cam Đường, Lào Cai
 0362628217
 </t>
  </si>
  <si>
    <t>S22693229.BO.MN6-05-T51.1401681297</t>
  </si>
  <si>
    <t>SAPO130267837_603550</t>
  </si>
  <si>
    <t xml:space="preserve">Hoàng Oanh
 70 ấp 1a tân trạch cần đước long an, Xã Mỹ Lệ, Xã Mỹ Lệ, Tây Ninh
 0907367868
 </t>
  </si>
  <si>
    <t>S22693229.HNP25-F104.1135201725</t>
  </si>
  <si>
    <t>SAPO130267864_603550</t>
  </si>
  <si>
    <t>11:46, 25-04-2026</t>
  </si>
  <si>
    <t xml:space="preserve">Chị Thúy
 67 ngõ 381 Nguyễn Khang, Phường Cầu Giấy, Phường Cầu Giấy, Hà Nội
 0983000707
 </t>
  </si>
  <si>
    <t>S22693229.MB2-03-C7.1847656051</t>
  </si>
  <si>
    <t>SAPO130267893_603550</t>
  </si>
  <si>
    <t>19:22, 25-04-2026</t>
  </si>
  <si>
    <t xml:space="preserve">Chị Hương
 Số nhà 446, Đường Thiên Quan, Xã Nho Quan, Xã Nho Quan, Ninh Bình
 0986718295
 </t>
  </si>
  <si>
    <t>S22693229.BO.MN1-18-Q15.1553006111</t>
  </si>
  <si>
    <t>SAPO130267921_603550</t>
  </si>
  <si>
    <t>18:59, 28-04-2026</t>
  </si>
  <si>
    <t xml:space="preserve">Chị Ngọc
 Công ty TNHH FC VIỆT NAMĐƯỜNG SỐ 4, KCN LONG BÌNH,, Phường Long Bình, Phường Long Bình, Đồng Nai
 0949978012
 </t>
  </si>
  <si>
    <t>S22693229.BO.MB22-08-H11.1234090077</t>
  </si>
  <si>
    <t>SAPO130270488_603550</t>
  </si>
  <si>
    <t>10:46, 24-04-2026</t>
  </si>
  <si>
    <t>19:46, 28-04-2026</t>
  </si>
  <si>
    <t xml:space="preserve">Bông Hồng Có Gai
 Tả Hà 3, Xã Bảo Thắng, Xã Bảo Thắng, Lào Cai
 0365838926
 </t>
  </si>
  <si>
    <t>S22693229.HNP39-H21.1704284675</t>
  </si>
  <si>
    <t>SAPO130274946_603550</t>
  </si>
  <si>
    <t>10:57, 24-04-2026</t>
  </si>
  <si>
    <t>18:22, 28-04-2026</t>
  </si>
  <si>
    <t xml:space="preserve">Phạm Nhung
 Toà Sa3 Vinhome Smart City Tây Mỗ Hà Nội, Phường Xuân Phương, Phường Xuân Phương, Hà Nội
 0967458611
 </t>
  </si>
  <si>
    <t>S22693229.BO.SGP104-N71.1963316990</t>
  </si>
  <si>
    <t>SAPO130274995_603550</t>
  </si>
  <si>
    <t>14:22, 27-04-2026</t>
  </si>
  <si>
    <t xml:space="preserve">Mỹ Trang
 324/1/4 Lý Thường Kiệt, phường 14, quận 10, Phường Diên Hồng, Phường Diên Hồng, TP Hồ Chí Minh
 0359381386
 </t>
  </si>
  <si>
    <t>S22693229.BO.SGP11-V66.1775428019</t>
  </si>
  <si>
    <t>SAPO130275005_603550</t>
  </si>
  <si>
    <t xml:space="preserve">Thành Nhân
 162 Hai Bà Trưng, phường Đakao, quận 1, Phường Sài Gòn, Phường Sài Gòn, TP Hồ Chí Minh
 0568159931
 </t>
  </si>
  <si>
    <t>S22693229.BO.SGP34-K47.1401393476</t>
  </si>
  <si>
    <t>SAPO130275024_603550</t>
  </si>
  <si>
    <t>18:50, 27-04-2026</t>
  </si>
  <si>
    <t xml:space="preserve">Rainy
 Chung cư happy one premier TL08 phường Thạnh Lộc q12 HCM, Phường An Phú Đông, Phường An Phú Đông, TP Hồ Chí Minh
 0937073736
 </t>
  </si>
  <si>
    <t>S22693229.HNP46-F86.1704450313</t>
  </si>
  <si>
    <t>SAPO130275041_603550</t>
  </si>
  <si>
    <t>18:06, 25-04-2026</t>
  </si>
  <si>
    <t xml:space="preserve">Thủy Hạnh
 Ktx học viện báo chí 89 Nguyễn Phong Sắc, Dịch Vọng Hậu, Cầu Giấy, HN, Phường Cầu Giấy, Phường Cầu Giấy, Hà Nội
 0843555919
 </t>
  </si>
  <si>
    <t>S22693229.BO.SG13-03-C26.1487904237</t>
  </si>
  <si>
    <t>SAPO130275074_603550</t>
  </si>
  <si>
    <t>21:30, 27-04-2026</t>
  </si>
  <si>
    <t xml:space="preserve">Võ Thuỳ Dương
 18, cao thị bèo, ấp mũi côn đại, xã phước hiệp, củ chi, hcm, Xã Tân An Hội, Xã Tân An Hội, TP Hồ Chí Minh
 0902421877
 </t>
  </si>
  <si>
    <t>S22693229.MB26-39-J10.1276228923</t>
  </si>
  <si>
    <t>SAPO130275087_603550</t>
  </si>
  <si>
    <t>21:03, 27-04-2026</t>
  </si>
  <si>
    <t xml:space="preserve">Cơm nhà Pun
 xóm 2, xã Tăng Thành, huyện Yên Thành, tỉnh Nghệ An (dchi mới: Xóm 2, xã Yên Thành, tỉnh Nghệ An), Xã Yên Thành, Xã Yên Thành, Nghệ An
 0972057317
 </t>
  </si>
  <si>
    <t>S22693229.MB3-01-A15.1556587624</t>
  </si>
  <si>
    <t>SAPO130275100_603550</t>
  </si>
  <si>
    <t xml:space="preserve">Hoàng Kim Dung
 xóm Đại Thắng, xã Nam Mỹ, huyện Nam Trực, tỉnh Nam Định cũ, Phường Vị Khê, Phường Vị Khê, Ninh Bình
 0989381074
 </t>
  </si>
  <si>
    <t>S22693229.BO.SGP59-P75.1505254178</t>
  </si>
  <si>
    <t>SAPO130275117_603550</t>
  </si>
  <si>
    <t>18:43, 27-04-2026</t>
  </si>
  <si>
    <t xml:space="preserve">Phạm Xuân Đào
 Chung cư The Western Capital. 116 Lý Chiêu Hoàng, Phường 10, Quận 6, Phường Bình Phú, Phường Bình Phú, TP Hồ Chí Minh
 0383509813
 </t>
  </si>
  <si>
    <t>S22693229.MB4-03-C14.1188741243</t>
  </si>
  <si>
    <t>SAPO130275128_603550</t>
  </si>
  <si>
    <t xml:space="preserve">Đào Thị Hiền
 Thôn Đoài Nghĩa (xã Thụy Liên cũ), xã Thái Thụy, tỉnh Hưng Yên, Hưng Yên, Vietnam, Xã Thái Thụy, Xã Thái Thụy, Hưng Yên
 0988722045
 </t>
  </si>
  <si>
    <t>S22693229.BO.SGP37-K17.1947999191</t>
  </si>
  <si>
    <t>SAPO130275140_603550</t>
  </si>
  <si>
    <t xml:space="preserve">Đào lệ chi
 G25 Đường D3 P. Đông Hưng Thuận HCM (P. Tân Thới Nhất Q12 cũ), Phường Đông Hưng Thuận, Phường Đông Hưng Thuận, TP Hồ Chí Minh
 0904545416
 </t>
  </si>
  <si>
    <t>S22693229.BO.SGP26-Q69.1373118645</t>
  </si>
  <si>
    <t>SAPO130275147_603550</t>
  </si>
  <si>
    <t>12:31, 29-04-2026</t>
  </si>
  <si>
    <t xml:space="preserve">Nguyệt
 số 52, đường 28, Phường Hiệp Bình Chánh, Quận Thủ Đức- TPHCM, Phường Hiệp Bình, Phường Hiệp Bình, TP Hồ Chí Minh
 0901195985
 </t>
  </si>
  <si>
    <t>S22693229.BO.SGP35-K02.1522151306</t>
  </si>
  <si>
    <t>SAPO130275167_603550</t>
  </si>
  <si>
    <t>13:15, 29-04-2026</t>
  </si>
  <si>
    <t xml:space="preserve">Kim hào
 B15 Đường Trung Mỹ Tây 2A, Phường Trung Mỹ Tây, Phường Trung Mỹ Tây, TP Hồ Chí Minh, Phường Trung Mỹ Tây, Phường Trung Mỹ Tây, TP Hồ Chí Minh
 0876765368
 </t>
  </si>
  <si>
    <t>S22693229.HNP27-N65.1199155938</t>
  </si>
  <si>
    <t>SAPO130275181_603550</t>
  </si>
  <si>
    <t xml:space="preserve">Pham Thi Ly
 S206 Vinhome Ocean Park, Gia Lâm, HN, Xã Gia Lâm, Xã Gia Lâm, Hà Nội
 0976283231
 </t>
  </si>
  <si>
    <t>S22693229.BO.MN1-20-TP82.1700599846</t>
  </si>
  <si>
    <t>SAPO130275185_603550</t>
  </si>
  <si>
    <t>14:43, 28-04-2026</t>
  </si>
  <si>
    <t xml:space="preserve">Cơm Nhà Huyền
 tổ 12 khu phố hương phước phường phước tân biên hòa Đồng Nai, Phường Phước Tân, Phường Phước Tân, Đồng Nai
 0976416944
 </t>
  </si>
  <si>
    <t>S22693229.BO.MN7-18-E51.1683424004</t>
  </si>
  <si>
    <t>SAPO130275207_603550</t>
  </si>
  <si>
    <t>13:55, 27-04-2026</t>
  </si>
  <si>
    <t xml:space="preserve">tiệm áo cưới Mai
 ấp hậu hoa, xã hậu thành, cái bè, tiền giang, Xã Hội Cư, Xã Hội Cư, Đồng Tháp
 0907781242
 </t>
  </si>
  <si>
    <t>S22693229.HNP52-Y34.1009220939</t>
  </si>
  <si>
    <t>SAPO130275237_603550</t>
  </si>
  <si>
    <t>20:27, 28-04-2026</t>
  </si>
  <si>
    <t xml:space="preserve">Hà Quỳnh Anh
 Chung cư Thanh Bình Garden số 3 Nguyễn Cảnh Dị, Định Công, Hoàng Mai, Hà Nội, Phường Định Công, Phường Định Công, Hà Nội
 0787240601
 </t>
  </si>
  <si>
    <t>S22693229.BO.SGP78-S58.1674346404</t>
  </si>
  <si>
    <t>SAPO130275261_603550</t>
  </si>
  <si>
    <t xml:space="preserve">Nguyễn Thị Thanh Hoa
 15 Sơn Cang, Phường 12, Tân Bình, HCM, Phường Bảy Hiền, Phường Bảy Hiền, TP Hồ Chí Minh
 0349681068
 </t>
  </si>
  <si>
    <t>S22693229.MB27-11-L9.1689779880</t>
  </si>
  <si>
    <t>SAPO130275279_603550</t>
  </si>
  <si>
    <t>07:29, 28-04-2026</t>
  </si>
  <si>
    <t xml:space="preserve">phan thị oanh
 thôn thanh lương, xã mai phụ, tỉnh hà tĩnh, Xã Mai Phụ, Xã Mai Phụ, Hà Tĩnh
 0386133701
 </t>
  </si>
  <si>
    <t>S22693229.BO.SGP05-N32.1270760634</t>
  </si>
  <si>
    <t>SAPO130275301_603550</t>
  </si>
  <si>
    <t>10:58, 24-04-2026</t>
  </si>
  <si>
    <t>13:50, 28-04-2026</t>
  </si>
  <si>
    <t xml:space="preserve">Ngô Thị Phương Thanh
 Hẻm 1331/57 Lê Đức Thọ, Phường An Hội Tây, Phường An Hội Tây, TP Hồ Chí Minh, Phường An Hội Tây, Phường An Hội Tây, TP Hồ Chí Minh
 0906399488
 </t>
  </si>
  <si>
    <t>S22693229.BO.MT19-28-E57.1361173913</t>
  </si>
  <si>
    <t>SAPO130275312_603550</t>
  </si>
  <si>
    <t>20:06, 29-04-2026</t>
  </si>
  <si>
    <t xml:space="preserve">Trần Thị Thu Lan
 Số 66, Thôn 14A, Hoà Ninh, Lâm Đồng, Xã Hòa Ninh, Xã Hòa Ninh, Lâm Đồng
 0374797967
 </t>
  </si>
  <si>
    <t>S22693229.HNP117-M10.1875732412</t>
  </si>
  <si>
    <t>SAPO130275327_603550</t>
  </si>
  <si>
    <t xml:space="preserve">Nguyễn Thu Thủy
 Số nhà 39A, đường Điện Biên, Bãi Thụy, xã Đan Phượng, Hà Nội, Xã Đan Phượng, Xã Đan Phượng, Hà Nội
 0368341468
 </t>
  </si>
  <si>
    <t>S22693229.BO.MT18-06-G52.1195113004</t>
  </si>
  <si>
    <t>SAPO130275332_603550</t>
  </si>
  <si>
    <t xml:space="preserve">Phạm Thu Phương
 01 Đinh Núp Tổ 3 Thị Trấn Đắk Mâm, Huyện Krông Nô_Đắk Nông, Xã Krông Nô, Xã Krông Nô, Lâm Đồng
 0942458587
 </t>
  </si>
  <si>
    <t>S22693229.HNP05-G31.1383541552</t>
  </si>
  <si>
    <t>SAPO130275342_603550</t>
  </si>
  <si>
    <t>17:24, 25-04-2026</t>
  </si>
  <si>
    <t xml:space="preserve">Nguyễn Thuỳ Linh
 SN 17 ngõ 236 Khương Đình, Thanh Xuân, Hà Nộ, Phường Khương Đình, Phường Khương Đình, Hà Nội
 0374487900
 </t>
  </si>
  <si>
    <t>S22693229.HNP11-D4.1743610568</t>
  </si>
  <si>
    <t>SAPO130275349_603550</t>
  </si>
  <si>
    <t xml:space="preserve">Chu Thị Huyền Trang
 CT8C, KĐT mởi Dương Nội, Phường Dương Nội, Hà Nội, Phường Dương Nội, Phường Dương Nội, Hà Nội
 0969320045
 </t>
  </si>
  <si>
    <t>S22693229.MB26-39-J10.1414175134</t>
  </si>
  <si>
    <t>SAPO130275370_603550</t>
  </si>
  <si>
    <t xml:space="preserve">Ngô Linh Uyên
 xóm 2, xã Tăng Thành, huyện Yên Thành, tỉnh Nghệ An( dchi mới: Xóm 2, xã Yên Thành, tỉnh Nghệ An), Xã Yên Thành, Xã Yên Thành, Nghệ An
 0972057317
 </t>
  </si>
  <si>
    <t>S22693229.BO.DN7-M8.1571323432</t>
  </si>
  <si>
    <t>SAPO130275387_603550</t>
  </si>
  <si>
    <t xml:space="preserve">Đỗ Thị Hồng
 FPT Plaza1 - Trần Quốc Vượng - Hoà Hải-Ngũ Hành Sơn-Đà Nẵng, Phường Ngũ Hành Sơn, Phường Ngũ Hành Sơn, Đà Nẵng
 0935675977
 </t>
  </si>
  <si>
    <t>S22693229.HNP62-Y32.1877270741</t>
  </si>
  <si>
    <t>SAPO130275411_603550</t>
  </si>
  <si>
    <t xml:space="preserve">Út Hương
 Ct12b khu đô thị Kim văn kim lũ _ Đại Kim_ Hoàng Mai _ Hà Nội, Phường Định Công, Phường Định Công, Hà Nội
 0981119913
 </t>
  </si>
  <si>
    <t>S22693229.MB27-09-I5.1886879988</t>
  </si>
  <si>
    <t>SAPO130275427_603550</t>
  </si>
  <si>
    <t>18:41, 27-04-2026</t>
  </si>
  <si>
    <t xml:space="preserve">Nguyễn Thị Ngọc Linh
 Thôn Yên Hội Xã Đức Thọ Tỉnh Hà Tĩnh, Xã Đức Thọ, Xã Đức Thọ, Hà Tĩnh
 0357893155
 </t>
  </si>
  <si>
    <t>S22693229.BO.SGP05-N23.1013009090</t>
  </si>
  <si>
    <t>SAPO130275449_603550</t>
  </si>
  <si>
    <t>17:42, 28-04-2026</t>
  </si>
  <si>
    <t xml:space="preserve">Chinh cooking
 369/36/10 Phạm Văn Chiêu, Phường An Hội Tây, TP.HCM, Phường An Hội Tây, Phường An Hội Tây, TP Hồ Chí Minh
 0916094883
 </t>
  </si>
  <si>
    <t>S22693229.HNP39-D8.1369332947</t>
  </si>
  <si>
    <t>SAPO130275460_603550</t>
  </si>
  <si>
    <t xml:space="preserve">Ngọc Mai
 (Nhà liền kề đầu tiên) Ngõ 12 đường la tinh 2, xóm 3, Thôn La tinh, An Khánh, Hà Nội, Xã An Khánh, Xã An Khánh, Hà Nội
 0975277683
 </t>
  </si>
  <si>
    <t>S22693229.BO.SG11-03-C36.1381205904</t>
  </si>
  <si>
    <t>SAPO130275473_603550</t>
  </si>
  <si>
    <t xml:space="preserve">Thuỳ
 A5/51,tổ2,ấp 1b vĩnh lộc a,bình chánh., Xã Vĩnh Lộc, Xã Vĩnh Lộc, TP Hồ Chí Minh
 0906827897
 </t>
  </si>
  <si>
    <t>S22693229.BO.MT19-02-B84.1317692501</t>
  </si>
  <si>
    <t>SAPO130275485_603550</t>
  </si>
  <si>
    <t>15:46, 28-04-2026</t>
  </si>
  <si>
    <t xml:space="preserve">hoàng Vũ Hồng Nga
 127/7 Phan Chu Trinh phường 3 bảo lộc Lâm đồng, Phường 3 Bảo Lộc, Phường 3 Bảo Lộc, Lâm Đồng
 0938040788
 </t>
  </si>
  <si>
    <t>S22693229.BO.SG14-06-C2.1963056270</t>
  </si>
  <si>
    <t>SAPO130275495_603550</t>
  </si>
  <si>
    <t>20:02, 29-04-2026</t>
  </si>
  <si>
    <t xml:space="preserve">Lê Thị Thuỷ Hồ
 929 Ấp 3, Xã Hiệp Phước, Xã Hiệp Phước, TP Hồ Chí Minh, Xã Hiệp Phước, Xã Hiệp Phước, TP Hồ Chí Minh
 0706409286
 </t>
  </si>
  <si>
    <t>S22693229.HNP107-I31.1879789824</t>
  </si>
  <si>
    <t>SAPO130275502_603550</t>
  </si>
  <si>
    <t xml:space="preserve">Nguyễn Trà My
 CH 501 - Richland Southern số 9A ngõ 181 Xuân Thuỷ, Tổ 10, Cầu Giấy, Hà Nội (NOTE SHIP: GỬI SAMPLE VÀO TỦ ĐỒ THÔNG MINH HUBLOCK), Phường Cầu Giấy, Phường Cầu Giấy, Hà Nội
 0912077597
 </t>
  </si>
  <si>
    <t>S22693229.BO.MN10-05-D41.1165337513</t>
  </si>
  <si>
    <t>SAPO130275509_603550</t>
  </si>
  <si>
    <t xml:space="preserve">Hạo Nhiên
 Ấp mù u, xã Dân Thành, thị xã Duyên Hải, tỉnh Trà Vinh, Phường Duyên Hải, Phường Duyên Hải, Vĩnh Long
 0939642542
 </t>
  </si>
  <si>
    <t>S22693229.BO.SGP13-H08.1372243568</t>
  </si>
  <si>
    <t>SAPO130275517_603550</t>
  </si>
  <si>
    <t xml:space="preserve">Lý Ngô
 56/11B, Điện Biên Phủ, KP23, phường Thạnh Mỹ Tây ( phường 22 cũ), Bình Thạnh (đi vào hẻm 602/26 Điện Biên Phủ, F22, BT), Phường Thạnh Mỹ Tây, Phường Thạnh Mỹ Tây, TP Hồ Chí Minh
 0774982490
 </t>
  </si>
  <si>
    <t>S22693229.MB3-01-A15.1837736590</t>
  </si>
  <si>
    <t>SAPO130275530_603550</t>
  </si>
  <si>
    <t xml:space="preserve">Hoàng Dung
 Xóm Đại Thắng, xã Nam Mỹ, huyện Nam trực, tỉnh Nam Định (nay là TDP Đại Thắng, phường Vị Khê, tỉnh Ninh Bình), Phường Vị Khê, Phường Vị Khê, Ninh Bình
 0989381074
 </t>
  </si>
  <si>
    <t>S22693229.BO.MN2-16-P08.1893345777</t>
  </si>
  <si>
    <t>SAPO130275536_603550</t>
  </si>
  <si>
    <t xml:space="preserve">DƯƠNG THỊ THÚY VY
 Tổ 8, khu phố Xóm Bưng, Phường Tây Nam, Tp HỒ CHÍ MINH
(Địa chỉ cũ: TTổ 8, ấp xóm bưng, xã thanh tuyền, huyện dầu tiếng, tỉnh bình dương), Phường Tây Nam, Phường Tây Nam, TP Hồ Chí Minh
 0969263672
 </t>
  </si>
  <si>
    <t>S22693229.MB26-34-O12.1985014320</t>
  </si>
  <si>
    <t>SAPO130275544_603550</t>
  </si>
  <si>
    <t>14:24, 27-04-2026</t>
  </si>
  <si>
    <t xml:space="preserve">Nga
 khối tân hùng phường quỳnh thiện tx hoàng mai nghệ an, Phường Hoàng Mai, Phường Hoàng Mai, Nghệ An
 0384144300
 </t>
  </si>
  <si>
    <t>S22693229.BO.DN16-H21.1539071762</t>
  </si>
  <si>
    <t>SAPO130275554_603550</t>
  </si>
  <si>
    <t xml:space="preserve">Đồng Thị Anh Thư
 99/2/12A Vũ Lăng, An Khê, Đà Nẵng, Phường An Khê, Phường An Khê, Đà Nẵng
 0935058980
 </t>
  </si>
  <si>
    <t>S22693229.HNP27-N65.1741490905</t>
  </si>
  <si>
    <t>SAPO130275562_603550</t>
  </si>
  <si>
    <t>10:59, 24-04-2026</t>
  </si>
  <si>
    <t xml:space="preserve">Trần Phương
 Tòa Pavilion, P3, OceanPark 1, thị trấn trâu quỳ, gia Lâm Hà Nội, Xã Gia Lâm, Xã Gia Lâm, Hà Nội
 0376326253
 </t>
  </si>
  <si>
    <t>S22693229.BO.MT8-06-F14.1897407735</t>
  </si>
  <si>
    <t>SAPO130275577_603550</t>
  </si>
  <si>
    <t>16:29, 27-04-2026</t>
  </si>
  <si>
    <t xml:space="preserve">Bùi Như Tú
 tổ 11, khối 2, thị trấn Núi Thành, Quảng Nam, Xã Núi Thành, Xã Núi Thành, Đà Nẵng
 0961908252
 </t>
  </si>
  <si>
    <t>S22693229.BO.SGP27-Q79.1752080415</t>
  </si>
  <si>
    <t>SAPO130275592_603550</t>
  </si>
  <si>
    <t>15:38, 27-04-2026</t>
  </si>
  <si>
    <t xml:space="preserve">Bột Thích Nấu Ăn
 219/4 Lê Văn Chí, Linh Trung, Thủ Đức, HCM, Hồ Chí Minh, Vietnam, Phường Linh Xuân, Phường Linh Xuân, TP Hồ Chí Minh
 0961401210
 </t>
  </si>
  <si>
    <t>S22693229.BO.HNP107-I31.1929848365</t>
  </si>
  <si>
    <t>SAPO130275613_603550</t>
  </si>
  <si>
    <t>18:16, 28-04-2026</t>
  </si>
  <si>
    <t xml:space="preserve">C Thảo
 Số 3 ngách 16 ngõ 20 hồ tùng mậu, phú diễn, hn, Phường Phú Diễn, Phường Phú Diễn, Hà Nội
 0976906838
 </t>
  </si>
  <si>
    <t>S22693229.HNP17-H4.1577080216</t>
  </si>
  <si>
    <t>SAPO130275632_603550</t>
  </si>
  <si>
    <t>22:05, 28-04-2026</t>
  </si>
  <si>
    <t xml:space="preserve">Ninh Minh Oanh
 CT8A Chung cư đại thanh, tả thanh oai, thanh trì, hà nội, Xã Đại Thanh, Xã Đại Thanh, Hà Nội
 0989923590
 </t>
  </si>
  <si>
    <t>S22693229.BO.SGP47-V16.1006076022</t>
  </si>
  <si>
    <t>SAPO130275652_603550</t>
  </si>
  <si>
    <t xml:space="preserve">Hai Ngọc
 BS10A Vinhome GrandPark Phường Long Bình Thủ Đức, Phường Long Bình, Phường Long Bình, TP Hồ Chí Minh
 0934322501
 </t>
  </si>
  <si>
    <t>S22693229.BO.MT12-07-D21.1293891792</t>
  </si>
  <si>
    <t>SAPO130275669_603550</t>
  </si>
  <si>
    <t>15:20, 28-04-2026</t>
  </si>
  <si>
    <t xml:space="preserve">Cam Cam Nấu Ăn
 Đường trần đăng ninh, phước lộc, nam nha trang, khánh hoà, Khánh Hòa, Vietnam, Phường Nam Nha Trang, Phường Nam Nha Trang, Khánh Hòa
 0928197839
 </t>
  </si>
  <si>
    <t>S22693229.BO.SGP01-M19.1921160998</t>
  </si>
  <si>
    <t>SAPO130275708_603550</t>
  </si>
  <si>
    <t>17:38, 27-04-2026</t>
  </si>
  <si>
    <t xml:space="preserve">Mai Thảo
 108/15/18 đường số 1, p16, Gò Vấp, HCm, Phường An Hội Đông, Phường An Hội Đông, TP Hồ Chí Minh
 0984641414
 </t>
  </si>
  <si>
    <t>S22693229.BO.MN2-13-M71.1121371710</t>
  </si>
  <si>
    <t>SAPO130275719_603550</t>
  </si>
  <si>
    <t>14:20, 29-04-2026</t>
  </si>
  <si>
    <t xml:space="preserve">A. Thành
 178/23/6A huỳnh văn lũy, phú lợi, Thủ Dầu Một, Bình Dương, Phường Phú Lợi, Phường Phú Lợi, TP Hồ Chí Minh
 0979493688
 </t>
  </si>
  <si>
    <t>S22693229.BO.MN1-09-TS62.1218798454</t>
  </si>
  <si>
    <t>SAPO130275725_603550</t>
  </si>
  <si>
    <t>14:38, 27-04-2026</t>
  </si>
  <si>
    <t xml:space="preserve">phương thảo
 lối2,hẻm 3,tổ 58,khu phố 4b,phường trảng dài,tp biên hoà,đồng nai, Phường Trảng Dài, Phường Trảng Dài, Đồng Nai
 0339485130
 </t>
  </si>
  <si>
    <t>S22693229.BO.MN2-32-F9.1468072623</t>
  </si>
  <si>
    <t>SAPO130275743_603550</t>
  </si>
  <si>
    <t xml:space="preserve">Ngọc Diễm
 HL-F7.18.01 khu nhà ở IJC Hoà Lợi, khu phố Hoà Phú 1, Thủ Dầu Một, Bình Dương, Phường Bình Dương, Phường Bình Dương, TP Hồ Chí Minh
 0333365600
 </t>
  </si>
  <si>
    <t>S22693229.BO.MN8-04-C53.1210536684</t>
  </si>
  <si>
    <t>SAPO130275762_603550</t>
  </si>
  <si>
    <t xml:space="preserve">Nguyễn Hoàng Nhung
 Số nhà 41, đường số 3,ấp An Thuận A, xã Mỹ Thạnh An, tỉnh Bến Tre, Phường An Hội, Phường An Hội, Vĩnh Long
 0399509569
 </t>
  </si>
  <si>
    <t>S22693229.BO.MN2-07-G43.1086731695</t>
  </si>
  <si>
    <t>SAPO130275779_603550</t>
  </si>
  <si>
    <t>19:25, 27-04-2026</t>
  </si>
  <si>
    <t xml:space="preserve">Trần Thị Tưởng
 185/7A khu phố nội hoá 1 bình an dĩ an bình dương, Phường Đông Hòa, Phường Đông Hòa, TP Hồ Chí Minh
 0385866124
 </t>
  </si>
  <si>
    <t>S22693229.BO.SGP78-S58.1944366350</t>
  </si>
  <si>
    <t>SAPO130275796_603550</t>
  </si>
  <si>
    <t xml:space="preserve">Chị Ý
 15 Sơn Cang, P12, Tân Bình,HCM, Hồ Chí Minh, Vietnam, Phường Bảy Hiền, Phường Bảy Hiền, TP Hồ Chí Minh
 034968106815
 </t>
  </si>
  <si>
    <t>S22693229.BO.MN2-13-M84.1728922652</t>
  </si>
  <si>
    <t>SAPO130275806_603550</t>
  </si>
  <si>
    <t xml:space="preserve">Đỗ Thị Bắc
 block D2, nhà ở xã hội định hoà, thủ dầu một, bình dương, Phường Chánh Hiệp, Phường Chánh Hiệp, TP Hồ Chí Minh
 0392549842
 </t>
  </si>
  <si>
    <t>S22693229.MB26-06-H10.1345514580</t>
  </si>
  <si>
    <t>SAPO130275815_603550</t>
  </si>
  <si>
    <t xml:space="preserve">Trinh
 Số nhà 4, ngõ 92 (bara cũ) khối Phan Bội Châu, Thị Trấn Nam Đàn, Nghệ An, Xã Vạn An, Xã Vạn An, Nghệ An
 0384965398
 </t>
  </si>
  <si>
    <t>S22693229.HNP135-P79.1592390373</t>
  </si>
  <si>
    <t>bù hàng đơn 260421BMTJY7RS</t>
  </si>
  <si>
    <t>11:10, 24-04-2026</t>
  </si>
  <si>
    <t xml:space="preserve">Khách
 Số 71- Thôn Trại Hồ - Xã Đoài Phương ( xã Cổ Đông cũ), Hà Nội, Xã Đoài Phương, Xã Đoài Phương, Hà Nội
 0392671551
 </t>
  </si>
  <si>
    <t>S22693229.BO.MN17-08-N05.1334226494</t>
  </si>
  <si>
    <t>bù hàng đơn 260420AC6NKTH3</t>
  </si>
  <si>
    <t>15:35, 29-04-2026</t>
  </si>
  <si>
    <t xml:space="preserve">Tú Như
 Số nhà 59, ấp 21, Phường Láng Tròn, Tỉnh Cà Mau, Phường Láng Tròn, Phường Láng Tròn, Cà Mau
 0942100421
 </t>
  </si>
  <si>
    <t>S22693229.MB10-24-N9.1285311424</t>
  </si>
  <si>
    <t>bù hàng đơn 260420AA6AJM13</t>
  </si>
  <si>
    <t>21:05, 28-04-2026</t>
  </si>
  <si>
    <t xml:space="preserve">H. Điệp
 Số 23 tổ 5 khu 2A (ngõ Sữa Chua Cô Dung), Phường Hồng Hải, Thành phố Hạ Long, Quảng Ninh, Phường Hạ Long, Phường Hạ Long, Quảng Ninh
 0912119489
 </t>
  </si>
  <si>
    <t>S22693229.BO.HNP46-A38.1222502244</t>
  </si>
  <si>
    <t>bù hàng đơn 260421BNTGBP4E</t>
  </si>
  <si>
    <t>14:14, 29-04-2026</t>
  </si>
  <si>
    <t xml:space="preserve">Khách
 25 dương quảng hàm, nghĩa đô, hà nội, , Phường Cầu Giấy, Phường Cầu Giấy, Hà Nội
 0366051707
 </t>
  </si>
  <si>
    <t>S22693229.HNP23-A94.1698124434</t>
  </si>
  <si>
    <t>đổi hàng đơn 260420AKAR1KPQ</t>
  </si>
  <si>
    <t>12:57, 29-04-2026</t>
  </si>
  <si>
    <t xml:space="preserve">Khách
 15 Đường Liễu Giai, Phường Ngọc Hà, Phường Ngọc Hà, Hà Nội, Phường Ngọc Hà, Phường Ngọc Hà, Hà Nội
 0866302669
 </t>
  </si>
  <si>
    <t>S22693229.MB8-16-P5.1526620067</t>
  </si>
  <si>
    <t>đổi hàng đơn 260421BMUU1ME4</t>
  </si>
  <si>
    <t>14:07, 27-04-2026</t>
  </si>
  <si>
    <t xml:space="preserve">Sơn
 Số nhà 404, đường thiên đức, phường kinh bắc, bắc ninh, Phường Kinh Bắc, Phường Kinh Bắc, Bắc Ninh
 0978673139
 </t>
  </si>
  <si>
    <t>S22693229.HNP48-L33.1343430103</t>
  </si>
  <si>
    <t>đổi hàng đơn 260421DA031E8Q</t>
  </si>
  <si>
    <t>23:00, 28-04-2026</t>
  </si>
  <si>
    <t xml:space="preserve">Khách
 232 phùng hưng , Hà Đông, hà nội, Phường Hà Đông, Phường Hà Đông, Hà Nội
 0978735679
 </t>
  </si>
  <si>
    <t>S22693229.BO.SGP25-P01.1359909985</t>
  </si>
  <si>
    <t>đổi hàng lần 2 đơn 260410DX928TJW</t>
  </si>
  <si>
    <t>20:35, 28-04-2026</t>
  </si>
  <si>
    <t xml:space="preserve">Khách
 Lô 14, đường số 4, KCN - KCX Linh trung II, Phường Tam Bình, Thành phố Hồ Chí Minh, Việt Nam, Phường Tam Bình, Phường Tam Bình, TP Hồ Chí Minh
 0972574094
 </t>
  </si>
  <si>
    <t>S22693229.MB25-12-C3.1413845559</t>
  </si>
  <si>
    <t>đổi hàng đơn 26040408N7B1YY</t>
  </si>
  <si>
    <t>19:18, 28-04-2026</t>
  </si>
  <si>
    <t xml:space="preserve">duyên nguyễn
 Ngõ 1 đường hd1, Thôn Nhân Trạch, Xã Hoằng Đạo, Huyện Hoằng Hóa, Tỉnh Thanh Hóa, Xã Hoằng Hóa, Xã Hoằng Hóa, Thanh Hóa
 0394564692
 </t>
  </si>
  <si>
    <t>S22693229.HNP11-F45.1819197067</t>
  </si>
  <si>
    <t>đổi hàng đơn 260410EVA85KPR</t>
  </si>
  <si>
    <t xml:space="preserve">Khách
 FLC star Tower 418 Quang Trung, Dương Nội, Hà Nội, Phường Dương Nội, Phường Dương Nội, Hà Nội
 0948686566
 </t>
  </si>
  <si>
    <t>S22693229.BO.MN2-29-TC35.1367847001</t>
  </si>
  <si>
    <t>đổi hàng đơn 260415U3N393B5</t>
  </si>
  <si>
    <t>14:39, 29-04-2026</t>
  </si>
  <si>
    <t xml:space="preserve">Khách
 1a7/189 Tổ 7 Thuận Giao 17, Kp Hòa lân 2, Thuận Giao, Thuận An, Bình Dương, Phường Thuận Giao, Phường Thuận Giao, TP Hồ Chí Minh
 0972262551
 </t>
  </si>
  <si>
    <t>S22693229.MB25-16-H13.1724133233</t>
  </si>
  <si>
    <t>đổi hàng đơn 260422E8TRBR90</t>
  </si>
  <si>
    <t>19:11, 28-04-2026</t>
  </si>
  <si>
    <t xml:space="preserve">nguyễn mừng
 37 trần nhân tông, phố hưng thọ , quảng phú, thanh hóa, Phường Quảng Phú, Phường Quảng Phú, Thanh Hóa
 0941722345
 </t>
  </si>
  <si>
    <t>S22693229.HNP75-D25.1813372007</t>
  </si>
  <si>
    <t>đổi hàng đơn 260410FJBY729Q</t>
  </si>
  <si>
    <t>13:51, 29-04-2026</t>
  </si>
  <si>
    <t xml:space="preserve">Khách
 Số 18, Ngõ 702, Đường Phúc Diễn, phường xuân phương, hà nội, Phường Xuân Phương, Phường Xuân Phương, Hà Nội
 0943771293
 </t>
  </si>
  <si>
    <t>S22693229.HNP119-E8.1799395866</t>
  </si>
  <si>
    <t>đổi hàng đơn 260421DJT4MS2H</t>
  </si>
  <si>
    <t xml:space="preserve">Khách
 Bảng tin cụm 2 thôn Cầu Thăng Long, Kim nỗ, đông anh, hà nội, Xã Thiên Lộc, Xã Thiên Lộc, Hà Nội
 0969531602
 </t>
  </si>
  <si>
    <t>S22693229.BO.MT6-12-M23.1845526861</t>
  </si>
  <si>
    <t>đổi hàng đơn 260421CGCXBDG0</t>
  </si>
  <si>
    <t>12:32, 27-04-2026</t>
  </si>
  <si>
    <t xml:space="preserve">Khách
 74 Hải Triều Phường An Cựu, tp Huế, Phường An Cựu, Phường An Cựu, Thành phố Huế
 0782542478
 </t>
  </si>
  <si>
    <t>S22693229.HNP92-K24.1685060543</t>
  </si>
  <si>
    <t>đổi hàng đơn 260301W1CYWC5F</t>
  </si>
  <si>
    <t xml:space="preserve">Khách
 số 33, ngõ 14 mễ trĩ hạ, nam từ liêm, HN, Phường Từ Liêm, Phường Từ Liêm, Hà Nội
 0945191457
 </t>
  </si>
  <si>
    <t>S22693229.MB1-03-C12.1857178562</t>
  </si>
  <si>
    <t>đổi hàng lần 2 đơn 260420AWB7UGTY</t>
  </si>
  <si>
    <t>14:48, 28-04-2026</t>
  </si>
  <si>
    <t>S22693229.MB15-01-A7.1232439025</t>
  </si>
  <si>
    <t>đổi hàng lần 2 đơn 2604077XA17VM1</t>
  </si>
  <si>
    <t>17:08, 27-04-2026</t>
  </si>
  <si>
    <t xml:space="preserve">Khách
 Số 28 ngõ 371 đường hòa bình, tổ 7, phường hữu nghị, hòa bình, Phường Hòa Bình, Phường Hòa Bình, Phú Thọ
 0912430619
 </t>
  </si>
  <si>
    <t>S22693229.BO.MT4-06-F9.1866811991</t>
  </si>
  <si>
    <t>đổi hàng đơn 260416V5Y5D2V8</t>
  </si>
  <si>
    <t xml:space="preserve">Linh Quyên
 Thôn đồn, trường ninh, quảng trị, Xã Trường Ninh, Xã Trường Ninh, Quảng Trị
 0962922057
 </t>
  </si>
  <si>
    <t>S22693229.MN2-05-E13.1631729392</t>
  </si>
  <si>
    <t>SAPO130321591_603550</t>
  </si>
  <si>
    <t>13:14, 24-04-2026</t>
  </si>
  <si>
    <t>13:01, 27-04-2026</t>
  </si>
  <si>
    <t xml:space="preserve">Cô Hà
 Cty đồ hỏa long, Phường Tân Đông Hiệp, Phường Tân Đông Hiệp, TP Hồ Chí Minh
 0326279179
 </t>
  </si>
  <si>
    <t>S22693229.SGP01-M21.1953609859</t>
  </si>
  <si>
    <t>SAPO130321593_603550</t>
  </si>
  <si>
    <t xml:space="preserve">Lê Yến
 17 đường số 9. P16. Gò vấp (trường Võ Thị Sáu,), Phường An Hội Đông, Phường An Hội Đông, TP Hồ Chí Minh
 0978565471
 </t>
  </si>
  <si>
    <t>S22693229.SGP69-W60.1422503643</t>
  </si>
  <si>
    <t>SAPO130321589_603550</t>
  </si>
  <si>
    <t>13:37, 25-04-2026</t>
  </si>
  <si>
    <t xml:space="preserve">Phạm Thị Hoàng Oanh
 73 Đường S3, Phường Tây Thạnh, Phường Tây Thạnh, Phường Tây Thạnh, TP Hồ Chí Minh
 0903051756
 </t>
  </si>
  <si>
    <t>S22693229.SGP76-S88.1563351833</t>
  </si>
  <si>
    <t>SAPO130321590_603550</t>
  </si>
  <si>
    <t>19:50, 24-04-2026</t>
  </si>
  <si>
    <t xml:space="preserve">Trần thị thuỷ
 5/33 Nguyen Van Vinh, ward 4, tan binh district, Phường Tân Sơn Nhất, Phường Tân Sơn Nhất, TP Hồ Chí Minh
 0903861004
 </t>
  </si>
  <si>
    <t>S22693229.SGP101-I100.1138007111</t>
  </si>
  <si>
    <t>SAPO130321587_603550</t>
  </si>
  <si>
    <t>16:10, 25-04-2026</t>
  </si>
  <si>
    <t xml:space="preserve">Trần Thịnh
 Block A3 , chúng cư Era Town, đường Phạm Hữu Lầu, Phường Tân Mỹ, Phường Tân Mỹ, TP Hồ Chí Minh
 0983036202
 </t>
  </si>
  <si>
    <t>S22693229.MN4-01-A51.1955878543</t>
  </si>
  <si>
    <t>SAPO130321704_603550</t>
  </si>
  <si>
    <t>13:38, 25-04-2026</t>
  </si>
  <si>
    <t xml:space="preserve">Mỹ Linh
 Số 15 đường Nguyễn Văn Rốp, Phường Tân Ninh, Phường Tân Ninh, Tây Ninh
 0974911940
 </t>
  </si>
  <si>
    <t>S22693229.SGP26-Q101.1063748131</t>
  </si>
  <si>
    <t>SAPO130321737_603550</t>
  </si>
  <si>
    <t>15:56, 28-04-2026</t>
  </si>
  <si>
    <t xml:space="preserve">Nguyễn sỹ tấn
 131a hiệp bình, Phường Hiệp Bình, Phường Hiệp Bình, TP Hồ Chí Minh
 0909625108
 </t>
  </si>
  <si>
    <t>S22693229.SG11-03-B4.1015186806</t>
  </si>
  <si>
    <t>SAPO130324780_603550</t>
  </si>
  <si>
    <t xml:space="preserve">Lương ngô phú
 B12b/35k ấp 21, Xã Tân Vĩnh Lộc, Xã Tân Vĩnh Lộc, TP Hồ Chí Minh
 0934123153
 </t>
  </si>
  <si>
    <t>S22693229.MB3-06-G3.1693667713</t>
  </si>
  <si>
    <t>SAPO130327022_603550</t>
  </si>
  <si>
    <t>13:22, 24-04-2026</t>
  </si>
  <si>
    <t>12:50, 25-04-2026</t>
  </si>
  <si>
    <t xml:space="preserve">Bùi Huệ
 25/300 Phù Nghĩa, Phường Thiên Trường, Phường Thiên Trường, Ninh Bình
 0979636976
 </t>
  </si>
  <si>
    <t>S22693229.MB3-06-G14.1024457106</t>
  </si>
  <si>
    <t>SAPO130327019_603550</t>
  </si>
  <si>
    <t xml:space="preserve">Ngô Bắc
 226 Vũ Trọng Phụng, Phường Nam Định, Phường Nam Định, Ninh Bình
 0984431888
 </t>
  </si>
  <si>
    <t>S22693229.BO.SGP101-I81.1795937409</t>
  </si>
  <si>
    <t>SAPO130327013_603550</t>
  </si>
  <si>
    <t xml:space="preserve">Mỹ Nương
 Trường thcs phạm hữu lầu, Phường Tân Mỹ, Phường Tân Mỹ, TP Hồ Chí Minh
 0334637345
 </t>
  </si>
  <si>
    <t>S22693229.MB7-17-A12.1646570997</t>
  </si>
  <si>
    <t>SAPO130327041_603550</t>
  </si>
  <si>
    <t xml:space="preserve">C Hoài
 52/80 Hạ Lý, Phường Hồng Bàng, Phường Hồng Bàng, Hải Phòng
 0912520592
 </t>
  </si>
  <si>
    <t>S22693229.BO.MT11-01-A93.1758963050</t>
  </si>
  <si>
    <t>SAPO130327025_603550</t>
  </si>
  <si>
    <t xml:space="preserve">Lê Thị Ly Ly
 Ngã tư Mậu Thân,Nguyễn Hữu Thọ., Phường Bình Kiến, Phường Bình Kiến, Đắk Lắk
 0332575667
 </t>
  </si>
  <si>
    <t>S22693229.MB27-11-L7.1529087584</t>
  </si>
  <si>
    <t>SAPO130327011_603550</t>
  </si>
  <si>
    <t>07:50, 29-04-2026</t>
  </si>
  <si>
    <t xml:space="preserve">Lương thị vui
 Thôn yên đình,xã thiên Lộc,can Lộc,Hà Tĩnh, Xã Can Lộc, Xã Can Lộc, Hà Tĩnh
 0367653522
 </t>
  </si>
  <si>
    <t>S22693229.BO.MN11-07-V34.1535502051</t>
  </si>
  <si>
    <t>SAPO130327026_603550</t>
  </si>
  <si>
    <t>17:01, 27-04-2026</t>
  </si>
  <si>
    <t xml:space="preserve">Như
 103/35 ly tự trọng, Phường Cái Khế, Phường Cái Khế, Cần Thơ
 0913617977
 </t>
  </si>
  <si>
    <t>S22693229.BO.SGP105-N42.1369623952</t>
  </si>
  <si>
    <t>SAPO130327030_603550</t>
  </si>
  <si>
    <t>18:07, 28-04-2026</t>
  </si>
  <si>
    <t xml:space="preserve">Thutran
 974a trường sa, Phường Nhiêu Lộc, Phường Nhiêu Lộc, TP Hồ Chí Minh
 0933644622
 </t>
  </si>
  <si>
    <t>S22693229.MB25-27-S8.1809901350</t>
  </si>
  <si>
    <t>SAPO130327017_603550</t>
  </si>
  <si>
    <t xml:space="preserve">C hiên
 Dangthihien993@gmai.com, Xã Sao Vàng, Xã Sao Vàng, Thanh Hóa
 0961653879
 </t>
  </si>
  <si>
    <t>S22693229.HNP132-A6.1760497522</t>
  </si>
  <si>
    <t>SAPO130327020_603550</t>
  </si>
  <si>
    <t xml:space="preserve">Vương thuý hường
 Số nhà 23 ngõ 3 xom đoài thôn xuân tảo, Xã Đa Phúc, Xã Đa Phúc, Hà Nội
 0984377244
 </t>
  </si>
  <si>
    <t>S22693229.BO.MT6-12-M74.1187968006</t>
  </si>
  <si>
    <t>SAPO130327035_603550</t>
  </si>
  <si>
    <t xml:space="preserve">Dương Anh Tuấn
 Khoa Giáo dục thể chất, 52 Hồ Đắc Di, Phường An Cựu, Phường An Cựu, Thành phố Huế
 0905455345
 </t>
  </si>
  <si>
    <t>S22693229.BO.SGP104-S02.1584409702</t>
  </si>
  <si>
    <t>SAPO130327037_603550</t>
  </si>
  <si>
    <t xml:space="preserve">Võ Vạn An
 963-965-967 Trần Hưng Đạo,P. An Đông,Tphcm, Phường An Đông, Phường An Đông, TP Hồ Chí Minh
 0908561606
 </t>
  </si>
  <si>
    <t>S22693229.HNP107-B44.1225682961</t>
  </si>
  <si>
    <t>SAPO130327028_603550</t>
  </si>
  <si>
    <t>15:14, 27-04-2026</t>
  </si>
  <si>
    <t xml:space="preserve">Vũ thị Linh
 FLC green apartment ngõ 2 Nguyễn hoàng Mỹ Đình 2 Nam Từ Liêm Hà Nội, Phường Cầu Giấy, Phường Cầu Giấy, Hà Nội
 0975621736
 </t>
  </si>
  <si>
    <t>S22693229.HNP39-C20.1258182047</t>
  </si>
  <si>
    <t>SAPO130327036_603550</t>
  </si>
  <si>
    <t xml:space="preserve">Đàm Diễn
 Số 791 đường 72, Xã An Khánh, Xã An Khánh, Hà Nội
 0977886076
 </t>
  </si>
  <si>
    <t>S22693229.BO.MN11-14-D21.1974248185</t>
  </si>
  <si>
    <t>SAPO130327029_603550</t>
  </si>
  <si>
    <t>15:25, 27-04-2026</t>
  </si>
  <si>
    <t xml:space="preserve">Trần Văn Tấn
 Sô 63 Khu vực Thới Thạnh A, Phường Ô Môn, Phường Ô Môn, Cần Thơ
 0939191562
 </t>
  </si>
  <si>
    <t>S22693229.MB25-03-D02.1082488625</t>
  </si>
  <si>
    <t>SAPO130327018_603550</t>
  </si>
  <si>
    <t>19:17, 27-04-2026</t>
  </si>
  <si>
    <t xml:space="preserve">Phạm Văn Hợi
 Chiềng Đông, Xã Cẩm Thạch, Xã Cẩm Thạch, Thanh Hóa
 0974731789
 </t>
  </si>
  <si>
    <t>S22693229.BO.MT19-01-A08.1700971624</t>
  </si>
  <si>
    <t>SAPO130327014_603550</t>
  </si>
  <si>
    <t>19:17, 28-04-2026</t>
  </si>
  <si>
    <t xml:space="preserve">Trần Thị Bích Hạnh
 Số 1 Phạm Ngọc Thạch, Phường Cam Ly - Đà Lạt, Phường Cam Ly - Đà Lạt, Lâm Đồng
 0909802426
 </t>
  </si>
  <si>
    <t>S22693229.BO.SGP100-I34.1232420351</t>
  </si>
  <si>
    <t>SAPO130327016_603550</t>
  </si>
  <si>
    <t>14:02, 27-04-2026</t>
  </si>
  <si>
    <t>S22693229.MB25-16-U11.1491504978</t>
  </si>
  <si>
    <t>SAPO130327033_603550</t>
  </si>
  <si>
    <t>18:23, 25-04-2026</t>
  </si>
  <si>
    <t xml:space="preserve">Hoàng Anh
 407 nguyễn tĩnh, Phường Hạc Thành, Phường Hạc Thành, Thanh Hóa
 0914702479
 </t>
  </si>
  <si>
    <t>S22693229.BO.MB10-13-M10.1218521208</t>
  </si>
  <si>
    <t>SAPO130327021_603550</t>
  </si>
  <si>
    <t xml:space="preserve">Tuấn Cảm
 Nhà 20b hẻm 20 nghách 88 tổ 6 khu 5b, phường Cẩm Trung, tp Cẩm Phả, tỉnh Quảng Ninh, Phường Cẩm Phả, Phường Cẩm Phả, Quảng Ninh
 0912378935
 </t>
  </si>
  <si>
    <t>S22693229.HNP71-P19.1676214561</t>
  </si>
  <si>
    <t>SAPO130327031_603550</t>
  </si>
  <si>
    <t>18:53, 28-04-2026</t>
  </si>
  <si>
    <t xml:space="preserve">Tran minh
 55 Lý thường kiệt, Phường Cửa Nam, Phường Cửa Nam, Hà Nội
 0938481983
 </t>
  </si>
  <si>
    <t>S22693229.BO.SG14-06-A7.1888368582</t>
  </si>
  <si>
    <t>SAPO130327034_603550</t>
  </si>
  <si>
    <t>13:45, 29-04-2026</t>
  </si>
  <si>
    <t xml:space="preserve">Nguyên kim tuyen
 Chung cư Hưng phát số 928 đường Lê văn lương, Xã Nhà Bè, Xã Nhà Bè, TP Hồ Chí Minh
 0909661783
 </t>
  </si>
  <si>
    <t>S22693229.MB20-01-B5.1178224161</t>
  </si>
  <si>
    <t>SAPO130327077_603550</t>
  </si>
  <si>
    <t>22:08, 25-04-2026</t>
  </si>
  <si>
    <t xml:space="preserve">Hoàng Hằng
 trường THPT Bộc Bố xã Bộc Bố, Xã Bằng Thành, Xã Bằng Thành, Thái Nguyên
 0987020236
 </t>
  </si>
  <si>
    <t>S22693229.BO.SGP54-X95.1397595101</t>
  </si>
  <si>
    <t>SAPO130327104_603550</t>
  </si>
  <si>
    <t xml:space="preserve">ly
 7 Đường số 1, Phường Bình Hưng Hòa cũ Phường Bình Hưng Hòa, TP Hồ Chí Minh, Phường Bình Hưng Hòa, Phường Bình Hưng Hòa, TP Hồ Chí Minh
 0907222850
 </t>
  </si>
  <si>
    <t>S22693229.BO.SGP66-W29.1076057778</t>
  </si>
  <si>
    <t>SAPO130327142_603550</t>
  </si>
  <si>
    <t>12:26, 28-04-2026</t>
  </si>
  <si>
    <t xml:space="preserve">Tran Thi Diem Cam
 48 nguyễn văn tố, Phường Phú Thọ Hòa, Phường Phú Thọ Hòa, TP Hồ Chí Minh
 0917641467
 </t>
  </si>
  <si>
    <t>S22693229.BO.MN8-04-C16.1018932109</t>
  </si>
  <si>
    <t>SAPO130327190_603550</t>
  </si>
  <si>
    <t xml:space="preserve">Phan Tấn Phụng
 479A3 khu phố Bình Khởi, Phường Sơn Đông, Phường Sơn Đông, Vĩnh Long
 0985313807
 </t>
  </si>
  <si>
    <t>S22693229.HNP131-M106.1923212315</t>
  </si>
  <si>
    <t>SAPO130327232_603550</t>
  </si>
  <si>
    <t>15:22, 25-04-2026</t>
  </si>
  <si>
    <t xml:space="preserve">hường lại
 số 12, tổ 2 ,Xuân Thủy, Thủy Xuân Tiên ,Chương Mỹ ,Hà Nội, Xã Xuân Mai, Xã Xuân Mai, Hà Nội
 0378584290
 </t>
  </si>
  <si>
    <t>S22693229.MB25-34-M1.1886768736</t>
  </si>
  <si>
    <t>SAPO130327275_603550</t>
  </si>
  <si>
    <t>19:26, 27-04-2026</t>
  </si>
  <si>
    <t xml:space="preserve">Phùng thị nhung
 Thiệu Hóa - thanh hóa, Xã Thiệu Hóa, Xã Thiệu Hóa, Thanh Hóa
 0936335067
 </t>
  </si>
  <si>
    <t>S22693229.MB1-03-C3.1573112462</t>
  </si>
  <si>
    <t>SAPO130327334_603550</t>
  </si>
  <si>
    <t>19:50, 27-04-2026</t>
  </si>
  <si>
    <t xml:space="preserve">Dương thị lý
 Công ty dược phẩm hoa linh Hà Nam. Khu công nghiệp1. Cụm cn Đồng văn Hà Nam, Phường Đồng Văn, Phường Đồng Văn, Ninh Bình
 0968357869
 </t>
  </si>
  <si>
    <t>S22693229.BO.DN7-M1.1874038307</t>
  </si>
  <si>
    <t>SAPO130327474_603550</t>
  </si>
  <si>
    <t>15:20, 27-04-2026</t>
  </si>
  <si>
    <t xml:space="preserve">Bui thuy phuongthao
 36 mạc cửu, Phường Ngũ Hành Sơn, Phường Ngũ Hành Sơn, Đà Nẵng
 0932424237
 </t>
  </si>
  <si>
    <t>S22693229.BO.SGP54-X79.1177837365</t>
  </si>
  <si>
    <t>SAPO130327527_603550</t>
  </si>
  <si>
    <t>19:24, 29-04-2026</t>
  </si>
  <si>
    <t xml:space="preserve">Sương Nguyễn
 10/13 kênh Nước Đen, Phường Bình Hưng Hòa, Phường Bình Hưng Hòa, TP Hồ Chí Minh
 0943996838
 </t>
  </si>
  <si>
    <t>S22693229.HNP107-I34.1428041014</t>
  </si>
  <si>
    <t>SAPO130327557_603550</t>
  </si>
  <si>
    <t>18:47, 27-04-2026</t>
  </si>
  <si>
    <t xml:space="preserve">Phạm Thu Hoài
 Chung cư An Bình Plaza, 97 Trần Bình, Phường Cầu Giấy, Phường Cầu Giấy, Hà Nội
 0984359299
 </t>
  </si>
  <si>
    <t>S22693229.HNP112-P20.1507536781</t>
  </si>
  <si>
    <t>SAPO130327583_603550</t>
  </si>
  <si>
    <t xml:space="preserve">Tuấn
 Ngõ 160, xóm 3, cẩm thuỷ, Xã Bất Bạt, Xã Bất Bạt, Hà Nội
 0983190118
 </t>
  </si>
  <si>
    <t>S22693229.BO.SGP35-K02.1132595493</t>
  </si>
  <si>
    <t>SAPO130327615_603550</t>
  </si>
  <si>
    <t>14:28, 28-04-2026</t>
  </si>
  <si>
    <t xml:space="preserve">Trâm Anh
 311A Nguyễn Thị Búp , phường tân chánh hiệp, Phường Trung Mỹ Tây, Phường Trung Mỹ Tây, TP Hồ Chí Minh
 0903042304
 </t>
  </si>
  <si>
    <t>S22693229.BO.SGP66-W02.1056983447</t>
  </si>
  <si>
    <t>SAPO130327652_603550</t>
  </si>
  <si>
    <t xml:space="preserve">Diep Phuong
 196/16 Tân Sơn Nhi, Phường Tân Sơn Nhì, Phường Tân Sơn Nhì, TP Hồ Chí Minh
 0909797776
 </t>
  </si>
  <si>
    <t>S22693229.HNP71-P5.1098950783</t>
  </si>
  <si>
    <t>SAPO130327682_603550</t>
  </si>
  <si>
    <t>19:15, 28-04-2026</t>
  </si>
  <si>
    <t xml:space="preserve">Vũ Hòa
 Số 10 ngõ 49 phố Phúc Xá, Phường Hồng Hà, Phường Hồng Hà, Hà Nội
 0913247692
 </t>
  </si>
  <si>
    <t>S22693229.MB12-03-C18.1727055449</t>
  </si>
  <si>
    <t>SAPO130327701_603550</t>
  </si>
  <si>
    <t>17:44, 29-04-2026</t>
  </si>
  <si>
    <t xml:space="preserve">Thảo Hà
 Trung tâm y tế huyện tân sơn,xã tân phú tỉnh phú thọ, Xã Tân Sơn, Xã Tân Sơn, Phú Thọ
 0965540226
 </t>
  </si>
  <si>
    <t>S22693229.BO.MT9-01-A22.1805829820</t>
  </si>
  <si>
    <t>SAPO130327739_603550</t>
  </si>
  <si>
    <t xml:space="preserve">phượng nguyễn
 63/13 Trần Hưng Đạo, Phường Cẩm Thành, Phường Cẩm Thành, Quảng Ngãi
 0905711011
 </t>
  </si>
  <si>
    <t>S22693229.HNP57-K26.1716658203</t>
  </si>
  <si>
    <t>SAPO130327758_603550</t>
  </si>
  <si>
    <t xml:space="preserve">Bùi thị Quyên
 Số 6 ngõ 15 nguyễn cao luyện, Phường Việt Hưng, Phường Việt Hưng, Hà Nội
 0989998113
 </t>
  </si>
  <si>
    <t>S22693229.BO.MN3-05-H61.1401515655</t>
  </si>
  <si>
    <t>SAPO130327780_603550</t>
  </si>
  <si>
    <t xml:space="preserve">Võ Thị Minh Lệ
 7/20/9 đường Phước thắng, Phường Phước Thắng, Phường Phước Thắng, TP Hồ Chí Minh
 0379359402
 </t>
  </si>
  <si>
    <t>S22693229.MB3-05-F7.1908355601</t>
  </si>
  <si>
    <t>SAPO130327808_603550</t>
  </si>
  <si>
    <t>17:30, 25-04-2026</t>
  </si>
  <si>
    <t xml:space="preserve">Nguyễn Thị Hương
 Số nhà 18 ngõ 64 đường triệu Việt Vương thôn Đoài Liễu Đề, Xã Nghĩa Hưng, Xã Nghĩa Hưng, Ninh Bình
 0818029368
 </t>
  </si>
  <si>
    <t>S22693229.BO.MT4-06-F8.1675004634</t>
  </si>
  <si>
    <t>SAPO130327827_603550</t>
  </si>
  <si>
    <t xml:space="preserve">Sỉ Gia Dụng
 Ngõ 2 Nguyệt Áng, Xã Ninh Châu, Xã Ninh Châu, Quảng Trị
 0856866683
 </t>
  </si>
  <si>
    <t>S22693229.MB25-34-T01.1998159247</t>
  </si>
  <si>
    <t>SAPO130327848_603550</t>
  </si>
  <si>
    <t>S22693229.BO.MN2-32-F31.1612031370</t>
  </si>
  <si>
    <t>SAPO130327879_603550</t>
  </si>
  <si>
    <t>19:42, 28-04-2026</t>
  </si>
  <si>
    <t xml:space="preserve">TRẦN HỒNG KIM NGỌC
 A6-6, Đường N15, NOXH RICHLAND, TỔ 14, KHU PHỐ AN LỢI, Phường Hòa Lợi, Phường Hòa Lợi, TP Hồ Chí Minh
 0353734195
 </t>
  </si>
  <si>
    <t>S22693229.MB5-13-M11.1006806288</t>
  </si>
  <si>
    <t>SAPO130327915_603550</t>
  </si>
  <si>
    <t>18:13, 25-04-2026</t>
  </si>
  <si>
    <t xml:space="preserve">Phan thị Quyên
 Đội 4 Bình Kiều Khoái Châu Hưng Yên, Xã Khoái Châu, Xã Khoái Châu, Hưng Yên
 0974710866
 </t>
  </si>
  <si>
    <t>S22693229.BO.DN9-O25.1381463049</t>
  </si>
  <si>
    <t>SAPO130333009_603550</t>
  </si>
  <si>
    <t xml:space="preserve">Thiết Nguyễn
 K01B/76 Lê Trọng Tấn, Phường An Khê, Phường An Khê, Đà Nẵng
 0914811044
 </t>
  </si>
  <si>
    <t>S22693229.MB17-03-C10.1770661143</t>
  </si>
  <si>
    <t>SAPO130333007_603550</t>
  </si>
  <si>
    <t xml:space="preserve">Luanla
 Cây xăng dầu hoàng vũ, Xã Tuấn Sơn, Xã Tuấn Sơn, Lạng Sơn
 0987229001
 </t>
  </si>
  <si>
    <t>S22693229.BO.SG12-04-B41.1032076201</t>
  </si>
  <si>
    <t>SAPO130333006_603550</t>
  </si>
  <si>
    <t xml:space="preserve">BÙI THỊ CẨM HÀ
 Công ty ETB-J 54D đường Dương Công Khi xã Xuân Thới Sơn TP.HCM Âp 4 khu 2, Xã Xuân Thới Sơn, Xã Xuân Thới Sơn, TP Hồ Chí Minh, Xã Xuân Thới Sơn, Xã Xuân Thới Sơn, TP Hồ Chí Minh
 0797759987
 </t>
  </si>
  <si>
    <t>S22693229.BO.SGP47-V14.1098087646</t>
  </si>
  <si>
    <t>583517896005944914</t>
  </si>
  <si>
    <t xml:space="preserve">Khách đổi
 -Vinhomes Grandpark(Toà S7.01) 
Phường Long Bình,Phường Long Bình,Hồ Chí Minh,Việt Nam, Phường Long Bình, Phường Long Bình, TP Hồ Chí Minh
 0348973092
 </t>
  </si>
  <si>
    <t>S22693229.BO.MT9-04-M1.1659215672</t>
  </si>
  <si>
    <t>583503660830328282( đôi rlaij lần 2)</t>
  </si>
  <si>
    <t>15:34, 28-04-2026</t>
  </si>
  <si>
    <t>S22693229.BO.SGP57-P24.1937387859</t>
  </si>
  <si>
    <t>583624601238078997</t>
  </si>
  <si>
    <t>15:49, 28-04-2026</t>
  </si>
  <si>
    <t xml:space="preserve">Lệ Yến
 242/7 Lê Đình Cẩn PHUỜNG TÂN TẠO,Q BÌNH TÂN 
Tân Tạo,Bình Tân,Hồ Chí Minh,Việt Nam, Phường Tân Tạo, Phường Tân Tạo, TP Hồ Chí Minh
 0919902370
 </t>
  </si>
  <si>
    <t>S22693229.BO.MT12-07-D51.1266948640</t>
  </si>
  <si>
    <t>583641785646483421</t>
  </si>
  <si>
    <t xml:space="preserve">Khách đổi
 -Trường Tiểu Học Vĩnh Nguyên 2, Hẻm 128 Trần Phú 
Vĩnh Nguyên,Nha Trang,Khánh Hòa,Việt Nam, Phường Nha Trang, Phường Nha Trang, Khánh Hòa
 0978149097
 </t>
  </si>
  <si>
    <t>S22693229.BO.MT4-01-A15.1060507105</t>
  </si>
  <si>
    <t>583506617414551233</t>
  </si>
  <si>
    <t>14:17, 29-04-2026</t>
  </si>
  <si>
    <t xml:space="preserve">Lê Thu Hoài
 109 Tôn Đức Thắng, Đồng Hới 
Nam Lý,Đồng Hới,Quảng Bình,Việt Nam, Phường Đồng Hới, Phường Đồng Hới, Quảng Trị
 0376464563
 </t>
  </si>
  <si>
    <t>S22693229.HNP05-L70.1401939557</t>
  </si>
  <si>
    <t>583642951776896646</t>
  </si>
  <si>
    <t>15:44, 27-04-2026</t>
  </si>
  <si>
    <t xml:space="preserve">Hà Thanh
 Số nhà 14 ngách 107 ngõ 509 Vũ Tông Phan Khương Đình Hà Nội 
Phường Khương Đình,Phường Khương Đình,Hà Nội,Việt Nam, Phường Khương Đình, Phường Khương Đình, Hà Nội
 0976806168
 </t>
  </si>
  <si>
    <t>S22693229.MB9-17-G21.1352173069</t>
  </si>
  <si>
    <t>14:12, 27-04-2026</t>
  </si>
  <si>
    <t xml:space="preserve">"Thân Văn Trí "
 thôn Chùa, Xã Minh Đức, Thị Xã Việt Yên, Bắc Giang, Phường Việt Yên, Phường Việt Yên, Bắc Ninh
 0978374992
 </t>
  </si>
  <si>
    <t>S22693229.BO.MN3-07-G43.1426790828</t>
  </si>
  <si>
    <t>KHÁCH TRẢ NHẦM HÀNG LAZADA 523138853664563</t>
  </si>
  <si>
    <t>15:03, 24-04-2026</t>
  </si>
  <si>
    <t>19:19, 28-04-2026</t>
  </si>
  <si>
    <t xml:space="preserve">Minh
 khu phố thanh tân, thị trấn đất đỏ, huyện đất đỏ, bà rịa vũng tàu, Xã Đất Đỏ, Xã Đất Đỏ, TP Hồ Chí Minh
 0902532743
 </t>
  </si>
  <si>
    <t>S22693229.BO.MN11-07-V64.1985841586</t>
  </si>
  <si>
    <t>SAPO130565060_603550</t>
  </si>
  <si>
    <t>07:05, 25-04-2026</t>
  </si>
  <si>
    <t>13:11, 28-04-2026</t>
  </si>
  <si>
    <t xml:space="preserve">Hồng Du
 74 Đường Trần Văn Long, Phường Tân An, Phường Tân An, Cần Thơ
 0907805245
 </t>
  </si>
  <si>
    <t>S22693229.BO.MN13-03-A33.1167871194</t>
  </si>
  <si>
    <t>SAPO130565061_603550</t>
  </si>
  <si>
    <t>14:04, 28-04-2026</t>
  </si>
  <si>
    <t xml:space="preserve">Thuy Trang Le
 5 phạm đình toái, phường Bình Đức, tỉnh An Giang, Phường Bình Đức, Phường Bình Đức, An Giang
 0988210733
 </t>
  </si>
  <si>
    <t>S22693229.MB27-09-I1.1184473219</t>
  </si>
  <si>
    <t>SAPO130565056_603550</t>
  </si>
  <si>
    <t>17:22, 27-04-2026</t>
  </si>
  <si>
    <t xml:space="preserve">Nguyen Thi Dung
 ửa hàng đồ gỗ hoàn hảo, Xã Đức Thịnh, Xã Đức Thịnh, Hà Tĩnh
 0384638291
 </t>
  </si>
  <si>
    <t>S22693229.MB19-05-F2.1273221920</t>
  </si>
  <si>
    <t>SAPO130565055_603550</t>
  </si>
  <si>
    <t>20:15, 28-04-2026</t>
  </si>
  <si>
    <t xml:space="preserve">Phạm Thái
 Bệnh xá nhà máy Z131- Bãi Bông- Phổ Yên- Thái Nguyên, Phường Phổ Yên, Phường Phổ Yên, Thái Nguyên
 0392234588
 </t>
  </si>
  <si>
    <t>S22693229.MB1-07-G11.1473006235</t>
  </si>
  <si>
    <t>SAPO130565057_603550</t>
  </si>
  <si>
    <t xml:space="preserve">Phượng Trần
 cửa hàng vàng bạc phượng khôi thôn 8 hoà hậu- lý nhân- hà nam, Xã Nam Lý, Xã Nam Lý, Ninh Bình
 0812959825
 </t>
  </si>
  <si>
    <t>S22693229.MB26-28-C24.1297722382</t>
  </si>
  <si>
    <t>SAPO130565053_603550</t>
  </si>
  <si>
    <t>19:36, 28-04-2026</t>
  </si>
  <si>
    <t xml:space="preserve">Nguyễn Dung
 Số nhà 53 Cao Bá Quát phường Trường Vinh- Nghệ An, Phường Trường Vinh, Phường Trường Vinh, Nghệ An
 0984727382
 </t>
  </si>
  <si>
    <t>S22693229.MB26-40-A15.1915418719</t>
  </si>
  <si>
    <t>SAPO130565059_603550</t>
  </si>
  <si>
    <t xml:space="preserve">Phạm Huyền
 Số nhà 39 nghệ an xiêng khoảng- xóm Nghi kim 13B- Phường Vinh Hưng- Nghệ an, Phường Vinh Hưng, Phường Vinh Hưng, Nghệ An
 0972164614
 </t>
  </si>
  <si>
    <t>S22693229.BO.MT19-08-K01.1125288353</t>
  </si>
  <si>
    <t>SAPO130565067_603550</t>
  </si>
  <si>
    <t xml:space="preserve">Giang Nguyễn Thị
 16 lê văn tám Thạnh mỹ đơn Dương Lâm Đồng, Xã Đơn Dương, Xã Đơn Dương, Lâm Đồng
 0948205928
 </t>
  </si>
  <si>
    <t>S22693229.HNP34-D164.1159894561</t>
  </si>
  <si>
    <t>SAPO130565062_603550</t>
  </si>
  <si>
    <t xml:space="preserve">Chị Hoa
 chung cư mini 9a ngach 53 ngõ 252 Tây Sơn, Phường Đống Đa, Phường Đống Đa, Hà Nội
 0904020307
 </t>
  </si>
  <si>
    <t>S22693229.BO.SG11-10-K22.1620441867</t>
  </si>
  <si>
    <t>SAPO130565109_603550</t>
  </si>
  <si>
    <t>18:23, 28-04-2026</t>
  </si>
  <si>
    <t xml:space="preserve">Amh Sumo
 B2/56F Đường Tân Liêm, Xã Bình Hưng, Xã Bình Hưng, TP Hồ Chí Minh
 0961359657
 </t>
  </si>
  <si>
    <t>S22693229.BO.SGP107-S30.1382043410</t>
  </si>
  <si>
    <t>SAPO130565116_603550</t>
  </si>
  <si>
    <t>16:18, 28-04-2026</t>
  </si>
  <si>
    <t xml:space="preserve">Tony-j Vuong
 68/23B xóm đất phường bình thới quận 11, Phường Bình Thới, Phường Bình Thới, TP Hồ Chí Minh
 0908090329
 </t>
  </si>
  <si>
    <t>S22693229.BO.MT8-05-E22.1075627091</t>
  </si>
  <si>
    <t>SAPO130565123_603550</t>
  </si>
  <si>
    <t>19:54, 27-04-2026</t>
  </si>
  <si>
    <t xml:space="preserve">Lê Như Cang
 40 Nguyễn Du, Phường Hội An, Phường Hội An, Đà Nẵng
 0982863360
 </t>
  </si>
  <si>
    <t>S22693229.BO.SGP37-K27.1724836890</t>
  </si>
  <si>
    <t>SAPO130565125_603550</t>
  </si>
  <si>
    <t>16:42, 28-04-2026</t>
  </si>
  <si>
    <t xml:space="preserve">Huong Tran
 46/8 đông hưng thuận 31, Phường Đông Hưng Thuận, Phường Đông Hưng Thuận, TP Hồ Chí Minh
 0982474500
 </t>
  </si>
  <si>
    <t>S22693229.MB10-06-F5.1701965293</t>
  </si>
  <si>
    <t>SAPO130565130_603550</t>
  </si>
  <si>
    <t xml:space="preserve">Hải Lê
 Tổ 4 Vĩnh Tuy 1 Mạo Khê, Phường Mạo Khê, Phường Mạo Khê, Quảng Ninh
 0983558819
 </t>
  </si>
  <si>
    <t>S22693229.MB6-10-E7.1468647441</t>
  </si>
  <si>
    <t>SAPO130565148_603550</t>
  </si>
  <si>
    <t>14:03, 28-04-2026</t>
  </si>
  <si>
    <t xml:space="preserve">Bich Nguyen
 thôn Lai Hà xã Hoàng Diệu huyện Gia Lộc tỉnh Hải Dương cũ nay là thôn Lai Hà xã Gia Phúc tp Hải Phòng, Xã Gia Phúc, Xã Gia Phúc, Hải Phòng
 0986704519
 </t>
  </si>
  <si>
    <t>S22693229.BO.SG11-03-A20.1820776690</t>
  </si>
  <si>
    <t>SAPO130565180_603550</t>
  </si>
  <si>
    <t>16:03, 28-04-2026</t>
  </si>
  <si>
    <t xml:space="preserve">Nhi Nhi
 b4/1 ấp 23 rằng hẻm trọ cặp tịm thuốc tây vĩnh Lộc B Bình Chánh hcm, Xã Tân Vĩnh Lộc, Xã Tân Vĩnh Lộc, TP Hồ Chí Minh
 0919719932
 </t>
  </si>
  <si>
    <t>S22693229.HNP32-D1.1884456706</t>
  </si>
  <si>
    <t>SAPO130565199_603550</t>
  </si>
  <si>
    <t xml:space="preserve">Đặng Thúy
 số 28 ngõ 5 thanh lãm phường phú lãm quận hà đông hà nội, Phường Phú Lương, Phường Phú Lương, Hà Nội
 0344614384
 </t>
  </si>
  <si>
    <t>S22693229.HNP17-H3.1890218627</t>
  </si>
  <si>
    <t>SAPO130565230_603550</t>
  </si>
  <si>
    <t>19:06, 28-04-2026</t>
  </si>
  <si>
    <t xml:space="preserve">Bùi Mai Phương
 41 Tân Triều, Phường Thanh Liệt, Phường Thanh Liệt, Hà Nội, Phường Thanh Liệt, Phường Thanh Liệt, Hà Nội
 0379803193
 </t>
  </si>
  <si>
    <t>S22693229.BO.SG11-06-A18.1355642939</t>
  </si>
  <si>
    <t>SAPO130565288_603550</t>
  </si>
  <si>
    <t xml:space="preserve">Phan Thuỳ Linh
 C13/22, đinh đức thiện ấp 11 xã bình chánh hcm, Xã Bình Chánh, Xã Bình Chánh, TP Hồ Chí Minh
 0908893967
 </t>
  </si>
  <si>
    <t>S22693229.BO.SG11-06-A18.1663671129</t>
  </si>
  <si>
    <t>SAPO130565330_603550</t>
  </si>
  <si>
    <t xml:space="preserve">Bé Nhi
 - C13/21,đinh Đức thiện ấp 11, xã bình Chánh TPHCM -, Xã Bình Chánh, Xã Bình Chánh, TP Hồ Chí Minh
 0937811698
 </t>
  </si>
  <si>
    <t>S22693229.BO.MT13-06-M13.1479880516</t>
  </si>
  <si>
    <t>SAPO130565351_603550</t>
  </si>
  <si>
    <t>16:36, 28-04-2026</t>
  </si>
  <si>
    <t xml:space="preserve">thanh sinh
 287c1 ngô gia tự, Phường Tấn Tài, Thành Phố Phan Rang-Tháp Chàm, Ninh Thuận, Phường Phan Rang, Phường Phan Rang, Khánh Hòa
 0904688776
 </t>
  </si>
  <si>
    <t>S22693229.BO.MT6-02-C5.1182837013</t>
  </si>
  <si>
    <t>SAPO130565371_603550</t>
  </si>
  <si>
    <t>16:20, 29-04-2026</t>
  </si>
  <si>
    <t xml:space="preserve">Lệ Duyên
 cầu mốc giáp thôn 1, phú vinh, tp Huế, Xã Phú Vinh, Xã Phú Vinh, Thành phố Huế
 0327387922
 </t>
  </si>
  <si>
    <t>S22693229.BO.MT13-06-M13.1373517254</t>
  </si>
  <si>
    <t>SAPO130565392_603550</t>
  </si>
  <si>
    <t xml:space="preserve">Vương Vương
 287C1 Ngô Gia Tự Tấn Tài Phan Rang-Tháp Chàm, Phường Phan Rang, Phường Phan Rang, Khánh Hòa
 0904688776
 </t>
  </si>
  <si>
    <t>S22693229.HNP32-D1.1427081189</t>
  </si>
  <si>
    <t>SAPO130565426_603550</t>
  </si>
  <si>
    <t>14:49, 27-04-2026</t>
  </si>
  <si>
    <t xml:space="preserve">Uyên Linh
 : số 235 đường thanh lãm, phường phú lương, hà nội, Phường Phú Lương, Phường Phú Lương, Hà Nội
 0984345431
 </t>
  </si>
  <si>
    <t>S22693229.BO.SG11-06-A18.1962037103</t>
  </si>
  <si>
    <t>SAPO130565485_603550</t>
  </si>
  <si>
    <t xml:space="preserve">Nguyệt Hằng
 C13/21a, Đinh Đức thiện ấp 11, xã bình Chánh hcm, Xã Bình Chánh, Xã Bình Chánh, TP Hồ Chí Minh
 0975964887
 </t>
  </si>
  <si>
    <t>S22693229.BO.MT13-03-G52.1159922286</t>
  </si>
  <si>
    <t>SAPO130565536_603550</t>
  </si>
  <si>
    <t xml:space="preserve">Bảo Vy Phan
 63/24 Nguyễn Thị Minh Khai Khu Phố 7, Phường Ninh Chử, Phường Ninh Chử, Khánh Hòa
 0965075018
 </t>
  </si>
  <si>
    <t>S22693229.MB25-25-L6.1480521979</t>
  </si>
  <si>
    <t>SAPO130565565_603550</t>
  </si>
  <si>
    <t>07:06, 25-04-2026</t>
  </si>
  <si>
    <t>16:00, 27-04-2026</t>
  </si>
  <si>
    <t xml:space="preserve">Phương Trinh Phương Trinh
 chợ bỉn Vĩnh Hòa Vĩnh Lộc thanh hoá, Xã Vĩnh Lộc, Xã Vĩnh Lộc, Thanh Hóa
 0377618096
 </t>
  </si>
  <si>
    <t>S22693229.BO.MB7-14-TP3.1093855338</t>
  </si>
  <si>
    <t>SAPO130565588_603550</t>
  </si>
  <si>
    <t>21:01, 28-04-2026</t>
  </si>
  <si>
    <t xml:space="preserve">Thu Nguyen
 Số 1a ngõ 96 Đường An Kim Hải, Phường Lê Chân, Phường Lê Chân, Hải Phòng
 0969821700
 </t>
  </si>
  <si>
    <t>S22693229.MB3-02-B8.1555564477</t>
  </si>
  <si>
    <t>SAPO130565612_603550</t>
  </si>
  <si>
    <t>15:26, 27-04-2026</t>
  </si>
  <si>
    <t xml:space="preserve">Vu Thi Vui
 Xóm 5 .hải trung, Xã Hải Hậu, Xã Hải Hậu, Ninh Bình
 0702085095
 </t>
  </si>
  <si>
    <t>S22693229.HNP140-T2.1644051202</t>
  </si>
  <si>
    <t>SAPO130565628_603550</t>
  </si>
  <si>
    <t xml:space="preserve">Phạm Nguyệt
 sn 62 đường quang trung, Xã Phú Xuyên, Xã Phú Xuyên, Hà Nội
 0981704155
 </t>
  </si>
  <si>
    <t>S22693229.MB10-09-Z7.1186702291</t>
  </si>
  <si>
    <t>SAPO130565639_603550</t>
  </si>
  <si>
    <t>19:50, 29-04-2026</t>
  </si>
  <si>
    <t xml:space="preserve">Nguyễn Công Nguyên
 Khu đình, Phường Hiệp Hòa, Phường Hiệp Hòa, Quảng Ninh
 0904985792
 </t>
  </si>
  <si>
    <t>S22693229.HNP34-K58.1333071636</t>
  </si>
  <si>
    <t>SAPO130565645_603550</t>
  </si>
  <si>
    <t xml:space="preserve">Đỗ Thơ
 Bệnh viện Đại học Y dược, đường Nguyễn Quý Đức, Phường Thanh Xuân, Phường Thanh Xuân, Hà Nội
 0359698932
 </t>
  </si>
  <si>
    <t>S22693229.MB6-10-E7.1232093342</t>
  </si>
  <si>
    <t>SAPO130565654_603550</t>
  </si>
  <si>
    <t>18:40, 27-04-2026</t>
  </si>
  <si>
    <t xml:space="preserve">Sông Ngân Hà
 cty may hoàng việt  Thôn Cao Dương  Gia Khánh, Xã Gia Phúc, Xã Gia Phúc, Hải Phòng
 0396327770
 </t>
  </si>
  <si>
    <t>S22693229.BO.SGP69-W64.1720322696</t>
  </si>
  <si>
    <t>SAPO130565660_603550</t>
  </si>
  <si>
    <t xml:space="preserve">Anh Nguyen
 89 đường b2 phường Tây thạnh quận Tân Phú TP HCM, Phường Tây Thạnh, Phường Tây Thạnh, TP Hồ Chí Minh
 0384004352
 </t>
  </si>
  <si>
    <t>S22693229.MB26-39-J7.1998884052</t>
  </si>
  <si>
    <t>SAPO130565670_603550</t>
  </si>
  <si>
    <t>13:01, 29-04-2026</t>
  </si>
  <si>
    <t xml:space="preserve">Thuy Vu
 Chợ Mọ, Xã Giai Lạc, Xã Giai Lạc, Nghệ An
 0963539116
 </t>
  </si>
  <si>
    <t>S22693229.BO.MT15-06-G51.1555890356</t>
  </si>
  <si>
    <t>SAPO130565681_603550</t>
  </si>
  <si>
    <t xml:space="preserve">Tâm Như Pham
 598 Duy Tân, Phường Đăk Cấm, Phường Đăk Cấm, Quảng Ngãi
 0986894539
 </t>
  </si>
  <si>
    <t>S22693229.MB8-04-D10.1374568931</t>
  </si>
  <si>
    <t>SAPO130565693_603550</t>
  </si>
  <si>
    <t xml:space="preserve">Minh Nguyen
 Cty bujeon việt nam KCN quế võ , phương liễu, quế võ, bắc ninh, Phường Phương Liễu, Phường Phương Liễu, Bắc Ninh
 0978683755
 </t>
  </si>
  <si>
    <t>S22693229.MB4-03-C10.1346174486</t>
  </si>
  <si>
    <t>SAPO130565704_603550</t>
  </si>
  <si>
    <t>12:36, 27-04-2026</t>
  </si>
  <si>
    <t xml:space="preserve">Đỗ Nguyệt
 Thôn Lỗ Trường, Xã Đông Thụy Anh, Xã Đông Thụy Anh, Hưng Yên
 0392622462
 </t>
  </si>
  <si>
    <t>S22693229.MB26-30-Y8.1519995601</t>
  </si>
  <si>
    <t>SAPO130565716_603550</t>
  </si>
  <si>
    <t xml:space="preserve">Cao Thị Huế
 Khối 7 Xã quỳ hợp Nghệ an, Xã Quỳ Hợp, Xã Quỳ Hợp, Nghệ An
 0989079337
 </t>
  </si>
  <si>
    <t>S22693229.MB25-16-D7.1519718550</t>
  </si>
  <si>
    <t>SAPO130565725_603550</t>
  </si>
  <si>
    <t>14:27, 28-04-2026</t>
  </si>
  <si>
    <t xml:space="preserve">Trương Thị Thuy
 Bệnh viện điều dưỡng phục hồi chức năng trung ương  Đường Nguyễn Du TDP Sơn Hải, Phường Sầm Sơn, Phường Sầm Sơn, Thanh Hóa
 0912582998
 </t>
  </si>
  <si>
    <t>S22693229.MB24-02-B1.1738476527</t>
  </si>
  <si>
    <t>SAPO130565735_603550</t>
  </si>
  <si>
    <t>08:15, 29-04-2026</t>
  </si>
  <si>
    <t xml:space="preserve">Phí Quỳnh Hoa
 Tổ 1, Xã Na Sang, Xã Na Sang, Điện Biên
 0944443994
 </t>
  </si>
  <si>
    <t>S22693229.BO.MT6-05-E06.1528318597</t>
  </si>
  <si>
    <t>SAPO130565763_603550</t>
  </si>
  <si>
    <t>19:05, 29-04-2026</t>
  </si>
  <si>
    <t xml:space="preserve">Uyen Le
 2/20  Xã Tắc, Phường Phú Xuân, Phường Phú Xuân, Thành phố Huế
 0983989385
 </t>
  </si>
  <si>
    <t>S22693229.BO.MT8-05-E23.1299804738</t>
  </si>
  <si>
    <t>SAPO130565812_603550</t>
  </si>
  <si>
    <t>18:35, 27-04-2026</t>
  </si>
  <si>
    <t xml:space="preserve">Yen Huynh
 13 Nguyễn Thái Học Minh An Hội An, Phường Hội An, Phường Hội An, Đà Nẵng
 0905621331
 </t>
  </si>
  <si>
    <t>S22693229.BO.MT6-12-M54.1430052929</t>
  </si>
  <si>
    <t>SAPO130565840_603550</t>
  </si>
  <si>
    <t>14:06, 29-04-2026</t>
  </si>
  <si>
    <t xml:space="preserve">Tường Lê
 522 Bùi Thị Xuân Thủy Biều, Phường Thủy Xuân, Phường Thủy Xuân, Thành phố Huế
 0766501700
 </t>
  </si>
  <si>
    <t>S22693229.BO.SGP66-W05.1044058132</t>
  </si>
  <si>
    <t>SAPO130565846_603550</t>
  </si>
  <si>
    <t>12:29, 28-04-2026</t>
  </si>
  <si>
    <t xml:space="preserve">Yen Pham
 30 Đường Tự Quyết  Tân Sơn Nhì, Phường Tân Sơn Nhì, Phường Tân Sơn Nhì, TP Hồ Chí Minh
 0909215962
 </t>
  </si>
  <si>
    <t>S22693229.MB25-12-TH2.1062824767</t>
  </si>
  <si>
    <t>SAPO130565852_603550</t>
  </si>
  <si>
    <t>07:07, 25-04-2026</t>
  </si>
  <si>
    <t>19:10, 29-04-2026</t>
  </si>
  <si>
    <t xml:space="preserve">Lê Thanh Dung
 Cty sakuzai hoàng Giang- thanh hoá, Xã Hoằng Giang, Xã Hoằng Giang, Thanh Hóa
 0377861899
 </t>
  </si>
  <si>
    <t>S22693229.BO.MT8-02-B29.1947458374</t>
  </si>
  <si>
    <t>SAPO130565864_603550</t>
  </si>
  <si>
    <t xml:space="preserve">Dung Thuy
 Thôn đông yên, Xã Duy Xuyên, Xã Duy Xuyên, Đà Nẵng
 0703640614
 </t>
  </si>
  <si>
    <t>S22693229.BO.SGP34-K36.1529243597</t>
  </si>
  <si>
    <t>SAPO130565873_603550</t>
  </si>
  <si>
    <t>17:58, 29-04-2026</t>
  </si>
  <si>
    <t xml:space="preserve">Thanh Thanh
 129 Trần Thị Do Tân Thới Hiệp  12, Phường Tân Thới Hiệp, Phường Tân Thới Hiệp, TP Hồ Chí Minh
 0764867787
 </t>
  </si>
  <si>
    <t>S22693229.MB5-13-M21.1866188558</t>
  </si>
  <si>
    <t>SAPO130565887_603550</t>
  </si>
  <si>
    <t>12:37, 28-04-2026</t>
  </si>
  <si>
    <t xml:space="preserve">Hien Luu
 Hào Xuyên - Yên Mỹ - Hưng Yên ( đối diện trường học cấp 3 Yên Mỹ), Xã Yên Mỹ, Xã Yên Mỹ, Hưng Yên
 0372466105
 </t>
  </si>
  <si>
    <t>S22693229.MB2-10-L37.1275066871</t>
  </si>
  <si>
    <t>SAPO130565896_603550</t>
  </si>
  <si>
    <t>16:23, 28-04-2026</t>
  </si>
  <si>
    <t xml:space="preserve">Lê Mai Chinh
 số 49 đường trần hưng đạo phường hoa lư tỉnh ninh bình, Phường Hoa Lư, Phường Hoa Lư, Ninh Bình
 0387911228
 </t>
  </si>
  <si>
    <t>S22693229.BO.MN1-20-TP82.1990871530</t>
  </si>
  <si>
    <t>SAPO130565917_603550</t>
  </si>
  <si>
    <t>14:10, 28-04-2026</t>
  </si>
  <si>
    <t xml:space="preserve">Hướng Dương
 C Hướng Dương Tổ 2 Khu Phố Hương Phước Phước Tân, Phường Phước Tân, Phường Phước Tân, Đồng Nai
 0937076777
 </t>
  </si>
  <si>
    <t>S22693229.BO.MT14-12-S1.1266958338</t>
  </si>
  <si>
    <t>SAPO130565949_603550</t>
  </si>
  <si>
    <t xml:space="preserve">Menu Bich
 Phú Lạc, Xã Liên Hương, Xã Liên Hương, Lâm Đồng
 0384957782
 </t>
  </si>
  <si>
    <t>S22693229.MB26-31-F7.1760094456</t>
  </si>
  <si>
    <t>SAPO130565979_603550</t>
  </si>
  <si>
    <t>16:31, 28-04-2026</t>
  </si>
  <si>
    <t xml:space="preserve">Bonbin Hòa
 Khối 5 Thị trấn Diễn Châu, huyện Diễn Châu, tỉnh Nghệ An, Xã Diễn Châu, Xã Diễn Châu, Nghệ An
 0982123522
 </t>
  </si>
  <si>
    <t>S22693229.MB5-13-M14.1633593364</t>
  </si>
  <si>
    <t>SAPO130566014_603550</t>
  </si>
  <si>
    <t>14:00, 27-04-2026</t>
  </si>
  <si>
    <t xml:space="preserve">Đào Thị Soan
 Dốc đê Đội 11, thôn Nội Doanh, xã Châu Ninh, tỉnh Hưng Yên, Xã Châu Ninh, Xã Châu Ninh, Hưng Yên
 0943075524
 </t>
  </si>
  <si>
    <t>S22693229.MB10-24-N11.1771844466</t>
  </si>
  <si>
    <t>SAPO130566038_603550</t>
  </si>
  <si>
    <t>21:50, 27-04-2026</t>
  </si>
  <si>
    <t xml:space="preserve">Vũ Hồng Hạnh
 17 Tổ 6 Khu 5  Hồng Hà Hạ Long, Phường Hạ Long, Phường Hạ Long, Quảng Ninh
 0778252288
 </t>
  </si>
  <si>
    <t>S22693229.MB15-01-A13.1039415050</t>
  </si>
  <si>
    <t>SAPO130566052_603550</t>
  </si>
  <si>
    <t>17:02, 27-04-2026</t>
  </si>
  <si>
    <t xml:space="preserve">Dung Vu
 sn18 - tổ 12 - Phường Dân Chủ - TPHB - Tỉnh Hòa Bình. Đ/c mới: sn18 - tổ 12 - Phường Thống Nhất - tỉnh Phú Thọ., Phường Thống Nhất, Phường Thống Nhất, Phú Thọ
 0987227633
 </t>
  </si>
  <si>
    <t>S22693229.BO.MT12-05-H83.1762140163</t>
  </si>
  <si>
    <t>SAPO130566065_603550</t>
  </si>
  <si>
    <t>17:21, 28-04-2026</t>
  </si>
  <si>
    <t xml:space="preserve">Nguyen Nhu
 Tổ 11  Vạn Giã, Xã Vạn Ninh, Xã Vạn Ninh, Khánh Hòa
 0886403879
 </t>
  </si>
  <si>
    <t>S22693229.BO.MB7-19-V15.1842356030</t>
  </si>
  <si>
    <t>SAPO130566069_603550</t>
  </si>
  <si>
    <t>20:36, 29-04-2026</t>
  </si>
  <si>
    <t xml:space="preserve">Hà Dương
 lô 45-46 khu đô thị Nam sông lạch Tray đường phạm văn đồng phường anh Dũng ( cũ) , phường mới Hưng Đạo thành phố Hải Phòng, Phường Trần Hưng Đạo, Phường Trần Hưng Đạo, Hải Phòng
 0703926868
 </t>
  </si>
  <si>
    <t>S22693229.BO.SGP107-S44.1526017369</t>
  </si>
  <si>
    <t>SAPO130566079_603550</t>
  </si>
  <si>
    <t>11:01, 28-04-2026</t>
  </si>
  <si>
    <t xml:space="preserve">Trần Thu Thảo
 57 Nguyễn Đình Chi, Phường Bình Tây, Phường Bình Tây, TP Hồ Chí Minh
 0963856815
 </t>
  </si>
  <si>
    <t>S22693229.HNP66-K68.1224444164</t>
  </si>
  <si>
    <t>SAPO130566095_603550</t>
  </si>
  <si>
    <t>20:18, 28-04-2026</t>
  </si>
  <si>
    <t xml:space="preserve">Quế Dương
 P610D15 KĐT Đặng Xá, Xã Thuận An, Xã Thuận An, Hà Nội
 0862737618
 </t>
  </si>
  <si>
    <t>S22693229.MB3-04-E1.1844037851</t>
  </si>
  <si>
    <t>SAPO130566103_603550</t>
  </si>
  <si>
    <t>11:49, 29-04-2026</t>
  </si>
  <si>
    <t xml:space="preserve">Chinh Nguyen Chinh Nguyen
 xóm hoành tam xã Giao thủy tỉnh Ninh bình, Xã Giao Thủy, Xã Giao Thủy, Ninh Bình
 0373443906
 </t>
  </si>
  <si>
    <t>S22693229.MB17-03-C2.1517931387</t>
  </si>
  <si>
    <t>SAPO130566114_603550</t>
  </si>
  <si>
    <t>20:05, 27-04-2026</t>
  </si>
  <si>
    <t xml:space="preserve">Phạm Hà
 79 Xương Giang, Xã Hữu Lũng, Xã Hữu Lũng, Lạng Sơn
 0987358589
 </t>
  </si>
  <si>
    <t>S22693229.HNP23-A82.1015345920</t>
  </si>
  <si>
    <t>SAPO130566124_603550</t>
  </si>
  <si>
    <t>13:40, 27-04-2026</t>
  </si>
  <si>
    <t xml:space="preserve">KimThoa Nguyen
 2A/47 ngõ 343 Đội cấn, Phường Ngọc Hà, Phường Ngọc Hà, Hà Nội
 0982551062
 </t>
  </si>
  <si>
    <t>S22693229.MB6-06-G2.1061704967</t>
  </si>
  <si>
    <t>SAPO130566147_603550</t>
  </si>
  <si>
    <t>19:49, 27-04-2026</t>
  </si>
  <si>
    <t xml:space="preserve">Hoàng Yến
 Trường THCS Nam Hưng, Xã Hợp Tiến, Xã Hợp Tiến, Hải Phòng
 0396906621
 </t>
  </si>
  <si>
    <t>S22693229.BO.SGP100-I30.1442249904</t>
  </si>
  <si>
    <t>SAPO130566208_603550</t>
  </si>
  <si>
    <t xml:space="preserve">Thắm Nguyễn
 hồ bơi sky garden R1-2 sky garden 3, đường phạm văn nghị , phường tân Hưng, tp.HCM, Phường Tân Hưng, Phường Tân Hưng, TP Hồ Chí Minh
 0937266676
 </t>
  </si>
  <si>
    <t>S22693229.BO.SGP59-P81.1876414773</t>
  </si>
  <si>
    <t>SAPO130566244_603550</t>
  </si>
  <si>
    <t>15:26, 28-04-2026</t>
  </si>
  <si>
    <t xml:space="preserve">Ngoc Pham
 37 đường 3A,, Phường An Lạc, Phường An Lạc, TP Hồ Chí Minh
 0908369324
 </t>
  </si>
  <si>
    <t>S22693229.MB12-09-L2.1955635454</t>
  </si>
  <si>
    <t>SAPO130566316_603550</t>
  </si>
  <si>
    <t>07:08, 25-04-2026</t>
  </si>
  <si>
    <t>13:34, 29-04-2026</t>
  </si>
  <si>
    <t xml:space="preserve">Lê Thị Ngọc Ánh
 Khu 11  Hùng Sơn, Xã Lâm Thao, Xã Lâm Thao, Phú Thọ
 0978720056
 </t>
  </si>
  <si>
    <t>S22693229.MB9-08-P12.1148239579</t>
  </si>
  <si>
    <t>SAPO130566357_603550</t>
  </si>
  <si>
    <t xml:space="preserve">Nguyễn Phượng
 Thôn Hậu, Xã Phúc Hòa, Xã Phúc Hòa, Bắc Ninh
 0989485258
 </t>
  </si>
  <si>
    <t>S22693229.MB16-03-D1.1829003816</t>
  </si>
  <si>
    <t>SAPO130566410_603550</t>
  </si>
  <si>
    <t>07:42, 29-04-2026</t>
  </si>
  <si>
    <t xml:space="preserve">Phương Thảo
 Tổ 6 xã sông mã, Xã Sông Mã, Xã Sông Mã, Sơn La
 0965291024
 </t>
  </si>
  <si>
    <t>S22693229.HNP25-F29.1371670889</t>
  </si>
  <si>
    <t>SAPO130566444_603550</t>
  </si>
  <si>
    <t xml:space="preserve">Hằng Phạm
 137 Nguyễn Ngọc Vũ, Yên Hoà, Hà Nội, Phường Yên Hòa, Phường Yên Hòa, Hà Nội
 0982419682
 </t>
  </si>
  <si>
    <t>S22693229.BO.MT15-08-I12.1925401503</t>
  </si>
  <si>
    <t>SAPO130566491_603550</t>
  </si>
  <si>
    <t>07:33, 29-04-2026</t>
  </si>
  <si>
    <t xml:space="preserve">Thanh Nga
 293 hùng  vương,thôn  dak xanh, Xã Đăk Pék, Xã Đăk Pék, Quảng Ngãi
 0984307803
 </t>
  </si>
  <si>
    <t>S22693229.BO.MN1-20-TP82.1241205641</t>
  </si>
  <si>
    <t>SAPO130566525_603550</t>
  </si>
  <si>
    <t>19:29, 29-04-2026</t>
  </si>
  <si>
    <t xml:space="preserve">OanhBin Giap
 Tổ 11B Khu Phố Long Đức 3  Tam Phước  Biên Hòa, Phường Tam Phước, Phường Tam Phước, Đồng Nai
 0986744301
 </t>
  </si>
  <si>
    <t>S22693229.BO.MT9-02-B9.1051502864</t>
  </si>
  <si>
    <t>SAPO130566562_603550</t>
  </si>
  <si>
    <t xml:space="preserve">Hà Diễm
 Đội 7, Tân Phước đông, Xã Bình Minh, Xã Bình Minh, Quảng Ngãi
 0364597629
 </t>
  </si>
  <si>
    <t>S22693229.BO.MT9-15-P27.1065696478</t>
  </si>
  <si>
    <t>SAPO130566608_603550</t>
  </si>
  <si>
    <t xml:space="preserve">Nguyen Thi Thanh
 Trạm thu phí Km1064+730 quốc lộ I, Xã Tư Nghĩa, Xã Tư Nghĩa, Quảng Ngãi
 0917569537
 </t>
  </si>
  <si>
    <t>S22693229.MB1-04-D2.1150016207</t>
  </si>
  <si>
    <t>SAPO130566742_603550</t>
  </si>
  <si>
    <t xml:space="preserve">Huế Phạm
 : Xóm Đồng Quan,Thôn Đoan Vỹ 1, Xã Thanh Hải, huyện Thanh Liêm, Hà Nam, Xã Thanh Lâm, Xã Thanh Lâm, Ninh Bình
 0353764783
 </t>
  </si>
  <si>
    <t>S22693229.BO.MT14-03-C19.1544020621</t>
  </si>
  <si>
    <t>SAPO130566783_603550</t>
  </si>
  <si>
    <t>18:47, 28-04-2026</t>
  </si>
  <si>
    <t xml:space="preserve">Tieu Tieu
 41 nguyễn an ninh, Xã Đức Linh, Xã Đức Linh, Lâm Đồng
 0988632408
 </t>
  </si>
  <si>
    <t>S22693229.BO.MN1-08-P61.1044950313</t>
  </si>
  <si>
    <t>SAPO130566843_603550</t>
  </si>
  <si>
    <t>21:16, 28-04-2026</t>
  </si>
  <si>
    <t xml:space="preserve">Hoàng Nguyên
 125 tổ 38 khu phố Tân Hạnh 4, Phường Biên Hòa, tỉnh Đồng Nai, Phường Biên Hòa, Phường Biên Hòa, Đồng Nai
 0948097039
 </t>
  </si>
  <si>
    <t>S22693229.MB16-04-K14.1427125233</t>
  </si>
  <si>
    <t>SAPO130566862_603550</t>
  </si>
  <si>
    <t>21:16, 29-04-2026</t>
  </si>
  <si>
    <t xml:space="preserve">Kẹo Đắng
 Quầy thuốc ngã ba bản đán , chiềng sàng , yên châu sơn la, Xã Yên Châu, Xã Yên Châu, Sơn La
 0987761590
 </t>
  </si>
  <si>
    <t>S22693229.HNP129-S49.1151424999</t>
  </si>
  <si>
    <t>SAPO130566891_603550</t>
  </si>
  <si>
    <t xml:space="preserve">Lua Tran
 Thôn 5, Xã Hát Môn, Xã Hát Môn, Hà Nội
 0396615350
 </t>
  </si>
  <si>
    <t>S22693229.MB2-02-D11.1243766440</t>
  </si>
  <si>
    <t>SAPO130566923_603550</t>
  </si>
  <si>
    <t xml:space="preserve">Pham Thom
 xóm 5 chất bình, kim sơn ninh bình, Xã Kim Sơn, Xã Kim Sơn, Ninh Bình
 0825774833
 </t>
  </si>
  <si>
    <t>S22693229.BO.SG12-02-E45.1817745375</t>
  </si>
  <si>
    <t>SAPO130576406_603550</t>
  </si>
  <si>
    <t>07:20, 25-04-2026</t>
  </si>
  <si>
    <t xml:space="preserve">Quynh Thuy
 20.7 ấp 5 xã Đông Thạnh huyện Hóc Môn TPHCM, Xã Đông Thạnh, Xã Đông Thạnh, TP Hồ Chí Minh
 0902756353
 </t>
  </si>
  <si>
    <t>S22693229.MB15-10-L6.1054912325</t>
  </si>
  <si>
    <t>SAPO130577356_603550</t>
  </si>
  <si>
    <t>07:22, 25-04-2026</t>
  </si>
  <si>
    <t>20:01, 28-04-2026</t>
  </si>
  <si>
    <t xml:space="preserve">khách lẻ
 Đảng ủy xã Tân Mai (xóm Đồng Bảng xã Đồng Tân, huyện Mai Châu - Hoà Bình, Xã Tân Mai, Xã Tân Mai, Phú Thọ
 0349596990
 </t>
  </si>
  <si>
    <t>S22693229.BO.MN3-05-H2.1238362185</t>
  </si>
  <si>
    <t>SAPO130579500_603550</t>
  </si>
  <si>
    <t>07:26, 25-04-2026</t>
  </si>
  <si>
    <t xml:space="preserve">Bố Trẻ Con
 780/30 bình giã, phường Rạch Dừa , tp HCM, Phường Rạch Dừa, Phường Rạch Dừa, TP Hồ Chí Minh
 0973754993
 </t>
  </si>
  <si>
    <t>S22693229.BO.MT13-03-G52.1309284248</t>
  </si>
  <si>
    <t>SAPO130584206_603550</t>
  </si>
  <si>
    <t>07:30, 25-04-2026</t>
  </si>
  <si>
    <t xml:space="preserve">Minh Vy
 63/39 Nguyễn thị mình khai khu phố 7 phường văn Hải to phan rang tháp chàm ninh thuận, Phường Ninh Chử, Phường Ninh Chử, Khánh Hòa
 0943821293
 </t>
  </si>
  <si>
    <t>S22693229.MB5-06-F4.1515939419</t>
  </si>
  <si>
    <t>SAPO130585579_603550</t>
  </si>
  <si>
    <t>07:31, 25-04-2026</t>
  </si>
  <si>
    <t>19:08, 29-04-2026</t>
  </si>
  <si>
    <t xml:space="preserve">Nguyen Mai Chi
 Chùa làng Chuông Thôn Đồng Chung, Xã Đại Đồng, Xã Đại Đồng, Hưng Yên
 0973556835
 </t>
  </si>
  <si>
    <t>S22693229.MB5-06-F4.1643157329</t>
  </si>
  <si>
    <t>SAPO130586757_603550</t>
  </si>
  <si>
    <t>20:20, 28-04-2026</t>
  </si>
  <si>
    <t>S22693229.MB5-06-F4.1306539990</t>
  </si>
  <si>
    <t>SAPO130587078_603550</t>
  </si>
  <si>
    <t>S22693229.MB5-06-F4.1398379185</t>
  </si>
  <si>
    <t>SAPO130587448_603550</t>
  </si>
  <si>
    <t>07:33, 25-04-2026</t>
  </si>
  <si>
    <t>S22693229.MB5-06-F4.1542860365</t>
  </si>
  <si>
    <t>SAPO130587616_603550</t>
  </si>
  <si>
    <t>S22693229.MB5-06-F4.1635288144</t>
  </si>
  <si>
    <t>SAPO130588078_603550</t>
  </si>
  <si>
    <t>S22693229.MB5-06-F4.1302812774</t>
  </si>
  <si>
    <t>SAPO130588310_603550</t>
  </si>
  <si>
    <t>S22693229.HNP107-B43.1587591197</t>
  </si>
  <si>
    <t>SAPO130698143_603550</t>
  </si>
  <si>
    <t>09:05, 25-04-2026</t>
  </si>
  <si>
    <t>13:25, 28-04-2026</t>
  </si>
  <si>
    <t xml:space="preserve">Thảo nguyễn
 C6 đường Trần hữu dực, Phường Từ Liêm, Phường Từ Liêm, Hà Nội
 0985573930
 </t>
  </si>
  <si>
    <t>S22693229.HNP92-K5.1640194538</t>
  </si>
  <si>
    <t>SAPO130698147_603550</t>
  </si>
  <si>
    <t>14:42, 28-04-2026</t>
  </si>
  <si>
    <t xml:space="preserve">Thành Vũ
 Trung tâm Hội nghị Quốc gia,, Phường Từ Liêm, Phường Từ Liêm, Hà Nội
 0986493282
 </t>
  </si>
  <si>
    <t>S22693229.HNP57-K46.1079505420</t>
  </si>
  <si>
    <t>SAPO130698152_603550</t>
  </si>
  <si>
    <t xml:space="preserve">thuỷ
 815 Nguyễn Văn Linh, Phường Phúc Lợi, Phường Phúc Lợi, Hà Nội
 0948168113
 </t>
  </si>
  <si>
    <t>S22693229.HNP48-A49.1418848730</t>
  </si>
  <si>
    <t>SAPO130698158_603550</t>
  </si>
  <si>
    <t>18:08, 29-04-2026</t>
  </si>
  <si>
    <t xml:space="preserve">Nguyễn Hải Ninh
 S1 chung cư Season Avenues ngõ Dâu Mộ Lao, Phường Hà Đông, Phường Hà Đông, Hà Nội
 0888088079
 </t>
  </si>
  <si>
    <t>S22693229.HNP99-Q32.1236693773</t>
  </si>
  <si>
    <t>SAPO130698141_603550</t>
  </si>
  <si>
    <t xml:space="preserve">Lê thị minh hải
 Xí nghiệp chế tạo thiết bị hàng không tổ 1, Phường Long Biên, Phường Long Biên, Hà Nội
 0947128684
 </t>
  </si>
  <si>
    <t>S22693229.HNP44-J127.1913879914</t>
  </si>
  <si>
    <t>SAPO130698148_603550</t>
  </si>
  <si>
    <t xml:space="preserve">Phương nguyễn
 93 lò đúc. Phạm đình hổ, Phường Hai Bà Trưng, Phường Hai Bà Trưng, Hà Nội
 0948986166
 </t>
  </si>
  <si>
    <t>S22693229.HNP46-A136.1483279501</t>
  </si>
  <si>
    <t>SAPO130698154_603550</t>
  </si>
  <si>
    <t>10:47, 28-04-2026</t>
  </si>
  <si>
    <t xml:space="preserve">Phạm phương tuyết
 110 hoàng quốc việt, Phường Nghĩa Đô, Phường Nghĩa Đô, Hà Nội
 0932267879
 </t>
  </si>
  <si>
    <t>S22693229.HNP107-B43.1309243551</t>
  </si>
  <si>
    <t>SAPO130698146_603550</t>
  </si>
  <si>
    <t>16:26, 27-04-2026</t>
  </si>
  <si>
    <t xml:space="preserve">Nguyễn Minh Anh
 27 Lê Đức Thọ, Phường Cầu Giấy, Phường Cầu Giấy, Hà Nội
 0914401238
 </t>
  </si>
  <si>
    <t>S22693229.HNP71-P13.1132955414</t>
  </si>
  <si>
    <t>SAPO130698155_603550</t>
  </si>
  <si>
    <t>18:21, 28-04-2026</t>
  </si>
  <si>
    <t xml:space="preserve">Giap
 61 cửa Đông, Phường Hoàn Kiếm, Phường Hoàn Kiếm, Hà Nội
 0976609366
 </t>
  </si>
  <si>
    <t>S22693229.HNP39-H22.1392552361</t>
  </si>
  <si>
    <t>SAPO130698137_603550</t>
  </si>
  <si>
    <t xml:space="preserve">Nguy
 Số nhà 22 ngõ 159 tổ dân phố kiên quyết phường dương nội hà đông hà nội, Phường Dương Nội, Phường Dương Nội, Hà Nội
 0987716335
 </t>
  </si>
  <si>
    <t>S22693229.HNP71-P13.1583651599</t>
  </si>
  <si>
    <t>SAPO130698144_603550</t>
  </si>
  <si>
    <t>18:26, 27-04-2026</t>
  </si>
  <si>
    <t xml:space="preserve">Lê duy hưng
 16 phùng hưng-hàng mã-hoàn kiếm-hà nội, Phường Hoàn Kiếm, Phường Hoàn Kiếm, Hà Nội
 0962268819
 </t>
  </si>
  <si>
    <t>S22693229.HNP92-F132.1821182003</t>
  </si>
  <si>
    <t>SAPO130698153_603550</t>
  </si>
  <si>
    <t>21:24, 27-04-2026</t>
  </si>
  <si>
    <t xml:space="preserve">Lê Thị Thanh Mai
 114 Trung Kính, Phường Yên Hòa, Phường Yên Hòa, Hà Nội
 0904949898
 </t>
  </si>
  <si>
    <t>S22693229.HNP71-P19.1347874582</t>
  </si>
  <si>
    <t>SAPO130698161_603550</t>
  </si>
  <si>
    <t xml:space="preserve">Vân
 25 lý thường kiệt, Phường Cửa Nam, Phường Cửa Nam, Hà Nội
 0985227668
 </t>
  </si>
  <si>
    <t>S22693229.HNP98-E1.1125909967</t>
  </si>
  <si>
    <t>SAPO130698136_603550</t>
  </si>
  <si>
    <t xml:space="preserve">Lê Xuân Cảnh
 Số 77, phố Lệ Mật, Phường Việt Hưng, Phường Việt Hưng, Hà Nội
 0983567559
 </t>
  </si>
  <si>
    <t>S22693229.HNP146-J42.1457498955</t>
  </si>
  <si>
    <t>SAPO130698160_603550</t>
  </si>
  <si>
    <t>22:53, 27-04-2026</t>
  </si>
  <si>
    <t xml:space="preserve">Hoàng thu
 Số 26 ngách 30 ngõ 229 minh khai hn, Phường Bạch Mai, Phường Bạch Mai, Hà Nội
 0913033018
 </t>
  </si>
  <si>
    <t>S22693229.HNP71-P12.1590656808</t>
  </si>
  <si>
    <t>SAPO130698139_603550</t>
  </si>
  <si>
    <t>16:30, 27-04-2026</t>
  </si>
  <si>
    <t xml:space="preserve">Lê duy hưbg
 16 hàng mã-hoàn kiếm-hà nội, Phường Hoàn Kiếm, Phường Hoàn Kiếm, Hà Nội
 0962268819
 </t>
  </si>
  <si>
    <t>S22693229.HNP62-Y32.1437073113</t>
  </si>
  <si>
    <t>SAPO130698157_603550</t>
  </si>
  <si>
    <t>12:51, 28-04-2026</t>
  </si>
  <si>
    <t xml:space="preserve">Nguyễn Thị Thu
 CT1C, cc Thông Tấn Xã Việt Nam, Phường Định Công, Phường Định Công, Hà Nội
 0976396506
 </t>
  </si>
  <si>
    <t>S22693229.HNP46-F108.1386519533</t>
  </si>
  <si>
    <t>SAPO130698149_603550</t>
  </si>
  <si>
    <t xml:space="preserve">Trâm
 P10.9B nhà A4 làng quốc tế thăng Long đường trần đăng ninh ( cầu giấy cũ ), Phường Cầu Giấy, Phường Cầu Giấy, Hà Nội
 0942527799
 </t>
  </si>
  <si>
    <t>S22693229.HNP57-K40.1176096524</t>
  </si>
  <si>
    <t>SAPO130698156_603550</t>
  </si>
  <si>
    <t xml:space="preserve">Nguyễn Thị Thu Hiền
 S5- Vinhomes Symphony - Long Biên, Phường Phúc Lợi, Phường Phúc Lợi, Hà Nội
 0912357111
 </t>
  </si>
  <si>
    <t>S22693229.HNP11-D4.1038087918</t>
  </si>
  <si>
    <t>SAPO130698151_603550</t>
  </si>
  <si>
    <t xml:space="preserve">Đin Hương
 số nhà 100C ngõ 7 đường Lê Trọng Tấn, Phường Dương Nội, Phường Dương Nội, Hà Nội
 0989689066
 </t>
  </si>
  <si>
    <t>S22693229.HNP71-P2.1789158191</t>
  </si>
  <si>
    <t>SAPO130698150_603550</t>
  </si>
  <si>
    <t xml:space="preserve">Phan Hương
 75 Đinh Tiên Hoàng, bưu điện hà nội, Phường Hoàn Kiếm, Phường Hoàn Kiếm, Hà Nội
 0912292203
 </t>
  </si>
  <si>
    <t>S22693229.HNP47-M82.1028935737</t>
  </si>
  <si>
    <t>SAPO130698282_603550</t>
  </si>
  <si>
    <t>15:06, 29-04-2026</t>
  </si>
  <si>
    <t xml:space="preserve">Quỳnh
 Toà nhà Lancaster 1152 Láng, Phường Láng, Phường Láng, Hà Nội
 0989602904
 </t>
  </si>
  <si>
    <t>S22693229.HNP107-I34.1893841315</t>
  </si>
  <si>
    <t>SAPO130698367_603550</t>
  </si>
  <si>
    <t xml:space="preserve">Thuỳ Anh
 Sn 103 tập thể nhà hát chèo Mai Dịch, Phường Nghĩa Đô, Phường Nghĩa Đô, Hà Nội
 0979035698
 </t>
  </si>
  <si>
    <t>S22693229.HNP46-C46.1238687587</t>
  </si>
  <si>
    <t>SAPO130698541_603550</t>
  </si>
  <si>
    <t>S22693229.HNP23-A84.1576296576</t>
  </si>
  <si>
    <t>SAPO130698581_603550</t>
  </si>
  <si>
    <t>17:52, 27-04-2026</t>
  </si>
  <si>
    <t xml:space="preserve">Nga Nguyen
 24 Linh Lang, Phường Ngọc Hà, Phường Ngọc Hà, Hà Nội
 0985084491
 </t>
  </si>
  <si>
    <t>S22693229.MN9-11-A62.1548333246</t>
  </si>
  <si>
    <t>SAPO130699642_603550</t>
  </si>
  <si>
    <t>09:06, 25-04-2026</t>
  </si>
  <si>
    <t>18:12, 28-04-2026</t>
  </si>
  <si>
    <t xml:space="preserve">Phạm Nhi
 58/97 đường Mậu Thân, Phường Phước Hậu, Phường Phước Hậu, Vĩnh Long
 0766898022
 </t>
  </si>
  <si>
    <t>S22693229.MN7-10-B63.1613157313</t>
  </si>
  <si>
    <t>SAPO130699640_603550</t>
  </si>
  <si>
    <t>16:40, 27-04-2026</t>
  </si>
  <si>
    <t xml:space="preserve">Huyền Hương
 Ấp 11, Xã Long Tiên, Xã Long Tiên, Đồng Tháp
 0775890001
 </t>
  </si>
  <si>
    <t>S22693229.MN1-05-Z22.1904481120</t>
  </si>
  <si>
    <t>SAPO130699643_603550</t>
  </si>
  <si>
    <t xml:space="preserve">Nguyễn Văn Cương
 Tổ 9, ấp Đất mới, Xã Nhơn Trạch, Xã Nhơn Trạch, Đồng Nai
 0904908286
 </t>
  </si>
  <si>
    <t>S22693229.MN2-32-F91.1957615754</t>
  </si>
  <si>
    <t>SAPO130699639_603550</t>
  </si>
  <si>
    <t>18:35, 29-04-2026</t>
  </si>
  <si>
    <t xml:space="preserve">Nguyễn Văn Hải
 379/13 khu 1 tân định bến cát bình dương, Phường Hòa Lợi, Phường Hòa Lợi, TP Hồ Chí Minh
 0916330331
 </t>
  </si>
  <si>
    <t>S22693229.SGP45-V04.1725280623</t>
  </si>
  <si>
    <t>SAPO130699641_603550</t>
  </si>
  <si>
    <t xml:space="preserve">Nguyễn thuy
 số 9 đg 429, Phường Tăng Nhơn Phú, Phường Tăng Nhơn Phú, TP Hồ Chí Minh
 0903180794
 </t>
  </si>
  <si>
    <t>S22693229.SGP91-W89.1800835950</t>
  </si>
  <si>
    <t>SAPO130699648_603550</t>
  </si>
  <si>
    <t>18:03, 28-04-2026</t>
  </si>
  <si>
    <t xml:space="preserve">Thanh Phan
 346 bến vân đồn, Phường Vĩnh Hội, Phường Vĩnh Hội, TP Hồ Chí Minh
 0789819888
 </t>
  </si>
  <si>
    <t>S22693229.SGP100-I36.1045138681</t>
  </si>
  <si>
    <t>SAPO130699644_603550</t>
  </si>
  <si>
    <t xml:space="preserve">Trần Thị Diệp Hoa
 05 Nguyễn Bính, Phường Tân Hưng, Phường Tân Hưng, TP Hồ Chí Minh
 0909117999
 </t>
  </si>
  <si>
    <t>S22693229.SGP65-W44.1825668690</t>
  </si>
  <si>
    <t>SAPO130699645_603550</t>
  </si>
  <si>
    <t>17:44, 25-04-2026</t>
  </si>
  <si>
    <t xml:space="preserve">Phạm Châu Thanh
 215 Hồng Bàng, Phường Chợ Lớn, Phường Chợ Lớn, TP Hồ Chí Minh
 0382175023
 </t>
  </si>
  <si>
    <t>S22693229.SGP89-Y104.1912755706</t>
  </si>
  <si>
    <t>SAPO130699647_603550</t>
  </si>
  <si>
    <t>17:29, 28-04-2026</t>
  </si>
  <si>
    <t xml:space="preserve">Pham Ngoc Tay
 C310, chung cư Trần Quốc Thảo, Phường Nhiêu Lộc, Phường Nhiêu Lộc, Phường Nhiêu Lộc, TP Hồ Chí Minh
 0901777780
 </t>
  </si>
  <si>
    <t>S22693229.MN2-17-Q31.1124037365</t>
  </si>
  <si>
    <t>SAPO130699691_603550</t>
  </si>
  <si>
    <t>09:07, 25-04-2026</t>
  </si>
  <si>
    <t>14:13, 27-04-2026</t>
  </si>
  <si>
    <t xml:space="preserve">Phan Thị Quỳnh Ly
 Số nhà 575, Quốc Lộ 13. Khu phố 4, Phường Mỹ Phước, Bến Cát, Bình Dương, Phường Bến Cát, Phường Bến Cát, TP Hồ Chí Minh
 0941001739
 </t>
  </si>
  <si>
    <t>S22693229.SGP89-I04.1192640007</t>
  </si>
  <si>
    <t>SAPO130699752_603550</t>
  </si>
  <si>
    <t>17:45, 25-04-2026</t>
  </si>
  <si>
    <t xml:space="preserve">Thiện Hoá
 Chùa Vĩnh nghiêm, 339 nam Kỳ khởi Nghĩa, Phường Xuân Hòa, Phường Xuân Hòa, TP Hồ Chí Minh
 0867181288
 </t>
  </si>
  <si>
    <t>S22693229.SGP12-H62.1638094804</t>
  </si>
  <si>
    <t>SAPO130699796_603550</t>
  </si>
  <si>
    <t xml:space="preserve">Linh Mai
 19/10/2A Trần Bình Trọng, Phường Bình Lợi Trung, Phường Bình Lợi Trung, TP Hồ Chí Minh
 0909209269
 </t>
  </si>
  <si>
    <t>S22693229.MN2-17-Q800.1534714498</t>
  </si>
  <si>
    <t>SAPO130699831_603550</t>
  </si>
  <si>
    <t>16:59, 27-04-2026</t>
  </si>
  <si>
    <t xml:space="preserve">Nguyễn Tiến Triển
 A1-02, đường NC, KP Đồng Sổ,, Xã Bàu Bàng, Xã Bàu Bàng, TP Hồ Chí Minh
 0982776997
 </t>
  </si>
  <si>
    <t>S22693229.SGP59-P95.1661543724</t>
  </si>
  <si>
    <t>SAPO130699908_603550</t>
  </si>
  <si>
    <t xml:space="preserve">Phạm bảo chân
 Chung cư Lê Thành khu B, Phường An Lạc, Phường An Lạc, TP Hồ Chí Minh
 0903856988
 </t>
  </si>
  <si>
    <t>S22693229.SGP39-Q02.1900410095</t>
  </si>
  <si>
    <t>SAPO130699958_603550</t>
  </si>
  <si>
    <t xml:space="preserve">Cao Hoàng Nhã
 25 Nguyễn Bỉnh Khiêm, Phường Sài Gòn, Phường Sài Gòn, TP Hồ Chí Minh
 0919173920
 </t>
  </si>
  <si>
    <t>S22693229.MN11-19-M04.1002038115</t>
  </si>
  <si>
    <t>SAPO130699998_603550</t>
  </si>
  <si>
    <t>16:17, 27-04-2026</t>
  </si>
  <si>
    <t xml:space="preserve">Nguyễn hoang kim
 Cửa hàng thức ăn gia súc hoàng kim ấp phụng lợi, Xã Thạnh An, Xã Thạnh An, Cần Thơ
 0939113397
 </t>
  </si>
  <si>
    <t>S22693229.BO.MT8-12-N4.1992506438</t>
  </si>
  <si>
    <t>SAPO130706077_603550</t>
  </si>
  <si>
    <t>09:15, 25-04-2026</t>
  </si>
  <si>
    <t>15:53, 27-04-2026</t>
  </si>
  <si>
    <t xml:space="preserve">Đỗ Thị Ngọc ngà
 Agribank Chi nhánh tiên Phước tiên kỳ quảng nam, Xã Tiên Phước, Xã Tiên Phước, Đà Nẵng
 0905505902
 </t>
  </si>
  <si>
    <t>S22693229.MB20-01-A4.1216908782</t>
  </si>
  <si>
    <t>SAPO130706055_603550</t>
  </si>
  <si>
    <t>20:03, 28-04-2026</t>
  </si>
  <si>
    <t xml:space="preserve">Lường Thị Thu Hoà
 Nhà số 11, Phường Bắc Kạn, Phường Bắc Kạn, Thái Nguyên
 0343621087
 </t>
  </si>
  <si>
    <t>S22693229.BO.SGP57-P24.1599693174</t>
  </si>
  <si>
    <t>SAPO130706054_603550</t>
  </si>
  <si>
    <t>13:56, 29-04-2026</t>
  </si>
  <si>
    <t xml:space="preserve">Hanh Nguyên
 184/32/18 Lê Đình Cẩn, Tân Tạo Bình Tân HCM, Phường Tân Tạo, Phường Tân Tạo, TP Hồ Chí Minh
 0902377410
 </t>
  </si>
  <si>
    <t>S22693229.BO.SGP47-V16.1736371801</t>
  </si>
  <si>
    <t>SAPO130706045_603550</t>
  </si>
  <si>
    <t xml:space="preserve">Ly Nguyễn
 Vinhomes Grand Park , Toà S7.01 Origami, Phường Long Bình, Phường Long Bình, TP Hồ Chí Minh
 0985998865
 </t>
  </si>
  <si>
    <t>S22693229.MB26-31-F3.1443637438</t>
  </si>
  <si>
    <t>SAPO130706036_603550</t>
  </si>
  <si>
    <t xml:space="preserve">Nguyễn thị ba
 Xóm 4, Xã Tân Châu, Xã Tân Châu, Nghệ An
 0975794388
 </t>
  </si>
  <si>
    <t>S22693229.MB8-01-A2.1232711081</t>
  </si>
  <si>
    <t>SAPO130706068_603550</t>
  </si>
  <si>
    <t>22:16, 28-04-2026</t>
  </si>
  <si>
    <t xml:space="preserve">Vương thị mến
 Số 38 nguyễn đình chiểu, bồ sơn, võ cường , bắc ninh, Phường Võ Cường, Phường Võ Cường, Bắc Ninh
 0859763588
 </t>
  </si>
  <si>
    <t>S22693229.MB4-03-C18.1999031241</t>
  </si>
  <si>
    <t>SAPO130706050_603550</t>
  </si>
  <si>
    <t>14:49, 28-04-2026</t>
  </si>
  <si>
    <t xml:space="preserve">Nguyễn Thị Hạnh
 Trường mầm non Thụy Dương xã Thụy Anh tỉnh Hưng Yên, Xã Thụy Anh, Xã Thụy Anh, Hưng Yên
 0976061195
 </t>
  </si>
  <si>
    <t>S22693229.MB6-17-D27.1437282239</t>
  </si>
  <si>
    <t>SAPO130706030_603550</t>
  </si>
  <si>
    <t xml:space="preserve">Ngô
 Số 100, hàm nghi, phường tân hưng, hải phòng, Phường Tân Hưng, Phường Tân Hưng, Hải Phòng
 0937774427
 </t>
  </si>
  <si>
    <t>S22693229.MB25-25-L6.1239235307</t>
  </si>
  <si>
    <t>SAPO130706028_603550</t>
  </si>
  <si>
    <t>14:51, 27-04-2026</t>
  </si>
  <si>
    <t xml:space="preserve">Đỗ Ngọc Hân
 SN 83, khu phố Giáng, Trần Nhân Tông, Xã Vĩnh Lộc, Xã Vĩnh Lộc, Thanh Hóa
 0918070577
 </t>
  </si>
  <si>
    <t>S22693229.BO.SGP91-W89.1589783672</t>
  </si>
  <si>
    <t>SAPO130706027_603550</t>
  </si>
  <si>
    <t xml:space="preserve">Trang
 Chung cư GOlDVIEW 346 bến vân đồn, Phường Vĩnh Hội, Phường Vĩnh Hội, TP Hồ Chí Minh
 0388138888
 </t>
  </si>
  <si>
    <t>S22693229.MB19-13-E1.1249878607</t>
  </si>
  <si>
    <t>SAPO130706076_603550</t>
  </si>
  <si>
    <t>21:48, 28-04-2026</t>
  </si>
  <si>
    <t xml:space="preserve">TRẦN ĐỨC TRUNG
 Tpd 5 Tân Sơn - Lương Sơn - Sông Công- Thái Nguyên, Phường Bách Quang, Phường Bách Quang, Thái Nguyên
 0357143352
 </t>
  </si>
  <si>
    <t>S22693229.MB10-24-N18.1285734441</t>
  </si>
  <si>
    <t>SAPO130706056_603550</t>
  </si>
  <si>
    <t>21:50, 28-04-2026</t>
  </si>
  <si>
    <t xml:space="preserve">Nguyễn Thuý Hường
 Sn 10, tổ10, khu 1, Phuòng Trần Hưng Đạo, Phường Hồng Gai, Phường Hồng Gai, Quảng Ninh
 0912343688
 </t>
  </si>
  <si>
    <t>S22693229.BO.DN10-G24.1236404621</t>
  </si>
  <si>
    <t>SAPO130706032_603550</t>
  </si>
  <si>
    <t xml:space="preserve">Trang Van
 K1A Võ Duy Ninh, Thọ Quang, Phường Sơn Trà, Phường Sơn Trà, Đà Nẵng
 0905665401
 </t>
  </si>
  <si>
    <t>S22693229.MB2-03-C14.1992341125</t>
  </si>
  <si>
    <t>SAPO130706058_603550</t>
  </si>
  <si>
    <t>15:41, 27-04-2026</t>
  </si>
  <si>
    <t xml:space="preserve">Vương Thu Ba
 Trạm y tế xã Gia Lạc, Xã Gia Phong, Xã Gia Phong, Ninh Bình
 0978470949
 </t>
  </si>
  <si>
    <t>S22693229.MB7-20-D8.1872884628</t>
  </si>
  <si>
    <t>SAPO130706079_603550</t>
  </si>
  <si>
    <t>06:02, 28-04-2026</t>
  </si>
  <si>
    <t xml:space="preserve">Hải
 Số 7. Lô 9. Pg. An đồng. An dương. Hải phòng, Phường An Hải, Phường An Hải, Hải Phòng
 0987547596
 </t>
  </si>
  <si>
    <t>S22693229.MB19-08-A11.1717894295</t>
  </si>
  <si>
    <t>SAPO130706046_603550</t>
  </si>
  <si>
    <t>15:13, 28-04-2026</t>
  </si>
  <si>
    <t xml:space="preserve">Thanh Huyền
 Số nhà 1- khu dân cư số 9, Phường Gia Sàng, Phường Gia Sàng, Thái Nguyên
 0918975678
 </t>
  </si>
  <si>
    <t>S22693229.HNP142-O11.1944324391</t>
  </si>
  <si>
    <t>SAPO130706063_603550</t>
  </si>
  <si>
    <t>18:37, 28-04-2026</t>
  </si>
  <si>
    <t xml:space="preserve">Hồ Hương
 Miếu nghè, Xã Đại Thanh, Xã Đại Thanh, Hà Nội
 0988792818
 </t>
  </si>
  <si>
    <t>S22693229.BO.DN8-E14.1332019505</t>
  </si>
  <si>
    <t>SAPO130706071_603550</t>
  </si>
  <si>
    <t>17:04, 28-04-2026</t>
  </si>
  <si>
    <t xml:space="preserve">Nguyễn Quỳnh
 20 thanh lương 24, Phường Hòa Xuân, Phường Hòa Xuân, Đà Nẵng
 0923888639
 </t>
  </si>
  <si>
    <t>S22693229.MB15-06-F2.1034207715</t>
  </si>
  <si>
    <t>SAPO130706040_603550</t>
  </si>
  <si>
    <t>17:59, 28-04-2026</t>
  </si>
  <si>
    <t xml:space="preserve">Nguyên  Tuấn Long
 Cty cáp treo Hương Bình, thôn Lão Nội, Xã An Nghĩa, Xã An Nghĩa, Phú Thọ
 0965179414
 </t>
  </si>
  <si>
    <t>S22693229.BO.SGP39-S15.1583275086</t>
  </si>
  <si>
    <t>SAPO130706041_603550</t>
  </si>
  <si>
    <t>18:10, 29-04-2026</t>
  </si>
  <si>
    <t xml:space="preserve">Nguyễn Thị Hương
 125 Cống quỳnh, Phường Cầu Ông Lãnh, Phường Cầu Ông Lãnh, TP Hồ Chí Minh
 0977149261
 </t>
  </si>
  <si>
    <t>S22693229.BO.MT15-06-G45.1688205835</t>
  </si>
  <si>
    <t>SAPO130706064_603550</t>
  </si>
  <si>
    <t>11:48, 28-04-2026</t>
  </si>
  <si>
    <t xml:space="preserve">Mai tinh
 33/25 trần văn hai, Phường Kon Tum, Phường Kon Tum, Quảng Ngãi
 0868370345
 </t>
  </si>
  <si>
    <t>S22693229.BO.MN6-20-B10.1005818397</t>
  </si>
  <si>
    <t>SAPO130706053_603550</t>
  </si>
  <si>
    <t>12:28, 28-04-2026</t>
  </si>
  <si>
    <t xml:space="preserve">Hoàng Thư
 351c khu 3 Võ Văn Tần, Xã Đức Hòa, Xã Đức Hòa, Tây Ninh
 0907402224
 </t>
  </si>
  <si>
    <t>S22693229.MB25-09-TC1.1129857665</t>
  </si>
  <si>
    <t>SAPO130706072_603550</t>
  </si>
  <si>
    <t>07:49, 28-04-2026</t>
  </si>
  <si>
    <t xml:space="preserve">Phạm Huyền Trang
 Khu 1, Xã Quan Sơn, Xã Quan Sơn, Thanh Hóa
 0978347950
 </t>
  </si>
  <si>
    <t>S22693229.MB12-10-K1.1249479858</t>
  </si>
  <si>
    <t>SAPO130706067_603550</t>
  </si>
  <si>
    <t>16:20, 27-04-2026</t>
  </si>
  <si>
    <t xml:space="preserve">Nguyễn Nghĩa
 Khu7 Thanh Uyên_Tam Nông_ Phú Thọ, Xã Hiền Quan, Xã Hiền Quan, Phú Thọ
 0358984326
 </t>
  </si>
  <si>
    <t>S22693229.MB25-12-C14.1435766511</t>
  </si>
  <si>
    <t>SAPO130706070_603550</t>
  </si>
  <si>
    <t>20:43, 27-04-2026</t>
  </si>
  <si>
    <t xml:space="preserve">Nguyễn Thị Như
 Số nhà 20, đường HT2, thôn Đông Thành, xã Hoằng Tiến, Thanh Hóa, Xã Hoằng Tiến, Xã Hoằng Tiến, Thanh Hóa
 0904957328
 </t>
  </si>
  <si>
    <t>S22693229.MB11-11-L5.1566497397</t>
  </si>
  <si>
    <t>SAPO130706043_603550</t>
  </si>
  <si>
    <t xml:space="preserve">Bùi Nhung
 Đối diện ngõ 25, Xã Đại Đồng, Xã Vĩnh Hưng, Xã Vĩnh Hưng, Phú Thọ
 0356086899
 </t>
  </si>
  <si>
    <t>S22693229.BO.MT16-02-D77.1900284916</t>
  </si>
  <si>
    <t>SAPO130706075_603550</t>
  </si>
  <si>
    <t xml:space="preserve">Trần Thị Thanh
 05 - D2 bờ kè suối Hội Phú, Hội Thương, Pleiku, Gia Lai, Phường Pleiku, Phường Pleiku, Gia Lai
 0982945879
 </t>
  </si>
  <si>
    <t>S22693229.BO.DN9-O26.1571066900</t>
  </si>
  <si>
    <t>SAPO130706035_603550</t>
  </si>
  <si>
    <t>13:52, 28-04-2026</t>
  </si>
  <si>
    <t xml:space="preserve">Huong
 95/12 Nguyễn Du, Phường Hải Châu, Phường Hải Châu, Đà Nẵng, Phường Hải Châu, Phường Hải Châu, Đà Nẵng
 0905705406
 </t>
  </si>
  <si>
    <t>S22693229.MB25-28-Q2.1249873555</t>
  </si>
  <si>
    <t>SAPO130706065_603550</t>
  </si>
  <si>
    <t xml:space="preserve">Mai Chấn Tường
 31A ngõ 7 thôn bắc trung xã nga thành huyện nga sơn tỉnh thanh hoá, Xã Hồ Vương, Xã Hồ Vương, Thanh Hóa
 0978329116
 </t>
  </si>
  <si>
    <t>S22693229.MB11-04-D1.1961378713</t>
  </si>
  <si>
    <t>SAPO130706034_603550</t>
  </si>
  <si>
    <t xml:space="preserve">Hải Nguyễn thi
 118 đông mẫu, Xã Tam Hồng, Xã Tam Hồng, Phú Thọ
 0987996259
 </t>
  </si>
  <si>
    <t>S22693229.MB7-29-C5.1196602627</t>
  </si>
  <si>
    <t>SAPO130706052_603550</t>
  </si>
  <si>
    <t>21:29, 28-04-2026</t>
  </si>
  <si>
    <t xml:space="preserve">Lan
 Kí túc xá Vinfast Hải Phòng, Đặc Khu Cát Hải, Đặc Khu Cát Hải, Hải Phòng
 0912953169
 </t>
  </si>
  <si>
    <t>S22693229.BO.DN17-I11.1313927147</t>
  </si>
  <si>
    <t>SAPO130706039_603550</t>
  </si>
  <si>
    <t>14:39, 27-04-2026</t>
  </si>
  <si>
    <t xml:space="preserve">Huỳnh Thị Tình
 38B Nguyễn Dữ , P. Cẩm Lệ, Tp Đà Nẵng, Phường Cẩm Lệ, Phường Cẩm Lệ, Đà Nẵng
 0962900169
 </t>
  </si>
  <si>
    <t>S22693229.MB9-17-G24.1665401396</t>
  </si>
  <si>
    <t>SAPO130706047_603550</t>
  </si>
  <si>
    <t>17:55, 28-04-2026</t>
  </si>
  <si>
    <t xml:space="preserve">Nguyễn Thị Hòa
 Xóm quế võ, tdp cầu, phường tự lạn, việt yên, bắc giang, Phường Tự Lạn, Phường Tự Lạn, Bắc Ninh
 0986255092
 </t>
  </si>
  <si>
    <t>S22693229.HNP142-O15.1365816321</t>
  </si>
  <si>
    <t>SAPO130706074_603550</t>
  </si>
  <si>
    <t>14:25, 28-04-2026</t>
  </si>
  <si>
    <t xml:space="preserve">Nguyễn Thị Định
 Đội 5  Đình Yên kiện -Đất Giãn Dân Yên Kiện Xã Ngọc Hồi, Xã Ngọc Hồi, Xã Ngọc Hồi, Hà Nội
 0342637442
 </t>
  </si>
  <si>
    <t>S22693229.MB21-09-A11.1492185196</t>
  </si>
  <si>
    <t>SAPO130706061_603550</t>
  </si>
  <si>
    <t>21:18, 27-04-2026</t>
  </si>
  <si>
    <t xml:space="preserve">Nguyễn phương nhung
 Số nhà 460 đường đinh tiên hoàng, Phường Văn Phú, Phường Văn Phú, Lào Cai
 0913359220
 </t>
  </si>
  <si>
    <t>S22693229.BO.SGP11-V44.1736239796</t>
  </si>
  <si>
    <t>SAPO130706049_603550</t>
  </si>
  <si>
    <t xml:space="preserve">Nguyen Duc Tuấn
 38/47 Nguyễn Công Hoan, Phường Cầu Kiệu, Phường Cầu Kiệu, TP Hồ Chí Minh
 0986617619
 </t>
  </si>
  <si>
    <t>S22693229.BO.SGP65-W39.1069879207</t>
  </si>
  <si>
    <t>SAPO130706062_603550</t>
  </si>
  <si>
    <t>13:39, 28-04-2026</t>
  </si>
  <si>
    <t>S22693229.MB7-20-D8.1088539948</t>
  </si>
  <si>
    <t>SAPO130706060_603550</t>
  </si>
  <si>
    <t>22:02, 27-04-2026</t>
  </si>
  <si>
    <t xml:space="preserve">Do Thi Kim Thanh
 Số 24 đường Trang Quan 3, Phường An Hải, Phường An Hải, Hải Phòng
 0914554005
 </t>
  </si>
  <si>
    <t>S22693229.MB9-17-G01.1361856951</t>
  </si>
  <si>
    <t>SAPO130706037_603550</t>
  </si>
  <si>
    <t>20:25, 28-04-2026</t>
  </si>
  <si>
    <t xml:space="preserve">DUNG
 SN 3 - TDP KIỂU  - P. Việt yên - Bắc giang, Phường Việt Yên, Phường Việt Yên, Bắc Ninh
 0944513931
 </t>
  </si>
  <si>
    <t>S22693229.MB9-09-S1.1111312569</t>
  </si>
  <si>
    <t>SAPO130706066_603550</t>
  </si>
  <si>
    <t xml:space="preserve">Nguyễn văn Dịnh
 Số 2, hoàng hoa thám, Xã Yên Thế, Xã Yên Thế, Bắc Ninh
 0945876298
 </t>
  </si>
  <si>
    <t>S22693229.BO.SGP65-W44.1723821691</t>
  </si>
  <si>
    <t>SAPO130706059_603550</t>
  </si>
  <si>
    <t>16:47, 29-04-2026</t>
  </si>
  <si>
    <t>S22693229.MB6-11-M8.1285552296</t>
  </si>
  <si>
    <t>SAPO130706038_603550</t>
  </si>
  <si>
    <t>13:20, 28-04-2026</t>
  </si>
  <si>
    <t xml:space="preserve">Nguyễn Thị Quỳnh
 CT TNHH NISHOKU khu công nghiệp tân trường cẩm giàng Hải Dương, Xã Mao Điền, Xã Mao Điền, Hải Phòng
 0984421859
 </t>
  </si>
  <si>
    <t>S22693229.BO.MN3-06-D81.1390649025</t>
  </si>
  <si>
    <t>SAPO130706078_603550</t>
  </si>
  <si>
    <t>17:07, 28-04-2026</t>
  </si>
  <si>
    <t xml:space="preserve">Ngô Quang Cần
 Tổ 1 ấp Quảng Giao, Xã Xuân Sơn, Xã Xuân Sơn, TP Hồ Chí Minh
 0778095051
 </t>
  </si>
  <si>
    <t>S22693229.MB27-01-A4.1207885250</t>
  </si>
  <si>
    <t>SAPO130706097_603550</t>
  </si>
  <si>
    <t xml:space="preserve">Lê văn hiệp
 01 ngõ 156 đường nguyễn xí, Phường Thành Sen, Phường Thành Sen, Hà Tĩnh
 0985586568
 </t>
  </si>
  <si>
    <t>S22693229.MB18-03-M4.1193367815</t>
  </si>
  <si>
    <t>SAPO130706144_603550</t>
  </si>
  <si>
    <t>22:06, 28-04-2026</t>
  </si>
  <si>
    <t xml:space="preserve">Hoàng thị ánh
 Tổ 3, thị trấn thông nông, cao bằng, Xã Thông Nông, Xã Thông Nông, Cao Bằng
 0855905993
 </t>
  </si>
  <si>
    <t>S22693229.MB2-10-L15.1739622855</t>
  </si>
  <si>
    <t>SAPO130706160_603550</t>
  </si>
  <si>
    <t xml:space="preserve">Phạm Thị Kim Thoa
 Doanh nghiệp xây dựng Xuân Trường, đường Thành An, phố Tân An, phường Tân Thành, Phường Hoa Lư, Phường Hoa Lư, Ninh Bình
 0916881007
 </t>
  </si>
  <si>
    <t>S22693229.MB2-10-B05.1859079803</t>
  </si>
  <si>
    <t>SAPO130706168_603550</t>
  </si>
  <si>
    <t>14:38, 28-04-2026</t>
  </si>
  <si>
    <t xml:space="preserve">Phạm Ngọc Chung
 XN TT - CTY Xi măng Vi Cem Tam Điệp, Phường Tam Điệp, Phường Tam Điệp, Ninh Bình
 0904770874
 </t>
  </si>
  <si>
    <t>S22693229.MB9-09-S1.1195234835</t>
  </si>
  <si>
    <t>SAPO130706183_603550</t>
  </si>
  <si>
    <t xml:space="preserve">Nguyễn văn Đinh
 Số 2, hoàng hoa thám, Xã Yên Thế, Xã Yên Thế, Bắc Ninh
 0945876298
 </t>
  </si>
  <si>
    <t>S22693229.MB5-06-F2.1360430532</t>
  </si>
  <si>
    <t>SAPO130706238_603550</t>
  </si>
  <si>
    <t xml:space="preserve">Phạm thị hoa
 Đội 11 Thôn hành lạc xã như quỳnh tỉnh hưng yên, Xã Như Quỳnh, Xã Như Quỳnh, Hưng Yên
 0989760882
 </t>
  </si>
  <si>
    <t>S22693229.MB23-06-E1.1588060233</t>
  </si>
  <si>
    <t>SAPO130706302_603550</t>
  </si>
  <si>
    <t>19:39, 28-04-2026</t>
  </si>
  <si>
    <t xml:space="preserve">Phạm thị Giang
 Số nhà 6 ngõ 695, Xã Than Uyên, Xã Than Uyên, Lai Châu
 0396078145
 </t>
  </si>
  <si>
    <t>S22693229.MB25-11-TF4.1686973515</t>
  </si>
  <si>
    <t>SAPO130706320_603550</t>
  </si>
  <si>
    <t>15:54, 28-04-2026</t>
  </si>
  <si>
    <t xml:space="preserve">Doãn Đăng Long
 Bản chong, Xã Thiên Phủ, Xã Thiên Phủ, Thanh Hóa
 0943273149
 </t>
  </si>
  <si>
    <t>S22693229.MB26-15-L17.1916571917</t>
  </si>
  <si>
    <t>SAPO130706342_603550</t>
  </si>
  <si>
    <t>09:16, 25-04-2026</t>
  </si>
  <si>
    <t>22:58, 28-04-2026</t>
  </si>
  <si>
    <t xml:space="preserve">Nguyễn Văn Túc
 UBND xã Nghi Lâm, Xã Phúc Lộc, Xã Phúc Lộc, Nghệ An
 0943466777
 </t>
  </si>
  <si>
    <t>S22693229.BO.MN5-10-J12.1222629864</t>
  </si>
  <si>
    <t>SAPO130706370_603550</t>
  </si>
  <si>
    <t xml:space="preserve">Hotel Thanh Thảo
 Tổ 2 Kp 3, Minh Thành, Phường Chơn Thành, Phường Chơn Thành, Đồng Nai
 0908255116
 </t>
  </si>
  <si>
    <t>S22693229.MB12-11-M9.1434845091</t>
  </si>
  <si>
    <t>SAPO130706426_603550</t>
  </si>
  <si>
    <t>20:30, 27-04-2026</t>
  </si>
  <si>
    <t xml:space="preserve">Kim Oanh
 khu 6, Xã Hiền Lương, Xã Hiền Lương, Phú Thọ
 0965713186
 </t>
  </si>
  <si>
    <t>S22693229.MB7-04-E1.1942563002</t>
  </si>
  <si>
    <t>SAPO130706443_603550</t>
  </si>
  <si>
    <t>17:11, 27-04-2026</t>
  </si>
  <si>
    <t xml:space="preserve">Phạm Thị Bích
 Xóm bãi cát, thôn Lộc Trù, Xã Tiên Minh, Xã Tiên Minh, Hải Phòng
 0934503863
 </t>
  </si>
  <si>
    <t>S22693229.BO.DN10-G24.1570214610</t>
  </si>
  <si>
    <t>SAPO130706463_603550</t>
  </si>
  <si>
    <t xml:space="preserve">Nguyễn diễm
 K2/2 thành vinh 3, thọ quang, Phường Sơn Trà, Phường Sơn Trà, Đà Nẵng
 0976267820
 </t>
  </si>
  <si>
    <t>S22693229.BO.MN2-03-C21.1404077712</t>
  </si>
  <si>
    <t>SAPO130706514_603550</t>
  </si>
  <si>
    <t xml:space="preserve">Nguyễn Thành Công
 11B Nguyễn Văn Tiết, Phường Lái Thiêu, Phường Lái Thiêu, TP Hồ Chí Minh
 0908086763
 </t>
  </si>
  <si>
    <t>S22693229.BO.SGP47-V19.1461994364</t>
  </si>
  <si>
    <t>SAPO130706589_603550</t>
  </si>
  <si>
    <t>16:39, 28-04-2026</t>
  </si>
  <si>
    <t xml:space="preserve">dung
 nhà 24 khu golf park số 1 đường số 2,, Phường Long Bình, Phường Long Bình, TP Hồ Chí Minh
 0902557406
 </t>
  </si>
  <si>
    <t>S22693229.MB2-03-C13.1232916969</t>
  </si>
  <si>
    <t>SAPO130706628_603550</t>
  </si>
  <si>
    <t>18:59, 27-04-2026</t>
  </si>
  <si>
    <t xml:space="preserve">Thúy
 Thôn hội tiến 2 xã Quỳnh Lưu huyện Nho quan tỉnh Ninh Bình, Xã Quỳnh Lưu, Xã Quỳnh Lưu, Ninh Bình
 0348950233
 </t>
  </si>
  <si>
    <t>S22693229.BO.SGP104-N67.1604897122</t>
  </si>
  <si>
    <t>SAPO130706693_603550</t>
  </si>
  <si>
    <t>16:30, 28-04-2026</t>
  </si>
  <si>
    <t xml:space="preserve">Titan
 1104B RiveraPark 7/28 Thành Thái, Phường Diên Hồng, Phường Diên Hồng, TP Hồ Chí Minh
 0903694439
 </t>
  </si>
  <si>
    <t>S22693229.BO.SGP12-H66.1343439204</t>
  </si>
  <si>
    <t>SAPO130706717_603550</t>
  </si>
  <si>
    <t>16:10, 28-04-2026</t>
  </si>
  <si>
    <t xml:space="preserve">Thu cuc
 393/19f Nguyễn xí, Phường Bình Lợi Trung, Phường Bình Lợi Trung, TP Hồ Chí Minh
 0909614629
 </t>
  </si>
  <si>
    <t>S22693229.MB25-16-U09.1245310521</t>
  </si>
  <si>
    <t>SAPO130706739_603550</t>
  </si>
  <si>
    <t>15:07, 27-04-2026</t>
  </si>
  <si>
    <t xml:space="preserve">Nguyet My
 06/353 lê thánh tông, Phường Hạc Thành, Phường Hạc Thành, Thanh Hóa
 0972445826
 </t>
  </si>
  <si>
    <t>S22693229.BO.MT15-06-G51.1291915274</t>
  </si>
  <si>
    <t>SAPO130706747_603550</t>
  </si>
  <si>
    <t>18:33, 27-04-2026</t>
  </si>
  <si>
    <t xml:space="preserve">Nguyễn Thị Hường
 Kon rờ bàng xã vinh quang thành phố Kon Tum, Xã Ngọk Bay, Xã Ngọk Bay, Quảng Ngãi
 0363461559
 </t>
  </si>
  <si>
    <t>S22693229.MB27-09-I3.1697164657</t>
  </si>
  <si>
    <t>SAPO130706761_603550</t>
  </si>
  <si>
    <t>18:23, 29-04-2026</t>
  </si>
  <si>
    <t xml:space="preserve">THÚY TUYẾN
 Công ty may xuất khẩu hàn quốc APPARELTECH, Xã Đức Thọ, Xã Đức Thọ, Hà Tĩnh
 0947726240
 </t>
  </si>
  <si>
    <t>S22693229.MB4-09-T34.1208856251</t>
  </si>
  <si>
    <t>SAPO130706793_603550</t>
  </si>
  <si>
    <t xml:space="preserve">Bùi Hải Anh
 278 Hoàng Văn Thái, Phường Trần Lãm, Phường Trần Lãm, Hưng Yên
 0843329555
 </t>
  </si>
  <si>
    <t>S22693229.BO.MT12-21-X83.1266643349</t>
  </si>
  <si>
    <t>SAPO130706863_603550</t>
  </si>
  <si>
    <t xml:space="preserve">Hà Thị Bích Thành
 159 hoàng hoa thám, Phường Nha Trang, Phường Nha Trang, Khánh Hòa
 0905194982
 </t>
  </si>
  <si>
    <t>S22693229.MB19-15-T3.1832433918</t>
  </si>
  <si>
    <t>SAPO130706879_603550</t>
  </si>
  <si>
    <t>09:17, 25-04-2026</t>
  </si>
  <si>
    <t>22:42, 28-04-2026</t>
  </si>
  <si>
    <t xml:space="preserve">Huy
 Trung tâm Khảo thí, nhà T1 Đại học Thái Nguyên, Phường Phan Đình Phùng, Phường Phan Đình Phùng, Thái Nguyên
 0933319394
 </t>
  </si>
  <si>
    <t>S22693229.HNP78-H11.1052538087</t>
  </si>
  <si>
    <t>SAPO130706922_603550</t>
  </si>
  <si>
    <t xml:space="preserve">Đỗ Văn Tư
 Khu 1( số nhà 15, ngõ 33, tuyến số 2), Xã Hoài Đức, Xã Hoài Đức, Hà Nội
 0903471287
 </t>
  </si>
  <si>
    <t>S22693229.MB6-17-D5.1742101995</t>
  </si>
  <si>
    <t>SAPO130706944_603550</t>
  </si>
  <si>
    <t>14:14, 28-04-2026</t>
  </si>
  <si>
    <t xml:space="preserve">Le Thu Thuy
 24 Phạm hồng thái, Phường Hải Dương, Phường Hải Dương, Hải Phòng
 0969936829
 </t>
  </si>
  <si>
    <t>S22693229.MB26-39-J2.1220957081</t>
  </si>
  <si>
    <t>SAPO130706959_603550</t>
  </si>
  <si>
    <t>16:12, 29-04-2026</t>
  </si>
  <si>
    <t xml:space="preserve">Chu Thị Thuỷ
 xóm 4, Xã Yên Thành, Xã Yên Thành, Nghệ An
 0365668779
 </t>
  </si>
  <si>
    <t>S22693229.BO.SGP55-P54.1503846707</t>
  </si>
  <si>
    <t>SAPO130706980_603550</t>
  </si>
  <si>
    <t>13:24, 28-04-2026</t>
  </si>
  <si>
    <t xml:space="preserve">Dương Đình Bảo Trân
 357/22/7 Tân Hoà Đông, Phường Bình Trị Đông, Phường Bình Trị Đông, TP Hồ Chí Minh
 0903966883
 </t>
  </si>
  <si>
    <t>S22693229.MB12-11-M14.1284316005</t>
  </si>
  <si>
    <t>SAPO130706991_603550</t>
  </si>
  <si>
    <t xml:space="preserve">Phạm hưởng
 Sn 48, tân bình, phường âu cơ, thị xã phú thọ, tỉnh phú thọ, Phường Âu Cơ, Phường Âu Cơ, Phú Thọ
 0961525556
 </t>
  </si>
  <si>
    <t>S22693229.MB9-09-S1.1526945392</t>
  </si>
  <si>
    <t>SAPO130706997_603550</t>
  </si>
  <si>
    <t xml:space="preserve">Nguyễn văn định
 Số 2, hoàng hoa thám, Xã Yên Thế, Xã Yên Thế, Bắc Ninh
 0945876298
 </t>
  </si>
  <si>
    <t>S22693229.MB25-14-E3.1592738971</t>
  </si>
  <si>
    <t>SAPO130707012_603550</t>
  </si>
  <si>
    <t xml:space="preserve">Lê Hạnh
 đại Đức, Tế Tân, Nông cống, Thanh Hóa, Xã Thắng Lợi, Xã Thắng Lợi, Thanh Hóa
 0855145123
 </t>
  </si>
  <si>
    <t>S22693229.MB9-05-D19.1791956153</t>
  </si>
  <si>
    <t>SAPO130707064_603550</t>
  </si>
  <si>
    <t>19:18, 29-04-2026</t>
  </si>
  <si>
    <t xml:space="preserve">Thanh Hoa
 50 Ngô Gia Tự, Phường Bắc Giang, Phường Bắc Giang, Bắc Ninh
 0914806080
 </t>
  </si>
  <si>
    <t>S22693229.MB25-30-R1.1465816896</t>
  </si>
  <si>
    <t>SAPO130707081_603550</t>
  </si>
  <si>
    <t xml:space="preserve">Lê Văn Dương
 Tổ dân phố Hợp Nhất, Phường Trúc Lâm, Phường Trúc Lâm, Thanh Hóa
 0986066717
 </t>
  </si>
  <si>
    <t>S22693229.BO.MT4-08-H3.1249762789</t>
  </si>
  <si>
    <t>SAPO130707080_603550</t>
  </si>
  <si>
    <t xml:space="preserve">Lan anh
 Thôn 4 phúc đồng phúc trạch, Xã Phong Nha, Xã Phong Nha, Quảng Trị
 0968266179
 </t>
  </si>
  <si>
    <t>S22693229.MB5-05-E6.1104784044</t>
  </si>
  <si>
    <t>SAPO130707114_603550</t>
  </si>
  <si>
    <t>20:50, 27-04-2026</t>
  </si>
  <si>
    <t xml:space="preserve">Chu Kim Dung
 Căn hộ 2808A,  Toà R2, Khu Hồ Thiên Nga (Swanlake Residences), Ecopark, xã Phụng Công, tỉnh Hưng Yên, Xã Phụng Công, Xã Phụng Công, Hưng Yên
 0985247765
 </t>
  </si>
  <si>
    <t>S22693229.HNP130-M72.1310501034</t>
  </si>
  <si>
    <t>SAPO130707141_603550</t>
  </si>
  <si>
    <t>20:19, 28-04-2026</t>
  </si>
  <si>
    <t xml:space="preserve">Nguyễn văn mạnh
 Yên quán, Xã Hưng Đạo, Xã Hưng Đạo, Hà Nội
 0355113268
 </t>
  </si>
  <si>
    <t>S22693229.BO.MN11-11-S31.1612174983</t>
  </si>
  <si>
    <t>SAPO130707169_603550</t>
  </si>
  <si>
    <t>11:57, 29-04-2026</t>
  </si>
  <si>
    <t xml:space="preserve">Ly Thuy Trang
 A12 Khu dân cư Hưng Phú, Phường Hưng Phú, Phường Hưng Phú, Cần Thơ
 0939570257
 </t>
  </si>
  <si>
    <t>S22693229.BO.MT17-25-G02.1123955107</t>
  </si>
  <si>
    <t>SAPO130707204_603550</t>
  </si>
  <si>
    <t>15:51, 28-04-2026</t>
  </si>
  <si>
    <t xml:space="preserve">Lệ Huyền
 271/35 Lê Duẫn, Phường Ea Kao, Phường Ea Kao, Đắk Lắk
 0981121840
 </t>
  </si>
  <si>
    <t>S22693229.BO.SGP101-I99.1607457689</t>
  </si>
  <si>
    <t>SAPO130707238_603550</t>
  </si>
  <si>
    <t xml:space="preserve">Đặng Tiểu Duy
 27 đường số 5 phường Tân Phú, Phường Tân Mỹ, Phường Tân Mỹ, TP Hồ Chí Minh
 0915732379
 </t>
  </si>
  <si>
    <t>S22693229.BO.SGP91-W83.1074467977</t>
  </si>
  <si>
    <t>SAPO130707259_603550</t>
  </si>
  <si>
    <t>19:32, 29-04-2026</t>
  </si>
  <si>
    <t xml:space="preserve">Như Hảo Nguyễn
 Chung cư Tresor 39 Bến Vân Đồn, Phường Xóm Chiếu, Phường Xóm Chiếu, TP Hồ Chí Minh
 0946459119
 </t>
  </si>
  <si>
    <t>S22693229.BO.MT12-21-X22.1716357579</t>
  </si>
  <si>
    <t>SAPO130707287_603550</t>
  </si>
  <si>
    <t xml:space="preserve">Nguyễn Anh Dũng
 Nhà hàng Đèn Lồng Đỏ. 135A-137-135A Hoàng Văn Thụ, Phường Nha Trang, Phường Nha Trang, Khánh Hòa
 0938220012
 </t>
  </si>
  <si>
    <t>S22693229.MB26-31-I13.1694269639</t>
  </si>
  <si>
    <t>SAPO130707340_603550</t>
  </si>
  <si>
    <t xml:space="preserve">Phạm xuân thắng
 Xóm 7, Xã Hùng Châu, Xã Hùng Châu, Nghệ An
 0978328478
 </t>
  </si>
  <si>
    <t>S22693229.BO.MN2-17-Q812.1159001413</t>
  </si>
  <si>
    <t>SAPO130707375_603550</t>
  </si>
  <si>
    <t>16:06, 29-04-2026</t>
  </si>
  <si>
    <t xml:space="preserve">PHẠM THỊ VÂN
 Đường Lai Hưng 58,tổ 1,ấp Cầu Sắt ( cách qiluoocs lộ 13 vào 200m, Phường Bến Cát, Phường Bến Cát, TP Hồ Chí Minh
 0949990101
 </t>
  </si>
  <si>
    <t>S22693229.MB25-17-I7.1931953610</t>
  </si>
  <si>
    <t>SAPO130707420_603550</t>
  </si>
  <si>
    <t xml:space="preserve">Hoa
 Số 197 Trần Phú, phường Bỉm Sơn, tỉnh Thanh Hoá, Phường Bỉm Sơn, Phường Bỉm Sơn, Thanh Hóa
 0912820363
 </t>
  </si>
  <si>
    <t>S22693229.BO.MT17-01-P13.1024217134</t>
  </si>
  <si>
    <t>SAPO130707544_603550</t>
  </si>
  <si>
    <t>09:18, 25-04-2026</t>
  </si>
  <si>
    <t xml:space="preserve">Nguyễn Thị Thúy Nga
 45/2/22 Nguyễn viết Xuân, Phường Buôn Ma Thuột, Phường Buôn Ma Thuột, Đắk Lắk
 0915453454
 </t>
  </si>
  <si>
    <t>S22693229.BO.MT10-04-D45.1366350418</t>
  </si>
  <si>
    <t>SAPO130707585_603550</t>
  </si>
  <si>
    <t xml:space="preserve">Trần hạnh
 86, Phường Quy Nhơn, Phường Quy Nhơn, Gia Lai
 0905157339
 </t>
  </si>
  <si>
    <t>S22693229.MB25-34-T07.1208584412</t>
  </si>
  <si>
    <t>SAPO130708038_603550</t>
  </si>
  <si>
    <t>S22693229.BO.MN2-13-M71.1540741574</t>
  </si>
  <si>
    <t>SAPO130708753_603550</t>
  </si>
  <si>
    <t>09:19, 25-04-2026</t>
  </si>
  <si>
    <t xml:space="preserve">vương ngọc tuyền
 trung tâm kiểm soát bệnh tật tỉnh bình dương đường lê hồng phong phường phú hoà tp thủ dầu một bình dương, Phường Phú Lợi, Phường Phú Lợi, TP Hồ Chí Minh
 0918236481
 </t>
  </si>
  <si>
    <t>S22693229.BO.SGP100-I46.1752288835</t>
  </si>
  <si>
    <t>SAPO130708751_603550</t>
  </si>
  <si>
    <t>14:30, 28-04-2026</t>
  </si>
  <si>
    <t xml:space="preserve">Hương
 300/34/37/14b Nguyễn Văn Linh, Phường Tân Thuận, Phường Tân Thuận, TP Hồ Chí Minh
 0979797410
 </t>
  </si>
  <si>
    <t>S22693229.MB4-09-T8.1554358134</t>
  </si>
  <si>
    <t>SAPO130708755_603550</t>
  </si>
  <si>
    <t>14:49, 29-04-2026</t>
  </si>
  <si>
    <t xml:space="preserve">Uyển hương
 Ngân hàng ShB, toà nhà viettel, đường Trần Hưng đạo, Phường Trần Hưng Đạo, Phường Trần Hưng Đạo, Hưng Yên
 0934381131
 </t>
  </si>
  <si>
    <t>S22693229.BO.SGP89-I03.1613383131</t>
  </si>
  <si>
    <t>SAPO130708752_603550</t>
  </si>
  <si>
    <t>11:17, 29-04-2026</t>
  </si>
  <si>
    <t xml:space="preserve">Hoàng My
 155 võ văn tần,p.võ thị sáu, Phường Xuân Hòa, Phường Xuân Hòa, TP Hồ Chí Minh
 0924582790
 </t>
  </si>
  <si>
    <t>S22693229.HNP117-M4.1309674627</t>
  </si>
  <si>
    <t>ESO2812658 - đổi trả 8309PG lần 2</t>
  </si>
  <si>
    <t>09:34, 25-04-2026</t>
  </si>
  <si>
    <t>21:20, 29-04-2026</t>
  </si>
  <si>
    <t xml:space="preserve">Duy Lương
 Số nhà 29 ngõ 42 đường Chiến Thắng, Xã Dương Liễu, Huyện Hoài Đức, Hà Nội, Vietnam, Xã Dương Hòa, Xã Dương Hòa, Hà Nội
 0975067456
 </t>
  </si>
  <si>
    <t>S22693229.HNP39-C17.1020100342</t>
  </si>
  <si>
    <t>ESO2820107 - đổi trả 8786</t>
  </si>
  <si>
    <t>17:45, 29-04-2026</t>
  </si>
  <si>
    <t xml:space="preserve">Đạt Thân Quang
 BT4.5 khu chức năng Tây Mỗ, Phường Tây Mỗ, Quận Nam Từ Liêm, Hà Nội, Vietnam, Phường Tây Mỗ, Phường Tây Mỗ, Hà Nội
 0917342368
 </t>
  </si>
  <si>
    <t>S22693229.MB25-12-TH7.1022081935</t>
  </si>
  <si>
    <t>bù hàng đơn 260423J2AVH323</t>
  </si>
  <si>
    <t>11:29, 25-04-2026</t>
  </si>
  <si>
    <t>17:01, 29-04-2026</t>
  </si>
  <si>
    <t xml:space="preserve">Nguyễn Thị Thúy
 Ngõ 12, Thôn Bản Định, Xã Hoằng Sơn, Huyện Hoằng Hóa, Tỉnh Thanh Hóa., Xã Hoằng Sơn, Xã Hoằng Sơn, Thanh Hóa
 0382072802
 </t>
  </si>
  <si>
    <t>S22693229.MB6-06-G5.1643127770</t>
  </si>
  <si>
    <t>bù hàng đơn 260412MCWT61U7</t>
  </si>
  <si>
    <t>19:22, 29-04-2026</t>
  </si>
  <si>
    <t xml:space="preserve">Khách
 Agribank chi nhánh Nam Sách., Đường Hùng Vương, Xã Nam Sách, TP Hải Phòng., Xã Nam Sách, Xã Nam Sách, Hải Phòng
 0968170383
 </t>
  </si>
  <si>
    <t>S22693229.MB3-02-B11.1634970394</t>
  </si>
  <si>
    <t>bù hàng đơn 260410E7EVJRRY</t>
  </si>
  <si>
    <t>11:30, 25-04-2026</t>
  </si>
  <si>
    <t>14:58, 29-04-2026</t>
  </si>
  <si>
    <t xml:space="preserve">Khách
 Đõ tho x10. vạn thắng, minh thái, ninh bình, Xã Minh Thái, Xã Minh Thái, Ninh Bình
 0378028688
 </t>
  </si>
  <si>
    <t>S22693229.MB26-31-F3.1256608381</t>
  </si>
  <si>
    <t>đổi hàng đơn 260420AT4U05WP</t>
  </si>
  <si>
    <t>20:42, 29-04-2026</t>
  </si>
  <si>
    <t xml:space="preserve">Khách
 Xóm Tân Phúc - xã An Châu- tỉnh Nghệ an (đối diện hợp tác xã Nam Thịnh- khu vực chợ Si Nam), Xã An Châu, Xã An Châu, Nghệ An
 0987829945
 </t>
  </si>
  <si>
    <t>S22693229.HNP71-P18.1914718400</t>
  </si>
  <si>
    <t>đổi hàng đơn 260412KNN4T2JY</t>
  </si>
  <si>
    <t xml:space="preserve">Khách
 198 Trần Quang Khải, Hoàn Kiếm, Hà Nội, Phường Hoàn Kiếm, Phường Hoàn Kiếm, Hà Nội
 0906074358
 </t>
  </si>
  <si>
    <t>S22693229.HNP52-P37.1650109863</t>
  </si>
  <si>
    <t>đổi hàng lần 2 đơn 2604198RQ4JRQJ</t>
  </si>
  <si>
    <t>19:48, 29-04-2026</t>
  </si>
  <si>
    <t>S22693229.MB8-03-C1.1256278699</t>
  </si>
  <si>
    <t>đổi hàng đơn 260421BPYD0559</t>
  </si>
  <si>
    <t>13:49, 29-04-2026</t>
  </si>
  <si>
    <t xml:space="preserve">Khách
 Xóm Ngõ Chiêu, Khu Phố Lạc Thổ Nam, Phường Thuận Thành, Tỉnh Bắc Ninh., Phường Thuận Thành, Phường Thuận Thành, Bắc Ninh
 0986312322
 </t>
  </si>
  <si>
    <t>S22693229.MB7-05-L8.1966754243</t>
  </si>
  <si>
    <t>đổi hàng đơn 2603264GNB7G0Q</t>
  </si>
  <si>
    <t>19:35, 29-04-2026</t>
  </si>
  <si>
    <t xml:space="preserve">Trần Xuân Nhất
 Thôn Hà Hương, Xã Vĩnh Hòa, Thành phố Hải Phòng, Xã Vĩnh Hòa, Xã Vĩnh Hòa, Hải Phòng
 0987281689
 </t>
  </si>
  <si>
    <t>S22693229.HNP98-E6.1030493079</t>
  </si>
  <si>
    <t>đổi hàng đơn 260421D2N4ACNE</t>
  </si>
  <si>
    <t>19:37, 29-04-2026</t>
  </si>
  <si>
    <t xml:space="preserve">Khách
 số 15 ngách 19 Ngõ 604 Ngọc Thụy, Ngọc Thụy, Bồ Đề, Hà Nội, Phường Bồ Đề, Phường Bồ Đề, Hà Nội
 0964794158
 </t>
  </si>
  <si>
    <t>S22693229.BO.MN2-29-TC54.1757505026</t>
  </si>
  <si>
    <t>SAPO130873490_603550</t>
  </si>
  <si>
    <t>13:43, 28-04-2026</t>
  </si>
  <si>
    <t xml:space="preserve">Bùi Tuyến
 37/NA6,KDC Viêtsing, Phường Thuận Giao, Phường Thuận Giao, TP Hồ Chí Minh
 0978018763
 </t>
  </si>
  <si>
    <t>S22693229.BO.MN16-01-A45.1866540281</t>
  </si>
  <si>
    <t>SAPO130873482_603550</t>
  </si>
  <si>
    <t>13:49, 28-04-2026</t>
  </si>
  <si>
    <t xml:space="preserve">Nguyễn Phụng
 đường 30 tháng 4 sóc trăng củ 545 mới kv15 phường Phú lợi thành phố cần thơ, Phường Phú Lợi, Phường Phú Lợi, Cần Thơ
 0982107809
 </t>
  </si>
  <si>
    <t>S22693229.BO.MT9-08-O7.1682899932</t>
  </si>
  <si>
    <t>SAPO130873491_603550</t>
  </si>
  <si>
    <t xml:space="preserve">Phòng Ngô
 Phòng ngô, đội 14. Thôn tân mỹ,, Phường Trương Quang Trọng, Phường Trương Quang Trọng, Quảng Ngãi
 0905968636
 </t>
  </si>
  <si>
    <t>S22693229.BO.MN2-32-F9.1405280647</t>
  </si>
  <si>
    <t>SAPO130873489_603550</t>
  </si>
  <si>
    <t>17:43, 29-04-2026</t>
  </si>
  <si>
    <t xml:space="preserve">Nga Sky
 Số 28. Đường số 6 khu công nghiệp visip 2, Phường Bình Dương, Phường Bình Dương, TP Hồ Chí Minh
 0947909394
 </t>
  </si>
  <si>
    <t>S22693229.BO.DN10-G20.1140343223</t>
  </si>
  <si>
    <t>SAPO130873484_603550</t>
  </si>
  <si>
    <t>14:18, 28-04-2026</t>
  </si>
  <si>
    <t xml:space="preserve">Nguyễn Thùy Trang
 265 ngô quyền sơn trà đà nẵng, Phường Sơn Trà, Phường Sơn Trà, Đà Nẵng
 0905022427
 </t>
  </si>
  <si>
    <t>S22693229.BO.MN3-09-M23.1199145059</t>
  </si>
  <si>
    <t>SAPO130873486_603550</t>
  </si>
  <si>
    <t>14:39, 28-04-2026</t>
  </si>
  <si>
    <t>S22693229.MB3-01-A8.1017681218</t>
  </si>
  <si>
    <t>SAPO130873488_603550</t>
  </si>
  <si>
    <t>14:05, 27-04-2026</t>
  </si>
  <si>
    <t xml:space="preserve">Nhung Pham Nhung Pham
 182 đường Trần Quang Khải, Phường Nam Định, Phường Nam Định, Ninh Bình
 0916706179
 </t>
  </si>
  <si>
    <t>S22693229.MB25-14-E14.1924240939</t>
  </si>
  <si>
    <t>SAPO130873555_603550</t>
  </si>
  <si>
    <t xml:space="preserve">Đào Phương
 240 Thôn Yên Bái  Tế Lợi    Thanh Hoá, Xã Thắng Lợi, Xã Thắng Lợi, Thanh Hóa
 0989839702
 </t>
  </si>
  <si>
    <t>S22693229.BO.SGP91-W81.1875641620</t>
  </si>
  <si>
    <t>SAPO130873606_603550</t>
  </si>
  <si>
    <t xml:space="preserve">Thu Lệ
 131/9 xóm chiếu phường xóm chiếu,tphcm, Phường Xóm Chiếu, Phường Xóm Chiếu, TP Hồ Chí Minh
 0944295252
 </t>
  </si>
  <si>
    <t>S22693229.MB6-05-A10.1695024749</t>
  </si>
  <si>
    <t>SAPO130873657_603550</t>
  </si>
  <si>
    <t>21:10, 28-04-2026</t>
  </si>
  <si>
    <t xml:space="preserve">Bich Nguyen
 , số nhà 51 Bình Minh, phường Lê Thanh Nghị, tp Hải Phòng., Phường Lê Thanh Nghị, Phường Lê Thanh Nghị, Hải Phòng
 0979379935
 </t>
  </si>
  <si>
    <t>S22693229.BO.SGP104-S10.1702745801</t>
  </si>
  <si>
    <t>SAPO130873682_603550</t>
  </si>
  <si>
    <t>12:14, 28-04-2026</t>
  </si>
  <si>
    <t xml:space="preserve">Nguyễn Minh Son
 201/3 Trần Phú, Phường Chợ Quán, Phường Chợ Quán, TP Hồ Chí Minh
 0909873168
 </t>
  </si>
  <si>
    <t>S22693229.BO.SGP101-I100.1631276085</t>
  </si>
  <si>
    <t>Gửi hàng PeaceMall kiện 1</t>
  </si>
  <si>
    <t xml:space="preserve">Chị Nguyệt
 số L47, đường D7, Phường Phú Mỹ, Quận 7, Hồ Chí Minh, Phường Tân Mỹ, Phường Tân Mỹ, TP Hồ Chí Minh
 0908887400
 </t>
  </si>
  <si>
    <t>S22693229.BO.SGP101-I100.1568390460</t>
  </si>
  <si>
    <t>Gửi hàng PeaceMall kiện 2</t>
  </si>
  <si>
    <t>S22693229.BO.SGP101-I100.1139556353</t>
  </si>
  <si>
    <t>Gửi hàng PeaceMall kiện 3</t>
  </si>
  <si>
    <t>S22693229.BO.SGP101-I100.1189814943</t>
  </si>
  <si>
    <t>Gửi hàng PeaceMall kiện 4</t>
  </si>
  <si>
    <t>S22693229.BO.SGP101-I100.1447150025</t>
  </si>
  <si>
    <t>Gửi hàng PeaceMall kiện 5</t>
  </si>
  <si>
    <t>S22693229.BO.SGP101-I100.1494135112</t>
  </si>
  <si>
    <t>Gửi hàng PeaceMall kiện 6</t>
  </si>
  <si>
    <t>S22693229.BO.SGP101-I100.1893790079</t>
  </si>
  <si>
    <t>Gửi hàng PeaceMall kiện 7</t>
  </si>
  <si>
    <t>S22693229.BO.SGP101-I100.1962155741</t>
  </si>
  <si>
    <t>Gửi hàng PeaceMall kiện 8</t>
  </si>
  <si>
    <t>S22693229.BO.SGP101-I100.1215957620</t>
  </si>
  <si>
    <t>Gửi hàng PeaceMall kiện 9</t>
  </si>
  <si>
    <t>S22693229.BO.SGP101-I100.1527128936</t>
  </si>
  <si>
    <t>Gửi hàng PeaceMall kiện 10</t>
  </si>
  <si>
    <t>S22693229.BO.SGP101-I100.1650930343</t>
  </si>
  <si>
    <t>Gửi hàng PeaceMall kiện 11</t>
  </si>
  <si>
    <t>S22693229.BO.SGP101-I100.1598991467</t>
  </si>
  <si>
    <t>Gửi hàng PeaceMall kiện 12</t>
  </si>
  <si>
    <t>15:11, 29-04-2026</t>
  </si>
  <si>
    <t>S22693229.HNP23-A84.1793946777</t>
  </si>
  <si>
    <t>SAPO131966261_603550</t>
  </si>
  <si>
    <t>08:27, 28-04-2026</t>
  </si>
  <si>
    <t xml:space="preserve">Bá Long
 459 Đội cấn, Phường Ngọc Hà, Phường Ngọc Hà, Hà Nội
 0978581199
 </t>
  </si>
  <si>
    <t>S22693229.HNP71-P14.1838791316</t>
  </si>
  <si>
    <t>SAPO131966263_603550</t>
  </si>
  <si>
    <t xml:space="preserve">Hoa
 43 ngõ 203 đường Hồng Hà., Phường Hồng Hà, Phường Hồng Hà, Hà Nội
 0936257296
 </t>
  </si>
  <si>
    <t>S22693229.HNP98-E15.1069532791</t>
  </si>
  <si>
    <t>SAPO131966267_603550</t>
  </si>
  <si>
    <t xml:space="preserve">Nguyễn Thị Hương
 84 Phú Viên, Phường Bồ Đề, Phường Bồ Đề, Hà Nội
 0978710468
 </t>
  </si>
  <si>
    <t>S22693229.HNP25-F25.1905693988</t>
  </si>
  <si>
    <t>SAPO131966233_603550</t>
  </si>
  <si>
    <t>16:42, 29-04-2026</t>
  </si>
  <si>
    <t xml:space="preserve">C Hạnh
 Toà Diamond Flower, 48 Lê Văn Lương, Phường Thanh Xuân, Phường Thanh Xuân, Hà Nội
 0904466265
 </t>
  </si>
  <si>
    <t>S22693229.HNP34-D176.1555102386</t>
  </si>
  <si>
    <t>SAPO131966265_603550</t>
  </si>
  <si>
    <t>12:39, 29-04-2026</t>
  </si>
  <si>
    <t xml:space="preserve">Minh Huyền
 D18, ngõ 167 phố Phương Mai, Phường Kim Liên, Phường Kim Liên, Hà Nội
 0915141018
 </t>
  </si>
  <si>
    <t>S22693229.HNP25-F25.1088085053</t>
  </si>
  <si>
    <t>SAPO131966256_603550</t>
  </si>
  <si>
    <t xml:space="preserve">Do Thi Xuan Thang
 17 T3 , Hoàng Đạo Thuy, Phường Thanh Xuân, Phường Thanh Xuân, Hà Nội
 0903440400
 </t>
  </si>
  <si>
    <t>S22693229.HNP25-F16.1095822970</t>
  </si>
  <si>
    <t>SAPO131966264_603550</t>
  </si>
  <si>
    <t>16:29, 29-04-2026</t>
  </si>
  <si>
    <t xml:space="preserve">Linh
 Toà Golden Palace 54 lê văn lương, Phường Thanh Xuân, Phường Thanh Xuân, Hà Nội
 0983988279
 </t>
  </si>
  <si>
    <t>S22693229.HNP146-G222.1958006773</t>
  </si>
  <si>
    <t>SAPO131966238_603550</t>
  </si>
  <si>
    <t>17:20, 29-04-2026</t>
  </si>
  <si>
    <t xml:space="preserve">Ứng Hải Linh
 15, ngách 19/78 Lạc Trung, Phường Vĩnh Tuy, Phường Vĩnh Tuy, Hà Nội
 0912770180
 </t>
  </si>
  <si>
    <t>S22693229.HNP107-B43.1021185595</t>
  </si>
  <si>
    <t>SAPO131966255_603550</t>
  </si>
  <si>
    <t>13:13, 29-04-2026</t>
  </si>
  <si>
    <t xml:space="preserve">Hạ
 B12.12 số 8 Lê Đức Thọ, Phường Cầu Giấy, Phường Cầu Giấy, Hà Nội
 0989740224
 </t>
  </si>
  <si>
    <t>S22693229.HNP92-B49.1614853370</t>
  </si>
  <si>
    <t>SAPO131966254_603550</t>
  </si>
  <si>
    <t>17:29, 29-04-2026</t>
  </si>
  <si>
    <t xml:space="preserve">Tuan Hoang Van
 Số 11 ngõ 97 đường Đình Thôn, Phường Cầu Giấy, Phường Cầu Giấy, Hà Nội
 0911479656
 </t>
  </si>
  <si>
    <t>S22693229.HNP11-F68.1890408049</t>
  </si>
  <si>
    <t>SAPO131966234_603550</t>
  </si>
  <si>
    <t>16:54, 29-04-2026</t>
  </si>
  <si>
    <t xml:space="preserve">Bùi Hương
 28 Trần Đăng Ninh,, Phường Hà Đông, Phường Hà Đông, Hà Nội
 0912346162
 </t>
  </si>
  <si>
    <t>S22693229.HNP83-D10.1515864157</t>
  </si>
  <si>
    <t>SAPO131966241_603550</t>
  </si>
  <si>
    <t xml:space="preserve">Vương Hoai Nam
 89 Trần Hưng Đạo,, Phường Cửa Nam, Phường Cửa Nam, Hà Nội
 0912491725
 </t>
  </si>
  <si>
    <t>S22693229.HNP146-G226.1920763050</t>
  </si>
  <si>
    <t>SAPO131966246_603550</t>
  </si>
  <si>
    <t>20:26, 29-04-2026</t>
  </si>
  <si>
    <t xml:space="preserve">Lê Thị Hoài Thư
 N03B chung cư K35 Tân Mai, Phường Tương Mai, Phường Tương Mai, Hà Nội
 0916227681
 </t>
  </si>
  <si>
    <t>S22693229.HNP78-B54.1640841082</t>
  </si>
  <si>
    <t>SAPO131966266_603550</t>
  </si>
  <si>
    <t>18:01, 29-04-2026</t>
  </si>
  <si>
    <t xml:space="preserve">Đỗ Trang
 Trường tiểu học Phenikaa, số 8, đường Tu Hoàng, Phường Xuân Phương, Phường Xuân Phương, Hà Nội
 0989690130
 </t>
  </si>
  <si>
    <t>S22693229.HNP25-B166.1507654158</t>
  </si>
  <si>
    <t>SAPO131966269_603550</t>
  </si>
  <si>
    <t>17:09, 29-04-2026</t>
  </si>
  <si>
    <t xml:space="preserve">Hùng
 43. Nguyễn chí thanh ngọc khánh ba đình hà nội, Phường Giảng Võ, Phường Giảng Võ, Hà Nội
 0941235868
 </t>
  </si>
  <si>
    <t>S22693229.HNP11-D9.1812133219</t>
  </si>
  <si>
    <t>SAPO131966240_603550</t>
  </si>
  <si>
    <t>12:49, 29-04-2026</t>
  </si>
  <si>
    <t xml:space="preserve">Phạm Thị Nguyên
 Tòa V1, The Terra An Hưng, Dương Nội, Hà Đông, Hà Nội, Phường Dương Nội, Phường Dương Nội, Hà Nội
 0906159556
 </t>
  </si>
  <si>
    <t>S22693229.HNP98-E4.1401080059</t>
  </si>
  <si>
    <t>SAPO131966268_603550</t>
  </si>
  <si>
    <t>17:25, 29-04-2026</t>
  </si>
  <si>
    <t xml:space="preserve">Hô quang ngọc
 54/986 ngô gia tự, Phường Việt Hưng, Phường Việt Hưng, Hà Nội
 0379862689
 </t>
  </si>
  <si>
    <t>S22693229.HNP23-A80.1548558562</t>
  </si>
  <si>
    <t>SAPO131966236_603550</t>
  </si>
  <si>
    <t>16:49, 29-04-2026</t>
  </si>
  <si>
    <t xml:space="preserve">Ha Vu
 23b ngo 379 Doi Can, Phường Ngọc Hà, Phường Ngọc Hà, Hà Nội
 0963576360
 </t>
  </si>
  <si>
    <t>S22693229.HNP46-A36.1659478862</t>
  </si>
  <si>
    <t>SAPO131966253_603550</t>
  </si>
  <si>
    <t>18:43, 29-04-2026</t>
  </si>
  <si>
    <t xml:space="preserve">Nguyen Linh
 Số 1 Phùng Chí Kiên, Phường Nghĩa Đô, Phường Nghĩa Đô, Hà Nội
 0902036770
 </t>
  </si>
  <si>
    <t>S22693229.HNP11-F68.1387535078</t>
  </si>
  <si>
    <t>SAPO131966271_603550</t>
  </si>
  <si>
    <t xml:space="preserve">Phương Thảo
 Toà V2 chung cư Victoria Văn Phú, Phường Kiến Hưng, Phường Kiến Hưng, Hà Nội
 0904326883
 </t>
  </si>
  <si>
    <t>S22693229.HNP92-F131.1048392980</t>
  </si>
  <si>
    <t>SAPO131966239_603550</t>
  </si>
  <si>
    <t xml:space="preserve">Phạm Việt Phú
 8 ngõ 91 Trần Duy Hưng, Phường Thanh Xuân, Phường Thanh Xuân, Hà Nội
 0974823656
 </t>
  </si>
  <si>
    <t>S22693229.HNP105-B11.1999300566</t>
  </si>
  <si>
    <t>SAPO131966251_603550</t>
  </si>
  <si>
    <t xml:space="preserve">Minh Nguyễn
 Số 4 ngõ 11 Đường Vạn Phúc, Phường Hà Đông, Phường Hà Đông, Hà Nội
 0983802203
 </t>
  </si>
  <si>
    <t>S22693229.HNP11-F41.1623186487</t>
  </si>
  <si>
    <t>SAPO131966262_603550</t>
  </si>
  <si>
    <t xml:space="preserve">Lưu thêu
 Số 1 tô hiệu, nguyễn trãi, Phường Hà Đông, Phường Hà Đông, Hà Nội
 0984865789
 </t>
  </si>
  <si>
    <t>S22693229.HNP49-J84.1114173564</t>
  </si>
  <si>
    <t>SAPO131966250_603550</t>
  </si>
  <si>
    <t xml:space="preserve">Lê công Đức
 36a ngõ 649 Lĩnh Nam, Phường Vĩnh Hưng, Phường Vĩnh Hưng, Hà Nội
 0982627905
 </t>
  </si>
  <si>
    <t>S22693229.HNP78-B54.1435167864</t>
  </si>
  <si>
    <t>SAPO131966270_603550</t>
  </si>
  <si>
    <t xml:space="preserve">Mr. Công
 Trường Đại học Công nghệ Đông Á, đường Trịnh Văn Bô, Phường Xuân Phương, Nam Từ Liêm, Hà Nội, Phường Xuân Phương, Phường Xuân Phương, Hà Nội
 0358954119
 </t>
  </si>
  <si>
    <t>S22693229.HNP25-B166.1850646377</t>
  </si>
  <si>
    <t>SAPO131966249_603550</t>
  </si>
  <si>
    <t>13:50, 29-04-2026</t>
  </si>
  <si>
    <t xml:space="preserve">Hoang Anh
 Số 54A  Nguyễn Chí Thanh - Toà Nhà ROX, Phường Láng, Phường Láng, Hà Nội
 0932748889
 </t>
  </si>
  <si>
    <t>S22693229.HNP46-F89.1215912393</t>
  </si>
  <si>
    <t>SAPO131966339_603550</t>
  </si>
  <si>
    <t>16:34, 29-04-2026</t>
  </si>
  <si>
    <t xml:space="preserve">Phuong Nguyen
 23 Duy Tân, Phường Cầu Giấy, Phường Cầu Giấy, Hà Nội
 0903441519
 </t>
  </si>
  <si>
    <t>S22693229.HNP52-Y138.1173317461</t>
  </si>
  <si>
    <t>SAPO131966584_603550</t>
  </si>
  <si>
    <t>18:32, 29-04-2026</t>
  </si>
  <si>
    <t xml:space="preserve">MAI QUYNH
 Số 10_M5_TT6 bắc linh đàm, Phường Định Công, Phường Định Công, Hà Nội
 0984636869
 </t>
  </si>
  <si>
    <t>S22693229.HNP83-D6.1415939105</t>
  </si>
  <si>
    <t>SAPO131966651_603550</t>
  </si>
  <si>
    <t>18:42, 29-04-2026</t>
  </si>
  <si>
    <t xml:space="preserve">Ngọc Anh
 Sn 15 ngách 48 ngõ Linh Quang văn chương hà nội, Phường Văn Miếu - Quốc Tử Giám, Phường Văn Miếu - Quốc Tử Giám, Hà Nội
 0379544810
 </t>
  </si>
  <si>
    <t>S22693229.HNP03-G30.1426915541</t>
  </si>
  <si>
    <t>SAPO131966786_603550</t>
  </si>
  <si>
    <t>20:19, 29-04-2026</t>
  </si>
  <si>
    <t xml:space="preserve">Hoa
 180 Trường Chinh, Phường Kim Liên, Phường Kim Liên, Hà Nội
 0397815848
 </t>
  </si>
  <si>
    <t>S22693229.HNP34-D177.1480551241</t>
  </si>
  <si>
    <t>SAPO131966865_603550</t>
  </si>
  <si>
    <t>18:44, 29-04-2026</t>
  </si>
  <si>
    <t xml:space="preserve">Bui Hà
 17 ngõ 88 kim hoa, Phường Kim Liên, Phường Kim Liên, Hà Nội
 0973207209
 </t>
  </si>
  <si>
    <t>S22693229.HNP146-G90.1000524425</t>
  </si>
  <si>
    <t>SAPO131966948_603550</t>
  </si>
  <si>
    <t xml:space="preserve">Thai Co Nguyen
 15 ngách 44 ngõ 158 Truơng Định, Phường Bạch Mai, Phường Bạch Mai, Hà Nội
 0915256007
 </t>
  </si>
  <si>
    <t>S22693229.HNP47-B173.1352406924</t>
  </si>
  <si>
    <t>SAPO131966989_603550</t>
  </si>
  <si>
    <t>14:13, 29-04-2026</t>
  </si>
  <si>
    <t xml:space="preserve">Nghia
 103b1 thành công, Phường Láng, Phường Láng, Hà Nội
 0979788899
 </t>
  </si>
  <si>
    <t>S22693229.HNP57-K26.1785933403</t>
  </si>
  <si>
    <t>SAPO131967344_603550</t>
  </si>
  <si>
    <t>08:28, 28-04-2026</t>
  </si>
  <si>
    <t>21:18, 29-04-2026</t>
  </si>
  <si>
    <t xml:space="preserve">Huyen
 Ct18 khu đô thị việt hưng, Phường Việt Hưng, Phường Việt Hưng, Hà Nội
 0908609681
 </t>
  </si>
  <si>
    <t>S22693229.HNP03-K60.1394655602</t>
  </si>
  <si>
    <t>SAPO131967617_603550</t>
  </si>
  <si>
    <t xml:space="preserve">Trần Lê Long
 Sn 12 ngõ 7 phố Hà Kế Tấn phường Phương Liệt HN, Phường Phương Liệt, Phường Phương Liệt, Hà Nội
 0983660026
 </t>
  </si>
  <si>
    <t>S22693229.HNP107-B36.1601731750</t>
  </si>
  <si>
    <t>SAPO131967657_603550</t>
  </si>
  <si>
    <t>14:42, 29-04-2026</t>
  </si>
  <si>
    <t xml:space="preserve">Trang Nguyễn
 30/42/22 phú mỹ, Phường Cầu Giấy, Phường Cầu Giấy, Hà Nội
 0945648490
 </t>
  </si>
  <si>
    <t>S22693229.HNP11-F68.1339518723</t>
  </si>
  <si>
    <t>SAPO131967707_603550</t>
  </si>
  <si>
    <t xml:space="preserve">Hang
 06-TT37, Khu đô thị Văn Phú, Phường Kiến Hưng, Phường Kiến Hưng, Hà Nội
 0986383338
 </t>
  </si>
  <si>
    <t>S22693229.HNP47-M120.1199394575</t>
  </si>
  <si>
    <t>SAPO131967785_603550</t>
  </si>
  <si>
    <t>17:16, 29-04-2026</t>
  </si>
  <si>
    <t xml:space="preserve">Nguyễn Thị Ngọc Mai
 Sảnh A, Chung cư Tân Hoàng Minh, 36 Hoàng Cầu, Phường Ô Chợ Dừa, Phường Ô Chợ Dừa, Hà Nội
 0983008009
 </t>
  </si>
  <si>
    <t>S22693229.HNP44-J36.1192821412</t>
  </si>
  <si>
    <t>SAPO131967815_603550</t>
  </si>
  <si>
    <t>14:55, 29-04-2026</t>
  </si>
  <si>
    <t xml:space="preserve">Mr Ngọc
 T18, khu ĐT Times city, Phường Vĩnh Tuy, Phường Vĩnh Tuy, Hà Nội
 0983260906
 </t>
  </si>
  <si>
    <t>S22693229.HNP78-B54.1336039258</t>
  </si>
  <si>
    <t>SAPO131967863_603550</t>
  </si>
  <si>
    <t xml:space="preserve">Lê thu hương
 Khu đô thị Xuân Phương, Phường Xuân Phương, Nam Từ Liêm, Hà Nội, Phường Xuân Phương, Phường Xuân Phương, Hà Nội
 0911239898
 </t>
  </si>
  <si>
    <t>S22693229.HNP57-K44.1602515862</t>
  </si>
  <si>
    <t>SAPO131967938_603550</t>
  </si>
  <si>
    <t>18:51, 29-04-2026</t>
  </si>
  <si>
    <t xml:space="preserve">Đàm Hằng
 Spa tĩnh. Chung cư Hope, Nguyễn Lam, phúc đồng, long biên, hà nội, Phường Phúc Lợi, Phường Phúc Lợi, Hà Nội
 0974777295
 </t>
  </si>
  <si>
    <t>S22693229.HNP52-Y138.1357777074</t>
  </si>
  <si>
    <t>SAPO131967974_603550</t>
  </si>
  <si>
    <t xml:space="preserve">Phương
 408 CT4A1 TÂY NAM LINH ĐÀM ( PHỐ VĂN TÂN), Phường Hoàng Mai, Phường Hoàng Mai, Hà Nội
 0902181886
 </t>
  </si>
  <si>
    <t>S22693229.HNP83-D12.1456846696</t>
  </si>
  <si>
    <t>SAPO131967994_603550</t>
  </si>
  <si>
    <t>17:47, 29-04-2026</t>
  </si>
  <si>
    <t xml:space="preserve">Nhật Thắng
 85 Bà Triệu Bệnh viện Mắt trung ương, Phường Hai Bà Trưng, Phường Hai Bà Trưng, Hà Nội
 0913223520
 </t>
  </si>
  <si>
    <t>S22693229.HNP49-J82.1110887037</t>
  </si>
  <si>
    <t>SAPO131968032_603550</t>
  </si>
  <si>
    <t>17:41, 29-04-2026</t>
  </si>
  <si>
    <t xml:space="preserve">Chị Lý
 Số 53 đường 3.3, Phường Lĩnh Nam, Phường Lĩnh Nam, Hà Nội
 0902023898
 </t>
  </si>
  <si>
    <t>S22693229.HNP92-K5.1449955311</t>
  </si>
  <si>
    <t>SAPO131968138_603550</t>
  </si>
  <si>
    <t>18:39, 29-04-2026</t>
  </si>
  <si>
    <t xml:space="preserve">Bùi thị hường
 Số 1 ngõ 78 mễ trì thượng, Phường Từ Liêm, Phường Từ Liêm, Hà Nội
 0983677648
 </t>
  </si>
  <si>
    <t>S22693229.HNP46-C85.1387587483</t>
  </si>
  <si>
    <t>SAPO131968165_603550</t>
  </si>
  <si>
    <t>23:46, 29-04-2026</t>
  </si>
  <si>
    <t xml:space="preserve">Phạm Hoàng Yến
 No3-T2 khu ngoại giao đoàn, Phường Xuân Đỉnh, Phường Xuân Đỉnh, Hà Nội
 0858000004
 </t>
  </si>
  <si>
    <t>S22693229.HNP25-F35.1665877295</t>
  </si>
  <si>
    <t>SAPO131968313_603550</t>
  </si>
  <si>
    <t>08:29, 28-04-2026</t>
  </si>
  <si>
    <t xml:space="preserve">Vũ Nhật Quỳnh
 47 Nguyễn Tuân, Thanh Xuân, Phường Thanh Xuân, Phường Thanh Xuân, Hà Nội
 0936221072
 </t>
  </si>
  <si>
    <t>S22693229.HNP46-F89.1663112509</t>
  </si>
  <si>
    <t>SAPO131968343_603550</t>
  </si>
  <si>
    <t xml:space="preserve">trịnh đông
 Số 2 ngõ 15 phố Duy Tân, Phường Cầu Giấy, Phường Cầu Giấy, Hà Nội
 0975380369
 </t>
  </si>
  <si>
    <t>S22693229.MN14-01-A52.1203553991</t>
  </si>
  <si>
    <t>SAPO131970698_603550</t>
  </si>
  <si>
    <t>08:31, 28-04-2026</t>
  </si>
  <si>
    <t xml:space="preserve">Phạm Duy Thiêm
 E8-32 Trần Thị Loan khu đô thị Phú Cường, Phường Rạch Giá, Phường Rạch Giá, An Giang
 0986326176
 </t>
  </si>
  <si>
    <t>S22693229.MN4-06-G62.1276820618</t>
  </si>
  <si>
    <t>SAPO131970670_603550</t>
  </si>
  <si>
    <t>17:02, 29-04-2026</t>
  </si>
  <si>
    <t xml:space="preserve">Đặng Thị Mỹ Nhân
 Kp.Suối Sâu, Phường An Tịnh, Phường An Tịnh, Tây Ninh
 0974859115
 </t>
  </si>
  <si>
    <t>S22693229.MN10-01-H21.1493817498</t>
  </si>
  <si>
    <t>SAPO131970667_603550</t>
  </si>
  <si>
    <t>17:13, 29-04-2026</t>
  </si>
  <si>
    <t xml:space="preserve">Dung
 158c Võ Văn Kiệt, Phường Nguyệt Hóa, Phường Nguyệt Hóa, Vĩnh Long
 0356200551
 </t>
  </si>
  <si>
    <t>S22693229.MN11-07-V62.1174258461</t>
  </si>
  <si>
    <t>SAPO131970675_603550</t>
  </si>
  <si>
    <t>11:51, 29-04-2026</t>
  </si>
  <si>
    <t xml:space="preserve">Như
 315 Nguyễn Văn linh, Phường Tân An, Phường Tân An, Cần Thơ
 0973328452
 </t>
  </si>
  <si>
    <t>S22693229.SG11-03-A12.1267242575</t>
  </si>
  <si>
    <t>SAPO131970689_603550</t>
  </si>
  <si>
    <t>17:03, 29-04-2026</t>
  </si>
  <si>
    <t xml:space="preserve">Phương
 1b21 ấp 1. Đường Vĩnh Lộc. Xã phạm văn hai. Bình Chánh. Hcm, Xã Tân Vĩnh Lộc, Xã Tân Vĩnh Lộc, TP Hồ Chí Minh
 0963832342
 </t>
  </si>
  <si>
    <t>S22693229.MN2-13-M35.1366715609</t>
  </si>
  <si>
    <t>SAPO131970687_603550</t>
  </si>
  <si>
    <t>14:48, 29-04-2026</t>
  </si>
  <si>
    <t xml:space="preserve">Nga Nguyễn
 293/21/12 Khu 2, Đường 30/4, Phường Thủ Dầu Một, Phường Thủ Dầu Một, TP Hồ Chí Minh
 0944815665
 </t>
  </si>
  <si>
    <t>S22693229.SGP107-S36.1041960780</t>
  </si>
  <si>
    <t>SAPO131970700_603550</t>
  </si>
  <si>
    <t xml:space="preserve">)-!anh Nguyen
 198/7D Bình Thới, Phường Hòa Bình, Phường Hòa Bình, TP Hồ Chí Minh
 0903600150
 </t>
  </si>
  <si>
    <t>S22693229.SGP78-S46.1566650532</t>
  </si>
  <si>
    <t>SAPO131970688_603550</t>
  </si>
  <si>
    <t>13:37, 29-04-2026</t>
  </si>
  <si>
    <t xml:space="preserve">Tú
 254 Bàu cát, Phường Bảy Hiền, Phường Bảy Hiền, TP Hồ Chí Minh
 0386779968
 </t>
  </si>
  <si>
    <t>S22693229.SGP47-V11.1168083201</t>
  </si>
  <si>
    <t>SAPO131970662_603550</t>
  </si>
  <si>
    <t>17:27, 29-04-2026</t>
  </si>
  <si>
    <t xml:space="preserve">Trương Hoàng Đông Nghi
 GH3B, Vincom Grand Park, Nguyễn Xiển, Phường Long Bình, Phường Long Bình, TP Hồ Chí Minh
 0918143938
 </t>
  </si>
  <si>
    <t>S22693229.SGP24-V80.1123072356</t>
  </si>
  <si>
    <t>SAPO131970678_603550</t>
  </si>
  <si>
    <t>15:38, 29-04-2026</t>
  </si>
  <si>
    <t xml:space="preserve">Tú Trần
 50 đường 3, khu dân cư Himlam, Phường Thủ Đức, Phường Thủ Đức, TP Hồ Chí Minh
 0937999534
 </t>
  </si>
  <si>
    <t>S22693229.SGP39-Q39.1221211631</t>
  </si>
  <si>
    <t>SAPO131970683_603550</t>
  </si>
  <si>
    <t>18:22, 29-04-2026</t>
  </si>
  <si>
    <t xml:space="preserve">Nguyễn Thân Thi Thanh Thuý
 275B Pham Ngũ Lão, Phường Bến Thành, Phường Bến Thành, TP Hồ Chí Minh
 0908973819
 </t>
  </si>
  <si>
    <t>S22693229.SGP24-V68.1119801064</t>
  </si>
  <si>
    <t>SAPO131970707_603550</t>
  </si>
  <si>
    <t>11:36, 29-04-2026</t>
  </si>
  <si>
    <t xml:space="preserve">Nguyễn Thị Xuân Hương
 83/8a đường Tam Bình Phường Tam Phú Thủ Đức, Phường Tam Bình, Phường Tam Bình, TP Hồ Chí Minh
 0901369272
 </t>
  </si>
  <si>
    <t>S22693229.SGP13-H22.1814328396</t>
  </si>
  <si>
    <t>SAPO131970690_603550</t>
  </si>
  <si>
    <t>14:34, 29-04-2026</t>
  </si>
  <si>
    <t xml:space="preserve">Thu Hương
 27 Đinh Bộ Lĩnh, Phường Bình Thạnh, Phường Bình Thạnh, TP Hồ Chí Minh
 0919916263
 </t>
  </si>
  <si>
    <t>S22693229.MN1-08-P81.1591553660</t>
  </si>
  <si>
    <t>SAPO131970703_603550</t>
  </si>
  <si>
    <t xml:space="preserve">Dương
 Tổ 8c hoang mi h chanh, Phường Biên Hòa, Phường Biên Hòa, Đồng Nai
 0937101082
 </t>
  </si>
  <si>
    <t>S22693229.SGP107-S39.1035635353</t>
  </si>
  <si>
    <t>SAPO131970680_603550</t>
  </si>
  <si>
    <t>12:47, 29-04-2026</t>
  </si>
  <si>
    <t xml:space="preserve">Trang Thi
 Chung cư Phú Thọ lô 4, Phường Phú Thọ, Phường Phú Thọ, TP Hồ Chí Minh
 0934396869
 </t>
  </si>
  <si>
    <t>S22693229.SGP89-I10.1946717396</t>
  </si>
  <si>
    <t>SAPO131970833_603550</t>
  </si>
  <si>
    <t>12:27, 29-04-2026</t>
  </si>
  <si>
    <t xml:space="preserve">Ho thuy
 Số 8 Hồ Xuân Hương, Phường Xuân Hòa, Phường Xuân Hòa, TP Hồ Chí Minh
 0396978672
 </t>
  </si>
  <si>
    <t>S22693229.SGP13-H04.1275250868</t>
  </si>
  <si>
    <t>SAPO131970955_603550</t>
  </si>
  <si>
    <t>15:36, 29-04-2026</t>
  </si>
  <si>
    <t xml:space="preserve">Bùi Minh Quỳnh Như
 Landmark 4, Vinhomes Central Park, 208 Nguyễn Hữu Cảnh, Phường Thạnh Mỹ Tây, Phường Thạnh Mỹ Tây, TP Hồ Chí Minh
 0929381399
 </t>
  </si>
  <si>
    <t>S22693229.SGP47-V18.1118365596</t>
  </si>
  <si>
    <t>SAPO131971064_603550</t>
  </si>
  <si>
    <t>15:28, 29-04-2026</t>
  </si>
  <si>
    <t xml:space="preserve">Vũ Hoàng Hà
 S10-06 vinhomes grand park, Phường Long Bình, Phường Long Bình, TP Hồ Chí Minh
 0902765600
 </t>
  </si>
  <si>
    <t>S22693229.MN1-20-TP51.1215671656</t>
  </si>
  <si>
    <t>SAPO131971112_603550</t>
  </si>
  <si>
    <t xml:space="preserve">Phan trọng nha
 Cty, Phường Tam Phước, Phường Tam Phước, Đồng Nai
 0907201331
 </t>
  </si>
  <si>
    <t>S22693229.MN9-11-A100.1698891945</t>
  </si>
  <si>
    <t>SAPO131971378_603550</t>
  </si>
  <si>
    <t>08:32, 28-04-2026</t>
  </si>
  <si>
    <t>12:14, 29-04-2026</t>
  </si>
  <si>
    <t>S22693229.SGP101-I97.1509842253</t>
  </si>
  <si>
    <t>SAPO131971408_603550</t>
  </si>
  <si>
    <t xml:space="preserve">Hồng Lê
 Chung cư green Valley, BLOOK D, Phường Tân Mỹ, Phường Tân Mỹ, TP Hồ Chí Minh
 0905107788
 </t>
  </si>
  <si>
    <t>S22693229.SGP34-K47.1903177522</t>
  </si>
  <si>
    <t>SAPO131971527_603550</t>
  </si>
  <si>
    <t>14:32, 29-04-2026</t>
  </si>
  <si>
    <t xml:space="preserve">Phương
 hẻm 37/17 TL08 hà huy giáp thạnh lộc quận 12, Phường An Phú Đông, Phường An Phú Đông, TP Hồ Chí Minh
 0973883998
 </t>
  </si>
  <si>
    <t>S22693229.SGP01-M25.1846010974</t>
  </si>
  <si>
    <t>SAPO131971579_603550</t>
  </si>
  <si>
    <t>16:11, 29-04-2026</t>
  </si>
  <si>
    <t xml:space="preserve">Nguyễn Lý Thái Hằng
 27 Đường Số 18, Phường Thông Tây Hội, Phường Thông Tây Hội, TP Hồ Chí Minh
 0967640591
 </t>
  </si>
  <si>
    <t>S22693229.SG13-08-D14.1925967245</t>
  </si>
  <si>
    <t>SAPO131971653_603550</t>
  </si>
  <si>
    <t xml:space="preserve">Thanh Hương
 số 5, Lê Minh Nhựt, Ấp Tiền, Xã Củ Chi, Xã Củ Chi, TP Hồ Chí Minh
 0946336739
 </t>
  </si>
  <si>
    <t>S22693229.SGP89-I16.1317648180</t>
  </si>
  <si>
    <t>SAPO131971787_603550</t>
  </si>
  <si>
    <t xml:space="preserve">Thao Nguyen
 194 Pasteur, Phường Xuân Hòa, Phường Xuân Hòa, TP Hồ Chí Minh
 0913186185
 </t>
  </si>
  <si>
    <t>S22693229.SG11-10-K22.1832823811</t>
  </si>
  <si>
    <t>SAPO131971844_603550</t>
  </si>
  <si>
    <t xml:space="preserve">Đỗ Phú
 37 đường số 5, khu dân cư Đại Phúc, Xã Bình Hưng, Xã Bình Hưng, TP Hồ Chí Minh
 0933458133
 </t>
  </si>
  <si>
    <t>S22693229.SGP101-I102.1425852952</t>
  </si>
  <si>
    <t>SAPO131971981_603550</t>
  </si>
  <si>
    <t xml:space="preserve">Nguyễn Thị Thuỳ Trang
 A10.04, Chung Cư Trần Trọng Cung, Phường Tân Thuận, Phường Tân Thuận, TP Hồ Chí Minh
 0901415329
 </t>
  </si>
  <si>
    <t>S22693229.MN1-46-V14.1414115149</t>
  </si>
  <si>
    <t>SAPO131972168_603550</t>
  </si>
  <si>
    <t>11:33, 29-04-2026</t>
  </si>
  <si>
    <t xml:space="preserve">Ngân
 Kho pharmacity long thành-N6 LÔ 1 KCN LỘC AN BÌNH SƠN, Xã Long Thành, Xã Long Thành, Đồng Nai
 0933097313
 </t>
  </si>
  <si>
    <t>S22693229.MN11-09-P31.1952632532</t>
  </si>
  <si>
    <t>SAPO131972236_603550</t>
  </si>
  <si>
    <t xml:space="preserve">Nguyễn Đăng Phương
 39/46/5, CMT8, Tổ 5, Kv3, Phường Bình Thủy, Phường Bình Thủy, Cần Thơ
 0939391134
 </t>
  </si>
  <si>
    <t>S22693229.SGP89-I11.1814346087</t>
  </si>
  <si>
    <t>SAPO131972330_603550</t>
  </si>
  <si>
    <t>12:38, 29-04-2026</t>
  </si>
  <si>
    <t xml:space="preserve">Cao Văn
 5 Cao Thắng, Phường Bàn Cờ, Phường Bàn Cờ, TP Hồ Chí Minh
 0818823384
 </t>
  </si>
  <si>
    <t>S22693229.SG11-10-K12.1483330171</t>
  </si>
  <si>
    <t>SAPO131972486_603550</t>
  </si>
  <si>
    <t>13:04, 29-04-2026</t>
  </si>
  <si>
    <t xml:space="preserve">Nguyễn Tâm
 C16/18 ấp 4B, Xã Bình Hưng, Xã Bình Hưng, TP Hồ Chí Minh
 0938550901
 </t>
  </si>
  <si>
    <t>S22693229.MN8-13-I11.1459742840</t>
  </si>
  <si>
    <t>SAPO131972782_603550</t>
  </si>
  <si>
    <t>08:33, 28-04-2026</t>
  </si>
  <si>
    <t>14:46, 29-04-2026</t>
  </si>
  <si>
    <t xml:space="preserve">Huynh kim trinh
 âp sơn lân xã sơn định huyện chợ lách tỉnh bến tre, Xã Phú Phụng, Xã Phú Phụng, Vĩnh Long
 0985766566
 </t>
  </si>
  <si>
    <t>S22693229.SGP100-I33.1526034486</t>
  </si>
  <si>
    <t>SAPO131972900_603550</t>
  </si>
  <si>
    <t xml:space="preserve">Hoài Phương 보라
 Hoài Phương 931781115 Chung cư Sunrise city north toà X2 27 nguyễn hữu thọ, khu himlam, p tân hưng,q7 hcm, Phường Tân Hưng, Phường Tân Hưng, TP Hồ Chí Minh
 0931781115
 </t>
  </si>
  <si>
    <t>S22693229.SGP27-Q86.1205841027</t>
  </si>
  <si>
    <t>SAPO131973112_603550</t>
  </si>
  <si>
    <t>12:32, 29-04-2026</t>
  </si>
  <si>
    <t xml:space="preserve">Nguyễn Thị Diễm Trang
 72 đường 4 khu tái định cư 6,8 ha, Phường Linh Xuân, Phường Linh Xuân, TP Hồ Chí Minh
 0901453686
 </t>
  </si>
  <si>
    <t>S22693229.SGP02-N01.1588331916</t>
  </si>
  <si>
    <t>SAPO131973176_603550</t>
  </si>
  <si>
    <t xml:space="preserve">Đặng Ngọc
 72/10 Trần Quốc Tuấn, Phường Hạnh Thông, Phường Hạnh Thông, TP Hồ Chí Minh
 0933116298
 </t>
  </si>
  <si>
    <t>S22693229.SGP113-X27.1222372789</t>
  </si>
  <si>
    <t>SAPO131973280_603550</t>
  </si>
  <si>
    <t>17:17, 29-04-2026</t>
  </si>
  <si>
    <t xml:space="preserve">Hạnh Nguyễn
 118/23 Âu Dương Lân, Phường Chánh Hưng, Phường Chánh Hưng, TP Hồ Chí Minh
 0949784099
 </t>
  </si>
  <si>
    <t>S22693229.SGP66-W05.1447475864</t>
  </si>
  <si>
    <t>SAPO131973350_603550</t>
  </si>
  <si>
    <t>11:54, 29-04-2026</t>
  </si>
  <si>
    <t xml:space="preserve">Toàn nghĩa
 229/31/8 tân kỳ tân quý, Phường Tân Sơn Nhì, Phường Tân Sơn Nhì, TP Hồ Chí Minh
 0798789007
 </t>
  </si>
  <si>
    <t>S22693229.SGP59-P76.1403877730</t>
  </si>
  <si>
    <t>SAPO131973430_603550</t>
  </si>
  <si>
    <t xml:space="preserve">Trần thị ngọc lộc
 241/3 tân hoà đông, Phường Phú Lâm, Phường Phú Lâm, TP Hồ Chí Minh
 0918164833
 </t>
  </si>
  <si>
    <t>S22693229.MN17-03-A32.1959105624</t>
  </si>
  <si>
    <t>SAPO131973698_603550</t>
  </si>
  <si>
    <t>15:04, 29-04-2026</t>
  </si>
  <si>
    <t xml:space="preserve">Mỹ Linh
 Số 52, Phường Bạc Liêu, Phường Bạc Liêu, Cà Mau
 0941990515
 </t>
  </si>
  <si>
    <t>S22693229.SGP39-Q02.1660395187</t>
  </si>
  <si>
    <t>SAPO131973764_603550</t>
  </si>
  <si>
    <t>14:25, 29-04-2026</t>
  </si>
  <si>
    <t xml:space="preserve">Nguyễn Thị Bích Hảo
 25Bis Nguyen Thị Munh Khai, Phường Sài Gòn, Phường Sài Gòn, TP Hồ Chí Minh
 0937061334
 </t>
  </si>
  <si>
    <t>S22693229.SG12-02-B24.1577252932</t>
  </si>
  <si>
    <t>SAPO131974050_603550</t>
  </si>
  <si>
    <t>15:03, 29-04-2026</t>
  </si>
  <si>
    <t xml:space="preserve">NGUYEN VAN THUAN
 1/17c ấp đình, Xã Hóc Môn, Xã Hóc Môn, TP Hồ Chí Minh
 0904233958
 </t>
  </si>
  <si>
    <t>S22693229.MN1-09-TS73.1717272992</t>
  </si>
  <si>
    <t>SAPO131974129_603550</t>
  </si>
  <si>
    <t>08:34, 28-04-2026</t>
  </si>
  <si>
    <t>12:02, 29-04-2026</t>
  </si>
  <si>
    <t xml:space="preserve">An Yên
 236A đường Phan Trung, phường Tam Hiệp, tỉnh Đồng Nai, Phường Tam Hiệp, Phường Tam Hiệp, Đồng Nai
 0799883579
 </t>
  </si>
  <si>
    <t>S22693229.SG12-01-A15.1092037205</t>
  </si>
  <si>
    <t>SAPO131974179_603550</t>
  </si>
  <si>
    <t xml:space="preserve">Diễm Phương
 10/8 ấp tiền Lân 2, Xã Bà Điểm, Xã Bà Điểm, TP Hồ Chí Minh
 0932146741
 </t>
  </si>
  <si>
    <t>S22693229.SG12-02-F36.1496386007</t>
  </si>
  <si>
    <t>SAPO131974232_603550</t>
  </si>
  <si>
    <t>13:55, 29-04-2026</t>
  </si>
  <si>
    <t xml:space="preserve">Quảng Nghiêm
 Chùa Thiền Lâm, Xã Đông Thạnh, Xã Đông Thạnh, TP Hồ Chí Minh
 0902907730
 </t>
  </si>
  <si>
    <t>S22693229.MN5-04-C62.1742924147</t>
  </si>
  <si>
    <t>SAPO131974377_603550</t>
  </si>
  <si>
    <t xml:space="preserve">Le thi hong phu
 Bình giang 1 phường sơn giang thị xa phuoc long, Phường Phước Long, Phường Phước Long, Đồng Nai
 0989762438
 </t>
  </si>
  <si>
    <t>S22693229.SGP59-P80.1912203708</t>
  </si>
  <si>
    <t>SAPO131974456_603550</t>
  </si>
  <si>
    <t>17:04, 29-04-2026</t>
  </si>
  <si>
    <t xml:space="preserve">Nguyễn thị kim vạn
 261 đường 7A, Phường An Lạc, Phường An Lạc, TP Hồ Chí Minh
 0703665779
 </t>
  </si>
  <si>
    <t>S22693229.MN17-03-S43.1602280238</t>
  </si>
  <si>
    <t>SAPO131974492_603550</t>
  </si>
  <si>
    <t xml:space="preserve">Trang Ngọc Tuấn
 Số 9, đường Võ Văn Kiệt,, Phường Bạc Liêu, Phường Bạc Liêu, Cà Mau
 0918606267
 </t>
  </si>
  <si>
    <t>S22693229.SGP13-H02.1346979750</t>
  </si>
  <si>
    <t>SAPO131974517_603550</t>
  </si>
  <si>
    <t xml:space="preserve">Nga Nguyễn Thị Ngọc
 217 d2 , th đống đa, Phường Thạnh Mỹ Tây, Phường Thạnh Mỹ Tây, TP Hồ Chí Minh
 0972721204
 </t>
  </si>
  <si>
    <t>S22693229.SGP34-K74.1500681587</t>
  </si>
  <si>
    <t>SAPO131974674_603550</t>
  </si>
  <si>
    <t>16:50, 29-04-2026</t>
  </si>
  <si>
    <t xml:space="preserve">Nhanha
 10/3 HT17 kp2 f.hiep thanh q12, Phường Tân Thới Hiệp, Phường Tân Thới Hiệp, TP Hồ Chí Minh
 0839434567
 </t>
  </si>
  <si>
    <t>S22693229.MN1-05-Z32.1388552566</t>
  </si>
  <si>
    <t>SAPO131974761_603550</t>
  </si>
  <si>
    <t>09:04, 29-04-2026</t>
  </si>
  <si>
    <t xml:space="preserve">Nguyễn thị thủy
 Mầm non thỏ bông -ấp 1, Xã Nhơn Trạch, Xã Nhơn Trạch, Đồng Nai
 0376482812
 </t>
  </si>
  <si>
    <t>S22693229.MN14-01-A68.1580445175</t>
  </si>
  <si>
    <t>SAPO131974791_603550</t>
  </si>
  <si>
    <t xml:space="preserve">Nga
 621 Nguyễn thị định phường Vĩnh hiệp Rạch Giá kiên Giang ( củ), Phường Rạch Giá, Phường Rạch Giá, An Giang
 0918841140
 </t>
  </si>
  <si>
    <t>S22693229.MN1-11-F31.1666363744</t>
  </si>
  <si>
    <t>SAPO131977530_603550</t>
  </si>
  <si>
    <t>08:37, 28-04-2026</t>
  </si>
  <si>
    <t>14:53, 29-04-2026</t>
  </si>
  <si>
    <t xml:space="preserve">lethanh vi
 56/7, phố 1, ấp 3, Xã Phú Hòa, Xã Phú Hòa, Đồng Nai
 0916678204
 </t>
  </si>
  <si>
    <t>S22693229.MN2-03-A35.1532556860</t>
  </si>
  <si>
    <t>SAPO131977541_603550</t>
  </si>
  <si>
    <t xml:space="preserve">Vũ
 158 đông ba, bình hòa, tphcm, Phường Bình Hòa, Phường Bình Hòa, TP Hồ Chí Minh
 0933600663
 </t>
  </si>
  <si>
    <t>S22693229.MN2-29-TC54.1231380150</t>
  </si>
  <si>
    <t>SAPO131977528_603550</t>
  </si>
  <si>
    <t>14:21, 29-04-2026</t>
  </si>
  <si>
    <t xml:space="preserve">Đoàn phượng
 494/20 khu nhà ở thái bình dương, bình chuẩn 17, Phường Thuận Giao, Phường Thuận Giao, TP Hồ Chí Minh
 0963753493
 </t>
  </si>
  <si>
    <t>S22693229.SGP34-K67.1650092675</t>
  </si>
  <si>
    <t>SAPO131977537_603550</t>
  </si>
  <si>
    <t xml:space="preserve">Quốc Huy Bùi
 46/31 đường TA 22 phường Thới An TP HCM, Phường Thới An, Phường Thới An, TP Hồ Chí Minh
 0931148067
 </t>
  </si>
  <si>
    <t>S22693229.SGP76-S94.1522069859</t>
  </si>
  <si>
    <t>SAPO131977538_603550</t>
  </si>
  <si>
    <t xml:space="preserve">Nguyễn Thị Huệ
 435 Nguyễn Trọng Tuyển, Phường Tân Sơn Hòa, Phường Tân Sơn Hòa, TP Hồ Chí Minh
 0912372634
 </t>
  </si>
  <si>
    <t>S22693229.SGP05-N17.1223054074</t>
  </si>
  <si>
    <t>SAPO131977531_603550</t>
  </si>
  <si>
    <t>16:09, 29-04-2026</t>
  </si>
  <si>
    <t xml:space="preserve">vu kien
 2a nguyễn sỹ sách, p.25, tân bình, Phường Tân Sơn, Phường Tân Sơn, TP Hồ Chí Minh
 0908637312
 </t>
  </si>
  <si>
    <t>S22693229.SGP65-W44.1329505284</t>
  </si>
  <si>
    <t>SAPO131977536_603550</t>
  </si>
  <si>
    <t xml:space="preserve">Phạm Châu Thanh
 215 Hồng Bàng F11 Q5 TPHCM, Phường Chợ Lớn, Phường Chợ Lớn, TP Hồ Chí Minh
 0382175023
 </t>
  </si>
  <si>
    <t>S22693229.SGP11-V63.1501764631</t>
  </si>
  <si>
    <t>SAPO131977539_603550</t>
  </si>
  <si>
    <t>13:08, 29-04-2026</t>
  </si>
  <si>
    <t xml:space="preserve">khanh ha
 45 vo thi sau, dakao( tan dinh), Phường Tân Định, Phường Tân Định, TP Hồ Chí Minh
 0907721126
 </t>
  </si>
  <si>
    <t>S22693229.SGP65-W52.1908770799</t>
  </si>
  <si>
    <t>SAPO131977529_603550</t>
  </si>
  <si>
    <t xml:space="preserve">Lịch Phạm
 213/79/20 Khuông Việt, Phường Tân Phú, Phường Tân Phú, TP Hồ Chí Minh
 0777438800
 </t>
  </si>
  <si>
    <t>S22693229.SGP54-P62.1177321061</t>
  </si>
  <si>
    <t>SAPO131977542_603550</t>
  </si>
  <si>
    <t>16:27, 29-04-2026</t>
  </si>
  <si>
    <t xml:space="preserve">Hoàng Hà Quế
 Số 7 đường 10A, KDC Vĩnh Lộc, P.Bình Hưng Hòa B, Q.Bình Tân, TPHCM, Phường Bình Tân, Phường Bình Tân, TP Hồ Chí Minh
 0913727775
 </t>
  </si>
  <si>
    <t>S22693229.SGP13-H08.1343832918</t>
  </si>
  <si>
    <t>SAPO131977544_603550</t>
  </si>
  <si>
    <t>12:43, 29-04-2026</t>
  </si>
  <si>
    <t xml:space="preserve">Phan Bich Tam
 113-115 Ung Van Khiem P25 Binh Thanh Toa nha G8 Golden, Phường Thạnh Mỹ Tây, Phường Thạnh Mỹ Tây, TP Hồ Chí Minh
 0908150002
 </t>
  </si>
  <si>
    <t>S22693229.SGP12-H44.1664599704</t>
  </si>
  <si>
    <t>SAPO131977835_603550</t>
  </si>
  <si>
    <t>08:38, 28-04-2026</t>
  </si>
  <si>
    <t xml:space="preserve">Lâm Trương
 381 Bình Quới, Phường Bình Quới, Phường Bình Quới, TP Hồ Chí Minh
 0902772327
 </t>
  </si>
  <si>
    <t>S22693229.MB5-12-L9.1984411847</t>
  </si>
  <si>
    <t>SAPO131993776_603550</t>
  </si>
  <si>
    <t>08:54, 28-04-2026</t>
  </si>
  <si>
    <t xml:space="preserve">Nhàn Doãn
 TT1-12, KĐT Phúc Hưng, đường Hải Thượng Lãn Ông, Phường Phố Hiến, Phường Phố Hiến, Hưng Yên
 0986431931
 </t>
  </si>
  <si>
    <t>S22693229.MB1-06-F2.1603385990</t>
  </si>
  <si>
    <t>SAPO131993771_603550</t>
  </si>
  <si>
    <t xml:space="preserve">Nguyễn Văn Quân
 Phương Thượng 2, Phường Lê Hồ, Phường Lê Hồ, Ninh Bình
 0989675719
 </t>
  </si>
  <si>
    <t>S22693229.MB8-06-F6.1720112408</t>
  </si>
  <si>
    <t>SAPO131993781_603550</t>
  </si>
  <si>
    <t>21:40, 29-04-2026</t>
  </si>
  <si>
    <t xml:space="preserve">Nghiêm thị dung
 Nghiêm xá, Xã Yên Phong, Xã Yên Phong, Bắc Ninh
 0834289888
 </t>
  </si>
  <si>
    <t>S22693229.MB12-15-N19.1343060931</t>
  </si>
  <si>
    <t>SAPO131993995_603550</t>
  </si>
  <si>
    <t xml:space="preserve">Tống Hạnh Chi
 Sn 101 Phan Chu Trinh, Phường Việt Trì, Phường Việt Trì, Phú Thọ
 0989982556
 </t>
  </si>
  <si>
    <t>S22693229.MB1-06-F4.1079684633</t>
  </si>
  <si>
    <t>SAPO131994023_603550</t>
  </si>
  <si>
    <t xml:space="preserve">NGÔ THÚY HẰNG
 Xóm chợ, Phường Lý Thường Kiệt, Phường Lý Thường Kiệt, Ninh Bình
 0357089312
 </t>
  </si>
  <si>
    <t>S22693229.MB7-17-A28.1104421986</t>
  </si>
  <si>
    <t>SAPO131994068_603550</t>
  </si>
  <si>
    <t>08:55, 28-04-2026</t>
  </si>
  <si>
    <t>19:34, 29-04-2026</t>
  </si>
  <si>
    <t xml:space="preserve">Lê Thị Hồng Liên
 Số nhà 162 Cách Thượng, Phường An Dương, Phường An Dương, Hải Phòng
 0369317006
 </t>
  </si>
  <si>
    <t>S22693229.MB10-12-L9.1804935113</t>
  </si>
  <si>
    <t>SAPO131994099_603550</t>
  </si>
  <si>
    <t xml:space="preserve">Mai phi Điệp
 Chung cư Icon40, Phường Bãi Cháy, Phường Bãi Cháy, Quảng Ninh
 0835528266
 </t>
  </si>
  <si>
    <t>S22693229.MB5-14-B13.1357179261</t>
  </si>
  <si>
    <t>SAPO131994151_603550</t>
  </si>
  <si>
    <t>22:25, 29-04-2026</t>
  </si>
  <si>
    <t xml:space="preserve">Nguyễn Nguyệt
 Tiên xá 2, Phường Mỹ Hào, Phường Mỹ Hào, Hưng Yên
 0979029329
 </t>
  </si>
  <si>
    <t>S22693229.HNP119-E4.1393156217</t>
  </si>
  <si>
    <t>SAPO131994196_603550</t>
  </si>
  <si>
    <t xml:space="preserve">HÀ THỊ NGA
 Nhà số 9, ngõ 239, thôn Hải Bối, Xã Thiên Lộc, Xã Thiên Lộc, Hà Nội
 0352939897
 </t>
  </si>
  <si>
    <t>S22693229.HNP110-P3.1378725081</t>
  </si>
  <si>
    <t>SAPO131994332_603550</t>
  </si>
  <si>
    <t>20:05, 29-04-2026</t>
  </si>
  <si>
    <t xml:space="preserve">Như Nguyệt
 Số nhà 12 _ Xóm Lí Nhân _ Thôn Vu Chu, Xã Cổ Đô, Xã Cổ Đô, Hà Nội
 0332121665
 </t>
  </si>
  <si>
    <t>S22693229.MB6-07-H1.1319791843</t>
  </si>
  <si>
    <t>SAPO131994549_603550</t>
  </si>
  <si>
    <t>13:35, 29-04-2026</t>
  </si>
  <si>
    <t xml:space="preserve">Mynghi
 Xóm 2- Thanh Hải- Thanh Hà- Hải Dương, Xã Hà Tây, Xã Hà Tây, Hải Phòng
 0988227292
 </t>
  </si>
  <si>
    <t>S22693229.MB9-10-K17.1558179357</t>
  </si>
  <si>
    <t>SAPO131994735_603550</t>
  </si>
  <si>
    <t>08:56, 28-04-2026</t>
  </si>
  <si>
    <t>18:34, 29-04-2026</t>
  </si>
  <si>
    <t xml:space="preserve">Nguyễn Nhận
 Trụ sở xã Lạng Giang (thôn Toàn Mỹ), Xã Lạng Giang, Xã Lạng Giang, Bắc Ninh
 0363600668
 </t>
  </si>
  <si>
    <t>S22693229.MB21-03-C5.1248634308</t>
  </si>
  <si>
    <t>SAPO131994817_603550</t>
  </si>
  <si>
    <t xml:space="preserve">Đặng thuỳ dương
 Số nhà 174, tổ 1 mậu a văn yên yên bái (cũ), Xã Mậu A, Xã Mậu A, Lào Cai
 0915910887
 </t>
  </si>
  <si>
    <t>S22693229.MB4-06-F2.1478826479</t>
  </si>
  <si>
    <t>SAPO132003580_603550</t>
  </si>
  <si>
    <t>09:03, 28-04-2026</t>
  </si>
  <si>
    <t xml:space="preserve">Phạm Đức Hoành
 Viện kiểm sát nhân dân khu vực 8, tỉnh Hưng Yên (Thái Bình cũ), Xã Hưng Hà, Xã Hưng Hà, Hưng Yên
 0913667268
 </t>
  </si>
  <si>
    <t>S22693229.MB6-17-D28.1006733370</t>
  </si>
  <si>
    <t>SAPO132003603_603550</t>
  </si>
  <si>
    <t>19:31, 29-04-2026</t>
  </si>
  <si>
    <t xml:space="preserve">Lê thị Xuân
 34- Ngô Bệ - Hải Tân, Phường Tân Hưng, Phường Tân Hưng, Hải Phòng
 0915018863
 </t>
  </si>
  <si>
    <t>S22693229.MB5-05-E15.1964895220</t>
  </si>
  <si>
    <t>SAPO132003570_603550</t>
  </si>
  <si>
    <t>14:09, 29-04-2026</t>
  </si>
  <si>
    <t xml:space="preserve">Nguyễn Phương
 Vinhomes Ocean park 2, Cọ xanh 8 -12, Xã Nghĩa Trụ, Xã Nghĩa Trụ, Hưng Yên
 0969223919
 </t>
  </si>
  <si>
    <t>S22693229.MB10-09-Z9.1688599116</t>
  </si>
  <si>
    <t>SAPO132003579_603550</t>
  </si>
  <si>
    <t xml:space="preserve">Hoàng Minh Vỵ
 Số nhà 105 Chợ rộc phường quảng yên tỉnh quảng ninh, Phường Quảng Yên, Phường Quảng Yên, Quảng Ninh
 0975928805
 </t>
  </si>
  <si>
    <t>S22693229.MB8-04-D25.1717035887</t>
  </si>
  <si>
    <t>SAPO132003887_603550</t>
  </si>
  <si>
    <t>09:04, 28-04-2026</t>
  </si>
  <si>
    <t>13:38, 29-04-2026</t>
  </si>
  <si>
    <t xml:space="preserve">Đỗ Thị Hiền
 Hữu Bằng xã Ngọc Xá Thị xã Quế võ tỉnh Bắc Ninh, Phường Đào Viên, Phường Đào Viên, Bắc Ninh
 0399188611
 </t>
  </si>
  <si>
    <t>S22693229.MB25-34-T08.1721054237</t>
  </si>
  <si>
    <t>SAPO132003925_603550</t>
  </si>
  <si>
    <t>18:21, 29-04-2026</t>
  </si>
  <si>
    <t xml:space="preserve">Lê La n
 Lô 150 mbqh 4665 phường nam ngạn, Phường Hàm Rồng, Phường Hàm Rồng, Thanh Hóa
 0854333168
 </t>
  </si>
  <si>
    <t>S22693229.MB9-05-D12.1419643649</t>
  </si>
  <si>
    <t>SAPO132004204_603550</t>
  </si>
  <si>
    <t>19:40, 29-04-2026</t>
  </si>
  <si>
    <t xml:space="preserve">Thành
 SN 1210 Đường Hoàng Hoa Thám - Phường Đa Mai -Tỉnh Bắc Ninh, Phường Đa Mai, Phường Đa Mai, Bắc Ninh
 0919005225
 </t>
  </si>
  <si>
    <t>S22693229.MB17-01-A1.1590877924</t>
  </si>
  <si>
    <t>SAPO132004445_603550</t>
  </si>
  <si>
    <t>17:23, 29-04-2026</t>
  </si>
  <si>
    <t xml:space="preserve">Lê Nguyễn
 74 dãy 4 Tông Đản, Phường Kỳ Lừa, Phường Kỳ Lừa, Lạng Sơn
 0973119279
 </t>
  </si>
  <si>
    <t>S22693229.MB1-01-A13.1794060943</t>
  </si>
  <si>
    <t>SAPO132004629_603550</t>
  </si>
  <si>
    <t xml:space="preserve">Bùi Thị Thùy Linh
 số nhà 47 phố Tân Khai ( Cà phê Cây Khế ), tổ 7, Phường Phủ Lý, Phường Phủ Lý, Ninh Bình
 0987816036
 </t>
  </si>
  <si>
    <t>S22693229.MB12-15-N17.1004019520</t>
  </si>
  <si>
    <t>SAPO132005139_603550</t>
  </si>
  <si>
    <t>15:16, 29-04-2026</t>
  </si>
  <si>
    <t xml:space="preserve">Chị Hà
 Số nhà 72 đường Lý Tự Trọng phường Thanh Miếu tỉnh Phú Thọ, Phường Thanh Miếu, Phường Thanh Miếu, Phú Thọ
 0982653200
 </t>
  </si>
  <si>
    <t>S22693229.MB24-10-G12.1298947228</t>
  </si>
  <si>
    <t>SAPO132005852_603550</t>
  </si>
  <si>
    <t>09:05, 28-04-2026</t>
  </si>
  <si>
    <t xml:space="preserve">A dũng
 Tổ 10, Phường Điện Biên Phủ, Phường Điện Biên Phủ, Điện Biên
 0915774188
 </t>
  </si>
  <si>
    <t>S22693229.MB11-05-H11.1292816026</t>
  </si>
  <si>
    <t>SAPO132006762_603550</t>
  </si>
  <si>
    <t>09:06, 28-04-2026</t>
  </si>
  <si>
    <t>14:24, 29-04-2026</t>
  </si>
  <si>
    <t xml:space="preserve">Chung
 Số 392 Mê Linh , Liên bảo, Vĩnh yên, Vĩnh phúc, Phường Vĩnh Phúc, Phường Vĩnh Phúc, Phú Thọ
 0967661981
 </t>
  </si>
  <si>
    <t>S22693229.HNP137-S10.1670710880</t>
  </si>
  <si>
    <t>SAPO132006829_603550</t>
  </si>
  <si>
    <t>17:35, 29-04-2026</t>
  </si>
  <si>
    <t xml:space="preserve">Nguyễn Văn Tuấn
 Ngõ 72/8. Thuý lai 1, phú kim, Thạch Thất, Tp Hà nội, Xã Thạch Thất, Xã Thạch Thất, Hà Nội
 0968687173
 </t>
  </si>
  <si>
    <t>S22693229.MB19-15-T7.1609775112</t>
  </si>
  <si>
    <t>SAPO132009774_603550</t>
  </si>
  <si>
    <t>09:08, 28-04-2026</t>
  </si>
  <si>
    <t>18:54, 29-04-2026</t>
  </si>
  <si>
    <t xml:space="preserve">Ngô Hằng
 Sn 851, Phường Quan Triều, Phường Quan Triều, Thái Nguyên
 0984792456
 </t>
  </si>
  <si>
    <t>S22693229.MB8-10-J4.1647169556</t>
  </si>
  <si>
    <t>SAPO132014025_603550</t>
  </si>
  <si>
    <t>09:13, 28-04-2026</t>
  </si>
  <si>
    <t xml:space="preserve">Thao
 Trung tâm pvhcc xã gia bình, Xã Gia Bình, Xã Gia Bình, Bắc Ninh
 0971086288
 </t>
  </si>
  <si>
    <t>S22693229.MB25-12-C14.1323221032</t>
  </si>
  <si>
    <t>SAPO132014019_603550</t>
  </si>
  <si>
    <t>19:59, 29-04-2026</t>
  </si>
  <si>
    <t xml:space="preserve">Vũ thị hương
 Sn 93 thôn phong lan, Xã Hoằng Tiến, Xã Hoằng Tiến, Thanh Hóa
 0918703558
 </t>
  </si>
  <si>
    <t>S22693229.HNP129-S50.1687338239</t>
  </si>
  <si>
    <t>SAPO132014468_603550</t>
  </si>
  <si>
    <t>09:14, 28-04-2026</t>
  </si>
  <si>
    <t xml:space="preserve">Nguyễn
 Thọ lộc Phúc thọ hà nội, Xã Phúc Thọ, Xã Phúc Thọ, Hà Nội
 0972449117
 </t>
  </si>
  <si>
    <t>S22693229.MB13-04-C3.1630233675</t>
  </si>
  <si>
    <t>SAPO132014518_603550</t>
  </si>
  <si>
    <t>18:30, 29-04-2026</t>
  </si>
  <si>
    <t xml:space="preserve">Tiều thị vuong
 Thôn nhật tân, xã yên lập, tuyên quang, Xã Yên Lập, Xã Yên Lập, Tuyên Quang
 0977946571
 </t>
  </si>
  <si>
    <t>S22693229.MB8-04-D4.1758610039</t>
  </si>
  <si>
    <t>SAPO132014557_603550</t>
  </si>
  <si>
    <t xml:space="preserve">nguyễn thị thuý
 công ty tnhh nano tech, Phường Nam Sơn, Phường Nam Sơn, Bắc Ninh
 0384576515
 </t>
  </si>
  <si>
    <t>S22693229.HNP117-M25.1512253177</t>
  </si>
  <si>
    <t>SAPO132014773_603550</t>
  </si>
  <si>
    <t>18:46, 29-04-2026</t>
  </si>
  <si>
    <t xml:space="preserve">Nhung nguyễn
 Số2,ngõ 14,đường nhuệ giang, Xã Ô Diên, Xã Ô Diên, Hà Nội
 0343642012
 </t>
  </si>
  <si>
    <t>S22693229.MB25-28-V11.1817649777</t>
  </si>
  <si>
    <t>SAPO132014878_603550</t>
  </si>
  <si>
    <t>15:56, 29-04-2026</t>
  </si>
  <si>
    <t xml:space="preserve">Vũ Thị Toàn
 Thôn Đông Thành - Vạn Lộc - Thanh Hoá, Xã Vạn Lộc, Xã Vạn Lộc, Thanh Hóa
 0329464166
 </t>
  </si>
  <si>
    <t>S22693229.MB6-08-Z7.1162641674</t>
  </si>
  <si>
    <t>SAPO132015122_603550</t>
  </si>
  <si>
    <t>17:14, 29-04-2026</t>
  </si>
  <si>
    <t xml:space="preserve">Giang
 Thôn Đồng kênh, Xã Chí Minh, Xã Chí Minh, Hải Phòng
 0869203444
 </t>
  </si>
  <si>
    <t>S22693229.HNP137-S4.1447916719</t>
  </si>
  <si>
    <t>SAPO132015162_603550</t>
  </si>
  <si>
    <t>16:59, 29-04-2026</t>
  </si>
  <si>
    <t xml:space="preserve">Tran Quyet
 Số 5, ngõ mã ẩn, thôn vĩnh lộc.Phùng Xá Thạch Thất Hà Nội, Xã Tây Phương, Xã Tây Phương, Hà Nội
 0974919185
 </t>
  </si>
  <si>
    <t>S22693229.MB6-12-K14.1368357910</t>
  </si>
  <si>
    <t>SAPO132015196_603550</t>
  </si>
  <si>
    <t>21:06, 29-04-2026</t>
  </si>
  <si>
    <t xml:space="preserve">Vũ Thị Hiền
 số nhà 3 , ngách 7/31 phố Hoàng Ngân, Tổ dân phố Lưu Thượng 1, phường Hiệp An, Phường Kinh Môn, Phường Kinh Môn, Hải Phòng
 0969034558
 </t>
  </si>
  <si>
    <t>S22693229.MB8-16-P12.1658410774</t>
  </si>
  <si>
    <t>SAPO132015429_603550</t>
  </si>
  <si>
    <t>09:15, 28-04-2026</t>
  </si>
  <si>
    <t>19:47, 29-04-2026</t>
  </si>
  <si>
    <t xml:space="preserve">Vũ văn thoại
 23 nguyễn văn cừ, kinh bắc, bắc ninh, Phường Kinh Bắc, Phường Kinh Bắc, Bắc Ninh
 0968109990
 </t>
  </si>
  <si>
    <t>S22693229.HNP27-N62.1913665223</t>
  </si>
  <si>
    <t>SAPO132015601_603550</t>
  </si>
  <si>
    <t>17:54, 29-04-2026</t>
  </si>
  <si>
    <t xml:space="preserve">Huấn Nguyễn
 Sảnh S2.12, Vinhomes Ocean Park, Xã Gia Lâm, Xã Gia Lâm, Hà Nội
 0988148599
 </t>
  </si>
  <si>
    <t>S22693229.MB13-04-C2.1990467387</t>
  </si>
  <si>
    <t>SAPO132015695_603550</t>
  </si>
  <si>
    <t>20:29, 29-04-2026</t>
  </si>
  <si>
    <t xml:space="preserve">Nguyễn Loan
 Số nhà 156, Xã Chiêm Hóa, Xã Chiêm Hóa, Tuyên Quang
 0981748936
 </t>
  </si>
  <si>
    <t>S22693229.MB21-02-B1.1136329414</t>
  </si>
  <si>
    <t>SAPO132016238_603550</t>
  </si>
  <si>
    <t>20:28, 29-04-2026</t>
  </si>
  <si>
    <t xml:space="preserve">Hoàng Thị Ngọc Lan
 Ngõ 19, đường Kim Đồng, Tổ 12, Phường Trung Tâm, Phường Trung Tâm, Lào Cai
 0942876944
 </t>
  </si>
  <si>
    <t>S22693229.HNP25-F104.1878647424</t>
  </si>
  <si>
    <t>bù hàng đơn 260423HTS0FD4X</t>
  </si>
  <si>
    <t>09:43, 28-04-2026</t>
  </si>
  <si>
    <t>11:42, 29-04-2026</t>
  </si>
  <si>
    <t xml:space="preserve">Khách
 12 ngõ 259 Yên hoà, Cầu giấy, Hà Nội, Phường Cầu Giấy, Phường Cầu Giấy, Hà Nội
 0925732758
 </t>
  </si>
  <si>
    <t>S22693229.MB4-07-G4.1914028221</t>
  </si>
  <si>
    <t>bù hàng đơn 260425NT33K0WM</t>
  </si>
  <si>
    <t>13:41, 29-04-2026</t>
  </si>
  <si>
    <t xml:space="preserve">Khách
 Thôn 4, Xã Vũ Thắng, Xã Hồng Vũ, Tỉnh Hưng Yên, Xã Hồng Vũ, Xã Hồng Vũ, Hưng Yên
 0862985133
 </t>
  </si>
  <si>
    <t>S22693229.HNP25-F104.1817365984</t>
  </si>
  <si>
    <t>bù hàng đơn 260425PACWFSRM</t>
  </si>
  <si>
    <t xml:space="preserve">Khách
 Ngách 29 ngõ 445 nguyễn khang, Phường Cầu Giấy, Hà Nội, Phường Cầu Giấy, Phường Cầu Giấy, Hà Nội
 0364838397
 </t>
  </si>
  <si>
    <t>S22693229.HNP52-Y130.1863438342</t>
  </si>
  <si>
    <t>bù hàng đơn 260424NDDJY38P</t>
  </si>
  <si>
    <t>18:20, 29-04-2026</t>
  </si>
  <si>
    <t xml:space="preserve">Khách
 37 Ngách 79 Ngõ 230 Định Công Thượng, Phường Định Công, Quận Hoàng Mai, Hà Nội., Phường Định Công, Phường Định Công, Hà Nội
 0948686191
 </t>
  </si>
  <si>
    <t>S22693229.MB4-07-G7.1758186265</t>
  </si>
  <si>
    <t>bù hàng đơn 2604077Q77QHG4</t>
  </si>
  <si>
    <t>09:44, 28-04-2026</t>
  </si>
  <si>
    <t>11:43, 29-04-2026</t>
  </si>
  <si>
    <t xml:space="preserve">Khách
 Xóm 1, Xã Vũ Đông, Thành Phố Thái Bình, Thái Bình, Phường Trần Lãm, Phường Trần Lãm, Hưng Yên
 0979928082
 </t>
  </si>
  <si>
    <t>S22693229.HNP129-S50.1619814123</t>
  </si>
  <si>
    <t>bù hàng đơn 260424MV654EJV</t>
  </si>
  <si>
    <t>16:14, 29-04-2026</t>
  </si>
  <si>
    <t xml:space="preserve">Khách
 Ngã tư Táo Ngoại, Tam Thuấn, Phúc Thọ, Hà Nội, Xã Phúc Thọ, Xã Phúc Thọ, Hà Nội
 0962970703
 </t>
  </si>
  <si>
    <t>S22693229.MB3-16-W6.1234323956</t>
  </si>
  <si>
    <t>bù hàng đơn 260425PDKABSD7</t>
  </si>
  <si>
    <t xml:space="preserve">Khách
 CTCP Vĩnh Giang số 2, Thị Trấn cổ lễ, Trực Ninh, Nam Định, Xã Cổ Lễ, Xã Cổ Lễ, Ninh Bình
 0345812582
 </t>
  </si>
  <si>
    <t>S22693229.MB8-16-P1.1183931410</t>
  </si>
  <si>
    <t>bù hàng đơn 260425NW8VC7Q7</t>
  </si>
  <si>
    <t>15:31, 29-04-2026</t>
  </si>
  <si>
    <t xml:space="preserve">Thảo
 43 Nguyễn Tảo,, phường Kinh Bắc, Bắc Ninh, Phường Kinh Bắc, Phường Kinh Bắc, Bắc Ninh
 0349465586
 </t>
  </si>
  <si>
    <t>S22693229.HNP78-B54.1808828609</t>
  </si>
  <si>
    <t>đổi hàng đơn 260414Q7Y9ETBV</t>
  </si>
  <si>
    <t xml:space="preserve">Khách
 Số 7 80/52/1 Tu hoàng, phương canh, nam từ liên, Hà Nội, Phường Xuân Phương, Phường Xuân Phương, Hà Nội
 0983102417
 </t>
  </si>
  <si>
    <t>S22693229.MB12-06-F11.1561060610</t>
  </si>
  <si>
    <t>đổi hàng lần 2 đơn 260420A6H4RQUF</t>
  </si>
  <si>
    <t>16:37, 29-04-2026</t>
  </si>
  <si>
    <t>S22693229.MB9-17-G20.1476271583</t>
  </si>
  <si>
    <t>đổi hàng đơn 260421E1NR9W45</t>
  </si>
  <si>
    <t xml:space="preserve">Khách
 Thôn sơn hải, Phường Vân Hà, Tỉnh Bắc Ninh, Phường Vân Hà, Phường Vân Hà, Bắc Ninh
 0985147479
 </t>
  </si>
  <si>
    <t>S22693229.MB25-16-H13.1263758696</t>
  </si>
  <si>
    <t>đổi hàng lần 2 đơn 260422E8TRBR90</t>
  </si>
  <si>
    <t>S22693229.HNP143-T62.1160358982</t>
  </si>
  <si>
    <t>SAPO132044135_603550</t>
  </si>
  <si>
    <t>10:02, 28-04-2026</t>
  </si>
  <si>
    <t>20:59, 29-04-2026</t>
  </si>
  <si>
    <t xml:space="preserve">Trần viết hùng
 Số nhà 6, ngõ 77, phố lê lợi, Xã Vân Đình, Xã Vân Đình, Hà Nội
 0986588510
 </t>
  </si>
  <si>
    <t>S22693229.MB21-09-A6.1877954434</t>
  </si>
  <si>
    <t>SAPO132044481_603550</t>
  </si>
  <si>
    <t>10:03, 28-04-2026</t>
  </si>
  <si>
    <t>16:57, 29-04-2026</t>
  </si>
  <si>
    <t xml:space="preserve">Dương Thị Yến
 Sn 73, Phường Yên Bái, Phường Yên Bái, Lào Cai
 0946134428
 </t>
  </si>
  <si>
    <t>S22693229.MB4-08-H8.1776537561</t>
  </si>
  <si>
    <t>SAPO132044902_603550</t>
  </si>
  <si>
    <t xml:space="preserve">Nguyen Thuyen
 Thôn Tân Minh,xã Song An,huyện Vũ Thư,tp thái bình, Phường Vũ Phúc, Phường Vũ Phúc, Hưng Yên
 0868783688
 </t>
  </si>
  <si>
    <t>S22693229.HNP125-T109.1274752887</t>
  </si>
  <si>
    <t>SAPO132044929_603550</t>
  </si>
  <si>
    <t>12:56, 29-04-2026</t>
  </si>
  <si>
    <t xml:space="preserve">Le Nguyen Thi
 Số nhà 10 ngõ 54 thôn Tân Độ xã Hồng Sơn, Xã Hồng Sơn, Xã Hồng Sơn, Hà Nội
 0974850422
 </t>
  </si>
  <si>
    <t>S22693229.MB7-15-Y42.1350918078</t>
  </si>
  <si>
    <t>SAPO132044982_603550</t>
  </si>
  <si>
    <t>15:15, 29-04-2026</t>
  </si>
  <si>
    <t xml:space="preserve">Trần Vân
 Tháp A tòa HH3 chung cư hoàng huy đổng quốc bình Hải phòng, Phường Ngô Quyền, Phường Ngô Quyền, Hải Phòng
 0838833566
 </t>
  </si>
  <si>
    <t>S22693229.MB11-05-H11.1315372849</t>
  </si>
  <si>
    <t>SAPO132045079_603550</t>
  </si>
  <si>
    <t>13:03, 29-04-2026</t>
  </si>
  <si>
    <t xml:space="preserve">Nguyễn Thị Hường
 Số nhà 1a ngõ 9 chùa hà định trung - vĩnh yên - vĩnh phúc, Phường Vĩnh Phúc, Phường Vĩnh Phúc, Phú Thọ
 0974096064
 </t>
  </si>
  <si>
    <t>S22693229.HNP133-B19.1085666639</t>
  </si>
  <si>
    <t>SAPO132045162_603550</t>
  </si>
  <si>
    <t>19:02, 29-04-2026</t>
  </si>
  <si>
    <t xml:space="preserve">Phạm Thị Khuyên
 Nhà hàng Thu Hoa Sữa ,ngã tư QL2,  Số 21 , Thạch Lỗi B, xã Nội Bài, TP Hà Nội, Xã Nội Bài, Xã Nội Bài, Hà Nội
 0973306915
 </t>
  </si>
  <si>
    <t>S22693229.MB5-07-G5.1263582947</t>
  </si>
  <si>
    <t>SAPO132045203_603550</t>
  </si>
  <si>
    <t>10:04, 28-04-2026</t>
  </si>
  <si>
    <t xml:space="preserve">Phạm Thị Thuý Loan
 173 Đồng Lý, Xã Lương Bằng, Xã Lương Bằng, Hưng Yên
 0983811947
 </t>
  </si>
  <si>
    <t>S22693229.MB10-02-B2.1644843814</t>
  </si>
  <si>
    <t>SAPO132045489_603550</t>
  </si>
  <si>
    <t>17:52, 29-04-2026</t>
  </si>
  <si>
    <t xml:space="preserve">Vũ Thị Vân
 383, Bạch Đằng, Phường Yên Tử, Phường Yên Tử, Quảng Ninh
 0989086390
 </t>
  </si>
  <si>
    <t>S22693229.MB12-15-N11.1014734145</t>
  </si>
  <si>
    <t>SAPO132045546_603550</t>
  </si>
  <si>
    <t>10:05, 28-04-2026</t>
  </si>
  <si>
    <t>17:12, 29-04-2026</t>
  </si>
  <si>
    <t xml:space="preserve">Kim ngọc
 Số 2 Ngõ 158 đường Hàn Thuyên, Phường Việt Trì, Phường Việt Trì, Phú Thọ
 0943359687
 </t>
  </si>
  <si>
    <t>S22693229.MB21-09-A12.1456274207</t>
  </si>
  <si>
    <t>SAPO132045609_603550</t>
  </si>
  <si>
    <t xml:space="preserve">Đỗ Giang
 Số nhà 41 ngõ 199 đường Trần Phú, Phường Văn Phú, Phường Văn Phú, Lào Cai
 0914964626
 </t>
  </si>
  <si>
    <t>S22693229.HNP71-P9.1522650453</t>
  </si>
  <si>
    <t>SAPO132047616_603550</t>
  </si>
  <si>
    <t>10:09, 28-04-2026</t>
  </si>
  <si>
    <t xml:space="preserve">Nguyễn Thu Lê
 2 Ly Thai To, Phường Hoàn Kiếm, Phường Hoàn Kiếm, Hà Nội
 0362523909
 </t>
  </si>
  <si>
    <t>S22693229.HNP117-M19.1734525326</t>
  </si>
  <si>
    <t>SAPO132047635_603550</t>
  </si>
  <si>
    <t xml:space="preserve">Thủy
 Cụm 3 liên trung đan phượng hà nội, Xã Ô Diên, Xã Ô Diên, Hà Nội
 0989495633
 </t>
  </si>
  <si>
    <t>S22693229.MB7-20-D8.1086425852</t>
  </si>
  <si>
    <t>SAPO132047629_603550</t>
  </si>
  <si>
    <t xml:space="preserve">Thuỳ Dung
 Trường mầm non An dồng 2, TDP TRANG QUAN, Phường An Hải, Phường An Hải, Hải Phòng
 0328506658
 </t>
  </si>
  <si>
    <t>S22693229.HNP133-B7.1192820264</t>
  </si>
  <si>
    <t>SAPO132047658_603550</t>
  </si>
  <si>
    <t xml:space="preserve">Nguyễn Hữu Ngọ
 Xuân Lai - Xuân Thu - Sóc Sơn - Hà Nội, Xã Đa Phúc, Xã Đa Phúc, Hà Nội
 0569740999
 </t>
  </si>
  <si>
    <t>S22693229.HNP98-E10.1872724793</t>
  </si>
  <si>
    <t>SAPO132047805_603550</t>
  </si>
  <si>
    <t>10:10, 28-04-2026</t>
  </si>
  <si>
    <t xml:space="preserve">Đào Phương Mai
 Số 42, ngách 268/58, tổ 16, Ngọc Thụy, phường Bồ Đề, Phường Bồ Đề, Phường Bồ Đề, Hà Nội
 0914180367
 </t>
  </si>
  <si>
    <t>S22693229.MB19-08-A12.1863237678</t>
  </si>
  <si>
    <t>SAPO132048308_603550</t>
  </si>
  <si>
    <t>10:11, 28-04-2026</t>
  </si>
  <si>
    <t>15:14, 29-04-2026</t>
  </si>
  <si>
    <t xml:space="preserve">Bùi Thị Thảo
 Số 4, ngõ 20, Nguyễn Trung Trực, phường Túc Duyên, tp Thái Nguyên, Phường Phan Đình Phùng, Phường Phan Đình Phùng, Thái Nguyên
 0326558855
 </t>
  </si>
  <si>
    <t>S22693229.MB8-04-D22.1102523252</t>
  </si>
  <si>
    <t>SAPO132048366_603550</t>
  </si>
  <si>
    <t xml:space="preserve">Vũ văn sự
 Công ty tnhh Merlion Tech. Kcn Quế Võ 2, Phường Đào Viên, Phường Đào Viên, Bắc Ninh
 0337127089
 </t>
  </si>
  <si>
    <t>S22693229.MB25-17-I7.1012398418</t>
  </si>
  <si>
    <t>SAPO132071749_603550</t>
  </si>
  <si>
    <t>11:07, 28-04-2026</t>
  </si>
  <si>
    <t>21:13, 29-04-2026</t>
  </si>
  <si>
    <t xml:space="preserve">Nguyễn Thị Hạnh
 11 Nguyễn Quốc Trị, Phường Bỉm Sơn, Phường Bỉm Sơn, Thanh Hóa
 0936168322
 </t>
  </si>
  <si>
    <t>S22693229.MB25-27-S1.1959890249</t>
  </si>
  <si>
    <t>SAPO132071738_603550</t>
  </si>
  <si>
    <t xml:space="preserve">Nguyễn Thị Phượng
 142 Lê Thái tông, Xã Lam Sơn, Xã Lam Sơn, Thanh Hóa
 0976245248
 </t>
  </si>
  <si>
    <t>S22693229.HNP118-A8.1058533518</t>
  </si>
  <si>
    <t>SAPO132071737_603550</t>
  </si>
  <si>
    <t>19:01, 29-04-2026</t>
  </si>
  <si>
    <t xml:space="preserve">Ngh Thuỳ
 Ngõ 5 Xóm Chùa Thôn Cổ Dương  Tiên Dương, Xã Phúc Thịnh, Xã Phúc Thịnh, Hà Nội
 0979947113
 </t>
  </si>
  <si>
    <t>S22693229.HNP119-E4.1805176908</t>
  </si>
  <si>
    <t>SAPO132071745_603550</t>
  </si>
  <si>
    <t>S22693229.MB26-40-A10.1920892317</t>
  </si>
  <si>
    <t>SAPO132071764_603550</t>
  </si>
  <si>
    <t>15:34, 29-04-2026</t>
  </si>
  <si>
    <t xml:space="preserve">Nguyễn thi Hồng
 144 Mai Lão Bạng Khối 7, Phường Vinh Phú, Phường Vinh Phú, Nghệ An
 0986115557
 </t>
  </si>
  <si>
    <t>S22693229.HNP52-Y138.1613182799</t>
  </si>
  <si>
    <t>SAPO132071772_603550</t>
  </si>
  <si>
    <t xml:space="preserve">Hương Ma Quỳnh
 Số Nhà 6 Lô Obt1 X1 Khu Đô Thị Bắc Linh Đàm Phố Linh Đàm, Phường Định Công, Phường Định Công, Hà Nội
 0913533027
 </t>
  </si>
  <si>
    <t>S22693229.MB7-18-S2.1002681470</t>
  </si>
  <si>
    <t>SAPO132071887_603550</t>
  </si>
  <si>
    <t xml:space="preserve">Trang Duong
 nhà so 9 ngõ 68 tổ dân phố số 2 phường đồ sơn tp hải phòng, Phường Đồ Sơn, Phường Đồ Sơn, Hải Phòng
 0345308568
 </t>
  </si>
  <si>
    <t>S22693229.MB19-08-A3.1389122867</t>
  </si>
  <si>
    <t>SAPO132071956_603550</t>
  </si>
  <si>
    <t>15:54, 29-04-2026</t>
  </si>
  <si>
    <t xml:space="preserve">Huong Mai
 SN 34- phố Ngô Thì Sỹ, tổ 11, Phường Phan Đình Phùng, Phường Phan Đình Phùng, Thái Nguyên
 0815272666
 </t>
  </si>
  <si>
    <t>S22693229.MB1-07-G11.1064946510</t>
  </si>
  <si>
    <t>SAPO132072253_603550</t>
  </si>
  <si>
    <t>11:09, 28-04-2026</t>
  </si>
  <si>
    <t xml:space="preserve">Phượng Trần
 Thôn 8 Hòa Hậu, Xã Nam Lý, Xã Nam Lý, Ninh Bình
 0812959825
 </t>
  </si>
  <si>
    <t>S22693229.HNP116-T129.1272665413</t>
  </si>
  <si>
    <t>SAPO132072296_603550</t>
  </si>
  <si>
    <t>18:15, 29-04-2026</t>
  </si>
  <si>
    <t xml:space="preserve">Đỗ Nhung
 Xóm Trại - Quảng Bị - Hà Nội, Xã Quảng Bị, Xã Quảng Bị, Hà Nội
 0974247889
 </t>
  </si>
  <si>
    <t>S22693229.HNP05-G33.1663639367</t>
  </si>
  <si>
    <t>SAPO132072326_603550</t>
  </si>
  <si>
    <t>14:59, 29-04-2026</t>
  </si>
  <si>
    <t xml:space="preserve">Phạm Hien
 88B Ngõ 699 Vũ Tông Phan Khương Đình, Phường Khương Đình, Phường Khương Đình, Hà Nội
 0989201299
 </t>
  </si>
  <si>
    <t>S22693229.SGP89-Y104.1892937384</t>
  </si>
  <si>
    <t>SAPO132107921_603550</t>
  </si>
  <si>
    <t>13:07, 28-04-2026</t>
  </si>
  <si>
    <t xml:space="preserve">Bùi hiền
 99 trần quốc thảo q3, Phường Xuân Hòa, Phường Xuân Hòa, TP Hồ Chí Minh
 0986831624
 </t>
  </si>
  <si>
    <t>S22693229.HNP47-M83.1131121352</t>
  </si>
  <si>
    <t>SAPO132112105_603550</t>
  </si>
  <si>
    <t>13:25, 29-04-2026</t>
  </si>
  <si>
    <t xml:space="preserve">Trần Lan Anh
 Số 2 Láng Hạ, Phường Láng, Phường Láng, Hà Nội
 0913028425
 </t>
  </si>
  <si>
    <t>S22693229.HNP107-B34.1722861266</t>
  </si>
  <si>
    <t>SAPO132112084_603550</t>
  </si>
  <si>
    <t xml:space="preserve">Duy Thảo
 P806-c1 số 33 Lưu Hữu Phước, Phường Cầu Giấy, Phường Cầu Giấy, Hà Nội
 0964663333
 </t>
  </si>
  <si>
    <t>S22693229.HNP23-A86.1385331635</t>
  </si>
  <si>
    <t>SAPO132112101_603550</t>
  </si>
  <si>
    <t xml:space="preserve">Lê Đức Hậu
 82/208 ngõ 290 kim mã, Phường Giảng Võ, Phường Giảng Võ, Hà Nội
 0903480283
 </t>
  </si>
  <si>
    <t>S22693229.MB5-13-M6.1488298520</t>
  </si>
  <si>
    <t>SAPO132112107_603550</t>
  </si>
  <si>
    <t xml:space="preserve">Đào Thị Yến
 Thôn Vân Trì, Xã Việt Tiến, Xã Việt Tiến, Hưng Yên
 0358211298
 </t>
  </si>
  <si>
    <t>S22693229.HNP75-D33.1989143512</t>
  </si>
  <si>
    <t>SAPO132112097_603550</t>
  </si>
  <si>
    <t xml:space="preserve">Phan Thị Thanh Lan
 14 Kiều Mai -p Phúc Diễn -q Bắc Từ Liêm - Hà Nội, Phường Xuân Phương, Phường Xuân Phương, Hà Nội
 0948500519
 </t>
  </si>
  <si>
    <t>S22693229.HNP99-Q32.1628168290</t>
  </si>
  <si>
    <t>SAPO132112087_603550</t>
  </si>
  <si>
    <t>S22693229.HNP75-D32.1862840534</t>
  </si>
  <si>
    <t>SAPO132112163_603550</t>
  </si>
  <si>
    <t>15:27, 29-04-2026</t>
  </si>
  <si>
    <t xml:space="preserve">Nguyễn Thị Vinh
 Ruby 2 Goldmark 136 Hồ Tùng Mậu, Phường Phú Diễn, Phường Phú Diễn, Hà Nội
 0986503083
 </t>
  </si>
  <si>
    <t>S22693229.HNP115-V88.1702170172</t>
  </si>
  <si>
    <t>SAPO132112311_603550</t>
  </si>
  <si>
    <t>21:19, 29-04-2026</t>
  </si>
  <si>
    <t xml:space="preserve">Vũ Huy Ất
 CTY tnhh Ngọc Sơn Hafuco, Phường Chương Mỹ, Phường Chương Mỹ, Hà Nội
 0984778289
 </t>
  </si>
  <si>
    <t>S22693229.MB25-16-H18.1237862328</t>
  </si>
  <si>
    <t>SAPO132112350_603550</t>
  </si>
  <si>
    <t xml:space="preserve">Trang
 Công ty trường phúc lô a khu cn lễ môn, Phường Quảng Phú, Phường Quảng Phú, Thanh Hóa
 0789231888
 </t>
  </si>
  <si>
    <t>S22693229.MB4-02-B10.1649825946</t>
  </si>
  <si>
    <t>SAPO132112426_603550</t>
  </si>
  <si>
    <t xml:space="preserve">Lê thi mai
 Thôn tây lễ văn xã an đồng huyện quỳnh phụ thái bình, Xã A Sào, Xã A Sào, Hưng Yên
 0975375423
 </t>
  </si>
  <si>
    <t>S22693229.SGP100-I47.1195088220</t>
  </si>
  <si>
    <t>SAPO132393815_603550</t>
  </si>
  <si>
    <t>08:24, 29-04-2026</t>
  </si>
  <si>
    <t xml:space="preserve">Trang Nguyen
 33/81 Đường số 1, KP3, Phường Tân Thuận, Phường Tân Thuận, TP Hồ Chí Minh
 0909296240
 </t>
  </si>
  <si>
    <t>S22693229.SGP107-S28.1799383852</t>
  </si>
  <si>
    <t>SAPO132393814_603550</t>
  </si>
  <si>
    <t xml:space="preserve">Giang Phùng
 234/34/24 Phạm Phú Thứ, Phường Bình Tiên, Phường Bình Tiên, TP Hồ Chí Minh
 0901877306
 </t>
  </si>
  <si>
    <t>Tổng</t>
  </si>
  <si>
    <t>NỢ TỒN</t>
  </si>
  <si>
    <t>Hóa đơn nợ</t>
  </si>
  <si>
    <t>Ngày phát sinh hóa đơn</t>
  </si>
  <si>
    <t>Tiền nợ</t>
  </si>
  <si>
    <t>Số đơn hàng tương ứng</t>
  </si>
  <si>
    <t>(1) Phí dịch vụ cấn trừ: Số tiền phí dịch vụ của những đơn hàng cần trả trước và những đơn hàng bị hoàn về mà GHTK đã cấn trừ vào Số dư của Shop.
(2) Phí dịch vụ hoàn lại: Số tiền phí dịch vụ GHTK hoàn lại cho Shop trong trường hợp những đơn hàng Shop hủy đơn nhưng đã cấn trừ phí trả trước, hoặc những đơn hàng được giao lại/giao tiếp nhưng đã cấn trừ phí chuyển hoàn trước đó.
(3) Phí dịch vụ đã thanh toán: Số tiền phí dịch vụ phát sinh của các đơn hàng mà Shop đã thanh toán hoặc GHTK đã cấn trừ.</t>
  </si>
  <si>
    <t>BỒI HOÀN</t>
  </si>
  <si>
    <t>Tiền bồi hoàn</t>
  </si>
  <si>
    <t>Lý do</t>
  </si>
  <si>
    <t>Đại diện Giao Hang Tiet Kiem JSC</t>
  </si>
  <si>
    <t xml:space="preserve"> Đại diện ELMICH ESHOP</t>
  </si>
  <si>
    <t>PHẠM HỒNG QUÂN</t>
  </si>
</sst>
</file>

<file path=xl/styles.xml><?xml version="1.0" encoding="utf-8"?>
<styleSheet xmlns="http://schemas.openxmlformats.org/spreadsheetml/2006/main" xml:space="preserve">
  <numFmts count="1">
    <numFmt numFmtId="164" formatCode="_(* #,##0_);_(* \(#,##0\);_(* &quot;-&quot;??_);_(@_)"/>
  </numFmts>
  <fonts count="7">
    <font>
      <b val="0"/>
      <i val="0"/>
      <strike val="0"/>
      <u val="none"/>
      <sz val="11"/>
      <color rgb="FF000000"/>
      <name val="Arial"/>
    </font>
    <font>
      <b val="0"/>
      <i val="0"/>
      <strike val="0"/>
      <u val="none"/>
      <sz val="11"/>
      <color rgb="FF000000"/>
      <name val="Times New Roman"/>
    </font>
    <font>
      <b val="1"/>
      <i val="0"/>
      <strike val="0"/>
      <u val="none"/>
      <sz val="20"/>
      <color rgb="FF000000"/>
      <name val="Times New Roman"/>
    </font>
    <font>
      <b val="1"/>
      <i val="0"/>
      <strike val="0"/>
      <u val="none"/>
      <sz val="11"/>
      <color rgb="FF000000"/>
      <name val="Times New Roman"/>
    </font>
    <font>
      <b val="1"/>
      <i val="0"/>
      <strike val="0"/>
      <u val="none"/>
      <sz val="12"/>
      <color rgb="FF000000"/>
      <name val="Times New Roman"/>
    </font>
    <font>
      <b val="1"/>
      <i val="1"/>
      <strike val="0"/>
      <u val="none"/>
      <sz val="11"/>
      <color rgb="FF000000"/>
      <name val="Times New Roman"/>
    </font>
    <font>
      <b val="1"/>
      <i val="0"/>
      <strike val="0"/>
      <u val="none"/>
      <sz val="18"/>
      <color rgb="FF000000"/>
      <name val="Times New Roman"/>
    </font>
  </fonts>
  <fills count="5">
    <fill>
      <patternFill patternType="none"/>
    </fill>
    <fill>
      <patternFill patternType="gray125">
        <fgColor rgb="FFFFFFFF"/>
        <bgColor rgb="FF000000"/>
      </patternFill>
    </fill>
    <fill>
      <patternFill patternType="none"/>
    </fill>
    <fill>
      <patternFill patternType="solid">
        <fgColor rgb="FF039049"/>
        <bgColor rgb="FF000000"/>
      </patternFill>
    </fill>
    <fill>
      <patternFill patternType="solid">
        <fgColor rgb="FFFFFF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4">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1" numFmtId="49" fillId="2" borderId="0" applyFont="1" applyNumberFormat="1"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true" shrinkToFit="false"/>
    </xf>
    <xf xfId="0" fontId="1" numFmtId="164" fillId="2" borderId="0" applyFont="1" applyNumberFormat="1" applyFill="0" applyBorder="0" applyAlignment="1">
      <alignment horizontal="general" vertical="center" textRotation="0" wrapText="true" shrinkToFit="false"/>
    </xf>
    <xf xfId="0" fontId="1" numFmtId="164" fillId="2" borderId="0" applyFont="1" applyNumberFormat="1" applyFill="0" applyBorder="0" applyAlignment="1">
      <alignment horizontal="general" vertical="center" textRotation="0" wrapText="false" shrinkToFit="false"/>
    </xf>
    <xf xfId="0" fontId="1" numFmtId="0" fillId="2" borderId="0" applyFont="1" applyNumberFormat="0" applyFill="0" applyBorder="0" applyAlignment="1">
      <alignment horizontal="general" vertical="center" textRotation="0" wrapText="true" shrinkToFit="false"/>
    </xf>
    <xf xfId="0" fontId="1" numFmtId="0" fillId="2" borderId="0" applyFont="1" applyNumberFormat="0" applyFill="0" applyBorder="0" applyAlignment="1">
      <alignment horizontal="general" vertical="center" textRotation="0" wrapText="false" shrinkToFit="false"/>
    </xf>
    <xf xfId="0" fontId="2" numFmtId="0" fillId="2" borderId="0" applyFont="1" applyNumberFormat="0" applyFill="0" applyBorder="0" applyAlignment="1">
      <alignment horizontal="center" vertical="center" textRotation="0" wrapText="false" shrinkToFit="false"/>
    </xf>
    <xf xfId="0" fontId="2" numFmtId="0" fillId="2" borderId="0" applyFont="1" applyNumberFormat="0" applyFill="0" applyBorder="0" applyAlignment="1">
      <alignment horizontal="center" vertical="center" textRotation="0" wrapText="true" shrinkToFit="false"/>
    </xf>
    <xf xfId="0" fontId="2" numFmtId="0" fillId="2" borderId="0" applyFont="1" applyNumberFormat="0" applyFill="0" applyBorder="0" applyAlignment="1">
      <alignment horizontal="general" vertical="center" textRotation="0" wrapText="false" shrinkToFit="false"/>
    </xf>
    <xf xfId="0" fontId="2" numFmtId="0" fillId="2" borderId="0" applyFont="1" applyNumberFormat="0" applyFill="0" applyBorder="0" applyAlignment="1">
      <alignment horizontal="general" vertical="center" textRotation="0" wrapText="true" shrinkToFit="false"/>
    </xf>
    <xf xfId="0" fontId="3" numFmtId="0" fillId="2" borderId="0" applyFont="1" applyNumberFormat="0" applyFill="0" applyBorder="0" applyAlignment="1">
      <alignment horizontal="center" vertical="center" textRotation="0" wrapText="false" shrinkToFit="false"/>
    </xf>
    <xf xfId="0" fontId="3" numFmtId="49" fillId="2" borderId="0" applyFont="1" applyNumberFormat="1" applyFill="0" applyBorder="0" applyAlignment="1">
      <alignment horizontal="center" vertical="center" textRotation="0" wrapText="false" shrinkToFit="false"/>
    </xf>
    <xf xfId="0" fontId="4" numFmtId="0" fillId="2" borderId="0" applyFont="1" applyNumberFormat="0" applyFill="0" applyBorder="0" applyAlignment="1">
      <alignment horizontal="left" vertical="center" textRotation="0" wrapText="true" shrinkToFit="false"/>
    </xf>
    <xf xfId="0" fontId="4" numFmtId="164" fillId="2" borderId="0" applyFont="1" applyNumberFormat="1" applyFill="0" applyBorder="0" applyAlignment="1">
      <alignment horizontal="center" vertical="center" textRotation="0" wrapText="true" shrinkToFit="false"/>
    </xf>
    <xf xfId="0" fontId="2" numFmtId="164" fillId="2" borderId="0" applyFont="1" applyNumberFormat="1" applyFill="0" applyBorder="0" applyAlignment="1">
      <alignment horizontal="center" vertical="center" textRotation="0" wrapText="false" shrinkToFit="false"/>
    </xf>
    <xf xfId="0" fontId="3" numFmtId="164" fillId="2" borderId="0" applyFont="1" applyNumberFormat="1" applyFill="0" applyBorder="0" applyAlignment="1">
      <alignment horizontal="general" vertical="center" textRotation="0" wrapText="true" shrinkToFit="false"/>
    </xf>
    <xf xfId="0" fontId="3" numFmtId="164" fillId="2" borderId="0" applyFont="1" applyNumberFormat="1" applyFill="0" applyBorder="0" applyAlignment="1">
      <alignment horizontal="general" vertical="center" textRotation="0" wrapText="false" shrinkToFit="false"/>
    </xf>
    <xf xfId="0" fontId="5" numFmtId="0" fillId="2" borderId="0" applyFont="1" applyNumberFormat="0" applyFill="0" applyBorder="0" applyAlignment="1">
      <alignment horizontal="left" vertical="center" textRotation="0" wrapText="true" shrinkToFit="false"/>
    </xf>
    <xf xfId="0" fontId="5" numFmtId="0" fillId="2" borderId="0" applyFont="1" applyNumberFormat="0" applyFill="0" applyBorder="0" applyAlignment="1">
      <alignment horizontal="center" vertical="center" textRotation="0" wrapText="false" shrinkToFit="false"/>
    </xf>
    <xf xfId="0" fontId="5" numFmtId="0" fillId="2" borderId="0" applyFont="1" applyNumberFormat="0" applyFill="0" applyBorder="0" applyAlignment="1">
      <alignment horizontal="left" vertical="center" textRotation="0" wrapText="false" shrinkToFit="false"/>
    </xf>
    <xf xfId="0" fontId="5" numFmtId="0" fillId="2" borderId="0" applyFont="1" applyNumberFormat="0" applyFill="0" applyBorder="0" applyAlignment="1">
      <alignment horizontal="general" vertical="center" textRotation="0" wrapText="false" shrinkToFit="false"/>
    </xf>
    <xf xfId="0" fontId="5" numFmtId="0" fillId="2" borderId="0" applyFont="1" applyNumberFormat="0" applyFill="0" applyBorder="0" applyAlignment="1">
      <alignment horizontal="general" vertical="center" textRotation="0" wrapText="true" shrinkToFit="false"/>
    </xf>
    <xf xfId="0" fontId="6" numFmtId="0" fillId="2" borderId="0" applyFont="1" applyNumberFormat="0" applyFill="0" applyBorder="0" applyAlignment="1">
      <alignment horizontal="general" vertical="center" textRotation="0" wrapText="false" shrinkToFit="false"/>
    </xf>
    <xf xfId="0" fontId="6" numFmtId="0" fillId="2" borderId="0" applyFont="1" applyNumberFormat="0" applyFill="0" applyBorder="0" applyAlignment="1">
      <alignment horizontal="general" vertical="center" textRotation="0" wrapText="tru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bottom" textRotation="0" wrapText="true" shrinkToFit="false"/>
    </xf>
    <xf xfId="0" fontId="4" numFmtId="0" fillId="3" borderId="1" applyFont="1" applyNumberFormat="0" applyFill="1" applyBorder="1" applyAlignment="1">
      <alignment horizontal="center" vertical="center" textRotation="0" wrapText="true" shrinkToFit="false"/>
    </xf>
    <xf xfId="0" fontId="3" numFmtId="0" fillId="2" borderId="0" applyFont="1" applyNumberFormat="0" applyFill="0" applyBorder="0" applyAlignment="1">
      <alignment horizontal="left" vertical="center" textRotation="0" wrapText="true" shrinkToFit="false"/>
    </xf>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center" textRotation="0" wrapText="false" shrinkToFit="false"/>
    </xf>
    <xf xfId="0" fontId="6" numFmtId="0" fillId="2" borderId="0" applyFont="1"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general" vertical="center" textRotation="0" wrapText="true" shrinkToFit="false"/>
    </xf>
    <xf xfId="0" fontId="2"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3" numFmtId="0" fillId="2" borderId="0" applyFont="1" applyNumberFormat="0" applyFill="0" applyBorder="0" applyAlignment="1">
      <alignment horizontal="left" vertical="center" textRotation="0" wrapText="false" shrinkToFit="false"/>
    </xf>
    <xf xfId="0" fontId="5" numFmtId="0" fillId="2" borderId="0" applyFont="1" applyNumberFormat="0" applyFill="0" applyBorder="0" applyAlignment="1">
      <alignment horizontal="left" vertical="center" textRotation="0" wrapText="true" shrinkToFit="false"/>
    </xf>
    <xf xfId="0" fontId="1" numFmtId="0" fillId="2" borderId="0" applyFont="1" applyNumberFormat="0" applyFill="0" applyBorder="0" applyAlignment="1">
      <alignment horizontal="left" vertical="center" textRotation="0" wrapText="false" shrinkToFit="false"/>
    </xf>
    <xf xfId="0" fontId="3" numFmtId="0" fillId="2" borderId="0" applyFont="1" applyNumberFormat="0" applyFill="0" applyBorder="0" applyAlignment="1">
      <alignment horizontal="left" vertical="center" textRotation="0" wrapText="false" shrinkToFit="false"/>
    </xf>
    <xf xfId="0" fontId="1" numFmtId="0" fillId="2" borderId="1" applyFont="1" applyNumberFormat="0" applyFill="0" applyBorder="1" applyAlignment="1">
      <alignment horizontal="center" vertical="center" textRotation="0" wrapText="false" shrinkToFit="false"/>
    </xf>
    <xf xfId="0" fontId="0" numFmtId="0" fillId="2" borderId="1" applyFont="0" applyNumberFormat="0" applyFill="0" applyBorder="1" applyAlignment="0">
      <alignment horizontal="general" vertical="bottom" textRotation="0" wrapText="false" shrinkToFit="false"/>
    </xf>
    <xf xfId="0" fontId="4" numFmtId="0" fillId="4" borderId="1" applyFont="1" applyNumberFormat="0" applyFill="1" applyBorder="1" applyAlignment="0">
      <alignment horizontal="general" vertical="bottom" textRotation="0" wrapText="false" shrinkToFit="false"/>
    </xf>
    <xf xfId="0" fontId="1" numFmtId="49" fillId="2" borderId="1" applyFont="1" applyNumberFormat="1" applyFill="0" applyBorder="1" applyAlignment="1">
      <alignment horizontal="center" vertical="center" textRotation="0" wrapText="false" shrinkToFit="false"/>
    </xf>
    <xf xfId="0" fontId="1" numFmtId="0" fillId="2" borderId="1" applyFont="1" applyNumberFormat="0" applyFill="0" applyBorder="1" applyAlignment="1">
      <alignment horizontal="center" vertical="center" textRotation="0" wrapText="true" shrinkToFit="false"/>
    </xf>
    <xf xfId="0" fontId="0" numFmtId="0" fillId="2" borderId="1" applyFont="0" applyNumberFormat="0" applyFill="0" applyBorder="1" applyAlignment="1">
      <alignment horizontal="center" vertical="center" textRotation="0" wrapText="false" shrinkToFit="false"/>
    </xf>
    <xf xfId="0" fontId="4" numFmtId="0" fillId="4" borderId="1" applyFont="1" applyNumberFormat="0" applyFill="1" applyBorder="1" applyAlignment="1">
      <alignment horizontal="center" vertical="center" textRotation="0" wrapText="false" shrinkToFit="false"/>
    </xf>
    <xf xfId="0" fontId="1" numFmtId="0" fillId="2" borderId="1" applyFont="1" applyNumberFormat="0" applyFill="0" applyBorder="1" applyAlignment="1">
      <alignment horizontal="general" vertical="center" textRotation="0" wrapText="true" shrinkToFit="false"/>
    </xf>
    <xf xfId="0" fontId="1" numFmtId="164" fillId="2" borderId="1" applyFont="1" applyNumberFormat="1" applyFill="0" applyBorder="1" applyAlignment="1">
      <alignment horizontal="general" vertical="center" textRotation="0" wrapText="true" shrinkToFit="false"/>
    </xf>
    <xf xfId="0" fontId="0" numFmtId="0" fillId="2" borderId="1" applyFont="0" applyNumberFormat="0" applyFill="0" applyBorder="1" applyAlignment="1">
      <alignment horizontal="general" vertical="bottom" textRotation="0" wrapText="true" shrinkToFit="false"/>
    </xf>
    <xf xfId="0" fontId="1" numFmtId="0" fillId="2" borderId="1" applyFont="1" applyNumberFormat="0" applyFill="0" applyBorder="1" applyAlignment="1">
      <alignment horizontal="general" vertical="center" textRotation="0" wrapText="false" shrinkToFit="false"/>
    </xf>
    <xf xfId="0" fontId="1" numFmtId="164" fillId="2" borderId="1" applyFont="1" applyNumberFormat="1"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0" numFmtId="0" fillId="2" borderId="1" applyFont="0" applyNumberFormat="0" applyFill="0" applyBorder="1" applyAlignment="1">
      <alignment horizontal="general" vertical="center" textRotation="0" wrapText="false" shrinkToFit="false"/>
    </xf>
    <xf xfId="0" fontId="4" numFmtId="0" fillId="4" borderId="1" applyFont="1" applyNumberFormat="0" applyFill="1" applyBorder="1" applyAlignment="1">
      <alignment horizontal="general" vertical="center" textRotation="0" wrapText="false" shrinkToFit="false"/>
    </xf>
    <xf xfId="0" fontId="4" numFmtId="0" fillId="3" borderId="1" applyFont="1" applyNumberFormat="0" applyFill="1" applyBorder="1" applyAlignment="0">
      <alignment horizontal="general" vertical="bottom" textRotation="0" wrapText="false" shrinkToFit="false"/>
    </xf>
    <xf xfId="0" fontId="4" numFmtId="0" fillId="3" borderId="1" applyFont="1" applyNumberFormat="0" applyFill="1" applyBorder="1" applyAlignment="1">
      <alignment horizontal="center" vertical="center" textRotation="0" wrapText="false" shrinkToFit="false"/>
    </xf>
    <xf xfId="0" fontId="0" numFmtId="0" fillId="2" borderId="0" applyFont="0" applyNumberFormat="0" applyFill="0" applyBorder="0" applyAlignment="1">
      <alignment horizontal="left" vertical="bottom" textRotation="0" wrapText="false" shrinkToFit="false"/>
    </xf>
    <xf xfId="0" fontId="3" numFmtId="0" fillId="2" borderId="0" applyFont="1" applyNumberFormat="0" applyFill="0" applyBorder="0" applyAlignment="1">
      <alignment horizontal="left" vertical="bottom" textRotation="0" wrapText="false" shrinkToFit="false"/>
    </xf>
    <xf xfId="0" fontId="3" numFmtId="0" fillId="2"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382500" cy="1362075"/>
    <xdr:pic>
      <xdr:nvPicPr>
        <xdr:cNvPr id="1" name="Picture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O1981"/>
  <sheetViews>
    <sheetView tabSelected="1" workbookViewId="0" showGridLines="true" showRowColHeaders="1">
      <selection activeCell="A1981" sqref="A1981"/>
    </sheetView>
  </sheetViews>
  <sheetFormatPr customHeight="true" defaultRowHeight="15" defaultColWidth="12.625" outlineLevelRow="0" outlineLevelCol="0"/>
  <cols>
    <col min="1" max="1" width="5.875" customWidth="true" style="0"/>
    <col min="2" max="2" width="47.559814" bestFit="true" customWidth="true" style="0"/>
    <col min="3" max="3" width="58.842773" bestFit="true" customWidth="true" style="1"/>
    <col min="4" max="4" width="18.375" customWidth="true" style="0"/>
    <col min="5" max="5" width="23.75" customWidth="true" style="0"/>
    <col min="6" max="6" width="17.125" customWidth="true" style="0"/>
    <col min="7" max="7" width="12.25" customWidth="true" style="0"/>
    <col min="8" max="8" width="26.125" customWidth="true" style="0"/>
    <col min="9" max="9" width="12.125" customWidth="true" style="0"/>
    <col min="10" max="10" width="11.5" customWidth="true" style="0"/>
    <col min="11" max="11" width="12.75" customWidth="true" style="0"/>
    <col min="12" max="12" width="12.75" customWidth="true" style="32"/>
    <col min="13" max="13" width="12.75" customWidth="true" style="32"/>
    <col min="14" max="14" width="12.75" customWidth="true" style="32"/>
    <col min="15" max="15" width="12.75" customWidth="true" style="32"/>
    <col min="16" max="16" width="12.75" customWidth="true" style="32"/>
    <col min="17" max="17" width="12.75" customWidth="true" style="32"/>
    <col min="18" max="18" width="12.75" customWidth="true" style="32"/>
    <col min="19" max="19" width="12.75" customWidth="true" style="32"/>
    <col min="20" max="20" width="12.75" customWidth="true" style="32"/>
    <col min="21" max="21" width="12.75" customWidth="true" style="32"/>
    <col min="22" max="22" width="12.75" customWidth="true" style="32"/>
    <col min="23" max="23" width="12.75" customWidth="true" style="32"/>
    <col min="24" max="24" width="12.75" customWidth="true" style="32"/>
    <col min="25" max="25" width="14.25" customWidth="true" style="0"/>
    <col min="26" max="26" width="14.25" customWidth="true" style="0"/>
    <col min="27" max="27" width="11.75" customWidth="true" style="0"/>
    <col min="28" max="28" width="10.875" customWidth="true" style="0"/>
    <col min="29" max="29" width="15.5" customWidth="true" style="0"/>
    <col min="30" max="30" width="14.125" customWidth="true" style="0"/>
    <col min="31" max="31" width="15.25" customWidth="true" style="0"/>
    <col min="32" max="32" width="14.5" customWidth="true" style="0"/>
    <col min="33" max="33" width="14.5" customWidth="true" style="33"/>
    <col min="34" max="34" width="15.375" customWidth="true" style="0"/>
    <col min="35" max="35" width="12.75" customWidth="true" style="0"/>
    <col min="36" max="36" width="12.75" customWidth="true" style="0"/>
    <col min="37" max="37" width="13.875" customWidth="true" style="0"/>
    <col min="38" max="38" width="15.875" customWidth="true" style="0"/>
    <col min="39" max="39" width="14.875" customWidth="true" style="34"/>
    <col min="40" max="40" width="10.5" customWidth="true" style="0"/>
    <col min="41" max="41" width="7.625" customWidth="true" style="0"/>
  </cols>
  <sheetData>
    <row r="1" spans="1:41" customHeight="1" ht="29.25">
      <c r="A1" s="2"/>
      <c r="B1" s="3"/>
      <c r="C1" s="4"/>
      <c r="D1" s="5"/>
      <c r="E1" s="5"/>
      <c r="F1" s="6"/>
      <c r="G1" s="7"/>
      <c r="H1" s="5"/>
      <c r="I1" s="8"/>
      <c r="J1" s="8"/>
      <c r="K1" s="8"/>
      <c r="L1" s="8"/>
      <c r="M1" s="8"/>
      <c r="N1" s="8"/>
      <c r="O1" s="8"/>
      <c r="P1" s="8"/>
      <c r="Q1" s="8"/>
      <c r="R1" s="8"/>
      <c r="S1" s="8"/>
      <c r="T1" s="8"/>
      <c r="U1" s="8"/>
      <c r="V1" s="8"/>
      <c r="W1" s="8"/>
      <c r="X1" s="8"/>
      <c r="Y1" s="27"/>
      <c r="Z1" s="27"/>
      <c r="AA1" s="27"/>
      <c r="AB1" s="27"/>
      <c r="AC1" s="27"/>
      <c r="AD1" s="27"/>
      <c r="AE1" s="27"/>
      <c r="AF1" s="27"/>
      <c r="AG1" s="27"/>
      <c r="AH1" s="27"/>
      <c r="AI1" s="27"/>
      <c r="AJ1" s="27"/>
      <c r="AK1" s="27"/>
      <c r="AL1" s="27"/>
      <c r="AM1" s="27"/>
      <c r="AN1" s="27"/>
      <c r="AO1" s="27"/>
    </row>
    <row r="2" spans="1:41" customHeight="1" ht="22.5">
      <c r="A2" s="2"/>
      <c r="B2" s="3"/>
      <c r="C2" s="4"/>
      <c r="D2" s="5"/>
      <c r="E2" s="5"/>
      <c r="F2" s="6"/>
      <c r="G2" s="8"/>
      <c r="H2" s="5"/>
      <c r="I2" s="8"/>
      <c r="J2" s="8"/>
      <c r="K2" s="8"/>
      <c r="L2" s="8"/>
      <c r="M2" s="8"/>
      <c r="N2" s="8"/>
      <c r="O2" s="8"/>
      <c r="P2" s="8"/>
      <c r="Q2" s="8"/>
      <c r="R2" s="8"/>
      <c r="S2" s="8"/>
      <c r="T2" s="8"/>
      <c r="U2" s="8"/>
      <c r="V2" s="8"/>
      <c r="W2" s="8"/>
      <c r="X2" s="8"/>
      <c r="Y2" s="27"/>
      <c r="Z2" s="27"/>
      <c r="AA2" s="27"/>
      <c r="AB2" s="27"/>
      <c r="AC2" s="27"/>
      <c r="AD2" s="27"/>
      <c r="AE2" s="27"/>
      <c r="AF2" s="27"/>
      <c r="AG2" s="27"/>
      <c r="AH2" s="27"/>
      <c r="AI2" s="27"/>
      <c r="AJ2" s="27"/>
      <c r="AK2" s="27"/>
      <c r="AL2" s="27"/>
      <c r="AM2" s="27"/>
      <c r="AN2" s="27"/>
      <c r="AO2" s="27"/>
    </row>
    <row r="3" spans="1:41" customHeight="1" ht="24">
      <c r="A3" s="2"/>
      <c r="B3" s="3"/>
      <c r="C3" s="4"/>
      <c r="D3" s="5"/>
      <c r="E3" s="5"/>
      <c r="F3" s="6"/>
      <c r="G3" s="7"/>
      <c r="H3" s="5"/>
      <c r="I3" s="8"/>
      <c r="J3" s="8"/>
      <c r="K3" s="8"/>
      <c r="L3" s="8"/>
      <c r="M3" s="8"/>
      <c r="N3" s="8"/>
      <c r="O3" s="8"/>
      <c r="P3" s="8"/>
      <c r="Q3" s="8"/>
      <c r="R3" s="8"/>
      <c r="S3" s="8"/>
      <c r="T3" s="8"/>
      <c r="U3" s="8"/>
      <c r="V3" s="8"/>
      <c r="W3" s="8"/>
      <c r="X3" s="8"/>
      <c r="Y3" s="27"/>
      <c r="Z3" s="27"/>
      <c r="AA3" s="27"/>
      <c r="AB3" s="27"/>
      <c r="AC3" s="27"/>
      <c r="AD3" s="27"/>
      <c r="AE3" s="27"/>
      <c r="AF3" s="27"/>
      <c r="AG3" s="27"/>
      <c r="AH3" s="27"/>
      <c r="AI3" s="27"/>
      <c r="AJ3" s="27"/>
      <c r="AK3" s="27"/>
      <c r="AL3" s="27"/>
      <c r="AM3" s="27"/>
      <c r="AN3" s="27"/>
      <c r="AO3" s="27"/>
    </row>
    <row r="4" spans="1:41" customHeight="1" ht="21">
      <c r="A4" s="2"/>
      <c r="B4" s="3"/>
      <c r="C4" s="4"/>
      <c r="D4" s="5"/>
      <c r="E4" s="5"/>
      <c r="F4" s="6"/>
      <c r="G4" s="7"/>
      <c r="H4" s="5"/>
      <c r="I4" s="8"/>
      <c r="J4" s="8"/>
      <c r="K4" s="8"/>
      <c r="L4" s="8"/>
      <c r="M4" s="8"/>
      <c r="N4" s="8"/>
      <c r="O4" s="8"/>
      <c r="P4" s="8"/>
      <c r="Q4" s="8"/>
      <c r="R4" s="8"/>
      <c r="S4" s="8"/>
      <c r="T4" s="8"/>
      <c r="U4" s="8"/>
      <c r="V4" s="8"/>
      <c r="W4" s="8"/>
      <c r="X4" s="8"/>
      <c r="Y4" s="27"/>
      <c r="Z4" s="27"/>
      <c r="AA4" s="27"/>
      <c r="AB4" s="27"/>
      <c r="AC4" s="27"/>
      <c r="AD4" s="27"/>
      <c r="AE4" s="27"/>
      <c r="AF4" s="27"/>
      <c r="AG4" s="27"/>
      <c r="AH4" s="27"/>
      <c r="AI4" s="27"/>
      <c r="AJ4" s="27"/>
      <c r="AK4" s="27"/>
      <c r="AL4" s="27"/>
      <c r="AM4" s="27"/>
      <c r="AN4" s="27"/>
      <c r="AO4" s="27"/>
    </row>
    <row r="5" spans="1:41" customHeight="1" ht="24">
      <c r="A5" s="2"/>
      <c r="B5" s="3"/>
      <c r="C5" s="4"/>
      <c r="D5" s="5"/>
      <c r="E5" s="5"/>
      <c r="F5" s="6"/>
      <c r="G5" s="7"/>
      <c r="H5" s="5"/>
      <c r="I5" s="8"/>
      <c r="J5" s="8"/>
      <c r="K5" s="8"/>
      <c r="L5" s="8"/>
      <c r="M5" s="8"/>
      <c r="N5" s="8"/>
      <c r="O5" s="8"/>
      <c r="P5" s="8"/>
      <c r="Q5" s="8"/>
      <c r="R5" s="8"/>
      <c r="S5" s="8"/>
      <c r="T5" s="8"/>
      <c r="U5" s="8"/>
      <c r="V5" s="8"/>
      <c r="W5" s="8"/>
      <c r="X5" s="8"/>
      <c r="Y5" s="27"/>
      <c r="Z5" s="27"/>
      <c r="AA5" s="27"/>
      <c r="AB5" s="27"/>
      <c r="AC5" s="27"/>
      <c r="AD5" s="27"/>
      <c r="AE5" s="27"/>
      <c r="AF5" s="27"/>
      <c r="AG5" s="27"/>
      <c r="AH5" s="27"/>
      <c r="AI5" s="27"/>
      <c r="AJ5" s="27"/>
      <c r="AK5" s="27"/>
      <c r="AL5" s="27"/>
      <c r="AM5" s="27"/>
      <c r="AN5" s="27"/>
      <c r="AO5" s="27"/>
    </row>
    <row r="6" spans="1:41" customHeight="1" ht="25.5">
      <c r="A6" s="38" t="s">
        <v>0</v>
      </c>
      <c r="B6" s="39"/>
      <c r="C6" s="39"/>
      <c r="D6" s="39"/>
      <c r="E6" s="39"/>
      <c r="F6" s="39"/>
      <c r="G6" s="39"/>
      <c r="H6" s="39"/>
      <c r="I6" s="11"/>
      <c r="J6" s="11"/>
      <c r="K6" s="11"/>
      <c r="L6" s="11"/>
      <c r="M6" s="11"/>
      <c r="N6" s="11"/>
      <c r="O6" s="11"/>
      <c r="P6" s="11"/>
      <c r="Q6" s="11"/>
      <c r="R6" s="11"/>
      <c r="S6" s="11"/>
      <c r="T6" s="11"/>
      <c r="U6" s="11"/>
      <c r="V6" s="11"/>
      <c r="W6" s="11"/>
      <c r="X6" s="11"/>
      <c r="Y6" s="27"/>
      <c r="Z6" s="27"/>
      <c r="AA6" s="27"/>
      <c r="AB6" s="27"/>
      <c r="AC6" s="27"/>
      <c r="AD6" s="27"/>
      <c r="AE6" s="27"/>
      <c r="AF6" s="27"/>
      <c r="AG6" s="27"/>
      <c r="AH6" s="27"/>
      <c r="AI6" s="27"/>
      <c r="AJ6" s="27"/>
      <c r="AK6" s="27"/>
      <c r="AL6" s="27"/>
      <c r="AM6" s="27"/>
      <c r="AN6" s="27"/>
      <c r="AO6" s="27"/>
    </row>
    <row r="7" spans="1:41" customHeight="1" ht="19.5">
      <c r="A7" s="9"/>
      <c r="B7" s="9"/>
      <c r="C7" s="9"/>
      <c r="D7" s="10"/>
      <c r="E7" s="10"/>
      <c r="F7" s="9"/>
      <c r="G7" s="11"/>
      <c r="H7" s="12"/>
      <c r="I7" s="11"/>
      <c r="J7" s="11"/>
      <c r="K7" s="11"/>
      <c r="L7" s="11"/>
      <c r="M7" s="11"/>
      <c r="N7" s="11"/>
      <c r="O7" s="11"/>
      <c r="P7" s="11"/>
      <c r="Q7" s="11"/>
      <c r="R7" s="11"/>
      <c r="S7" s="11"/>
      <c r="T7" s="11"/>
      <c r="U7" s="11"/>
      <c r="V7" s="11"/>
      <c r="W7" s="11"/>
      <c r="X7" s="11"/>
      <c r="Y7" s="27"/>
      <c r="Z7" s="27"/>
      <c r="AA7" s="27"/>
      <c r="AB7" s="27"/>
      <c r="AC7" s="27"/>
      <c r="AD7" s="27"/>
      <c r="AE7" s="27"/>
      <c r="AF7" s="27"/>
      <c r="AG7" s="27"/>
      <c r="AH7" s="27"/>
      <c r="AI7" s="27"/>
      <c r="AJ7" s="27"/>
      <c r="AK7" s="27"/>
      <c r="AL7" s="27"/>
      <c r="AM7" s="27"/>
      <c r="AN7" s="27"/>
      <c r="AO7" s="27"/>
    </row>
    <row r="8" spans="1:41" customHeight="1" ht="25.5">
      <c r="A8" s="13"/>
      <c r="B8" s="14"/>
      <c r="C8" s="4"/>
      <c r="D8" s="15" t="s">
        <v>1</v>
      </c>
      <c r="E8" s="16" t="s">
        <v>2</v>
      </c>
      <c r="F8" s="17"/>
      <c r="G8" s="7"/>
      <c r="H8" s="5"/>
      <c r="I8" s="8"/>
      <c r="J8" s="8"/>
      <c r="K8" s="8"/>
      <c r="L8" s="8"/>
      <c r="M8" s="8"/>
      <c r="N8" s="8"/>
      <c r="O8" s="8"/>
      <c r="P8" s="8"/>
      <c r="Q8" s="8"/>
      <c r="R8" s="8"/>
      <c r="S8" s="8"/>
      <c r="T8" s="8"/>
      <c r="U8" s="8"/>
      <c r="V8" s="8"/>
      <c r="W8" s="8"/>
      <c r="X8" s="8"/>
      <c r="Y8" s="27"/>
      <c r="Z8" s="27"/>
      <c r="AA8" s="27"/>
      <c r="AB8" s="27"/>
      <c r="AC8" s="27"/>
      <c r="AD8" s="27"/>
      <c r="AE8" s="27"/>
      <c r="AF8" s="27"/>
      <c r="AG8" s="27"/>
      <c r="AH8" s="27"/>
      <c r="AI8" s="27"/>
      <c r="AJ8" s="27"/>
      <c r="AK8" s="27"/>
      <c r="AL8" s="27"/>
      <c r="AM8" s="27"/>
      <c r="AN8" s="27"/>
      <c r="AO8" s="27"/>
    </row>
    <row r="9" spans="1:41" customHeight="1" ht="19.5">
      <c r="A9" s="13"/>
      <c r="B9" s="14"/>
      <c r="C9" s="4"/>
      <c r="D9" s="15" t="s">
        <v>3</v>
      </c>
      <c r="E9" s="16" t="s">
        <v>4</v>
      </c>
      <c r="F9" s="17"/>
      <c r="G9" s="7"/>
      <c r="H9" s="5"/>
      <c r="I9" s="8"/>
      <c r="J9" s="8"/>
      <c r="K9" s="8"/>
      <c r="L9" s="8"/>
      <c r="M9" s="8"/>
      <c r="N9" s="8"/>
      <c r="O9" s="8"/>
      <c r="P9" s="8"/>
      <c r="Q9" s="8"/>
      <c r="R9" s="8"/>
      <c r="S9" s="8"/>
      <c r="T9" s="8"/>
      <c r="U9" s="8"/>
      <c r="V9" s="8"/>
      <c r="W9" s="8"/>
      <c r="X9" s="8"/>
      <c r="Y9" s="27"/>
      <c r="Z9" s="27"/>
      <c r="AA9" s="27"/>
      <c r="AB9" s="27"/>
      <c r="AC9" s="27"/>
      <c r="AD9" s="27"/>
      <c r="AE9" s="27"/>
      <c r="AF9" s="27"/>
      <c r="AG9" s="27"/>
      <c r="AH9" s="27"/>
      <c r="AI9" s="27"/>
      <c r="AJ9" s="27"/>
      <c r="AK9" s="27"/>
      <c r="AL9" s="27"/>
      <c r="AM9" s="27"/>
      <c r="AN9" s="27"/>
      <c r="AO9" s="27"/>
    </row>
    <row r="10" spans="1:41" customHeight="1" ht="25.5">
      <c r="A10" s="13"/>
      <c r="B10" s="14"/>
      <c r="C10" s="4"/>
      <c r="D10" s="15" t="s">
        <v>5</v>
      </c>
      <c r="E10" s="16" t="s">
        <v>6</v>
      </c>
      <c r="F10" s="17"/>
      <c r="G10" s="7"/>
      <c r="H10" s="5"/>
      <c r="I10" s="8"/>
      <c r="J10" s="8"/>
      <c r="K10" s="8"/>
      <c r="L10" s="8"/>
      <c r="M10" s="8"/>
      <c r="N10" s="8"/>
      <c r="O10" s="8"/>
      <c r="P10" s="8"/>
      <c r="Q10" s="8"/>
      <c r="R10" s="8"/>
      <c r="S10" s="8"/>
      <c r="T10" s="8"/>
      <c r="U10" s="8"/>
      <c r="V10" s="8"/>
      <c r="W10" s="8"/>
      <c r="X10" s="8"/>
      <c r="Y10" s="27"/>
      <c r="Z10" s="27"/>
      <c r="AA10" s="27"/>
      <c r="AB10" s="27"/>
      <c r="AC10" s="27"/>
      <c r="AD10" s="27"/>
      <c r="AE10" s="27"/>
      <c r="AF10" s="27"/>
      <c r="AG10" s="27"/>
      <c r="AH10" s="27"/>
      <c r="AI10" s="27"/>
      <c r="AJ10" s="27"/>
      <c r="AK10" s="27"/>
      <c r="AL10" s="27"/>
      <c r="AM10" s="27"/>
      <c r="AN10" s="27"/>
      <c r="AO10" s="27"/>
    </row>
    <row r="11" spans="1:41" customHeight="1" ht="22.5">
      <c r="A11" s="2"/>
      <c r="B11" s="3"/>
      <c r="C11" s="4"/>
      <c r="D11" s="5"/>
      <c r="E11" s="5"/>
      <c r="F11" s="6"/>
      <c r="G11" s="7"/>
      <c r="H11" s="5"/>
      <c r="I11" s="8"/>
      <c r="J11" s="8"/>
      <c r="K11" s="8"/>
      <c r="L11" s="8"/>
      <c r="M11" s="8"/>
      <c r="N11" s="8"/>
      <c r="O11" s="8"/>
      <c r="P11" s="8"/>
      <c r="Q11" s="8"/>
      <c r="R11" s="8"/>
      <c r="S11" s="8"/>
      <c r="T11" s="8"/>
      <c r="U11" s="8"/>
      <c r="V11" s="8"/>
      <c r="W11" s="8"/>
      <c r="X11" s="8"/>
      <c r="Y11" s="27"/>
      <c r="Z11" s="27"/>
      <c r="AA11" s="27"/>
      <c r="AB11" s="27"/>
      <c r="AC11" s="27"/>
      <c r="AD11" s="27"/>
      <c r="AE11" s="27"/>
      <c r="AF11" s="27"/>
      <c r="AG11" s="27"/>
      <c r="AH11" s="27"/>
      <c r="AI11" s="27"/>
      <c r="AJ11" s="27"/>
      <c r="AK11" s="27"/>
      <c r="AL11" s="27"/>
      <c r="AM11" s="27"/>
      <c r="AN11" s="27"/>
      <c r="AO11" s="27"/>
    </row>
    <row r="12" spans="1:41" customHeight="1" ht="21.75">
      <c r="A12" s="40" t="s">
        <v>7</v>
      </c>
      <c r="B12" s="39"/>
      <c r="C12" s="39"/>
      <c r="D12" s="39"/>
      <c r="E12" s="5"/>
      <c r="F12" s="6"/>
      <c r="G12" s="7"/>
      <c r="H12" s="5">
        <v>1043046028</v>
      </c>
      <c r="I12" s="8"/>
      <c r="J12" s="8"/>
      <c r="K12" s="8"/>
      <c r="L12" s="8"/>
      <c r="M12" s="8"/>
      <c r="N12" s="8"/>
      <c r="O12" s="8"/>
      <c r="P12" s="8"/>
      <c r="Q12" s="8"/>
      <c r="R12" s="8"/>
      <c r="S12" s="8"/>
      <c r="T12" s="8"/>
      <c r="U12" s="8"/>
      <c r="V12" s="8"/>
      <c r="W12" s="8"/>
      <c r="X12" s="8"/>
      <c r="Y12" s="27"/>
      <c r="Z12" s="27"/>
      <c r="AA12" s="27"/>
      <c r="AB12" s="27"/>
      <c r="AC12" s="27"/>
      <c r="AD12" s="27"/>
      <c r="AE12" s="27"/>
      <c r="AF12" s="27"/>
      <c r="AG12" s="27"/>
      <c r="AH12" s="27"/>
      <c r="AI12" s="27"/>
      <c r="AJ12" s="27"/>
      <c r="AK12" s="27"/>
      <c r="AL12" s="27"/>
      <c r="AM12" s="27"/>
      <c r="AN12" s="27"/>
      <c r="AO12" s="27"/>
    </row>
    <row r="13" spans="1:41" customHeight="1" ht="25.5">
      <c r="A13" s="40" t="s">
        <v>8</v>
      </c>
      <c r="B13" s="39"/>
      <c r="C13" s="39"/>
      <c r="D13" s="39"/>
      <c r="E13" s="5"/>
      <c r="F13" s="6"/>
      <c r="G13" s="7"/>
      <c r="H13" s="5">
        <v>62552826</v>
      </c>
      <c r="I13" s="8"/>
      <c r="J13" s="8"/>
      <c r="K13" s="8"/>
      <c r="L13" s="8"/>
      <c r="M13" s="8"/>
      <c r="N13" s="8"/>
      <c r="O13" s="8"/>
      <c r="P13" s="8"/>
      <c r="Q13" s="8"/>
      <c r="R13" s="8"/>
      <c r="S13" s="8"/>
      <c r="T13" s="8"/>
      <c r="U13" s="8"/>
      <c r="V13" s="8"/>
      <c r="W13" s="8"/>
      <c r="X13" s="8"/>
      <c r="Y13" s="27"/>
      <c r="Z13" s="27"/>
      <c r="AA13" s="27"/>
      <c r="AB13" s="27"/>
      <c r="AC13" s="27"/>
      <c r="AD13" s="27"/>
      <c r="AE13" s="27"/>
      <c r="AF13" s="27"/>
      <c r="AG13" s="27"/>
      <c r="AH13" s="27"/>
      <c r="AI13" s="27"/>
      <c r="AJ13" s="27"/>
      <c r="AK13" s="27"/>
      <c r="AL13" s="27"/>
      <c r="AM13" s="27"/>
      <c r="AN13" s="27"/>
      <c r="AO13" s="27"/>
    </row>
    <row r="14" spans="1:41" customHeight="1" ht="21">
      <c r="A14" s="40" t="s">
        <v>9</v>
      </c>
      <c r="B14" s="39"/>
      <c r="C14" s="39"/>
      <c r="D14" s="39"/>
      <c r="E14" s="18"/>
      <c r="F14" s="19"/>
      <c r="G14" s="7"/>
      <c r="H14" s="5">
        <v>0</v>
      </c>
      <c r="I14" s="8"/>
      <c r="J14" s="8"/>
      <c r="K14" s="8"/>
      <c r="L14" s="8"/>
      <c r="M14" s="8"/>
      <c r="N14" s="8"/>
      <c r="O14" s="8"/>
      <c r="P14" s="8"/>
      <c r="Q14" s="8"/>
      <c r="R14" s="8"/>
      <c r="S14" s="8"/>
      <c r="T14" s="8"/>
      <c r="U14" s="8"/>
      <c r="V14" s="8"/>
      <c r="W14" s="8"/>
      <c r="X14" s="8"/>
      <c r="Y14" s="27"/>
      <c r="Z14" s="27"/>
      <c r="AA14" s="27"/>
      <c r="AB14" s="27"/>
      <c r="AC14" s="27"/>
      <c r="AD14" s="27"/>
      <c r="AE14" s="27"/>
      <c r="AF14" s="27"/>
      <c r="AG14" s="27"/>
      <c r="AH14" s="27"/>
      <c r="AI14" s="27"/>
      <c r="AJ14" s="27"/>
      <c r="AK14" s="27"/>
      <c r="AL14" s="27"/>
      <c r="AM14" s="27"/>
      <c r="AN14" s="27"/>
      <c r="AO14" s="27"/>
    </row>
    <row r="15" spans="1:41" customHeight="1" ht="21">
      <c r="A15" s="40" t="s">
        <v>10</v>
      </c>
      <c r="B15" s="39"/>
      <c r="C15" s="39"/>
      <c r="D15" s="39"/>
      <c r="E15" s="18"/>
      <c r="F15" s="19"/>
      <c r="G15" s="7"/>
      <c r="H15" s="5" t="str">
        <f>AI1966</f>
        <v>0</v>
      </c>
      <c r="I15" s="8"/>
      <c r="J15" s="8"/>
      <c r="K15" s="8"/>
      <c r="L15" s="8"/>
      <c r="M15" s="8"/>
      <c r="N15" s="8"/>
      <c r="O15" s="8"/>
      <c r="P15" s="8"/>
      <c r="Q15" s="8"/>
      <c r="R15" s="8"/>
      <c r="S15" s="8"/>
      <c r="T15" s="8"/>
      <c r="U15" s="8"/>
      <c r="V15" s="8"/>
      <c r="W15" s="8"/>
      <c r="X15" s="8"/>
      <c r="Y15" s="27"/>
      <c r="Z15" s="27"/>
      <c r="AA15" s="27"/>
      <c r="AB15" s="27"/>
      <c r="AC15" s="27"/>
      <c r="AD15" s="27"/>
      <c r="AE15" s="27"/>
      <c r="AF15" s="27"/>
      <c r="AG15" s="27"/>
      <c r="AH15" s="27"/>
      <c r="AI15" s="27"/>
      <c r="AJ15" s="27"/>
      <c r="AK15" s="27"/>
      <c r="AL15" s="27"/>
      <c r="AM15" s="27"/>
      <c r="AN15" s="27"/>
      <c r="AO15" s="27"/>
    </row>
    <row r="16" spans="1:41" customHeight="1" ht="21">
      <c r="A16" s="40" t="s">
        <v>11</v>
      </c>
      <c r="B16" s="39"/>
      <c r="C16" s="39"/>
      <c r="D16" s="39"/>
      <c r="E16" s="18"/>
      <c r="F16" s="19"/>
      <c r="G16" s="7"/>
      <c r="H16" s="5" t="str">
        <f>AJ1966</f>
        <v>0</v>
      </c>
      <c r="I16" s="8"/>
      <c r="J16" s="8"/>
      <c r="K16" s="8"/>
      <c r="L16" s="8"/>
      <c r="M16" s="8"/>
      <c r="N16" s="8"/>
      <c r="O16" s="8"/>
      <c r="P16" s="8"/>
      <c r="Q16" s="8"/>
      <c r="R16" s="8"/>
      <c r="S16" s="8"/>
      <c r="T16" s="8"/>
      <c r="U16" s="8"/>
      <c r="V16" s="8"/>
      <c r="W16" s="8"/>
      <c r="X16" s="8"/>
      <c r="Y16" s="27"/>
      <c r="Z16" s="27"/>
      <c r="AA16" s="27"/>
      <c r="AB16" s="27"/>
      <c r="AC16" s="27"/>
      <c r="AD16" s="27"/>
      <c r="AE16" s="27"/>
      <c r="AF16" s="27"/>
      <c r="AG16" s="27"/>
      <c r="AH16" s="27"/>
      <c r="AI16" s="27"/>
      <c r="AJ16" s="27"/>
      <c r="AK16" s="27"/>
      <c r="AL16" s="27"/>
      <c r="AM16" s="27"/>
      <c r="AN16" s="27"/>
      <c r="AO16" s="27"/>
    </row>
    <row r="17" spans="1:41" customHeight="1" ht="20.25">
      <c r="A17" s="40" t="s">
        <v>12</v>
      </c>
      <c r="B17" s="40"/>
      <c r="C17" s="40"/>
      <c r="D17" s="40"/>
      <c r="E17" s="18"/>
      <c r="F17" s="19"/>
      <c r="G17" s="7"/>
      <c r="H17" s="5">
        <v>0</v>
      </c>
      <c r="I17" s="8"/>
      <c r="J17" s="8"/>
      <c r="K17" s="8"/>
      <c r="L17" s="8"/>
      <c r="M17" s="8"/>
      <c r="N17" s="8"/>
      <c r="O17" s="8"/>
      <c r="P17" s="8"/>
      <c r="Q17" s="8"/>
      <c r="R17" s="8"/>
      <c r="S17" s="8"/>
      <c r="T17" s="8"/>
      <c r="U17" s="8"/>
      <c r="V17" s="8"/>
      <c r="W17" s="8"/>
      <c r="X17" s="8"/>
      <c r="Y17" s="27"/>
      <c r="Z17" s="27"/>
      <c r="AA17" s="27"/>
      <c r="AB17" s="27"/>
      <c r="AC17" s="27"/>
      <c r="AD17" s="27"/>
      <c r="AE17" s="27"/>
      <c r="AF17" s="27"/>
      <c r="AG17" s="27"/>
      <c r="AH17" s="27"/>
      <c r="AI17" s="27"/>
      <c r="AJ17" s="27"/>
      <c r="AK17" s="27"/>
      <c r="AL17" s="27"/>
      <c r="AM17" s="27"/>
      <c r="AN17" s="27"/>
      <c r="AO17" s="27"/>
    </row>
    <row r="18" spans="1:41" customHeight="1" ht="20.25">
      <c r="A18" s="40" t="s">
        <v>13</v>
      </c>
      <c r="B18" s="40"/>
      <c r="C18" s="40"/>
      <c r="D18" s="40"/>
      <c r="E18" s="18"/>
      <c r="F18" s="19"/>
      <c r="G18" s="7"/>
      <c r="H18" s="5">
        <v>0</v>
      </c>
      <c r="I18" s="8"/>
      <c r="J18" s="8"/>
      <c r="K18" s="8"/>
      <c r="L18" s="8"/>
      <c r="M18" s="8"/>
      <c r="N18" s="8"/>
      <c r="O18" s="8"/>
      <c r="P18" s="8"/>
      <c r="Q18" s="8"/>
      <c r="R18" s="8"/>
      <c r="S18" s="8"/>
      <c r="T18" s="8"/>
      <c r="U18" s="8"/>
      <c r="V18" s="8"/>
      <c r="W18" s="8"/>
      <c r="X18" s="8"/>
      <c r="Y18" s="27"/>
      <c r="Z18" s="27"/>
      <c r="AA18" s="27"/>
      <c r="AB18" s="27"/>
      <c r="AC18" s="27"/>
      <c r="AD18" s="27"/>
      <c r="AE18" s="27"/>
      <c r="AF18" s="27"/>
      <c r="AG18" s="27"/>
      <c r="AH18" s="27"/>
      <c r="AI18" s="27"/>
      <c r="AJ18" s="27"/>
      <c r="AK18" s="27"/>
      <c r="AL18" s="27"/>
      <c r="AM18" s="27"/>
      <c r="AN18" s="27"/>
      <c r="AO18" s="27"/>
    </row>
    <row r="19" spans="1:41" customHeight="1" ht="20.25">
      <c r="A19" s="40" t="s">
        <v>14</v>
      </c>
      <c r="B19" s="40"/>
      <c r="C19" s="40"/>
      <c r="D19" s="40"/>
      <c r="E19" s="18"/>
      <c r="F19" s="19"/>
      <c r="G19" s="7"/>
      <c r="H19" s="5">
        <v>0</v>
      </c>
      <c r="I19" s="8"/>
      <c r="J19" s="8"/>
      <c r="K19" s="8"/>
      <c r="L19" s="8"/>
      <c r="M19" s="8"/>
      <c r="N19" s="8"/>
      <c r="O19" s="8"/>
      <c r="P19" s="8"/>
      <c r="Q19" s="8"/>
      <c r="R19" s="8"/>
      <c r="S19" s="8"/>
      <c r="T19" s="8"/>
      <c r="U19" s="8"/>
      <c r="V19" s="8"/>
      <c r="W19" s="8"/>
      <c r="X19" s="8"/>
      <c r="Y19" s="27"/>
      <c r="Z19" s="27"/>
      <c r="AA19" s="27"/>
      <c r="AB19" s="27"/>
      <c r="AC19" s="27"/>
      <c r="AD19" s="27"/>
      <c r="AE19" s="27"/>
      <c r="AF19" s="27"/>
      <c r="AG19" s="27"/>
      <c r="AH19" s="27"/>
      <c r="AI19" s="27"/>
      <c r="AJ19" s="27"/>
      <c r="AK19" s="27"/>
      <c r="AL19" s="27"/>
      <c r="AM19" s="27"/>
      <c r="AN19" s="27"/>
      <c r="AO19" s="27"/>
    </row>
    <row r="20" spans="1:41" customHeight="1" ht="22.5">
      <c r="A20" s="43" t="s">
        <v>15</v>
      </c>
      <c r="B20" s="43"/>
      <c r="C20" s="43"/>
      <c r="D20" s="43"/>
      <c r="E20" s="18"/>
      <c r="F20" s="19"/>
      <c r="G20" s="7"/>
      <c r="H20" s="5">
        <v>0</v>
      </c>
      <c r="I20" s="8"/>
      <c r="J20" s="8"/>
      <c r="K20" s="8"/>
      <c r="L20" s="8"/>
      <c r="M20" s="8"/>
      <c r="N20" s="8"/>
      <c r="O20" s="8"/>
      <c r="P20" s="8"/>
      <c r="Q20" s="8"/>
      <c r="R20" s="8"/>
      <c r="S20" s="8"/>
      <c r="T20" s="8"/>
      <c r="U20" s="8"/>
      <c r="V20" s="8"/>
      <c r="W20" s="8"/>
      <c r="X20" s="8"/>
      <c r="Y20" s="27"/>
      <c r="Z20" s="27"/>
      <c r="AA20" s="27"/>
      <c r="AB20" s="27"/>
      <c r="AC20" s="27"/>
      <c r="AD20" s="27"/>
      <c r="AE20" s="27"/>
      <c r="AF20" s="27"/>
      <c r="AG20" s="27"/>
      <c r="AH20" s="27"/>
      <c r="AI20" s="27"/>
      <c r="AJ20" s="27"/>
      <c r="AK20" s="27"/>
      <c r="AL20" s="27"/>
      <c r="AM20" s="27"/>
      <c r="AN20" s="27"/>
      <c r="AO20" s="27"/>
    </row>
    <row r="21" spans="1:41" customHeight="1" ht="24">
      <c r="A21" s="40" t="s">
        <v>16</v>
      </c>
      <c r="B21" s="39"/>
      <c r="C21" s="39"/>
      <c r="D21" s="39"/>
      <c r="E21" s="5"/>
      <c r="F21" s="6"/>
      <c r="G21" s="7"/>
      <c r="H21" s="5" t="str">
        <f>5500+0</f>
        <v>0</v>
      </c>
      <c r="I21" s="8"/>
      <c r="J21" s="8"/>
      <c r="K21" s="8"/>
      <c r="L21" s="8"/>
      <c r="M21" s="8"/>
      <c r="N21" s="8"/>
      <c r="O21" s="8"/>
      <c r="P21" s="8"/>
      <c r="Q21" s="8"/>
      <c r="R21" s="8"/>
      <c r="S21" s="8"/>
      <c r="T21" s="8"/>
      <c r="U21" s="8"/>
      <c r="V21" s="8"/>
      <c r="W21" s="8"/>
      <c r="X21" s="8"/>
      <c r="Y21" s="27"/>
      <c r="Z21" s="27"/>
      <c r="AA21" s="27"/>
      <c r="AB21" s="27"/>
      <c r="AC21" s="27"/>
      <c r="AD21" s="27"/>
      <c r="AE21" s="27"/>
      <c r="AF21" s="27"/>
      <c r="AG21" s="27"/>
      <c r="AH21" s="27"/>
      <c r="AI21" s="27"/>
      <c r="AJ21" s="27"/>
      <c r="AK21" s="27"/>
      <c r="AL21" s="27"/>
      <c r="AM21" s="27"/>
      <c r="AN21" s="27"/>
      <c r="AO21" s="27"/>
    </row>
    <row r="22" spans="1:41" customHeight="1" ht="21">
      <c r="A22" s="42"/>
      <c r="B22" s="39"/>
      <c r="C22" s="39"/>
      <c r="D22" s="39"/>
      <c r="E22" s="39"/>
      <c r="F22" s="39"/>
      <c r="G22" s="39"/>
      <c r="H22" s="5"/>
      <c r="I22" s="8"/>
      <c r="J22" s="8"/>
      <c r="K22" s="8"/>
      <c r="L22" s="8"/>
      <c r="M22" s="8"/>
      <c r="N22" s="8"/>
      <c r="O22" s="8"/>
      <c r="P22" s="8"/>
      <c r="Q22" s="8"/>
      <c r="R22" s="8"/>
      <c r="S22" s="8"/>
      <c r="T22" s="8"/>
      <c r="U22" s="8"/>
      <c r="V22" s="8"/>
      <c r="W22" s="8"/>
      <c r="X22" s="8"/>
      <c r="Y22" s="27"/>
      <c r="Z22" s="27"/>
      <c r="AA22" s="27"/>
      <c r="AB22" s="27"/>
      <c r="AC22" s="27"/>
      <c r="AD22" s="27"/>
      <c r="AE22" s="27"/>
      <c r="AF22" s="27"/>
      <c r="AG22" s="27"/>
      <c r="AH22" s="27"/>
      <c r="AI22" s="27"/>
      <c r="AJ22" s="27"/>
      <c r="AK22" s="27"/>
      <c r="AL22" s="27"/>
      <c r="AM22" s="27"/>
      <c r="AN22" s="27"/>
      <c r="AO22" s="27"/>
    </row>
    <row r="23" spans="1:41" customHeight="1" ht="22.5">
      <c r="A23" s="40" t="s">
        <v>17</v>
      </c>
      <c r="B23" s="39"/>
      <c r="C23" s="39"/>
      <c r="D23" s="39"/>
      <c r="E23" s="18"/>
      <c r="F23" s="19"/>
      <c r="G23" s="7"/>
      <c r="H23" s="18">
        <v>980487702</v>
      </c>
      <c r="I23" s="8"/>
      <c r="J23" s="8"/>
      <c r="K23" s="8"/>
      <c r="L23" s="8"/>
      <c r="M23" s="8"/>
      <c r="N23" s="8"/>
      <c r="O23" s="8"/>
      <c r="P23" s="8"/>
      <c r="Q23" s="8"/>
      <c r="R23" s="8"/>
      <c r="S23" s="8"/>
      <c r="T23" s="8"/>
      <c r="U23" s="8"/>
      <c r="V23" s="8"/>
      <c r="W23" s="8"/>
      <c r="X23" s="8"/>
      <c r="Y23" s="27"/>
      <c r="Z23" s="27"/>
      <c r="AA23" s="27"/>
      <c r="AB23" s="27"/>
      <c r="AC23" s="27"/>
      <c r="AD23" s="27"/>
      <c r="AE23" s="27"/>
      <c r="AF23" s="27"/>
      <c r="AG23" s="27"/>
      <c r="AH23" s="27"/>
      <c r="AI23" s="27"/>
      <c r="AJ23" s="27"/>
      <c r="AK23" s="27"/>
      <c r="AL23" s="27"/>
      <c r="AM23" s="27"/>
      <c r="AN23" s="27"/>
      <c r="AO23" s="27"/>
    </row>
    <row r="24" spans="1:41" customHeight="1" ht="75.75">
      <c r="A24" s="41" t="s">
        <v>18</v>
      </c>
      <c r="B24" s="39"/>
      <c r="C24" s="39"/>
      <c r="D24" s="39"/>
      <c r="E24" s="39"/>
      <c r="F24" s="39"/>
      <c r="G24" s="39"/>
      <c r="H24" s="39"/>
      <c r="I24" s="24"/>
      <c r="J24" s="24"/>
      <c r="K24" s="24"/>
      <c r="L24" s="24"/>
      <c r="M24" s="24"/>
      <c r="N24" s="24"/>
      <c r="O24" s="24"/>
      <c r="P24" s="24"/>
      <c r="Q24" s="24"/>
      <c r="R24" s="24"/>
      <c r="S24" s="24"/>
      <c r="T24" s="24"/>
      <c r="U24" s="24"/>
      <c r="V24" s="24"/>
      <c r="W24" s="24"/>
      <c r="X24" s="24"/>
      <c r="Y24" s="27"/>
      <c r="Z24" s="27"/>
      <c r="AA24" s="27"/>
      <c r="AB24" s="27"/>
      <c r="AC24" s="27"/>
      <c r="AD24" s="27"/>
      <c r="AE24" s="27"/>
      <c r="AF24" s="27"/>
      <c r="AG24" s="27"/>
      <c r="AH24" s="27"/>
      <c r="AI24" s="27"/>
      <c r="AJ24" s="27"/>
      <c r="AK24" s="27"/>
      <c r="AL24" s="27"/>
      <c r="AM24" s="27"/>
      <c r="AN24" s="27"/>
      <c r="AO24" s="27"/>
    </row>
    <row r="25" spans="1:41" customHeight="1" ht="25.5">
      <c r="A25" s="31"/>
      <c r="B25" s="21"/>
      <c r="C25" s="21"/>
      <c r="D25" s="20"/>
      <c r="E25" s="20"/>
      <c r="F25" s="22"/>
      <c r="G25" s="23"/>
      <c r="H25" s="24"/>
      <c r="I25" s="22"/>
      <c r="J25" s="22"/>
      <c r="K25" s="8"/>
      <c r="L25" s="8"/>
      <c r="M25" s="8"/>
      <c r="N25" s="8"/>
      <c r="O25" s="8"/>
      <c r="P25" s="8"/>
      <c r="Q25" s="8"/>
      <c r="R25" s="8"/>
      <c r="S25" s="8"/>
      <c r="T25" s="8"/>
      <c r="U25" s="8"/>
      <c r="V25" s="8"/>
      <c r="W25" s="8"/>
      <c r="X25" s="8"/>
      <c r="Y25" s="27"/>
      <c r="Z25" s="27"/>
      <c r="AA25" s="27"/>
      <c r="AB25" s="27"/>
      <c r="AC25" s="27"/>
      <c r="AD25" s="27"/>
      <c r="AE25" s="27"/>
      <c r="AF25" s="27"/>
      <c r="AG25" s="27"/>
      <c r="AH25" s="27"/>
      <c r="AI25" s="27"/>
      <c r="AJ25" s="27"/>
      <c r="AK25" s="27"/>
      <c r="AL25" s="27"/>
      <c r="AM25" s="27"/>
      <c r="AN25" s="27"/>
      <c r="AO25" s="27"/>
    </row>
    <row r="26" spans="1:41" customHeight="1" ht="25.5">
      <c r="A26" s="31"/>
      <c r="B26" s="21"/>
      <c r="C26" s="21"/>
      <c r="D26" s="20"/>
      <c r="E26" s="20"/>
      <c r="F26" s="22"/>
      <c r="G26" s="23"/>
      <c r="H26" s="24"/>
      <c r="I26" s="22"/>
      <c r="J26" s="22"/>
      <c r="K26" s="8"/>
      <c r="L26" s="8"/>
      <c r="M26" s="8"/>
      <c r="N26" s="8"/>
      <c r="O26" s="8"/>
      <c r="P26" s="8"/>
      <c r="Q26" s="8"/>
      <c r="R26" s="8"/>
      <c r="S26" s="8"/>
      <c r="T26" s="8"/>
      <c r="U26" s="8"/>
      <c r="V26" s="8"/>
      <c r="W26" s="8"/>
      <c r="X26" s="8"/>
      <c r="Y26" s="27"/>
      <c r="Z26" s="27"/>
      <c r="AA26" s="27"/>
      <c r="AB26" s="27"/>
      <c r="AC26" s="27"/>
      <c r="AD26" s="27"/>
      <c r="AE26" s="27"/>
      <c r="AF26" s="27"/>
      <c r="AG26" s="27"/>
      <c r="AH26" s="27"/>
      <c r="AI26" s="27"/>
      <c r="AJ26" s="27"/>
      <c r="AK26" s="27"/>
      <c r="AL26" s="27"/>
      <c r="AM26" s="27"/>
      <c r="AN26" s="27"/>
      <c r="AO26" s="27"/>
    </row>
    <row r="27" spans="1:41" customHeight="1" ht="29.25">
      <c r="A27" s="35" t="s">
        <v>19</v>
      </c>
      <c r="B27" s="36"/>
      <c r="C27" s="36"/>
      <c r="D27" s="37"/>
      <c r="E27" s="37"/>
      <c r="F27" s="25"/>
      <c r="G27" s="25"/>
      <c r="H27" s="26"/>
      <c r="I27" s="25"/>
      <c r="J27" s="25"/>
      <c r="K27" s="25"/>
      <c r="L27" s="25"/>
      <c r="M27" s="25"/>
      <c r="N27" s="25"/>
      <c r="O27" s="25"/>
      <c r="P27" s="25"/>
      <c r="Q27" s="25"/>
      <c r="R27" s="25"/>
      <c r="S27" s="25"/>
      <c r="T27" s="25"/>
      <c r="U27" s="25"/>
      <c r="V27" s="25"/>
      <c r="W27" s="25"/>
      <c r="X27" s="25"/>
      <c r="Y27" s="27"/>
      <c r="Z27" s="27"/>
      <c r="AA27" s="27"/>
      <c r="AB27" s="27"/>
      <c r="AC27" s="27"/>
      <c r="AD27" s="27"/>
      <c r="AE27" s="27"/>
      <c r="AF27" s="27"/>
      <c r="AG27" s="27"/>
      <c r="AH27" s="27"/>
      <c r="AI27" s="27"/>
      <c r="AJ27" s="27"/>
      <c r="AK27" s="27"/>
      <c r="AL27" s="27"/>
      <c r="AM27" s="27"/>
      <c r="AN27" s="27"/>
      <c r="AO27" s="27"/>
    </row>
    <row r="28" spans="1:41" customHeight="1" ht="47.25" s="29" customFormat="1">
      <c r="A28" s="30" t="s">
        <v>20</v>
      </c>
      <c r="B28" s="30" t="s">
        <v>21</v>
      </c>
      <c r="C28" s="30" t="s">
        <v>22</v>
      </c>
      <c r="D28" s="30" t="s">
        <v>23</v>
      </c>
      <c r="E28" s="30" t="s">
        <v>24</v>
      </c>
      <c r="F28" s="30" t="s">
        <v>25</v>
      </c>
      <c r="G28" s="30" t="s">
        <v>26</v>
      </c>
      <c r="H28" s="30" t="s">
        <v>27</v>
      </c>
      <c r="I28" s="30" t="s">
        <v>28</v>
      </c>
      <c r="J28" s="30" t="s">
        <v>29</v>
      </c>
      <c r="K28" s="30" t="s">
        <v>30</v>
      </c>
      <c r="L28" s="30" t="s">
        <v>31</v>
      </c>
      <c r="M28" s="30" t="s">
        <v>32</v>
      </c>
      <c r="N28" s="30" t="s">
        <v>33</v>
      </c>
      <c r="O28" s="30" t="s">
        <v>34</v>
      </c>
      <c r="P28" s="30" t="s">
        <v>35</v>
      </c>
      <c r="Q28" s="30" t="s">
        <v>36</v>
      </c>
      <c r="R28" s="30" t="s">
        <v>37</v>
      </c>
      <c r="S28" s="30" t="s">
        <v>38</v>
      </c>
      <c r="T28" s="30" t="s">
        <v>39</v>
      </c>
      <c r="U28" s="30" t="s">
        <v>40</v>
      </c>
      <c r="V28" s="30" t="s">
        <v>41</v>
      </c>
      <c r="W28" s="30" t="s">
        <v>42</v>
      </c>
      <c r="X28" s="30" t="s">
        <v>43</v>
      </c>
      <c r="Y28" s="30" t="s">
        <v>44</v>
      </c>
      <c r="Z28" s="30" t="s">
        <v>45</v>
      </c>
      <c r="AA28" s="30" t="s">
        <v>46</v>
      </c>
      <c r="AB28" s="30" t="s">
        <v>47</v>
      </c>
      <c r="AC28" s="30" t="s">
        <v>48</v>
      </c>
      <c r="AD28" s="30" t="s">
        <v>49</v>
      </c>
      <c r="AE28" s="30" t="s">
        <v>50</v>
      </c>
      <c r="AF28" s="30" t="s">
        <v>51</v>
      </c>
      <c r="AG28" s="30" t="s">
        <v>52</v>
      </c>
      <c r="AH28" s="30" t="s">
        <v>53</v>
      </c>
      <c r="AI28" s="30" t="s">
        <v>54</v>
      </c>
      <c r="AJ28" s="30" t="s">
        <v>55</v>
      </c>
      <c r="AK28" s="30" t="s">
        <v>56</v>
      </c>
      <c r="AL28" s="30" t="s">
        <v>57</v>
      </c>
      <c r="AM28" s="30" t="s">
        <v>58</v>
      </c>
      <c r="AN28" s="30" t="s">
        <v>59</v>
      </c>
      <c r="AO28" s="4"/>
    </row>
    <row r="29" spans="1:41">
      <c r="A29" s="44">
        <v>1</v>
      </c>
      <c r="B29" s="44" t="s">
        <v>60</v>
      </c>
      <c r="C29" s="44" t="s">
        <v>61</v>
      </c>
      <c r="D29" s="51" t="s">
        <v>62</v>
      </c>
      <c r="E29" s="51" t="s">
        <v>63</v>
      </c>
      <c r="F29" s="54" t="s">
        <v>64</v>
      </c>
      <c r="G29" s="54">
        <v>12</v>
      </c>
      <c r="H29" s="51" t="s">
        <v>65</v>
      </c>
      <c r="I29" s="54">
        <v>0</v>
      </c>
      <c r="J29" s="54">
        <v>0</v>
      </c>
      <c r="K29" s="54">
        <v>48000</v>
      </c>
      <c r="L29" s="54">
        <v>0</v>
      </c>
      <c r="M29" s="54">
        <v>0</v>
      </c>
      <c r="N29" s="54">
        <v>0</v>
      </c>
      <c r="O29" s="54">
        <v>0</v>
      </c>
      <c r="P29" s="54">
        <v>0</v>
      </c>
      <c r="Q29" s="54">
        <v>0</v>
      </c>
      <c r="R29" s="54">
        <v>0</v>
      </c>
      <c r="S29" s="54">
        <v>0</v>
      </c>
      <c r="T29" s="54">
        <v>0</v>
      </c>
      <c r="U29" s="54">
        <v>4939</v>
      </c>
      <c r="V29" s="54">
        <v>0</v>
      </c>
      <c r="W29" s="54">
        <v>0</v>
      </c>
      <c r="X29" s="54">
        <v>0</v>
      </c>
      <c r="Y29" s="54">
        <v>24000</v>
      </c>
      <c r="Z29" s="54">
        <v>0</v>
      </c>
      <c r="AA29" s="54">
        <v>0</v>
      </c>
      <c r="AB29" s="54">
        <v>0</v>
      </c>
      <c r="AC29" s="54">
        <v>0</v>
      </c>
      <c r="AD29" s="54">
        <v>0</v>
      </c>
      <c r="AE29" s="54">
        <v>0</v>
      </c>
      <c r="AF29" s="54">
        <v>0</v>
      </c>
      <c r="AG29" s="54">
        <v>0</v>
      </c>
      <c r="AH29" s="54">
        <v>0</v>
      </c>
      <c r="AI29" s="54">
        <v>0</v>
      </c>
      <c r="AJ29" s="54">
        <v>0</v>
      </c>
      <c r="AK29" s="54">
        <v>0</v>
      </c>
      <c r="AL29" s="54">
        <v>0</v>
      </c>
      <c r="AM29" s="54" t="str">
        <f>I29-J29-K29-L29-M29-N29-O29-P29-Q29-R29-S29-T29-U29-V29-W29-X29-Y29-Z29-AA29-AB29-AC29-AD29-AE29-AF29-AG29+AH29-AI29+AJ29+AK29-AL29</f>
        <v>0</v>
      </c>
      <c r="AN29" s="54"/>
      <c r="AO29" s="8"/>
    </row>
    <row r="30" spans="1:41">
      <c r="A30" s="44">
        <v>2</v>
      </c>
      <c r="B30" s="44" t="s">
        <v>66</v>
      </c>
      <c r="C30" s="44" t="s">
        <v>67</v>
      </c>
      <c r="D30" s="51" t="s">
        <v>62</v>
      </c>
      <c r="E30" s="51" t="s">
        <v>68</v>
      </c>
      <c r="F30" s="54" t="s">
        <v>69</v>
      </c>
      <c r="G30" s="54">
        <v>2</v>
      </c>
      <c r="H30" s="51" t="s">
        <v>70</v>
      </c>
      <c r="I30" s="54">
        <v>0</v>
      </c>
      <c r="J30" s="54">
        <v>0</v>
      </c>
      <c r="K30" s="54">
        <v>22000</v>
      </c>
      <c r="L30" s="54">
        <v>0</v>
      </c>
      <c r="M30" s="54">
        <v>0</v>
      </c>
      <c r="N30" s="54">
        <v>0</v>
      </c>
      <c r="O30" s="54">
        <v>0</v>
      </c>
      <c r="P30" s="54">
        <v>0</v>
      </c>
      <c r="Q30" s="54">
        <v>0</v>
      </c>
      <c r="R30" s="54">
        <v>0</v>
      </c>
      <c r="S30" s="54">
        <v>0</v>
      </c>
      <c r="T30" s="54">
        <v>0</v>
      </c>
      <c r="U30" s="54">
        <v>2263</v>
      </c>
      <c r="V30" s="54">
        <v>0</v>
      </c>
      <c r="W30" s="54">
        <v>0</v>
      </c>
      <c r="X30" s="54">
        <v>0</v>
      </c>
      <c r="Y30" s="54">
        <v>11000</v>
      </c>
      <c r="Z30" s="54">
        <v>0</v>
      </c>
      <c r="AA30" s="54">
        <v>0</v>
      </c>
      <c r="AB30" s="54">
        <v>0</v>
      </c>
      <c r="AC30" s="54">
        <v>0</v>
      </c>
      <c r="AD30" s="54">
        <v>0</v>
      </c>
      <c r="AE30" s="54">
        <v>0</v>
      </c>
      <c r="AF30" s="54">
        <v>0</v>
      </c>
      <c r="AG30" s="54">
        <v>0</v>
      </c>
      <c r="AH30" s="54">
        <v>0</v>
      </c>
      <c r="AI30" s="54">
        <v>0</v>
      </c>
      <c r="AJ30" s="54">
        <v>0</v>
      </c>
      <c r="AK30" s="54">
        <v>0</v>
      </c>
      <c r="AL30" s="54">
        <v>0</v>
      </c>
      <c r="AM30" s="54" t="str">
        <f>I30-J30-K30-L30-M30-N30-O30-P30-Q30-R30-S30-T30-U30-V30-W30-X30-Y30-Z30-AA30-AB30-AC30-AD30-AE30-AF30-AG30+AH30-AI30+AJ30+AK30-AL30</f>
        <v>0</v>
      </c>
      <c r="AN30" s="54"/>
      <c r="AO30" s="8"/>
    </row>
    <row r="31" spans="1:41">
      <c r="A31" s="44">
        <v>3</v>
      </c>
      <c r="B31" s="44" t="s">
        <v>71</v>
      </c>
      <c r="C31" s="44" t="s">
        <v>72</v>
      </c>
      <c r="D31" s="51" t="s">
        <v>73</v>
      </c>
      <c r="E31" s="51" t="s">
        <v>74</v>
      </c>
      <c r="F31" s="54" t="s">
        <v>75</v>
      </c>
      <c r="G31" s="54">
        <v>6</v>
      </c>
      <c r="H31" s="51" t="s">
        <v>76</v>
      </c>
      <c r="I31" s="54">
        <v>0</v>
      </c>
      <c r="J31" s="54">
        <v>0</v>
      </c>
      <c r="K31" s="54">
        <v>31000</v>
      </c>
      <c r="L31" s="54">
        <v>0</v>
      </c>
      <c r="M31" s="54">
        <v>0</v>
      </c>
      <c r="N31" s="54">
        <v>0</v>
      </c>
      <c r="O31" s="54">
        <v>0</v>
      </c>
      <c r="P31" s="54">
        <v>0</v>
      </c>
      <c r="Q31" s="54">
        <v>0</v>
      </c>
      <c r="R31" s="54">
        <v>0</v>
      </c>
      <c r="S31" s="54">
        <v>0</v>
      </c>
      <c r="T31" s="54">
        <v>0</v>
      </c>
      <c r="U31" s="54">
        <v>3189</v>
      </c>
      <c r="V31" s="54">
        <v>0</v>
      </c>
      <c r="W31" s="54">
        <v>0</v>
      </c>
      <c r="X31" s="54">
        <v>0</v>
      </c>
      <c r="Y31" s="54">
        <v>0</v>
      </c>
      <c r="Z31" s="54">
        <v>0</v>
      </c>
      <c r="AA31" s="54">
        <v>0</v>
      </c>
      <c r="AB31" s="54">
        <v>0</v>
      </c>
      <c r="AC31" s="54">
        <v>0</v>
      </c>
      <c r="AD31" s="54">
        <v>0</v>
      </c>
      <c r="AE31" s="54">
        <v>0</v>
      </c>
      <c r="AF31" s="54">
        <v>0</v>
      </c>
      <c r="AG31" s="54">
        <v>0</v>
      </c>
      <c r="AH31" s="54">
        <v>0</v>
      </c>
      <c r="AI31" s="54">
        <v>0</v>
      </c>
      <c r="AJ31" s="54">
        <v>0</v>
      </c>
      <c r="AK31" s="54">
        <v>0</v>
      </c>
      <c r="AL31" s="54">
        <v>0</v>
      </c>
      <c r="AM31" s="54" t="str">
        <f>I31-J31-K31-L31-M31-N31-O31-P31-Q31-R31-S31-T31-U31-V31-W31-X31-Y31-Z31-AA31-AB31-AC31-AD31-AE31-AF31-AG31+AH31-AI31+AJ31+AK31-AL31</f>
        <v>0</v>
      </c>
      <c r="AN31" s="54"/>
      <c r="AO31" s="8"/>
    </row>
    <row r="32" spans="1:41">
      <c r="A32" s="44">
        <v>4</v>
      </c>
      <c r="B32" s="44" t="s">
        <v>77</v>
      </c>
      <c r="C32" s="44" t="s">
        <v>78</v>
      </c>
      <c r="D32" s="51" t="s">
        <v>62</v>
      </c>
      <c r="E32" s="51" t="s">
        <v>79</v>
      </c>
      <c r="F32" s="54" t="s">
        <v>80</v>
      </c>
      <c r="G32" s="54">
        <v>18</v>
      </c>
      <c r="H32" s="51" t="s">
        <v>81</v>
      </c>
      <c r="I32" s="54">
        <v>0</v>
      </c>
      <c r="J32" s="54">
        <v>22500</v>
      </c>
      <c r="K32" s="54">
        <v>72000</v>
      </c>
      <c r="L32" s="54">
        <v>0</v>
      </c>
      <c r="M32" s="54">
        <v>0</v>
      </c>
      <c r="N32" s="54">
        <v>0</v>
      </c>
      <c r="O32" s="54">
        <v>0</v>
      </c>
      <c r="P32" s="54">
        <v>0</v>
      </c>
      <c r="Q32" s="54">
        <v>0</v>
      </c>
      <c r="R32" s="54">
        <v>0</v>
      </c>
      <c r="S32" s="54">
        <v>0</v>
      </c>
      <c r="T32" s="54">
        <v>0</v>
      </c>
      <c r="U32" s="54">
        <v>7408</v>
      </c>
      <c r="V32" s="54">
        <v>0</v>
      </c>
      <c r="W32" s="54">
        <v>0</v>
      </c>
      <c r="X32" s="54">
        <v>0</v>
      </c>
      <c r="Y32" s="54">
        <v>36000</v>
      </c>
      <c r="Z32" s="54">
        <v>0</v>
      </c>
      <c r="AA32" s="54">
        <v>0</v>
      </c>
      <c r="AB32" s="54">
        <v>0</v>
      </c>
      <c r="AC32" s="54">
        <v>0</v>
      </c>
      <c r="AD32" s="54">
        <v>0</v>
      </c>
      <c r="AE32" s="54">
        <v>0</v>
      </c>
      <c r="AF32" s="54">
        <v>0</v>
      </c>
      <c r="AG32" s="54">
        <v>0</v>
      </c>
      <c r="AH32" s="56">
        <v>0</v>
      </c>
      <c r="AI32" s="54">
        <v>0</v>
      </c>
      <c r="AJ32" s="54">
        <v>0</v>
      </c>
      <c r="AK32" s="54">
        <v>0</v>
      </c>
      <c r="AL32" s="56">
        <v>0</v>
      </c>
      <c r="AM32" s="54" t="str">
        <f>I32-J32-K32-L32-M32-N32-O32-P32-Q32-R32-S32-T32-U32-V32-W32-X32-Y32-Z32-AA32-AB32-AC32-AD32-AE32-AF32-AG32+AH32-AI32+AJ32+AK32-AL32</f>
        <v>0</v>
      </c>
      <c r="AN32" s="56"/>
      <c r="AO32" s="28"/>
    </row>
    <row r="33" spans="1:41">
      <c r="A33" s="44">
        <v>5</v>
      </c>
      <c r="B33" s="47" t="s">
        <v>82</v>
      </c>
      <c r="C33" s="48" t="s">
        <v>83</v>
      </c>
      <c r="D33" s="52" t="s">
        <v>62</v>
      </c>
      <c r="E33" s="52" t="s">
        <v>84</v>
      </c>
      <c r="F33" s="55" t="s">
        <v>85</v>
      </c>
      <c r="G33" s="51">
        <v>3</v>
      </c>
      <c r="H33" s="52" t="s">
        <v>86</v>
      </c>
      <c r="I33" s="54">
        <v>0</v>
      </c>
      <c r="J33" s="54">
        <v>0</v>
      </c>
      <c r="K33" s="54">
        <v>22000</v>
      </c>
      <c r="L33" s="54">
        <v>0</v>
      </c>
      <c r="M33" s="54">
        <v>0</v>
      </c>
      <c r="N33" s="54">
        <v>0</v>
      </c>
      <c r="O33" s="54">
        <v>0</v>
      </c>
      <c r="P33" s="54">
        <v>0</v>
      </c>
      <c r="Q33" s="54">
        <v>0</v>
      </c>
      <c r="R33" s="54">
        <v>0</v>
      </c>
      <c r="S33" s="54">
        <v>0</v>
      </c>
      <c r="T33" s="54">
        <v>0</v>
      </c>
      <c r="U33" s="54">
        <v>2263</v>
      </c>
      <c r="V33" s="54">
        <v>0</v>
      </c>
      <c r="W33" s="54">
        <v>0</v>
      </c>
      <c r="X33" s="54">
        <v>0</v>
      </c>
      <c r="Y33" s="54">
        <v>11000</v>
      </c>
      <c r="Z33" s="54">
        <v>0</v>
      </c>
      <c r="AA33" s="54">
        <v>0</v>
      </c>
      <c r="AB33" s="54">
        <v>0</v>
      </c>
      <c r="AC33" s="54">
        <v>0</v>
      </c>
      <c r="AD33" s="54">
        <v>0</v>
      </c>
      <c r="AE33" s="54">
        <v>0</v>
      </c>
      <c r="AF33" s="54">
        <v>0</v>
      </c>
      <c r="AG33" s="54">
        <v>0</v>
      </c>
      <c r="AH33" s="54">
        <v>0</v>
      </c>
      <c r="AI33" s="54">
        <v>0</v>
      </c>
      <c r="AJ33" s="54">
        <v>0</v>
      </c>
      <c r="AK33" s="54">
        <v>0</v>
      </c>
      <c r="AL33" s="54">
        <v>0</v>
      </c>
      <c r="AM33" s="54" t="str">
        <f>I33-J33-K33-L33-M33-N33-O33-P33-Q33-R33-S33-T33-U33-V33-W33-X33-Y33-Z33-AA33-AB33-AC33-AD33-AE33-AF33-AG33+AH33-AI33+AJ33+AK33-AL33</f>
        <v>0</v>
      </c>
      <c r="AN33" s="54"/>
      <c r="AO33" s="27"/>
    </row>
    <row r="34" spans="1:41">
      <c r="A34" s="44">
        <v>6</v>
      </c>
      <c r="B34" s="47" t="s">
        <v>87</v>
      </c>
      <c r="C34" s="48" t="s">
        <v>88</v>
      </c>
      <c r="D34" s="52" t="s">
        <v>62</v>
      </c>
      <c r="E34" s="52" t="s">
        <v>89</v>
      </c>
      <c r="F34" s="54" t="s">
        <v>90</v>
      </c>
      <c r="G34" s="54">
        <v>2</v>
      </c>
      <c r="H34" s="51" t="s">
        <v>91</v>
      </c>
      <c r="I34" s="54">
        <v>0</v>
      </c>
      <c r="J34" s="54">
        <v>0</v>
      </c>
      <c r="K34" s="54">
        <v>22000</v>
      </c>
      <c r="L34" s="54">
        <v>0</v>
      </c>
      <c r="M34" s="54">
        <v>0</v>
      </c>
      <c r="N34" s="54">
        <v>0</v>
      </c>
      <c r="O34" s="54">
        <v>0</v>
      </c>
      <c r="P34" s="54">
        <v>0</v>
      </c>
      <c r="Q34" s="54">
        <v>0</v>
      </c>
      <c r="R34" s="54">
        <v>0</v>
      </c>
      <c r="S34" s="54">
        <v>0</v>
      </c>
      <c r="T34" s="54">
        <v>0</v>
      </c>
      <c r="U34" s="54">
        <v>2263</v>
      </c>
      <c r="V34" s="54">
        <v>0</v>
      </c>
      <c r="W34" s="54">
        <v>0</v>
      </c>
      <c r="X34" s="54">
        <v>0</v>
      </c>
      <c r="Y34" s="54">
        <v>11000</v>
      </c>
      <c r="Z34" s="54">
        <v>0</v>
      </c>
      <c r="AA34" s="54">
        <v>0</v>
      </c>
      <c r="AB34" s="54">
        <v>0</v>
      </c>
      <c r="AC34" s="54">
        <v>0</v>
      </c>
      <c r="AD34" s="54">
        <v>0</v>
      </c>
      <c r="AE34" s="54">
        <v>0</v>
      </c>
      <c r="AF34" s="54">
        <v>0</v>
      </c>
      <c r="AG34" s="54">
        <v>0</v>
      </c>
      <c r="AH34" s="54">
        <v>0</v>
      </c>
      <c r="AI34" s="54">
        <v>0</v>
      </c>
      <c r="AJ34" s="54">
        <v>0</v>
      </c>
      <c r="AK34" s="54">
        <v>0</v>
      </c>
      <c r="AL34" s="54">
        <v>0</v>
      </c>
      <c r="AM34" s="54" t="str">
        <f>I34-J34-K34-L34-M34-N34-O34-P34-Q34-R34-S34-T34-U34-V34-W34-X34-Y34-Z34-AA34-AB34-AC34-AD34-AE34-AF34-AG34+AH34-AI34+AJ34+AK34-AL34</f>
        <v>0</v>
      </c>
      <c r="AN34" s="54"/>
      <c r="AO34" s="27"/>
    </row>
    <row r="35" spans="1:41">
      <c r="A35" s="44">
        <v>7</v>
      </c>
      <c r="B35" s="47" t="s">
        <v>92</v>
      </c>
      <c r="C35" s="48" t="s">
        <v>93</v>
      </c>
      <c r="D35" s="52" t="s">
        <v>62</v>
      </c>
      <c r="E35" s="52" t="s">
        <v>94</v>
      </c>
      <c r="F35" s="54" t="s">
        <v>95</v>
      </c>
      <c r="G35" s="54">
        <v>8</v>
      </c>
      <c r="H35" s="51" t="s">
        <v>96</v>
      </c>
      <c r="I35" s="54">
        <v>0</v>
      </c>
      <c r="J35" s="54">
        <v>0</v>
      </c>
      <c r="K35" s="54">
        <v>39000</v>
      </c>
      <c r="L35" s="54">
        <v>0</v>
      </c>
      <c r="M35" s="54">
        <v>0</v>
      </c>
      <c r="N35" s="54">
        <v>0</v>
      </c>
      <c r="O35" s="54">
        <v>0</v>
      </c>
      <c r="P35" s="54">
        <v>0</v>
      </c>
      <c r="Q35" s="54">
        <v>0</v>
      </c>
      <c r="R35" s="54">
        <v>0</v>
      </c>
      <c r="S35" s="54">
        <v>0</v>
      </c>
      <c r="T35" s="54">
        <v>0</v>
      </c>
      <c r="U35" s="54">
        <v>4013</v>
      </c>
      <c r="V35" s="54">
        <v>0</v>
      </c>
      <c r="W35" s="54">
        <v>0</v>
      </c>
      <c r="X35" s="54">
        <v>0</v>
      </c>
      <c r="Y35" s="54">
        <v>19500</v>
      </c>
      <c r="Z35" s="54">
        <v>0</v>
      </c>
      <c r="AA35" s="54">
        <v>0</v>
      </c>
      <c r="AB35" s="54">
        <v>0</v>
      </c>
      <c r="AC35" s="54">
        <v>0</v>
      </c>
      <c r="AD35" s="54">
        <v>0</v>
      </c>
      <c r="AE35" s="54">
        <v>0</v>
      </c>
      <c r="AF35" s="54">
        <v>0</v>
      </c>
      <c r="AG35" s="54">
        <v>0</v>
      </c>
      <c r="AH35" s="54">
        <v>0</v>
      </c>
      <c r="AI35" s="54">
        <v>0</v>
      </c>
      <c r="AJ35" s="54">
        <v>0</v>
      </c>
      <c r="AK35" s="54">
        <v>0</v>
      </c>
      <c r="AL35" s="54">
        <v>0</v>
      </c>
      <c r="AM35" s="54" t="str">
        <f>I35-J35-K35-L35-M35-N35-O35-P35-Q35-R35-S35-T35-U35-V35-W35-X35-Y35-Z35-AA35-AB35-AC35-AD35-AE35-AF35-AG35+AH35-AI35+AJ35+AK35-AL35</f>
        <v>0</v>
      </c>
      <c r="AN35" s="54"/>
      <c r="AO35" s="8"/>
    </row>
    <row r="36" spans="1:41">
      <c r="A36" s="44">
        <v>8</v>
      </c>
      <c r="B36" s="47" t="s">
        <v>97</v>
      </c>
      <c r="C36" s="48" t="s">
        <v>98</v>
      </c>
      <c r="D36" s="52" t="s">
        <v>62</v>
      </c>
      <c r="E36" s="52" t="s">
        <v>99</v>
      </c>
      <c r="F36" s="54" t="s">
        <v>100</v>
      </c>
      <c r="G36" s="54">
        <v>2</v>
      </c>
      <c r="H36" s="51" t="s">
        <v>101</v>
      </c>
      <c r="I36" s="54">
        <v>0</v>
      </c>
      <c r="J36" s="54">
        <v>0</v>
      </c>
      <c r="K36" s="54">
        <v>22000</v>
      </c>
      <c r="L36" s="54">
        <v>0</v>
      </c>
      <c r="M36" s="54">
        <v>0</v>
      </c>
      <c r="N36" s="54">
        <v>0</v>
      </c>
      <c r="O36" s="54">
        <v>0</v>
      </c>
      <c r="P36" s="54">
        <v>0</v>
      </c>
      <c r="Q36" s="54">
        <v>0</v>
      </c>
      <c r="R36" s="54">
        <v>0</v>
      </c>
      <c r="S36" s="54">
        <v>0</v>
      </c>
      <c r="T36" s="54">
        <v>0</v>
      </c>
      <c r="U36" s="54">
        <v>2263</v>
      </c>
      <c r="V36" s="54">
        <v>0</v>
      </c>
      <c r="W36" s="54">
        <v>0</v>
      </c>
      <c r="X36" s="54">
        <v>0</v>
      </c>
      <c r="Y36" s="54">
        <v>5000</v>
      </c>
      <c r="Z36" s="54">
        <v>0</v>
      </c>
      <c r="AA36" s="54">
        <v>0</v>
      </c>
      <c r="AB36" s="54">
        <v>0</v>
      </c>
      <c r="AC36" s="54">
        <v>0</v>
      </c>
      <c r="AD36" s="54">
        <v>0</v>
      </c>
      <c r="AE36" s="54">
        <v>0</v>
      </c>
      <c r="AF36" s="54">
        <v>0</v>
      </c>
      <c r="AG36" s="54">
        <v>0</v>
      </c>
      <c r="AH36" s="56">
        <v>0</v>
      </c>
      <c r="AI36" s="54">
        <v>0</v>
      </c>
      <c r="AJ36" s="54">
        <v>0</v>
      </c>
      <c r="AK36" s="54">
        <v>0</v>
      </c>
      <c r="AL36" s="56">
        <v>0</v>
      </c>
      <c r="AM36" s="54" t="str">
        <f>I36-J36-K36-L36-M36-N36-O36-P36-Q36-R36-S36-T36-U36-V36-W36-X36-Y36-Z36-AA36-AB36-AC36-AD36-AE36-AF36-AG36+AH36-AI36+AJ36+AK36-AL36</f>
        <v>0</v>
      </c>
      <c r="AN36" s="56"/>
      <c r="AO36" s="28"/>
    </row>
    <row r="37" spans="1:41">
      <c r="A37" s="44">
        <v>9</v>
      </c>
      <c r="B37" s="47" t="s">
        <v>102</v>
      </c>
      <c r="C37" s="48" t="s">
        <v>103</v>
      </c>
      <c r="D37" s="52" t="s">
        <v>62</v>
      </c>
      <c r="E37" s="52" t="s">
        <v>104</v>
      </c>
      <c r="F37" s="55" t="s">
        <v>105</v>
      </c>
      <c r="G37" s="51">
        <v>2</v>
      </c>
      <c r="H37" s="52" t="s">
        <v>106</v>
      </c>
      <c r="I37" s="54">
        <v>0</v>
      </c>
      <c r="J37" s="54">
        <v>0</v>
      </c>
      <c r="K37" s="54">
        <v>22000</v>
      </c>
      <c r="L37" s="54">
        <v>0</v>
      </c>
      <c r="M37" s="54">
        <v>0</v>
      </c>
      <c r="N37" s="54">
        <v>0</v>
      </c>
      <c r="O37" s="54">
        <v>0</v>
      </c>
      <c r="P37" s="54">
        <v>0</v>
      </c>
      <c r="Q37" s="54">
        <v>0</v>
      </c>
      <c r="R37" s="54">
        <v>0</v>
      </c>
      <c r="S37" s="54">
        <v>0</v>
      </c>
      <c r="T37" s="54">
        <v>0</v>
      </c>
      <c r="U37" s="54">
        <v>2263</v>
      </c>
      <c r="V37" s="54">
        <v>0</v>
      </c>
      <c r="W37" s="54">
        <v>0</v>
      </c>
      <c r="X37" s="54">
        <v>0</v>
      </c>
      <c r="Y37" s="54">
        <v>11000</v>
      </c>
      <c r="Z37" s="54">
        <v>0</v>
      </c>
      <c r="AA37" s="54">
        <v>0</v>
      </c>
      <c r="AB37" s="54">
        <v>0</v>
      </c>
      <c r="AC37" s="54">
        <v>0</v>
      </c>
      <c r="AD37" s="54">
        <v>0</v>
      </c>
      <c r="AE37" s="54">
        <v>0</v>
      </c>
      <c r="AF37" s="54">
        <v>0</v>
      </c>
      <c r="AG37" s="54">
        <v>0</v>
      </c>
      <c r="AH37" s="54">
        <v>0</v>
      </c>
      <c r="AI37" s="54">
        <v>0</v>
      </c>
      <c r="AJ37" s="54">
        <v>0</v>
      </c>
      <c r="AK37" s="54">
        <v>0</v>
      </c>
      <c r="AL37" s="54">
        <v>0</v>
      </c>
      <c r="AM37" s="54" t="str">
        <f>I37-J37-K37-L37-M37-N37-O37-P37-Q37-R37-S37-T37-U37-V37-W37-X37-Y37-Z37-AA37-AB37-AC37-AD37-AE37-AF37-AG37+AH37-AI37+AJ37+AK37-AL37</f>
        <v>0</v>
      </c>
      <c r="AN37" s="54"/>
      <c r="AO37" s="27"/>
    </row>
    <row r="38" spans="1:41">
      <c r="A38" s="44">
        <v>10</v>
      </c>
      <c r="B38" s="47" t="s">
        <v>107</v>
      </c>
      <c r="C38" s="48" t="s">
        <v>108</v>
      </c>
      <c r="D38" s="52" t="s">
        <v>62</v>
      </c>
      <c r="E38" s="52" t="s">
        <v>109</v>
      </c>
      <c r="F38" s="55" t="s">
        <v>110</v>
      </c>
      <c r="G38" s="54">
        <v>3</v>
      </c>
      <c r="H38" s="52" t="s">
        <v>111</v>
      </c>
      <c r="I38" s="54">
        <v>0</v>
      </c>
      <c r="J38" s="54">
        <v>0</v>
      </c>
      <c r="K38" s="54">
        <v>22000</v>
      </c>
      <c r="L38" s="54">
        <v>0</v>
      </c>
      <c r="M38" s="54">
        <v>0</v>
      </c>
      <c r="N38" s="54">
        <v>0</v>
      </c>
      <c r="O38" s="54">
        <v>0</v>
      </c>
      <c r="P38" s="54">
        <v>0</v>
      </c>
      <c r="Q38" s="54">
        <v>0</v>
      </c>
      <c r="R38" s="54">
        <v>0</v>
      </c>
      <c r="S38" s="54">
        <v>0</v>
      </c>
      <c r="T38" s="54">
        <v>0</v>
      </c>
      <c r="U38" s="54">
        <v>2263</v>
      </c>
      <c r="V38" s="54">
        <v>0</v>
      </c>
      <c r="W38" s="54">
        <v>0</v>
      </c>
      <c r="X38" s="54">
        <v>0</v>
      </c>
      <c r="Y38" s="54">
        <v>11000</v>
      </c>
      <c r="Z38" s="54">
        <v>0</v>
      </c>
      <c r="AA38" s="54">
        <v>0</v>
      </c>
      <c r="AB38" s="54">
        <v>0</v>
      </c>
      <c r="AC38" s="54">
        <v>0</v>
      </c>
      <c r="AD38" s="54">
        <v>0</v>
      </c>
      <c r="AE38" s="54">
        <v>0</v>
      </c>
      <c r="AF38" s="54">
        <v>0</v>
      </c>
      <c r="AG38" s="54">
        <v>0</v>
      </c>
      <c r="AH38" s="54">
        <v>0</v>
      </c>
      <c r="AI38" s="54">
        <v>0</v>
      </c>
      <c r="AJ38" s="54">
        <v>0</v>
      </c>
      <c r="AK38" s="54">
        <v>0</v>
      </c>
      <c r="AL38" s="54">
        <v>0</v>
      </c>
      <c r="AM38" s="54" t="str">
        <f>I38-J38-K38-L38-M38-N38-O38-P38-Q38-R38-S38-T38-U38-V38-W38-X38-Y38-Z38-AA38-AB38-AC38-AD38-AE38-AF38-AG38+AH38-AI38+AJ38+AK38-AL38</f>
        <v>0</v>
      </c>
      <c r="AN38" s="54"/>
      <c r="AO38" s="27"/>
    </row>
    <row r="39" spans="1:41">
      <c r="A39" s="44">
        <v>11</v>
      </c>
      <c r="B39" s="47" t="s">
        <v>112</v>
      </c>
      <c r="C39" s="48" t="s">
        <v>113</v>
      </c>
      <c r="D39" s="52" t="s">
        <v>62</v>
      </c>
      <c r="E39" s="52" t="s">
        <v>114</v>
      </c>
      <c r="F39" s="55" t="s">
        <v>115</v>
      </c>
      <c r="G39" s="51">
        <v>3</v>
      </c>
      <c r="H39" s="52" t="s">
        <v>116</v>
      </c>
      <c r="I39" s="54">
        <v>0</v>
      </c>
      <c r="J39" s="54">
        <v>0</v>
      </c>
      <c r="K39" s="54">
        <v>22000</v>
      </c>
      <c r="L39" s="54">
        <v>0</v>
      </c>
      <c r="M39" s="54">
        <v>0</v>
      </c>
      <c r="N39" s="54">
        <v>0</v>
      </c>
      <c r="O39" s="54">
        <v>0</v>
      </c>
      <c r="P39" s="54">
        <v>0</v>
      </c>
      <c r="Q39" s="54">
        <v>0</v>
      </c>
      <c r="R39" s="54">
        <v>0</v>
      </c>
      <c r="S39" s="54">
        <v>0</v>
      </c>
      <c r="T39" s="54">
        <v>0</v>
      </c>
      <c r="U39" s="54">
        <v>2263</v>
      </c>
      <c r="V39" s="54">
        <v>0</v>
      </c>
      <c r="W39" s="54">
        <v>0</v>
      </c>
      <c r="X39" s="54">
        <v>0</v>
      </c>
      <c r="Y39" s="54">
        <v>11000</v>
      </c>
      <c r="Z39" s="54">
        <v>0</v>
      </c>
      <c r="AA39" s="54">
        <v>0</v>
      </c>
      <c r="AB39" s="54">
        <v>0</v>
      </c>
      <c r="AC39" s="54">
        <v>0</v>
      </c>
      <c r="AD39" s="54">
        <v>0</v>
      </c>
      <c r="AE39" s="54">
        <v>0</v>
      </c>
      <c r="AF39" s="54">
        <v>0</v>
      </c>
      <c r="AG39" s="54">
        <v>0</v>
      </c>
      <c r="AH39" s="54">
        <v>0</v>
      </c>
      <c r="AI39" s="54">
        <v>0</v>
      </c>
      <c r="AJ39" s="54">
        <v>0</v>
      </c>
      <c r="AK39" s="54">
        <v>0</v>
      </c>
      <c r="AL39" s="54">
        <v>0</v>
      </c>
      <c r="AM39" s="54" t="str">
        <f>I39-J39-K39-L39-M39-N39-O39-P39-Q39-R39-S39-T39-U39-V39-W39-X39-Y39-Z39-AA39-AB39-AC39-AD39-AE39-AF39-AG39+AH39-AI39+AJ39+AK39-AL39</f>
        <v>0</v>
      </c>
      <c r="AN39" s="54"/>
      <c r="AO39" s="27"/>
    </row>
    <row r="40" spans="1:41">
      <c r="A40" s="44">
        <v>12</v>
      </c>
      <c r="B40" s="47" t="s">
        <v>117</v>
      </c>
      <c r="C40" s="48" t="s">
        <v>118</v>
      </c>
      <c r="D40" s="52" t="s">
        <v>62</v>
      </c>
      <c r="E40" s="52" t="s">
        <v>114</v>
      </c>
      <c r="F40" s="55" t="s">
        <v>119</v>
      </c>
      <c r="G40" s="51">
        <v>3</v>
      </c>
      <c r="H40" s="52" t="s">
        <v>120</v>
      </c>
      <c r="I40" s="54">
        <v>0</v>
      </c>
      <c r="J40" s="54">
        <v>0</v>
      </c>
      <c r="K40" s="54">
        <v>22000</v>
      </c>
      <c r="L40" s="54">
        <v>0</v>
      </c>
      <c r="M40" s="54">
        <v>0</v>
      </c>
      <c r="N40" s="54">
        <v>0</v>
      </c>
      <c r="O40" s="54">
        <v>0</v>
      </c>
      <c r="P40" s="54">
        <v>0</v>
      </c>
      <c r="Q40" s="54">
        <v>0</v>
      </c>
      <c r="R40" s="54">
        <v>0</v>
      </c>
      <c r="S40" s="54">
        <v>0</v>
      </c>
      <c r="T40" s="54">
        <v>0</v>
      </c>
      <c r="U40" s="54">
        <v>2263</v>
      </c>
      <c r="V40" s="54">
        <v>0</v>
      </c>
      <c r="W40" s="54">
        <v>0</v>
      </c>
      <c r="X40" s="54">
        <v>0</v>
      </c>
      <c r="Y40" s="54">
        <v>11000</v>
      </c>
      <c r="Z40" s="54">
        <v>0</v>
      </c>
      <c r="AA40" s="54">
        <v>0</v>
      </c>
      <c r="AB40" s="54">
        <v>0</v>
      </c>
      <c r="AC40" s="54">
        <v>0</v>
      </c>
      <c r="AD40" s="54">
        <v>0</v>
      </c>
      <c r="AE40" s="54">
        <v>0</v>
      </c>
      <c r="AF40" s="54">
        <v>0</v>
      </c>
      <c r="AG40" s="54">
        <v>0</v>
      </c>
      <c r="AH40" s="54">
        <v>0</v>
      </c>
      <c r="AI40" s="54">
        <v>0</v>
      </c>
      <c r="AJ40" s="54">
        <v>0</v>
      </c>
      <c r="AK40" s="54">
        <v>0</v>
      </c>
      <c r="AL40" s="54">
        <v>0</v>
      </c>
      <c r="AM40" s="54" t="str">
        <f>I40-J40-K40-L40-M40-N40-O40-P40-Q40-R40-S40-T40-U40-V40-W40-X40-Y40-Z40-AA40-AB40-AC40-AD40-AE40-AF40-AG40+AH40-AI40+AJ40+AK40-AL40</f>
        <v>0</v>
      </c>
      <c r="AN40" s="54"/>
      <c r="AO40" s="27"/>
    </row>
    <row r="41" spans="1:41">
      <c r="A41" s="44">
        <v>13</v>
      </c>
      <c r="B41" s="47" t="s">
        <v>121</v>
      </c>
      <c r="C41" s="48" t="s">
        <v>122</v>
      </c>
      <c r="D41" s="52" t="s">
        <v>73</v>
      </c>
      <c r="E41" s="52" t="s">
        <v>123</v>
      </c>
      <c r="F41" s="55" t="s">
        <v>75</v>
      </c>
      <c r="G41" s="51">
        <v>10.4</v>
      </c>
      <c r="H41" s="52" t="s">
        <v>124</v>
      </c>
      <c r="I41" s="54">
        <v>0</v>
      </c>
      <c r="J41" s="54">
        <v>0</v>
      </c>
      <c r="K41" s="54">
        <v>54000</v>
      </c>
      <c r="L41" s="54">
        <v>0</v>
      </c>
      <c r="M41" s="54">
        <v>0</v>
      </c>
      <c r="N41" s="54">
        <v>0</v>
      </c>
      <c r="O41" s="54">
        <v>0</v>
      </c>
      <c r="P41" s="54">
        <v>0</v>
      </c>
      <c r="Q41" s="54">
        <v>0</v>
      </c>
      <c r="R41" s="54">
        <v>0</v>
      </c>
      <c r="S41" s="54">
        <v>0</v>
      </c>
      <c r="T41" s="54">
        <v>0</v>
      </c>
      <c r="U41" s="54">
        <v>5556</v>
      </c>
      <c r="V41" s="54">
        <v>0</v>
      </c>
      <c r="W41" s="54">
        <v>0</v>
      </c>
      <c r="X41" s="54">
        <v>0</v>
      </c>
      <c r="Y41" s="54">
        <v>0</v>
      </c>
      <c r="Z41" s="54">
        <v>0</v>
      </c>
      <c r="AA41" s="54">
        <v>0</v>
      </c>
      <c r="AB41" s="54">
        <v>0</v>
      </c>
      <c r="AC41" s="54">
        <v>0</v>
      </c>
      <c r="AD41" s="54">
        <v>0</v>
      </c>
      <c r="AE41" s="54">
        <v>0</v>
      </c>
      <c r="AF41" s="54">
        <v>0</v>
      </c>
      <c r="AG41" s="54">
        <v>0</v>
      </c>
      <c r="AH41" s="54">
        <v>0</v>
      </c>
      <c r="AI41" s="54">
        <v>0</v>
      </c>
      <c r="AJ41" s="54">
        <v>0</v>
      </c>
      <c r="AK41" s="54">
        <v>0</v>
      </c>
      <c r="AL41" s="54">
        <v>0</v>
      </c>
      <c r="AM41" s="54" t="str">
        <f>I41-J41-K41-L41-M41-N41-O41-P41-Q41-R41-S41-T41-U41-V41-W41-X41-Y41-Z41-AA41-AB41-AC41-AD41-AE41-AF41-AG41+AH41-AI41+AJ41+AK41-AL41</f>
        <v>0</v>
      </c>
      <c r="AN41" s="54"/>
      <c r="AO41" s="27"/>
    </row>
    <row r="42" spans="1:41">
      <c r="A42" s="44">
        <v>14</v>
      </c>
      <c r="B42" s="47" t="s">
        <v>125</v>
      </c>
      <c r="C42" s="48" t="s">
        <v>126</v>
      </c>
      <c r="D42" s="52" t="s">
        <v>62</v>
      </c>
      <c r="E42" s="52" t="s">
        <v>127</v>
      </c>
      <c r="F42" s="55" t="s">
        <v>128</v>
      </c>
      <c r="G42" s="51">
        <v>5</v>
      </c>
      <c r="H42" s="52" t="s">
        <v>129</v>
      </c>
      <c r="I42" s="54">
        <v>0</v>
      </c>
      <c r="J42" s="54">
        <v>0</v>
      </c>
      <c r="K42" s="54">
        <v>27000</v>
      </c>
      <c r="L42" s="54">
        <v>0</v>
      </c>
      <c r="M42" s="54">
        <v>0</v>
      </c>
      <c r="N42" s="54">
        <v>0</v>
      </c>
      <c r="O42" s="54">
        <v>0</v>
      </c>
      <c r="P42" s="54">
        <v>0</v>
      </c>
      <c r="Q42" s="54">
        <v>0</v>
      </c>
      <c r="R42" s="54">
        <v>0</v>
      </c>
      <c r="S42" s="54">
        <v>0</v>
      </c>
      <c r="T42" s="54">
        <v>0</v>
      </c>
      <c r="U42" s="54">
        <v>2778</v>
      </c>
      <c r="V42" s="54">
        <v>0</v>
      </c>
      <c r="W42" s="54">
        <v>0</v>
      </c>
      <c r="X42" s="54">
        <v>0</v>
      </c>
      <c r="Y42" s="54">
        <v>13500</v>
      </c>
      <c r="Z42" s="54">
        <v>0</v>
      </c>
      <c r="AA42" s="54">
        <v>0</v>
      </c>
      <c r="AB42" s="54">
        <v>0</v>
      </c>
      <c r="AC42" s="54">
        <v>0</v>
      </c>
      <c r="AD42" s="54">
        <v>0</v>
      </c>
      <c r="AE42" s="54">
        <v>0</v>
      </c>
      <c r="AF42" s="54">
        <v>0</v>
      </c>
      <c r="AG42" s="54">
        <v>0</v>
      </c>
      <c r="AH42" s="54">
        <v>0</v>
      </c>
      <c r="AI42" s="54">
        <v>0</v>
      </c>
      <c r="AJ42" s="54">
        <v>0</v>
      </c>
      <c r="AK42" s="54">
        <v>0</v>
      </c>
      <c r="AL42" s="54">
        <v>0</v>
      </c>
      <c r="AM42" s="54" t="str">
        <f>I42-J42-K42-L42-M42-N42-O42-P42-Q42-R42-S42-T42-U42-V42-W42-X42-Y42-Z42-AA42-AB42-AC42-AD42-AE42-AF42-AG42+AH42-AI42+AJ42+AK42-AL42</f>
        <v>0</v>
      </c>
      <c r="AN42" s="54"/>
      <c r="AO42" s="27"/>
    </row>
    <row r="43" spans="1:41">
      <c r="A43" s="44">
        <v>15</v>
      </c>
      <c r="B43" s="47" t="s">
        <v>130</v>
      </c>
      <c r="C43" s="48" t="s">
        <v>131</v>
      </c>
      <c r="D43" s="52" t="s">
        <v>62</v>
      </c>
      <c r="E43" s="52" t="s">
        <v>132</v>
      </c>
      <c r="F43" s="55" t="s">
        <v>133</v>
      </c>
      <c r="G43" s="51">
        <v>3</v>
      </c>
      <c r="H43" s="52" t="s">
        <v>134</v>
      </c>
      <c r="I43" s="54">
        <v>0</v>
      </c>
      <c r="J43" s="54">
        <v>0</v>
      </c>
      <c r="K43" s="54">
        <v>22000</v>
      </c>
      <c r="L43" s="54">
        <v>0</v>
      </c>
      <c r="M43" s="54">
        <v>0</v>
      </c>
      <c r="N43" s="54">
        <v>0</v>
      </c>
      <c r="O43" s="54">
        <v>0</v>
      </c>
      <c r="P43" s="54">
        <v>0</v>
      </c>
      <c r="Q43" s="54">
        <v>0</v>
      </c>
      <c r="R43" s="54">
        <v>0</v>
      </c>
      <c r="S43" s="54">
        <v>0</v>
      </c>
      <c r="T43" s="54">
        <v>0</v>
      </c>
      <c r="U43" s="54">
        <v>2263</v>
      </c>
      <c r="V43" s="54">
        <v>0</v>
      </c>
      <c r="W43" s="54">
        <v>0</v>
      </c>
      <c r="X43" s="54">
        <v>0</v>
      </c>
      <c r="Y43" s="54">
        <v>5000</v>
      </c>
      <c r="Z43" s="54">
        <v>0</v>
      </c>
      <c r="AA43" s="54">
        <v>0</v>
      </c>
      <c r="AB43" s="54">
        <v>0</v>
      </c>
      <c r="AC43" s="54">
        <v>0</v>
      </c>
      <c r="AD43" s="54">
        <v>0</v>
      </c>
      <c r="AE43" s="54">
        <v>0</v>
      </c>
      <c r="AF43" s="54">
        <v>0</v>
      </c>
      <c r="AG43" s="54">
        <v>0</v>
      </c>
      <c r="AH43" s="54">
        <v>0</v>
      </c>
      <c r="AI43" s="54">
        <v>0</v>
      </c>
      <c r="AJ43" s="54">
        <v>0</v>
      </c>
      <c r="AK43" s="54">
        <v>0</v>
      </c>
      <c r="AL43" s="54">
        <v>0</v>
      </c>
      <c r="AM43" s="54" t="str">
        <f>I43-J43-K43-L43-M43-N43-O43-P43-Q43-R43-S43-T43-U43-V43-W43-X43-Y43-Z43-AA43-AB43-AC43-AD43-AE43-AF43-AG43+AH43-AI43+AJ43+AK43-AL43</f>
        <v>0</v>
      </c>
      <c r="AN43" s="54"/>
      <c r="AO43" s="27"/>
    </row>
    <row r="44" spans="1:41">
      <c r="A44" s="44">
        <v>16</v>
      </c>
      <c r="B44" s="47" t="s">
        <v>135</v>
      </c>
      <c r="C44" s="48" t="s">
        <v>136</v>
      </c>
      <c r="D44" s="52" t="s">
        <v>73</v>
      </c>
      <c r="E44" s="52" t="s">
        <v>137</v>
      </c>
      <c r="F44" s="55" t="s">
        <v>138</v>
      </c>
      <c r="G44" s="51">
        <v>7</v>
      </c>
      <c r="H44" s="52" t="s">
        <v>139</v>
      </c>
      <c r="I44" s="54">
        <v>1690000</v>
      </c>
      <c r="J44" s="54">
        <v>0</v>
      </c>
      <c r="K44" s="54">
        <v>35000</v>
      </c>
      <c r="L44" s="54">
        <v>0</v>
      </c>
      <c r="M44" s="54">
        <v>0</v>
      </c>
      <c r="N44" s="54">
        <v>0</v>
      </c>
      <c r="O44" s="54">
        <v>0</v>
      </c>
      <c r="P44" s="54">
        <v>0</v>
      </c>
      <c r="Q44" s="54">
        <v>0</v>
      </c>
      <c r="R44" s="54">
        <v>0</v>
      </c>
      <c r="S44" s="54">
        <v>0</v>
      </c>
      <c r="T44" s="54">
        <v>0</v>
      </c>
      <c r="U44" s="54">
        <v>3601</v>
      </c>
      <c r="V44" s="54">
        <v>0</v>
      </c>
      <c r="W44" s="54">
        <v>0</v>
      </c>
      <c r="X44" s="54">
        <v>0</v>
      </c>
      <c r="Y44" s="54">
        <v>0</v>
      </c>
      <c r="Z44" s="54">
        <v>0</v>
      </c>
      <c r="AA44" s="54">
        <v>0</v>
      </c>
      <c r="AB44" s="54">
        <v>0</v>
      </c>
      <c r="AC44" s="54">
        <v>0</v>
      </c>
      <c r="AD44" s="54">
        <v>0</v>
      </c>
      <c r="AE44" s="54">
        <v>0</v>
      </c>
      <c r="AF44" s="54">
        <v>0</v>
      </c>
      <c r="AG44" s="54">
        <v>0</v>
      </c>
      <c r="AH44" s="54">
        <v>0</v>
      </c>
      <c r="AI44" s="54">
        <v>0</v>
      </c>
      <c r="AJ44" s="54">
        <v>0</v>
      </c>
      <c r="AK44" s="54">
        <v>0</v>
      </c>
      <c r="AL44" s="54">
        <v>0</v>
      </c>
      <c r="AM44" s="54" t="str">
        <f>I44-J44-K44-L44-M44-N44-O44-P44-Q44-R44-S44-T44-U44-V44-W44-X44-Y44-Z44-AA44-AB44-AC44-AD44-AE44-AF44-AG44+AH44-AI44+AJ44+AK44-AL44</f>
        <v>0</v>
      </c>
      <c r="AN44" s="54"/>
      <c r="AO44" s="27"/>
    </row>
    <row r="45" spans="1:41">
      <c r="A45" s="44">
        <v>17</v>
      </c>
      <c r="B45" s="47" t="s">
        <v>140</v>
      </c>
      <c r="C45" s="48" t="s">
        <v>141</v>
      </c>
      <c r="D45" s="52" t="s">
        <v>62</v>
      </c>
      <c r="E45" s="52" t="s">
        <v>137</v>
      </c>
      <c r="F45" s="55" t="s">
        <v>142</v>
      </c>
      <c r="G45" s="51">
        <v>4</v>
      </c>
      <c r="H45" s="52" t="s">
        <v>143</v>
      </c>
      <c r="I45" s="54">
        <v>0</v>
      </c>
      <c r="J45" s="54">
        <v>0</v>
      </c>
      <c r="K45" s="54">
        <v>25000</v>
      </c>
      <c r="L45" s="54">
        <v>0</v>
      </c>
      <c r="M45" s="54">
        <v>0</v>
      </c>
      <c r="N45" s="54">
        <v>0</v>
      </c>
      <c r="O45" s="54">
        <v>0</v>
      </c>
      <c r="P45" s="54">
        <v>0</v>
      </c>
      <c r="Q45" s="54">
        <v>0</v>
      </c>
      <c r="R45" s="54">
        <v>0</v>
      </c>
      <c r="S45" s="54">
        <v>0</v>
      </c>
      <c r="T45" s="54">
        <v>0</v>
      </c>
      <c r="U45" s="54">
        <v>2572</v>
      </c>
      <c r="V45" s="54">
        <v>0</v>
      </c>
      <c r="W45" s="54">
        <v>0</v>
      </c>
      <c r="X45" s="54">
        <v>0</v>
      </c>
      <c r="Y45" s="54">
        <v>12500</v>
      </c>
      <c r="Z45" s="54">
        <v>0</v>
      </c>
      <c r="AA45" s="54">
        <v>0</v>
      </c>
      <c r="AB45" s="54">
        <v>0</v>
      </c>
      <c r="AC45" s="54">
        <v>0</v>
      </c>
      <c r="AD45" s="54">
        <v>0</v>
      </c>
      <c r="AE45" s="54">
        <v>0</v>
      </c>
      <c r="AF45" s="54">
        <v>0</v>
      </c>
      <c r="AG45" s="54">
        <v>0</v>
      </c>
      <c r="AH45" s="54">
        <v>0</v>
      </c>
      <c r="AI45" s="54">
        <v>0</v>
      </c>
      <c r="AJ45" s="54">
        <v>0</v>
      </c>
      <c r="AK45" s="54">
        <v>0</v>
      </c>
      <c r="AL45" s="54">
        <v>0</v>
      </c>
      <c r="AM45" s="54" t="str">
        <f>I45-J45-K45-L45-M45-N45-O45-P45-Q45-R45-S45-T45-U45-V45-W45-X45-Y45-Z45-AA45-AB45-AC45-AD45-AE45-AF45-AG45+AH45-AI45+AJ45+AK45-AL45</f>
        <v>0</v>
      </c>
      <c r="AN45" s="54"/>
      <c r="AO45" s="27"/>
    </row>
    <row r="46" spans="1:41">
      <c r="A46" s="44">
        <v>18</v>
      </c>
      <c r="B46" s="47" t="s">
        <v>144</v>
      </c>
      <c r="C46" s="48" t="s">
        <v>145</v>
      </c>
      <c r="D46" s="52" t="s">
        <v>62</v>
      </c>
      <c r="E46" s="52" t="s">
        <v>146</v>
      </c>
      <c r="F46" s="55" t="s">
        <v>147</v>
      </c>
      <c r="G46" s="51">
        <v>4</v>
      </c>
      <c r="H46" s="52" t="s">
        <v>148</v>
      </c>
      <c r="I46" s="54">
        <v>0</v>
      </c>
      <c r="J46" s="54">
        <v>0</v>
      </c>
      <c r="K46" s="54">
        <v>25000</v>
      </c>
      <c r="L46" s="54">
        <v>0</v>
      </c>
      <c r="M46" s="54">
        <v>0</v>
      </c>
      <c r="N46" s="54">
        <v>0</v>
      </c>
      <c r="O46" s="54">
        <v>0</v>
      </c>
      <c r="P46" s="54">
        <v>0</v>
      </c>
      <c r="Q46" s="54">
        <v>0</v>
      </c>
      <c r="R46" s="54">
        <v>0</v>
      </c>
      <c r="S46" s="54">
        <v>0</v>
      </c>
      <c r="T46" s="54">
        <v>0</v>
      </c>
      <c r="U46" s="54">
        <v>2572</v>
      </c>
      <c r="V46" s="54">
        <v>0</v>
      </c>
      <c r="W46" s="54">
        <v>0</v>
      </c>
      <c r="X46" s="54">
        <v>0</v>
      </c>
      <c r="Y46" s="54">
        <v>12500</v>
      </c>
      <c r="Z46" s="54">
        <v>0</v>
      </c>
      <c r="AA46" s="54">
        <v>0</v>
      </c>
      <c r="AB46" s="54">
        <v>0</v>
      </c>
      <c r="AC46" s="54">
        <v>0</v>
      </c>
      <c r="AD46" s="54">
        <v>0</v>
      </c>
      <c r="AE46" s="54">
        <v>0</v>
      </c>
      <c r="AF46" s="54">
        <v>0</v>
      </c>
      <c r="AG46" s="54">
        <v>0</v>
      </c>
      <c r="AH46" s="54">
        <v>0</v>
      </c>
      <c r="AI46" s="54">
        <v>0</v>
      </c>
      <c r="AJ46" s="54">
        <v>0</v>
      </c>
      <c r="AK46" s="54">
        <v>0</v>
      </c>
      <c r="AL46" s="54">
        <v>0</v>
      </c>
      <c r="AM46" s="54" t="str">
        <f>I46-J46-K46-L46-M46-N46-O46-P46-Q46-R46-S46-T46-U46-V46-W46-X46-Y46-Z46-AA46-AB46-AC46-AD46-AE46-AF46-AG46+AH46-AI46+AJ46+AK46-AL46</f>
        <v>0</v>
      </c>
      <c r="AN46" s="54"/>
      <c r="AO46" s="27"/>
    </row>
    <row r="47" spans="1:41">
      <c r="A47" s="44">
        <v>19</v>
      </c>
      <c r="B47" s="47" t="s">
        <v>149</v>
      </c>
      <c r="C47" s="48" t="s">
        <v>150</v>
      </c>
      <c r="D47" s="52" t="s">
        <v>62</v>
      </c>
      <c r="E47" s="52" t="s">
        <v>151</v>
      </c>
      <c r="F47" s="55" t="s">
        <v>152</v>
      </c>
      <c r="G47" s="51">
        <v>9.1</v>
      </c>
      <c r="H47" s="52" t="s">
        <v>153</v>
      </c>
      <c r="I47" s="54">
        <v>0</v>
      </c>
      <c r="J47" s="54">
        <v>0</v>
      </c>
      <c r="K47" s="54">
        <v>49000</v>
      </c>
      <c r="L47" s="54">
        <v>0</v>
      </c>
      <c r="M47" s="54">
        <v>0</v>
      </c>
      <c r="N47" s="54">
        <v>0</v>
      </c>
      <c r="O47" s="54">
        <v>0</v>
      </c>
      <c r="P47" s="54">
        <v>0</v>
      </c>
      <c r="Q47" s="54">
        <v>0</v>
      </c>
      <c r="R47" s="54">
        <v>0</v>
      </c>
      <c r="S47" s="54">
        <v>0</v>
      </c>
      <c r="T47" s="54">
        <v>0</v>
      </c>
      <c r="U47" s="54">
        <v>5042</v>
      </c>
      <c r="V47" s="54">
        <v>0</v>
      </c>
      <c r="W47" s="54">
        <v>0</v>
      </c>
      <c r="X47" s="54">
        <v>0</v>
      </c>
      <c r="Y47" s="54">
        <v>24500</v>
      </c>
      <c r="Z47" s="54">
        <v>0</v>
      </c>
      <c r="AA47" s="54">
        <v>0</v>
      </c>
      <c r="AB47" s="54">
        <v>0</v>
      </c>
      <c r="AC47" s="54">
        <v>0</v>
      </c>
      <c r="AD47" s="54">
        <v>0</v>
      </c>
      <c r="AE47" s="54">
        <v>0</v>
      </c>
      <c r="AF47" s="54">
        <v>0</v>
      </c>
      <c r="AG47" s="54">
        <v>0</v>
      </c>
      <c r="AH47" s="54">
        <v>0</v>
      </c>
      <c r="AI47" s="54">
        <v>0</v>
      </c>
      <c r="AJ47" s="54">
        <v>0</v>
      </c>
      <c r="AK47" s="54">
        <v>0</v>
      </c>
      <c r="AL47" s="54">
        <v>0</v>
      </c>
      <c r="AM47" s="54" t="str">
        <f>I47-J47-K47-L47-M47-N47-O47-P47-Q47-R47-S47-T47-U47-V47-W47-X47-Y47-Z47-AA47-AB47-AC47-AD47-AE47-AF47-AG47+AH47-AI47+AJ47+AK47-AL47</f>
        <v>0</v>
      </c>
      <c r="AN47" s="54"/>
      <c r="AO47" s="27"/>
    </row>
    <row r="48" spans="1:41">
      <c r="A48" s="44">
        <v>20</v>
      </c>
      <c r="B48" s="47" t="s">
        <v>154</v>
      </c>
      <c r="C48" s="48" t="s">
        <v>155</v>
      </c>
      <c r="D48" s="52" t="s">
        <v>73</v>
      </c>
      <c r="E48" s="52" t="s">
        <v>151</v>
      </c>
      <c r="F48" s="55" t="s">
        <v>156</v>
      </c>
      <c r="G48" s="51">
        <v>2</v>
      </c>
      <c r="H48" s="52" t="s">
        <v>157</v>
      </c>
      <c r="I48" s="54">
        <v>585000</v>
      </c>
      <c r="J48" s="54">
        <v>0</v>
      </c>
      <c r="K48" s="54">
        <v>22000</v>
      </c>
      <c r="L48" s="54">
        <v>0</v>
      </c>
      <c r="M48" s="54">
        <v>0</v>
      </c>
      <c r="N48" s="54">
        <v>0</v>
      </c>
      <c r="O48" s="54">
        <v>0</v>
      </c>
      <c r="P48" s="54">
        <v>0</v>
      </c>
      <c r="Q48" s="54">
        <v>0</v>
      </c>
      <c r="R48" s="54">
        <v>0</v>
      </c>
      <c r="S48" s="54">
        <v>0</v>
      </c>
      <c r="T48" s="54">
        <v>0</v>
      </c>
      <c r="U48" s="54">
        <v>2263</v>
      </c>
      <c r="V48" s="54">
        <v>0</v>
      </c>
      <c r="W48" s="54">
        <v>0</v>
      </c>
      <c r="X48" s="54">
        <v>0</v>
      </c>
      <c r="Y48" s="54">
        <v>0</v>
      </c>
      <c r="Z48" s="54">
        <v>0</v>
      </c>
      <c r="AA48" s="54">
        <v>0</v>
      </c>
      <c r="AB48" s="54">
        <v>0</v>
      </c>
      <c r="AC48" s="54">
        <v>0</v>
      </c>
      <c r="AD48" s="54">
        <v>0</v>
      </c>
      <c r="AE48" s="54">
        <v>0</v>
      </c>
      <c r="AF48" s="54">
        <v>0</v>
      </c>
      <c r="AG48" s="54">
        <v>0</v>
      </c>
      <c r="AH48" s="54">
        <v>0</v>
      </c>
      <c r="AI48" s="54">
        <v>0</v>
      </c>
      <c r="AJ48" s="54">
        <v>0</v>
      </c>
      <c r="AK48" s="54">
        <v>0</v>
      </c>
      <c r="AL48" s="54">
        <v>0</v>
      </c>
      <c r="AM48" s="54" t="str">
        <f>I48-J48-K48-L48-M48-N48-O48-P48-Q48-R48-S48-T48-U48-V48-W48-X48-Y48-Z48-AA48-AB48-AC48-AD48-AE48-AF48-AG48+AH48-AI48+AJ48+AK48-AL48</f>
        <v>0</v>
      </c>
      <c r="AN48" s="54"/>
      <c r="AO48" s="27"/>
    </row>
    <row r="49" spans="1:41">
      <c r="A49" s="44">
        <v>21</v>
      </c>
      <c r="B49" s="47" t="s">
        <v>158</v>
      </c>
      <c r="C49" s="48" t="s">
        <v>159</v>
      </c>
      <c r="D49" s="52" t="s">
        <v>62</v>
      </c>
      <c r="E49" s="52" t="s">
        <v>160</v>
      </c>
      <c r="F49" s="55" t="s">
        <v>161</v>
      </c>
      <c r="G49" s="51">
        <v>6</v>
      </c>
      <c r="H49" s="52" t="s">
        <v>162</v>
      </c>
      <c r="I49" s="54">
        <v>0</v>
      </c>
      <c r="J49" s="54">
        <v>0</v>
      </c>
      <c r="K49" s="54">
        <v>31000</v>
      </c>
      <c r="L49" s="54">
        <v>0</v>
      </c>
      <c r="M49" s="54">
        <v>0</v>
      </c>
      <c r="N49" s="54">
        <v>0</v>
      </c>
      <c r="O49" s="54">
        <v>0</v>
      </c>
      <c r="P49" s="54">
        <v>0</v>
      </c>
      <c r="Q49" s="54">
        <v>0</v>
      </c>
      <c r="R49" s="54">
        <v>0</v>
      </c>
      <c r="S49" s="54">
        <v>0</v>
      </c>
      <c r="T49" s="54">
        <v>0</v>
      </c>
      <c r="U49" s="54">
        <v>3189</v>
      </c>
      <c r="V49" s="54">
        <v>0</v>
      </c>
      <c r="W49" s="54">
        <v>0</v>
      </c>
      <c r="X49" s="54">
        <v>0</v>
      </c>
      <c r="Y49" s="54">
        <v>15500</v>
      </c>
      <c r="Z49" s="54">
        <v>0</v>
      </c>
      <c r="AA49" s="54">
        <v>0</v>
      </c>
      <c r="AB49" s="54">
        <v>0</v>
      </c>
      <c r="AC49" s="54">
        <v>0</v>
      </c>
      <c r="AD49" s="54">
        <v>0</v>
      </c>
      <c r="AE49" s="54">
        <v>0</v>
      </c>
      <c r="AF49" s="54">
        <v>0</v>
      </c>
      <c r="AG49" s="54">
        <v>0</v>
      </c>
      <c r="AH49" s="54">
        <v>0</v>
      </c>
      <c r="AI49" s="54">
        <v>0</v>
      </c>
      <c r="AJ49" s="54">
        <v>0</v>
      </c>
      <c r="AK49" s="54">
        <v>0</v>
      </c>
      <c r="AL49" s="54">
        <v>0</v>
      </c>
      <c r="AM49" s="54" t="str">
        <f>I49-J49-K49-L49-M49-N49-O49-P49-Q49-R49-S49-T49-U49-V49-W49-X49-Y49-Z49-AA49-AB49-AC49-AD49-AE49-AF49-AG49+AH49-AI49+AJ49+AK49-AL49</f>
        <v>0</v>
      </c>
      <c r="AN49" s="54"/>
      <c r="AO49" s="27"/>
    </row>
    <row r="50" spans="1:41">
      <c r="A50" s="44">
        <v>22</v>
      </c>
      <c r="B50" s="47" t="s">
        <v>163</v>
      </c>
      <c r="C50" s="48" t="s">
        <v>164</v>
      </c>
      <c r="D50" s="52" t="s">
        <v>62</v>
      </c>
      <c r="E50" s="52" t="s">
        <v>165</v>
      </c>
      <c r="F50" s="55" t="s">
        <v>166</v>
      </c>
      <c r="G50" s="51">
        <v>5</v>
      </c>
      <c r="H50" s="52" t="s">
        <v>167</v>
      </c>
      <c r="I50" s="54">
        <v>0</v>
      </c>
      <c r="J50" s="54">
        <v>0</v>
      </c>
      <c r="K50" s="54">
        <v>27000</v>
      </c>
      <c r="L50" s="54">
        <v>0</v>
      </c>
      <c r="M50" s="54">
        <v>0</v>
      </c>
      <c r="N50" s="54">
        <v>0</v>
      </c>
      <c r="O50" s="54">
        <v>0</v>
      </c>
      <c r="P50" s="54">
        <v>0</v>
      </c>
      <c r="Q50" s="54">
        <v>0</v>
      </c>
      <c r="R50" s="54">
        <v>0</v>
      </c>
      <c r="S50" s="54">
        <v>0</v>
      </c>
      <c r="T50" s="54">
        <v>0</v>
      </c>
      <c r="U50" s="54">
        <v>2778</v>
      </c>
      <c r="V50" s="54">
        <v>0</v>
      </c>
      <c r="W50" s="54">
        <v>0</v>
      </c>
      <c r="X50" s="54">
        <v>0</v>
      </c>
      <c r="Y50" s="54">
        <v>13500</v>
      </c>
      <c r="Z50" s="54">
        <v>0</v>
      </c>
      <c r="AA50" s="54">
        <v>0</v>
      </c>
      <c r="AB50" s="54">
        <v>0</v>
      </c>
      <c r="AC50" s="54">
        <v>0</v>
      </c>
      <c r="AD50" s="54">
        <v>0</v>
      </c>
      <c r="AE50" s="54">
        <v>0</v>
      </c>
      <c r="AF50" s="54">
        <v>0</v>
      </c>
      <c r="AG50" s="54">
        <v>0</v>
      </c>
      <c r="AH50" s="54">
        <v>0</v>
      </c>
      <c r="AI50" s="54">
        <v>0</v>
      </c>
      <c r="AJ50" s="54">
        <v>0</v>
      </c>
      <c r="AK50" s="54">
        <v>0</v>
      </c>
      <c r="AL50" s="54">
        <v>0</v>
      </c>
      <c r="AM50" s="54" t="str">
        <f>I50-J50-K50-L50-M50-N50-O50-P50-Q50-R50-S50-T50-U50-V50-W50-X50-Y50-Z50-AA50-AB50-AC50-AD50-AE50-AF50-AG50+AH50-AI50+AJ50+AK50-AL50</f>
        <v>0</v>
      </c>
      <c r="AN50" s="54"/>
      <c r="AO50" s="27"/>
    </row>
    <row r="51" spans="1:41">
      <c r="A51" s="44">
        <v>23</v>
      </c>
      <c r="B51" s="47" t="s">
        <v>168</v>
      </c>
      <c r="C51" s="48" t="s">
        <v>169</v>
      </c>
      <c r="D51" s="52" t="s">
        <v>62</v>
      </c>
      <c r="E51" s="52" t="s">
        <v>165</v>
      </c>
      <c r="F51" s="55" t="s">
        <v>170</v>
      </c>
      <c r="G51" s="51">
        <v>20.6</v>
      </c>
      <c r="H51" s="52" t="s">
        <v>171</v>
      </c>
      <c r="I51" s="54">
        <v>0</v>
      </c>
      <c r="J51" s="54">
        <v>18950</v>
      </c>
      <c r="K51" s="54">
        <v>105000</v>
      </c>
      <c r="L51" s="54">
        <v>0</v>
      </c>
      <c r="M51" s="54">
        <v>0</v>
      </c>
      <c r="N51" s="54">
        <v>0</v>
      </c>
      <c r="O51" s="54">
        <v>0</v>
      </c>
      <c r="P51" s="54">
        <v>0</v>
      </c>
      <c r="Q51" s="54">
        <v>0</v>
      </c>
      <c r="R51" s="54">
        <v>0</v>
      </c>
      <c r="S51" s="54">
        <v>0</v>
      </c>
      <c r="T51" s="54">
        <v>0</v>
      </c>
      <c r="U51" s="54">
        <v>18007</v>
      </c>
      <c r="V51" s="54">
        <v>0</v>
      </c>
      <c r="W51" s="54">
        <v>0</v>
      </c>
      <c r="X51" s="54">
        <v>0</v>
      </c>
      <c r="Y51" s="54">
        <v>105000</v>
      </c>
      <c r="Z51" s="54">
        <v>0</v>
      </c>
      <c r="AA51" s="54">
        <v>0</v>
      </c>
      <c r="AB51" s="54">
        <v>0</v>
      </c>
      <c r="AC51" s="54">
        <v>0</v>
      </c>
      <c r="AD51" s="54">
        <v>0</v>
      </c>
      <c r="AE51" s="54">
        <v>0</v>
      </c>
      <c r="AF51" s="54">
        <v>0</v>
      </c>
      <c r="AG51" s="54">
        <v>0</v>
      </c>
      <c r="AH51" s="54">
        <v>0</v>
      </c>
      <c r="AI51" s="54">
        <v>0</v>
      </c>
      <c r="AJ51" s="54">
        <v>0</v>
      </c>
      <c r="AK51" s="54">
        <v>0</v>
      </c>
      <c r="AL51" s="54">
        <v>0</v>
      </c>
      <c r="AM51" s="54" t="str">
        <f>I51-J51-K51-L51-M51-N51-O51-P51-Q51-R51-S51-T51-U51-V51-W51-X51-Y51-Z51-AA51-AB51-AC51-AD51-AE51-AF51-AG51+AH51-AI51+AJ51+AK51-AL51</f>
        <v>0</v>
      </c>
      <c r="AN51" s="54"/>
      <c r="AO51" s="27"/>
    </row>
    <row r="52" spans="1:41">
      <c r="A52" s="44">
        <v>24</v>
      </c>
      <c r="B52" s="47" t="s">
        <v>172</v>
      </c>
      <c r="C52" s="48" t="s">
        <v>173</v>
      </c>
      <c r="D52" s="52" t="s">
        <v>62</v>
      </c>
      <c r="E52" s="52" t="s">
        <v>174</v>
      </c>
      <c r="F52" s="55" t="s">
        <v>175</v>
      </c>
      <c r="G52" s="51">
        <v>3</v>
      </c>
      <c r="H52" s="52" t="s">
        <v>176</v>
      </c>
      <c r="I52" s="54">
        <v>0</v>
      </c>
      <c r="J52" s="54">
        <v>0</v>
      </c>
      <c r="K52" s="54">
        <v>22000</v>
      </c>
      <c r="L52" s="54">
        <v>0</v>
      </c>
      <c r="M52" s="54">
        <v>0</v>
      </c>
      <c r="N52" s="54">
        <v>0</v>
      </c>
      <c r="O52" s="54">
        <v>0</v>
      </c>
      <c r="P52" s="54">
        <v>0</v>
      </c>
      <c r="Q52" s="54">
        <v>0</v>
      </c>
      <c r="R52" s="54">
        <v>0</v>
      </c>
      <c r="S52" s="54">
        <v>0</v>
      </c>
      <c r="T52" s="54">
        <v>0</v>
      </c>
      <c r="U52" s="54">
        <v>2263</v>
      </c>
      <c r="V52" s="54">
        <v>0</v>
      </c>
      <c r="W52" s="54">
        <v>0</v>
      </c>
      <c r="X52" s="54">
        <v>0</v>
      </c>
      <c r="Y52" s="54">
        <v>11000</v>
      </c>
      <c r="Z52" s="54">
        <v>0</v>
      </c>
      <c r="AA52" s="54">
        <v>0</v>
      </c>
      <c r="AB52" s="54">
        <v>0</v>
      </c>
      <c r="AC52" s="54">
        <v>0</v>
      </c>
      <c r="AD52" s="54">
        <v>0</v>
      </c>
      <c r="AE52" s="54">
        <v>0</v>
      </c>
      <c r="AF52" s="54">
        <v>0</v>
      </c>
      <c r="AG52" s="54">
        <v>0</v>
      </c>
      <c r="AH52" s="54">
        <v>0</v>
      </c>
      <c r="AI52" s="54">
        <v>0</v>
      </c>
      <c r="AJ52" s="54">
        <v>0</v>
      </c>
      <c r="AK52" s="54">
        <v>0</v>
      </c>
      <c r="AL52" s="54">
        <v>0</v>
      </c>
      <c r="AM52" s="54" t="str">
        <f>I52-J52-K52-L52-M52-N52-O52-P52-Q52-R52-S52-T52-U52-V52-W52-X52-Y52-Z52-AA52-AB52-AC52-AD52-AE52-AF52-AG52+AH52-AI52+AJ52+AK52-AL52</f>
        <v>0</v>
      </c>
      <c r="AN52" s="54"/>
      <c r="AO52" s="27"/>
    </row>
    <row r="53" spans="1:41">
      <c r="A53" s="44">
        <v>25</v>
      </c>
      <c r="B53" s="47" t="s">
        <v>177</v>
      </c>
      <c r="C53" s="48" t="s">
        <v>178</v>
      </c>
      <c r="D53" s="52" t="s">
        <v>62</v>
      </c>
      <c r="E53" s="52" t="s">
        <v>179</v>
      </c>
      <c r="F53" s="55" t="s">
        <v>180</v>
      </c>
      <c r="G53" s="51">
        <v>15</v>
      </c>
      <c r="H53" s="52" t="s">
        <v>181</v>
      </c>
      <c r="I53" s="54">
        <v>0</v>
      </c>
      <c r="J53" s="54">
        <v>0</v>
      </c>
      <c r="K53" s="54">
        <v>74000</v>
      </c>
      <c r="L53" s="54">
        <v>0</v>
      </c>
      <c r="M53" s="54">
        <v>0</v>
      </c>
      <c r="N53" s="54">
        <v>0</v>
      </c>
      <c r="O53" s="54">
        <v>0</v>
      </c>
      <c r="P53" s="54">
        <v>0</v>
      </c>
      <c r="Q53" s="54">
        <v>0</v>
      </c>
      <c r="R53" s="54">
        <v>0</v>
      </c>
      <c r="S53" s="54">
        <v>0</v>
      </c>
      <c r="T53" s="54">
        <v>0</v>
      </c>
      <c r="U53" s="54">
        <v>7614</v>
      </c>
      <c r="V53" s="54">
        <v>0</v>
      </c>
      <c r="W53" s="54">
        <v>0</v>
      </c>
      <c r="X53" s="54">
        <v>0</v>
      </c>
      <c r="Y53" s="54">
        <v>37000</v>
      </c>
      <c r="Z53" s="54">
        <v>0</v>
      </c>
      <c r="AA53" s="54">
        <v>0</v>
      </c>
      <c r="AB53" s="54">
        <v>0</v>
      </c>
      <c r="AC53" s="54">
        <v>0</v>
      </c>
      <c r="AD53" s="54">
        <v>0</v>
      </c>
      <c r="AE53" s="54">
        <v>0</v>
      </c>
      <c r="AF53" s="54">
        <v>0</v>
      </c>
      <c r="AG53" s="54">
        <v>0</v>
      </c>
      <c r="AH53" s="54">
        <v>0</v>
      </c>
      <c r="AI53" s="54">
        <v>0</v>
      </c>
      <c r="AJ53" s="54">
        <v>0</v>
      </c>
      <c r="AK53" s="54">
        <v>0</v>
      </c>
      <c r="AL53" s="54">
        <v>0</v>
      </c>
      <c r="AM53" s="54" t="str">
        <f>I53-J53-K53-L53-M53-N53-O53-P53-Q53-R53-S53-T53-U53-V53-W53-X53-Y53-Z53-AA53-AB53-AC53-AD53-AE53-AF53-AG53+AH53-AI53+AJ53+AK53-AL53</f>
        <v>0</v>
      </c>
      <c r="AN53" s="54"/>
      <c r="AO53" s="27"/>
    </row>
    <row r="54" spans="1:41">
      <c r="A54" s="44">
        <v>26</v>
      </c>
      <c r="B54" s="47" t="s">
        <v>182</v>
      </c>
      <c r="C54" s="48" t="s">
        <v>183</v>
      </c>
      <c r="D54" s="52" t="s">
        <v>73</v>
      </c>
      <c r="E54" s="52" t="s">
        <v>184</v>
      </c>
      <c r="F54" s="55" t="s">
        <v>185</v>
      </c>
      <c r="G54" s="51">
        <v>5</v>
      </c>
      <c r="H54" s="52" t="s">
        <v>186</v>
      </c>
      <c r="I54" s="54">
        <v>608000</v>
      </c>
      <c r="J54" s="54">
        <v>0</v>
      </c>
      <c r="K54" s="54">
        <v>27000</v>
      </c>
      <c r="L54" s="54">
        <v>0</v>
      </c>
      <c r="M54" s="54">
        <v>0</v>
      </c>
      <c r="N54" s="54">
        <v>0</v>
      </c>
      <c r="O54" s="54">
        <v>0</v>
      </c>
      <c r="P54" s="54">
        <v>0</v>
      </c>
      <c r="Q54" s="54">
        <v>0</v>
      </c>
      <c r="R54" s="54">
        <v>0</v>
      </c>
      <c r="S54" s="54">
        <v>0</v>
      </c>
      <c r="T54" s="54">
        <v>0</v>
      </c>
      <c r="U54" s="54">
        <v>2778</v>
      </c>
      <c r="V54" s="54">
        <v>0</v>
      </c>
      <c r="W54" s="54">
        <v>0</v>
      </c>
      <c r="X54" s="54">
        <v>0</v>
      </c>
      <c r="Y54" s="54">
        <v>0</v>
      </c>
      <c r="Z54" s="54">
        <v>0</v>
      </c>
      <c r="AA54" s="54">
        <v>0</v>
      </c>
      <c r="AB54" s="54">
        <v>0</v>
      </c>
      <c r="AC54" s="54">
        <v>0</v>
      </c>
      <c r="AD54" s="54">
        <v>0</v>
      </c>
      <c r="AE54" s="54">
        <v>0</v>
      </c>
      <c r="AF54" s="54">
        <v>0</v>
      </c>
      <c r="AG54" s="54">
        <v>0</v>
      </c>
      <c r="AH54" s="54">
        <v>0</v>
      </c>
      <c r="AI54" s="54">
        <v>0</v>
      </c>
      <c r="AJ54" s="54">
        <v>0</v>
      </c>
      <c r="AK54" s="54">
        <v>0</v>
      </c>
      <c r="AL54" s="54">
        <v>0</v>
      </c>
      <c r="AM54" s="54" t="str">
        <f>I54-J54-K54-L54-M54-N54-O54-P54-Q54-R54-S54-T54-U54-V54-W54-X54-Y54-Z54-AA54-AB54-AC54-AD54-AE54-AF54-AG54+AH54-AI54+AJ54+AK54-AL54</f>
        <v>0</v>
      </c>
      <c r="AN54" s="54"/>
      <c r="AO54" s="27"/>
    </row>
    <row r="55" spans="1:41">
      <c r="A55" s="44">
        <v>27</v>
      </c>
      <c r="B55" s="47" t="s">
        <v>187</v>
      </c>
      <c r="C55" s="48" t="s">
        <v>188</v>
      </c>
      <c r="D55" s="52" t="s">
        <v>62</v>
      </c>
      <c r="E55" s="52" t="s">
        <v>184</v>
      </c>
      <c r="F55" s="55" t="s">
        <v>189</v>
      </c>
      <c r="G55" s="51">
        <v>4</v>
      </c>
      <c r="H55" s="52" t="s">
        <v>190</v>
      </c>
      <c r="I55" s="54">
        <v>0</v>
      </c>
      <c r="J55" s="54">
        <v>0</v>
      </c>
      <c r="K55" s="54">
        <v>25000</v>
      </c>
      <c r="L55" s="54">
        <v>0</v>
      </c>
      <c r="M55" s="54">
        <v>0</v>
      </c>
      <c r="N55" s="54">
        <v>0</v>
      </c>
      <c r="O55" s="54">
        <v>0</v>
      </c>
      <c r="P55" s="54">
        <v>0</v>
      </c>
      <c r="Q55" s="54">
        <v>0</v>
      </c>
      <c r="R55" s="54">
        <v>0</v>
      </c>
      <c r="S55" s="54">
        <v>0</v>
      </c>
      <c r="T55" s="54">
        <v>0</v>
      </c>
      <c r="U55" s="54">
        <v>2572</v>
      </c>
      <c r="V55" s="54">
        <v>0</v>
      </c>
      <c r="W55" s="54">
        <v>0</v>
      </c>
      <c r="X55" s="54">
        <v>0</v>
      </c>
      <c r="Y55" s="54">
        <v>12500</v>
      </c>
      <c r="Z55" s="54">
        <v>0</v>
      </c>
      <c r="AA55" s="54">
        <v>0</v>
      </c>
      <c r="AB55" s="54">
        <v>0</v>
      </c>
      <c r="AC55" s="54">
        <v>0</v>
      </c>
      <c r="AD55" s="54">
        <v>0</v>
      </c>
      <c r="AE55" s="54">
        <v>0</v>
      </c>
      <c r="AF55" s="54">
        <v>0</v>
      </c>
      <c r="AG55" s="54">
        <v>0</v>
      </c>
      <c r="AH55" s="54">
        <v>0</v>
      </c>
      <c r="AI55" s="54">
        <v>0</v>
      </c>
      <c r="AJ55" s="54">
        <v>0</v>
      </c>
      <c r="AK55" s="54">
        <v>0</v>
      </c>
      <c r="AL55" s="54">
        <v>0</v>
      </c>
      <c r="AM55" s="54" t="str">
        <f>I55-J55-K55-L55-M55-N55-O55-P55-Q55-R55-S55-T55-U55-V55-W55-X55-Y55-Z55-AA55-AB55-AC55-AD55-AE55-AF55-AG55+AH55-AI55+AJ55+AK55-AL55</f>
        <v>0</v>
      </c>
      <c r="AN55" s="54"/>
      <c r="AO55" s="27"/>
    </row>
    <row r="56" spans="1:41">
      <c r="A56" s="44">
        <v>28</v>
      </c>
      <c r="B56" s="47" t="s">
        <v>191</v>
      </c>
      <c r="C56" s="48" t="s">
        <v>192</v>
      </c>
      <c r="D56" s="52" t="s">
        <v>62</v>
      </c>
      <c r="E56" s="52" t="s">
        <v>184</v>
      </c>
      <c r="F56" s="55" t="s">
        <v>193</v>
      </c>
      <c r="G56" s="51">
        <v>3</v>
      </c>
      <c r="H56" s="52" t="s">
        <v>194</v>
      </c>
      <c r="I56" s="54">
        <v>0</v>
      </c>
      <c r="J56" s="54">
        <v>0</v>
      </c>
      <c r="K56" s="54">
        <v>22000</v>
      </c>
      <c r="L56" s="54">
        <v>0</v>
      </c>
      <c r="M56" s="54">
        <v>0</v>
      </c>
      <c r="N56" s="54">
        <v>0</v>
      </c>
      <c r="O56" s="54">
        <v>0</v>
      </c>
      <c r="P56" s="54">
        <v>0</v>
      </c>
      <c r="Q56" s="54">
        <v>0</v>
      </c>
      <c r="R56" s="54">
        <v>0</v>
      </c>
      <c r="S56" s="54">
        <v>0</v>
      </c>
      <c r="T56" s="54">
        <v>0</v>
      </c>
      <c r="U56" s="54">
        <v>2263</v>
      </c>
      <c r="V56" s="54">
        <v>0</v>
      </c>
      <c r="W56" s="54">
        <v>0</v>
      </c>
      <c r="X56" s="54">
        <v>0</v>
      </c>
      <c r="Y56" s="54">
        <v>11000</v>
      </c>
      <c r="Z56" s="54">
        <v>0</v>
      </c>
      <c r="AA56" s="54">
        <v>0</v>
      </c>
      <c r="AB56" s="54">
        <v>0</v>
      </c>
      <c r="AC56" s="54">
        <v>0</v>
      </c>
      <c r="AD56" s="54">
        <v>0</v>
      </c>
      <c r="AE56" s="54">
        <v>0</v>
      </c>
      <c r="AF56" s="54">
        <v>0</v>
      </c>
      <c r="AG56" s="54">
        <v>0</v>
      </c>
      <c r="AH56" s="54">
        <v>0</v>
      </c>
      <c r="AI56" s="54">
        <v>0</v>
      </c>
      <c r="AJ56" s="54">
        <v>0</v>
      </c>
      <c r="AK56" s="54">
        <v>0</v>
      </c>
      <c r="AL56" s="54">
        <v>0</v>
      </c>
      <c r="AM56" s="54" t="str">
        <f>I56-J56-K56-L56-M56-N56-O56-P56-Q56-R56-S56-T56-U56-V56-W56-X56-Y56-Z56-AA56-AB56-AC56-AD56-AE56-AF56-AG56+AH56-AI56+AJ56+AK56-AL56</f>
        <v>0</v>
      </c>
      <c r="AN56" s="54"/>
      <c r="AO56" s="27"/>
    </row>
    <row r="57" spans="1:41">
      <c r="A57" s="44">
        <v>29</v>
      </c>
      <c r="B57" s="47" t="s">
        <v>195</v>
      </c>
      <c r="C57" s="48" t="s">
        <v>196</v>
      </c>
      <c r="D57" s="52" t="s">
        <v>62</v>
      </c>
      <c r="E57" s="52" t="s">
        <v>197</v>
      </c>
      <c r="F57" s="55" t="s">
        <v>198</v>
      </c>
      <c r="G57" s="51">
        <v>3</v>
      </c>
      <c r="H57" s="52" t="s">
        <v>199</v>
      </c>
      <c r="I57" s="54">
        <v>0</v>
      </c>
      <c r="J57" s="54">
        <v>0</v>
      </c>
      <c r="K57" s="54">
        <v>22000</v>
      </c>
      <c r="L57" s="54">
        <v>0</v>
      </c>
      <c r="M57" s="54">
        <v>0</v>
      </c>
      <c r="N57" s="54">
        <v>0</v>
      </c>
      <c r="O57" s="54">
        <v>0</v>
      </c>
      <c r="P57" s="54">
        <v>0</v>
      </c>
      <c r="Q57" s="54">
        <v>0</v>
      </c>
      <c r="R57" s="54">
        <v>0</v>
      </c>
      <c r="S57" s="54">
        <v>0</v>
      </c>
      <c r="T57" s="54">
        <v>0</v>
      </c>
      <c r="U57" s="54">
        <v>2263</v>
      </c>
      <c r="V57" s="54">
        <v>0</v>
      </c>
      <c r="W57" s="54">
        <v>0</v>
      </c>
      <c r="X57" s="54">
        <v>0</v>
      </c>
      <c r="Y57" s="54">
        <v>11000</v>
      </c>
      <c r="Z57" s="54">
        <v>0</v>
      </c>
      <c r="AA57" s="54">
        <v>0</v>
      </c>
      <c r="AB57" s="54">
        <v>0</v>
      </c>
      <c r="AC57" s="54">
        <v>0</v>
      </c>
      <c r="AD57" s="54">
        <v>0</v>
      </c>
      <c r="AE57" s="54">
        <v>0</v>
      </c>
      <c r="AF57" s="54">
        <v>0</v>
      </c>
      <c r="AG57" s="54">
        <v>0</v>
      </c>
      <c r="AH57" s="54">
        <v>0</v>
      </c>
      <c r="AI57" s="54">
        <v>0</v>
      </c>
      <c r="AJ57" s="54">
        <v>0</v>
      </c>
      <c r="AK57" s="54">
        <v>0</v>
      </c>
      <c r="AL57" s="54">
        <v>0</v>
      </c>
      <c r="AM57" s="54" t="str">
        <f>I57-J57-K57-L57-M57-N57-O57-P57-Q57-R57-S57-T57-U57-V57-W57-X57-Y57-Z57-AA57-AB57-AC57-AD57-AE57-AF57-AG57+AH57-AI57+AJ57+AK57-AL57</f>
        <v>0</v>
      </c>
      <c r="AN57" s="54"/>
      <c r="AO57" s="27"/>
    </row>
    <row r="58" spans="1:41">
      <c r="A58" s="44">
        <v>30</v>
      </c>
      <c r="B58" s="47" t="s">
        <v>200</v>
      </c>
      <c r="C58" s="48" t="s">
        <v>201</v>
      </c>
      <c r="D58" s="52" t="s">
        <v>62</v>
      </c>
      <c r="E58" s="52" t="s">
        <v>197</v>
      </c>
      <c r="F58" s="55" t="s">
        <v>202</v>
      </c>
      <c r="G58" s="51">
        <v>3</v>
      </c>
      <c r="H58" s="52" t="s">
        <v>203</v>
      </c>
      <c r="I58" s="54">
        <v>0</v>
      </c>
      <c r="J58" s="54">
        <v>0</v>
      </c>
      <c r="K58" s="54">
        <v>22000</v>
      </c>
      <c r="L58" s="54">
        <v>0</v>
      </c>
      <c r="M58" s="54">
        <v>0</v>
      </c>
      <c r="N58" s="54">
        <v>0</v>
      </c>
      <c r="O58" s="54">
        <v>0</v>
      </c>
      <c r="P58" s="54">
        <v>0</v>
      </c>
      <c r="Q58" s="54">
        <v>0</v>
      </c>
      <c r="R58" s="54">
        <v>0</v>
      </c>
      <c r="S58" s="54">
        <v>0</v>
      </c>
      <c r="T58" s="54">
        <v>0</v>
      </c>
      <c r="U58" s="54">
        <v>2263</v>
      </c>
      <c r="V58" s="54">
        <v>0</v>
      </c>
      <c r="W58" s="54">
        <v>0</v>
      </c>
      <c r="X58" s="54">
        <v>0</v>
      </c>
      <c r="Y58" s="54">
        <v>11000</v>
      </c>
      <c r="Z58" s="54">
        <v>0</v>
      </c>
      <c r="AA58" s="54">
        <v>0</v>
      </c>
      <c r="AB58" s="54">
        <v>0</v>
      </c>
      <c r="AC58" s="54">
        <v>0</v>
      </c>
      <c r="AD58" s="54">
        <v>0</v>
      </c>
      <c r="AE58" s="54">
        <v>0</v>
      </c>
      <c r="AF58" s="54">
        <v>0</v>
      </c>
      <c r="AG58" s="54">
        <v>0</v>
      </c>
      <c r="AH58" s="54">
        <v>0</v>
      </c>
      <c r="AI58" s="54">
        <v>0</v>
      </c>
      <c r="AJ58" s="54">
        <v>0</v>
      </c>
      <c r="AK58" s="54">
        <v>0</v>
      </c>
      <c r="AL58" s="54">
        <v>0</v>
      </c>
      <c r="AM58" s="54" t="str">
        <f>I58-J58-K58-L58-M58-N58-O58-P58-Q58-R58-S58-T58-U58-V58-W58-X58-Y58-Z58-AA58-AB58-AC58-AD58-AE58-AF58-AG58+AH58-AI58+AJ58+AK58-AL58</f>
        <v>0</v>
      </c>
      <c r="AN58" s="54"/>
      <c r="AO58" s="27"/>
    </row>
    <row r="59" spans="1:41">
      <c r="A59" s="44">
        <v>31</v>
      </c>
      <c r="B59" s="47" t="s">
        <v>204</v>
      </c>
      <c r="C59" s="48" t="s">
        <v>205</v>
      </c>
      <c r="D59" s="52" t="s">
        <v>62</v>
      </c>
      <c r="E59" s="52" t="s">
        <v>197</v>
      </c>
      <c r="F59" s="55" t="s">
        <v>206</v>
      </c>
      <c r="G59" s="51">
        <v>2</v>
      </c>
      <c r="H59" s="52" t="s">
        <v>207</v>
      </c>
      <c r="I59" s="54">
        <v>0</v>
      </c>
      <c r="J59" s="54">
        <v>0</v>
      </c>
      <c r="K59" s="54">
        <v>22000</v>
      </c>
      <c r="L59" s="54">
        <v>0</v>
      </c>
      <c r="M59" s="54">
        <v>0</v>
      </c>
      <c r="N59" s="54">
        <v>0</v>
      </c>
      <c r="O59" s="54">
        <v>0</v>
      </c>
      <c r="P59" s="54">
        <v>0</v>
      </c>
      <c r="Q59" s="54">
        <v>0</v>
      </c>
      <c r="R59" s="54">
        <v>0</v>
      </c>
      <c r="S59" s="54">
        <v>0</v>
      </c>
      <c r="T59" s="54">
        <v>0</v>
      </c>
      <c r="U59" s="54">
        <v>2263</v>
      </c>
      <c r="V59" s="54">
        <v>0</v>
      </c>
      <c r="W59" s="54">
        <v>0</v>
      </c>
      <c r="X59" s="54">
        <v>0</v>
      </c>
      <c r="Y59" s="54">
        <v>11000</v>
      </c>
      <c r="Z59" s="54">
        <v>0</v>
      </c>
      <c r="AA59" s="54">
        <v>0</v>
      </c>
      <c r="AB59" s="54">
        <v>0</v>
      </c>
      <c r="AC59" s="54">
        <v>0</v>
      </c>
      <c r="AD59" s="54">
        <v>0</v>
      </c>
      <c r="AE59" s="54">
        <v>0</v>
      </c>
      <c r="AF59" s="54">
        <v>0</v>
      </c>
      <c r="AG59" s="54">
        <v>0</v>
      </c>
      <c r="AH59" s="54">
        <v>0</v>
      </c>
      <c r="AI59" s="54">
        <v>0</v>
      </c>
      <c r="AJ59" s="54">
        <v>0</v>
      </c>
      <c r="AK59" s="54">
        <v>0</v>
      </c>
      <c r="AL59" s="54">
        <v>0</v>
      </c>
      <c r="AM59" s="54" t="str">
        <f>I59-J59-K59-L59-M59-N59-O59-P59-Q59-R59-S59-T59-U59-V59-W59-X59-Y59-Z59-AA59-AB59-AC59-AD59-AE59-AF59-AG59+AH59-AI59+AJ59+AK59-AL59</f>
        <v>0</v>
      </c>
      <c r="AN59" s="54"/>
      <c r="AO59" s="27"/>
    </row>
    <row r="60" spans="1:41">
      <c r="A60" s="44">
        <v>32</v>
      </c>
      <c r="B60" s="47" t="s">
        <v>208</v>
      </c>
      <c r="C60" s="48" t="s">
        <v>209</v>
      </c>
      <c r="D60" s="52" t="s">
        <v>62</v>
      </c>
      <c r="E60" s="52" t="s">
        <v>197</v>
      </c>
      <c r="F60" s="55" t="s">
        <v>210</v>
      </c>
      <c r="G60" s="51">
        <v>10</v>
      </c>
      <c r="H60" s="52" t="s">
        <v>211</v>
      </c>
      <c r="I60" s="54">
        <v>0</v>
      </c>
      <c r="J60" s="54">
        <v>0</v>
      </c>
      <c r="K60" s="54">
        <v>49000</v>
      </c>
      <c r="L60" s="54">
        <v>0</v>
      </c>
      <c r="M60" s="54">
        <v>0</v>
      </c>
      <c r="N60" s="54">
        <v>0</v>
      </c>
      <c r="O60" s="54">
        <v>0</v>
      </c>
      <c r="P60" s="54">
        <v>0</v>
      </c>
      <c r="Q60" s="54">
        <v>0</v>
      </c>
      <c r="R60" s="54">
        <v>0</v>
      </c>
      <c r="S60" s="54">
        <v>0</v>
      </c>
      <c r="T60" s="54">
        <v>0</v>
      </c>
      <c r="U60" s="54">
        <v>5042</v>
      </c>
      <c r="V60" s="54">
        <v>0</v>
      </c>
      <c r="W60" s="54">
        <v>0</v>
      </c>
      <c r="X60" s="54">
        <v>0</v>
      </c>
      <c r="Y60" s="54">
        <v>24500</v>
      </c>
      <c r="Z60" s="54">
        <v>0</v>
      </c>
      <c r="AA60" s="54">
        <v>0</v>
      </c>
      <c r="AB60" s="54">
        <v>0</v>
      </c>
      <c r="AC60" s="54">
        <v>0</v>
      </c>
      <c r="AD60" s="54">
        <v>0</v>
      </c>
      <c r="AE60" s="54">
        <v>0</v>
      </c>
      <c r="AF60" s="54">
        <v>0</v>
      </c>
      <c r="AG60" s="54">
        <v>0</v>
      </c>
      <c r="AH60" s="54">
        <v>0</v>
      </c>
      <c r="AI60" s="54">
        <v>0</v>
      </c>
      <c r="AJ60" s="54">
        <v>0</v>
      </c>
      <c r="AK60" s="54">
        <v>0</v>
      </c>
      <c r="AL60" s="54">
        <v>0</v>
      </c>
      <c r="AM60" s="54" t="str">
        <f>I60-J60-K60-L60-M60-N60-O60-P60-Q60-R60-S60-T60-U60-V60-W60-X60-Y60-Z60-AA60-AB60-AC60-AD60-AE60-AF60-AG60+AH60-AI60+AJ60+AK60-AL60</f>
        <v>0</v>
      </c>
      <c r="AN60" s="54"/>
      <c r="AO60" s="27"/>
    </row>
    <row r="61" spans="1:41">
      <c r="A61" s="44">
        <v>33</v>
      </c>
      <c r="B61" s="47" t="s">
        <v>212</v>
      </c>
      <c r="C61" s="48" t="s">
        <v>213</v>
      </c>
      <c r="D61" s="52" t="s">
        <v>62</v>
      </c>
      <c r="E61" s="52" t="s">
        <v>197</v>
      </c>
      <c r="F61" s="55" t="s">
        <v>214</v>
      </c>
      <c r="G61" s="51">
        <v>4</v>
      </c>
      <c r="H61" s="52" t="s">
        <v>215</v>
      </c>
      <c r="I61" s="54">
        <v>0</v>
      </c>
      <c r="J61" s="54">
        <v>0</v>
      </c>
      <c r="K61" s="54">
        <v>25000</v>
      </c>
      <c r="L61" s="54">
        <v>0</v>
      </c>
      <c r="M61" s="54">
        <v>0</v>
      </c>
      <c r="N61" s="54">
        <v>0</v>
      </c>
      <c r="O61" s="54">
        <v>0</v>
      </c>
      <c r="P61" s="54">
        <v>0</v>
      </c>
      <c r="Q61" s="54">
        <v>0</v>
      </c>
      <c r="R61" s="54">
        <v>0</v>
      </c>
      <c r="S61" s="54">
        <v>0</v>
      </c>
      <c r="T61" s="54">
        <v>0</v>
      </c>
      <c r="U61" s="54">
        <v>2572</v>
      </c>
      <c r="V61" s="54">
        <v>0</v>
      </c>
      <c r="W61" s="54">
        <v>0</v>
      </c>
      <c r="X61" s="54">
        <v>0</v>
      </c>
      <c r="Y61" s="54">
        <v>12500</v>
      </c>
      <c r="Z61" s="54">
        <v>0</v>
      </c>
      <c r="AA61" s="54">
        <v>0</v>
      </c>
      <c r="AB61" s="54">
        <v>0</v>
      </c>
      <c r="AC61" s="54">
        <v>0</v>
      </c>
      <c r="AD61" s="54">
        <v>0</v>
      </c>
      <c r="AE61" s="54">
        <v>0</v>
      </c>
      <c r="AF61" s="54">
        <v>0</v>
      </c>
      <c r="AG61" s="54">
        <v>0</v>
      </c>
      <c r="AH61" s="54">
        <v>0</v>
      </c>
      <c r="AI61" s="54">
        <v>0</v>
      </c>
      <c r="AJ61" s="54">
        <v>0</v>
      </c>
      <c r="AK61" s="54">
        <v>0</v>
      </c>
      <c r="AL61" s="54">
        <v>0</v>
      </c>
      <c r="AM61" s="54" t="str">
        <f>I61-J61-K61-L61-M61-N61-O61-P61-Q61-R61-S61-T61-U61-V61-W61-X61-Y61-Z61-AA61-AB61-AC61-AD61-AE61-AF61-AG61+AH61-AI61+AJ61+AK61-AL61</f>
        <v>0</v>
      </c>
      <c r="AN61" s="54"/>
      <c r="AO61" s="27"/>
    </row>
    <row r="62" spans="1:41">
      <c r="A62" s="44">
        <v>34</v>
      </c>
      <c r="B62" s="47" t="s">
        <v>216</v>
      </c>
      <c r="C62" s="48" t="s">
        <v>217</v>
      </c>
      <c r="D62" s="52" t="s">
        <v>62</v>
      </c>
      <c r="E62" s="52" t="s">
        <v>218</v>
      </c>
      <c r="F62" s="55" t="s">
        <v>219</v>
      </c>
      <c r="G62" s="51">
        <v>9.7</v>
      </c>
      <c r="H62" s="52" t="s">
        <v>220</v>
      </c>
      <c r="I62" s="54">
        <v>0</v>
      </c>
      <c r="J62" s="54">
        <v>0</v>
      </c>
      <c r="K62" s="54">
        <v>49000</v>
      </c>
      <c r="L62" s="54">
        <v>0</v>
      </c>
      <c r="M62" s="54">
        <v>0</v>
      </c>
      <c r="N62" s="54">
        <v>0</v>
      </c>
      <c r="O62" s="54">
        <v>0</v>
      </c>
      <c r="P62" s="54">
        <v>0</v>
      </c>
      <c r="Q62" s="54">
        <v>0</v>
      </c>
      <c r="R62" s="54">
        <v>0</v>
      </c>
      <c r="S62" s="54">
        <v>0</v>
      </c>
      <c r="T62" s="54">
        <v>0</v>
      </c>
      <c r="U62" s="54">
        <v>5042</v>
      </c>
      <c r="V62" s="54">
        <v>0</v>
      </c>
      <c r="W62" s="54">
        <v>0</v>
      </c>
      <c r="X62" s="54">
        <v>0</v>
      </c>
      <c r="Y62" s="54">
        <v>24500</v>
      </c>
      <c r="Z62" s="54">
        <v>0</v>
      </c>
      <c r="AA62" s="54">
        <v>0</v>
      </c>
      <c r="AB62" s="54">
        <v>0</v>
      </c>
      <c r="AC62" s="54">
        <v>0</v>
      </c>
      <c r="AD62" s="54">
        <v>0</v>
      </c>
      <c r="AE62" s="54">
        <v>0</v>
      </c>
      <c r="AF62" s="54">
        <v>0</v>
      </c>
      <c r="AG62" s="54">
        <v>0</v>
      </c>
      <c r="AH62" s="54">
        <v>0</v>
      </c>
      <c r="AI62" s="54">
        <v>0</v>
      </c>
      <c r="AJ62" s="54">
        <v>0</v>
      </c>
      <c r="AK62" s="54">
        <v>0</v>
      </c>
      <c r="AL62" s="54">
        <v>0</v>
      </c>
      <c r="AM62" s="54" t="str">
        <f>I62-J62-K62-L62-M62-N62-O62-P62-Q62-R62-S62-T62-U62-V62-W62-X62-Y62-Z62-AA62-AB62-AC62-AD62-AE62-AF62-AG62+AH62-AI62+AJ62+AK62-AL62</f>
        <v>0</v>
      </c>
      <c r="AN62" s="54"/>
      <c r="AO62" s="27"/>
    </row>
    <row r="63" spans="1:41">
      <c r="A63" s="44">
        <v>35</v>
      </c>
      <c r="B63" s="47" t="s">
        <v>221</v>
      </c>
      <c r="C63" s="48" t="s">
        <v>222</v>
      </c>
      <c r="D63" s="52" t="s">
        <v>62</v>
      </c>
      <c r="E63" s="52" t="s">
        <v>218</v>
      </c>
      <c r="F63" s="55" t="s">
        <v>223</v>
      </c>
      <c r="G63" s="51">
        <v>2</v>
      </c>
      <c r="H63" s="52" t="s">
        <v>224</v>
      </c>
      <c r="I63" s="54">
        <v>0</v>
      </c>
      <c r="J63" s="54">
        <v>0</v>
      </c>
      <c r="K63" s="54">
        <v>22000</v>
      </c>
      <c r="L63" s="54">
        <v>0</v>
      </c>
      <c r="M63" s="54">
        <v>0</v>
      </c>
      <c r="N63" s="54">
        <v>0</v>
      </c>
      <c r="O63" s="54">
        <v>0</v>
      </c>
      <c r="P63" s="54">
        <v>0</v>
      </c>
      <c r="Q63" s="54">
        <v>0</v>
      </c>
      <c r="R63" s="54">
        <v>0</v>
      </c>
      <c r="S63" s="54">
        <v>0</v>
      </c>
      <c r="T63" s="54">
        <v>0</v>
      </c>
      <c r="U63" s="54">
        <v>2263</v>
      </c>
      <c r="V63" s="54">
        <v>0</v>
      </c>
      <c r="W63" s="54">
        <v>0</v>
      </c>
      <c r="X63" s="54">
        <v>0</v>
      </c>
      <c r="Y63" s="54">
        <v>11000</v>
      </c>
      <c r="Z63" s="54">
        <v>0</v>
      </c>
      <c r="AA63" s="54">
        <v>0</v>
      </c>
      <c r="AB63" s="54">
        <v>0</v>
      </c>
      <c r="AC63" s="54">
        <v>0</v>
      </c>
      <c r="AD63" s="54">
        <v>0</v>
      </c>
      <c r="AE63" s="54">
        <v>0</v>
      </c>
      <c r="AF63" s="54">
        <v>0</v>
      </c>
      <c r="AG63" s="54">
        <v>0</v>
      </c>
      <c r="AH63" s="54">
        <v>0</v>
      </c>
      <c r="AI63" s="54">
        <v>0</v>
      </c>
      <c r="AJ63" s="54">
        <v>0</v>
      </c>
      <c r="AK63" s="54">
        <v>0</v>
      </c>
      <c r="AL63" s="54">
        <v>0</v>
      </c>
      <c r="AM63" s="54" t="str">
        <f>I63-J63-K63-L63-M63-N63-O63-P63-Q63-R63-S63-T63-U63-V63-W63-X63-Y63-Z63-AA63-AB63-AC63-AD63-AE63-AF63-AG63+AH63-AI63+AJ63+AK63-AL63</f>
        <v>0</v>
      </c>
      <c r="AN63" s="54"/>
      <c r="AO63" s="27"/>
    </row>
    <row r="64" spans="1:41">
      <c r="A64" s="44">
        <v>36</v>
      </c>
      <c r="B64" s="47" t="s">
        <v>225</v>
      </c>
      <c r="C64" s="48" t="s">
        <v>226</v>
      </c>
      <c r="D64" s="52" t="s">
        <v>62</v>
      </c>
      <c r="E64" s="52" t="s">
        <v>227</v>
      </c>
      <c r="F64" s="55" t="s">
        <v>228</v>
      </c>
      <c r="G64" s="51">
        <v>2</v>
      </c>
      <c r="H64" s="52" t="s">
        <v>229</v>
      </c>
      <c r="I64" s="54">
        <v>0</v>
      </c>
      <c r="J64" s="54">
        <v>0</v>
      </c>
      <c r="K64" s="54">
        <v>22000</v>
      </c>
      <c r="L64" s="54">
        <v>0</v>
      </c>
      <c r="M64" s="54">
        <v>0</v>
      </c>
      <c r="N64" s="54">
        <v>0</v>
      </c>
      <c r="O64" s="54">
        <v>0</v>
      </c>
      <c r="P64" s="54">
        <v>0</v>
      </c>
      <c r="Q64" s="54">
        <v>0</v>
      </c>
      <c r="R64" s="54">
        <v>0</v>
      </c>
      <c r="S64" s="54">
        <v>0</v>
      </c>
      <c r="T64" s="54">
        <v>0</v>
      </c>
      <c r="U64" s="54">
        <v>2263</v>
      </c>
      <c r="V64" s="54">
        <v>0</v>
      </c>
      <c r="W64" s="54">
        <v>0</v>
      </c>
      <c r="X64" s="54">
        <v>0</v>
      </c>
      <c r="Y64" s="54">
        <v>11000</v>
      </c>
      <c r="Z64" s="54">
        <v>0</v>
      </c>
      <c r="AA64" s="54">
        <v>0</v>
      </c>
      <c r="AB64" s="54">
        <v>0</v>
      </c>
      <c r="AC64" s="54">
        <v>0</v>
      </c>
      <c r="AD64" s="54">
        <v>0</v>
      </c>
      <c r="AE64" s="54">
        <v>0</v>
      </c>
      <c r="AF64" s="54">
        <v>0</v>
      </c>
      <c r="AG64" s="54">
        <v>0</v>
      </c>
      <c r="AH64" s="54">
        <v>0</v>
      </c>
      <c r="AI64" s="54">
        <v>0</v>
      </c>
      <c r="AJ64" s="54">
        <v>0</v>
      </c>
      <c r="AK64" s="54">
        <v>0</v>
      </c>
      <c r="AL64" s="54">
        <v>0</v>
      </c>
      <c r="AM64" s="54" t="str">
        <f>I64-J64-K64-L64-M64-N64-O64-P64-Q64-R64-S64-T64-U64-V64-W64-X64-Y64-Z64-AA64-AB64-AC64-AD64-AE64-AF64-AG64+AH64-AI64+AJ64+AK64-AL64</f>
        <v>0</v>
      </c>
      <c r="AN64" s="54"/>
      <c r="AO64" s="27"/>
    </row>
    <row r="65" spans="1:41">
      <c r="A65" s="44">
        <v>37</v>
      </c>
      <c r="B65" s="47" t="s">
        <v>230</v>
      </c>
      <c r="C65" s="48" t="s">
        <v>231</v>
      </c>
      <c r="D65" s="52" t="s">
        <v>73</v>
      </c>
      <c r="E65" s="52" t="s">
        <v>232</v>
      </c>
      <c r="F65" s="55" t="s">
        <v>233</v>
      </c>
      <c r="G65" s="51">
        <v>11</v>
      </c>
      <c r="H65" s="52" t="s">
        <v>234</v>
      </c>
      <c r="I65" s="54">
        <v>1010000</v>
      </c>
      <c r="J65" s="54">
        <v>0</v>
      </c>
      <c r="K65" s="54">
        <v>44000</v>
      </c>
      <c r="L65" s="54">
        <v>0</v>
      </c>
      <c r="M65" s="54">
        <v>0</v>
      </c>
      <c r="N65" s="54">
        <v>0</v>
      </c>
      <c r="O65" s="54">
        <v>0</v>
      </c>
      <c r="P65" s="54">
        <v>0</v>
      </c>
      <c r="Q65" s="54">
        <v>0</v>
      </c>
      <c r="R65" s="54">
        <v>0</v>
      </c>
      <c r="S65" s="54">
        <v>0</v>
      </c>
      <c r="T65" s="54">
        <v>0</v>
      </c>
      <c r="U65" s="54">
        <v>4527</v>
      </c>
      <c r="V65" s="54">
        <v>0</v>
      </c>
      <c r="W65" s="54">
        <v>0</v>
      </c>
      <c r="X65" s="54">
        <v>0</v>
      </c>
      <c r="Y65" s="54">
        <v>0</v>
      </c>
      <c r="Z65" s="54">
        <v>0</v>
      </c>
      <c r="AA65" s="54">
        <v>0</v>
      </c>
      <c r="AB65" s="54">
        <v>0</v>
      </c>
      <c r="AC65" s="54">
        <v>0</v>
      </c>
      <c r="AD65" s="54">
        <v>10000</v>
      </c>
      <c r="AE65" s="54">
        <v>0</v>
      </c>
      <c r="AF65" s="54">
        <v>0</v>
      </c>
      <c r="AG65" s="54">
        <v>0</v>
      </c>
      <c r="AH65" s="54">
        <v>0</v>
      </c>
      <c r="AI65" s="54">
        <v>0</v>
      </c>
      <c r="AJ65" s="54">
        <v>0</v>
      </c>
      <c r="AK65" s="54">
        <v>0</v>
      </c>
      <c r="AL65" s="54">
        <v>0</v>
      </c>
      <c r="AM65" s="54" t="str">
        <f>I65-J65-K65-L65-M65-N65-O65-P65-Q65-R65-S65-T65-U65-V65-W65-X65-Y65-Z65-AA65-AB65-AC65-AD65-AE65-AF65-AG65+AH65-AI65+AJ65+AK65-AL65</f>
        <v>0</v>
      </c>
      <c r="AN65" s="54"/>
      <c r="AO65" s="27"/>
    </row>
    <row r="66" spans="1:41">
      <c r="A66" s="44">
        <v>38</v>
      </c>
      <c r="B66" s="47" t="s">
        <v>235</v>
      </c>
      <c r="C66" s="48" t="s">
        <v>236</v>
      </c>
      <c r="D66" s="52" t="s">
        <v>62</v>
      </c>
      <c r="E66" s="52" t="s">
        <v>232</v>
      </c>
      <c r="F66" s="55" t="s">
        <v>210</v>
      </c>
      <c r="G66" s="51">
        <v>2</v>
      </c>
      <c r="H66" s="52" t="s">
        <v>237</v>
      </c>
      <c r="I66" s="54">
        <v>0</v>
      </c>
      <c r="J66" s="54">
        <v>0</v>
      </c>
      <c r="K66" s="54">
        <v>22000</v>
      </c>
      <c r="L66" s="54">
        <v>0</v>
      </c>
      <c r="M66" s="54">
        <v>0</v>
      </c>
      <c r="N66" s="54">
        <v>0</v>
      </c>
      <c r="O66" s="54">
        <v>0</v>
      </c>
      <c r="P66" s="54">
        <v>0</v>
      </c>
      <c r="Q66" s="54">
        <v>0</v>
      </c>
      <c r="R66" s="54">
        <v>0</v>
      </c>
      <c r="S66" s="54">
        <v>0</v>
      </c>
      <c r="T66" s="54">
        <v>0</v>
      </c>
      <c r="U66" s="54">
        <v>2263</v>
      </c>
      <c r="V66" s="54">
        <v>0</v>
      </c>
      <c r="W66" s="54">
        <v>0</v>
      </c>
      <c r="X66" s="54">
        <v>0</v>
      </c>
      <c r="Y66" s="54">
        <v>11000</v>
      </c>
      <c r="Z66" s="54">
        <v>0</v>
      </c>
      <c r="AA66" s="54">
        <v>0</v>
      </c>
      <c r="AB66" s="54">
        <v>0</v>
      </c>
      <c r="AC66" s="54">
        <v>0</v>
      </c>
      <c r="AD66" s="54">
        <v>0</v>
      </c>
      <c r="AE66" s="54">
        <v>0</v>
      </c>
      <c r="AF66" s="54">
        <v>0</v>
      </c>
      <c r="AG66" s="54">
        <v>0</v>
      </c>
      <c r="AH66" s="54">
        <v>0</v>
      </c>
      <c r="AI66" s="54">
        <v>0</v>
      </c>
      <c r="AJ66" s="54">
        <v>0</v>
      </c>
      <c r="AK66" s="54">
        <v>0</v>
      </c>
      <c r="AL66" s="54">
        <v>0</v>
      </c>
      <c r="AM66" s="54" t="str">
        <f>I66-J66-K66-L66-M66-N66-O66-P66-Q66-R66-S66-T66-U66-V66-W66-X66-Y66-Z66-AA66-AB66-AC66-AD66-AE66-AF66-AG66+AH66-AI66+AJ66+AK66-AL66</f>
        <v>0</v>
      </c>
      <c r="AN66" s="54"/>
      <c r="AO66" s="27"/>
    </row>
    <row r="67" spans="1:41">
      <c r="A67" s="44">
        <v>39</v>
      </c>
      <c r="B67" s="47" t="s">
        <v>238</v>
      </c>
      <c r="C67" s="48" t="s">
        <v>239</v>
      </c>
      <c r="D67" s="52" t="s">
        <v>62</v>
      </c>
      <c r="E67" s="52" t="s">
        <v>240</v>
      </c>
      <c r="F67" s="55" t="s">
        <v>241</v>
      </c>
      <c r="G67" s="51">
        <v>4</v>
      </c>
      <c r="H67" s="52" t="s">
        <v>242</v>
      </c>
      <c r="I67" s="54">
        <v>0</v>
      </c>
      <c r="J67" s="54">
        <v>0</v>
      </c>
      <c r="K67" s="54">
        <v>25000</v>
      </c>
      <c r="L67" s="54">
        <v>0</v>
      </c>
      <c r="M67" s="54">
        <v>0</v>
      </c>
      <c r="N67" s="54">
        <v>0</v>
      </c>
      <c r="O67" s="54">
        <v>0</v>
      </c>
      <c r="P67" s="54">
        <v>0</v>
      </c>
      <c r="Q67" s="54">
        <v>0</v>
      </c>
      <c r="R67" s="54">
        <v>0</v>
      </c>
      <c r="S67" s="54">
        <v>0</v>
      </c>
      <c r="T67" s="54">
        <v>0</v>
      </c>
      <c r="U67" s="54">
        <v>2572</v>
      </c>
      <c r="V67" s="54">
        <v>0</v>
      </c>
      <c r="W67" s="54">
        <v>0</v>
      </c>
      <c r="X67" s="54">
        <v>0</v>
      </c>
      <c r="Y67" s="54">
        <v>12500</v>
      </c>
      <c r="Z67" s="54">
        <v>0</v>
      </c>
      <c r="AA67" s="54">
        <v>0</v>
      </c>
      <c r="AB67" s="54">
        <v>0</v>
      </c>
      <c r="AC67" s="54">
        <v>0</v>
      </c>
      <c r="AD67" s="54">
        <v>0</v>
      </c>
      <c r="AE67" s="54">
        <v>0</v>
      </c>
      <c r="AF67" s="54">
        <v>0</v>
      </c>
      <c r="AG67" s="54">
        <v>0</v>
      </c>
      <c r="AH67" s="54">
        <v>0</v>
      </c>
      <c r="AI67" s="54">
        <v>0</v>
      </c>
      <c r="AJ67" s="54">
        <v>0</v>
      </c>
      <c r="AK67" s="54">
        <v>0</v>
      </c>
      <c r="AL67" s="54">
        <v>0</v>
      </c>
      <c r="AM67" s="54" t="str">
        <f>I67-J67-K67-L67-M67-N67-O67-P67-Q67-R67-S67-T67-U67-V67-W67-X67-Y67-Z67-AA67-AB67-AC67-AD67-AE67-AF67-AG67+AH67-AI67+AJ67+AK67-AL67</f>
        <v>0</v>
      </c>
      <c r="AN67" s="54"/>
      <c r="AO67" s="27"/>
    </row>
    <row r="68" spans="1:41">
      <c r="A68" s="44">
        <v>40</v>
      </c>
      <c r="B68" s="47" t="s">
        <v>243</v>
      </c>
      <c r="C68" s="48" t="s">
        <v>244</v>
      </c>
      <c r="D68" s="52" t="s">
        <v>73</v>
      </c>
      <c r="E68" s="52" t="s">
        <v>240</v>
      </c>
      <c r="F68" s="55" t="s">
        <v>245</v>
      </c>
      <c r="G68" s="51">
        <v>4</v>
      </c>
      <c r="H68" s="52" t="s">
        <v>246</v>
      </c>
      <c r="I68" s="54">
        <v>245000</v>
      </c>
      <c r="J68" s="54">
        <v>0</v>
      </c>
      <c r="K68" s="54">
        <v>25000</v>
      </c>
      <c r="L68" s="54">
        <v>0</v>
      </c>
      <c r="M68" s="54">
        <v>0</v>
      </c>
      <c r="N68" s="54">
        <v>0</v>
      </c>
      <c r="O68" s="54">
        <v>0</v>
      </c>
      <c r="P68" s="54">
        <v>0</v>
      </c>
      <c r="Q68" s="54">
        <v>0</v>
      </c>
      <c r="R68" s="54">
        <v>0</v>
      </c>
      <c r="S68" s="54">
        <v>0</v>
      </c>
      <c r="T68" s="54">
        <v>0</v>
      </c>
      <c r="U68" s="54">
        <v>2572</v>
      </c>
      <c r="V68" s="54">
        <v>0</v>
      </c>
      <c r="W68" s="54">
        <v>0</v>
      </c>
      <c r="X68" s="54">
        <v>0</v>
      </c>
      <c r="Y68" s="54">
        <v>0</v>
      </c>
      <c r="Z68" s="54">
        <v>0</v>
      </c>
      <c r="AA68" s="54">
        <v>0</v>
      </c>
      <c r="AB68" s="54">
        <v>0</v>
      </c>
      <c r="AC68" s="54">
        <v>0</v>
      </c>
      <c r="AD68" s="54">
        <v>0</v>
      </c>
      <c r="AE68" s="54">
        <v>0</v>
      </c>
      <c r="AF68" s="54">
        <v>0</v>
      </c>
      <c r="AG68" s="54">
        <v>0</v>
      </c>
      <c r="AH68" s="54">
        <v>0</v>
      </c>
      <c r="AI68" s="54">
        <v>0</v>
      </c>
      <c r="AJ68" s="54">
        <v>0</v>
      </c>
      <c r="AK68" s="54">
        <v>0</v>
      </c>
      <c r="AL68" s="54">
        <v>0</v>
      </c>
      <c r="AM68" s="54" t="str">
        <f>I68-J68-K68-L68-M68-N68-O68-P68-Q68-R68-S68-T68-U68-V68-W68-X68-Y68-Z68-AA68-AB68-AC68-AD68-AE68-AF68-AG68+AH68-AI68+AJ68+AK68-AL68</f>
        <v>0</v>
      </c>
      <c r="AN68" s="54"/>
      <c r="AO68" s="27"/>
    </row>
    <row r="69" spans="1:41">
      <c r="A69" s="44">
        <v>41</v>
      </c>
      <c r="B69" s="47" t="s">
        <v>247</v>
      </c>
      <c r="C69" s="48" t="s">
        <v>248</v>
      </c>
      <c r="D69" s="52" t="s">
        <v>73</v>
      </c>
      <c r="E69" s="52" t="s">
        <v>249</v>
      </c>
      <c r="F69" s="55" t="s">
        <v>250</v>
      </c>
      <c r="G69" s="51">
        <v>8</v>
      </c>
      <c r="H69" s="52" t="s">
        <v>251</v>
      </c>
      <c r="I69" s="54">
        <v>0</v>
      </c>
      <c r="J69" s="54">
        <v>0</v>
      </c>
      <c r="K69" s="54">
        <v>39000</v>
      </c>
      <c r="L69" s="54">
        <v>0</v>
      </c>
      <c r="M69" s="54">
        <v>0</v>
      </c>
      <c r="N69" s="54">
        <v>0</v>
      </c>
      <c r="O69" s="54">
        <v>0</v>
      </c>
      <c r="P69" s="54">
        <v>0</v>
      </c>
      <c r="Q69" s="54">
        <v>0</v>
      </c>
      <c r="R69" s="54">
        <v>0</v>
      </c>
      <c r="S69" s="54">
        <v>0</v>
      </c>
      <c r="T69" s="54">
        <v>0</v>
      </c>
      <c r="U69" s="54">
        <v>4013</v>
      </c>
      <c r="V69" s="54">
        <v>0</v>
      </c>
      <c r="W69" s="54">
        <v>0</v>
      </c>
      <c r="X69" s="54">
        <v>0</v>
      </c>
      <c r="Y69" s="54">
        <v>19500</v>
      </c>
      <c r="Z69" s="54">
        <v>0</v>
      </c>
      <c r="AA69" s="54">
        <v>0</v>
      </c>
      <c r="AB69" s="54">
        <v>0</v>
      </c>
      <c r="AC69" s="54">
        <v>0</v>
      </c>
      <c r="AD69" s="54">
        <v>0</v>
      </c>
      <c r="AE69" s="54">
        <v>0</v>
      </c>
      <c r="AF69" s="54">
        <v>0</v>
      </c>
      <c r="AG69" s="54">
        <v>0</v>
      </c>
      <c r="AH69" s="54">
        <v>0</v>
      </c>
      <c r="AI69" s="54">
        <v>0</v>
      </c>
      <c r="AJ69" s="54">
        <v>0</v>
      </c>
      <c r="AK69" s="54">
        <v>0</v>
      </c>
      <c r="AL69" s="54">
        <v>0</v>
      </c>
      <c r="AM69" s="54" t="str">
        <f>I69-J69-K69-L69-M69-N69-O69-P69-Q69-R69-S69-T69-U69-V69-W69-X69-Y69-Z69-AA69-AB69-AC69-AD69-AE69-AF69-AG69+AH69-AI69+AJ69+AK69-AL69</f>
        <v>0</v>
      </c>
      <c r="AN69" s="54"/>
      <c r="AO69" s="27"/>
    </row>
    <row r="70" spans="1:41">
      <c r="A70" s="44">
        <v>42</v>
      </c>
      <c r="B70" s="47" t="s">
        <v>252</v>
      </c>
      <c r="C70" s="48" t="s">
        <v>253</v>
      </c>
      <c r="D70" s="52" t="s">
        <v>73</v>
      </c>
      <c r="E70" s="52" t="s">
        <v>249</v>
      </c>
      <c r="F70" s="55" t="s">
        <v>254</v>
      </c>
      <c r="G70" s="51">
        <v>4</v>
      </c>
      <c r="H70" s="52" t="s">
        <v>255</v>
      </c>
      <c r="I70" s="54">
        <v>0</v>
      </c>
      <c r="J70" s="54">
        <v>0</v>
      </c>
      <c r="K70" s="54">
        <v>25000</v>
      </c>
      <c r="L70" s="54">
        <v>0</v>
      </c>
      <c r="M70" s="54">
        <v>0</v>
      </c>
      <c r="N70" s="54">
        <v>0</v>
      </c>
      <c r="O70" s="54">
        <v>0</v>
      </c>
      <c r="P70" s="54">
        <v>0</v>
      </c>
      <c r="Q70" s="54">
        <v>0</v>
      </c>
      <c r="R70" s="54">
        <v>0</v>
      </c>
      <c r="S70" s="54">
        <v>0</v>
      </c>
      <c r="T70" s="54">
        <v>0</v>
      </c>
      <c r="U70" s="54">
        <v>2572</v>
      </c>
      <c r="V70" s="54">
        <v>0</v>
      </c>
      <c r="W70" s="54">
        <v>0</v>
      </c>
      <c r="X70" s="54">
        <v>0</v>
      </c>
      <c r="Y70" s="54">
        <v>12500</v>
      </c>
      <c r="Z70" s="54">
        <v>0</v>
      </c>
      <c r="AA70" s="54">
        <v>0</v>
      </c>
      <c r="AB70" s="54">
        <v>0</v>
      </c>
      <c r="AC70" s="54">
        <v>0</v>
      </c>
      <c r="AD70" s="54">
        <v>0</v>
      </c>
      <c r="AE70" s="54">
        <v>0</v>
      </c>
      <c r="AF70" s="54">
        <v>0</v>
      </c>
      <c r="AG70" s="54">
        <v>0</v>
      </c>
      <c r="AH70" s="54">
        <v>0</v>
      </c>
      <c r="AI70" s="54">
        <v>0</v>
      </c>
      <c r="AJ70" s="54">
        <v>0</v>
      </c>
      <c r="AK70" s="54">
        <v>0</v>
      </c>
      <c r="AL70" s="54">
        <v>0</v>
      </c>
      <c r="AM70" s="54" t="str">
        <f>I70-J70-K70-L70-M70-N70-O70-P70-Q70-R70-S70-T70-U70-V70-W70-X70-Y70-Z70-AA70-AB70-AC70-AD70-AE70-AF70-AG70+AH70-AI70+AJ70+AK70-AL70</f>
        <v>0</v>
      </c>
      <c r="AN70" s="54"/>
      <c r="AO70" s="27"/>
    </row>
    <row r="71" spans="1:41">
      <c r="A71" s="44">
        <v>43</v>
      </c>
      <c r="B71" s="47" t="s">
        <v>256</v>
      </c>
      <c r="C71" s="48" t="s">
        <v>257</v>
      </c>
      <c r="D71" s="52" t="s">
        <v>62</v>
      </c>
      <c r="E71" s="52" t="s">
        <v>258</v>
      </c>
      <c r="F71" s="55" t="s">
        <v>259</v>
      </c>
      <c r="G71" s="51">
        <v>6</v>
      </c>
      <c r="H71" s="52" t="s">
        <v>260</v>
      </c>
      <c r="I71" s="54">
        <v>0</v>
      </c>
      <c r="J71" s="54">
        <v>0</v>
      </c>
      <c r="K71" s="54">
        <v>31000</v>
      </c>
      <c r="L71" s="54">
        <v>0</v>
      </c>
      <c r="M71" s="54">
        <v>0</v>
      </c>
      <c r="N71" s="54">
        <v>0</v>
      </c>
      <c r="O71" s="54">
        <v>0</v>
      </c>
      <c r="P71" s="54">
        <v>0</v>
      </c>
      <c r="Q71" s="54">
        <v>0</v>
      </c>
      <c r="R71" s="54">
        <v>0</v>
      </c>
      <c r="S71" s="54">
        <v>0</v>
      </c>
      <c r="T71" s="54">
        <v>0</v>
      </c>
      <c r="U71" s="54">
        <v>3189</v>
      </c>
      <c r="V71" s="54">
        <v>0</v>
      </c>
      <c r="W71" s="54">
        <v>0</v>
      </c>
      <c r="X71" s="54">
        <v>0</v>
      </c>
      <c r="Y71" s="54">
        <v>15500</v>
      </c>
      <c r="Z71" s="54">
        <v>0</v>
      </c>
      <c r="AA71" s="54">
        <v>0</v>
      </c>
      <c r="AB71" s="54">
        <v>0</v>
      </c>
      <c r="AC71" s="54">
        <v>0</v>
      </c>
      <c r="AD71" s="54">
        <v>0</v>
      </c>
      <c r="AE71" s="54">
        <v>0</v>
      </c>
      <c r="AF71" s="54">
        <v>0</v>
      </c>
      <c r="AG71" s="54">
        <v>0</v>
      </c>
      <c r="AH71" s="54">
        <v>0</v>
      </c>
      <c r="AI71" s="54">
        <v>0</v>
      </c>
      <c r="AJ71" s="54">
        <v>0</v>
      </c>
      <c r="AK71" s="54">
        <v>0</v>
      </c>
      <c r="AL71" s="54">
        <v>0</v>
      </c>
      <c r="AM71" s="54" t="str">
        <f>I71-J71-K71-L71-M71-N71-O71-P71-Q71-R71-S71-T71-U71-V71-W71-X71-Y71-Z71-AA71-AB71-AC71-AD71-AE71-AF71-AG71+AH71-AI71+AJ71+AK71-AL71</f>
        <v>0</v>
      </c>
      <c r="AN71" s="54"/>
      <c r="AO71" s="27"/>
    </row>
    <row r="72" spans="1:41">
      <c r="A72" s="44">
        <v>44</v>
      </c>
      <c r="B72" s="47" t="s">
        <v>261</v>
      </c>
      <c r="C72" s="48" t="s">
        <v>262</v>
      </c>
      <c r="D72" s="52" t="s">
        <v>62</v>
      </c>
      <c r="E72" s="52" t="s">
        <v>263</v>
      </c>
      <c r="F72" s="55" t="s">
        <v>264</v>
      </c>
      <c r="G72" s="51">
        <v>7</v>
      </c>
      <c r="H72" s="52" t="s">
        <v>265</v>
      </c>
      <c r="I72" s="54">
        <v>0</v>
      </c>
      <c r="J72" s="54">
        <v>0</v>
      </c>
      <c r="K72" s="54">
        <v>35000</v>
      </c>
      <c r="L72" s="54">
        <v>0</v>
      </c>
      <c r="M72" s="54">
        <v>0</v>
      </c>
      <c r="N72" s="54">
        <v>0</v>
      </c>
      <c r="O72" s="54">
        <v>0</v>
      </c>
      <c r="P72" s="54">
        <v>0</v>
      </c>
      <c r="Q72" s="54">
        <v>0</v>
      </c>
      <c r="R72" s="54">
        <v>0</v>
      </c>
      <c r="S72" s="54">
        <v>0</v>
      </c>
      <c r="T72" s="54">
        <v>0</v>
      </c>
      <c r="U72" s="54">
        <v>3601</v>
      </c>
      <c r="V72" s="54">
        <v>0</v>
      </c>
      <c r="W72" s="54">
        <v>0</v>
      </c>
      <c r="X72" s="54">
        <v>0</v>
      </c>
      <c r="Y72" s="54">
        <v>17500</v>
      </c>
      <c r="Z72" s="54">
        <v>0</v>
      </c>
      <c r="AA72" s="54">
        <v>0</v>
      </c>
      <c r="AB72" s="54">
        <v>0</v>
      </c>
      <c r="AC72" s="54">
        <v>0</v>
      </c>
      <c r="AD72" s="54">
        <v>0</v>
      </c>
      <c r="AE72" s="54">
        <v>0</v>
      </c>
      <c r="AF72" s="54">
        <v>0</v>
      </c>
      <c r="AG72" s="54">
        <v>0</v>
      </c>
      <c r="AH72" s="54">
        <v>0</v>
      </c>
      <c r="AI72" s="54">
        <v>0</v>
      </c>
      <c r="AJ72" s="54">
        <v>0</v>
      </c>
      <c r="AK72" s="54">
        <v>0</v>
      </c>
      <c r="AL72" s="54">
        <v>0</v>
      </c>
      <c r="AM72" s="54" t="str">
        <f>I72-J72-K72-L72-M72-N72-O72-P72-Q72-R72-S72-T72-U72-V72-W72-X72-Y72-Z72-AA72-AB72-AC72-AD72-AE72-AF72-AG72+AH72-AI72+AJ72+AK72-AL72</f>
        <v>0</v>
      </c>
      <c r="AN72" s="54"/>
      <c r="AO72" s="27"/>
    </row>
    <row r="73" spans="1:41">
      <c r="A73" s="44">
        <v>45</v>
      </c>
      <c r="B73" s="47" t="s">
        <v>266</v>
      </c>
      <c r="C73" s="48" t="s">
        <v>267</v>
      </c>
      <c r="D73" s="52" t="s">
        <v>62</v>
      </c>
      <c r="E73" s="52" t="s">
        <v>263</v>
      </c>
      <c r="F73" s="55" t="s">
        <v>268</v>
      </c>
      <c r="G73" s="51">
        <v>3</v>
      </c>
      <c r="H73" s="52" t="s">
        <v>269</v>
      </c>
      <c r="I73" s="54">
        <v>0</v>
      </c>
      <c r="J73" s="54">
        <v>0</v>
      </c>
      <c r="K73" s="54">
        <v>22000</v>
      </c>
      <c r="L73" s="54">
        <v>0</v>
      </c>
      <c r="M73" s="54">
        <v>0</v>
      </c>
      <c r="N73" s="54">
        <v>0</v>
      </c>
      <c r="O73" s="54">
        <v>0</v>
      </c>
      <c r="P73" s="54">
        <v>0</v>
      </c>
      <c r="Q73" s="54">
        <v>0</v>
      </c>
      <c r="R73" s="54">
        <v>0</v>
      </c>
      <c r="S73" s="54">
        <v>0</v>
      </c>
      <c r="T73" s="54">
        <v>0</v>
      </c>
      <c r="U73" s="54">
        <v>2263</v>
      </c>
      <c r="V73" s="54">
        <v>0</v>
      </c>
      <c r="W73" s="54">
        <v>0</v>
      </c>
      <c r="X73" s="54">
        <v>0</v>
      </c>
      <c r="Y73" s="54">
        <v>11000</v>
      </c>
      <c r="Z73" s="54">
        <v>0</v>
      </c>
      <c r="AA73" s="54">
        <v>0</v>
      </c>
      <c r="AB73" s="54">
        <v>0</v>
      </c>
      <c r="AC73" s="54">
        <v>0</v>
      </c>
      <c r="AD73" s="54">
        <v>0</v>
      </c>
      <c r="AE73" s="54">
        <v>0</v>
      </c>
      <c r="AF73" s="54">
        <v>0</v>
      </c>
      <c r="AG73" s="54">
        <v>0</v>
      </c>
      <c r="AH73" s="54">
        <v>0</v>
      </c>
      <c r="AI73" s="54">
        <v>0</v>
      </c>
      <c r="AJ73" s="54">
        <v>0</v>
      </c>
      <c r="AK73" s="54">
        <v>0</v>
      </c>
      <c r="AL73" s="54">
        <v>0</v>
      </c>
      <c r="AM73" s="54" t="str">
        <f>I73-J73-K73-L73-M73-N73-O73-P73-Q73-R73-S73-T73-U73-V73-W73-X73-Y73-Z73-AA73-AB73-AC73-AD73-AE73-AF73-AG73+AH73-AI73+AJ73+AK73-AL73</f>
        <v>0</v>
      </c>
      <c r="AN73" s="54"/>
      <c r="AO73" s="27"/>
    </row>
    <row r="74" spans="1:41">
      <c r="A74" s="44">
        <v>46</v>
      </c>
      <c r="B74" s="47" t="s">
        <v>270</v>
      </c>
      <c r="C74" s="48" t="s">
        <v>271</v>
      </c>
      <c r="D74" s="52" t="s">
        <v>62</v>
      </c>
      <c r="E74" s="52" t="s">
        <v>272</v>
      </c>
      <c r="F74" s="55" t="s">
        <v>273</v>
      </c>
      <c r="G74" s="51">
        <v>3</v>
      </c>
      <c r="H74" s="52" t="s">
        <v>274</v>
      </c>
      <c r="I74" s="54">
        <v>0</v>
      </c>
      <c r="J74" s="54">
        <v>0</v>
      </c>
      <c r="K74" s="54">
        <v>22000</v>
      </c>
      <c r="L74" s="54">
        <v>0</v>
      </c>
      <c r="M74" s="54">
        <v>0</v>
      </c>
      <c r="N74" s="54">
        <v>0</v>
      </c>
      <c r="O74" s="54">
        <v>0</v>
      </c>
      <c r="P74" s="54">
        <v>0</v>
      </c>
      <c r="Q74" s="54">
        <v>0</v>
      </c>
      <c r="R74" s="54">
        <v>0</v>
      </c>
      <c r="S74" s="54">
        <v>0</v>
      </c>
      <c r="T74" s="54">
        <v>0</v>
      </c>
      <c r="U74" s="54">
        <v>2263</v>
      </c>
      <c r="V74" s="54">
        <v>0</v>
      </c>
      <c r="W74" s="54">
        <v>0</v>
      </c>
      <c r="X74" s="54">
        <v>0</v>
      </c>
      <c r="Y74" s="54">
        <v>11000</v>
      </c>
      <c r="Z74" s="54">
        <v>0</v>
      </c>
      <c r="AA74" s="54">
        <v>0</v>
      </c>
      <c r="AB74" s="54">
        <v>0</v>
      </c>
      <c r="AC74" s="54">
        <v>0</v>
      </c>
      <c r="AD74" s="54">
        <v>0</v>
      </c>
      <c r="AE74" s="54">
        <v>0</v>
      </c>
      <c r="AF74" s="54">
        <v>0</v>
      </c>
      <c r="AG74" s="54">
        <v>0</v>
      </c>
      <c r="AH74" s="54">
        <v>0</v>
      </c>
      <c r="AI74" s="54">
        <v>0</v>
      </c>
      <c r="AJ74" s="54">
        <v>0</v>
      </c>
      <c r="AK74" s="54">
        <v>0</v>
      </c>
      <c r="AL74" s="54">
        <v>0</v>
      </c>
      <c r="AM74" s="54" t="str">
        <f>I74-J74-K74-L74-M74-N74-O74-P74-Q74-R74-S74-T74-U74-V74-W74-X74-Y74-Z74-AA74-AB74-AC74-AD74-AE74-AF74-AG74+AH74-AI74+AJ74+AK74-AL74</f>
        <v>0</v>
      </c>
      <c r="AN74" s="54"/>
      <c r="AO74" s="27"/>
    </row>
    <row r="75" spans="1:41">
      <c r="A75" s="44">
        <v>47</v>
      </c>
      <c r="B75" s="47" t="s">
        <v>275</v>
      </c>
      <c r="C75" s="48" t="s">
        <v>276</v>
      </c>
      <c r="D75" s="52" t="s">
        <v>73</v>
      </c>
      <c r="E75" s="52" t="s">
        <v>277</v>
      </c>
      <c r="F75" s="55" t="s">
        <v>278</v>
      </c>
      <c r="G75" s="51">
        <v>3</v>
      </c>
      <c r="H75" s="52" t="s">
        <v>279</v>
      </c>
      <c r="I75" s="54">
        <v>525000</v>
      </c>
      <c r="J75" s="54">
        <v>0</v>
      </c>
      <c r="K75" s="54">
        <v>22000</v>
      </c>
      <c r="L75" s="54">
        <v>0</v>
      </c>
      <c r="M75" s="54">
        <v>0</v>
      </c>
      <c r="N75" s="54">
        <v>0</v>
      </c>
      <c r="O75" s="54">
        <v>0</v>
      </c>
      <c r="P75" s="54">
        <v>0</v>
      </c>
      <c r="Q75" s="54">
        <v>0</v>
      </c>
      <c r="R75" s="54">
        <v>0</v>
      </c>
      <c r="S75" s="54">
        <v>0</v>
      </c>
      <c r="T75" s="54">
        <v>0</v>
      </c>
      <c r="U75" s="54">
        <v>2263</v>
      </c>
      <c r="V75" s="54">
        <v>0</v>
      </c>
      <c r="W75" s="54">
        <v>0</v>
      </c>
      <c r="X75" s="54">
        <v>0</v>
      </c>
      <c r="Y75" s="54">
        <v>0</v>
      </c>
      <c r="Z75" s="54">
        <v>0</v>
      </c>
      <c r="AA75" s="54">
        <v>0</v>
      </c>
      <c r="AB75" s="54">
        <v>0</v>
      </c>
      <c r="AC75" s="54">
        <v>0</v>
      </c>
      <c r="AD75" s="54">
        <v>0</v>
      </c>
      <c r="AE75" s="54">
        <v>0</v>
      </c>
      <c r="AF75" s="54">
        <v>0</v>
      </c>
      <c r="AG75" s="54">
        <v>0</v>
      </c>
      <c r="AH75" s="54">
        <v>0</v>
      </c>
      <c r="AI75" s="54">
        <v>0</v>
      </c>
      <c r="AJ75" s="54">
        <v>0</v>
      </c>
      <c r="AK75" s="54">
        <v>0</v>
      </c>
      <c r="AL75" s="54">
        <v>0</v>
      </c>
      <c r="AM75" s="54" t="str">
        <f>I75-J75-K75-L75-M75-N75-O75-P75-Q75-R75-S75-T75-U75-V75-W75-X75-Y75-Z75-AA75-AB75-AC75-AD75-AE75-AF75-AG75+AH75-AI75+AJ75+AK75-AL75</f>
        <v>0</v>
      </c>
      <c r="AN75" s="54"/>
      <c r="AO75" s="27"/>
    </row>
    <row r="76" spans="1:41">
      <c r="A76" s="44">
        <v>48</v>
      </c>
      <c r="B76" s="47" t="s">
        <v>280</v>
      </c>
      <c r="C76" s="48" t="s">
        <v>281</v>
      </c>
      <c r="D76" s="52" t="s">
        <v>62</v>
      </c>
      <c r="E76" s="52" t="s">
        <v>282</v>
      </c>
      <c r="F76" s="55" t="s">
        <v>283</v>
      </c>
      <c r="G76" s="51">
        <v>2</v>
      </c>
      <c r="H76" s="52" t="s">
        <v>284</v>
      </c>
      <c r="I76" s="54">
        <v>0</v>
      </c>
      <c r="J76" s="54">
        <v>0</v>
      </c>
      <c r="K76" s="54">
        <v>22000</v>
      </c>
      <c r="L76" s="54">
        <v>0</v>
      </c>
      <c r="M76" s="54">
        <v>0</v>
      </c>
      <c r="N76" s="54">
        <v>0</v>
      </c>
      <c r="O76" s="54">
        <v>0</v>
      </c>
      <c r="P76" s="54">
        <v>0</v>
      </c>
      <c r="Q76" s="54">
        <v>0</v>
      </c>
      <c r="R76" s="54">
        <v>0</v>
      </c>
      <c r="S76" s="54">
        <v>0</v>
      </c>
      <c r="T76" s="54">
        <v>0</v>
      </c>
      <c r="U76" s="54">
        <v>2263</v>
      </c>
      <c r="V76" s="54">
        <v>0</v>
      </c>
      <c r="W76" s="54">
        <v>0</v>
      </c>
      <c r="X76" s="54">
        <v>0</v>
      </c>
      <c r="Y76" s="54">
        <v>5000</v>
      </c>
      <c r="Z76" s="54">
        <v>0</v>
      </c>
      <c r="AA76" s="54">
        <v>0</v>
      </c>
      <c r="AB76" s="54">
        <v>0</v>
      </c>
      <c r="AC76" s="54">
        <v>0</v>
      </c>
      <c r="AD76" s="54">
        <v>0</v>
      </c>
      <c r="AE76" s="54">
        <v>0</v>
      </c>
      <c r="AF76" s="54">
        <v>0</v>
      </c>
      <c r="AG76" s="54">
        <v>0</v>
      </c>
      <c r="AH76" s="54">
        <v>0</v>
      </c>
      <c r="AI76" s="54">
        <v>0</v>
      </c>
      <c r="AJ76" s="54">
        <v>0</v>
      </c>
      <c r="AK76" s="54">
        <v>0</v>
      </c>
      <c r="AL76" s="54">
        <v>0</v>
      </c>
      <c r="AM76" s="54" t="str">
        <f>I76-J76-K76-L76-M76-N76-O76-P76-Q76-R76-S76-T76-U76-V76-W76-X76-Y76-Z76-AA76-AB76-AC76-AD76-AE76-AF76-AG76+AH76-AI76+AJ76+AK76-AL76</f>
        <v>0</v>
      </c>
      <c r="AN76" s="54"/>
      <c r="AO76" s="27"/>
    </row>
    <row r="77" spans="1:41">
      <c r="A77" s="44">
        <v>49</v>
      </c>
      <c r="B77" s="47" t="s">
        <v>285</v>
      </c>
      <c r="C77" s="48" t="s">
        <v>286</v>
      </c>
      <c r="D77" s="52" t="s">
        <v>62</v>
      </c>
      <c r="E77" s="52" t="s">
        <v>287</v>
      </c>
      <c r="F77" s="55" t="s">
        <v>288</v>
      </c>
      <c r="G77" s="51">
        <v>2</v>
      </c>
      <c r="H77" s="52" t="s">
        <v>289</v>
      </c>
      <c r="I77" s="54">
        <v>0</v>
      </c>
      <c r="J77" s="54">
        <v>0</v>
      </c>
      <c r="K77" s="54">
        <v>22000</v>
      </c>
      <c r="L77" s="54">
        <v>0</v>
      </c>
      <c r="M77" s="54">
        <v>0</v>
      </c>
      <c r="N77" s="54">
        <v>0</v>
      </c>
      <c r="O77" s="54">
        <v>0</v>
      </c>
      <c r="P77" s="54">
        <v>0</v>
      </c>
      <c r="Q77" s="54">
        <v>0</v>
      </c>
      <c r="R77" s="54">
        <v>0</v>
      </c>
      <c r="S77" s="54">
        <v>0</v>
      </c>
      <c r="T77" s="54">
        <v>0</v>
      </c>
      <c r="U77" s="54">
        <v>2263</v>
      </c>
      <c r="V77" s="54">
        <v>0</v>
      </c>
      <c r="W77" s="54">
        <v>0</v>
      </c>
      <c r="X77" s="54">
        <v>0</v>
      </c>
      <c r="Y77" s="54">
        <v>11000</v>
      </c>
      <c r="Z77" s="54">
        <v>0</v>
      </c>
      <c r="AA77" s="54">
        <v>0</v>
      </c>
      <c r="AB77" s="54">
        <v>0</v>
      </c>
      <c r="AC77" s="54">
        <v>0</v>
      </c>
      <c r="AD77" s="54">
        <v>0</v>
      </c>
      <c r="AE77" s="54">
        <v>0</v>
      </c>
      <c r="AF77" s="54">
        <v>0</v>
      </c>
      <c r="AG77" s="54">
        <v>0</v>
      </c>
      <c r="AH77" s="54">
        <v>0</v>
      </c>
      <c r="AI77" s="54">
        <v>0</v>
      </c>
      <c r="AJ77" s="54">
        <v>0</v>
      </c>
      <c r="AK77" s="54">
        <v>0</v>
      </c>
      <c r="AL77" s="54">
        <v>0</v>
      </c>
      <c r="AM77" s="54" t="str">
        <f>I77-J77-K77-L77-M77-N77-O77-P77-Q77-R77-S77-T77-U77-V77-W77-X77-Y77-Z77-AA77-AB77-AC77-AD77-AE77-AF77-AG77+AH77-AI77+AJ77+AK77-AL77</f>
        <v>0</v>
      </c>
      <c r="AN77" s="54"/>
      <c r="AO77" s="27"/>
    </row>
    <row r="78" spans="1:41">
      <c r="A78" s="44">
        <v>50</v>
      </c>
      <c r="B78" s="47" t="s">
        <v>290</v>
      </c>
      <c r="C78" s="48" t="s">
        <v>291</v>
      </c>
      <c r="D78" s="52" t="s">
        <v>62</v>
      </c>
      <c r="E78" s="52" t="s">
        <v>292</v>
      </c>
      <c r="F78" s="55" t="s">
        <v>293</v>
      </c>
      <c r="G78" s="51">
        <v>3</v>
      </c>
      <c r="H78" s="52" t="s">
        <v>294</v>
      </c>
      <c r="I78" s="54">
        <v>0</v>
      </c>
      <c r="J78" s="54">
        <v>0</v>
      </c>
      <c r="K78" s="54">
        <v>22000</v>
      </c>
      <c r="L78" s="54">
        <v>0</v>
      </c>
      <c r="M78" s="54">
        <v>0</v>
      </c>
      <c r="N78" s="54">
        <v>0</v>
      </c>
      <c r="O78" s="54">
        <v>0</v>
      </c>
      <c r="P78" s="54">
        <v>0</v>
      </c>
      <c r="Q78" s="54">
        <v>0</v>
      </c>
      <c r="R78" s="54">
        <v>0</v>
      </c>
      <c r="S78" s="54">
        <v>0</v>
      </c>
      <c r="T78" s="54">
        <v>0</v>
      </c>
      <c r="U78" s="54">
        <v>2263</v>
      </c>
      <c r="V78" s="54">
        <v>0</v>
      </c>
      <c r="W78" s="54">
        <v>0</v>
      </c>
      <c r="X78" s="54">
        <v>0</v>
      </c>
      <c r="Y78" s="54">
        <v>11000</v>
      </c>
      <c r="Z78" s="54">
        <v>0</v>
      </c>
      <c r="AA78" s="54">
        <v>0</v>
      </c>
      <c r="AB78" s="54">
        <v>0</v>
      </c>
      <c r="AC78" s="54">
        <v>0</v>
      </c>
      <c r="AD78" s="54">
        <v>0</v>
      </c>
      <c r="AE78" s="54">
        <v>0</v>
      </c>
      <c r="AF78" s="54">
        <v>0</v>
      </c>
      <c r="AG78" s="54">
        <v>0</v>
      </c>
      <c r="AH78" s="54">
        <v>0</v>
      </c>
      <c r="AI78" s="54">
        <v>0</v>
      </c>
      <c r="AJ78" s="54">
        <v>0</v>
      </c>
      <c r="AK78" s="54">
        <v>0</v>
      </c>
      <c r="AL78" s="54">
        <v>0</v>
      </c>
      <c r="AM78" s="54" t="str">
        <f>I78-J78-K78-L78-M78-N78-O78-P78-Q78-R78-S78-T78-U78-V78-W78-X78-Y78-Z78-AA78-AB78-AC78-AD78-AE78-AF78-AG78+AH78-AI78+AJ78+AK78-AL78</f>
        <v>0</v>
      </c>
      <c r="AN78" s="54"/>
      <c r="AO78" s="27"/>
    </row>
    <row r="79" spans="1:41">
      <c r="A79" s="44">
        <v>51</v>
      </c>
      <c r="B79" s="47" t="s">
        <v>295</v>
      </c>
      <c r="C79" s="48" t="s">
        <v>296</v>
      </c>
      <c r="D79" s="52" t="s">
        <v>62</v>
      </c>
      <c r="E79" s="52" t="s">
        <v>292</v>
      </c>
      <c r="F79" s="55" t="s">
        <v>297</v>
      </c>
      <c r="G79" s="51">
        <v>2</v>
      </c>
      <c r="H79" s="52" t="s">
        <v>298</v>
      </c>
      <c r="I79" s="54">
        <v>0</v>
      </c>
      <c r="J79" s="54">
        <v>0</v>
      </c>
      <c r="K79" s="54">
        <v>22000</v>
      </c>
      <c r="L79" s="54">
        <v>0</v>
      </c>
      <c r="M79" s="54">
        <v>0</v>
      </c>
      <c r="N79" s="54">
        <v>0</v>
      </c>
      <c r="O79" s="54">
        <v>0</v>
      </c>
      <c r="P79" s="54">
        <v>0</v>
      </c>
      <c r="Q79" s="54">
        <v>0</v>
      </c>
      <c r="R79" s="54">
        <v>0</v>
      </c>
      <c r="S79" s="54">
        <v>0</v>
      </c>
      <c r="T79" s="54">
        <v>0</v>
      </c>
      <c r="U79" s="54">
        <v>2263</v>
      </c>
      <c r="V79" s="54">
        <v>0</v>
      </c>
      <c r="W79" s="54">
        <v>0</v>
      </c>
      <c r="X79" s="54">
        <v>0</v>
      </c>
      <c r="Y79" s="54">
        <v>11000</v>
      </c>
      <c r="Z79" s="54">
        <v>0</v>
      </c>
      <c r="AA79" s="54">
        <v>0</v>
      </c>
      <c r="AB79" s="54">
        <v>0</v>
      </c>
      <c r="AC79" s="54">
        <v>0</v>
      </c>
      <c r="AD79" s="54">
        <v>0</v>
      </c>
      <c r="AE79" s="54">
        <v>0</v>
      </c>
      <c r="AF79" s="54">
        <v>0</v>
      </c>
      <c r="AG79" s="54">
        <v>0</v>
      </c>
      <c r="AH79" s="54">
        <v>0</v>
      </c>
      <c r="AI79" s="54">
        <v>0</v>
      </c>
      <c r="AJ79" s="54">
        <v>0</v>
      </c>
      <c r="AK79" s="54">
        <v>0</v>
      </c>
      <c r="AL79" s="54">
        <v>0</v>
      </c>
      <c r="AM79" s="54" t="str">
        <f>I79-J79-K79-L79-M79-N79-O79-P79-Q79-R79-S79-T79-U79-V79-W79-X79-Y79-Z79-AA79-AB79-AC79-AD79-AE79-AF79-AG79+AH79-AI79+AJ79+AK79-AL79</f>
        <v>0</v>
      </c>
      <c r="AN79" s="54"/>
      <c r="AO79" s="27"/>
    </row>
    <row r="80" spans="1:41">
      <c r="A80" s="44">
        <v>52</v>
      </c>
      <c r="B80" s="47" t="s">
        <v>299</v>
      </c>
      <c r="C80" s="48" t="s">
        <v>300</v>
      </c>
      <c r="D80" s="52" t="s">
        <v>62</v>
      </c>
      <c r="E80" s="52" t="s">
        <v>301</v>
      </c>
      <c r="F80" s="55" t="s">
        <v>302</v>
      </c>
      <c r="G80" s="51">
        <v>6</v>
      </c>
      <c r="H80" s="52" t="s">
        <v>303</v>
      </c>
      <c r="I80" s="54">
        <v>0</v>
      </c>
      <c r="J80" s="54">
        <v>0</v>
      </c>
      <c r="K80" s="54">
        <v>31000</v>
      </c>
      <c r="L80" s="54">
        <v>0</v>
      </c>
      <c r="M80" s="54">
        <v>0</v>
      </c>
      <c r="N80" s="54">
        <v>0</v>
      </c>
      <c r="O80" s="54">
        <v>0</v>
      </c>
      <c r="P80" s="54">
        <v>0</v>
      </c>
      <c r="Q80" s="54">
        <v>0</v>
      </c>
      <c r="R80" s="54">
        <v>0</v>
      </c>
      <c r="S80" s="54">
        <v>0</v>
      </c>
      <c r="T80" s="54">
        <v>0</v>
      </c>
      <c r="U80" s="54">
        <v>3189</v>
      </c>
      <c r="V80" s="54">
        <v>0</v>
      </c>
      <c r="W80" s="54">
        <v>0</v>
      </c>
      <c r="X80" s="54">
        <v>0</v>
      </c>
      <c r="Y80" s="54">
        <v>15500</v>
      </c>
      <c r="Z80" s="54">
        <v>0</v>
      </c>
      <c r="AA80" s="54">
        <v>0</v>
      </c>
      <c r="AB80" s="54">
        <v>0</v>
      </c>
      <c r="AC80" s="54">
        <v>0</v>
      </c>
      <c r="AD80" s="54">
        <v>0</v>
      </c>
      <c r="AE80" s="54">
        <v>0</v>
      </c>
      <c r="AF80" s="54">
        <v>0</v>
      </c>
      <c r="AG80" s="54">
        <v>0</v>
      </c>
      <c r="AH80" s="54">
        <v>0</v>
      </c>
      <c r="AI80" s="54">
        <v>0</v>
      </c>
      <c r="AJ80" s="54">
        <v>0</v>
      </c>
      <c r="AK80" s="54">
        <v>0</v>
      </c>
      <c r="AL80" s="54">
        <v>0</v>
      </c>
      <c r="AM80" s="54" t="str">
        <f>I80-J80-K80-L80-M80-N80-O80-P80-Q80-R80-S80-T80-U80-V80-W80-X80-Y80-Z80-AA80-AB80-AC80-AD80-AE80-AF80-AG80+AH80-AI80+AJ80+AK80-AL80</f>
        <v>0</v>
      </c>
      <c r="AN80" s="54"/>
      <c r="AO80" s="27"/>
    </row>
    <row r="81" spans="1:41">
      <c r="A81" s="44">
        <v>53</v>
      </c>
      <c r="B81" s="47" t="s">
        <v>304</v>
      </c>
      <c r="C81" s="48" t="s">
        <v>305</v>
      </c>
      <c r="D81" s="52" t="s">
        <v>62</v>
      </c>
      <c r="E81" s="52" t="s">
        <v>301</v>
      </c>
      <c r="F81" s="55" t="s">
        <v>306</v>
      </c>
      <c r="G81" s="51">
        <v>15</v>
      </c>
      <c r="H81" s="52" t="s">
        <v>307</v>
      </c>
      <c r="I81" s="54">
        <v>0</v>
      </c>
      <c r="J81" s="54">
        <v>19845</v>
      </c>
      <c r="K81" s="54">
        <v>74000</v>
      </c>
      <c r="L81" s="54">
        <v>0</v>
      </c>
      <c r="M81" s="54">
        <v>0</v>
      </c>
      <c r="N81" s="54">
        <v>0</v>
      </c>
      <c r="O81" s="54">
        <v>0</v>
      </c>
      <c r="P81" s="54">
        <v>0</v>
      </c>
      <c r="Q81" s="54">
        <v>0</v>
      </c>
      <c r="R81" s="54">
        <v>0</v>
      </c>
      <c r="S81" s="54">
        <v>0</v>
      </c>
      <c r="T81" s="54">
        <v>0</v>
      </c>
      <c r="U81" s="54">
        <v>7614</v>
      </c>
      <c r="V81" s="54">
        <v>0</v>
      </c>
      <c r="W81" s="54">
        <v>0</v>
      </c>
      <c r="X81" s="54">
        <v>0</v>
      </c>
      <c r="Y81" s="54">
        <v>37000</v>
      </c>
      <c r="Z81" s="54">
        <v>0</v>
      </c>
      <c r="AA81" s="54">
        <v>0</v>
      </c>
      <c r="AB81" s="54">
        <v>0</v>
      </c>
      <c r="AC81" s="54">
        <v>0</v>
      </c>
      <c r="AD81" s="54">
        <v>0</v>
      </c>
      <c r="AE81" s="54">
        <v>0</v>
      </c>
      <c r="AF81" s="54">
        <v>0</v>
      </c>
      <c r="AG81" s="54">
        <v>0</v>
      </c>
      <c r="AH81" s="54">
        <v>0</v>
      </c>
      <c r="AI81" s="54">
        <v>0</v>
      </c>
      <c r="AJ81" s="54">
        <v>0</v>
      </c>
      <c r="AK81" s="54">
        <v>0</v>
      </c>
      <c r="AL81" s="54">
        <v>0</v>
      </c>
      <c r="AM81" s="54" t="str">
        <f>I81-J81-K81-L81-M81-N81-O81-P81-Q81-R81-S81-T81-U81-V81-W81-X81-Y81-Z81-AA81-AB81-AC81-AD81-AE81-AF81-AG81+AH81-AI81+AJ81+AK81-AL81</f>
        <v>0</v>
      </c>
      <c r="AN81" s="54"/>
      <c r="AO81" s="27"/>
    </row>
    <row r="82" spans="1:41">
      <c r="A82" s="44">
        <v>54</v>
      </c>
      <c r="B82" s="47" t="s">
        <v>308</v>
      </c>
      <c r="C82" s="48" t="s">
        <v>309</v>
      </c>
      <c r="D82" s="52" t="s">
        <v>73</v>
      </c>
      <c r="E82" s="52" t="s">
        <v>310</v>
      </c>
      <c r="F82" s="55" t="s">
        <v>311</v>
      </c>
      <c r="G82" s="51">
        <v>5</v>
      </c>
      <c r="H82" s="52" t="s">
        <v>312</v>
      </c>
      <c r="I82" s="54">
        <v>1084000</v>
      </c>
      <c r="J82" s="54">
        <v>0</v>
      </c>
      <c r="K82" s="54">
        <v>27000</v>
      </c>
      <c r="L82" s="54">
        <v>0</v>
      </c>
      <c r="M82" s="54">
        <v>0</v>
      </c>
      <c r="N82" s="54">
        <v>0</v>
      </c>
      <c r="O82" s="54">
        <v>0</v>
      </c>
      <c r="P82" s="54">
        <v>0</v>
      </c>
      <c r="Q82" s="54">
        <v>0</v>
      </c>
      <c r="R82" s="54">
        <v>0</v>
      </c>
      <c r="S82" s="54">
        <v>0</v>
      </c>
      <c r="T82" s="54">
        <v>0</v>
      </c>
      <c r="U82" s="54">
        <v>2778</v>
      </c>
      <c r="V82" s="54">
        <v>0</v>
      </c>
      <c r="W82" s="54">
        <v>0</v>
      </c>
      <c r="X82" s="54">
        <v>0</v>
      </c>
      <c r="Y82" s="54">
        <v>0</v>
      </c>
      <c r="Z82" s="54">
        <v>0</v>
      </c>
      <c r="AA82" s="54">
        <v>0</v>
      </c>
      <c r="AB82" s="54">
        <v>0</v>
      </c>
      <c r="AC82" s="54">
        <v>0</v>
      </c>
      <c r="AD82" s="54">
        <v>0</v>
      </c>
      <c r="AE82" s="54">
        <v>0</v>
      </c>
      <c r="AF82" s="54">
        <v>0</v>
      </c>
      <c r="AG82" s="54">
        <v>0</v>
      </c>
      <c r="AH82" s="54">
        <v>0</v>
      </c>
      <c r="AI82" s="54">
        <v>0</v>
      </c>
      <c r="AJ82" s="54">
        <v>0</v>
      </c>
      <c r="AK82" s="54">
        <v>0</v>
      </c>
      <c r="AL82" s="54">
        <v>0</v>
      </c>
      <c r="AM82" s="54" t="str">
        <f>I82-J82-K82-L82-M82-N82-O82-P82-Q82-R82-S82-T82-U82-V82-W82-X82-Y82-Z82-AA82-AB82-AC82-AD82-AE82-AF82-AG82+AH82-AI82+AJ82+AK82-AL82</f>
        <v>0</v>
      </c>
      <c r="AN82" s="54"/>
      <c r="AO82" s="27"/>
    </row>
    <row r="83" spans="1:41">
      <c r="A83" s="44">
        <v>55</v>
      </c>
      <c r="B83" s="47" t="s">
        <v>313</v>
      </c>
      <c r="C83" s="48" t="s">
        <v>314</v>
      </c>
      <c r="D83" s="52" t="s">
        <v>73</v>
      </c>
      <c r="E83" s="52" t="s">
        <v>310</v>
      </c>
      <c r="F83" s="55" t="s">
        <v>315</v>
      </c>
      <c r="G83" s="51">
        <v>8.8</v>
      </c>
      <c r="H83" s="52" t="s">
        <v>316</v>
      </c>
      <c r="I83" s="54">
        <v>1349000</v>
      </c>
      <c r="J83" s="54">
        <v>0</v>
      </c>
      <c r="K83" s="54">
        <v>40000</v>
      </c>
      <c r="L83" s="54">
        <v>0</v>
      </c>
      <c r="M83" s="54">
        <v>0</v>
      </c>
      <c r="N83" s="54">
        <v>0</v>
      </c>
      <c r="O83" s="54">
        <v>0</v>
      </c>
      <c r="P83" s="54">
        <v>0</v>
      </c>
      <c r="Q83" s="54">
        <v>0</v>
      </c>
      <c r="R83" s="54">
        <v>0</v>
      </c>
      <c r="S83" s="54">
        <v>0</v>
      </c>
      <c r="T83" s="54">
        <v>0</v>
      </c>
      <c r="U83" s="54">
        <v>4116</v>
      </c>
      <c r="V83" s="54">
        <v>0</v>
      </c>
      <c r="W83" s="54">
        <v>0</v>
      </c>
      <c r="X83" s="54">
        <v>0</v>
      </c>
      <c r="Y83" s="54">
        <v>0</v>
      </c>
      <c r="Z83" s="54">
        <v>0</v>
      </c>
      <c r="AA83" s="54">
        <v>0</v>
      </c>
      <c r="AB83" s="54">
        <v>0</v>
      </c>
      <c r="AC83" s="54">
        <v>0</v>
      </c>
      <c r="AD83" s="54">
        <v>0</v>
      </c>
      <c r="AE83" s="54">
        <v>0</v>
      </c>
      <c r="AF83" s="54">
        <v>0</v>
      </c>
      <c r="AG83" s="54">
        <v>0</v>
      </c>
      <c r="AH83" s="54">
        <v>0</v>
      </c>
      <c r="AI83" s="54">
        <v>0</v>
      </c>
      <c r="AJ83" s="54">
        <v>0</v>
      </c>
      <c r="AK83" s="54">
        <v>0</v>
      </c>
      <c r="AL83" s="54">
        <v>0</v>
      </c>
      <c r="AM83" s="54" t="str">
        <f>I83-J83-K83-L83-M83-N83-O83-P83-Q83-R83-S83-T83-U83-V83-W83-X83-Y83-Z83-AA83-AB83-AC83-AD83-AE83-AF83-AG83+AH83-AI83+AJ83+AK83-AL83</f>
        <v>0</v>
      </c>
      <c r="AN83" s="54"/>
      <c r="AO83" s="27"/>
    </row>
    <row r="84" spans="1:41">
      <c r="A84" s="44">
        <v>56</v>
      </c>
      <c r="B84" s="47" t="s">
        <v>317</v>
      </c>
      <c r="C84" s="48" t="s">
        <v>318</v>
      </c>
      <c r="D84" s="52" t="s">
        <v>62</v>
      </c>
      <c r="E84" s="52" t="s">
        <v>319</v>
      </c>
      <c r="F84" s="55" t="s">
        <v>320</v>
      </c>
      <c r="G84" s="51">
        <v>0.1</v>
      </c>
      <c r="H84" s="52" t="s">
        <v>321</v>
      </c>
      <c r="I84" s="54">
        <v>0</v>
      </c>
      <c r="J84" s="54">
        <v>0</v>
      </c>
      <c r="K84" s="54">
        <v>22000</v>
      </c>
      <c r="L84" s="54">
        <v>0</v>
      </c>
      <c r="M84" s="54">
        <v>0</v>
      </c>
      <c r="N84" s="54">
        <v>0</v>
      </c>
      <c r="O84" s="54">
        <v>0</v>
      </c>
      <c r="P84" s="54">
        <v>0</v>
      </c>
      <c r="Q84" s="54">
        <v>0</v>
      </c>
      <c r="R84" s="54">
        <v>0</v>
      </c>
      <c r="S84" s="54">
        <v>0</v>
      </c>
      <c r="T84" s="54">
        <v>0</v>
      </c>
      <c r="U84" s="54">
        <v>2263</v>
      </c>
      <c r="V84" s="54">
        <v>0</v>
      </c>
      <c r="W84" s="54">
        <v>0</v>
      </c>
      <c r="X84" s="54">
        <v>0</v>
      </c>
      <c r="Y84" s="54">
        <v>11000</v>
      </c>
      <c r="Z84" s="54">
        <v>0</v>
      </c>
      <c r="AA84" s="54">
        <v>0</v>
      </c>
      <c r="AB84" s="54">
        <v>0</v>
      </c>
      <c r="AC84" s="54">
        <v>0</v>
      </c>
      <c r="AD84" s="54">
        <v>0</v>
      </c>
      <c r="AE84" s="54">
        <v>0</v>
      </c>
      <c r="AF84" s="54">
        <v>0</v>
      </c>
      <c r="AG84" s="54">
        <v>0</v>
      </c>
      <c r="AH84" s="54">
        <v>0</v>
      </c>
      <c r="AI84" s="54">
        <v>0</v>
      </c>
      <c r="AJ84" s="54">
        <v>0</v>
      </c>
      <c r="AK84" s="54">
        <v>0</v>
      </c>
      <c r="AL84" s="54">
        <v>0</v>
      </c>
      <c r="AM84" s="54" t="str">
        <f>I84-J84-K84-L84-M84-N84-O84-P84-Q84-R84-S84-T84-U84-V84-W84-X84-Y84-Z84-AA84-AB84-AC84-AD84-AE84-AF84-AG84+AH84-AI84+AJ84+AK84-AL84</f>
        <v>0</v>
      </c>
      <c r="AN84" s="54"/>
      <c r="AO84" s="27"/>
    </row>
    <row r="85" spans="1:41">
      <c r="A85" s="44">
        <v>57</v>
      </c>
      <c r="B85" s="47" t="s">
        <v>322</v>
      </c>
      <c r="C85" s="48" t="s">
        <v>323</v>
      </c>
      <c r="D85" s="52" t="s">
        <v>62</v>
      </c>
      <c r="E85" s="52" t="s">
        <v>319</v>
      </c>
      <c r="F85" s="55" t="s">
        <v>324</v>
      </c>
      <c r="G85" s="51">
        <v>7</v>
      </c>
      <c r="H85" s="52" t="s">
        <v>325</v>
      </c>
      <c r="I85" s="54">
        <v>0</v>
      </c>
      <c r="J85" s="54">
        <v>0</v>
      </c>
      <c r="K85" s="54">
        <v>35000</v>
      </c>
      <c r="L85" s="54">
        <v>0</v>
      </c>
      <c r="M85" s="54">
        <v>0</v>
      </c>
      <c r="N85" s="54">
        <v>0</v>
      </c>
      <c r="O85" s="54">
        <v>0</v>
      </c>
      <c r="P85" s="54">
        <v>0</v>
      </c>
      <c r="Q85" s="54">
        <v>0</v>
      </c>
      <c r="R85" s="54">
        <v>0</v>
      </c>
      <c r="S85" s="54">
        <v>0</v>
      </c>
      <c r="T85" s="54">
        <v>0</v>
      </c>
      <c r="U85" s="54">
        <v>3601</v>
      </c>
      <c r="V85" s="54">
        <v>0</v>
      </c>
      <c r="W85" s="54">
        <v>0</v>
      </c>
      <c r="X85" s="54">
        <v>0</v>
      </c>
      <c r="Y85" s="54">
        <v>17500</v>
      </c>
      <c r="Z85" s="54">
        <v>0</v>
      </c>
      <c r="AA85" s="54">
        <v>0</v>
      </c>
      <c r="AB85" s="54">
        <v>0</v>
      </c>
      <c r="AC85" s="54">
        <v>0</v>
      </c>
      <c r="AD85" s="54">
        <v>0</v>
      </c>
      <c r="AE85" s="54">
        <v>0</v>
      </c>
      <c r="AF85" s="54">
        <v>0</v>
      </c>
      <c r="AG85" s="54">
        <v>0</v>
      </c>
      <c r="AH85" s="54">
        <v>0</v>
      </c>
      <c r="AI85" s="54">
        <v>0</v>
      </c>
      <c r="AJ85" s="54">
        <v>0</v>
      </c>
      <c r="AK85" s="54">
        <v>0</v>
      </c>
      <c r="AL85" s="54">
        <v>0</v>
      </c>
      <c r="AM85" s="54" t="str">
        <f>I85-J85-K85-L85-M85-N85-O85-P85-Q85-R85-S85-T85-U85-V85-W85-X85-Y85-Z85-AA85-AB85-AC85-AD85-AE85-AF85-AG85+AH85-AI85+AJ85+AK85-AL85</f>
        <v>0</v>
      </c>
      <c r="AN85" s="54"/>
      <c r="AO85" s="27"/>
    </row>
    <row r="86" spans="1:41">
      <c r="A86" s="44">
        <v>58</v>
      </c>
      <c r="B86" s="47" t="s">
        <v>326</v>
      </c>
      <c r="C86" s="48" t="s">
        <v>327</v>
      </c>
      <c r="D86" s="52" t="s">
        <v>73</v>
      </c>
      <c r="E86" s="52" t="s">
        <v>319</v>
      </c>
      <c r="F86" s="55" t="s">
        <v>328</v>
      </c>
      <c r="G86" s="51">
        <v>3</v>
      </c>
      <c r="H86" s="52" t="s">
        <v>329</v>
      </c>
      <c r="I86" s="54">
        <v>415000</v>
      </c>
      <c r="J86" s="54">
        <v>0</v>
      </c>
      <c r="K86" s="54">
        <v>22000</v>
      </c>
      <c r="L86" s="54">
        <v>0</v>
      </c>
      <c r="M86" s="54">
        <v>0</v>
      </c>
      <c r="N86" s="54">
        <v>0</v>
      </c>
      <c r="O86" s="54">
        <v>0</v>
      </c>
      <c r="P86" s="54">
        <v>0</v>
      </c>
      <c r="Q86" s="54">
        <v>0</v>
      </c>
      <c r="R86" s="54">
        <v>0</v>
      </c>
      <c r="S86" s="54">
        <v>0</v>
      </c>
      <c r="T86" s="54">
        <v>0</v>
      </c>
      <c r="U86" s="54">
        <v>2263</v>
      </c>
      <c r="V86" s="54">
        <v>0</v>
      </c>
      <c r="W86" s="54">
        <v>0</v>
      </c>
      <c r="X86" s="54">
        <v>0</v>
      </c>
      <c r="Y86" s="54">
        <v>0</v>
      </c>
      <c r="Z86" s="54">
        <v>0</v>
      </c>
      <c r="AA86" s="54">
        <v>0</v>
      </c>
      <c r="AB86" s="54">
        <v>0</v>
      </c>
      <c r="AC86" s="54">
        <v>0</v>
      </c>
      <c r="AD86" s="54">
        <v>0</v>
      </c>
      <c r="AE86" s="54">
        <v>0</v>
      </c>
      <c r="AF86" s="54">
        <v>0</v>
      </c>
      <c r="AG86" s="54">
        <v>0</v>
      </c>
      <c r="AH86" s="54">
        <v>0</v>
      </c>
      <c r="AI86" s="54">
        <v>0</v>
      </c>
      <c r="AJ86" s="54">
        <v>0</v>
      </c>
      <c r="AK86" s="54">
        <v>0</v>
      </c>
      <c r="AL86" s="54">
        <v>0</v>
      </c>
      <c r="AM86" s="54" t="str">
        <f>I86-J86-K86-L86-M86-N86-O86-P86-Q86-R86-S86-T86-U86-V86-W86-X86-Y86-Z86-AA86-AB86-AC86-AD86-AE86-AF86-AG86+AH86-AI86+AJ86+AK86-AL86</f>
        <v>0</v>
      </c>
      <c r="AN86" s="54"/>
      <c r="AO86" s="27"/>
    </row>
    <row r="87" spans="1:41">
      <c r="A87" s="44">
        <v>59</v>
      </c>
      <c r="B87" s="47" t="s">
        <v>330</v>
      </c>
      <c r="C87" s="48" t="s">
        <v>331</v>
      </c>
      <c r="D87" s="52" t="s">
        <v>62</v>
      </c>
      <c r="E87" s="52" t="s">
        <v>319</v>
      </c>
      <c r="F87" s="55" t="s">
        <v>332</v>
      </c>
      <c r="G87" s="51">
        <v>3</v>
      </c>
      <c r="H87" s="52" t="s">
        <v>333</v>
      </c>
      <c r="I87" s="54">
        <v>0</v>
      </c>
      <c r="J87" s="54">
        <v>0</v>
      </c>
      <c r="K87" s="54">
        <v>22000</v>
      </c>
      <c r="L87" s="54">
        <v>0</v>
      </c>
      <c r="M87" s="54">
        <v>0</v>
      </c>
      <c r="N87" s="54">
        <v>0</v>
      </c>
      <c r="O87" s="54">
        <v>0</v>
      </c>
      <c r="P87" s="54">
        <v>0</v>
      </c>
      <c r="Q87" s="54">
        <v>0</v>
      </c>
      <c r="R87" s="54">
        <v>0</v>
      </c>
      <c r="S87" s="54">
        <v>0</v>
      </c>
      <c r="T87" s="54">
        <v>0</v>
      </c>
      <c r="U87" s="54">
        <v>2263</v>
      </c>
      <c r="V87" s="54">
        <v>0</v>
      </c>
      <c r="W87" s="54">
        <v>0</v>
      </c>
      <c r="X87" s="54">
        <v>0</v>
      </c>
      <c r="Y87" s="54">
        <v>11000</v>
      </c>
      <c r="Z87" s="54">
        <v>0</v>
      </c>
      <c r="AA87" s="54">
        <v>0</v>
      </c>
      <c r="AB87" s="54">
        <v>0</v>
      </c>
      <c r="AC87" s="54">
        <v>0</v>
      </c>
      <c r="AD87" s="54">
        <v>0</v>
      </c>
      <c r="AE87" s="54">
        <v>0</v>
      </c>
      <c r="AF87" s="54">
        <v>0</v>
      </c>
      <c r="AG87" s="54">
        <v>0</v>
      </c>
      <c r="AH87" s="54">
        <v>0</v>
      </c>
      <c r="AI87" s="54">
        <v>0</v>
      </c>
      <c r="AJ87" s="54">
        <v>0</v>
      </c>
      <c r="AK87" s="54">
        <v>0</v>
      </c>
      <c r="AL87" s="54">
        <v>0</v>
      </c>
      <c r="AM87" s="54" t="str">
        <f>I87-J87-K87-L87-M87-N87-O87-P87-Q87-R87-S87-T87-U87-V87-W87-X87-Y87-Z87-AA87-AB87-AC87-AD87-AE87-AF87-AG87+AH87-AI87+AJ87+AK87-AL87</f>
        <v>0</v>
      </c>
      <c r="AN87" s="54"/>
      <c r="AO87" s="27"/>
    </row>
    <row r="88" spans="1:41">
      <c r="A88" s="44">
        <v>60</v>
      </c>
      <c r="B88" s="47" t="s">
        <v>334</v>
      </c>
      <c r="C88" s="48" t="s">
        <v>335</v>
      </c>
      <c r="D88" s="52" t="s">
        <v>62</v>
      </c>
      <c r="E88" s="52" t="s">
        <v>319</v>
      </c>
      <c r="F88" s="55" t="s">
        <v>336</v>
      </c>
      <c r="G88" s="51">
        <v>4</v>
      </c>
      <c r="H88" s="52" t="s">
        <v>337</v>
      </c>
      <c r="I88" s="54">
        <v>0</v>
      </c>
      <c r="J88" s="54">
        <v>0</v>
      </c>
      <c r="K88" s="54">
        <v>25000</v>
      </c>
      <c r="L88" s="54">
        <v>0</v>
      </c>
      <c r="M88" s="54">
        <v>0</v>
      </c>
      <c r="N88" s="54">
        <v>0</v>
      </c>
      <c r="O88" s="54">
        <v>0</v>
      </c>
      <c r="P88" s="54">
        <v>0</v>
      </c>
      <c r="Q88" s="54">
        <v>0</v>
      </c>
      <c r="R88" s="54">
        <v>0</v>
      </c>
      <c r="S88" s="54">
        <v>0</v>
      </c>
      <c r="T88" s="54">
        <v>0</v>
      </c>
      <c r="U88" s="54">
        <v>2572</v>
      </c>
      <c r="V88" s="54">
        <v>0</v>
      </c>
      <c r="W88" s="54">
        <v>0</v>
      </c>
      <c r="X88" s="54">
        <v>0</v>
      </c>
      <c r="Y88" s="54">
        <v>12500</v>
      </c>
      <c r="Z88" s="54">
        <v>0</v>
      </c>
      <c r="AA88" s="54">
        <v>0</v>
      </c>
      <c r="AB88" s="54">
        <v>0</v>
      </c>
      <c r="AC88" s="54">
        <v>0</v>
      </c>
      <c r="AD88" s="54">
        <v>0</v>
      </c>
      <c r="AE88" s="54">
        <v>0</v>
      </c>
      <c r="AF88" s="54">
        <v>0</v>
      </c>
      <c r="AG88" s="54">
        <v>0</v>
      </c>
      <c r="AH88" s="54">
        <v>0</v>
      </c>
      <c r="AI88" s="54">
        <v>0</v>
      </c>
      <c r="AJ88" s="54">
        <v>0</v>
      </c>
      <c r="AK88" s="54">
        <v>0</v>
      </c>
      <c r="AL88" s="54">
        <v>0</v>
      </c>
      <c r="AM88" s="54" t="str">
        <f>I88-J88-K88-L88-M88-N88-O88-P88-Q88-R88-S88-T88-U88-V88-W88-X88-Y88-Z88-AA88-AB88-AC88-AD88-AE88-AF88-AG88+AH88-AI88+AJ88+AK88-AL88</f>
        <v>0</v>
      </c>
      <c r="AN88" s="54"/>
      <c r="AO88" s="27"/>
    </row>
    <row r="89" spans="1:41">
      <c r="A89" s="44">
        <v>61</v>
      </c>
      <c r="B89" s="47" t="s">
        <v>338</v>
      </c>
      <c r="C89" s="48" t="s">
        <v>339</v>
      </c>
      <c r="D89" s="52" t="s">
        <v>62</v>
      </c>
      <c r="E89" s="52" t="s">
        <v>319</v>
      </c>
      <c r="F89" s="55" t="s">
        <v>340</v>
      </c>
      <c r="G89" s="51">
        <v>4</v>
      </c>
      <c r="H89" s="52" t="s">
        <v>341</v>
      </c>
      <c r="I89" s="54">
        <v>0</v>
      </c>
      <c r="J89" s="54">
        <v>0</v>
      </c>
      <c r="K89" s="54">
        <v>25000</v>
      </c>
      <c r="L89" s="54">
        <v>0</v>
      </c>
      <c r="M89" s="54">
        <v>0</v>
      </c>
      <c r="N89" s="54">
        <v>0</v>
      </c>
      <c r="O89" s="54">
        <v>0</v>
      </c>
      <c r="P89" s="54">
        <v>0</v>
      </c>
      <c r="Q89" s="54">
        <v>0</v>
      </c>
      <c r="R89" s="54">
        <v>0</v>
      </c>
      <c r="S89" s="54">
        <v>0</v>
      </c>
      <c r="T89" s="54">
        <v>0</v>
      </c>
      <c r="U89" s="54">
        <v>2572</v>
      </c>
      <c r="V89" s="54">
        <v>0</v>
      </c>
      <c r="W89" s="54">
        <v>0</v>
      </c>
      <c r="X89" s="54">
        <v>0</v>
      </c>
      <c r="Y89" s="54">
        <v>12500</v>
      </c>
      <c r="Z89" s="54">
        <v>0</v>
      </c>
      <c r="AA89" s="54">
        <v>0</v>
      </c>
      <c r="AB89" s="54">
        <v>0</v>
      </c>
      <c r="AC89" s="54">
        <v>0</v>
      </c>
      <c r="AD89" s="54">
        <v>0</v>
      </c>
      <c r="AE89" s="54">
        <v>0</v>
      </c>
      <c r="AF89" s="54">
        <v>0</v>
      </c>
      <c r="AG89" s="54">
        <v>0</v>
      </c>
      <c r="AH89" s="54">
        <v>0</v>
      </c>
      <c r="AI89" s="54">
        <v>0</v>
      </c>
      <c r="AJ89" s="54">
        <v>0</v>
      </c>
      <c r="AK89" s="54">
        <v>0</v>
      </c>
      <c r="AL89" s="54">
        <v>0</v>
      </c>
      <c r="AM89" s="54" t="str">
        <f>I89-J89-K89-L89-M89-N89-O89-P89-Q89-R89-S89-T89-U89-V89-W89-X89-Y89-Z89-AA89-AB89-AC89-AD89-AE89-AF89-AG89+AH89-AI89+AJ89+AK89-AL89</f>
        <v>0</v>
      </c>
      <c r="AN89" s="54"/>
      <c r="AO89" s="27"/>
    </row>
    <row r="90" spans="1:41">
      <c r="A90" s="44">
        <v>62</v>
      </c>
      <c r="B90" s="47" t="s">
        <v>342</v>
      </c>
      <c r="C90" s="48" t="s">
        <v>343</v>
      </c>
      <c r="D90" s="52" t="s">
        <v>62</v>
      </c>
      <c r="E90" s="52" t="s">
        <v>319</v>
      </c>
      <c r="F90" s="55" t="s">
        <v>344</v>
      </c>
      <c r="G90" s="51">
        <v>4</v>
      </c>
      <c r="H90" s="52" t="s">
        <v>345</v>
      </c>
      <c r="I90" s="54">
        <v>0</v>
      </c>
      <c r="J90" s="54">
        <v>0</v>
      </c>
      <c r="K90" s="54">
        <v>25000</v>
      </c>
      <c r="L90" s="54">
        <v>0</v>
      </c>
      <c r="M90" s="54">
        <v>0</v>
      </c>
      <c r="N90" s="54">
        <v>0</v>
      </c>
      <c r="O90" s="54">
        <v>0</v>
      </c>
      <c r="P90" s="54">
        <v>0</v>
      </c>
      <c r="Q90" s="54">
        <v>0</v>
      </c>
      <c r="R90" s="54">
        <v>0</v>
      </c>
      <c r="S90" s="54">
        <v>0</v>
      </c>
      <c r="T90" s="54">
        <v>0</v>
      </c>
      <c r="U90" s="54">
        <v>2572</v>
      </c>
      <c r="V90" s="54">
        <v>0</v>
      </c>
      <c r="W90" s="54">
        <v>0</v>
      </c>
      <c r="X90" s="54">
        <v>0</v>
      </c>
      <c r="Y90" s="54">
        <v>12500</v>
      </c>
      <c r="Z90" s="54">
        <v>0</v>
      </c>
      <c r="AA90" s="54">
        <v>0</v>
      </c>
      <c r="AB90" s="54">
        <v>0</v>
      </c>
      <c r="AC90" s="54">
        <v>0</v>
      </c>
      <c r="AD90" s="54">
        <v>0</v>
      </c>
      <c r="AE90" s="54">
        <v>0</v>
      </c>
      <c r="AF90" s="54">
        <v>0</v>
      </c>
      <c r="AG90" s="54">
        <v>0</v>
      </c>
      <c r="AH90" s="54">
        <v>0</v>
      </c>
      <c r="AI90" s="54">
        <v>0</v>
      </c>
      <c r="AJ90" s="54">
        <v>0</v>
      </c>
      <c r="AK90" s="54">
        <v>0</v>
      </c>
      <c r="AL90" s="54">
        <v>0</v>
      </c>
      <c r="AM90" s="54" t="str">
        <f>I90-J90-K90-L90-M90-N90-O90-P90-Q90-R90-S90-T90-U90-V90-W90-X90-Y90-Z90-AA90-AB90-AC90-AD90-AE90-AF90-AG90+AH90-AI90+AJ90+AK90-AL90</f>
        <v>0</v>
      </c>
      <c r="AN90" s="54"/>
      <c r="AO90" s="27"/>
    </row>
    <row r="91" spans="1:41">
      <c r="A91" s="44">
        <v>63</v>
      </c>
      <c r="B91" s="47" t="s">
        <v>346</v>
      </c>
      <c r="C91" s="48" t="s">
        <v>347</v>
      </c>
      <c r="D91" s="52" t="s">
        <v>73</v>
      </c>
      <c r="E91" s="52" t="s">
        <v>348</v>
      </c>
      <c r="F91" s="55" t="s">
        <v>349</v>
      </c>
      <c r="G91" s="51">
        <v>2</v>
      </c>
      <c r="H91" s="52" t="s">
        <v>350</v>
      </c>
      <c r="I91" s="54">
        <v>165000</v>
      </c>
      <c r="J91" s="54">
        <v>0</v>
      </c>
      <c r="K91" s="54">
        <v>22000</v>
      </c>
      <c r="L91" s="54">
        <v>0</v>
      </c>
      <c r="M91" s="54">
        <v>0</v>
      </c>
      <c r="N91" s="54">
        <v>0</v>
      </c>
      <c r="O91" s="54">
        <v>0</v>
      </c>
      <c r="P91" s="54">
        <v>0</v>
      </c>
      <c r="Q91" s="54">
        <v>0</v>
      </c>
      <c r="R91" s="54">
        <v>0</v>
      </c>
      <c r="S91" s="54">
        <v>0</v>
      </c>
      <c r="T91" s="54">
        <v>0</v>
      </c>
      <c r="U91" s="54">
        <v>2263</v>
      </c>
      <c r="V91" s="54">
        <v>0</v>
      </c>
      <c r="W91" s="54">
        <v>0</v>
      </c>
      <c r="X91" s="54">
        <v>0</v>
      </c>
      <c r="Y91" s="54">
        <v>0</v>
      </c>
      <c r="Z91" s="54">
        <v>0</v>
      </c>
      <c r="AA91" s="54">
        <v>0</v>
      </c>
      <c r="AB91" s="54">
        <v>0</v>
      </c>
      <c r="AC91" s="54">
        <v>0</v>
      </c>
      <c r="AD91" s="54">
        <v>0</v>
      </c>
      <c r="AE91" s="54">
        <v>0</v>
      </c>
      <c r="AF91" s="54">
        <v>0</v>
      </c>
      <c r="AG91" s="54">
        <v>0</v>
      </c>
      <c r="AH91" s="54">
        <v>0</v>
      </c>
      <c r="AI91" s="54">
        <v>0</v>
      </c>
      <c r="AJ91" s="54">
        <v>0</v>
      </c>
      <c r="AK91" s="54">
        <v>0</v>
      </c>
      <c r="AL91" s="54">
        <v>0</v>
      </c>
      <c r="AM91" s="54" t="str">
        <f>I91-J91-K91-L91-M91-N91-O91-P91-Q91-R91-S91-T91-U91-V91-W91-X91-Y91-Z91-AA91-AB91-AC91-AD91-AE91-AF91-AG91+AH91-AI91+AJ91+AK91-AL91</f>
        <v>0</v>
      </c>
      <c r="AN91" s="54"/>
      <c r="AO91" s="27"/>
    </row>
    <row r="92" spans="1:41">
      <c r="A92" s="44">
        <v>64</v>
      </c>
      <c r="B92" s="47" t="s">
        <v>351</v>
      </c>
      <c r="C92" s="48" t="s">
        <v>352</v>
      </c>
      <c r="D92" s="52" t="s">
        <v>62</v>
      </c>
      <c r="E92" s="52" t="s">
        <v>353</v>
      </c>
      <c r="F92" s="55" t="s">
        <v>354</v>
      </c>
      <c r="G92" s="51">
        <v>2</v>
      </c>
      <c r="H92" s="52" t="s">
        <v>355</v>
      </c>
      <c r="I92" s="54">
        <v>0</v>
      </c>
      <c r="J92" s="54">
        <v>0</v>
      </c>
      <c r="K92" s="54">
        <v>22000</v>
      </c>
      <c r="L92" s="54">
        <v>0</v>
      </c>
      <c r="M92" s="54">
        <v>0</v>
      </c>
      <c r="N92" s="54">
        <v>0</v>
      </c>
      <c r="O92" s="54">
        <v>0</v>
      </c>
      <c r="P92" s="54">
        <v>0</v>
      </c>
      <c r="Q92" s="54">
        <v>0</v>
      </c>
      <c r="R92" s="54">
        <v>0</v>
      </c>
      <c r="S92" s="54">
        <v>0</v>
      </c>
      <c r="T92" s="54">
        <v>0</v>
      </c>
      <c r="U92" s="54">
        <v>2263</v>
      </c>
      <c r="V92" s="54">
        <v>0</v>
      </c>
      <c r="W92" s="54">
        <v>0</v>
      </c>
      <c r="X92" s="54">
        <v>0</v>
      </c>
      <c r="Y92" s="54">
        <v>11000</v>
      </c>
      <c r="Z92" s="54">
        <v>0</v>
      </c>
      <c r="AA92" s="54">
        <v>0</v>
      </c>
      <c r="AB92" s="54">
        <v>0</v>
      </c>
      <c r="AC92" s="54">
        <v>0</v>
      </c>
      <c r="AD92" s="54">
        <v>0</v>
      </c>
      <c r="AE92" s="54">
        <v>0</v>
      </c>
      <c r="AF92" s="54">
        <v>0</v>
      </c>
      <c r="AG92" s="54">
        <v>0</v>
      </c>
      <c r="AH92" s="54">
        <v>0</v>
      </c>
      <c r="AI92" s="54">
        <v>0</v>
      </c>
      <c r="AJ92" s="54">
        <v>0</v>
      </c>
      <c r="AK92" s="54">
        <v>0</v>
      </c>
      <c r="AL92" s="54">
        <v>0</v>
      </c>
      <c r="AM92" s="54" t="str">
        <f>I92-J92-K92-L92-M92-N92-O92-P92-Q92-R92-S92-T92-U92-V92-W92-X92-Y92-Z92-AA92-AB92-AC92-AD92-AE92-AF92-AG92+AH92-AI92+AJ92+AK92-AL92</f>
        <v>0</v>
      </c>
      <c r="AN92" s="54"/>
      <c r="AO92" s="27"/>
    </row>
    <row r="93" spans="1:41">
      <c r="A93" s="44">
        <v>65</v>
      </c>
      <c r="B93" s="47" t="s">
        <v>356</v>
      </c>
      <c r="C93" s="48" t="s">
        <v>357</v>
      </c>
      <c r="D93" s="52" t="s">
        <v>62</v>
      </c>
      <c r="E93" s="52" t="s">
        <v>353</v>
      </c>
      <c r="F93" s="55" t="s">
        <v>358</v>
      </c>
      <c r="G93" s="51">
        <v>3</v>
      </c>
      <c r="H93" s="52" t="s">
        <v>359</v>
      </c>
      <c r="I93" s="54">
        <v>0</v>
      </c>
      <c r="J93" s="54">
        <v>0</v>
      </c>
      <c r="K93" s="54">
        <v>22000</v>
      </c>
      <c r="L93" s="54">
        <v>0</v>
      </c>
      <c r="M93" s="54">
        <v>0</v>
      </c>
      <c r="N93" s="54">
        <v>0</v>
      </c>
      <c r="O93" s="54">
        <v>0</v>
      </c>
      <c r="P93" s="54">
        <v>0</v>
      </c>
      <c r="Q93" s="54">
        <v>0</v>
      </c>
      <c r="R93" s="54">
        <v>0</v>
      </c>
      <c r="S93" s="54">
        <v>0</v>
      </c>
      <c r="T93" s="54">
        <v>0</v>
      </c>
      <c r="U93" s="54">
        <v>2263</v>
      </c>
      <c r="V93" s="54">
        <v>0</v>
      </c>
      <c r="W93" s="54">
        <v>0</v>
      </c>
      <c r="X93" s="54">
        <v>0</v>
      </c>
      <c r="Y93" s="54">
        <v>11000</v>
      </c>
      <c r="Z93" s="54">
        <v>0</v>
      </c>
      <c r="AA93" s="54">
        <v>0</v>
      </c>
      <c r="AB93" s="54">
        <v>0</v>
      </c>
      <c r="AC93" s="54">
        <v>0</v>
      </c>
      <c r="AD93" s="54">
        <v>0</v>
      </c>
      <c r="AE93" s="54">
        <v>0</v>
      </c>
      <c r="AF93" s="54">
        <v>0</v>
      </c>
      <c r="AG93" s="54">
        <v>0</v>
      </c>
      <c r="AH93" s="54">
        <v>0</v>
      </c>
      <c r="AI93" s="54">
        <v>0</v>
      </c>
      <c r="AJ93" s="54">
        <v>0</v>
      </c>
      <c r="AK93" s="54">
        <v>0</v>
      </c>
      <c r="AL93" s="54">
        <v>0</v>
      </c>
      <c r="AM93" s="54" t="str">
        <f>I93-J93-K93-L93-M93-N93-O93-P93-Q93-R93-S93-T93-U93-V93-W93-X93-Y93-Z93-AA93-AB93-AC93-AD93-AE93-AF93-AG93+AH93-AI93+AJ93+AK93-AL93</f>
        <v>0</v>
      </c>
      <c r="AN93" s="54"/>
      <c r="AO93" s="27"/>
    </row>
    <row r="94" spans="1:41">
      <c r="A94" s="44">
        <v>66</v>
      </c>
      <c r="B94" s="47" t="s">
        <v>360</v>
      </c>
      <c r="C94" s="48" t="s">
        <v>361</v>
      </c>
      <c r="D94" s="52" t="s">
        <v>73</v>
      </c>
      <c r="E94" s="52" t="s">
        <v>353</v>
      </c>
      <c r="F94" s="55" t="s">
        <v>362</v>
      </c>
      <c r="G94" s="51">
        <v>3</v>
      </c>
      <c r="H94" s="52" t="s">
        <v>363</v>
      </c>
      <c r="I94" s="54">
        <v>950000</v>
      </c>
      <c r="J94" s="54">
        <v>0</v>
      </c>
      <c r="K94" s="54">
        <v>22000</v>
      </c>
      <c r="L94" s="54">
        <v>0</v>
      </c>
      <c r="M94" s="54">
        <v>0</v>
      </c>
      <c r="N94" s="54">
        <v>0</v>
      </c>
      <c r="O94" s="54">
        <v>0</v>
      </c>
      <c r="P94" s="54">
        <v>0</v>
      </c>
      <c r="Q94" s="54">
        <v>0</v>
      </c>
      <c r="R94" s="54">
        <v>0</v>
      </c>
      <c r="S94" s="54">
        <v>0</v>
      </c>
      <c r="T94" s="54">
        <v>0</v>
      </c>
      <c r="U94" s="54">
        <v>2263</v>
      </c>
      <c r="V94" s="54">
        <v>0</v>
      </c>
      <c r="W94" s="54">
        <v>0</v>
      </c>
      <c r="X94" s="54">
        <v>0</v>
      </c>
      <c r="Y94" s="54">
        <v>0</v>
      </c>
      <c r="Z94" s="54">
        <v>0</v>
      </c>
      <c r="AA94" s="54">
        <v>0</v>
      </c>
      <c r="AB94" s="54">
        <v>0</v>
      </c>
      <c r="AC94" s="54">
        <v>0</v>
      </c>
      <c r="AD94" s="54">
        <v>0</v>
      </c>
      <c r="AE94" s="54">
        <v>0</v>
      </c>
      <c r="AF94" s="54">
        <v>0</v>
      </c>
      <c r="AG94" s="54">
        <v>0</v>
      </c>
      <c r="AH94" s="54">
        <v>0</v>
      </c>
      <c r="AI94" s="54">
        <v>0</v>
      </c>
      <c r="AJ94" s="54">
        <v>0</v>
      </c>
      <c r="AK94" s="54">
        <v>0</v>
      </c>
      <c r="AL94" s="54">
        <v>0</v>
      </c>
      <c r="AM94" s="54" t="str">
        <f>I94-J94-K94-L94-M94-N94-O94-P94-Q94-R94-S94-T94-U94-V94-W94-X94-Y94-Z94-AA94-AB94-AC94-AD94-AE94-AF94-AG94+AH94-AI94+AJ94+AK94-AL94</f>
        <v>0</v>
      </c>
      <c r="AN94" s="54"/>
      <c r="AO94" s="27"/>
    </row>
    <row r="95" spans="1:41">
      <c r="A95" s="44">
        <v>67</v>
      </c>
      <c r="B95" s="47" t="s">
        <v>364</v>
      </c>
      <c r="C95" s="48" t="s">
        <v>365</v>
      </c>
      <c r="D95" s="52" t="s">
        <v>62</v>
      </c>
      <c r="E95" s="52" t="s">
        <v>353</v>
      </c>
      <c r="F95" s="55" t="s">
        <v>366</v>
      </c>
      <c r="G95" s="51">
        <v>6</v>
      </c>
      <c r="H95" s="52" t="s">
        <v>367</v>
      </c>
      <c r="I95" s="54">
        <v>0</v>
      </c>
      <c r="J95" s="54">
        <v>0</v>
      </c>
      <c r="K95" s="54">
        <v>31000</v>
      </c>
      <c r="L95" s="54">
        <v>0</v>
      </c>
      <c r="M95" s="54">
        <v>0</v>
      </c>
      <c r="N95" s="54">
        <v>0</v>
      </c>
      <c r="O95" s="54">
        <v>0</v>
      </c>
      <c r="P95" s="54">
        <v>0</v>
      </c>
      <c r="Q95" s="54">
        <v>0</v>
      </c>
      <c r="R95" s="54">
        <v>0</v>
      </c>
      <c r="S95" s="54">
        <v>0</v>
      </c>
      <c r="T95" s="54">
        <v>0</v>
      </c>
      <c r="U95" s="54">
        <v>3189</v>
      </c>
      <c r="V95" s="54">
        <v>0</v>
      </c>
      <c r="W95" s="54">
        <v>0</v>
      </c>
      <c r="X95" s="54">
        <v>0</v>
      </c>
      <c r="Y95" s="54">
        <v>15500</v>
      </c>
      <c r="Z95" s="54">
        <v>0</v>
      </c>
      <c r="AA95" s="54">
        <v>0</v>
      </c>
      <c r="AB95" s="54">
        <v>0</v>
      </c>
      <c r="AC95" s="54">
        <v>0</v>
      </c>
      <c r="AD95" s="54">
        <v>0</v>
      </c>
      <c r="AE95" s="54">
        <v>0</v>
      </c>
      <c r="AF95" s="54">
        <v>0</v>
      </c>
      <c r="AG95" s="54">
        <v>0</v>
      </c>
      <c r="AH95" s="54">
        <v>0</v>
      </c>
      <c r="AI95" s="54">
        <v>0</v>
      </c>
      <c r="AJ95" s="54">
        <v>0</v>
      </c>
      <c r="AK95" s="54">
        <v>0</v>
      </c>
      <c r="AL95" s="54">
        <v>0</v>
      </c>
      <c r="AM95" s="54" t="str">
        <f>I95-J95-K95-L95-M95-N95-O95-P95-Q95-R95-S95-T95-U95-V95-W95-X95-Y95-Z95-AA95-AB95-AC95-AD95-AE95-AF95-AG95+AH95-AI95+AJ95+AK95-AL95</f>
        <v>0</v>
      </c>
      <c r="AN95" s="54"/>
      <c r="AO95" s="27"/>
    </row>
    <row r="96" spans="1:41">
      <c r="A96" s="44">
        <v>68</v>
      </c>
      <c r="B96" s="47" t="s">
        <v>368</v>
      </c>
      <c r="C96" s="48" t="s">
        <v>369</v>
      </c>
      <c r="D96" s="52" t="s">
        <v>73</v>
      </c>
      <c r="E96" s="52" t="s">
        <v>370</v>
      </c>
      <c r="F96" s="55" t="s">
        <v>371</v>
      </c>
      <c r="G96" s="51">
        <v>1</v>
      </c>
      <c r="H96" s="52" t="s">
        <v>372</v>
      </c>
      <c r="I96" s="54">
        <v>0</v>
      </c>
      <c r="J96" s="54">
        <v>0</v>
      </c>
      <c r="K96" s="54">
        <v>22000</v>
      </c>
      <c r="L96" s="54">
        <v>0</v>
      </c>
      <c r="M96" s="54">
        <v>0</v>
      </c>
      <c r="N96" s="54">
        <v>0</v>
      </c>
      <c r="O96" s="54">
        <v>0</v>
      </c>
      <c r="P96" s="54">
        <v>0</v>
      </c>
      <c r="Q96" s="54">
        <v>0</v>
      </c>
      <c r="R96" s="54">
        <v>0</v>
      </c>
      <c r="S96" s="54">
        <v>0</v>
      </c>
      <c r="T96" s="54">
        <v>0</v>
      </c>
      <c r="U96" s="54">
        <v>2263</v>
      </c>
      <c r="V96" s="54">
        <v>0</v>
      </c>
      <c r="W96" s="54">
        <v>0</v>
      </c>
      <c r="X96" s="54">
        <v>0</v>
      </c>
      <c r="Y96" s="54">
        <v>11000</v>
      </c>
      <c r="Z96" s="54">
        <v>0</v>
      </c>
      <c r="AA96" s="54">
        <v>0</v>
      </c>
      <c r="AB96" s="54">
        <v>0</v>
      </c>
      <c r="AC96" s="54">
        <v>0</v>
      </c>
      <c r="AD96" s="54">
        <v>0</v>
      </c>
      <c r="AE96" s="54">
        <v>0</v>
      </c>
      <c r="AF96" s="54">
        <v>0</v>
      </c>
      <c r="AG96" s="54">
        <v>0</v>
      </c>
      <c r="AH96" s="54">
        <v>0</v>
      </c>
      <c r="AI96" s="54">
        <v>0</v>
      </c>
      <c r="AJ96" s="54">
        <v>0</v>
      </c>
      <c r="AK96" s="54">
        <v>0</v>
      </c>
      <c r="AL96" s="54">
        <v>0</v>
      </c>
      <c r="AM96" s="54" t="str">
        <f>I96-J96-K96-L96-M96-N96-O96-P96-Q96-R96-S96-T96-U96-V96-W96-X96-Y96-Z96-AA96-AB96-AC96-AD96-AE96-AF96-AG96+AH96-AI96+AJ96+AK96-AL96</f>
        <v>0</v>
      </c>
      <c r="AN96" s="54"/>
      <c r="AO96" s="27"/>
    </row>
    <row r="97" spans="1:41">
      <c r="A97" s="44">
        <v>69</v>
      </c>
      <c r="B97" s="47" t="s">
        <v>373</v>
      </c>
      <c r="C97" s="48" t="s">
        <v>374</v>
      </c>
      <c r="D97" s="52" t="s">
        <v>62</v>
      </c>
      <c r="E97" s="52" t="s">
        <v>375</v>
      </c>
      <c r="F97" s="55" t="s">
        <v>376</v>
      </c>
      <c r="G97" s="51">
        <v>6</v>
      </c>
      <c r="H97" s="52" t="s">
        <v>377</v>
      </c>
      <c r="I97" s="54">
        <v>0</v>
      </c>
      <c r="J97" s="54">
        <v>0</v>
      </c>
      <c r="K97" s="54">
        <v>31000</v>
      </c>
      <c r="L97" s="54">
        <v>0</v>
      </c>
      <c r="M97" s="54">
        <v>0</v>
      </c>
      <c r="N97" s="54">
        <v>0</v>
      </c>
      <c r="O97" s="54">
        <v>0</v>
      </c>
      <c r="P97" s="54">
        <v>0</v>
      </c>
      <c r="Q97" s="54">
        <v>0</v>
      </c>
      <c r="R97" s="54">
        <v>0</v>
      </c>
      <c r="S97" s="54">
        <v>0</v>
      </c>
      <c r="T97" s="54">
        <v>0</v>
      </c>
      <c r="U97" s="54">
        <v>3189</v>
      </c>
      <c r="V97" s="54">
        <v>0</v>
      </c>
      <c r="W97" s="54">
        <v>0</v>
      </c>
      <c r="X97" s="54">
        <v>0</v>
      </c>
      <c r="Y97" s="54">
        <v>15500</v>
      </c>
      <c r="Z97" s="54">
        <v>0</v>
      </c>
      <c r="AA97" s="54">
        <v>0</v>
      </c>
      <c r="AB97" s="54">
        <v>0</v>
      </c>
      <c r="AC97" s="54">
        <v>0</v>
      </c>
      <c r="AD97" s="54">
        <v>0</v>
      </c>
      <c r="AE97" s="54">
        <v>0</v>
      </c>
      <c r="AF97" s="54">
        <v>0</v>
      </c>
      <c r="AG97" s="54">
        <v>0</v>
      </c>
      <c r="AH97" s="54">
        <v>0</v>
      </c>
      <c r="AI97" s="54">
        <v>0</v>
      </c>
      <c r="AJ97" s="54">
        <v>0</v>
      </c>
      <c r="AK97" s="54">
        <v>0</v>
      </c>
      <c r="AL97" s="54">
        <v>0</v>
      </c>
      <c r="AM97" s="54" t="str">
        <f>I97-J97-K97-L97-M97-N97-O97-P97-Q97-R97-S97-T97-U97-V97-W97-X97-Y97-Z97-AA97-AB97-AC97-AD97-AE97-AF97-AG97+AH97-AI97+AJ97+AK97-AL97</f>
        <v>0</v>
      </c>
      <c r="AN97" s="54"/>
      <c r="AO97" s="27"/>
    </row>
    <row r="98" spans="1:41">
      <c r="A98" s="44">
        <v>70</v>
      </c>
      <c r="B98" s="47" t="s">
        <v>378</v>
      </c>
      <c r="C98" s="48" t="s">
        <v>379</v>
      </c>
      <c r="D98" s="52" t="s">
        <v>62</v>
      </c>
      <c r="E98" s="52" t="s">
        <v>375</v>
      </c>
      <c r="F98" s="55" t="s">
        <v>380</v>
      </c>
      <c r="G98" s="51">
        <v>2</v>
      </c>
      <c r="H98" s="52" t="s">
        <v>381</v>
      </c>
      <c r="I98" s="54">
        <v>0</v>
      </c>
      <c r="J98" s="54">
        <v>0</v>
      </c>
      <c r="K98" s="54">
        <v>22000</v>
      </c>
      <c r="L98" s="54">
        <v>0</v>
      </c>
      <c r="M98" s="54">
        <v>0</v>
      </c>
      <c r="N98" s="54">
        <v>0</v>
      </c>
      <c r="O98" s="54">
        <v>0</v>
      </c>
      <c r="P98" s="54">
        <v>0</v>
      </c>
      <c r="Q98" s="54">
        <v>0</v>
      </c>
      <c r="R98" s="54">
        <v>0</v>
      </c>
      <c r="S98" s="54">
        <v>0</v>
      </c>
      <c r="T98" s="54">
        <v>0</v>
      </c>
      <c r="U98" s="54">
        <v>2263</v>
      </c>
      <c r="V98" s="54">
        <v>0</v>
      </c>
      <c r="W98" s="54">
        <v>0</v>
      </c>
      <c r="X98" s="54">
        <v>0</v>
      </c>
      <c r="Y98" s="54">
        <v>11000</v>
      </c>
      <c r="Z98" s="54">
        <v>0</v>
      </c>
      <c r="AA98" s="54">
        <v>0</v>
      </c>
      <c r="AB98" s="54">
        <v>0</v>
      </c>
      <c r="AC98" s="54">
        <v>0</v>
      </c>
      <c r="AD98" s="54">
        <v>0</v>
      </c>
      <c r="AE98" s="54">
        <v>0</v>
      </c>
      <c r="AF98" s="54">
        <v>0</v>
      </c>
      <c r="AG98" s="54">
        <v>0</v>
      </c>
      <c r="AH98" s="54">
        <v>0</v>
      </c>
      <c r="AI98" s="54">
        <v>0</v>
      </c>
      <c r="AJ98" s="54">
        <v>0</v>
      </c>
      <c r="AK98" s="54">
        <v>0</v>
      </c>
      <c r="AL98" s="54">
        <v>0</v>
      </c>
      <c r="AM98" s="54" t="str">
        <f>I98-J98-K98-L98-M98-N98-O98-P98-Q98-R98-S98-T98-U98-V98-W98-X98-Y98-Z98-AA98-AB98-AC98-AD98-AE98-AF98-AG98+AH98-AI98+AJ98+AK98-AL98</f>
        <v>0</v>
      </c>
      <c r="AN98" s="54"/>
      <c r="AO98" s="27"/>
    </row>
    <row r="99" spans="1:41">
      <c r="A99" s="44">
        <v>71</v>
      </c>
      <c r="B99" s="47" t="s">
        <v>382</v>
      </c>
      <c r="C99" s="48" t="s">
        <v>383</v>
      </c>
      <c r="D99" s="52" t="s">
        <v>62</v>
      </c>
      <c r="E99" s="52" t="s">
        <v>375</v>
      </c>
      <c r="F99" s="55" t="s">
        <v>384</v>
      </c>
      <c r="G99" s="51">
        <v>8</v>
      </c>
      <c r="H99" s="52" t="s">
        <v>385</v>
      </c>
      <c r="I99" s="54">
        <v>0</v>
      </c>
      <c r="J99" s="54">
        <v>0</v>
      </c>
      <c r="K99" s="54">
        <v>39000</v>
      </c>
      <c r="L99" s="54">
        <v>0</v>
      </c>
      <c r="M99" s="54">
        <v>0</v>
      </c>
      <c r="N99" s="54">
        <v>0</v>
      </c>
      <c r="O99" s="54">
        <v>0</v>
      </c>
      <c r="P99" s="54">
        <v>0</v>
      </c>
      <c r="Q99" s="54">
        <v>0</v>
      </c>
      <c r="R99" s="54">
        <v>0</v>
      </c>
      <c r="S99" s="54">
        <v>0</v>
      </c>
      <c r="T99" s="54">
        <v>0</v>
      </c>
      <c r="U99" s="54">
        <v>4013</v>
      </c>
      <c r="V99" s="54">
        <v>0</v>
      </c>
      <c r="W99" s="54">
        <v>0</v>
      </c>
      <c r="X99" s="54">
        <v>0</v>
      </c>
      <c r="Y99" s="54">
        <v>19500</v>
      </c>
      <c r="Z99" s="54">
        <v>0</v>
      </c>
      <c r="AA99" s="54">
        <v>0</v>
      </c>
      <c r="AB99" s="54">
        <v>0</v>
      </c>
      <c r="AC99" s="54">
        <v>0</v>
      </c>
      <c r="AD99" s="54">
        <v>0</v>
      </c>
      <c r="AE99" s="54">
        <v>0</v>
      </c>
      <c r="AF99" s="54">
        <v>0</v>
      </c>
      <c r="AG99" s="54">
        <v>0</v>
      </c>
      <c r="AH99" s="54">
        <v>0</v>
      </c>
      <c r="AI99" s="54">
        <v>0</v>
      </c>
      <c r="AJ99" s="54">
        <v>0</v>
      </c>
      <c r="AK99" s="54">
        <v>0</v>
      </c>
      <c r="AL99" s="54">
        <v>0</v>
      </c>
      <c r="AM99" s="54" t="str">
        <f>I99-J99-K99-L99-M99-N99-O99-P99-Q99-R99-S99-T99-U99-V99-W99-X99-Y99-Z99-AA99-AB99-AC99-AD99-AE99-AF99-AG99+AH99-AI99+AJ99+AK99-AL99</f>
        <v>0</v>
      </c>
      <c r="AN99" s="54"/>
      <c r="AO99" s="27"/>
    </row>
    <row r="100" spans="1:41">
      <c r="A100" s="44">
        <v>72</v>
      </c>
      <c r="B100" s="47" t="s">
        <v>386</v>
      </c>
      <c r="C100" s="48" t="s">
        <v>387</v>
      </c>
      <c r="D100" s="52" t="s">
        <v>62</v>
      </c>
      <c r="E100" s="52" t="s">
        <v>375</v>
      </c>
      <c r="F100" s="55" t="s">
        <v>388</v>
      </c>
      <c r="G100" s="51">
        <v>2</v>
      </c>
      <c r="H100" s="52" t="s">
        <v>389</v>
      </c>
      <c r="I100" s="54">
        <v>0</v>
      </c>
      <c r="J100" s="54">
        <v>0</v>
      </c>
      <c r="K100" s="54">
        <v>22000</v>
      </c>
      <c r="L100" s="54">
        <v>0</v>
      </c>
      <c r="M100" s="54">
        <v>0</v>
      </c>
      <c r="N100" s="54">
        <v>0</v>
      </c>
      <c r="O100" s="54">
        <v>0</v>
      </c>
      <c r="P100" s="54">
        <v>0</v>
      </c>
      <c r="Q100" s="54">
        <v>0</v>
      </c>
      <c r="R100" s="54">
        <v>0</v>
      </c>
      <c r="S100" s="54">
        <v>0</v>
      </c>
      <c r="T100" s="54">
        <v>0</v>
      </c>
      <c r="U100" s="54">
        <v>2263</v>
      </c>
      <c r="V100" s="54">
        <v>0</v>
      </c>
      <c r="W100" s="54">
        <v>0</v>
      </c>
      <c r="X100" s="54">
        <v>0</v>
      </c>
      <c r="Y100" s="54">
        <v>11000</v>
      </c>
      <c r="Z100" s="54">
        <v>0</v>
      </c>
      <c r="AA100" s="54">
        <v>0</v>
      </c>
      <c r="AB100" s="54">
        <v>0</v>
      </c>
      <c r="AC100" s="54">
        <v>0</v>
      </c>
      <c r="AD100" s="54">
        <v>0</v>
      </c>
      <c r="AE100" s="54">
        <v>0</v>
      </c>
      <c r="AF100" s="54">
        <v>0</v>
      </c>
      <c r="AG100" s="54">
        <v>0</v>
      </c>
      <c r="AH100" s="54">
        <v>0</v>
      </c>
      <c r="AI100" s="54">
        <v>0</v>
      </c>
      <c r="AJ100" s="54">
        <v>0</v>
      </c>
      <c r="AK100" s="54">
        <v>0</v>
      </c>
      <c r="AL100" s="54">
        <v>0</v>
      </c>
      <c r="AM100" s="54" t="str">
        <f>I100-J100-K100-L100-M100-N100-O100-P100-Q100-R100-S100-T100-U100-V100-W100-X100-Y100-Z100-AA100-AB100-AC100-AD100-AE100-AF100-AG100+AH100-AI100+AJ100+AK100-AL100</f>
        <v>0</v>
      </c>
      <c r="AN100" s="54"/>
      <c r="AO100" s="27"/>
    </row>
    <row r="101" spans="1:41">
      <c r="A101" s="44">
        <v>73</v>
      </c>
      <c r="B101" s="47" t="s">
        <v>390</v>
      </c>
      <c r="C101" s="48" t="s">
        <v>391</v>
      </c>
      <c r="D101" s="52" t="s">
        <v>62</v>
      </c>
      <c r="E101" s="52" t="s">
        <v>392</v>
      </c>
      <c r="F101" s="55" t="s">
        <v>393</v>
      </c>
      <c r="G101" s="51">
        <v>5.8</v>
      </c>
      <c r="H101" s="52" t="s">
        <v>394</v>
      </c>
      <c r="I101" s="54">
        <v>0</v>
      </c>
      <c r="J101" s="54">
        <v>0</v>
      </c>
      <c r="K101" s="54">
        <v>31000</v>
      </c>
      <c r="L101" s="54">
        <v>0</v>
      </c>
      <c r="M101" s="54">
        <v>0</v>
      </c>
      <c r="N101" s="54">
        <v>0</v>
      </c>
      <c r="O101" s="54">
        <v>0</v>
      </c>
      <c r="P101" s="54">
        <v>0</v>
      </c>
      <c r="Q101" s="54">
        <v>0</v>
      </c>
      <c r="R101" s="54">
        <v>0</v>
      </c>
      <c r="S101" s="54">
        <v>0</v>
      </c>
      <c r="T101" s="54">
        <v>0</v>
      </c>
      <c r="U101" s="54">
        <v>3189</v>
      </c>
      <c r="V101" s="54">
        <v>0</v>
      </c>
      <c r="W101" s="54">
        <v>0</v>
      </c>
      <c r="X101" s="54">
        <v>0</v>
      </c>
      <c r="Y101" s="54">
        <v>5000</v>
      </c>
      <c r="Z101" s="54">
        <v>0</v>
      </c>
      <c r="AA101" s="54">
        <v>0</v>
      </c>
      <c r="AB101" s="54">
        <v>0</v>
      </c>
      <c r="AC101" s="54">
        <v>0</v>
      </c>
      <c r="AD101" s="54">
        <v>0</v>
      </c>
      <c r="AE101" s="54">
        <v>0</v>
      </c>
      <c r="AF101" s="54">
        <v>0</v>
      </c>
      <c r="AG101" s="54">
        <v>0</v>
      </c>
      <c r="AH101" s="54">
        <v>0</v>
      </c>
      <c r="AI101" s="54">
        <v>0</v>
      </c>
      <c r="AJ101" s="54">
        <v>0</v>
      </c>
      <c r="AK101" s="54">
        <v>0</v>
      </c>
      <c r="AL101" s="54">
        <v>0</v>
      </c>
      <c r="AM101" s="54" t="str">
        <f>I101-J101-K101-L101-M101-N101-O101-P101-Q101-R101-S101-T101-U101-V101-W101-X101-Y101-Z101-AA101-AB101-AC101-AD101-AE101-AF101-AG101+AH101-AI101+AJ101+AK101-AL101</f>
        <v>0</v>
      </c>
      <c r="AN101" s="54"/>
      <c r="AO101" s="27"/>
    </row>
    <row r="102" spans="1:41">
      <c r="A102" s="44">
        <v>74</v>
      </c>
      <c r="B102" s="47" t="s">
        <v>395</v>
      </c>
      <c r="C102" s="48" t="s">
        <v>396</v>
      </c>
      <c r="D102" s="52" t="s">
        <v>62</v>
      </c>
      <c r="E102" s="52" t="s">
        <v>392</v>
      </c>
      <c r="F102" s="55" t="s">
        <v>397</v>
      </c>
      <c r="G102" s="51">
        <v>3</v>
      </c>
      <c r="H102" s="52" t="s">
        <v>398</v>
      </c>
      <c r="I102" s="54">
        <v>0</v>
      </c>
      <c r="J102" s="54">
        <v>0</v>
      </c>
      <c r="K102" s="54">
        <v>22000</v>
      </c>
      <c r="L102" s="54">
        <v>0</v>
      </c>
      <c r="M102" s="54">
        <v>0</v>
      </c>
      <c r="N102" s="54">
        <v>0</v>
      </c>
      <c r="O102" s="54">
        <v>0</v>
      </c>
      <c r="P102" s="54">
        <v>0</v>
      </c>
      <c r="Q102" s="54">
        <v>0</v>
      </c>
      <c r="R102" s="54">
        <v>0</v>
      </c>
      <c r="S102" s="54">
        <v>0</v>
      </c>
      <c r="T102" s="54">
        <v>0</v>
      </c>
      <c r="U102" s="54">
        <v>2263</v>
      </c>
      <c r="V102" s="54">
        <v>0</v>
      </c>
      <c r="W102" s="54">
        <v>0</v>
      </c>
      <c r="X102" s="54">
        <v>0</v>
      </c>
      <c r="Y102" s="54">
        <v>11000</v>
      </c>
      <c r="Z102" s="54">
        <v>0</v>
      </c>
      <c r="AA102" s="54">
        <v>0</v>
      </c>
      <c r="AB102" s="54">
        <v>0</v>
      </c>
      <c r="AC102" s="54">
        <v>0</v>
      </c>
      <c r="AD102" s="54">
        <v>0</v>
      </c>
      <c r="AE102" s="54">
        <v>0</v>
      </c>
      <c r="AF102" s="54">
        <v>0</v>
      </c>
      <c r="AG102" s="54">
        <v>0</v>
      </c>
      <c r="AH102" s="54">
        <v>0</v>
      </c>
      <c r="AI102" s="54">
        <v>0</v>
      </c>
      <c r="AJ102" s="54">
        <v>0</v>
      </c>
      <c r="AK102" s="54">
        <v>0</v>
      </c>
      <c r="AL102" s="54">
        <v>0</v>
      </c>
      <c r="AM102" s="54" t="str">
        <f>I102-J102-K102-L102-M102-N102-O102-P102-Q102-R102-S102-T102-U102-V102-W102-X102-Y102-Z102-AA102-AB102-AC102-AD102-AE102-AF102-AG102+AH102-AI102+AJ102+AK102-AL102</f>
        <v>0</v>
      </c>
      <c r="AN102" s="54"/>
      <c r="AO102" s="27"/>
    </row>
    <row r="103" spans="1:41">
      <c r="A103" s="44">
        <v>75</v>
      </c>
      <c r="B103" s="47" t="s">
        <v>399</v>
      </c>
      <c r="C103" s="48" t="s">
        <v>400</v>
      </c>
      <c r="D103" s="52" t="s">
        <v>62</v>
      </c>
      <c r="E103" s="52" t="s">
        <v>401</v>
      </c>
      <c r="F103" s="55" t="s">
        <v>402</v>
      </c>
      <c r="G103" s="51">
        <v>3</v>
      </c>
      <c r="H103" s="52" t="s">
        <v>403</v>
      </c>
      <c r="I103" s="54">
        <v>0</v>
      </c>
      <c r="J103" s="54">
        <v>0</v>
      </c>
      <c r="K103" s="54">
        <v>22000</v>
      </c>
      <c r="L103" s="54">
        <v>0</v>
      </c>
      <c r="M103" s="54">
        <v>0</v>
      </c>
      <c r="N103" s="54">
        <v>0</v>
      </c>
      <c r="O103" s="54">
        <v>0</v>
      </c>
      <c r="P103" s="54">
        <v>0</v>
      </c>
      <c r="Q103" s="54">
        <v>0</v>
      </c>
      <c r="R103" s="54">
        <v>0</v>
      </c>
      <c r="S103" s="54">
        <v>0</v>
      </c>
      <c r="T103" s="54">
        <v>0</v>
      </c>
      <c r="U103" s="54">
        <v>2263</v>
      </c>
      <c r="V103" s="54">
        <v>0</v>
      </c>
      <c r="W103" s="54">
        <v>0</v>
      </c>
      <c r="X103" s="54">
        <v>0</v>
      </c>
      <c r="Y103" s="54">
        <v>11000</v>
      </c>
      <c r="Z103" s="54">
        <v>0</v>
      </c>
      <c r="AA103" s="54">
        <v>0</v>
      </c>
      <c r="AB103" s="54">
        <v>0</v>
      </c>
      <c r="AC103" s="54">
        <v>0</v>
      </c>
      <c r="AD103" s="54">
        <v>0</v>
      </c>
      <c r="AE103" s="54">
        <v>0</v>
      </c>
      <c r="AF103" s="54">
        <v>0</v>
      </c>
      <c r="AG103" s="54">
        <v>0</v>
      </c>
      <c r="AH103" s="54">
        <v>0</v>
      </c>
      <c r="AI103" s="54">
        <v>0</v>
      </c>
      <c r="AJ103" s="54">
        <v>0</v>
      </c>
      <c r="AK103" s="54">
        <v>0</v>
      </c>
      <c r="AL103" s="54">
        <v>0</v>
      </c>
      <c r="AM103" s="54" t="str">
        <f>I103-J103-K103-L103-M103-N103-O103-P103-Q103-R103-S103-T103-U103-V103-W103-X103-Y103-Z103-AA103-AB103-AC103-AD103-AE103-AF103-AG103+AH103-AI103+AJ103+AK103-AL103</f>
        <v>0</v>
      </c>
      <c r="AN103" s="54"/>
      <c r="AO103" s="27"/>
    </row>
    <row r="104" spans="1:41">
      <c r="A104" s="44">
        <v>76</v>
      </c>
      <c r="B104" s="47" t="s">
        <v>404</v>
      </c>
      <c r="C104" s="48" t="s">
        <v>405</v>
      </c>
      <c r="D104" s="52" t="s">
        <v>62</v>
      </c>
      <c r="E104" s="52" t="s">
        <v>401</v>
      </c>
      <c r="F104" s="55" t="s">
        <v>406</v>
      </c>
      <c r="G104" s="51">
        <v>3</v>
      </c>
      <c r="H104" s="52" t="s">
        <v>407</v>
      </c>
      <c r="I104" s="54">
        <v>0</v>
      </c>
      <c r="J104" s="54">
        <v>0</v>
      </c>
      <c r="K104" s="54">
        <v>22000</v>
      </c>
      <c r="L104" s="54">
        <v>0</v>
      </c>
      <c r="M104" s="54">
        <v>0</v>
      </c>
      <c r="N104" s="54">
        <v>0</v>
      </c>
      <c r="O104" s="54">
        <v>0</v>
      </c>
      <c r="P104" s="54">
        <v>0</v>
      </c>
      <c r="Q104" s="54">
        <v>0</v>
      </c>
      <c r="R104" s="54">
        <v>0</v>
      </c>
      <c r="S104" s="54">
        <v>0</v>
      </c>
      <c r="T104" s="54">
        <v>0</v>
      </c>
      <c r="U104" s="54">
        <v>2263</v>
      </c>
      <c r="V104" s="54">
        <v>0</v>
      </c>
      <c r="W104" s="54">
        <v>0</v>
      </c>
      <c r="X104" s="54">
        <v>0</v>
      </c>
      <c r="Y104" s="54">
        <v>11000</v>
      </c>
      <c r="Z104" s="54">
        <v>0</v>
      </c>
      <c r="AA104" s="54">
        <v>0</v>
      </c>
      <c r="AB104" s="54">
        <v>0</v>
      </c>
      <c r="AC104" s="54">
        <v>0</v>
      </c>
      <c r="AD104" s="54">
        <v>0</v>
      </c>
      <c r="AE104" s="54">
        <v>0</v>
      </c>
      <c r="AF104" s="54">
        <v>0</v>
      </c>
      <c r="AG104" s="54">
        <v>0</v>
      </c>
      <c r="AH104" s="54">
        <v>0</v>
      </c>
      <c r="AI104" s="54">
        <v>0</v>
      </c>
      <c r="AJ104" s="54">
        <v>0</v>
      </c>
      <c r="AK104" s="54">
        <v>0</v>
      </c>
      <c r="AL104" s="54">
        <v>0</v>
      </c>
      <c r="AM104" s="54" t="str">
        <f>I104-J104-K104-L104-M104-N104-O104-P104-Q104-R104-S104-T104-U104-V104-W104-X104-Y104-Z104-AA104-AB104-AC104-AD104-AE104-AF104-AG104+AH104-AI104+AJ104+AK104-AL104</f>
        <v>0</v>
      </c>
      <c r="AN104" s="54"/>
      <c r="AO104" s="27"/>
    </row>
    <row r="105" spans="1:41">
      <c r="A105" s="44">
        <v>77</v>
      </c>
      <c r="B105" s="47" t="s">
        <v>408</v>
      </c>
      <c r="C105" s="48" t="s">
        <v>409</v>
      </c>
      <c r="D105" s="52" t="s">
        <v>73</v>
      </c>
      <c r="E105" s="52" t="s">
        <v>410</v>
      </c>
      <c r="F105" s="55" t="s">
        <v>411</v>
      </c>
      <c r="G105" s="51">
        <v>3</v>
      </c>
      <c r="H105" s="52" t="s">
        <v>412</v>
      </c>
      <c r="I105" s="54">
        <v>0</v>
      </c>
      <c r="J105" s="54">
        <v>0</v>
      </c>
      <c r="K105" s="54">
        <v>22000</v>
      </c>
      <c r="L105" s="54">
        <v>0</v>
      </c>
      <c r="M105" s="54">
        <v>0</v>
      </c>
      <c r="N105" s="54">
        <v>0</v>
      </c>
      <c r="O105" s="54">
        <v>0</v>
      </c>
      <c r="P105" s="54">
        <v>0</v>
      </c>
      <c r="Q105" s="54">
        <v>0</v>
      </c>
      <c r="R105" s="54">
        <v>0</v>
      </c>
      <c r="S105" s="54">
        <v>0</v>
      </c>
      <c r="T105" s="54">
        <v>0</v>
      </c>
      <c r="U105" s="54">
        <v>2263</v>
      </c>
      <c r="V105" s="54">
        <v>0</v>
      </c>
      <c r="W105" s="54">
        <v>0</v>
      </c>
      <c r="X105" s="54">
        <v>0</v>
      </c>
      <c r="Y105" s="54">
        <v>0</v>
      </c>
      <c r="Z105" s="54">
        <v>0</v>
      </c>
      <c r="AA105" s="54">
        <v>0</v>
      </c>
      <c r="AB105" s="54">
        <v>0</v>
      </c>
      <c r="AC105" s="54">
        <v>0</v>
      </c>
      <c r="AD105" s="54">
        <v>0</v>
      </c>
      <c r="AE105" s="54">
        <v>0</v>
      </c>
      <c r="AF105" s="54">
        <v>0</v>
      </c>
      <c r="AG105" s="54">
        <v>0</v>
      </c>
      <c r="AH105" s="54">
        <v>0</v>
      </c>
      <c r="AI105" s="54">
        <v>0</v>
      </c>
      <c r="AJ105" s="54">
        <v>0</v>
      </c>
      <c r="AK105" s="54">
        <v>0</v>
      </c>
      <c r="AL105" s="54">
        <v>0</v>
      </c>
      <c r="AM105" s="54" t="str">
        <f>I105-J105-K105-L105-M105-N105-O105-P105-Q105-R105-S105-T105-U105-V105-W105-X105-Y105-Z105-AA105-AB105-AC105-AD105-AE105-AF105-AG105+AH105-AI105+AJ105+AK105-AL105</f>
        <v>0</v>
      </c>
      <c r="AN105" s="54"/>
      <c r="AO105" s="27"/>
    </row>
    <row r="106" spans="1:41">
      <c r="A106" s="44">
        <v>78</v>
      </c>
      <c r="B106" s="47" t="s">
        <v>413</v>
      </c>
      <c r="C106" s="48" t="s">
        <v>414</v>
      </c>
      <c r="D106" s="52" t="s">
        <v>62</v>
      </c>
      <c r="E106" s="52" t="s">
        <v>415</v>
      </c>
      <c r="F106" s="55" t="s">
        <v>416</v>
      </c>
      <c r="G106" s="51">
        <v>9.6</v>
      </c>
      <c r="H106" s="52" t="s">
        <v>417</v>
      </c>
      <c r="I106" s="54">
        <v>0</v>
      </c>
      <c r="J106" s="54">
        <v>0</v>
      </c>
      <c r="K106" s="54">
        <v>40000</v>
      </c>
      <c r="L106" s="54">
        <v>0</v>
      </c>
      <c r="M106" s="54">
        <v>0</v>
      </c>
      <c r="N106" s="54">
        <v>0</v>
      </c>
      <c r="O106" s="54">
        <v>0</v>
      </c>
      <c r="P106" s="54">
        <v>0</v>
      </c>
      <c r="Q106" s="54">
        <v>0</v>
      </c>
      <c r="R106" s="54">
        <v>0</v>
      </c>
      <c r="S106" s="54">
        <v>0</v>
      </c>
      <c r="T106" s="54">
        <v>0</v>
      </c>
      <c r="U106" s="54">
        <v>4116</v>
      </c>
      <c r="V106" s="54">
        <v>0</v>
      </c>
      <c r="W106" s="54">
        <v>0</v>
      </c>
      <c r="X106" s="54">
        <v>0</v>
      </c>
      <c r="Y106" s="54">
        <v>5000</v>
      </c>
      <c r="Z106" s="54">
        <v>0</v>
      </c>
      <c r="AA106" s="54">
        <v>0</v>
      </c>
      <c r="AB106" s="54">
        <v>0</v>
      </c>
      <c r="AC106" s="54">
        <v>0</v>
      </c>
      <c r="AD106" s="54">
        <v>0</v>
      </c>
      <c r="AE106" s="54">
        <v>0</v>
      </c>
      <c r="AF106" s="54">
        <v>0</v>
      </c>
      <c r="AG106" s="54">
        <v>0</v>
      </c>
      <c r="AH106" s="54">
        <v>0</v>
      </c>
      <c r="AI106" s="54">
        <v>0</v>
      </c>
      <c r="AJ106" s="54">
        <v>0</v>
      </c>
      <c r="AK106" s="54">
        <v>0</v>
      </c>
      <c r="AL106" s="54">
        <v>0</v>
      </c>
      <c r="AM106" s="54" t="str">
        <f>I106-J106-K106-L106-M106-N106-O106-P106-Q106-R106-S106-T106-U106-V106-W106-X106-Y106-Z106-AA106-AB106-AC106-AD106-AE106-AF106-AG106+AH106-AI106+AJ106+AK106-AL106</f>
        <v>0</v>
      </c>
      <c r="AN106" s="54"/>
      <c r="AO106" s="27"/>
    </row>
    <row r="107" spans="1:41">
      <c r="A107" s="44">
        <v>79</v>
      </c>
      <c r="B107" s="47" t="s">
        <v>418</v>
      </c>
      <c r="C107" s="48" t="s">
        <v>419</v>
      </c>
      <c r="D107" s="52" t="s">
        <v>62</v>
      </c>
      <c r="E107" s="52" t="s">
        <v>420</v>
      </c>
      <c r="F107" s="55" t="s">
        <v>376</v>
      </c>
      <c r="G107" s="51">
        <v>4</v>
      </c>
      <c r="H107" s="52" t="s">
        <v>421</v>
      </c>
      <c r="I107" s="54">
        <v>0</v>
      </c>
      <c r="J107" s="54">
        <v>0</v>
      </c>
      <c r="K107" s="54">
        <v>25000</v>
      </c>
      <c r="L107" s="54">
        <v>0</v>
      </c>
      <c r="M107" s="54">
        <v>0</v>
      </c>
      <c r="N107" s="54">
        <v>0</v>
      </c>
      <c r="O107" s="54">
        <v>0</v>
      </c>
      <c r="P107" s="54">
        <v>0</v>
      </c>
      <c r="Q107" s="54">
        <v>0</v>
      </c>
      <c r="R107" s="54">
        <v>0</v>
      </c>
      <c r="S107" s="54">
        <v>0</v>
      </c>
      <c r="T107" s="54">
        <v>0</v>
      </c>
      <c r="U107" s="54">
        <v>2572</v>
      </c>
      <c r="V107" s="54">
        <v>0</v>
      </c>
      <c r="W107" s="54">
        <v>0</v>
      </c>
      <c r="X107" s="54">
        <v>0</v>
      </c>
      <c r="Y107" s="54">
        <v>5000</v>
      </c>
      <c r="Z107" s="54">
        <v>0</v>
      </c>
      <c r="AA107" s="54">
        <v>0</v>
      </c>
      <c r="AB107" s="54">
        <v>0</v>
      </c>
      <c r="AC107" s="54">
        <v>0</v>
      </c>
      <c r="AD107" s="54">
        <v>0</v>
      </c>
      <c r="AE107" s="54">
        <v>0</v>
      </c>
      <c r="AF107" s="54">
        <v>0</v>
      </c>
      <c r="AG107" s="54">
        <v>0</v>
      </c>
      <c r="AH107" s="54">
        <v>0</v>
      </c>
      <c r="AI107" s="54">
        <v>0</v>
      </c>
      <c r="AJ107" s="54">
        <v>0</v>
      </c>
      <c r="AK107" s="54">
        <v>0</v>
      </c>
      <c r="AL107" s="54">
        <v>0</v>
      </c>
      <c r="AM107" s="54" t="str">
        <f>I107-J107-K107-L107-M107-N107-O107-P107-Q107-R107-S107-T107-U107-V107-W107-X107-Y107-Z107-AA107-AB107-AC107-AD107-AE107-AF107-AG107+AH107-AI107+AJ107+AK107-AL107</f>
        <v>0</v>
      </c>
      <c r="AN107" s="54"/>
      <c r="AO107" s="27"/>
    </row>
    <row r="108" spans="1:41">
      <c r="A108" s="44">
        <v>80</v>
      </c>
      <c r="B108" s="47" t="s">
        <v>422</v>
      </c>
      <c r="C108" s="48" t="s">
        <v>423</v>
      </c>
      <c r="D108" s="52" t="s">
        <v>62</v>
      </c>
      <c r="E108" s="52" t="s">
        <v>420</v>
      </c>
      <c r="F108" s="55" t="s">
        <v>424</v>
      </c>
      <c r="G108" s="51">
        <v>2</v>
      </c>
      <c r="H108" s="52" t="s">
        <v>425</v>
      </c>
      <c r="I108" s="54">
        <v>0</v>
      </c>
      <c r="J108" s="54">
        <v>0</v>
      </c>
      <c r="K108" s="54">
        <v>22000</v>
      </c>
      <c r="L108" s="54">
        <v>0</v>
      </c>
      <c r="M108" s="54">
        <v>0</v>
      </c>
      <c r="N108" s="54">
        <v>0</v>
      </c>
      <c r="O108" s="54">
        <v>0</v>
      </c>
      <c r="P108" s="54">
        <v>0</v>
      </c>
      <c r="Q108" s="54">
        <v>0</v>
      </c>
      <c r="R108" s="54">
        <v>0</v>
      </c>
      <c r="S108" s="54">
        <v>0</v>
      </c>
      <c r="T108" s="54">
        <v>0</v>
      </c>
      <c r="U108" s="54">
        <v>2263</v>
      </c>
      <c r="V108" s="54">
        <v>0</v>
      </c>
      <c r="W108" s="54">
        <v>0</v>
      </c>
      <c r="X108" s="54">
        <v>0</v>
      </c>
      <c r="Y108" s="54">
        <v>11000</v>
      </c>
      <c r="Z108" s="54">
        <v>0</v>
      </c>
      <c r="AA108" s="54">
        <v>0</v>
      </c>
      <c r="AB108" s="54">
        <v>0</v>
      </c>
      <c r="AC108" s="54">
        <v>0</v>
      </c>
      <c r="AD108" s="54">
        <v>0</v>
      </c>
      <c r="AE108" s="54">
        <v>0</v>
      </c>
      <c r="AF108" s="54">
        <v>0</v>
      </c>
      <c r="AG108" s="54">
        <v>0</v>
      </c>
      <c r="AH108" s="54">
        <v>0</v>
      </c>
      <c r="AI108" s="54">
        <v>0</v>
      </c>
      <c r="AJ108" s="54">
        <v>0</v>
      </c>
      <c r="AK108" s="54">
        <v>0</v>
      </c>
      <c r="AL108" s="54">
        <v>0</v>
      </c>
      <c r="AM108" s="54" t="str">
        <f>I108-J108-K108-L108-M108-N108-O108-P108-Q108-R108-S108-T108-U108-V108-W108-X108-Y108-Z108-AA108-AB108-AC108-AD108-AE108-AF108-AG108+AH108-AI108+AJ108+AK108-AL108</f>
        <v>0</v>
      </c>
      <c r="AN108" s="54"/>
      <c r="AO108" s="27"/>
    </row>
    <row r="109" spans="1:41">
      <c r="A109" s="44">
        <v>81</v>
      </c>
      <c r="B109" s="47" t="s">
        <v>426</v>
      </c>
      <c r="C109" s="48" t="s">
        <v>427</v>
      </c>
      <c r="D109" s="52" t="s">
        <v>62</v>
      </c>
      <c r="E109" s="52" t="s">
        <v>420</v>
      </c>
      <c r="F109" s="55" t="s">
        <v>428</v>
      </c>
      <c r="G109" s="51">
        <v>3</v>
      </c>
      <c r="H109" s="52" t="s">
        <v>429</v>
      </c>
      <c r="I109" s="54">
        <v>0</v>
      </c>
      <c r="J109" s="54">
        <v>0</v>
      </c>
      <c r="K109" s="54">
        <v>22000</v>
      </c>
      <c r="L109" s="54">
        <v>0</v>
      </c>
      <c r="M109" s="54">
        <v>0</v>
      </c>
      <c r="N109" s="54">
        <v>0</v>
      </c>
      <c r="O109" s="54">
        <v>0</v>
      </c>
      <c r="P109" s="54">
        <v>0</v>
      </c>
      <c r="Q109" s="54">
        <v>0</v>
      </c>
      <c r="R109" s="54">
        <v>0</v>
      </c>
      <c r="S109" s="54">
        <v>0</v>
      </c>
      <c r="T109" s="54">
        <v>0</v>
      </c>
      <c r="U109" s="54">
        <v>2263</v>
      </c>
      <c r="V109" s="54">
        <v>0</v>
      </c>
      <c r="W109" s="54">
        <v>0</v>
      </c>
      <c r="X109" s="54">
        <v>0</v>
      </c>
      <c r="Y109" s="54">
        <v>11000</v>
      </c>
      <c r="Z109" s="54">
        <v>0</v>
      </c>
      <c r="AA109" s="54">
        <v>0</v>
      </c>
      <c r="AB109" s="54">
        <v>0</v>
      </c>
      <c r="AC109" s="54">
        <v>0</v>
      </c>
      <c r="AD109" s="54">
        <v>0</v>
      </c>
      <c r="AE109" s="54">
        <v>0</v>
      </c>
      <c r="AF109" s="54">
        <v>0</v>
      </c>
      <c r="AG109" s="54">
        <v>0</v>
      </c>
      <c r="AH109" s="54">
        <v>0</v>
      </c>
      <c r="AI109" s="54">
        <v>0</v>
      </c>
      <c r="AJ109" s="54">
        <v>0</v>
      </c>
      <c r="AK109" s="54">
        <v>0</v>
      </c>
      <c r="AL109" s="54">
        <v>0</v>
      </c>
      <c r="AM109" s="54" t="str">
        <f>I109-J109-K109-L109-M109-N109-O109-P109-Q109-R109-S109-T109-U109-V109-W109-X109-Y109-Z109-AA109-AB109-AC109-AD109-AE109-AF109-AG109+AH109-AI109+AJ109+AK109-AL109</f>
        <v>0</v>
      </c>
      <c r="AN109" s="54"/>
      <c r="AO109" s="27"/>
    </row>
    <row r="110" spans="1:41">
      <c r="A110" s="44">
        <v>82</v>
      </c>
      <c r="B110" s="47" t="s">
        <v>430</v>
      </c>
      <c r="C110" s="48" t="s">
        <v>431</v>
      </c>
      <c r="D110" s="52" t="s">
        <v>62</v>
      </c>
      <c r="E110" s="52" t="s">
        <v>432</v>
      </c>
      <c r="F110" s="55" t="s">
        <v>433</v>
      </c>
      <c r="G110" s="51">
        <v>9</v>
      </c>
      <c r="H110" s="52" t="s">
        <v>434</v>
      </c>
      <c r="I110" s="54">
        <v>0</v>
      </c>
      <c r="J110" s="54">
        <v>0</v>
      </c>
      <c r="K110" s="54">
        <v>44000</v>
      </c>
      <c r="L110" s="54">
        <v>0</v>
      </c>
      <c r="M110" s="54">
        <v>0</v>
      </c>
      <c r="N110" s="54">
        <v>0</v>
      </c>
      <c r="O110" s="54">
        <v>0</v>
      </c>
      <c r="P110" s="54">
        <v>0</v>
      </c>
      <c r="Q110" s="54">
        <v>0</v>
      </c>
      <c r="R110" s="54">
        <v>0</v>
      </c>
      <c r="S110" s="54">
        <v>0</v>
      </c>
      <c r="T110" s="54">
        <v>0</v>
      </c>
      <c r="U110" s="54">
        <v>4527</v>
      </c>
      <c r="V110" s="54">
        <v>0</v>
      </c>
      <c r="W110" s="54">
        <v>0</v>
      </c>
      <c r="X110" s="54">
        <v>0</v>
      </c>
      <c r="Y110" s="54">
        <v>22000</v>
      </c>
      <c r="Z110" s="54">
        <v>0</v>
      </c>
      <c r="AA110" s="54">
        <v>0</v>
      </c>
      <c r="AB110" s="54">
        <v>0</v>
      </c>
      <c r="AC110" s="54">
        <v>0</v>
      </c>
      <c r="AD110" s="54">
        <v>0</v>
      </c>
      <c r="AE110" s="54">
        <v>0</v>
      </c>
      <c r="AF110" s="54">
        <v>0</v>
      </c>
      <c r="AG110" s="54">
        <v>0</v>
      </c>
      <c r="AH110" s="54">
        <v>0</v>
      </c>
      <c r="AI110" s="54">
        <v>0</v>
      </c>
      <c r="AJ110" s="54">
        <v>0</v>
      </c>
      <c r="AK110" s="54">
        <v>0</v>
      </c>
      <c r="AL110" s="54">
        <v>0</v>
      </c>
      <c r="AM110" s="54" t="str">
        <f>I110-J110-K110-L110-M110-N110-O110-P110-Q110-R110-S110-T110-U110-V110-W110-X110-Y110-Z110-AA110-AB110-AC110-AD110-AE110-AF110-AG110+AH110-AI110+AJ110+AK110-AL110</f>
        <v>0</v>
      </c>
      <c r="AN110" s="54"/>
      <c r="AO110" s="27"/>
    </row>
    <row r="111" spans="1:41">
      <c r="A111" s="44">
        <v>83</v>
      </c>
      <c r="B111" s="47" t="s">
        <v>435</v>
      </c>
      <c r="C111" s="48" t="s">
        <v>436</v>
      </c>
      <c r="D111" s="52" t="s">
        <v>62</v>
      </c>
      <c r="E111" s="52" t="s">
        <v>432</v>
      </c>
      <c r="F111" s="55" t="s">
        <v>437</v>
      </c>
      <c r="G111" s="51">
        <v>2</v>
      </c>
      <c r="H111" s="52" t="s">
        <v>438</v>
      </c>
      <c r="I111" s="54">
        <v>0</v>
      </c>
      <c r="J111" s="54">
        <v>0</v>
      </c>
      <c r="K111" s="54">
        <v>22000</v>
      </c>
      <c r="L111" s="54">
        <v>0</v>
      </c>
      <c r="M111" s="54">
        <v>0</v>
      </c>
      <c r="N111" s="54">
        <v>0</v>
      </c>
      <c r="O111" s="54">
        <v>0</v>
      </c>
      <c r="P111" s="54">
        <v>0</v>
      </c>
      <c r="Q111" s="54">
        <v>0</v>
      </c>
      <c r="R111" s="54">
        <v>0</v>
      </c>
      <c r="S111" s="54">
        <v>0</v>
      </c>
      <c r="T111" s="54">
        <v>0</v>
      </c>
      <c r="U111" s="54">
        <v>2263</v>
      </c>
      <c r="V111" s="54">
        <v>0</v>
      </c>
      <c r="W111" s="54">
        <v>0</v>
      </c>
      <c r="X111" s="54">
        <v>0</v>
      </c>
      <c r="Y111" s="54">
        <v>11000</v>
      </c>
      <c r="Z111" s="54">
        <v>0</v>
      </c>
      <c r="AA111" s="54">
        <v>0</v>
      </c>
      <c r="AB111" s="54">
        <v>0</v>
      </c>
      <c r="AC111" s="54">
        <v>0</v>
      </c>
      <c r="AD111" s="54">
        <v>0</v>
      </c>
      <c r="AE111" s="54">
        <v>0</v>
      </c>
      <c r="AF111" s="54">
        <v>0</v>
      </c>
      <c r="AG111" s="54">
        <v>0</v>
      </c>
      <c r="AH111" s="54">
        <v>0</v>
      </c>
      <c r="AI111" s="54">
        <v>0</v>
      </c>
      <c r="AJ111" s="54">
        <v>0</v>
      </c>
      <c r="AK111" s="54">
        <v>0</v>
      </c>
      <c r="AL111" s="54">
        <v>0</v>
      </c>
      <c r="AM111" s="54" t="str">
        <f>I111-J111-K111-L111-M111-N111-O111-P111-Q111-R111-S111-T111-U111-V111-W111-X111-Y111-Z111-AA111-AB111-AC111-AD111-AE111-AF111-AG111+AH111-AI111+AJ111+AK111-AL111</f>
        <v>0</v>
      </c>
      <c r="AN111" s="54"/>
      <c r="AO111" s="27"/>
    </row>
    <row r="112" spans="1:41">
      <c r="A112" s="44">
        <v>84</v>
      </c>
      <c r="B112" s="47" t="s">
        <v>439</v>
      </c>
      <c r="C112" s="48" t="s">
        <v>440</v>
      </c>
      <c r="D112" s="52" t="s">
        <v>73</v>
      </c>
      <c r="E112" s="52" t="s">
        <v>432</v>
      </c>
      <c r="F112" s="55" t="s">
        <v>441</v>
      </c>
      <c r="G112" s="51">
        <v>5</v>
      </c>
      <c r="H112" s="52" t="s">
        <v>442</v>
      </c>
      <c r="I112" s="54">
        <v>1485000</v>
      </c>
      <c r="J112" s="54">
        <v>0</v>
      </c>
      <c r="K112" s="54">
        <v>27000</v>
      </c>
      <c r="L112" s="54">
        <v>0</v>
      </c>
      <c r="M112" s="54">
        <v>0</v>
      </c>
      <c r="N112" s="54">
        <v>0</v>
      </c>
      <c r="O112" s="54">
        <v>0</v>
      </c>
      <c r="P112" s="54">
        <v>0</v>
      </c>
      <c r="Q112" s="54">
        <v>0</v>
      </c>
      <c r="R112" s="54">
        <v>0</v>
      </c>
      <c r="S112" s="54">
        <v>0</v>
      </c>
      <c r="T112" s="54">
        <v>0</v>
      </c>
      <c r="U112" s="54">
        <v>2778</v>
      </c>
      <c r="V112" s="54">
        <v>0</v>
      </c>
      <c r="W112" s="54">
        <v>0</v>
      </c>
      <c r="X112" s="54">
        <v>0</v>
      </c>
      <c r="Y112" s="54">
        <v>0</v>
      </c>
      <c r="Z112" s="54">
        <v>0</v>
      </c>
      <c r="AA112" s="54">
        <v>0</v>
      </c>
      <c r="AB112" s="54">
        <v>0</v>
      </c>
      <c r="AC112" s="54">
        <v>0</v>
      </c>
      <c r="AD112" s="54">
        <v>0</v>
      </c>
      <c r="AE112" s="54">
        <v>0</v>
      </c>
      <c r="AF112" s="54">
        <v>0</v>
      </c>
      <c r="AG112" s="54">
        <v>0</v>
      </c>
      <c r="AH112" s="54">
        <v>0</v>
      </c>
      <c r="AI112" s="54">
        <v>0</v>
      </c>
      <c r="AJ112" s="54">
        <v>0</v>
      </c>
      <c r="AK112" s="54">
        <v>0</v>
      </c>
      <c r="AL112" s="54">
        <v>0</v>
      </c>
      <c r="AM112" s="54" t="str">
        <f>I112-J112-K112-L112-M112-N112-O112-P112-Q112-R112-S112-T112-U112-V112-W112-X112-Y112-Z112-AA112-AB112-AC112-AD112-AE112-AF112-AG112+AH112-AI112+AJ112+AK112-AL112</f>
        <v>0</v>
      </c>
      <c r="AN112" s="54"/>
      <c r="AO112" s="27"/>
    </row>
    <row r="113" spans="1:41">
      <c r="A113" s="44">
        <v>85</v>
      </c>
      <c r="B113" s="47" t="s">
        <v>443</v>
      </c>
      <c r="C113" s="48" t="s">
        <v>444</v>
      </c>
      <c r="D113" s="52" t="s">
        <v>62</v>
      </c>
      <c r="E113" s="52" t="s">
        <v>432</v>
      </c>
      <c r="F113" s="55" t="s">
        <v>445</v>
      </c>
      <c r="G113" s="51">
        <v>4</v>
      </c>
      <c r="H113" s="52" t="s">
        <v>446</v>
      </c>
      <c r="I113" s="54">
        <v>0</v>
      </c>
      <c r="J113" s="54">
        <v>0</v>
      </c>
      <c r="K113" s="54">
        <v>25000</v>
      </c>
      <c r="L113" s="54">
        <v>0</v>
      </c>
      <c r="M113" s="54">
        <v>0</v>
      </c>
      <c r="N113" s="54">
        <v>0</v>
      </c>
      <c r="O113" s="54">
        <v>0</v>
      </c>
      <c r="P113" s="54">
        <v>0</v>
      </c>
      <c r="Q113" s="54">
        <v>0</v>
      </c>
      <c r="R113" s="54">
        <v>0</v>
      </c>
      <c r="S113" s="54">
        <v>0</v>
      </c>
      <c r="T113" s="54">
        <v>0</v>
      </c>
      <c r="U113" s="54">
        <v>2572</v>
      </c>
      <c r="V113" s="54">
        <v>0</v>
      </c>
      <c r="W113" s="54">
        <v>0</v>
      </c>
      <c r="X113" s="54">
        <v>0</v>
      </c>
      <c r="Y113" s="54">
        <v>12500</v>
      </c>
      <c r="Z113" s="54">
        <v>0</v>
      </c>
      <c r="AA113" s="54">
        <v>0</v>
      </c>
      <c r="AB113" s="54">
        <v>0</v>
      </c>
      <c r="AC113" s="54">
        <v>0</v>
      </c>
      <c r="AD113" s="54">
        <v>0</v>
      </c>
      <c r="AE113" s="54">
        <v>0</v>
      </c>
      <c r="AF113" s="54">
        <v>0</v>
      </c>
      <c r="AG113" s="54">
        <v>0</v>
      </c>
      <c r="AH113" s="54">
        <v>0</v>
      </c>
      <c r="AI113" s="54">
        <v>0</v>
      </c>
      <c r="AJ113" s="54">
        <v>0</v>
      </c>
      <c r="AK113" s="54">
        <v>0</v>
      </c>
      <c r="AL113" s="54">
        <v>0</v>
      </c>
      <c r="AM113" s="54" t="str">
        <f>I113-J113-K113-L113-M113-N113-O113-P113-Q113-R113-S113-T113-U113-V113-W113-X113-Y113-Z113-AA113-AB113-AC113-AD113-AE113-AF113-AG113+AH113-AI113+AJ113+AK113-AL113</f>
        <v>0</v>
      </c>
      <c r="AN113" s="54"/>
      <c r="AO113" s="27"/>
    </row>
    <row r="114" spans="1:41">
      <c r="A114" s="44">
        <v>86</v>
      </c>
      <c r="B114" s="47" t="s">
        <v>447</v>
      </c>
      <c r="C114" s="48" t="s">
        <v>448</v>
      </c>
      <c r="D114" s="52" t="s">
        <v>62</v>
      </c>
      <c r="E114" s="52" t="s">
        <v>432</v>
      </c>
      <c r="F114" s="55" t="s">
        <v>449</v>
      </c>
      <c r="G114" s="51">
        <v>2</v>
      </c>
      <c r="H114" s="52" t="s">
        <v>450</v>
      </c>
      <c r="I114" s="54">
        <v>0</v>
      </c>
      <c r="J114" s="54">
        <v>0</v>
      </c>
      <c r="K114" s="54">
        <v>22000</v>
      </c>
      <c r="L114" s="54">
        <v>0</v>
      </c>
      <c r="M114" s="54">
        <v>0</v>
      </c>
      <c r="N114" s="54">
        <v>0</v>
      </c>
      <c r="O114" s="54">
        <v>0</v>
      </c>
      <c r="P114" s="54">
        <v>0</v>
      </c>
      <c r="Q114" s="54">
        <v>0</v>
      </c>
      <c r="R114" s="54">
        <v>0</v>
      </c>
      <c r="S114" s="54">
        <v>0</v>
      </c>
      <c r="T114" s="54">
        <v>0</v>
      </c>
      <c r="U114" s="54">
        <v>2263</v>
      </c>
      <c r="V114" s="54">
        <v>0</v>
      </c>
      <c r="W114" s="54">
        <v>0</v>
      </c>
      <c r="X114" s="54">
        <v>0</v>
      </c>
      <c r="Y114" s="54">
        <v>5000</v>
      </c>
      <c r="Z114" s="54">
        <v>0</v>
      </c>
      <c r="AA114" s="54">
        <v>0</v>
      </c>
      <c r="AB114" s="54">
        <v>0</v>
      </c>
      <c r="AC114" s="54">
        <v>0</v>
      </c>
      <c r="AD114" s="54">
        <v>0</v>
      </c>
      <c r="AE114" s="54">
        <v>0</v>
      </c>
      <c r="AF114" s="54">
        <v>0</v>
      </c>
      <c r="AG114" s="54">
        <v>0</v>
      </c>
      <c r="AH114" s="54">
        <v>0</v>
      </c>
      <c r="AI114" s="54">
        <v>0</v>
      </c>
      <c r="AJ114" s="54">
        <v>0</v>
      </c>
      <c r="AK114" s="54">
        <v>0</v>
      </c>
      <c r="AL114" s="54">
        <v>0</v>
      </c>
      <c r="AM114" s="54" t="str">
        <f>I114-J114-K114-L114-M114-N114-O114-P114-Q114-R114-S114-T114-U114-V114-W114-X114-Y114-Z114-AA114-AB114-AC114-AD114-AE114-AF114-AG114+AH114-AI114+AJ114+AK114-AL114</f>
        <v>0</v>
      </c>
      <c r="AN114" s="54"/>
      <c r="AO114" s="27"/>
    </row>
    <row r="115" spans="1:41">
      <c r="A115" s="44">
        <v>87</v>
      </c>
      <c r="B115" s="47" t="s">
        <v>451</v>
      </c>
      <c r="C115" s="48" t="s">
        <v>452</v>
      </c>
      <c r="D115" s="52" t="s">
        <v>62</v>
      </c>
      <c r="E115" s="52" t="s">
        <v>432</v>
      </c>
      <c r="F115" s="55" t="s">
        <v>453</v>
      </c>
      <c r="G115" s="51">
        <v>6</v>
      </c>
      <c r="H115" s="52" t="s">
        <v>454</v>
      </c>
      <c r="I115" s="54">
        <v>0</v>
      </c>
      <c r="J115" s="54">
        <v>0</v>
      </c>
      <c r="K115" s="54">
        <v>31000</v>
      </c>
      <c r="L115" s="54">
        <v>0</v>
      </c>
      <c r="M115" s="54">
        <v>0</v>
      </c>
      <c r="N115" s="54">
        <v>0</v>
      </c>
      <c r="O115" s="54">
        <v>0</v>
      </c>
      <c r="P115" s="54">
        <v>0</v>
      </c>
      <c r="Q115" s="54">
        <v>0</v>
      </c>
      <c r="R115" s="54">
        <v>0</v>
      </c>
      <c r="S115" s="54">
        <v>0</v>
      </c>
      <c r="T115" s="54">
        <v>0</v>
      </c>
      <c r="U115" s="54">
        <v>3189</v>
      </c>
      <c r="V115" s="54">
        <v>0</v>
      </c>
      <c r="W115" s="54">
        <v>0</v>
      </c>
      <c r="X115" s="54">
        <v>0</v>
      </c>
      <c r="Y115" s="54">
        <v>15500</v>
      </c>
      <c r="Z115" s="54">
        <v>0</v>
      </c>
      <c r="AA115" s="54">
        <v>0</v>
      </c>
      <c r="AB115" s="54">
        <v>0</v>
      </c>
      <c r="AC115" s="54">
        <v>0</v>
      </c>
      <c r="AD115" s="54">
        <v>0</v>
      </c>
      <c r="AE115" s="54">
        <v>0</v>
      </c>
      <c r="AF115" s="54">
        <v>0</v>
      </c>
      <c r="AG115" s="54">
        <v>0</v>
      </c>
      <c r="AH115" s="54">
        <v>0</v>
      </c>
      <c r="AI115" s="54">
        <v>0</v>
      </c>
      <c r="AJ115" s="54">
        <v>0</v>
      </c>
      <c r="AK115" s="54">
        <v>0</v>
      </c>
      <c r="AL115" s="54">
        <v>0</v>
      </c>
      <c r="AM115" s="54" t="str">
        <f>I115-J115-K115-L115-M115-N115-O115-P115-Q115-R115-S115-T115-U115-V115-W115-X115-Y115-Z115-AA115-AB115-AC115-AD115-AE115-AF115-AG115+AH115-AI115+AJ115+AK115-AL115</f>
        <v>0</v>
      </c>
      <c r="AN115" s="54"/>
      <c r="AO115" s="27"/>
    </row>
    <row r="116" spans="1:41">
      <c r="A116" s="44">
        <v>88</v>
      </c>
      <c r="B116" s="47" t="s">
        <v>455</v>
      </c>
      <c r="C116" s="48" t="s">
        <v>456</v>
      </c>
      <c r="D116" s="52" t="s">
        <v>73</v>
      </c>
      <c r="E116" s="52" t="s">
        <v>457</v>
      </c>
      <c r="F116" s="55" t="s">
        <v>458</v>
      </c>
      <c r="G116" s="51">
        <v>4</v>
      </c>
      <c r="H116" s="52" t="s">
        <v>459</v>
      </c>
      <c r="I116" s="54">
        <v>220000</v>
      </c>
      <c r="J116" s="54">
        <v>0</v>
      </c>
      <c r="K116" s="54">
        <v>25000</v>
      </c>
      <c r="L116" s="54">
        <v>0</v>
      </c>
      <c r="M116" s="54">
        <v>0</v>
      </c>
      <c r="N116" s="54">
        <v>0</v>
      </c>
      <c r="O116" s="54">
        <v>0</v>
      </c>
      <c r="P116" s="54">
        <v>0</v>
      </c>
      <c r="Q116" s="54">
        <v>0</v>
      </c>
      <c r="R116" s="54">
        <v>0</v>
      </c>
      <c r="S116" s="54">
        <v>0</v>
      </c>
      <c r="T116" s="54">
        <v>0</v>
      </c>
      <c r="U116" s="54">
        <v>2572</v>
      </c>
      <c r="V116" s="54">
        <v>0</v>
      </c>
      <c r="W116" s="54">
        <v>0</v>
      </c>
      <c r="X116" s="54">
        <v>0</v>
      </c>
      <c r="Y116" s="54">
        <v>0</v>
      </c>
      <c r="Z116" s="54">
        <v>0</v>
      </c>
      <c r="AA116" s="54">
        <v>0</v>
      </c>
      <c r="AB116" s="54">
        <v>0</v>
      </c>
      <c r="AC116" s="54">
        <v>0</v>
      </c>
      <c r="AD116" s="54">
        <v>0</v>
      </c>
      <c r="AE116" s="54">
        <v>0</v>
      </c>
      <c r="AF116" s="54">
        <v>0</v>
      </c>
      <c r="AG116" s="54">
        <v>0</v>
      </c>
      <c r="AH116" s="54">
        <v>0</v>
      </c>
      <c r="AI116" s="54">
        <v>0</v>
      </c>
      <c r="AJ116" s="54">
        <v>0</v>
      </c>
      <c r="AK116" s="54">
        <v>0</v>
      </c>
      <c r="AL116" s="54">
        <v>0</v>
      </c>
      <c r="AM116" s="54" t="str">
        <f>I116-J116-K116-L116-M116-N116-O116-P116-Q116-R116-S116-T116-U116-V116-W116-X116-Y116-Z116-AA116-AB116-AC116-AD116-AE116-AF116-AG116+AH116-AI116+AJ116+AK116-AL116</f>
        <v>0</v>
      </c>
      <c r="AN116" s="54"/>
      <c r="AO116" s="27"/>
    </row>
    <row r="117" spans="1:41">
      <c r="A117" s="44">
        <v>89</v>
      </c>
      <c r="B117" s="47" t="s">
        <v>460</v>
      </c>
      <c r="C117" s="48" t="s">
        <v>461</v>
      </c>
      <c r="D117" s="52" t="s">
        <v>73</v>
      </c>
      <c r="E117" s="52" t="s">
        <v>457</v>
      </c>
      <c r="F117" s="55" t="s">
        <v>462</v>
      </c>
      <c r="G117" s="51">
        <v>4</v>
      </c>
      <c r="H117" s="52" t="s">
        <v>463</v>
      </c>
      <c r="I117" s="54">
        <v>220000</v>
      </c>
      <c r="J117" s="54">
        <v>0</v>
      </c>
      <c r="K117" s="54">
        <v>25000</v>
      </c>
      <c r="L117" s="54">
        <v>0</v>
      </c>
      <c r="M117" s="54">
        <v>0</v>
      </c>
      <c r="N117" s="54">
        <v>0</v>
      </c>
      <c r="O117" s="54">
        <v>0</v>
      </c>
      <c r="P117" s="54">
        <v>0</v>
      </c>
      <c r="Q117" s="54">
        <v>0</v>
      </c>
      <c r="R117" s="54">
        <v>0</v>
      </c>
      <c r="S117" s="54">
        <v>0</v>
      </c>
      <c r="T117" s="54">
        <v>0</v>
      </c>
      <c r="U117" s="54">
        <v>2572</v>
      </c>
      <c r="V117" s="54">
        <v>0</v>
      </c>
      <c r="W117" s="54">
        <v>0</v>
      </c>
      <c r="X117" s="54">
        <v>0</v>
      </c>
      <c r="Y117" s="54">
        <v>0</v>
      </c>
      <c r="Z117" s="54">
        <v>0</v>
      </c>
      <c r="AA117" s="54">
        <v>0</v>
      </c>
      <c r="AB117" s="54">
        <v>0</v>
      </c>
      <c r="AC117" s="54">
        <v>0</v>
      </c>
      <c r="AD117" s="54">
        <v>0</v>
      </c>
      <c r="AE117" s="54">
        <v>0</v>
      </c>
      <c r="AF117" s="54">
        <v>0</v>
      </c>
      <c r="AG117" s="54">
        <v>0</v>
      </c>
      <c r="AH117" s="54">
        <v>0</v>
      </c>
      <c r="AI117" s="54">
        <v>0</v>
      </c>
      <c r="AJ117" s="54">
        <v>0</v>
      </c>
      <c r="AK117" s="54">
        <v>0</v>
      </c>
      <c r="AL117" s="54">
        <v>0</v>
      </c>
      <c r="AM117" s="54" t="str">
        <f>I117-J117-K117-L117-M117-N117-O117-P117-Q117-R117-S117-T117-U117-V117-W117-X117-Y117-Z117-AA117-AB117-AC117-AD117-AE117-AF117-AG117+AH117-AI117+AJ117+AK117-AL117</f>
        <v>0</v>
      </c>
      <c r="AN117" s="54"/>
      <c r="AO117" s="27"/>
    </row>
    <row r="118" spans="1:41">
      <c r="A118" s="44">
        <v>90</v>
      </c>
      <c r="B118" s="47" t="s">
        <v>464</v>
      </c>
      <c r="C118" s="48" t="s">
        <v>465</v>
      </c>
      <c r="D118" s="52" t="s">
        <v>62</v>
      </c>
      <c r="E118" s="52" t="s">
        <v>466</v>
      </c>
      <c r="F118" s="55" t="s">
        <v>467</v>
      </c>
      <c r="G118" s="51">
        <v>3</v>
      </c>
      <c r="H118" s="52" t="s">
        <v>468</v>
      </c>
      <c r="I118" s="54">
        <v>0</v>
      </c>
      <c r="J118" s="54">
        <v>0</v>
      </c>
      <c r="K118" s="54">
        <v>22000</v>
      </c>
      <c r="L118" s="54">
        <v>0</v>
      </c>
      <c r="M118" s="54">
        <v>0</v>
      </c>
      <c r="N118" s="54">
        <v>0</v>
      </c>
      <c r="O118" s="54">
        <v>0</v>
      </c>
      <c r="P118" s="54">
        <v>0</v>
      </c>
      <c r="Q118" s="54">
        <v>0</v>
      </c>
      <c r="R118" s="54">
        <v>0</v>
      </c>
      <c r="S118" s="54">
        <v>0</v>
      </c>
      <c r="T118" s="54">
        <v>0</v>
      </c>
      <c r="U118" s="54">
        <v>2263</v>
      </c>
      <c r="V118" s="54">
        <v>0</v>
      </c>
      <c r="W118" s="54">
        <v>0</v>
      </c>
      <c r="X118" s="54">
        <v>0</v>
      </c>
      <c r="Y118" s="54">
        <v>5000</v>
      </c>
      <c r="Z118" s="54">
        <v>0</v>
      </c>
      <c r="AA118" s="54">
        <v>0</v>
      </c>
      <c r="AB118" s="54">
        <v>0</v>
      </c>
      <c r="AC118" s="54">
        <v>0</v>
      </c>
      <c r="AD118" s="54">
        <v>0</v>
      </c>
      <c r="AE118" s="54">
        <v>0</v>
      </c>
      <c r="AF118" s="54">
        <v>0</v>
      </c>
      <c r="AG118" s="54">
        <v>0</v>
      </c>
      <c r="AH118" s="54">
        <v>0</v>
      </c>
      <c r="AI118" s="54">
        <v>0</v>
      </c>
      <c r="AJ118" s="54">
        <v>0</v>
      </c>
      <c r="AK118" s="54">
        <v>0</v>
      </c>
      <c r="AL118" s="54">
        <v>0</v>
      </c>
      <c r="AM118" s="54" t="str">
        <f>I118-J118-K118-L118-M118-N118-O118-P118-Q118-R118-S118-T118-U118-V118-W118-X118-Y118-Z118-AA118-AB118-AC118-AD118-AE118-AF118-AG118+AH118-AI118+AJ118+AK118-AL118</f>
        <v>0</v>
      </c>
      <c r="AN118" s="54"/>
      <c r="AO118" s="27"/>
    </row>
    <row r="119" spans="1:41">
      <c r="A119" s="44">
        <v>91</v>
      </c>
      <c r="B119" s="47" t="s">
        <v>469</v>
      </c>
      <c r="C119" s="48" t="s">
        <v>470</v>
      </c>
      <c r="D119" s="52" t="s">
        <v>62</v>
      </c>
      <c r="E119" s="52" t="s">
        <v>471</v>
      </c>
      <c r="F119" s="55" t="s">
        <v>472</v>
      </c>
      <c r="G119" s="51">
        <v>2</v>
      </c>
      <c r="H119" s="52" t="s">
        <v>473</v>
      </c>
      <c r="I119" s="54">
        <v>0</v>
      </c>
      <c r="J119" s="54">
        <v>0</v>
      </c>
      <c r="K119" s="54">
        <v>22000</v>
      </c>
      <c r="L119" s="54">
        <v>0</v>
      </c>
      <c r="M119" s="54">
        <v>0</v>
      </c>
      <c r="N119" s="54">
        <v>0</v>
      </c>
      <c r="O119" s="54">
        <v>0</v>
      </c>
      <c r="P119" s="54">
        <v>0</v>
      </c>
      <c r="Q119" s="54">
        <v>0</v>
      </c>
      <c r="R119" s="54">
        <v>0</v>
      </c>
      <c r="S119" s="54">
        <v>0</v>
      </c>
      <c r="T119" s="54">
        <v>0</v>
      </c>
      <c r="U119" s="54">
        <v>2263</v>
      </c>
      <c r="V119" s="54">
        <v>0</v>
      </c>
      <c r="W119" s="54">
        <v>0</v>
      </c>
      <c r="X119" s="54">
        <v>0</v>
      </c>
      <c r="Y119" s="54">
        <v>11000</v>
      </c>
      <c r="Z119" s="54">
        <v>0</v>
      </c>
      <c r="AA119" s="54">
        <v>0</v>
      </c>
      <c r="AB119" s="54">
        <v>0</v>
      </c>
      <c r="AC119" s="54">
        <v>0</v>
      </c>
      <c r="AD119" s="54">
        <v>0</v>
      </c>
      <c r="AE119" s="54">
        <v>0</v>
      </c>
      <c r="AF119" s="54">
        <v>0</v>
      </c>
      <c r="AG119" s="54">
        <v>0</v>
      </c>
      <c r="AH119" s="54">
        <v>0</v>
      </c>
      <c r="AI119" s="54">
        <v>0</v>
      </c>
      <c r="AJ119" s="54">
        <v>0</v>
      </c>
      <c r="AK119" s="54">
        <v>0</v>
      </c>
      <c r="AL119" s="54">
        <v>0</v>
      </c>
      <c r="AM119" s="54" t="str">
        <f>I119-J119-K119-L119-M119-N119-O119-P119-Q119-R119-S119-T119-U119-V119-W119-X119-Y119-Z119-AA119-AB119-AC119-AD119-AE119-AF119-AG119+AH119-AI119+AJ119+AK119-AL119</f>
        <v>0</v>
      </c>
      <c r="AN119" s="54"/>
      <c r="AO119" s="27"/>
    </row>
    <row r="120" spans="1:41">
      <c r="A120" s="44">
        <v>92</v>
      </c>
      <c r="B120" s="47" t="s">
        <v>474</v>
      </c>
      <c r="C120" s="48" t="s">
        <v>475</v>
      </c>
      <c r="D120" s="52" t="s">
        <v>62</v>
      </c>
      <c r="E120" s="52" t="s">
        <v>471</v>
      </c>
      <c r="F120" s="55" t="s">
        <v>476</v>
      </c>
      <c r="G120" s="51">
        <v>5</v>
      </c>
      <c r="H120" s="52" t="s">
        <v>477</v>
      </c>
      <c r="I120" s="54">
        <v>0</v>
      </c>
      <c r="J120" s="54">
        <v>0</v>
      </c>
      <c r="K120" s="54">
        <v>27000</v>
      </c>
      <c r="L120" s="54">
        <v>0</v>
      </c>
      <c r="M120" s="54">
        <v>0</v>
      </c>
      <c r="N120" s="54">
        <v>0</v>
      </c>
      <c r="O120" s="54">
        <v>0</v>
      </c>
      <c r="P120" s="54">
        <v>0</v>
      </c>
      <c r="Q120" s="54">
        <v>0</v>
      </c>
      <c r="R120" s="54">
        <v>0</v>
      </c>
      <c r="S120" s="54">
        <v>0</v>
      </c>
      <c r="T120" s="54">
        <v>0</v>
      </c>
      <c r="U120" s="54">
        <v>2778</v>
      </c>
      <c r="V120" s="54">
        <v>0</v>
      </c>
      <c r="W120" s="54">
        <v>0</v>
      </c>
      <c r="X120" s="54">
        <v>0</v>
      </c>
      <c r="Y120" s="54">
        <v>13500</v>
      </c>
      <c r="Z120" s="54">
        <v>0</v>
      </c>
      <c r="AA120" s="54">
        <v>0</v>
      </c>
      <c r="AB120" s="54">
        <v>0</v>
      </c>
      <c r="AC120" s="54">
        <v>0</v>
      </c>
      <c r="AD120" s="54">
        <v>0</v>
      </c>
      <c r="AE120" s="54">
        <v>0</v>
      </c>
      <c r="AF120" s="54">
        <v>0</v>
      </c>
      <c r="AG120" s="54">
        <v>0</v>
      </c>
      <c r="AH120" s="54">
        <v>0</v>
      </c>
      <c r="AI120" s="54">
        <v>0</v>
      </c>
      <c r="AJ120" s="54">
        <v>0</v>
      </c>
      <c r="AK120" s="54">
        <v>0</v>
      </c>
      <c r="AL120" s="54">
        <v>0</v>
      </c>
      <c r="AM120" s="54" t="str">
        <f>I120-J120-K120-L120-M120-N120-O120-P120-Q120-R120-S120-T120-U120-V120-W120-X120-Y120-Z120-AA120-AB120-AC120-AD120-AE120-AF120-AG120+AH120-AI120+AJ120+AK120-AL120</f>
        <v>0</v>
      </c>
      <c r="AN120" s="54"/>
      <c r="AO120" s="27"/>
    </row>
    <row r="121" spans="1:41">
      <c r="A121" s="44">
        <v>93</v>
      </c>
      <c r="B121" s="47" t="s">
        <v>478</v>
      </c>
      <c r="C121" s="48" t="s">
        <v>479</v>
      </c>
      <c r="D121" s="52" t="s">
        <v>73</v>
      </c>
      <c r="E121" s="52" t="s">
        <v>471</v>
      </c>
      <c r="F121" s="55" t="s">
        <v>480</v>
      </c>
      <c r="G121" s="51">
        <v>2</v>
      </c>
      <c r="H121" s="52" t="s">
        <v>481</v>
      </c>
      <c r="I121" s="54">
        <v>154000</v>
      </c>
      <c r="J121" s="54">
        <v>0</v>
      </c>
      <c r="K121" s="54">
        <v>22000</v>
      </c>
      <c r="L121" s="54">
        <v>0</v>
      </c>
      <c r="M121" s="54">
        <v>0</v>
      </c>
      <c r="N121" s="54">
        <v>0</v>
      </c>
      <c r="O121" s="54">
        <v>0</v>
      </c>
      <c r="P121" s="54">
        <v>0</v>
      </c>
      <c r="Q121" s="54">
        <v>0</v>
      </c>
      <c r="R121" s="54">
        <v>0</v>
      </c>
      <c r="S121" s="54">
        <v>0</v>
      </c>
      <c r="T121" s="54">
        <v>0</v>
      </c>
      <c r="U121" s="54">
        <v>2263</v>
      </c>
      <c r="V121" s="54">
        <v>0</v>
      </c>
      <c r="W121" s="54">
        <v>0</v>
      </c>
      <c r="X121" s="54">
        <v>0</v>
      </c>
      <c r="Y121" s="54">
        <v>0</v>
      </c>
      <c r="Z121" s="54">
        <v>0</v>
      </c>
      <c r="AA121" s="54">
        <v>0</v>
      </c>
      <c r="AB121" s="54">
        <v>0</v>
      </c>
      <c r="AC121" s="54">
        <v>0</v>
      </c>
      <c r="AD121" s="54">
        <v>0</v>
      </c>
      <c r="AE121" s="54">
        <v>0</v>
      </c>
      <c r="AF121" s="54">
        <v>0</v>
      </c>
      <c r="AG121" s="54">
        <v>0</v>
      </c>
      <c r="AH121" s="54">
        <v>0</v>
      </c>
      <c r="AI121" s="54">
        <v>0</v>
      </c>
      <c r="AJ121" s="54">
        <v>0</v>
      </c>
      <c r="AK121" s="54">
        <v>0</v>
      </c>
      <c r="AL121" s="54">
        <v>0</v>
      </c>
      <c r="AM121" s="54" t="str">
        <f>I121-J121-K121-L121-M121-N121-O121-P121-Q121-R121-S121-T121-U121-V121-W121-X121-Y121-Z121-AA121-AB121-AC121-AD121-AE121-AF121-AG121+AH121-AI121+AJ121+AK121-AL121</f>
        <v>0</v>
      </c>
      <c r="AN121" s="54"/>
      <c r="AO121" s="27"/>
    </row>
    <row r="122" spans="1:41">
      <c r="A122" s="44">
        <v>94</v>
      </c>
      <c r="B122" s="47" t="s">
        <v>482</v>
      </c>
      <c r="C122" s="48" t="s">
        <v>483</v>
      </c>
      <c r="D122" s="52" t="s">
        <v>73</v>
      </c>
      <c r="E122" s="52" t="s">
        <v>484</v>
      </c>
      <c r="F122" s="55" t="s">
        <v>485</v>
      </c>
      <c r="G122" s="51">
        <v>7.8</v>
      </c>
      <c r="H122" s="52" t="s">
        <v>486</v>
      </c>
      <c r="I122" s="54">
        <v>625000</v>
      </c>
      <c r="J122" s="54">
        <v>0</v>
      </c>
      <c r="K122" s="54">
        <v>39000</v>
      </c>
      <c r="L122" s="54">
        <v>0</v>
      </c>
      <c r="M122" s="54">
        <v>0</v>
      </c>
      <c r="N122" s="54">
        <v>0</v>
      </c>
      <c r="O122" s="54">
        <v>0</v>
      </c>
      <c r="P122" s="54">
        <v>0</v>
      </c>
      <c r="Q122" s="54">
        <v>0</v>
      </c>
      <c r="R122" s="54">
        <v>0</v>
      </c>
      <c r="S122" s="54">
        <v>0</v>
      </c>
      <c r="T122" s="54">
        <v>0</v>
      </c>
      <c r="U122" s="54">
        <v>4013</v>
      </c>
      <c r="V122" s="54">
        <v>0</v>
      </c>
      <c r="W122" s="54">
        <v>0</v>
      </c>
      <c r="X122" s="54">
        <v>0</v>
      </c>
      <c r="Y122" s="54">
        <v>0</v>
      </c>
      <c r="Z122" s="54">
        <v>0</v>
      </c>
      <c r="AA122" s="54">
        <v>0</v>
      </c>
      <c r="AB122" s="54">
        <v>0</v>
      </c>
      <c r="AC122" s="54">
        <v>0</v>
      </c>
      <c r="AD122" s="54">
        <v>0</v>
      </c>
      <c r="AE122" s="54">
        <v>0</v>
      </c>
      <c r="AF122" s="54">
        <v>0</v>
      </c>
      <c r="AG122" s="54">
        <v>0</v>
      </c>
      <c r="AH122" s="54">
        <v>0</v>
      </c>
      <c r="AI122" s="54">
        <v>0</v>
      </c>
      <c r="AJ122" s="54">
        <v>0</v>
      </c>
      <c r="AK122" s="54">
        <v>0</v>
      </c>
      <c r="AL122" s="54">
        <v>0</v>
      </c>
      <c r="AM122" s="54" t="str">
        <f>I122-J122-K122-L122-M122-N122-O122-P122-Q122-R122-S122-T122-U122-V122-W122-X122-Y122-Z122-AA122-AB122-AC122-AD122-AE122-AF122-AG122+AH122-AI122+AJ122+AK122-AL122</f>
        <v>0</v>
      </c>
      <c r="AN122" s="54"/>
      <c r="AO122" s="27"/>
    </row>
    <row r="123" spans="1:41">
      <c r="A123" s="44">
        <v>95</v>
      </c>
      <c r="B123" s="47" t="s">
        <v>487</v>
      </c>
      <c r="C123" s="48" t="s">
        <v>488</v>
      </c>
      <c r="D123" s="52" t="s">
        <v>73</v>
      </c>
      <c r="E123" s="52" t="s">
        <v>484</v>
      </c>
      <c r="F123" s="55" t="s">
        <v>489</v>
      </c>
      <c r="G123" s="51">
        <v>2</v>
      </c>
      <c r="H123" s="52" t="s">
        <v>490</v>
      </c>
      <c r="I123" s="54">
        <v>323100</v>
      </c>
      <c r="J123" s="54">
        <v>0</v>
      </c>
      <c r="K123" s="54">
        <v>22000</v>
      </c>
      <c r="L123" s="54">
        <v>0</v>
      </c>
      <c r="M123" s="54">
        <v>0</v>
      </c>
      <c r="N123" s="54">
        <v>0</v>
      </c>
      <c r="O123" s="54">
        <v>0</v>
      </c>
      <c r="P123" s="54">
        <v>0</v>
      </c>
      <c r="Q123" s="54">
        <v>0</v>
      </c>
      <c r="R123" s="54">
        <v>0</v>
      </c>
      <c r="S123" s="54">
        <v>0</v>
      </c>
      <c r="T123" s="54">
        <v>0</v>
      </c>
      <c r="U123" s="54">
        <v>2263</v>
      </c>
      <c r="V123" s="54">
        <v>0</v>
      </c>
      <c r="W123" s="54">
        <v>0</v>
      </c>
      <c r="X123" s="54">
        <v>0</v>
      </c>
      <c r="Y123" s="54">
        <v>0</v>
      </c>
      <c r="Z123" s="54">
        <v>0</v>
      </c>
      <c r="AA123" s="54">
        <v>0</v>
      </c>
      <c r="AB123" s="54">
        <v>0</v>
      </c>
      <c r="AC123" s="54">
        <v>0</v>
      </c>
      <c r="AD123" s="54">
        <v>0</v>
      </c>
      <c r="AE123" s="54">
        <v>0</v>
      </c>
      <c r="AF123" s="54">
        <v>0</v>
      </c>
      <c r="AG123" s="54">
        <v>0</v>
      </c>
      <c r="AH123" s="54">
        <v>0</v>
      </c>
      <c r="AI123" s="54">
        <v>0</v>
      </c>
      <c r="AJ123" s="54">
        <v>0</v>
      </c>
      <c r="AK123" s="54">
        <v>0</v>
      </c>
      <c r="AL123" s="54">
        <v>0</v>
      </c>
      <c r="AM123" s="54" t="str">
        <f>I123-J123-K123-L123-M123-N123-O123-P123-Q123-R123-S123-T123-U123-V123-W123-X123-Y123-Z123-AA123-AB123-AC123-AD123-AE123-AF123-AG123+AH123-AI123+AJ123+AK123-AL123</f>
        <v>0</v>
      </c>
      <c r="AN123" s="54"/>
      <c r="AO123" s="27"/>
    </row>
    <row r="124" spans="1:41">
      <c r="A124" s="44">
        <v>96</v>
      </c>
      <c r="B124" s="47" t="s">
        <v>491</v>
      </c>
      <c r="C124" s="48" t="s">
        <v>492</v>
      </c>
      <c r="D124" s="52" t="s">
        <v>62</v>
      </c>
      <c r="E124" s="52" t="s">
        <v>484</v>
      </c>
      <c r="F124" s="55" t="s">
        <v>493</v>
      </c>
      <c r="G124" s="51">
        <v>2</v>
      </c>
      <c r="H124" s="52" t="s">
        <v>494</v>
      </c>
      <c r="I124" s="54">
        <v>0</v>
      </c>
      <c r="J124" s="54">
        <v>0</v>
      </c>
      <c r="K124" s="54">
        <v>22000</v>
      </c>
      <c r="L124" s="54">
        <v>0</v>
      </c>
      <c r="M124" s="54">
        <v>0</v>
      </c>
      <c r="N124" s="54">
        <v>0</v>
      </c>
      <c r="O124" s="54">
        <v>0</v>
      </c>
      <c r="P124" s="54">
        <v>0</v>
      </c>
      <c r="Q124" s="54">
        <v>0</v>
      </c>
      <c r="R124" s="54">
        <v>0</v>
      </c>
      <c r="S124" s="54">
        <v>0</v>
      </c>
      <c r="T124" s="54">
        <v>0</v>
      </c>
      <c r="U124" s="54">
        <v>2263</v>
      </c>
      <c r="V124" s="54">
        <v>0</v>
      </c>
      <c r="W124" s="54">
        <v>0</v>
      </c>
      <c r="X124" s="54">
        <v>0</v>
      </c>
      <c r="Y124" s="54">
        <v>11000</v>
      </c>
      <c r="Z124" s="54">
        <v>0</v>
      </c>
      <c r="AA124" s="54">
        <v>0</v>
      </c>
      <c r="AB124" s="54">
        <v>0</v>
      </c>
      <c r="AC124" s="54">
        <v>0</v>
      </c>
      <c r="AD124" s="54">
        <v>0</v>
      </c>
      <c r="AE124" s="54">
        <v>0</v>
      </c>
      <c r="AF124" s="54">
        <v>0</v>
      </c>
      <c r="AG124" s="54">
        <v>0</v>
      </c>
      <c r="AH124" s="54">
        <v>0</v>
      </c>
      <c r="AI124" s="54">
        <v>0</v>
      </c>
      <c r="AJ124" s="54">
        <v>0</v>
      </c>
      <c r="AK124" s="54">
        <v>0</v>
      </c>
      <c r="AL124" s="54">
        <v>0</v>
      </c>
      <c r="AM124" s="54" t="str">
        <f>I124-J124-K124-L124-M124-N124-O124-P124-Q124-R124-S124-T124-U124-V124-W124-X124-Y124-Z124-AA124-AB124-AC124-AD124-AE124-AF124-AG124+AH124-AI124+AJ124+AK124-AL124</f>
        <v>0</v>
      </c>
      <c r="AN124" s="54"/>
      <c r="AO124" s="27"/>
    </row>
    <row r="125" spans="1:41">
      <c r="A125" s="44">
        <v>97</v>
      </c>
      <c r="B125" s="47" t="s">
        <v>495</v>
      </c>
      <c r="C125" s="48" t="s">
        <v>496</v>
      </c>
      <c r="D125" s="52" t="s">
        <v>62</v>
      </c>
      <c r="E125" s="52" t="s">
        <v>484</v>
      </c>
      <c r="F125" s="55" t="s">
        <v>497</v>
      </c>
      <c r="G125" s="51">
        <v>7.8</v>
      </c>
      <c r="H125" s="52" t="s">
        <v>498</v>
      </c>
      <c r="I125" s="54">
        <v>0</v>
      </c>
      <c r="J125" s="54">
        <v>0</v>
      </c>
      <c r="K125" s="54">
        <v>39000</v>
      </c>
      <c r="L125" s="54">
        <v>0</v>
      </c>
      <c r="M125" s="54">
        <v>0</v>
      </c>
      <c r="N125" s="54">
        <v>0</v>
      </c>
      <c r="O125" s="54">
        <v>0</v>
      </c>
      <c r="P125" s="54">
        <v>0</v>
      </c>
      <c r="Q125" s="54">
        <v>0</v>
      </c>
      <c r="R125" s="54">
        <v>0</v>
      </c>
      <c r="S125" s="54">
        <v>0</v>
      </c>
      <c r="T125" s="54">
        <v>0</v>
      </c>
      <c r="U125" s="54">
        <v>4013</v>
      </c>
      <c r="V125" s="54">
        <v>0</v>
      </c>
      <c r="W125" s="54">
        <v>0</v>
      </c>
      <c r="X125" s="54">
        <v>0</v>
      </c>
      <c r="Y125" s="54">
        <v>5000</v>
      </c>
      <c r="Z125" s="54">
        <v>0</v>
      </c>
      <c r="AA125" s="54">
        <v>0</v>
      </c>
      <c r="AB125" s="54">
        <v>0</v>
      </c>
      <c r="AC125" s="54">
        <v>0</v>
      </c>
      <c r="AD125" s="54">
        <v>0</v>
      </c>
      <c r="AE125" s="54">
        <v>0</v>
      </c>
      <c r="AF125" s="54">
        <v>0</v>
      </c>
      <c r="AG125" s="54">
        <v>0</v>
      </c>
      <c r="AH125" s="54">
        <v>0</v>
      </c>
      <c r="AI125" s="54">
        <v>0</v>
      </c>
      <c r="AJ125" s="54">
        <v>0</v>
      </c>
      <c r="AK125" s="54">
        <v>0</v>
      </c>
      <c r="AL125" s="54">
        <v>0</v>
      </c>
      <c r="AM125" s="54" t="str">
        <f>I125-J125-K125-L125-M125-N125-O125-P125-Q125-R125-S125-T125-U125-V125-W125-X125-Y125-Z125-AA125-AB125-AC125-AD125-AE125-AF125-AG125+AH125-AI125+AJ125+AK125-AL125</f>
        <v>0</v>
      </c>
      <c r="AN125" s="54"/>
      <c r="AO125" s="27"/>
    </row>
    <row r="126" spans="1:41">
      <c r="A126" s="44">
        <v>98</v>
      </c>
      <c r="B126" s="47" t="s">
        <v>499</v>
      </c>
      <c r="C126" s="48" t="s">
        <v>500</v>
      </c>
      <c r="D126" s="52" t="s">
        <v>62</v>
      </c>
      <c r="E126" s="52" t="s">
        <v>484</v>
      </c>
      <c r="F126" s="55" t="s">
        <v>501</v>
      </c>
      <c r="G126" s="51">
        <v>17</v>
      </c>
      <c r="H126" s="52" t="s">
        <v>502</v>
      </c>
      <c r="I126" s="54">
        <v>0</v>
      </c>
      <c r="J126" s="54">
        <v>0</v>
      </c>
      <c r="K126" s="54">
        <v>68000</v>
      </c>
      <c r="L126" s="54">
        <v>0</v>
      </c>
      <c r="M126" s="54">
        <v>0</v>
      </c>
      <c r="N126" s="54">
        <v>0</v>
      </c>
      <c r="O126" s="54">
        <v>0</v>
      </c>
      <c r="P126" s="54">
        <v>0</v>
      </c>
      <c r="Q126" s="54">
        <v>0</v>
      </c>
      <c r="R126" s="54">
        <v>0</v>
      </c>
      <c r="S126" s="54">
        <v>0</v>
      </c>
      <c r="T126" s="54">
        <v>0</v>
      </c>
      <c r="U126" s="54">
        <v>6997</v>
      </c>
      <c r="V126" s="54">
        <v>0</v>
      </c>
      <c r="W126" s="54">
        <v>0</v>
      </c>
      <c r="X126" s="54">
        <v>0</v>
      </c>
      <c r="Y126" s="54">
        <v>5000</v>
      </c>
      <c r="Z126" s="54">
        <v>0</v>
      </c>
      <c r="AA126" s="54">
        <v>0</v>
      </c>
      <c r="AB126" s="54">
        <v>0</v>
      </c>
      <c r="AC126" s="54">
        <v>0</v>
      </c>
      <c r="AD126" s="54">
        <v>0</v>
      </c>
      <c r="AE126" s="54">
        <v>0</v>
      </c>
      <c r="AF126" s="54">
        <v>0</v>
      </c>
      <c r="AG126" s="54">
        <v>0</v>
      </c>
      <c r="AH126" s="54">
        <v>0</v>
      </c>
      <c r="AI126" s="54">
        <v>0</v>
      </c>
      <c r="AJ126" s="54">
        <v>0</v>
      </c>
      <c r="AK126" s="54">
        <v>0</v>
      </c>
      <c r="AL126" s="54">
        <v>0</v>
      </c>
      <c r="AM126" s="54" t="str">
        <f>I126-J126-K126-L126-M126-N126-O126-P126-Q126-R126-S126-T126-U126-V126-W126-X126-Y126-Z126-AA126-AB126-AC126-AD126-AE126-AF126-AG126+AH126-AI126+AJ126+AK126-AL126</f>
        <v>0</v>
      </c>
      <c r="AN126" s="54"/>
      <c r="AO126" s="27"/>
    </row>
    <row r="127" spans="1:41">
      <c r="A127" s="44">
        <v>99</v>
      </c>
      <c r="B127" s="47" t="s">
        <v>503</v>
      </c>
      <c r="C127" s="48" t="s">
        <v>504</v>
      </c>
      <c r="D127" s="52" t="s">
        <v>62</v>
      </c>
      <c r="E127" s="52" t="s">
        <v>484</v>
      </c>
      <c r="F127" s="55" t="s">
        <v>505</v>
      </c>
      <c r="G127" s="51">
        <v>8</v>
      </c>
      <c r="H127" s="52" t="s">
        <v>506</v>
      </c>
      <c r="I127" s="54">
        <v>0</v>
      </c>
      <c r="J127" s="54">
        <v>0</v>
      </c>
      <c r="K127" s="54">
        <v>39000</v>
      </c>
      <c r="L127" s="54">
        <v>0</v>
      </c>
      <c r="M127" s="54">
        <v>0</v>
      </c>
      <c r="N127" s="54">
        <v>0</v>
      </c>
      <c r="O127" s="54">
        <v>0</v>
      </c>
      <c r="P127" s="54">
        <v>0</v>
      </c>
      <c r="Q127" s="54">
        <v>0</v>
      </c>
      <c r="R127" s="54">
        <v>0</v>
      </c>
      <c r="S127" s="54">
        <v>0</v>
      </c>
      <c r="T127" s="54">
        <v>0</v>
      </c>
      <c r="U127" s="54">
        <v>4013</v>
      </c>
      <c r="V127" s="54">
        <v>0</v>
      </c>
      <c r="W127" s="54">
        <v>0</v>
      </c>
      <c r="X127" s="54">
        <v>0</v>
      </c>
      <c r="Y127" s="54">
        <v>19500</v>
      </c>
      <c r="Z127" s="54">
        <v>0</v>
      </c>
      <c r="AA127" s="54">
        <v>0</v>
      </c>
      <c r="AB127" s="54">
        <v>0</v>
      </c>
      <c r="AC127" s="54">
        <v>0</v>
      </c>
      <c r="AD127" s="54">
        <v>0</v>
      </c>
      <c r="AE127" s="54">
        <v>0</v>
      </c>
      <c r="AF127" s="54">
        <v>0</v>
      </c>
      <c r="AG127" s="54">
        <v>0</v>
      </c>
      <c r="AH127" s="54">
        <v>0</v>
      </c>
      <c r="AI127" s="54">
        <v>0</v>
      </c>
      <c r="AJ127" s="54">
        <v>0</v>
      </c>
      <c r="AK127" s="54">
        <v>0</v>
      </c>
      <c r="AL127" s="54">
        <v>0</v>
      </c>
      <c r="AM127" s="54" t="str">
        <f>I127-J127-K127-L127-M127-N127-O127-P127-Q127-R127-S127-T127-U127-V127-W127-X127-Y127-Z127-AA127-AB127-AC127-AD127-AE127-AF127-AG127+AH127-AI127+AJ127+AK127-AL127</f>
        <v>0</v>
      </c>
      <c r="AN127" s="54"/>
      <c r="AO127" s="27"/>
    </row>
    <row r="128" spans="1:41">
      <c r="A128" s="44">
        <v>100</v>
      </c>
      <c r="B128" s="47" t="s">
        <v>507</v>
      </c>
      <c r="C128" s="48" t="s">
        <v>508</v>
      </c>
      <c r="D128" s="52" t="s">
        <v>73</v>
      </c>
      <c r="E128" s="52" t="s">
        <v>484</v>
      </c>
      <c r="F128" s="55" t="s">
        <v>509</v>
      </c>
      <c r="G128" s="51">
        <v>4</v>
      </c>
      <c r="H128" s="52" t="s">
        <v>510</v>
      </c>
      <c r="I128" s="54">
        <v>220000</v>
      </c>
      <c r="J128" s="54">
        <v>0</v>
      </c>
      <c r="K128" s="54">
        <v>25000</v>
      </c>
      <c r="L128" s="54">
        <v>0</v>
      </c>
      <c r="M128" s="54">
        <v>0</v>
      </c>
      <c r="N128" s="54">
        <v>0</v>
      </c>
      <c r="O128" s="54">
        <v>0</v>
      </c>
      <c r="P128" s="54">
        <v>0</v>
      </c>
      <c r="Q128" s="54">
        <v>0</v>
      </c>
      <c r="R128" s="54">
        <v>0</v>
      </c>
      <c r="S128" s="54">
        <v>0</v>
      </c>
      <c r="T128" s="54">
        <v>0</v>
      </c>
      <c r="U128" s="54">
        <v>2572</v>
      </c>
      <c r="V128" s="54">
        <v>0</v>
      </c>
      <c r="W128" s="54">
        <v>0</v>
      </c>
      <c r="X128" s="54">
        <v>0</v>
      </c>
      <c r="Y128" s="54">
        <v>0</v>
      </c>
      <c r="Z128" s="54">
        <v>0</v>
      </c>
      <c r="AA128" s="54">
        <v>0</v>
      </c>
      <c r="AB128" s="54">
        <v>0</v>
      </c>
      <c r="AC128" s="54">
        <v>0</v>
      </c>
      <c r="AD128" s="54">
        <v>0</v>
      </c>
      <c r="AE128" s="54">
        <v>0</v>
      </c>
      <c r="AF128" s="54">
        <v>0</v>
      </c>
      <c r="AG128" s="54">
        <v>0</v>
      </c>
      <c r="AH128" s="54">
        <v>0</v>
      </c>
      <c r="AI128" s="54">
        <v>0</v>
      </c>
      <c r="AJ128" s="54">
        <v>0</v>
      </c>
      <c r="AK128" s="54">
        <v>0</v>
      </c>
      <c r="AL128" s="54">
        <v>0</v>
      </c>
      <c r="AM128" s="54" t="str">
        <f>I128-J128-K128-L128-M128-N128-O128-P128-Q128-R128-S128-T128-U128-V128-W128-X128-Y128-Z128-AA128-AB128-AC128-AD128-AE128-AF128-AG128+AH128-AI128+AJ128+AK128-AL128</f>
        <v>0</v>
      </c>
      <c r="AN128" s="54"/>
      <c r="AO128" s="27"/>
    </row>
    <row r="129" spans="1:41">
      <c r="A129" s="44">
        <v>101</v>
      </c>
      <c r="B129" s="47" t="s">
        <v>511</v>
      </c>
      <c r="C129" s="48" t="s">
        <v>512</v>
      </c>
      <c r="D129" s="52" t="s">
        <v>73</v>
      </c>
      <c r="E129" s="52" t="s">
        <v>513</v>
      </c>
      <c r="F129" s="55" t="s">
        <v>514</v>
      </c>
      <c r="G129" s="51">
        <v>8</v>
      </c>
      <c r="H129" s="52" t="s">
        <v>515</v>
      </c>
      <c r="I129" s="54">
        <v>1989000</v>
      </c>
      <c r="J129" s="54">
        <v>0</v>
      </c>
      <c r="K129" s="54">
        <v>39000</v>
      </c>
      <c r="L129" s="54">
        <v>0</v>
      </c>
      <c r="M129" s="54">
        <v>0</v>
      </c>
      <c r="N129" s="54">
        <v>0</v>
      </c>
      <c r="O129" s="54">
        <v>0</v>
      </c>
      <c r="P129" s="54">
        <v>0</v>
      </c>
      <c r="Q129" s="54">
        <v>0</v>
      </c>
      <c r="R129" s="54">
        <v>0</v>
      </c>
      <c r="S129" s="54">
        <v>0</v>
      </c>
      <c r="T129" s="54">
        <v>0</v>
      </c>
      <c r="U129" s="54">
        <v>4013</v>
      </c>
      <c r="V129" s="54">
        <v>0</v>
      </c>
      <c r="W129" s="54">
        <v>0</v>
      </c>
      <c r="X129" s="54">
        <v>0</v>
      </c>
      <c r="Y129" s="54">
        <v>0</v>
      </c>
      <c r="Z129" s="54">
        <v>0</v>
      </c>
      <c r="AA129" s="54">
        <v>0</v>
      </c>
      <c r="AB129" s="54">
        <v>0</v>
      </c>
      <c r="AC129" s="54">
        <v>0</v>
      </c>
      <c r="AD129" s="54">
        <v>0</v>
      </c>
      <c r="AE129" s="54">
        <v>0</v>
      </c>
      <c r="AF129" s="54">
        <v>0</v>
      </c>
      <c r="AG129" s="54">
        <v>0</v>
      </c>
      <c r="AH129" s="54">
        <v>0</v>
      </c>
      <c r="AI129" s="54">
        <v>0</v>
      </c>
      <c r="AJ129" s="54">
        <v>0</v>
      </c>
      <c r="AK129" s="54">
        <v>0</v>
      </c>
      <c r="AL129" s="54">
        <v>0</v>
      </c>
      <c r="AM129" s="54" t="str">
        <f>I129-J129-K129-L129-M129-N129-O129-P129-Q129-R129-S129-T129-U129-V129-W129-X129-Y129-Z129-AA129-AB129-AC129-AD129-AE129-AF129-AG129+AH129-AI129+AJ129+AK129-AL129</f>
        <v>0</v>
      </c>
      <c r="AN129" s="54"/>
      <c r="AO129" s="27"/>
    </row>
    <row r="130" spans="1:41">
      <c r="A130" s="44">
        <v>102</v>
      </c>
      <c r="B130" s="47" t="s">
        <v>516</v>
      </c>
      <c r="C130" s="48" t="s">
        <v>517</v>
      </c>
      <c r="D130" s="52" t="s">
        <v>62</v>
      </c>
      <c r="E130" s="52" t="s">
        <v>513</v>
      </c>
      <c r="F130" s="55" t="s">
        <v>518</v>
      </c>
      <c r="G130" s="51">
        <v>15</v>
      </c>
      <c r="H130" s="52" t="s">
        <v>519</v>
      </c>
      <c r="I130" s="54">
        <v>0</v>
      </c>
      <c r="J130" s="54">
        <v>24000</v>
      </c>
      <c r="K130" s="54">
        <v>60000</v>
      </c>
      <c r="L130" s="54">
        <v>0</v>
      </c>
      <c r="M130" s="54">
        <v>0</v>
      </c>
      <c r="N130" s="54">
        <v>0</v>
      </c>
      <c r="O130" s="54">
        <v>0</v>
      </c>
      <c r="P130" s="54">
        <v>0</v>
      </c>
      <c r="Q130" s="54">
        <v>0</v>
      </c>
      <c r="R130" s="54">
        <v>0</v>
      </c>
      <c r="S130" s="54">
        <v>0</v>
      </c>
      <c r="T130" s="54">
        <v>0</v>
      </c>
      <c r="U130" s="54">
        <v>6173</v>
      </c>
      <c r="V130" s="54">
        <v>0</v>
      </c>
      <c r="W130" s="54">
        <v>0</v>
      </c>
      <c r="X130" s="54">
        <v>0</v>
      </c>
      <c r="Y130" s="54">
        <v>30000</v>
      </c>
      <c r="Z130" s="54">
        <v>0</v>
      </c>
      <c r="AA130" s="54">
        <v>0</v>
      </c>
      <c r="AB130" s="54">
        <v>0</v>
      </c>
      <c r="AC130" s="54">
        <v>0</v>
      </c>
      <c r="AD130" s="54">
        <v>0</v>
      </c>
      <c r="AE130" s="54">
        <v>0</v>
      </c>
      <c r="AF130" s="54">
        <v>0</v>
      </c>
      <c r="AG130" s="54">
        <v>0</v>
      </c>
      <c r="AH130" s="54">
        <v>0</v>
      </c>
      <c r="AI130" s="54">
        <v>0</v>
      </c>
      <c r="AJ130" s="54">
        <v>0</v>
      </c>
      <c r="AK130" s="54">
        <v>0</v>
      </c>
      <c r="AL130" s="54">
        <v>0</v>
      </c>
      <c r="AM130" s="54" t="str">
        <f>I130-J130-K130-L130-M130-N130-O130-P130-Q130-R130-S130-T130-U130-V130-W130-X130-Y130-Z130-AA130-AB130-AC130-AD130-AE130-AF130-AG130+AH130-AI130+AJ130+AK130-AL130</f>
        <v>0</v>
      </c>
      <c r="AN130" s="54"/>
      <c r="AO130" s="27"/>
    </row>
    <row r="131" spans="1:41">
      <c r="A131" s="44">
        <v>103</v>
      </c>
      <c r="B131" s="47" t="s">
        <v>520</v>
      </c>
      <c r="C131" s="48" t="s">
        <v>521</v>
      </c>
      <c r="D131" s="52" t="s">
        <v>73</v>
      </c>
      <c r="E131" s="52" t="s">
        <v>513</v>
      </c>
      <c r="F131" s="55" t="s">
        <v>522</v>
      </c>
      <c r="G131" s="51">
        <v>6</v>
      </c>
      <c r="H131" s="52" t="s">
        <v>523</v>
      </c>
      <c r="I131" s="54">
        <v>1449000</v>
      </c>
      <c r="J131" s="54">
        <v>0</v>
      </c>
      <c r="K131" s="54">
        <v>31000</v>
      </c>
      <c r="L131" s="54">
        <v>0</v>
      </c>
      <c r="M131" s="54">
        <v>0</v>
      </c>
      <c r="N131" s="54">
        <v>0</v>
      </c>
      <c r="O131" s="54">
        <v>0</v>
      </c>
      <c r="P131" s="54">
        <v>0</v>
      </c>
      <c r="Q131" s="54">
        <v>0</v>
      </c>
      <c r="R131" s="54">
        <v>0</v>
      </c>
      <c r="S131" s="54">
        <v>0</v>
      </c>
      <c r="T131" s="54">
        <v>0</v>
      </c>
      <c r="U131" s="54">
        <v>3189</v>
      </c>
      <c r="V131" s="54">
        <v>0</v>
      </c>
      <c r="W131" s="54">
        <v>0</v>
      </c>
      <c r="X131" s="54">
        <v>0</v>
      </c>
      <c r="Y131" s="54">
        <v>0</v>
      </c>
      <c r="Z131" s="54">
        <v>0</v>
      </c>
      <c r="AA131" s="54">
        <v>0</v>
      </c>
      <c r="AB131" s="54">
        <v>0</v>
      </c>
      <c r="AC131" s="54">
        <v>0</v>
      </c>
      <c r="AD131" s="54">
        <v>0</v>
      </c>
      <c r="AE131" s="54">
        <v>0</v>
      </c>
      <c r="AF131" s="54">
        <v>0</v>
      </c>
      <c r="AG131" s="54">
        <v>0</v>
      </c>
      <c r="AH131" s="54">
        <v>0</v>
      </c>
      <c r="AI131" s="54">
        <v>0</v>
      </c>
      <c r="AJ131" s="54">
        <v>0</v>
      </c>
      <c r="AK131" s="54">
        <v>0</v>
      </c>
      <c r="AL131" s="54">
        <v>0</v>
      </c>
      <c r="AM131" s="54" t="str">
        <f>I131-J131-K131-L131-M131-N131-O131-P131-Q131-R131-S131-T131-U131-V131-W131-X131-Y131-Z131-AA131-AB131-AC131-AD131-AE131-AF131-AG131+AH131-AI131+AJ131+AK131-AL131</f>
        <v>0</v>
      </c>
      <c r="AN131" s="54"/>
      <c r="AO131" s="27"/>
    </row>
    <row r="132" spans="1:41">
      <c r="A132" s="44">
        <v>104</v>
      </c>
      <c r="B132" s="47" t="s">
        <v>524</v>
      </c>
      <c r="C132" s="48" t="s">
        <v>525</v>
      </c>
      <c r="D132" s="52" t="s">
        <v>62</v>
      </c>
      <c r="E132" s="52" t="s">
        <v>526</v>
      </c>
      <c r="F132" s="55" t="s">
        <v>527</v>
      </c>
      <c r="G132" s="51">
        <v>2</v>
      </c>
      <c r="H132" s="52" t="s">
        <v>528</v>
      </c>
      <c r="I132" s="54">
        <v>0</v>
      </c>
      <c r="J132" s="54">
        <v>0</v>
      </c>
      <c r="K132" s="54">
        <v>22000</v>
      </c>
      <c r="L132" s="54">
        <v>0</v>
      </c>
      <c r="M132" s="54">
        <v>0</v>
      </c>
      <c r="N132" s="54">
        <v>0</v>
      </c>
      <c r="O132" s="54">
        <v>0</v>
      </c>
      <c r="P132" s="54">
        <v>0</v>
      </c>
      <c r="Q132" s="54">
        <v>0</v>
      </c>
      <c r="R132" s="54">
        <v>0</v>
      </c>
      <c r="S132" s="54">
        <v>0</v>
      </c>
      <c r="T132" s="54">
        <v>0</v>
      </c>
      <c r="U132" s="54">
        <v>2263</v>
      </c>
      <c r="V132" s="54">
        <v>0</v>
      </c>
      <c r="W132" s="54">
        <v>0</v>
      </c>
      <c r="X132" s="54">
        <v>0</v>
      </c>
      <c r="Y132" s="54">
        <v>11000</v>
      </c>
      <c r="Z132" s="54">
        <v>0</v>
      </c>
      <c r="AA132" s="54">
        <v>0</v>
      </c>
      <c r="AB132" s="54">
        <v>0</v>
      </c>
      <c r="AC132" s="54">
        <v>0</v>
      </c>
      <c r="AD132" s="54">
        <v>0</v>
      </c>
      <c r="AE132" s="54">
        <v>0</v>
      </c>
      <c r="AF132" s="54">
        <v>0</v>
      </c>
      <c r="AG132" s="54">
        <v>0</v>
      </c>
      <c r="AH132" s="54">
        <v>0</v>
      </c>
      <c r="AI132" s="54">
        <v>0</v>
      </c>
      <c r="AJ132" s="54">
        <v>0</v>
      </c>
      <c r="AK132" s="54">
        <v>0</v>
      </c>
      <c r="AL132" s="54">
        <v>0</v>
      </c>
      <c r="AM132" s="54" t="str">
        <f>I132-J132-K132-L132-M132-N132-O132-P132-Q132-R132-S132-T132-U132-V132-W132-X132-Y132-Z132-AA132-AB132-AC132-AD132-AE132-AF132-AG132+AH132-AI132+AJ132+AK132-AL132</f>
        <v>0</v>
      </c>
      <c r="AN132" s="54"/>
      <c r="AO132" s="27"/>
    </row>
    <row r="133" spans="1:41">
      <c r="A133" s="44">
        <v>105</v>
      </c>
      <c r="B133" s="47" t="s">
        <v>529</v>
      </c>
      <c r="C133" s="48" t="s">
        <v>530</v>
      </c>
      <c r="D133" s="52" t="s">
        <v>62</v>
      </c>
      <c r="E133" s="52" t="s">
        <v>526</v>
      </c>
      <c r="F133" s="55" t="s">
        <v>531</v>
      </c>
      <c r="G133" s="51">
        <v>5</v>
      </c>
      <c r="H133" s="52" t="s">
        <v>532</v>
      </c>
      <c r="I133" s="54">
        <v>0</v>
      </c>
      <c r="J133" s="54">
        <v>0</v>
      </c>
      <c r="K133" s="54">
        <v>27000</v>
      </c>
      <c r="L133" s="54">
        <v>0</v>
      </c>
      <c r="M133" s="54">
        <v>0</v>
      </c>
      <c r="N133" s="54">
        <v>0</v>
      </c>
      <c r="O133" s="54">
        <v>0</v>
      </c>
      <c r="P133" s="54">
        <v>0</v>
      </c>
      <c r="Q133" s="54">
        <v>0</v>
      </c>
      <c r="R133" s="54">
        <v>0</v>
      </c>
      <c r="S133" s="54">
        <v>0</v>
      </c>
      <c r="T133" s="54">
        <v>0</v>
      </c>
      <c r="U133" s="54">
        <v>2778</v>
      </c>
      <c r="V133" s="54">
        <v>0</v>
      </c>
      <c r="W133" s="54">
        <v>0</v>
      </c>
      <c r="X133" s="54">
        <v>0</v>
      </c>
      <c r="Y133" s="54">
        <v>13500</v>
      </c>
      <c r="Z133" s="54">
        <v>0</v>
      </c>
      <c r="AA133" s="54">
        <v>0</v>
      </c>
      <c r="AB133" s="54">
        <v>0</v>
      </c>
      <c r="AC133" s="54">
        <v>0</v>
      </c>
      <c r="AD133" s="54">
        <v>0</v>
      </c>
      <c r="AE133" s="54">
        <v>0</v>
      </c>
      <c r="AF133" s="54">
        <v>0</v>
      </c>
      <c r="AG133" s="54">
        <v>0</v>
      </c>
      <c r="AH133" s="54">
        <v>0</v>
      </c>
      <c r="AI133" s="54">
        <v>0</v>
      </c>
      <c r="AJ133" s="54">
        <v>0</v>
      </c>
      <c r="AK133" s="54">
        <v>0</v>
      </c>
      <c r="AL133" s="54">
        <v>0</v>
      </c>
      <c r="AM133" s="54" t="str">
        <f>I133-J133-K133-L133-M133-N133-O133-P133-Q133-R133-S133-T133-U133-V133-W133-X133-Y133-Z133-AA133-AB133-AC133-AD133-AE133-AF133-AG133+AH133-AI133+AJ133+AK133-AL133</f>
        <v>0</v>
      </c>
      <c r="AN133" s="54"/>
      <c r="AO133" s="27"/>
    </row>
    <row r="134" spans="1:41">
      <c r="A134" s="44">
        <v>106</v>
      </c>
      <c r="B134" s="47" t="s">
        <v>533</v>
      </c>
      <c r="C134" s="48" t="s">
        <v>534</v>
      </c>
      <c r="D134" s="52" t="s">
        <v>62</v>
      </c>
      <c r="E134" s="52" t="s">
        <v>526</v>
      </c>
      <c r="F134" s="55" t="s">
        <v>535</v>
      </c>
      <c r="G134" s="51">
        <v>2</v>
      </c>
      <c r="H134" s="52" t="s">
        <v>536</v>
      </c>
      <c r="I134" s="54">
        <v>0</v>
      </c>
      <c r="J134" s="54">
        <v>0</v>
      </c>
      <c r="K134" s="54">
        <v>22000</v>
      </c>
      <c r="L134" s="54">
        <v>0</v>
      </c>
      <c r="M134" s="54">
        <v>0</v>
      </c>
      <c r="N134" s="54">
        <v>0</v>
      </c>
      <c r="O134" s="54">
        <v>0</v>
      </c>
      <c r="P134" s="54">
        <v>0</v>
      </c>
      <c r="Q134" s="54">
        <v>0</v>
      </c>
      <c r="R134" s="54">
        <v>0</v>
      </c>
      <c r="S134" s="54">
        <v>0</v>
      </c>
      <c r="T134" s="54">
        <v>0</v>
      </c>
      <c r="U134" s="54">
        <v>2263</v>
      </c>
      <c r="V134" s="54">
        <v>0</v>
      </c>
      <c r="W134" s="54">
        <v>0</v>
      </c>
      <c r="X134" s="54">
        <v>0</v>
      </c>
      <c r="Y134" s="54">
        <v>11000</v>
      </c>
      <c r="Z134" s="54">
        <v>0</v>
      </c>
      <c r="AA134" s="54">
        <v>0</v>
      </c>
      <c r="AB134" s="54">
        <v>0</v>
      </c>
      <c r="AC134" s="54">
        <v>0</v>
      </c>
      <c r="AD134" s="54">
        <v>0</v>
      </c>
      <c r="AE134" s="54">
        <v>0</v>
      </c>
      <c r="AF134" s="54">
        <v>0</v>
      </c>
      <c r="AG134" s="54">
        <v>0</v>
      </c>
      <c r="AH134" s="54">
        <v>0</v>
      </c>
      <c r="AI134" s="54">
        <v>0</v>
      </c>
      <c r="AJ134" s="54">
        <v>0</v>
      </c>
      <c r="AK134" s="54">
        <v>0</v>
      </c>
      <c r="AL134" s="54">
        <v>0</v>
      </c>
      <c r="AM134" s="54" t="str">
        <f>I134-J134-K134-L134-M134-N134-O134-P134-Q134-R134-S134-T134-U134-V134-W134-X134-Y134-Z134-AA134-AB134-AC134-AD134-AE134-AF134-AG134+AH134-AI134+AJ134+AK134-AL134</f>
        <v>0</v>
      </c>
      <c r="AN134" s="54"/>
      <c r="AO134" s="27"/>
    </row>
    <row r="135" spans="1:41">
      <c r="A135" s="44">
        <v>107</v>
      </c>
      <c r="B135" s="47" t="s">
        <v>537</v>
      </c>
      <c r="C135" s="48" t="s">
        <v>538</v>
      </c>
      <c r="D135" s="52" t="s">
        <v>73</v>
      </c>
      <c r="E135" s="52" t="s">
        <v>526</v>
      </c>
      <c r="F135" s="55" t="s">
        <v>539</v>
      </c>
      <c r="G135" s="51">
        <v>5</v>
      </c>
      <c r="H135" s="52" t="s">
        <v>540</v>
      </c>
      <c r="I135" s="54">
        <v>2230000</v>
      </c>
      <c r="J135" s="54">
        <v>0</v>
      </c>
      <c r="K135" s="54">
        <v>27000</v>
      </c>
      <c r="L135" s="54">
        <v>0</v>
      </c>
      <c r="M135" s="54">
        <v>0</v>
      </c>
      <c r="N135" s="54">
        <v>0</v>
      </c>
      <c r="O135" s="54">
        <v>0</v>
      </c>
      <c r="P135" s="54">
        <v>0</v>
      </c>
      <c r="Q135" s="54">
        <v>0</v>
      </c>
      <c r="R135" s="54">
        <v>0</v>
      </c>
      <c r="S135" s="54">
        <v>0</v>
      </c>
      <c r="T135" s="54">
        <v>0</v>
      </c>
      <c r="U135" s="54">
        <v>2778</v>
      </c>
      <c r="V135" s="54">
        <v>0</v>
      </c>
      <c r="W135" s="54">
        <v>0</v>
      </c>
      <c r="X135" s="54">
        <v>0</v>
      </c>
      <c r="Y135" s="54">
        <v>0</v>
      </c>
      <c r="Z135" s="54">
        <v>0</v>
      </c>
      <c r="AA135" s="54">
        <v>0</v>
      </c>
      <c r="AB135" s="54">
        <v>0</v>
      </c>
      <c r="AC135" s="54">
        <v>0</v>
      </c>
      <c r="AD135" s="54">
        <v>0</v>
      </c>
      <c r="AE135" s="54">
        <v>0</v>
      </c>
      <c r="AF135" s="54">
        <v>0</v>
      </c>
      <c r="AG135" s="54">
        <v>0</v>
      </c>
      <c r="AH135" s="54">
        <v>0</v>
      </c>
      <c r="AI135" s="54">
        <v>0</v>
      </c>
      <c r="AJ135" s="54">
        <v>0</v>
      </c>
      <c r="AK135" s="54">
        <v>0</v>
      </c>
      <c r="AL135" s="54">
        <v>0</v>
      </c>
      <c r="AM135" s="54" t="str">
        <f>I135-J135-K135-L135-M135-N135-O135-P135-Q135-R135-S135-T135-U135-V135-W135-X135-Y135-Z135-AA135-AB135-AC135-AD135-AE135-AF135-AG135+AH135-AI135+AJ135+AK135-AL135</f>
        <v>0</v>
      </c>
      <c r="AN135" s="54"/>
      <c r="AO135" s="27"/>
    </row>
    <row r="136" spans="1:41">
      <c r="A136" s="44">
        <v>108</v>
      </c>
      <c r="B136" s="47" t="s">
        <v>541</v>
      </c>
      <c r="C136" s="48" t="s">
        <v>542</v>
      </c>
      <c r="D136" s="52" t="s">
        <v>73</v>
      </c>
      <c r="E136" s="52" t="s">
        <v>543</v>
      </c>
      <c r="F136" s="55" t="s">
        <v>544</v>
      </c>
      <c r="G136" s="51">
        <v>2</v>
      </c>
      <c r="H136" s="52" t="s">
        <v>545</v>
      </c>
      <c r="I136" s="54">
        <v>299000</v>
      </c>
      <c r="J136" s="54">
        <v>0</v>
      </c>
      <c r="K136" s="54">
        <v>22000</v>
      </c>
      <c r="L136" s="54">
        <v>0</v>
      </c>
      <c r="M136" s="54">
        <v>0</v>
      </c>
      <c r="N136" s="54">
        <v>0</v>
      </c>
      <c r="O136" s="54">
        <v>0</v>
      </c>
      <c r="P136" s="54">
        <v>0</v>
      </c>
      <c r="Q136" s="54">
        <v>0</v>
      </c>
      <c r="R136" s="54">
        <v>0</v>
      </c>
      <c r="S136" s="54">
        <v>0</v>
      </c>
      <c r="T136" s="54">
        <v>0</v>
      </c>
      <c r="U136" s="54">
        <v>1397</v>
      </c>
      <c r="V136" s="54">
        <v>0</v>
      </c>
      <c r="W136" s="54">
        <v>0</v>
      </c>
      <c r="X136" s="54">
        <v>0</v>
      </c>
      <c r="Y136" s="54">
        <v>0</v>
      </c>
      <c r="Z136" s="54">
        <v>0</v>
      </c>
      <c r="AA136" s="54">
        <v>0</v>
      </c>
      <c r="AB136" s="54">
        <v>0</v>
      </c>
      <c r="AC136" s="54">
        <v>0</v>
      </c>
      <c r="AD136" s="54">
        <v>0</v>
      </c>
      <c r="AE136" s="54">
        <v>0</v>
      </c>
      <c r="AF136" s="54">
        <v>0</v>
      </c>
      <c r="AG136" s="54">
        <v>0</v>
      </c>
      <c r="AH136" s="54">
        <v>0</v>
      </c>
      <c r="AI136" s="54">
        <v>0</v>
      </c>
      <c r="AJ136" s="54">
        <v>0</v>
      </c>
      <c r="AK136" s="54">
        <v>0</v>
      </c>
      <c r="AL136" s="54">
        <v>0</v>
      </c>
      <c r="AM136" s="54" t="str">
        <f>I136-J136-K136-L136-M136-N136-O136-P136-Q136-R136-S136-T136-U136-V136-W136-X136-Y136-Z136-AA136-AB136-AC136-AD136-AE136-AF136-AG136+AH136-AI136+AJ136+AK136-AL136</f>
        <v>0</v>
      </c>
      <c r="AN136" s="54"/>
      <c r="AO136" s="27"/>
    </row>
    <row r="137" spans="1:41">
      <c r="A137" s="44">
        <v>109</v>
      </c>
      <c r="B137" s="47" t="s">
        <v>546</v>
      </c>
      <c r="C137" s="48" t="s">
        <v>547</v>
      </c>
      <c r="D137" s="52" t="s">
        <v>73</v>
      </c>
      <c r="E137" s="52" t="s">
        <v>548</v>
      </c>
      <c r="F137" s="55" t="s">
        <v>549</v>
      </c>
      <c r="G137" s="51">
        <v>8</v>
      </c>
      <c r="H137" s="52" t="s">
        <v>550</v>
      </c>
      <c r="I137" s="54">
        <v>440000</v>
      </c>
      <c r="J137" s="54">
        <v>0</v>
      </c>
      <c r="K137" s="54">
        <v>39000</v>
      </c>
      <c r="L137" s="54">
        <v>0</v>
      </c>
      <c r="M137" s="54">
        <v>0</v>
      </c>
      <c r="N137" s="54">
        <v>0</v>
      </c>
      <c r="O137" s="54">
        <v>0</v>
      </c>
      <c r="P137" s="54">
        <v>0</v>
      </c>
      <c r="Q137" s="54">
        <v>0</v>
      </c>
      <c r="R137" s="54">
        <v>0</v>
      </c>
      <c r="S137" s="54">
        <v>0</v>
      </c>
      <c r="T137" s="54">
        <v>0</v>
      </c>
      <c r="U137" s="54">
        <v>4013</v>
      </c>
      <c r="V137" s="54">
        <v>0</v>
      </c>
      <c r="W137" s="54">
        <v>0</v>
      </c>
      <c r="X137" s="54">
        <v>0</v>
      </c>
      <c r="Y137" s="54">
        <v>0</v>
      </c>
      <c r="Z137" s="54">
        <v>0</v>
      </c>
      <c r="AA137" s="54">
        <v>0</v>
      </c>
      <c r="AB137" s="54">
        <v>0</v>
      </c>
      <c r="AC137" s="54">
        <v>0</v>
      </c>
      <c r="AD137" s="54">
        <v>0</v>
      </c>
      <c r="AE137" s="54">
        <v>0</v>
      </c>
      <c r="AF137" s="54">
        <v>0</v>
      </c>
      <c r="AG137" s="54">
        <v>0</v>
      </c>
      <c r="AH137" s="54">
        <v>0</v>
      </c>
      <c r="AI137" s="54">
        <v>0</v>
      </c>
      <c r="AJ137" s="54">
        <v>0</v>
      </c>
      <c r="AK137" s="54">
        <v>0</v>
      </c>
      <c r="AL137" s="54">
        <v>0</v>
      </c>
      <c r="AM137" s="54" t="str">
        <f>I137-J137-K137-L137-M137-N137-O137-P137-Q137-R137-S137-T137-U137-V137-W137-X137-Y137-Z137-AA137-AB137-AC137-AD137-AE137-AF137-AG137+AH137-AI137+AJ137+AK137-AL137</f>
        <v>0</v>
      </c>
      <c r="AN137" s="54"/>
      <c r="AO137" s="27"/>
    </row>
    <row r="138" spans="1:41">
      <c r="A138" s="44">
        <v>110</v>
      </c>
      <c r="B138" s="47" t="s">
        <v>551</v>
      </c>
      <c r="C138" s="48" t="s">
        <v>552</v>
      </c>
      <c r="D138" s="52" t="s">
        <v>73</v>
      </c>
      <c r="E138" s="52" t="s">
        <v>553</v>
      </c>
      <c r="F138" s="55" t="s">
        <v>554</v>
      </c>
      <c r="G138" s="51">
        <v>3</v>
      </c>
      <c r="H138" s="52" t="s">
        <v>555</v>
      </c>
      <c r="I138" s="54">
        <v>0</v>
      </c>
      <c r="J138" s="54">
        <v>0</v>
      </c>
      <c r="K138" s="54">
        <v>22000</v>
      </c>
      <c r="L138" s="54">
        <v>0</v>
      </c>
      <c r="M138" s="54">
        <v>0</v>
      </c>
      <c r="N138" s="54">
        <v>0</v>
      </c>
      <c r="O138" s="54">
        <v>0</v>
      </c>
      <c r="P138" s="54">
        <v>0</v>
      </c>
      <c r="Q138" s="54">
        <v>0</v>
      </c>
      <c r="R138" s="54">
        <v>0</v>
      </c>
      <c r="S138" s="54">
        <v>0</v>
      </c>
      <c r="T138" s="54">
        <v>0</v>
      </c>
      <c r="U138" s="54">
        <v>2263</v>
      </c>
      <c r="V138" s="54">
        <v>0</v>
      </c>
      <c r="W138" s="54">
        <v>0</v>
      </c>
      <c r="X138" s="54">
        <v>0</v>
      </c>
      <c r="Y138" s="54">
        <v>0</v>
      </c>
      <c r="Z138" s="54">
        <v>0</v>
      </c>
      <c r="AA138" s="54">
        <v>0</v>
      </c>
      <c r="AB138" s="54">
        <v>0</v>
      </c>
      <c r="AC138" s="54">
        <v>0</v>
      </c>
      <c r="AD138" s="54">
        <v>0</v>
      </c>
      <c r="AE138" s="54">
        <v>0</v>
      </c>
      <c r="AF138" s="54">
        <v>0</v>
      </c>
      <c r="AG138" s="54">
        <v>0</v>
      </c>
      <c r="AH138" s="54">
        <v>0</v>
      </c>
      <c r="AI138" s="54">
        <v>0</v>
      </c>
      <c r="AJ138" s="54">
        <v>0</v>
      </c>
      <c r="AK138" s="54">
        <v>0</v>
      </c>
      <c r="AL138" s="54">
        <v>0</v>
      </c>
      <c r="AM138" s="54" t="str">
        <f>I138-J138-K138-L138-M138-N138-O138-P138-Q138-R138-S138-T138-U138-V138-W138-X138-Y138-Z138-AA138-AB138-AC138-AD138-AE138-AF138-AG138+AH138-AI138+AJ138+AK138-AL138</f>
        <v>0</v>
      </c>
      <c r="AN138" s="54"/>
      <c r="AO138" s="27"/>
    </row>
    <row r="139" spans="1:41">
      <c r="A139" s="44">
        <v>111</v>
      </c>
      <c r="B139" s="47" t="s">
        <v>556</v>
      </c>
      <c r="C139" s="48" t="s">
        <v>557</v>
      </c>
      <c r="D139" s="52" t="s">
        <v>73</v>
      </c>
      <c r="E139" s="52" t="s">
        <v>553</v>
      </c>
      <c r="F139" s="55" t="s">
        <v>558</v>
      </c>
      <c r="G139" s="51">
        <v>3</v>
      </c>
      <c r="H139" s="52" t="s">
        <v>559</v>
      </c>
      <c r="I139" s="54">
        <v>0</v>
      </c>
      <c r="J139" s="54">
        <v>0</v>
      </c>
      <c r="K139" s="54">
        <v>22000</v>
      </c>
      <c r="L139" s="54">
        <v>0</v>
      </c>
      <c r="M139" s="54">
        <v>0</v>
      </c>
      <c r="N139" s="54">
        <v>0</v>
      </c>
      <c r="O139" s="54">
        <v>0</v>
      </c>
      <c r="P139" s="54">
        <v>0</v>
      </c>
      <c r="Q139" s="54">
        <v>0</v>
      </c>
      <c r="R139" s="54">
        <v>0</v>
      </c>
      <c r="S139" s="54">
        <v>0</v>
      </c>
      <c r="T139" s="54">
        <v>0</v>
      </c>
      <c r="U139" s="54">
        <v>2263</v>
      </c>
      <c r="V139" s="54">
        <v>0</v>
      </c>
      <c r="W139" s="54">
        <v>0</v>
      </c>
      <c r="X139" s="54">
        <v>0</v>
      </c>
      <c r="Y139" s="54">
        <v>0</v>
      </c>
      <c r="Z139" s="54">
        <v>0</v>
      </c>
      <c r="AA139" s="54">
        <v>0</v>
      </c>
      <c r="AB139" s="54">
        <v>0</v>
      </c>
      <c r="AC139" s="54">
        <v>0</v>
      </c>
      <c r="AD139" s="54">
        <v>0</v>
      </c>
      <c r="AE139" s="54">
        <v>0</v>
      </c>
      <c r="AF139" s="54">
        <v>0</v>
      </c>
      <c r="AG139" s="54">
        <v>0</v>
      </c>
      <c r="AH139" s="54">
        <v>0</v>
      </c>
      <c r="AI139" s="54">
        <v>0</v>
      </c>
      <c r="AJ139" s="54">
        <v>0</v>
      </c>
      <c r="AK139" s="54">
        <v>0</v>
      </c>
      <c r="AL139" s="54">
        <v>0</v>
      </c>
      <c r="AM139" s="54" t="str">
        <f>I139-J139-K139-L139-M139-N139-O139-P139-Q139-R139-S139-T139-U139-V139-W139-X139-Y139-Z139-AA139-AB139-AC139-AD139-AE139-AF139-AG139+AH139-AI139+AJ139+AK139-AL139</f>
        <v>0</v>
      </c>
      <c r="AN139" s="54"/>
      <c r="AO139" s="27"/>
    </row>
    <row r="140" spans="1:41">
      <c r="A140" s="44">
        <v>112</v>
      </c>
      <c r="B140" s="47" t="s">
        <v>560</v>
      </c>
      <c r="C140" s="48" t="s">
        <v>561</v>
      </c>
      <c r="D140" s="52" t="s">
        <v>73</v>
      </c>
      <c r="E140" s="52" t="s">
        <v>562</v>
      </c>
      <c r="F140" s="55" t="s">
        <v>563</v>
      </c>
      <c r="G140" s="51">
        <v>2</v>
      </c>
      <c r="H140" s="52" t="s">
        <v>564</v>
      </c>
      <c r="I140" s="54">
        <v>0</v>
      </c>
      <c r="J140" s="54">
        <v>0</v>
      </c>
      <c r="K140" s="54">
        <v>22000</v>
      </c>
      <c r="L140" s="54">
        <v>0</v>
      </c>
      <c r="M140" s="54">
        <v>0</v>
      </c>
      <c r="N140" s="54">
        <v>0</v>
      </c>
      <c r="O140" s="54">
        <v>0</v>
      </c>
      <c r="P140" s="54">
        <v>0</v>
      </c>
      <c r="Q140" s="54">
        <v>0</v>
      </c>
      <c r="R140" s="54">
        <v>0</v>
      </c>
      <c r="S140" s="54">
        <v>0</v>
      </c>
      <c r="T140" s="54">
        <v>0</v>
      </c>
      <c r="U140" s="54">
        <v>2263</v>
      </c>
      <c r="V140" s="54">
        <v>0</v>
      </c>
      <c r="W140" s="54">
        <v>0</v>
      </c>
      <c r="X140" s="54">
        <v>0</v>
      </c>
      <c r="Y140" s="54">
        <v>11000</v>
      </c>
      <c r="Z140" s="54">
        <v>0</v>
      </c>
      <c r="AA140" s="54">
        <v>0</v>
      </c>
      <c r="AB140" s="54">
        <v>0</v>
      </c>
      <c r="AC140" s="54">
        <v>0</v>
      </c>
      <c r="AD140" s="54">
        <v>0</v>
      </c>
      <c r="AE140" s="54">
        <v>0</v>
      </c>
      <c r="AF140" s="54">
        <v>0</v>
      </c>
      <c r="AG140" s="54">
        <v>0</v>
      </c>
      <c r="AH140" s="54">
        <v>0</v>
      </c>
      <c r="AI140" s="54">
        <v>0</v>
      </c>
      <c r="AJ140" s="54">
        <v>0</v>
      </c>
      <c r="AK140" s="54">
        <v>0</v>
      </c>
      <c r="AL140" s="54">
        <v>0</v>
      </c>
      <c r="AM140" s="54" t="str">
        <f>I140-J140-K140-L140-M140-N140-O140-P140-Q140-R140-S140-T140-U140-V140-W140-X140-Y140-Z140-AA140-AB140-AC140-AD140-AE140-AF140-AG140+AH140-AI140+AJ140+AK140-AL140</f>
        <v>0</v>
      </c>
      <c r="AN140" s="54"/>
      <c r="AO140" s="27"/>
    </row>
    <row r="141" spans="1:41">
      <c r="A141" s="44">
        <v>113</v>
      </c>
      <c r="B141" s="47" t="s">
        <v>565</v>
      </c>
      <c r="C141" s="48" t="s">
        <v>566</v>
      </c>
      <c r="D141" s="52" t="s">
        <v>73</v>
      </c>
      <c r="E141" s="52" t="s">
        <v>562</v>
      </c>
      <c r="F141" s="55" t="s">
        <v>567</v>
      </c>
      <c r="G141" s="51">
        <v>2</v>
      </c>
      <c r="H141" s="52" t="s">
        <v>568</v>
      </c>
      <c r="I141" s="54">
        <v>0</v>
      </c>
      <c r="J141" s="54">
        <v>0</v>
      </c>
      <c r="K141" s="54">
        <v>22000</v>
      </c>
      <c r="L141" s="54">
        <v>0</v>
      </c>
      <c r="M141" s="54">
        <v>0</v>
      </c>
      <c r="N141" s="54">
        <v>0</v>
      </c>
      <c r="O141" s="54">
        <v>0</v>
      </c>
      <c r="P141" s="54">
        <v>0</v>
      </c>
      <c r="Q141" s="54">
        <v>0</v>
      </c>
      <c r="R141" s="54">
        <v>0</v>
      </c>
      <c r="S141" s="54">
        <v>0</v>
      </c>
      <c r="T141" s="54">
        <v>0</v>
      </c>
      <c r="U141" s="54">
        <v>2263</v>
      </c>
      <c r="V141" s="54">
        <v>0</v>
      </c>
      <c r="W141" s="54">
        <v>0</v>
      </c>
      <c r="X141" s="54">
        <v>0</v>
      </c>
      <c r="Y141" s="54">
        <v>11000</v>
      </c>
      <c r="Z141" s="54">
        <v>0</v>
      </c>
      <c r="AA141" s="54">
        <v>0</v>
      </c>
      <c r="AB141" s="54">
        <v>0</v>
      </c>
      <c r="AC141" s="54">
        <v>0</v>
      </c>
      <c r="AD141" s="54">
        <v>0</v>
      </c>
      <c r="AE141" s="54">
        <v>0</v>
      </c>
      <c r="AF141" s="54">
        <v>0</v>
      </c>
      <c r="AG141" s="54">
        <v>0</v>
      </c>
      <c r="AH141" s="54">
        <v>0</v>
      </c>
      <c r="AI141" s="54">
        <v>0</v>
      </c>
      <c r="AJ141" s="54">
        <v>0</v>
      </c>
      <c r="AK141" s="54">
        <v>0</v>
      </c>
      <c r="AL141" s="54">
        <v>0</v>
      </c>
      <c r="AM141" s="54" t="str">
        <f>I141-J141-K141-L141-M141-N141-O141-P141-Q141-R141-S141-T141-U141-V141-W141-X141-Y141-Z141-AA141-AB141-AC141-AD141-AE141-AF141-AG141+AH141-AI141+AJ141+AK141-AL141</f>
        <v>0</v>
      </c>
      <c r="AN141" s="54"/>
      <c r="AO141" s="27"/>
    </row>
    <row r="142" spans="1:41">
      <c r="A142" s="44">
        <v>114</v>
      </c>
      <c r="B142" s="47" t="s">
        <v>569</v>
      </c>
      <c r="C142" s="48" t="s">
        <v>570</v>
      </c>
      <c r="D142" s="52" t="s">
        <v>73</v>
      </c>
      <c r="E142" s="52" t="s">
        <v>562</v>
      </c>
      <c r="F142" s="55" t="s">
        <v>571</v>
      </c>
      <c r="G142" s="51">
        <v>3</v>
      </c>
      <c r="H142" s="52" t="s">
        <v>572</v>
      </c>
      <c r="I142" s="54">
        <v>0</v>
      </c>
      <c r="J142" s="54">
        <v>0</v>
      </c>
      <c r="K142" s="54">
        <v>22000</v>
      </c>
      <c r="L142" s="54">
        <v>0</v>
      </c>
      <c r="M142" s="54">
        <v>0</v>
      </c>
      <c r="N142" s="54">
        <v>0</v>
      </c>
      <c r="O142" s="54">
        <v>0</v>
      </c>
      <c r="P142" s="54">
        <v>0</v>
      </c>
      <c r="Q142" s="54">
        <v>0</v>
      </c>
      <c r="R142" s="54">
        <v>0</v>
      </c>
      <c r="S142" s="54">
        <v>0</v>
      </c>
      <c r="T142" s="54">
        <v>0</v>
      </c>
      <c r="U142" s="54">
        <v>2263</v>
      </c>
      <c r="V142" s="54">
        <v>0</v>
      </c>
      <c r="W142" s="54">
        <v>0</v>
      </c>
      <c r="X142" s="54">
        <v>0</v>
      </c>
      <c r="Y142" s="54">
        <v>11000</v>
      </c>
      <c r="Z142" s="54">
        <v>0</v>
      </c>
      <c r="AA142" s="54">
        <v>0</v>
      </c>
      <c r="AB142" s="54">
        <v>0</v>
      </c>
      <c r="AC142" s="54">
        <v>0</v>
      </c>
      <c r="AD142" s="54">
        <v>0</v>
      </c>
      <c r="AE142" s="54">
        <v>0</v>
      </c>
      <c r="AF142" s="54">
        <v>0</v>
      </c>
      <c r="AG142" s="54">
        <v>0</v>
      </c>
      <c r="AH142" s="54">
        <v>0</v>
      </c>
      <c r="AI142" s="54">
        <v>0</v>
      </c>
      <c r="AJ142" s="54">
        <v>0</v>
      </c>
      <c r="AK142" s="54">
        <v>0</v>
      </c>
      <c r="AL142" s="54">
        <v>0</v>
      </c>
      <c r="AM142" s="54" t="str">
        <f>I142-J142-K142-L142-M142-N142-O142-P142-Q142-R142-S142-T142-U142-V142-W142-X142-Y142-Z142-AA142-AB142-AC142-AD142-AE142-AF142-AG142+AH142-AI142+AJ142+AK142-AL142</f>
        <v>0</v>
      </c>
      <c r="AN142" s="54"/>
      <c r="AO142" s="27"/>
    </row>
    <row r="143" spans="1:41">
      <c r="A143" s="44">
        <v>115</v>
      </c>
      <c r="B143" s="47" t="s">
        <v>573</v>
      </c>
      <c r="C143" s="48" t="s">
        <v>574</v>
      </c>
      <c r="D143" s="52" t="s">
        <v>73</v>
      </c>
      <c r="E143" s="52" t="s">
        <v>562</v>
      </c>
      <c r="F143" s="55" t="s">
        <v>575</v>
      </c>
      <c r="G143" s="51">
        <v>2</v>
      </c>
      <c r="H143" s="52" t="s">
        <v>576</v>
      </c>
      <c r="I143" s="54">
        <v>0</v>
      </c>
      <c r="J143" s="54">
        <v>0</v>
      </c>
      <c r="K143" s="54">
        <v>22000</v>
      </c>
      <c r="L143" s="54">
        <v>0</v>
      </c>
      <c r="M143" s="54">
        <v>0</v>
      </c>
      <c r="N143" s="54">
        <v>0</v>
      </c>
      <c r="O143" s="54">
        <v>0</v>
      </c>
      <c r="P143" s="54">
        <v>0</v>
      </c>
      <c r="Q143" s="54">
        <v>0</v>
      </c>
      <c r="R143" s="54">
        <v>0</v>
      </c>
      <c r="S143" s="54">
        <v>0</v>
      </c>
      <c r="T143" s="54">
        <v>0</v>
      </c>
      <c r="U143" s="54">
        <v>2263</v>
      </c>
      <c r="V143" s="54">
        <v>0</v>
      </c>
      <c r="W143" s="54">
        <v>0</v>
      </c>
      <c r="X143" s="54">
        <v>0</v>
      </c>
      <c r="Y143" s="54">
        <v>11000</v>
      </c>
      <c r="Z143" s="54">
        <v>0</v>
      </c>
      <c r="AA143" s="54">
        <v>0</v>
      </c>
      <c r="AB143" s="54">
        <v>0</v>
      </c>
      <c r="AC143" s="54">
        <v>0</v>
      </c>
      <c r="AD143" s="54">
        <v>0</v>
      </c>
      <c r="AE143" s="54">
        <v>0</v>
      </c>
      <c r="AF143" s="54">
        <v>0</v>
      </c>
      <c r="AG143" s="54">
        <v>0</v>
      </c>
      <c r="AH143" s="54">
        <v>0</v>
      </c>
      <c r="AI143" s="54">
        <v>0</v>
      </c>
      <c r="AJ143" s="54">
        <v>0</v>
      </c>
      <c r="AK143" s="54">
        <v>0</v>
      </c>
      <c r="AL143" s="54">
        <v>0</v>
      </c>
      <c r="AM143" s="54" t="str">
        <f>I143-J143-K143-L143-M143-N143-O143-P143-Q143-R143-S143-T143-U143-V143-W143-X143-Y143-Z143-AA143-AB143-AC143-AD143-AE143-AF143-AG143+AH143-AI143+AJ143+AK143-AL143</f>
        <v>0</v>
      </c>
      <c r="AN143" s="54"/>
      <c r="AO143" s="27"/>
    </row>
    <row r="144" spans="1:41">
      <c r="A144" s="44">
        <v>116</v>
      </c>
      <c r="B144" s="47" t="s">
        <v>577</v>
      </c>
      <c r="C144" s="48" t="s">
        <v>578</v>
      </c>
      <c r="D144" s="52" t="s">
        <v>73</v>
      </c>
      <c r="E144" s="52" t="s">
        <v>562</v>
      </c>
      <c r="F144" s="55" t="s">
        <v>579</v>
      </c>
      <c r="G144" s="51">
        <v>4</v>
      </c>
      <c r="H144" s="52" t="s">
        <v>580</v>
      </c>
      <c r="I144" s="54">
        <v>0</v>
      </c>
      <c r="J144" s="54">
        <v>0</v>
      </c>
      <c r="K144" s="54">
        <v>25000</v>
      </c>
      <c r="L144" s="54">
        <v>0</v>
      </c>
      <c r="M144" s="54">
        <v>0</v>
      </c>
      <c r="N144" s="54">
        <v>0</v>
      </c>
      <c r="O144" s="54">
        <v>0</v>
      </c>
      <c r="P144" s="54">
        <v>0</v>
      </c>
      <c r="Q144" s="54">
        <v>0</v>
      </c>
      <c r="R144" s="54">
        <v>0</v>
      </c>
      <c r="S144" s="54">
        <v>0</v>
      </c>
      <c r="T144" s="54">
        <v>0</v>
      </c>
      <c r="U144" s="54">
        <v>2572</v>
      </c>
      <c r="V144" s="54">
        <v>0</v>
      </c>
      <c r="W144" s="54">
        <v>0</v>
      </c>
      <c r="X144" s="54">
        <v>0</v>
      </c>
      <c r="Y144" s="54">
        <v>12500</v>
      </c>
      <c r="Z144" s="54">
        <v>0</v>
      </c>
      <c r="AA144" s="54">
        <v>0</v>
      </c>
      <c r="AB144" s="54">
        <v>0</v>
      </c>
      <c r="AC144" s="54">
        <v>0</v>
      </c>
      <c r="AD144" s="54">
        <v>0</v>
      </c>
      <c r="AE144" s="54">
        <v>0</v>
      </c>
      <c r="AF144" s="54">
        <v>0</v>
      </c>
      <c r="AG144" s="54">
        <v>0</v>
      </c>
      <c r="AH144" s="54">
        <v>0</v>
      </c>
      <c r="AI144" s="54">
        <v>0</v>
      </c>
      <c r="AJ144" s="54">
        <v>0</v>
      </c>
      <c r="AK144" s="54">
        <v>0</v>
      </c>
      <c r="AL144" s="54">
        <v>0</v>
      </c>
      <c r="AM144" s="54" t="str">
        <f>I144-J144-K144-L144-M144-N144-O144-P144-Q144-R144-S144-T144-U144-V144-W144-X144-Y144-Z144-AA144-AB144-AC144-AD144-AE144-AF144-AG144+AH144-AI144+AJ144+AK144-AL144</f>
        <v>0</v>
      </c>
      <c r="AN144" s="54"/>
      <c r="AO144" s="27"/>
    </row>
    <row r="145" spans="1:41">
      <c r="A145" s="44">
        <v>117</v>
      </c>
      <c r="B145" s="47" t="s">
        <v>581</v>
      </c>
      <c r="C145" s="48" t="s">
        <v>582</v>
      </c>
      <c r="D145" s="52" t="s">
        <v>73</v>
      </c>
      <c r="E145" s="52" t="s">
        <v>562</v>
      </c>
      <c r="F145" s="55" t="s">
        <v>583</v>
      </c>
      <c r="G145" s="51">
        <v>1</v>
      </c>
      <c r="H145" s="52" t="s">
        <v>584</v>
      </c>
      <c r="I145" s="54">
        <v>0</v>
      </c>
      <c r="J145" s="54">
        <v>0</v>
      </c>
      <c r="K145" s="54">
        <v>22000</v>
      </c>
      <c r="L145" s="54">
        <v>0</v>
      </c>
      <c r="M145" s="54">
        <v>0</v>
      </c>
      <c r="N145" s="54">
        <v>0</v>
      </c>
      <c r="O145" s="54">
        <v>0</v>
      </c>
      <c r="P145" s="54">
        <v>0</v>
      </c>
      <c r="Q145" s="54">
        <v>0</v>
      </c>
      <c r="R145" s="54">
        <v>0</v>
      </c>
      <c r="S145" s="54">
        <v>0</v>
      </c>
      <c r="T145" s="54">
        <v>0</v>
      </c>
      <c r="U145" s="54">
        <v>2263</v>
      </c>
      <c r="V145" s="54">
        <v>0</v>
      </c>
      <c r="W145" s="54">
        <v>0</v>
      </c>
      <c r="X145" s="54">
        <v>0</v>
      </c>
      <c r="Y145" s="54">
        <v>11000</v>
      </c>
      <c r="Z145" s="54">
        <v>0</v>
      </c>
      <c r="AA145" s="54">
        <v>0</v>
      </c>
      <c r="AB145" s="54">
        <v>0</v>
      </c>
      <c r="AC145" s="54">
        <v>0</v>
      </c>
      <c r="AD145" s="54">
        <v>0</v>
      </c>
      <c r="AE145" s="54">
        <v>0</v>
      </c>
      <c r="AF145" s="54">
        <v>0</v>
      </c>
      <c r="AG145" s="54">
        <v>0</v>
      </c>
      <c r="AH145" s="54">
        <v>0</v>
      </c>
      <c r="AI145" s="54">
        <v>0</v>
      </c>
      <c r="AJ145" s="54">
        <v>0</v>
      </c>
      <c r="AK145" s="54">
        <v>0</v>
      </c>
      <c r="AL145" s="54">
        <v>0</v>
      </c>
      <c r="AM145" s="54" t="str">
        <f>I145-J145-K145-L145-M145-N145-O145-P145-Q145-R145-S145-T145-U145-V145-W145-X145-Y145-Z145-AA145-AB145-AC145-AD145-AE145-AF145-AG145+AH145-AI145+AJ145+AK145-AL145</f>
        <v>0</v>
      </c>
      <c r="AN145" s="54"/>
      <c r="AO145" s="27"/>
    </row>
    <row r="146" spans="1:41">
      <c r="A146" s="44">
        <v>118</v>
      </c>
      <c r="B146" s="47" t="s">
        <v>585</v>
      </c>
      <c r="C146" s="48" t="s">
        <v>586</v>
      </c>
      <c r="D146" s="52" t="s">
        <v>73</v>
      </c>
      <c r="E146" s="52" t="s">
        <v>562</v>
      </c>
      <c r="F146" s="55" t="s">
        <v>587</v>
      </c>
      <c r="G146" s="51">
        <v>8</v>
      </c>
      <c r="H146" s="52" t="s">
        <v>588</v>
      </c>
      <c r="I146" s="54">
        <v>0</v>
      </c>
      <c r="J146" s="54">
        <v>0</v>
      </c>
      <c r="K146" s="54">
        <v>39000</v>
      </c>
      <c r="L146" s="54">
        <v>0</v>
      </c>
      <c r="M146" s="54">
        <v>0</v>
      </c>
      <c r="N146" s="54">
        <v>0</v>
      </c>
      <c r="O146" s="54">
        <v>0</v>
      </c>
      <c r="P146" s="54">
        <v>0</v>
      </c>
      <c r="Q146" s="54">
        <v>0</v>
      </c>
      <c r="R146" s="54">
        <v>0</v>
      </c>
      <c r="S146" s="54">
        <v>0</v>
      </c>
      <c r="T146" s="54">
        <v>0</v>
      </c>
      <c r="U146" s="54">
        <v>4013</v>
      </c>
      <c r="V146" s="54">
        <v>0</v>
      </c>
      <c r="W146" s="54">
        <v>0</v>
      </c>
      <c r="X146" s="54">
        <v>0</v>
      </c>
      <c r="Y146" s="54">
        <v>19500</v>
      </c>
      <c r="Z146" s="54">
        <v>0</v>
      </c>
      <c r="AA146" s="54">
        <v>0</v>
      </c>
      <c r="AB146" s="54">
        <v>0</v>
      </c>
      <c r="AC146" s="54">
        <v>0</v>
      </c>
      <c r="AD146" s="54">
        <v>0</v>
      </c>
      <c r="AE146" s="54">
        <v>0</v>
      </c>
      <c r="AF146" s="54">
        <v>0</v>
      </c>
      <c r="AG146" s="54">
        <v>0</v>
      </c>
      <c r="AH146" s="54">
        <v>0</v>
      </c>
      <c r="AI146" s="54">
        <v>0</v>
      </c>
      <c r="AJ146" s="54">
        <v>0</v>
      </c>
      <c r="AK146" s="54">
        <v>0</v>
      </c>
      <c r="AL146" s="54">
        <v>0</v>
      </c>
      <c r="AM146" s="54" t="str">
        <f>I146-J146-K146-L146-M146-N146-O146-P146-Q146-R146-S146-T146-U146-V146-W146-X146-Y146-Z146-AA146-AB146-AC146-AD146-AE146-AF146-AG146+AH146-AI146+AJ146+AK146-AL146</f>
        <v>0</v>
      </c>
      <c r="AN146" s="54"/>
      <c r="AO146" s="27"/>
    </row>
    <row r="147" spans="1:41">
      <c r="A147" s="44">
        <v>119</v>
      </c>
      <c r="B147" s="47" t="s">
        <v>589</v>
      </c>
      <c r="C147" s="48" t="s">
        <v>590</v>
      </c>
      <c r="D147" s="52" t="s">
        <v>73</v>
      </c>
      <c r="E147" s="52" t="s">
        <v>562</v>
      </c>
      <c r="F147" s="55" t="s">
        <v>591</v>
      </c>
      <c r="G147" s="51">
        <v>3</v>
      </c>
      <c r="H147" s="52" t="s">
        <v>592</v>
      </c>
      <c r="I147" s="54">
        <v>0</v>
      </c>
      <c r="J147" s="54">
        <v>0</v>
      </c>
      <c r="K147" s="54">
        <v>22000</v>
      </c>
      <c r="L147" s="54">
        <v>0</v>
      </c>
      <c r="M147" s="54">
        <v>0</v>
      </c>
      <c r="N147" s="54">
        <v>0</v>
      </c>
      <c r="O147" s="54">
        <v>0</v>
      </c>
      <c r="P147" s="54">
        <v>0</v>
      </c>
      <c r="Q147" s="54">
        <v>0</v>
      </c>
      <c r="R147" s="54">
        <v>0</v>
      </c>
      <c r="S147" s="54">
        <v>0</v>
      </c>
      <c r="T147" s="54">
        <v>0</v>
      </c>
      <c r="U147" s="54">
        <v>2263</v>
      </c>
      <c r="V147" s="54">
        <v>0</v>
      </c>
      <c r="W147" s="54">
        <v>0</v>
      </c>
      <c r="X147" s="54">
        <v>0</v>
      </c>
      <c r="Y147" s="54">
        <v>11000</v>
      </c>
      <c r="Z147" s="54">
        <v>0</v>
      </c>
      <c r="AA147" s="54">
        <v>0</v>
      </c>
      <c r="AB147" s="54">
        <v>0</v>
      </c>
      <c r="AC147" s="54">
        <v>0</v>
      </c>
      <c r="AD147" s="54">
        <v>0</v>
      </c>
      <c r="AE147" s="54">
        <v>0</v>
      </c>
      <c r="AF147" s="54">
        <v>0</v>
      </c>
      <c r="AG147" s="54">
        <v>0</v>
      </c>
      <c r="AH147" s="54">
        <v>0</v>
      </c>
      <c r="AI147" s="54">
        <v>0</v>
      </c>
      <c r="AJ147" s="54">
        <v>0</v>
      </c>
      <c r="AK147" s="54">
        <v>0</v>
      </c>
      <c r="AL147" s="54">
        <v>0</v>
      </c>
      <c r="AM147" s="54" t="str">
        <f>I147-J147-K147-L147-M147-N147-O147-P147-Q147-R147-S147-T147-U147-V147-W147-X147-Y147-Z147-AA147-AB147-AC147-AD147-AE147-AF147-AG147+AH147-AI147+AJ147+AK147-AL147</f>
        <v>0</v>
      </c>
      <c r="AN147" s="54"/>
      <c r="AO147" s="27"/>
    </row>
    <row r="148" spans="1:41">
      <c r="A148" s="44">
        <v>120</v>
      </c>
      <c r="B148" s="47" t="s">
        <v>593</v>
      </c>
      <c r="C148" s="48" t="s">
        <v>594</v>
      </c>
      <c r="D148" s="52" t="s">
        <v>73</v>
      </c>
      <c r="E148" s="52" t="s">
        <v>562</v>
      </c>
      <c r="F148" s="55" t="s">
        <v>595</v>
      </c>
      <c r="G148" s="51">
        <v>2</v>
      </c>
      <c r="H148" s="52" t="s">
        <v>596</v>
      </c>
      <c r="I148" s="54">
        <v>0</v>
      </c>
      <c r="J148" s="54">
        <v>0</v>
      </c>
      <c r="K148" s="54">
        <v>22000</v>
      </c>
      <c r="L148" s="54">
        <v>0</v>
      </c>
      <c r="M148" s="54">
        <v>0</v>
      </c>
      <c r="N148" s="54">
        <v>0</v>
      </c>
      <c r="O148" s="54">
        <v>0</v>
      </c>
      <c r="P148" s="54">
        <v>0</v>
      </c>
      <c r="Q148" s="54">
        <v>0</v>
      </c>
      <c r="R148" s="54">
        <v>0</v>
      </c>
      <c r="S148" s="54">
        <v>0</v>
      </c>
      <c r="T148" s="54">
        <v>0</v>
      </c>
      <c r="U148" s="54">
        <v>2263</v>
      </c>
      <c r="V148" s="54">
        <v>0</v>
      </c>
      <c r="W148" s="54">
        <v>0</v>
      </c>
      <c r="X148" s="54">
        <v>0</v>
      </c>
      <c r="Y148" s="54">
        <v>11000</v>
      </c>
      <c r="Z148" s="54">
        <v>0</v>
      </c>
      <c r="AA148" s="54">
        <v>0</v>
      </c>
      <c r="AB148" s="54">
        <v>0</v>
      </c>
      <c r="AC148" s="54">
        <v>0</v>
      </c>
      <c r="AD148" s="54">
        <v>0</v>
      </c>
      <c r="AE148" s="54">
        <v>0</v>
      </c>
      <c r="AF148" s="54">
        <v>0</v>
      </c>
      <c r="AG148" s="54">
        <v>0</v>
      </c>
      <c r="AH148" s="54">
        <v>0</v>
      </c>
      <c r="AI148" s="54">
        <v>0</v>
      </c>
      <c r="AJ148" s="54">
        <v>0</v>
      </c>
      <c r="AK148" s="54">
        <v>0</v>
      </c>
      <c r="AL148" s="54">
        <v>0</v>
      </c>
      <c r="AM148" s="54" t="str">
        <f>I148-J148-K148-L148-M148-N148-O148-P148-Q148-R148-S148-T148-U148-V148-W148-X148-Y148-Z148-AA148-AB148-AC148-AD148-AE148-AF148-AG148+AH148-AI148+AJ148+AK148-AL148</f>
        <v>0</v>
      </c>
      <c r="AN148" s="54"/>
      <c r="AO148" s="27"/>
    </row>
    <row r="149" spans="1:41">
      <c r="A149" s="44">
        <v>121</v>
      </c>
      <c r="B149" s="47" t="s">
        <v>597</v>
      </c>
      <c r="C149" s="48" t="s">
        <v>598</v>
      </c>
      <c r="D149" s="52" t="s">
        <v>73</v>
      </c>
      <c r="E149" s="52" t="s">
        <v>599</v>
      </c>
      <c r="F149" s="55" t="s">
        <v>600</v>
      </c>
      <c r="G149" s="51">
        <v>2</v>
      </c>
      <c r="H149" s="52" t="s">
        <v>601</v>
      </c>
      <c r="I149" s="54">
        <v>0</v>
      </c>
      <c r="J149" s="54">
        <v>0</v>
      </c>
      <c r="K149" s="54">
        <v>22000</v>
      </c>
      <c r="L149" s="54">
        <v>0</v>
      </c>
      <c r="M149" s="54">
        <v>0</v>
      </c>
      <c r="N149" s="54">
        <v>0</v>
      </c>
      <c r="O149" s="54">
        <v>0</v>
      </c>
      <c r="P149" s="54">
        <v>0</v>
      </c>
      <c r="Q149" s="54">
        <v>0</v>
      </c>
      <c r="R149" s="54">
        <v>0</v>
      </c>
      <c r="S149" s="54">
        <v>0</v>
      </c>
      <c r="T149" s="54">
        <v>0</v>
      </c>
      <c r="U149" s="54">
        <v>2263</v>
      </c>
      <c r="V149" s="54">
        <v>0</v>
      </c>
      <c r="W149" s="54">
        <v>0</v>
      </c>
      <c r="X149" s="54">
        <v>0</v>
      </c>
      <c r="Y149" s="54">
        <v>11000</v>
      </c>
      <c r="Z149" s="54">
        <v>0</v>
      </c>
      <c r="AA149" s="54">
        <v>0</v>
      </c>
      <c r="AB149" s="54">
        <v>0</v>
      </c>
      <c r="AC149" s="54">
        <v>0</v>
      </c>
      <c r="AD149" s="54">
        <v>0</v>
      </c>
      <c r="AE149" s="54">
        <v>0</v>
      </c>
      <c r="AF149" s="54">
        <v>0</v>
      </c>
      <c r="AG149" s="54">
        <v>0</v>
      </c>
      <c r="AH149" s="54">
        <v>0</v>
      </c>
      <c r="AI149" s="54">
        <v>0</v>
      </c>
      <c r="AJ149" s="54">
        <v>0</v>
      </c>
      <c r="AK149" s="54">
        <v>0</v>
      </c>
      <c r="AL149" s="54">
        <v>0</v>
      </c>
      <c r="AM149" s="54" t="str">
        <f>I149-J149-K149-L149-M149-N149-O149-P149-Q149-R149-S149-T149-U149-V149-W149-X149-Y149-Z149-AA149-AB149-AC149-AD149-AE149-AF149-AG149+AH149-AI149+AJ149+AK149-AL149</f>
        <v>0</v>
      </c>
      <c r="AN149" s="54"/>
      <c r="AO149" s="27"/>
    </row>
    <row r="150" spans="1:41">
      <c r="A150" s="44">
        <v>122</v>
      </c>
      <c r="B150" s="47" t="s">
        <v>602</v>
      </c>
      <c r="C150" s="48" t="s">
        <v>603</v>
      </c>
      <c r="D150" s="52" t="s">
        <v>73</v>
      </c>
      <c r="E150" s="52" t="s">
        <v>604</v>
      </c>
      <c r="F150" s="55" t="s">
        <v>605</v>
      </c>
      <c r="G150" s="51">
        <v>3</v>
      </c>
      <c r="H150" s="52" t="s">
        <v>606</v>
      </c>
      <c r="I150" s="54">
        <v>625000</v>
      </c>
      <c r="J150" s="54">
        <v>0</v>
      </c>
      <c r="K150" s="54">
        <v>22000</v>
      </c>
      <c r="L150" s="54">
        <v>0</v>
      </c>
      <c r="M150" s="54">
        <v>0</v>
      </c>
      <c r="N150" s="54">
        <v>0</v>
      </c>
      <c r="O150" s="54">
        <v>0</v>
      </c>
      <c r="P150" s="54">
        <v>0</v>
      </c>
      <c r="Q150" s="54">
        <v>0</v>
      </c>
      <c r="R150" s="54">
        <v>0</v>
      </c>
      <c r="S150" s="54">
        <v>0</v>
      </c>
      <c r="T150" s="54">
        <v>0</v>
      </c>
      <c r="U150" s="54">
        <v>2263</v>
      </c>
      <c r="V150" s="54">
        <v>0</v>
      </c>
      <c r="W150" s="54">
        <v>0</v>
      </c>
      <c r="X150" s="54">
        <v>0</v>
      </c>
      <c r="Y150" s="54">
        <v>0</v>
      </c>
      <c r="Z150" s="54">
        <v>0</v>
      </c>
      <c r="AA150" s="54">
        <v>0</v>
      </c>
      <c r="AB150" s="54">
        <v>0</v>
      </c>
      <c r="AC150" s="54">
        <v>0</v>
      </c>
      <c r="AD150" s="54">
        <v>0</v>
      </c>
      <c r="AE150" s="54">
        <v>0</v>
      </c>
      <c r="AF150" s="54">
        <v>0</v>
      </c>
      <c r="AG150" s="54">
        <v>0</v>
      </c>
      <c r="AH150" s="54">
        <v>0</v>
      </c>
      <c r="AI150" s="54">
        <v>0</v>
      </c>
      <c r="AJ150" s="54">
        <v>0</v>
      </c>
      <c r="AK150" s="54">
        <v>0</v>
      </c>
      <c r="AL150" s="54">
        <v>0</v>
      </c>
      <c r="AM150" s="54" t="str">
        <f>I150-J150-K150-L150-M150-N150-O150-P150-Q150-R150-S150-T150-U150-V150-W150-X150-Y150-Z150-AA150-AB150-AC150-AD150-AE150-AF150-AG150+AH150-AI150+AJ150+AK150-AL150</f>
        <v>0</v>
      </c>
      <c r="AN150" s="54"/>
      <c r="AO150" s="27"/>
    </row>
    <row r="151" spans="1:41">
      <c r="A151" s="44">
        <v>123</v>
      </c>
      <c r="B151" s="47" t="s">
        <v>607</v>
      </c>
      <c r="C151" s="48" t="s">
        <v>608</v>
      </c>
      <c r="D151" s="52" t="s">
        <v>62</v>
      </c>
      <c r="E151" s="52" t="s">
        <v>604</v>
      </c>
      <c r="F151" s="55" t="s">
        <v>609</v>
      </c>
      <c r="G151" s="51">
        <v>8</v>
      </c>
      <c r="H151" s="52" t="s">
        <v>610</v>
      </c>
      <c r="I151" s="54">
        <v>0</v>
      </c>
      <c r="J151" s="54">
        <v>0</v>
      </c>
      <c r="K151" s="54">
        <v>39000</v>
      </c>
      <c r="L151" s="54">
        <v>0</v>
      </c>
      <c r="M151" s="54">
        <v>0</v>
      </c>
      <c r="N151" s="54">
        <v>0</v>
      </c>
      <c r="O151" s="54">
        <v>0</v>
      </c>
      <c r="P151" s="54">
        <v>0</v>
      </c>
      <c r="Q151" s="54">
        <v>0</v>
      </c>
      <c r="R151" s="54">
        <v>0</v>
      </c>
      <c r="S151" s="54">
        <v>0</v>
      </c>
      <c r="T151" s="54">
        <v>0</v>
      </c>
      <c r="U151" s="54">
        <v>4013</v>
      </c>
      <c r="V151" s="54">
        <v>0</v>
      </c>
      <c r="W151" s="54">
        <v>0</v>
      </c>
      <c r="X151" s="54">
        <v>0</v>
      </c>
      <c r="Y151" s="54">
        <v>0</v>
      </c>
      <c r="Z151" s="54">
        <v>0</v>
      </c>
      <c r="AA151" s="54">
        <v>0</v>
      </c>
      <c r="AB151" s="54">
        <v>0</v>
      </c>
      <c r="AC151" s="54">
        <v>0</v>
      </c>
      <c r="AD151" s="54">
        <v>0</v>
      </c>
      <c r="AE151" s="54">
        <v>0</v>
      </c>
      <c r="AF151" s="54">
        <v>0</v>
      </c>
      <c r="AG151" s="54">
        <v>0</v>
      </c>
      <c r="AH151" s="54">
        <v>0</v>
      </c>
      <c r="AI151" s="54">
        <v>0</v>
      </c>
      <c r="AJ151" s="54">
        <v>0</v>
      </c>
      <c r="AK151" s="54">
        <v>0</v>
      </c>
      <c r="AL151" s="54">
        <v>0</v>
      </c>
      <c r="AM151" s="54" t="str">
        <f>I151-J151-K151-L151-M151-N151-O151-P151-Q151-R151-S151-T151-U151-V151-W151-X151-Y151-Z151-AA151-AB151-AC151-AD151-AE151-AF151-AG151+AH151-AI151+AJ151+AK151-AL151</f>
        <v>0</v>
      </c>
      <c r="AN151" s="54"/>
      <c r="AO151" s="27"/>
    </row>
    <row r="152" spans="1:41">
      <c r="A152" s="44">
        <v>124</v>
      </c>
      <c r="B152" s="47" t="s">
        <v>611</v>
      </c>
      <c r="C152" s="48" t="s">
        <v>612</v>
      </c>
      <c r="D152" s="52" t="s">
        <v>73</v>
      </c>
      <c r="E152" s="52" t="s">
        <v>604</v>
      </c>
      <c r="F152" s="55" t="s">
        <v>613</v>
      </c>
      <c r="G152" s="51">
        <v>5</v>
      </c>
      <c r="H152" s="52" t="s">
        <v>614</v>
      </c>
      <c r="I152" s="54">
        <v>449000</v>
      </c>
      <c r="J152" s="54">
        <v>0</v>
      </c>
      <c r="K152" s="54">
        <v>27000</v>
      </c>
      <c r="L152" s="54">
        <v>0</v>
      </c>
      <c r="M152" s="54">
        <v>0</v>
      </c>
      <c r="N152" s="54">
        <v>0</v>
      </c>
      <c r="O152" s="54">
        <v>0</v>
      </c>
      <c r="P152" s="54">
        <v>0</v>
      </c>
      <c r="Q152" s="54">
        <v>0</v>
      </c>
      <c r="R152" s="54">
        <v>0</v>
      </c>
      <c r="S152" s="54">
        <v>0</v>
      </c>
      <c r="T152" s="54">
        <v>0</v>
      </c>
      <c r="U152" s="54">
        <v>2778</v>
      </c>
      <c r="V152" s="54">
        <v>0</v>
      </c>
      <c r="W152" s="54">
        <v>0</v>
      </c>
      <c r="X152" s="54">
        <v>0</v>
      </c>
      <c r="Y152" s="54">
        <v>0</v>
      </c>
      <c r="Z152" s="54">
        <v>0</v>
      </c>
      <c r="AA152" s="54">
        <v>0</v>
      </c>
      <c r="AB152" s="54">
        <v>0</v>
      </c>
      <c r="AC152" s="54">
        <v>0</v>
      </c>
      <c r="AD152" s="54">
        <v>0</v>
      </c>
      <c r="AE152" s="54">
        <v>0</v>
      </c>
      <c r="AF152" s="54">
        <v>0</v>
      </c>
      <c r="AG152" s="54">
        <v>0</v>
      </c>
      <c r="AH152" s="54">
        <v>0</v>
      </c>
      <c r="AI152" s="54">
        <v>0</v>
      </c>
      <c r="AJ152" s="54">
        <v>0</v>
      </c>
      <c r="AK152" s="54">
        <v>0</v>
      </c>
      <c r="AL152" s="54">
        <v>0</v>
      </c>
      <c r="AM152" s="54" t="str">
        <f>I152-J152-K152-L152-M152-N152-O152-P152-Q152-R152-S152-T152-U152-V152-W152-X152-Y152-Z152-AA152-AB152-AC152-AD152-AE152-AF152-AG152+AH152-AI152+AJ152+AK152-AL152</f>
        <v>0</v>
      </c>
      <c r="AN152" s="54"/>
      <c r="AO152" s="27"/>
    </row>
    <row r="153" spans="1:41">
      <c r="A153" s="44">
        <v>125</v>
      </c>
      <c r="B153" s="47" t="s">
        <v>615</v>
      </c>
      <c r="C153" s="48" t="s">
        <v>616</v>
      </c>
      <c r="D153" s="52" t="s">
        <v>62</v>
      </c>
      <c r="E153" s="52" t="s">
        <v>604</v>
      </c>
      <c r="F153" s="55" t="s">
        <v>617</v>
      </c>
      <c r="G153" s="51">
        <v>5</v>
      </c>
      <c r="H153" s="52" t="s">
        <v>618</v>
      </c>
      <c r="I153" s="54">
        <v>0</v>
      </c>
      <c r="J153" s="54">
        <v>0</v>
      </c>
      <c r="K153" s="54">
        <v>27000</v>
      </c>
      <c r="L153" s="54">
        <v>0</v>
      </c>
      <c r="M153" s="54">
        <v>0</v>
      </c>
      <c r="N153" s="54">
        <v>0</v>
      </c>
      <c r="O153" s="54">
        <v>0</v>
      </c>
      <c r="P153" s="54">
        <v>0</v>
      </c>
      <c r="Q153" s="54">
        <v>0</v>
      </c>
      <c r="R153" s="54">
        <v>0</v>
      </c>
      <c r="S153" s="54">
        <v>0</v>
      </c>
      <c r="T153" s="54">
        <v>0</v>
      </c>
      <c r="U153" s="54">
        <v>2778</v>
      </c>
      <c r="V153" s="54">
        <v>0</v>
      </c>
      <c r="W153" s="54">
        <v>0</v>
      </c>
      <c r="X153" s="54">
        <v>0</v>
      </c>
      <c r="Y153" s="54">
        <v>13500</v>
      </c>
      <c r="Z153" s="54">
        <v>0</v>
      </c>
      <c r="AA153" s="54">
        <v>0</v>
      </c>
      <c r="AB153" s="54">
        <v>0</v>
      </c>
      <c r="AC153" s="54">
        <v>0</v>
      </c>
      <c r="AD153" s="54">
        <v>0</v>
      </c>
      <c r="AE153" s="54">
        <v>0</v>
      </c>
      <c r="AF153" s="54">
        <v>0</v>
      </c>
      <c r="AG153" s="54">
        <v>0</v>
      </c>
      <c r="AH153" s="54">
        <v>0</v>
      </c>
      <c r="AI153" s="54">
        <v>0</v>
      </c>
      <c r="AJ153" s="54">
        <v>0</v>
      </c>
      <c r="AK153" s="54">
        <v>0</v>
      </c>
      <c r="AL153" s="54">
        <v>0</v>
      </c>
      <c r="AM153" s="54" t="str">
        <f>I153-J153-K153-L153-M153-N153-O153-P153-Q153-R153-S153-T153-U153-V153-W153-X153-Y153-Z153-AA153-AB153-AC153-AD153-AE153-AF153-AG153+AH153-AI153+AJ153+AK153-AL153</f>
        <v>0</v>
      </c>
      <c r="AN153" s="54"/>
      <c r="AO153" s="27"/>
    </row>
    <row r="154" spans="1:41">
      <c r="A154" s="44">
        <v>126</v>
      </c>
      <c r="B154" s="47" t="s">
        <v>619</v>
      </c>
      <c r="C154" s="48" t="s">
        <v>620</v>
      </c>
      <c r="D154" s="52" t="s">
        <v>73</v>
      </c>
      <c r="E154" s="52" t="s">
        <v>621</v>
      </c>
      <c r="F154" s="55" t="s">
        <v>622</v>
      </c>
      <c r="G154" s="51">
        <v>6</v>
      </c>
      <c r="H154" s="52" t="s">
        <v>623</v>
      </c>
      <c r="I154" s="54">
        <v>1455000</v>
      </c>
      <c r="J154" s="54">
        <v>0</v>
      </c>
      <c r="K154" s="54">
        <v>31000</v>
      </c>
      <c r="L154" s="54">
        <v>0</v>
      </c>
      <c r="M154" s="54">
        <v>0</v>
      </c>
      <c r="N154" s="54">
        <v>0</v>
      </c>
      <c r="O154" s="54">
        <v>0</v>
      </c>
      <c r="P154" s="54">
        <v>0</v>
      </c>
      <c r="Q154" s="54">
        <v>0</v>
      </c>
      <c r="R154" s="54">
        <v>0</v>
      </c>
      <c r="S154" s="54">
        <v>0</v>
      </c>
      <c r="T154" s="54">
        <v>0</v>
      </c>
      <c r="U154" s="54">
        <v>3189</v>
      </c>
      <c r="V154" s="54">
        <v>0</v>
      </c>
      <c r="W154" s="54">
        <v>0</v>
      </c>
      <c r="X154" s="54">
        <v>0</v>
      </c>
      <c r="Y154" s="54">
        <v>0</v>
      </c>
      <c r="Z154" s="54">
        <v>0</v>
      </c>
      <c r="AA154" s="54">
        <v>0</v>
      </c>
      <c r="AB154" s="54">
        <v>0</v>
      </c>
      <c r="AC154" s="54">
        <v>0</v>
      </c>
      <c r="AD154" s="54">
        <v>0</v>
      </c>
      <c r="AE154" s="54">
        <v>0</v>
      </c>
      <c r="AF154" s="54">
        <v>0</v>
      </c>
      <c r="AG154" s="54">
        <v>0</v>
      </c>
      <c r="AH154" s="54">
        <v>0</v>
      </c>
      <c r="AI154" s="54">
        <v>0</v>
      </c>
      <c r="AJ154" s="54">
        <v>0</v>
      </c>
      <c r="AK154" s="54">
        <v>0</v>
      </c>
      <c r="AL154" s="54">
        <v>0</v>
      </c>
      <c r="AM154" s="54" t="str">
        <f>I154-J154-K154-L154-M154-N154-O154-P154-Q154-R154-S154-T154-U154-V154-W154-X154-Y154-Z154-AA154-AB154-AC154-AD154-AE154-AF154-AG154+AH154-AI154+AJ154+AK154-AL154</f>
        <v>0</v>
      </c>
      <c r="AN154" s="54"/>
      <c r="AO154" s="27"/>
    </row>
    <row r="155" spans="1:41">
      <c r="A155" s="44">
        <v>127</v>
      </c>
      <c r="B155" s="47" t="s">
        <v>624</v>
      </c>
      <c r="C155" s="48" t="s">
        <v>625</v>
      </c>
      <c r="D155" s="52" t="s">
        <v>73</v>
      </c>
      <c r="E155" s="52" t="s">
        <v>621</v>
      </c>
      <c r="F155" s="55" t="s">
        <v>626</v>
      </c>
      <c r="G155" s="51">
        <v>2</v>
      </c>
      <c r="H155" s="52" t="s">
        <v>627</v>
      </c>
      <c r="I155" s="54">
        <v>275000</v>
      </c>
      <c r="J155" s="54">
        <v>0</v>
      </c>
      <c r="K155" s="54">
        <v>22000</v>
      </c>
      <c r="L155" s="54">
        <v>0</v>
      </c>
      <c r="M155" s="54">
        <v>0</v>
      </c>
      <c r="N155" s="54">
        <v>0</v>
      </c>
      <c r="O155" s="54">
        <v>0</v>
      </c>
      <c r="P155" s="54">
        <v>0</v>
      </c>
      <c r="Q155" s="54">
        <v>0</v>
      </c>
      <c r="R155" s="54">
        <v>0</v>
      </c>
      <c r="S155" s="54">
        <v>0</v>
      </c>
      <c r="T155" s="54">
        <v>0</v>
      </c>
      <c r="U155" s="54">
        <v>2263</v>
      </c>
      <c r="V155" s="54">
        <v>0</v>
      </c>
      <c r="W155" s="54">
        <v>0</v>
      </c>
      <c r="X155" s="54">
        <v>0</v>
      </c>
      <c r="Y155" s="54">
        <v>0</v>
      </c>
      <c r="Z155" s="54">
        <v>0</v>
      </c>
      <c r="AA155" s="54">
        <v>0</v>
      </c>
      <c r="AB155" s="54">
        <v>0</v>
      </c>
      <c r="AC155" s="54">
        <v>0</v>
      </c>
      <c r="AD155" s="54">
        <v>0</v>
      </c>
      <c r="AE155" s="54">
        <v>0</v>
      </c>
      <c r="AF155" s="54">
        <v>0</v>
      </c>
      <c r="AG155" s="54">
        <v>0</v>
      </c>
      <c r="AH155" s="54">
        <v>0</v>
      </c>
      <c r="AI155" s="54">
        <v>0</v>
      </c>
      <c r="AJ155" s="54">
        <v>0</v>
      </c>
      <c r="AK155" s="54">
        <v>0</v>
      </c>
      <c r="AL155" s="54">
        <v>0</v>
      </c>
      <c r="AM155" s="54" t="str">
        <f>I155-J155-K155-L155-M155-N155-O155-P155-Q155-R155-S155-T155-U155-V155-W155-X155-Y155-Z155-AA155-AB155-AC155-AD155-AE155-AF155-AG155+AH155-AI155+AJ155+AK155-AL155</f>
        <v>0</v>
      </c>
      <c r="AN155" s="54"/>
      <c r="AO155" s="27"/>
    </row>
    <row r="156" spans="1:41">
      <c r="A156" s="44">
        <v>128</v>
      </c>
      <c r="B156" s="47" t="s">
        <v>628</v>
      </c>
      <c r="C156" s="48" t="s">
        <v>629</v>
      </c>
      <c r="D156" s="52" t="s">
        <v>73</v>
      </c>
      <c r="E156" s="52" t="s">
        <v>621</v>
      </c>
      <c r="F156" s="55" t="s">
        <v>630</v>
      </c>
      <c r="G156" s="51">
        <v>3</v>
      </c>
      <c r="H156" s="52" t="s">
        <v>631</v>
      </c>
      <c r="I156" s="54">
        <v>415000</v>
      </c>
      <c r="J156" s="54">
        <v>0</v>
      </c>
      <c r="K156" s="54">
        <v>22000</v>
      </c>
      <c r="L156" s="54">
        <v>0</v>
      </c>
      <c r="M156" s="54">
        <v>0</v>
      </c>
      <c r="N156" s="54">
        <v>0</v>
      </c>
      <c r="O156" s="54">
        <v>0</v>
      </c>
      <c r="P156" s="54">
        <v>0</v>
      </c>
      <c r="Q156" s="54">
        <v>0</v>
      </c>
      <c r="R156" s="54">
        <v>0</v>
      </c>
      <c r="S156" s="54">
        <v>0</v>
      </c>
      <c r="T156" s="54">
        <v>0</v>
      </c>
      <c r="U156" s="54">
        <v>2263</v>
      </c>
      <c r="V156" s="54">
        <v>0</v>
      </c>
      <c r="W156" s="54">
        <v>0</v>
      </c>
      <c r="X156" s="54">
        <v>0</v>
      </c>
      <c r="Y156" s="54">
        <v>0</v>
      </c>
      <c r="Z156" s="54">
        <v>0</v>
      </c>
      <c r="AA156" s="54">
        <v>0</v>
      </c>
      <c r="AB156" s="54">
        <v>0</v>
      </c>
      <c r="AC156" s="54">
        <v>0</v>
      </c>
      <c r="AD156" s="54">
        <v>0</v>
      </c>
      <c r="AE156" s="54">
        <v>0</v>
      </c>
      <c r="AF156" s="54">
        <v>0</v>
      </c>
      <c r="AG156" s="54">
        <v>0</v>
      </c>
      <c r="AH156" s="54">
        <v>0</v>
      </c>
      <c r="AI156" s="54">
        <v>0</v>
      </c>
      <c r="AJ156" s="54">
        <v>0</v>
      </c>
      <c r="AK156" s="54">
        <v>0</v>
      </c>
      <c r="AL156" s="54">
        <v>0</v>
      </c>
      <c r="AM156" s="54" t="str">
        <f>I156-J156-K156-L156-M156-N156-O156-P156-Q156-R156-S156-T156-U156-V156-W156-X156-Y156-Z156-AA156-AB156-AC156-AD156-AE156-AF156-AG156+AH156-AI156+AJ156+AK156-AL156</f>
        <v>0</v>
      </c>
      <c r="AN156" s="54"/>
      <c r="AO156" s="27"/>
    </row>
    <row r="157" spans="1:41">
      <c r="A157" s="44">
        <v>129</v>
      </c>
      <c r="B157" s="47" t="s">
        <v>632</v>
      </c>
      <c r="C157" s="48" t="s">
        <v>633</v>
      </c>
      <c r="D157" s="52" t="s">
        <v>73</v>
      </c>
      <c r="E157" s="52" t="s">
        <v>621</v>
      </c>
      <c r="F157" s="55" t="s">
        <v>634</v>
      </c>
      <c r="G157" s="51">
        <v>4</v>
      </c>
      <c r="H157" s="52" t="s">
        <v>635</v>
      </c>
      <c r="I157" s="54">
        <v>429000</v>
      </c>
      <c r="J157" s="54">
        <v>0</v>
      </c>
      <c r="K157" s="54">
        <v>25000</v>
      </c>
      <c r="L157" s="54">
        <v>0</v>
      </c>
      <c r="M157" s="54">
        <v>0</v>
      </c>
      <c r="N157" s="54">
        <v>0</v>
      </c>
      <c r="O157" s="54">
        <v>0</v>
      </c>
      <c r="P157" s="54">
        <v>0</v>
      </c>
      <c r="Q157" s="54">
        <v>0</v>
      </c>
      <c r="R157" s="54">
        <v>0</v>
      </c>
      <c r="S157" s="54">
        <v>0</v>
      </c>
      <c r="T157" s="54">
        <v>0</v>
      </c>
      <c r="U157" s="54">
        <v>2572</v>
      </c>
      <c r="V157" s="54">
        <v>0</v>
      </c>
      <c r="W157" s="54">
        <v>0</v>
      </c>
      <c r="X157" s="54">
        <v>0</v>
      </c>
      <c r="Y157" s="54">
        <v>0</v>
      </c>
      <c r="Z157" s="54">
        <v>0</v>
      </c>
      <c r="AA157" s="54">
        <v>0</v>
      </c>
      <c r="AB157" s="54">
        <v>0</v>
      </c>
      <c r="AC157" s="54">
        <v>0</v>
      </c>
      <c r="AD157" s="54">
        <v>0</v>
      </c>
      <c r="AE157" s="54">
        <v>0</v>
      </c>
      <c r="AF157" s="54">
        <v>0</v>
      </c>
      <c r="AG157" s="54">
        <v>0</v>
      </c>
      <c r="AH157" s="54">
        <v>0</v>
      </c>
      <c r="AI157" s="54">
        <v>0</v>
      </c>
      <c r="AJ157" s="54">
        <v>0</v>
      </c>
      <c r="AK157" s="54">
        <v>0</v>
      </c>
      <c r="AL157" s="54">
        <v>0</v>
      </c>
      <c r="AM157" s="54" t="str">
        <f>I157-J157-K157-L157-M157-N157-O157-P157-Q157-R157-S157-T157-U157-V157-W157-X157-Y157-Z157-AA157-AB157-AC157-AD157-AE157-AF157-AG157+AH157-AI157+AJ157+AK157-AL157</f>
        <v>0</v>
      </c>
      <c r="AN157" s="54"/>
      <c r="AO157" s="27"/>
    </row>
    <row r="158" spans="1:41">
      <c r="A158" s="44">
        <v>130</v>
      </c>
      <c r="B158" s="47" t="s">
        <v>636</v>
      </c>
      <c r="C158" s="48" t="s">
        <v>637</v>
      </c>
      <c r="D158" s="52" t="s">
        <v>73</v>
      </c>
      <c r="E158" s="52" t="s">
        <v>621</v>
      </c>
      <c r="F158" s="55" t="s">
        <v>638</v>
      </c>
      <c r="G158" s="51">
        <v>3</v>
      </c>
      <c r="H158" s="52" t="s">
        <v>639</v>
      </c>
      <c r="I158" s="54">
        <v>299000</v>
      </c>
      <c r="J158" s="54">
        <v>0</v>
      </c>
      <c r="K158" s="54">
        <v>22000</v>
      </c>
      <c r="L158" s="54">
        <v>0</v>
      </c>
      <c r="M158" s="54">
        <v>0</v>
      </c>
      <c r="N158" s="54">
        <v>0</v>
      </c>
      <c r="O158" s="54">
        <v>0</v>
      </c>
      <c r="P158" s="54">
        <v>0</v>
      </c>
      <c r="Q158" s="54">
        <v>0</v>
      </c>
      <c r="R158" s="54">
        <v>0</v>
      </c>
      <c r="S158" s="54">
        <v>0</v>
      </c>
      <c r="T158" s="54">
        <v>0</v>
      </c>
      <c r="U158" s="54">
        <v>2263</v>
      </c>
      <c r="V158" s="54">
        <v>0</v>
      </c>
      <c r="W158" s="54">
        <v>0</v>
      </c>
      <c r="X158" s="54">
        <v>0</v>
      </c>
      <c r="Y158" s="54">
        <v>0</v>
      </c>
      <c r="Z158" s="54">
        <v>0</v>
      </c>
      <c r="AA158" s="54">
        <v>0</v>
      </c>
      <c r="AB158" s="54">
        <v>0</v>
      </c>
      <c r="AC158" s="54">
        <v>0</v>
      </c>
      <c r="AD158" s="54">
        <v>0</v>
      </c>
      <c r="AE158" s="54">
        <v>0</v>
      </c>
      <c r="AF158" s="54">
        <v>0</v>
      </c>
      <c r="AG158" s="54">
        <v>0</v>
      </c>
      <c r="AH158" s="54">
        <v>0</v>
      </c>
      <c r="AI158" s="54">
        <v>0</v>
      </c>
      <c r="AJ158" s="54">
        <v>0</v>
      </c>
      <c r="AK158" s="54">
        <v>0</v>
      </c>
      <c r="AL158" s="54">
        <v>0</v>
      </c>
      <c r="AM158" s="54" t="str">
        <f>I158-J158-K158-L158-M158-N158-O158-P158-Q158-R158-S158-T158-U158-V158-W158-X158-Y158-Z158-AA158-AB158-AC158-AD158-AE158-AF158-AG158+AH158-AI158+AJ158+AK158-AL158</f>
        <v>0</v>
      </c>
      <c r="AN158" s="54"/>
      <c r="AO158" s="27"/>
    </row>
    <row r="159" spans="1:41">
      <c r="A159" s="44">
        <v>131</v>
      </c>
      <c r="B159" s="47" t="s">
        <v>640</v>
      </c>
      <c r="C159" s="48" t="s">
        <v>641</v>
      </c>
      <c r="D159" s="52" t="s">
        <v>73</v>
      </c>
      <c r="E159" s="52" t="s">
        <v>642</v>
      </c>
      <c r="F159" s="55" t="s">
        <v>643</v>
      </c>
      <c r="G159" s="51">
        <v>3</v>
      </c>
      <c r="H159" s="52" t="s">
        <v>644</v>
      </c>
      <c r="I159" s="54">
        <v>540000</v>
      </c>
      <c r="J159" s="54">
        <v>0</v>
      </c>
      <c r="K159" s="54">
        <v>22000</v>
      </c>
      <c r="L159" s="54">
        <v>0</v>
      </c>
      <c r="M159" s="54">
        <v>0</v>
      </c>
      <c r="N159" s="54">
        <v>0</v>
      </c>
      <c r="O159" s="54">
        <v>0</v>
      </c>
      <c r="P159" s="54">
        <v>0</v>
      </c>
      <c r="Q159" s="54">
        <v>0</v>
      </c>
      <c r="R159" s="54">
        <v>0</v>
      </c>
      <c r="S159" s="54">
        <v>0</v>
      </c>
      <c r="T159" s="54">
        <v>0</v>
      </c>
      <c r="U159" s="54">
        <v>2263</v>
      </c>
      <c r="V159" s="54">
        <v>0</v>
      </c>
      <c r="W159" s="54">
        <v>0</v>
      </c>
      <c r="X159" s="54">
        <v>0</v>
      </c>
      <c r="Y159" s="54">
        <v>0</v>
      </c>
      <c r="Z159" s="54">
        <v>0</v>
      </c>
      <c r="AA159" s="54">
        <v>0</v>
      </c>
      <c r="AB159" s="54">
        <v>0</v>
      </c>
      <c r="AC159" s="54">
        <v>0</v>
      </c>
      <c r="AD159" s="54">
        <v>0</v>
      </c>
      <c r="AE159" s="54">
        <v>0</v>
      </c>
      <c r="AF159" s="54">
        <v>0</v>
      </c>
      <c r="AG159" s="54">
        <v>0</v>
      </c>
      <c r="AH159" s="54">
        <v>0</v>
      </c>
      <c r="AI159" s="54">
        <v>0</v>
      </c>
      <c r="AJ159" s="54">
        <v>0</v>
      </c>
      <c r="AK159" s="54">
        <v>0</v>
      </c>
      <c r="AL159" s="54">
        <v>0</v>
      </c>
      <c r="AM159" s="54" t="str">
        <f>I159-J159-K159-L159-M159-N159-O159-P159-Q159-R159-S159-T159-U159-V159-W159-X159-Y159-Z159-AA159-AB159-AC159-AD159-AE159-AF159-AG159+AH159-AI159+AJ159+AK159-AL159</f>
        <v>0</v>
      </c>
      <c r="AN159" s="54"/>
      <c r="AO159" s="27"/>
    </row>
    <row r="160" spans="1:41">
      <c r="A160" s="44">
        <v>132</v>
      </c>
      <c r="B160" s="47" t="s">
        <v>645</v>
      </c>
      <c r="C160" s="48" t="s">
        <v>646</v>
      </c>
      <c r="D160" s="52" t="s">
        <v>73</v>
      </c>
      <c r="E160" s="52" t="s">
        <v>642</v>
      </c>
      <c r="F160" s="55" t="s">
        <v>647</v>
      </c>
      <c r="G160" s="51">
        <v>7.8</v>
      </c>
      <c r="H160" s="52" t="s">
        <v>648</v>
      </c>
      <c r="I160" s="54">
        <v>625000</v>
      </c>
      <c r="J160" s="54">
        <v>0</v>
      </c>
      <c r="K160" s="54">
        <v>39000</v>
      </c>
      <c r="L160" s="54">
        <v>0</v>
      </c>
      <c r="M160" s="54">
        <v>0</v>
      </c>
      <c r="N160" s="54">
        <v>0</v>
      </c>
      <c r="O160" s="54">
        <v>0</v>
      </c>
      <c r="P160" s="54">
        <v>0</v>
      </c>
      <c r="Q160" s="54">
        <v>0</v>
      </c>
      <c r="R160" s="54">
        <v>0</v>
      </c>
      <c r="S160" s="54">
        <v>0</v>
      </c>
      <c r="T160" s="54">
        <v>0</v>
      </c>
      <c r="U160" s="54">
        <v>4013</v>
      </c>
      <c r="V160" s="54">
        <v>0</v>
      </c>
      <c r="W160" s="54">
        <v>0</v>
      </c>
      <c r="X160" s="54">
        <v>0</v>
      </c>
      <c r="Y160" s="54">
        <v>0</v>
      </c>
      <c r="Z160" s="54">
        <v>0</v>
      </c>
      <c r="AA160" s="54">
        <v>0</v>
      </c>
      <c r="AB160" s="54">
        <v>0</v>
      </c>
      <c r="AC160" s="54">
        <v>0</v>
      </c>
      <c r="AD160" s="54">
        <v>10000</v>
      </c>
      <c r="AE160" s="54">
        <v>0</v>
      </c>
      <c r="AF160" s="54">
        <v>0</v>
      </c>
      <c r="AG160" s="54">
        <v>0</v>
      </c>
      <c r="AH160" s="54">
        <v>0</v>
      </c>
      <c r="AI160" s="54">
        <v>0</v>
      </c>
      <c r="AJ160" s="54">
        <v>0</v>
      </c>
      <c r="AK160" s="54">
        <v>0</v>
      </c>
      <c r="AL160" s="54">
        <v>0</v>
      </c>
      <c r="AM160" s="54" t="str">
        <f>I160-J160-K160-L160-M160-N160-O160-P160-Q160-R160-S160-T160-U160-V160-W160-X160-Y160-Z160-AA160-AB160-AC160-AD160-AE160-AF160-AG160+AH160-AI160+AJ160+AK160-AL160</f>
        <v>0</v>
      </c>
      <c r="AN160" s="54"/>
      <c r="AO160" s="27"/>
    </row>
    <row r="161" spans="1:41">
      <c r="A161" s="44">
        <v>133</v>
      </c>
      <c r="B161" s="47" t="s">
        <v>649</v>
      </c>
      <c r="C161" s="48" t="s">
        <v>650</v>
      </c>
      <c r="D161" s="52" t="s">
        <v>73</v>
      </c>
      <c r="E161" s="52" t="s">
        <v>642</v>
      </c>
      <c r="F161" s="55" t="s">
        <v>651</v>
      </c>
      <c r="G161" s="51">
        <v>3</v>
      </c>
      <c r="H161" s="52" t="s">
        <v>652</v>
      </c>
      <c r="I161" s="54">
        <v>319000</v>
      </c>
      <c r="J161" s="54">
        <v>0</v>
      </c>
      <c r="K161" s="54">
        <v>22000</v>
      </c>
      <c r="L161" s="54">
        <v>0</v>
      </c>
      <c r="M161" s="54">
        <v>0</v>
      </c>
      <c r="N161" s="54">
        <v>0</v>
      </c>
      <c r="O161" s="54">
        <v>0</v>
      </c>
      <c r="P161" s="54">
        <v>0</v>
      </c>
      <c r="Q161" s="54">
        <v>0</v>
      </c>
      <c r="R161" s="54">
        <v>0</v>
      </c>
      <c r="S161" s="54">
        <v>0</v>
      </c>
      <c r="T161" s="54">
        <v>0</v>
      </c>
      <c r="U161" s="54">
        <v>2263</v>
      </c>
      <c r="V161" s="54">
        <v>0</v>
      </c>
      <c r="W161" s="54">
        <v>0</v>
      </c>
      <c r="X161" s="54">
        <v>0</v>
      </c>
      <c r="Y161" s="54">
        <v>0</v>
      </c>
      <c r="Z161" s="54">
        <v>0</v>
      </c>
      <c r="AA161" s="54">
        <v>0</v>
      </c>
      <c r="AB161" s="54">
        <v>0</v>
      </c>
      <c r="AC161" s="54">
        <v>0</v>
      </c>
      <c r="AD161" s="54">
        <v>0</v>
      </c>
      <c r="AE161" s="54">
        <v>0</v>
      </c>
      <c r="AF161" s="54">
        <v>0</v>
      </c>
      <c r="AG161" s="54">
        <v>0</v>
      </c>
      <c r="AH161" s="54">
        <v>0</v>
      </c>
      <c r="AI161" s="54">
        <v>0</v>
      </c>
      <c r="AJ161" s="54">
        <v>0</v>
      </c>
      <c r="AK161" s="54">
        <v>0</v>
      </c>
      <c r="AL161" s="54">
        <v>0</v>
      </c>
      <c r="AM161" s="54" t="str">
        <f>I161-J161-K161-L161-M161-N161-O161-P161-Q161-R161-S161-T161-U161-V161-W161-X161-Y161-Z161-AA161-AB161-AC161-AD161-AE161-AF161-AG161+AH161-AI161+AJ161+AK161-AL161</f>
        <v>0</v>
      </c>
      <c r="AN161" s="54"/>
      <c r="AO161" s="27"/>
    </row>
    <row r="162" spans="1:41">
      <c r="A162" s="44">
        <v>134</v>
      </c>
      <c r="B162" s="47" t="s">
        <v>653</v>
      </c>
      <c r="C162" s="48" t="s">
        <v>654</v>
      </c>
      <c r="D162" s="52" t="s">
        <v>62</v>
      </c>
      <c r="E162" s="52" t="s">
        <v>642</v>
      </c>
      <c r="F162" s="55" t="s">
        <v>655</v>
      </c>
      <c r="G162" s="51">
        <v>2</v>
      </c>
      <c r="H162" s="52" t="s">
        <v>656</v>
      </c>
      <c r="I162" s="54">
        <v>0</v>
      </c>
      <c r="J162" s="54">
        <v>0</v>
      </c>
      <c r="K162" s="54">
        <v>22000</v>
      </c>
      <c r="L162" s="54">
        <v>0</v>
      </c>
      <c r="M162" s="54">
        <v>0</v>
      </c>
      <c r="N162" s="54">
        <v>0</v>
      </c>
      <c r="O162" s="54">
        <v>0</v>
      </c>
      <c r="P162" s="54">
        <v>0</v>
      </c>
      <c r="Q162" s="54">
        <v>0</v>
      </c>
      <c r="R162" s="54">
        <v>0</v>
      </c>
      <c r="S162" s="54">
        <v>0</v>
      </c>
      <c r="T162" s="54">
        <v>0</v>
      </c>
      <c r="U162" s="54">
        <v>2263</v>
      </c>
      <c r="V162" s="54">
        <v>0</v>
      </c>
      <c r="W162" s="54">
        <v>0</v>
      </c>
      <c r="X162" s="54">
        <v>0</v>
      </c>
      <c r="Y162" s="54">
        <v>11000</v>
      </c>
      <c r="Z162" s="54">
        <v>0</v>
      </c>
      <c r="AA162" s="54">
        <v>0</v>
      </c>
      <c r="AB162" s="54">
        <v>0</v>
      </c>
      <c r="AC162" s="54">
        <v>0</v>
      </c>
      <c r="AD162" s="54">
        <v>0</v>
      </c>
      <c r="AE162" s="54">
        <v>0</v>
      </c>
      <c r="AF162" s="54">
        <v>0</v>
      </c>
      <c r="AG162" s="54">
        <v>0</v>
      </c>
      <c r="AH162" s="54">
        <v>0</v>
      </c>
      <c r="AI162" s="54">
        <v>0</v>
      </c>
      <c r="AJ162" s="54">
        <v>0</v>
      </c>
      <c r="AK162" s="54">
        <v>0</v>
      </c>
      <c r="AL162" s="54">
        <v>0</v>
      </c>
      <c r="AM162" s="54" t="str">
        <f>I162-J162-K162-L162-M162-N162-O162-P162-Q162-R162-S162-T162-U162-V162-W162-X162-Y162-Z162-AA162-AB162-AC162-AD162-AE162-AF162-AG162+AH162-AI162+AJ162+AK162-AL162</f>
        <v>0</v>
      </c>
      <c r="AN162" s="54"/>
      <c r="AO162" s="27"/>
    </row>
    <row r="163" spans="1:41">
      <c r="A163" s="44">
        <v>135</v>
      </c>
      <c r="B163" s="47" t="s">
        <v>657</v>
      </c>
      <c r="C163" s="48" t="s">
        <v>658</v>
      </c>
      <c r="D163" s="52" t="s">
        <v>73</v>
      </c>
      <c r="E163" s="52" t="s">
        <v>642</v>
      </c>
      <c r="F163" s="55" t="s">
        <v>659</v>
      </c>
      <c r="G163" s="51">
        <v>10</v>
      </c>
      <c r="H163" s="52" t="s">
        <v>660</v>
      </c>
      <c r="I163" s="54">
        <v>1099000</v>
      </c>
      <c r="J163" s="54">
        <v>0</v>
      </c>
      <c r="K163" s="54">
        <v>49000</v>
      </c>
      <c r="L163" s="54">
        <v>0</v>
      </c>
      <c r="M163" s="54">
        <v>0</v>
      </c>
      <c r="N163" s="54">
        <v>0</v>
      </c>
      <c r="O163" s="54">
        <v>0</v>
      </c>
      <c r="P163" s="54">
        <v>0</v>
      </c>
      <c r="Q163" s="54">
        <v>0</v>
      </c>
      <c r="R163" s="54">
        <v>0</v>
      </c>
      <c r="S163" s="54">
        <v>0</v>
      </c>
      <c r="T163" s="54">
        <v>0</v>
      </c>
      <c r="U163" s="54">
        <v>3111</v>
      </c>
      <c r="V163" s="54">
        <v>0</v>
      </c>
      <c r="W163" s="54">
        <v>0</v>
      </c>
      <c r="X163" s="54">
        <v>0</v>
      </c>
      <c r="Y163" s="54">
        <v>0</v>
      </c>
      <c r="Z163" s="54">
        <v>0</v>
      </c>
      <c r="AA163" s="54">
        <v>0</v>
      </c>
      <c r="AB163" s="54">
        <v>0</v>
      </c>
      <c r="AC163" s="54">
        <v>0</v>
      </c>
      <c r="AD163" s="54">
        <v>0</v>
      </c>
      <c r="AE163" s="54">
        <v>0</v>
      </c>
      <c r="AF163" s="54">
        <v>0</v>
      </c>
      <c r="AG163" s="54">
        <v>0</v>
      </c>
      <c r="AH163" s="54">
        <v>0</v>
      </c>
      <c r="AI163" s="54">
        <v>0</v>
      </c>
      <c r="AJ163" s="54">
        <v>0</v>
      </c>
      <c r="AK163" s="54">
        <v>0</v>
      </c>
      <c r="AL163" s="54">
        <v>0</v>
      </c>
      <c r="AM163" s="54" t="str">
        <f>I163-J163-K163-L163-M163-N163-O163-P163-Q163-R163-S163-T163-U163-V163-W163-X163-Y163-Z163-AA163-AB163-AC163-AD163-AE163-AF163-AG163+AH163-AI163+AJ163+AK163-AL163</f>
        <v>0</v>
      </c>
      <c r="AN163" s="54"/>
      <c r="AO163" s="27"/>
    </row>
    <row r="164" spans="1:41">
      <c r="A164" s="44">
        <v>136</v>
      </c>
      <c r="B164" s="47" t="s">
        <v>661</v>
      </c>
      <c r="C164" s="48" t="s">
        <v>662</v>
      </c>
      <c r="D164" s="52" t="s">
        <v>62</v>
      </c>
      <c r="E164" s="52" t="s">
        <v>642</v>
      </c>
      <c r="F164" s="55" t="s">
        <v>663</v>
      </c>
      <c r="G164" s="51">
        <v>7</v>
      </c>
      <c r="H164" s="52" t="s">
        <v>664</v>
      </c>
      <c r="I164" s="54">
        <v>0</v>
      </c>
      <c r="J164" s="54">
        <v>0</v>
      </c>
      <c r="K164" s="54">
        <v>35000</v>
      </c>
      <c r="L164" s="54">
        <v>0</v>
      </c>
      <c r="M164" s="54">
        <v>0</v>
      </c>
      <c r="N164" s="54">
        <v>0</v>
      </c>
      <c r="O164" s="54">
        <v>0</v>
      </c>
      <c r="P164" s="54">
        <v>0</v>
      </c>
      <c r="Q164" s="54">
        <v>0</v>
      </c>
      <c r="R164" s="54">
        <v>0</v>
      </c>
      <c r="S164" s="54">
        <v>0</v>
      </c>
      <c r="T164" s="54">
        <v>0</v>
      </c>
      <c r="U164" s="54">
        <v>3601</v>
      </c>
      <c r="V164" s="54">
        <v>0</v>
      </c>
      <c r="W164" s="54">
        <v>0</v>
      </c>
      <c r="X164" s="54">
        <v>0</v>
      </c>
      <c r="Y164" s="54">
        <v>5000</v>
      </c>
      <c r="Z164" s="54">
        <v>0</v>
      </c>
      <c r="AA164" s="54">
        <v>0</v>
      </c>
      <c r="AB164" s="54">
        <v>0</v>
      </c>
      <c r="AC164" s="54">
        <v>0</v>
      </c>
      <c r="AD164" s="54">
        <v>0</v>
      </c>
      <c r="AE164" s="54">
        <v>0</v>
      </c>
      <c r="AF164" s="54">
        <v>0</v>
      </c>
      <c r="AG164" s="54">
        <v>0</v>
      </c>
      <c r="AH164" s="54">
        <v>0</v>
      </c>
      <c r="AI164" s="54">
        <v>0</v>
      </c>
      <c r="AJ164" s="54">
        <v>0</v>
      </c>
      <c r="AK164" s="54">
        <v>0</v>
      </c>
      <c r="AL164" s="54">
        <v>0</v>
      </c>
      <c r="AM164" s="54" t="str">
        <f>I164-J164-K164-L164-M164-N164-O164-P164-Q164-R164-S164-T164-U164-V164-W164-X164-Y164-Z164-AA164-AB164-AC164-AD164-AE164-AF164-AG164+AH164-AI164+AJ164+AK164-AL164</f>
        <v>0</v>
      </c>
      <c r="AN164" s="54"/>
      <c r="AO164" s="27"/>
    </row>
    <row r="165" spans="1:41">
      <c r="A165" s="44">
        <v>137</v>
      </c>
      <c r="B165" s="47" t="s">
        <v>665</v>
      </c>
      <c r="C165" s="48" t="s">
        <v>666</v>
      </c>
      <c r="D165" s="52" t="s">
        <v>62</v>
      </c>
      <c r="E165" s="52" t="s">
        <v>642</v>
      </c>
      <c r="F165" s="55" t="s">
        <v>667</v>
      </c>
      <c r="G165" s="51">
        <v>3</v>
      </c>
      <c r="H165" s="52" t="s">
        <v>668</v>
      </c>
      <c r="I165" s="54">
        <v>0</v>
      </c>
      <c r="J165" s="54">
        <v>0</v>
      </c>
      <c r="K165" s="54">
        <v>22000</v>
      </c>
      <c r="L165" s="54">
        <v>0</v>
      </c>
      <c r="M165" s="54">
        <v>0</v>
      </c>
      <c r="N165" s="54">
        <v>0</v>
      </c>
      <c r="O165" s="54">
        <v>0</v>
      </c>
      <c r="P165" s="54">
        <v>0</v>
      </c>
      <c r="Q165" s="54">
        <v>0</v>
      </c>
      <c r="R165" s="54">
        <v>0</v>
      </c>
      <c r="S165" s="54">
        <v>0</v>
      </c>
      <c r="T165" s="54">
        <v>0</v>
      </c>
      <c r="U165" s="54">
        <v>2263</v>
      </c>
      <c r="V165" s="54">
        <v>0</v>
      </c>
      <c r="W165" s="54">
        <v>0</v>
      </c>
      <c r="X165" s="54">
        <v>0</v>
      </c>
      <c r="Y165" s="54">
        <v>11000</v>
      </c>
      <c r="Z165" s="54">
        <v>0</v>
      </c>
      <c r="AA165" s="54">
        <v>0</v>
      </c>
      <c r="AB165" s="54">
        <v>0</v>
      </c>
      <c r="AC165" s="54">
        <v>0</v>
      </c>
      <c r="AD165" s="54">
        <v>0</v>
      </c>
      <c r="AE165" s="54">
        <v>0</v>
      </c>
      <c r="AF165" s="54">
        <v>0</v>
      </c>
      <c r="AG165" s="54">
        <v>0</v>
      </c>
      <c r="AH165" s="54">
        <v>0</v>
      </c>
      <c r="AI165" s="54">
        <v>0</v>
      </c>
      <c r="AJ165" s="54">
        <v>0</v>
      </c>
      <c r="AK165" s="54">
        <v>0</v>
      </c>
      <c r="AL165" s="54">
        <v>0</v>
      </c>
      <c r="AM165" s="54" t="str">
        <f>I165-J165-K165-L165-M165-N165-O165-P165-Q165-R165-S165-T165-U165-V165-W165-X165-Y165-Z165-AA165-AB165-AC165-AD165-AE165-AF165-AG165+AH165-AI165+AJ165+AK165-AL165</f>
        <v>0</v>
      </c>
      <c r="AN165" s="54"/>
      <c r="AO165" s="27"/>
    </row>
    <row r="166" spans="1:41">
      <c r="A166" s="44">
        <v>138</v>
      </c>
      <c r="B166" s="47" t="s">
        <v>669</v>
      </c>
      <c r="C166" s="48" t="s">
        <v>670</v>
      </c>
      <c r="D166" s="52" t="s">
        <v>73</v>
      </c>
      <c r="E166" s="52" t="s">
        <v>671</v>
      </c>
      <c r="F166" s="55" t="s">
        <v>672</v>
      </c>
      <c r="G166" s="51">
        <v>5.8</v>
      </c>
      <c r="H166" s="52" t="s">
        <v>673</v>
      </c>
      <c r="I166" s="54">
        <v>599000</v>
      </c>
      <c r="J166" s="54">
        <v>0</v>
      </c>
      <c r="K166" s="54">
        <v>31000</v>
      </c>
      <c r="L166" s="54">
        <v>0</v>
      </c>
      <c r="M166" s="54">
        <v>0</v>
      </c>
      <c r="N166" s="54">
        <v>0</v>
      </c>
      <c r="O166" s="54">
        <v>0</v>
      </c>
      <c r="P166" s="54">
        <v>0</v>
      </c>
      <c r="Q166" s="54">
        <v>0</v>
      </c>
      <c r="R166" s="54">
        <v>0</v>
      </c>
      <c r="S166" s="54">
        <v>0</v>
      </c>
      <c r="T166" s="54">
        <v>0</v>
      </c>
      <c r="U166" s="54">
        <v>3189</v>
      </c>
      <c r="V166" s="54">
        <v>0</v>
      </c>
      <c r="W166" s="54">
        <v>0</v>
      </c>
      <c r="X166" s="54">
        <v>0</v>
      </c>
      <c r="Y166" s="54">
        <v>0</v>
      </c>
      <c r="Z166" s="54">
        <v>0</v>
      </c>
      <c r="AA166" s="54">
        <v>0</v>
      </c>
      <c r="AB166" s="54">
        <v>0</v>
      </c>
      <c r="AC166" s="54">
        <v>0</v>
      </c>
      <c r="AD166" s="54">
        <v>0</v>
      </c>
      <c r="AE166" s="54">
        <v>0</v>
      </c>
      <c r="AF166" s="54">
        <v>0</v>
      </c>
      <c r="AG166" s="54">
        <v>0</v>
      </c>
      <c r="AH166" s="54">
        <v>0</v>
      </c>
      <c r="AI166" s="54">
        <v>0</v>
      </c>
      <c r="AJ166" s="54">
        <v>0</v>
      </c>
      <c r="AK166" s="54">
        <v>0</v>
      </c>
      <c r="AL166" s="54">
        <v>0</v>
      </c>
      <c r="AM166" s="54" t="str">
        <f>I166-J166-K166-L166-M166-N166-O166-P166-Q166-R166-S166-T166-U166-V166-W166-X166-Y166-Z166-AA166-AB166-AC166-AD166-AE166-AF166-AG166+AH166-AI166+AJ166+AK166-AL166</f>
        <v>0</v>
      </c>
      <c r="AN166" s="54"/>
      <c r="AO166" s="27"/>
    </row>
    <row r="167" spans="1:41">
      <c r="A167" s="44">
        <v>139</v>
      </c>
      <c r="B167" s="47" t="s">
        <v>674</v>
      </c>
      <c r="C167" s="48" t="s">
        <v>675</v>
      </c>
      <c r="D167" s="52" t="s">
        <v>73</v>
      </c>
      <c r="E167" s="52" t="s">
        <v>676</v>
      </c>
      <c r="F167" s="55" t="s">
        <v>677</v>
      </c>
      <c r="G167" s="51">
        <v>6</v>
      </c>
      <c r="H167" s="52" t="s">
        <v>678</v>
      </c>
      <c r="I167" s="54">
        <v>1815000</v>
      </c>
      <c r="J167" s="54">
        <v>0</v>
      </c>
      <c r="K167" s="54">
        <v>31000</v>
      </c>
      <c r="L167" s="54">
        <v>0</v>
      </c>
      <c r="M167" s="54">
        <v>0</v>
      </c>
      <c r="N167" s="54">
        <v>0</v>
      </c>
      <c r="O167" s="54">
        <v>0</v>
      </c>
      <c r="P167" s="54">
        <v>0</v>
      </c>
      <c r="Q167" s="54">
        <v>0</v>
      </c>
      <c r="R167" s="54">
        <v>0</v>
      </c>
      <c r="S167" s="54">
        <v>0</v>
      </c>
      <c r="T167" s="54">
        <v>0</v>
      </c>
      <c r="U167" s="54">
        <v>3189</v>
      </c>
      <c r="V167" s="54">
        <v>0</v>
      </c>
      <c r="W167" s="54">
        <v>0</v>
      </c>
      <c r="X167" s="54">
        <v>0</v>
      </c>
      <c r="Y167" s="54">
        <v>0</v>
      </c>
      <c r="Z167" s="54">
        <v>0</v>
      </c>
      <c r="AA167" s="54">
        <v>0</v>
      </c>
      <c r="AB167" s="54">
        <v>0</v>
      </c>
      <c r="AC167" s="54">
        <v>0</v>
      </c>
      <c r="AD167" s="54">
        <v>0</v>
      </c>
      <c r="AE167" s="54">
        <v>0</v>
      </c>
      <c r="AF167" s="54">
        <v>0</v>
      </c>
      <c r="AG167" s="54">
        <v>0</v>
      </c>
      <c r="AH167" s="54">
        <v>0</v>
      </c>
      <c r="AI167" s="54">
        <v>0</v>
      </c>
      <c r="AJ167" s="54">
        <v>0</v>
      </c>
      <c r="AK167" s="54">
        <v>0</v>
      </c>
      <c r="AL167" s="54">
        <v>0</v>
      </c>
      <c r="AM167" s="54" t="str">
        <f>I167-J167-K167-L167-M167-N167-O167-P167-Q167-R167-S167-T167-U167-V167-W167-X167-Y167-Z167-AA167-AB167-AC167-AD167-AE167-AF167-AG167+AH167-AI167+AJ167+AK167-AL167</f>
        <v>0</v>
      </c>
      <c r="AN167" s="54"/>
      <c r="AO167" s="27"/>
    </row>
    <row r="168" spans="1:41">
      <c r="A168" s="44">
        <v>140</v>
      </c>
      <c r="B168" s="47" t="s">
        <v>679</v>
      </c>
      <c r="C168" s="48" t="s">
        <v>680</v>
      </c>
      <c r="D168" s="52" t="s">
        <v>73</v>
      </c>
      <c r="E168" s="52" t="s">
        <v>681</v>
      </c>
      <c r="F168" s="55" t="s">
        <v>682</v>
      </c>
      <c r="G168" s="51">
        <v>1</v>
      </c>
      <c r="H168" s="52" t="s">
        <v>683</v>
      </c>
      <c r="I168" s="54">
        <v>499000</v>
      </c>
      <c r="J168" s="54">
        <v>0</v>
      </c>
      <c r="K168" s="54">
        <v>22000</v>
      </c>
      <c r="L168" s="54">
        <v>0</v>
      </c>
      <c r="M168" s="54">
        <v>0</v>
      </c>
      <c r="N168" s="54">
        <v>0</v>
      </c>
      <c r="O168" s="54">
        <v>0</v>
      </c>
      <c r="P168" s="54">
        <v>0</v>
      </c>
      <c r="Q168" s="54">
        <v>0</v>
      </c>
      <c r="R168" s="54">
        <v>0</v>
      </c>
      <c r="S168" s="54">
        <v>0</v>
      </c>
      <c r="T168" s="54">
        <v>0</v>
      </c>
      <c r="U168" s="54">
        <v>2263</v>
      </c>
      <c r="V168" s="54">
        <v>0</v>
      </c>
      <c r="W168" s="54">
        <v>0</v>
      </c>
      <c r="X168" s="54">
        <v>0</v>
      </c>
      <c r="Y168" s="54">
        <v>0</v>
      </c>
      <c r="Z168" s="54">
        <v>0</v>
      </c>
      <c r="AA168" s="54">
        <v>0</v>
      </c>
      <c r="AB168" s="54">
        <v>0</v>
      </c>
      <c r="AC168" s="54">
        <v>0</v>
      </c>
      <c r="AD168" s="54">
        <v>0</v>
      </c>
      <c r="AE168" s="54">
        <v>0</v>
      </c>
      <c r="AF168" s="54">
        <v>0</v>
      </c>
      <c r="AG168" s="54">
        <v>0</v>
      </c>
      <c r="AH168" s="54">
        <v>0</v>
      </c>
      <c r="AI168" s="54">
        <v>0</v>
      </c>
      <c r="AJ168" s="54">
        <v>0</v>
      </c>
      <c r="AK168" s="54">
        <v>0</v>
      </c>
      <c r="AL168" s="54">
        <v>0</v>
      </c>
      <c r="AM168" s="54" t="str">
        <f>I168-J168-K168-L168-M168-N168-O168-P168-Q168-R168-S168-T168-U168-V168-W168-X168-Y168-Z168-AA168-AB168-AC168-AD168-AE168-AF168-AG168+AH168-AI168+AJ168+AK168-AL168</f>
        <v>0</v>
      </c>
      <c r="AN168" s="54"/>
      <c r="AO168" s="27"/>
    </row>
    <row r="169" spans="1:41">
      <c r="A169" s="44">
        <v>141</v>
      </c>
      <c r="B169" s="47" t="s">
        <v>684</v>
      </c>
      <c r="C169" s="48" t="s">
        <v>685</v>
      </c>
      <c r="D169" s="52" t="s">
        <v>62</v>
      </c>
      <c r="E169" s="52" t="s">
        <v>686</v>
      </c>
      <c r="F169" s="55" t="s">
        <v>687</v>
      </c>
      <c r="G169" s="51">
        <v>2</v>
      </c>
      <c r="H169" s="52" t="s">
        <v>688</v>
      </c>
      <c r="I169" s="54">
        <v>0</v>
      </c>
      <c r="J169" s="54">
        <v>0</v>
      </c>
      <c r="K169" s="54">
        <v>22000</v>
      </c>
      <c r="L169" s="54">
        <v>0</v>
      </c>
      <c r="M169" s="54">
        <v>0</v>
      </c>
      <c r="N169" s="54">
        <v>0</v>
      </c>
      <c r="O169" s="54">
        <v>0</v>
      </c>
      <c r="P169" s="54">
        <v>0</v>
      </c>
      <c r="Q169" s="54">
        <v>0</v>
      </c>
      <c r="R169" s="54">
        <v>0</v>
      </c>
      <c r="S169" s="54">
        <v>0</v>
      </c>
      <c r="T169" s="54">
        <v>0</v>
      </c>
      <c r="U169" s="54">
        <v>2263</v>
      </c>
      <c r="V169" s="54">
        <v>0</v>
      </c>
      <c r="W169" s="54">
        <v>0</v>
      </c>
      <c r="X169" s="54">
        <v>0</v>
      </c>
      <c r="Y169" s="54">
        <v>5000</v>
      </c>
      <c r="Z169" s="54">
        <v>0</v>
      </c>
      <c r="AA169" s="54">
        <v>0</v>
      </c>
      <c r="AB169" s="54">
        <v>0</v>
      </c>
      <c r="AC169" s="54">
        <v>0</v>
      </c>
      <c r="AD169" s="54">
        <v>0</v>
      </c>
      <c r="AE169" s="54">
        <v>0</v>
      </c>
      <c r="AF169" s="54">
        <v>0</v>
      </c>
      <c r="AG169" s="54">
        <v>0</v>
      </c>
      <c r="AH169" s="54">
        <v>0</v>
      </c>
      <c r="AI169" s="54">
        <v>0</v>
      </c>
      <c r="AJ169" s="54">
        <v>0</v>
      </c>
      <c r="AK169" s="54">
        <v>0</v>
      </c>
      <c r="AL169" s="54">
        <v>0</v>
      </c>
      <c r="AM169" s="54" t="str">
        <f>I169-J169-K169-L169-M169-N169-O169-P169-Q169-R169-S169-T169-U169-V169-W169-X169-Y169-Z169-AA169-AB169-AC169-AD169-AE169-AF169-AG169+AH169-AI169+AJ169+AK169-AL169</f>
        <v>0</v>
      </c>
      <c r="AN169" s="54"/>
      <c r="AO169" s="27"/>
    </row>
    <row r="170" spans="1:41">
      <c r="A170" s="44">
        <v>142</v>
      </c>
      <c r="B170" s="47" t="s">
        <v>689</v>
      </c>
      <c r="C170" s="48" t="s">
        <v>690</v>
      </c>
      <c r="D170" s="52" t="s">
        <v>62</v>
      </c>
      <c r="E170" s="52" t="s">
        <v>686</v>
      </c>
      <c r="F170" s="55" t="s">
        <v>691</v>
      </c>
      <c r="G170" s="51">
        <v>2</v>
      </c>
      <c r="H170" s="52" t="s">
        <v>692</v>
      </c>
      <c r="I170" s="54">
        <v>0</v>
      </c>
      <c r="J170" s="54">
        <v>0</v>
      </c>
      <c r="K170" s="54">
        <v>22000</v>
      </c>
      <c r="L170" s="54">
        <v>0</v>
      </c>
      <c r="M170" s="54">
        <v>0</v>
      </c>
      <c r="N170" s="54">
        <v>0</v>
      </c>
      <c r="O170" s="54">
        <v>0</v>
      </c>
      <c r="P170" s="54">
        <v>0</v>
      </c>
      <c r="Q170" s="54">
        <v>0</v>
      </c>
      <c r="R170" s="54">
        <v>0</v>
      </c>
      <c r="S170" s="54">
        <v>0</v>
      </c>
      <c r="T170" s="54">
        <v>0</v>
      </c>
      <c r="U170" s="54">
        <v>2263</v>
      </c>
      <c r="V170" s="54">
        <v>0</v>
      </c>
      <c r="W170" s="54">
        <v>0</v>
      </c>
      <c r="X170" s="54">
        <v>0</v>
      </c>
      <c r="Y170" s="54">
        <v>5000</v>
      </c>
      <c r="Z170" s="54">
        <v>0</v>
      </c>
      <c r="AA170" s="54">
        <v>0</v>
      </c>
      <c r="AB170" s="54">
        <v>0</v>
      </c>
      <c r="AC170" s="54">
        <v>0</v>
      </c>
      <c r="AD170" s="54">
        <v>0</v>
      </c>
      <c r="AE170" s="54">
        <v>0</v>
      </c>
      <c r="AF170" s="54">
        <v>0</v>
      </c>
      <c r="AG170" s="54">
        <v>0</v>
      </c>
      <c r="AH170" s="54">
        <v>0</v>
      </c>
      <c r="AI170" s="54">
        <v>0</v>
      </c>
      <c r="AJ170" s="54">
        <v>0</v>
      </c>
      <c r="AK170" s="54">
        <v>0</v>
      </c>
      <c r="AL170" s="54">
        <v>0</v>
      </c>
      <c r="AM170" s="54" t="str">
        <f>I170-J170-K170-L170-M170-N170-O170-P170-Q170-R170-S170-T170-U170-V170-W170-X170-Y170-Z170-AA170-AB170-AC170-AD170-AE170-AF170-AG170+AH170-AI170+AJ170+AK170-AL170</f>
        <v>0</v>
      </c>
      <c r="AN170" s="54"/>
      <c r="AO170" s="27"/>
    </row>
    <row r="171" spans="1:41">
      <c r="A171" s="44">
        <v>143</v>
      </c>
      <c r="B171" s="47" t="s">
        <v>693</v>
      </c>
      <c r="C171" s="48" t="s">
        <v>694</v>
      </c>
      <c r="D171" s="52" t="s">
        <v>62</v>
      </c>
      <c r="E171" s="52" t="s">
        <v>686</v>
      </c>
      <c r="F171" s="55" t="s">
        <v>695</v>
      </c>
      <c r="G171" s="51">
        <v>5</v>
      </c>
      <c r="H171" s="52" t="s">
        <v>696</v>
      </c>
      <c r="I171" s="54">
        <v>0</v>
      </c>
      <c r="J171" s="54">
        <v>0</v>
      </c>
      <c r="K171" s="54">
        <v>27000</v>
      </c>
      <c r="L171" s="54">
        <v>0</v>
      </c>
      <c r="M171" s="54">
        <v>0</v>
      </c>
      <c r="N171" s="54">
        <v>0</v>
      </c>
      <c r="O171" s="54">
        <v>0</v>
      </c>
      <c r="P171" s="54">
        <v>0</v>
      </c>
      <c r="Q171" s="54">
        <v>0</v>
      </c>
      <c r="R171" s="54">
        <v>0</v>
      </c>
      <c r="S171" s="54">
        <v>0</v>
      </c>
      <c r="T171" s="54">
        <v>0</v>
      </c>
      <c r="U171" s="54">
        <v>2778</v>
      </c>
      <c r="V171" s="54">
        <v>0</v>
      </c>
      <c r="W171" s="54">
        <v>0</v>
      </c>
      <c r="X171" s="54">
        <v>0</v>
      </c>
      <c r="Y171" s="54">
        <v>5000</v>
      </c>
      <c r="Z171" s="54">
        <v>0</v>
      </c>
      <c r="AA171" s="54">
        <v>0</v>
      </c>
      <c r="AB171" s="54">
        <v>0</v>
      </c>
      <c r="AC171" s="54">
        <v>0</v>
      </c>
      <c r="AD171" s="54">
        <v>0</v>
      </c>
      <c r="AE171" s="54">
        <v>0</v>
      </c>
      <c r="AF171" s="54">
        <v>0</v>
      </c>
      <c r="AG171" s="54">
        <v>0</v>
      </c>
      <c r="AH171" s="54">
        <v>0</v>
      </c>
      <c r="AI171" s="54">
        <v>0</v>
      </c>
      <c r="AJ171" s="54">
        <v>0</v>
      </c>
      <c r="AK171" s="54">
        <v>0</v>
      </c>
      <c r="AL171" s="54">
        <v>0</v>
      </c>
      <c r="AM171" s="54" t="str">
        <f>I171-J171-K171-L171-M171-N171-O171-P171-Q171-R171-S171-T171-U171-V171-W171-X171-Y171-Z171-AA171-AB171-AC171-AD171-AE171-AF171-AG171+AH171-AI171+AJ171+AK171-AL171</f>
        <v>0</v>
      </c>
      <c r="AN171" s="54"/>
      <c r="AO171" s="27"/>
    </row>
    <row r="172" spans="1:41">
      <c r="A172" s="44">
        <v>144</v>
      </c>
      <c r="B172" s="47" t="s">
        <v>697</v>
      </c>
      <c r="C172" s="48" t="s">
        <v>698</v>
      </c>
      <c r="D172" s="52" t="s">
        <v>73</v>
      </c>
      <c r="E172" s="52" t="s">
        <v>686</v>
      </c>
      <c r="F172" s="55" t="s">
        <v>699</v>
      </c>
      <c r="G172" s="51">
        <v>3</v>
      </c>
      <c r="H172" s="52" t="s">
        <v>700</v>
      </c>
      <c r="I172" s="54">
        <v>749000</v>
      </c>
      <c r="J172" s="54">
        <v>0</v>
      </c>
      <c r="K172" s="54">
        <v>22000</v>
      </c>
      <c r="L172" s="54">
        <v>0</v>
      </c>
      <c r="M172" s="54">
        <v>0</v>
      </c>
      <c r="N172" s="54">
        <v>0</v>
      </c>
      <c r="O172" s="54">
        <v>0</v>
      </c>
      <c r="P172" s="54">
        <v>0</v>
      </c>
      <c r="Q172" s="54">
        <v>0</v>
      </c>
      <c r="R172" s="54">
        <v>0</v>
      </c>
      <c r="S172" s="54">
        <v>0</v>
      </c>
      <c r="T172" s="54">
        <v>0</v>
      </c>
      <c r="U172" s="54">
        <v>2263</v>
      </c>
      <c r="V172" s="54">
        <v>0</v>
      </c>
      <c r="W172" s="54">
        <v>0</v>
      </c>
      <c r="X172" s="54">
        <v>0</v>
      </c>
      <c r="Y172" s="54">
        <v>0</v>
      </c>
      <c r="Z172" s="54">
        <v>0</v>
      </c>
      <c r="AA172" s="54">
        <v>0</v>
      </c>
      <c r="AB172" s="54">
        <v>0</v>
      </c>
      <c r="AC172" s="54">
        <v>0</v>
      </c>
      <c r="AD172" s="54">
        <v>0</v>
      </c>
      <c r="AE172" s="54">
        <v>0</v>
      </c>
      <c r="AF172" s="54">
        <v>0</v>
      </c>
      <c r="AG172" s="54">
        <v>0</v>
      </c>
      <c r="AH172" s="54">
        <v>0</v>
      </c>
      <c r="AI172" s="54">
        <v>0</v>
      </c>
      <c r="AJ172" s="54">
        <v>0</v>
      </c>
      <c r="AK172" s="54">
        <v>0</v>
      </c>
      <c r="AL172" s="54">
        <v>0</v>
      </c>
      <c r="AM172" s="54" t="str">
        <f>I172-J172-K172-L172-M172-N172-O172-P172-Q172-R172-S172-T172-U172-V172-W172-X172-Y172-Z172-AA172-AB172-AC172-AD172-AE172-AF172-AG172+AH172-AI172+AJ172+AK172-AL172</f>
        <v>0</v>
      </c>
      <c r="AN172" s="54"/>
      <c r="AO172" s="27"/>
    </row>
    <row r="173" spans="1:41">
      <c r="A173" s="44">
        <v>145</v>
      </c>
      <c r="B173" s="47" t="s">
        <v>701</v>
      </c>
      <c r="C173" s="48" t="s">
        <v>702</v>
      </c>
      <c r="D173" s="52" t="s">
        <v>73</v>
      </c>
      <c r="E173" s="52" t="s">
        <v>686</v>
      </c>
      <c r="F173" s="55" t="s">
        <v>703</v>
      </c>
      <c r="G173" s="51">
        <v>4</v>
      </c>
      <c r="H173" s="52" t="s">
        <v>704</v>
      </c>
      <c r="I173" s="54">
        <v>475000</v>
      </c>
      <c r="J173" s="54">
        <v>0</v>
      </c>
      <c r="K173" s="54">
        <v>25000</v>
      </c>
      <c r="L173" s="54">
        <v>0</v>
      </c>
      <c r="M173" s="54">
        <v>0</v>
      </c>
      <c r="N173" s="54">
        <v>0</v>
      </c>
      <c r="O173" s="54">
        <v>0</v>
      </c>
      <c r="P173" s="54">
        <v>0</v>
      </c>
      <c r="Q173" s="54">
        <v>0</v>
      </c>
      <c r="R173" s="54">
        <v>0</v>
      </c>
      <c r="S173" s="54">
        <v>0</v>
      </c>
      <c r="T173" s="54">
        <v>0</v>
      </c>
      <c r="U173" s="54">
        <v>1587</v>
      </c>
      <c r="V173" s="54">
        <v>0</v>
      </c>
      <c r="W173" s="54">
        <v>0</v>
      </c>
      <c r="X173" s="54">
        <v>0</v>
      </c>
      <c r="Y173" s="54">
        <v>0</v>
      </c>
      <c r="Z173" s="54">
        <v>0</v>
      </c>
      <c r="AA173" s="54">
        <v>0</v>
      </c>
      <c r="AB173" s="54">
        <v>0</v>
      </c>
      <c r="AC173" s="54">
        <v>0</v>
      </c>
      <c r="AD173" s="54">
        <v>0</v>
      </c>
      <c r="AE173" s="54">
        <v>0</v>
      </c>
      <c r="AF173" s="54">
        <v>0</v>
      </c>
      <c r="AG173" s="54">
        <v>0</v>
      </c>
      <c r="AH173" s="54">
        <v>0</v>
      </c>
      <c r="AI173" s="54">
        <v>0</v>
      </c>
      <c r="AJ173" s="54">
        <v>0</v>
      </c>
      <c r="AK173" s="54">
        <v>0</v>
      </c>
      <c r="AL173" s="54">
        <v>0</v>
      </c>
      <c r="AM173" s="54" t="str">
        <f>I173-J173-K173-L173-M173-N173-O173-P173-Q173-R173-S173-T173-U173-V173-W173-X173-Y173-Z173-AA173-AB173-AC173-AD173-AE173-AF173-AG173+AH173-AI173+AJ173+AK173-AL173</f>
        <v>0</v>
      </c>
      <c r="AN173" s="54"/>
      <c r="AO173" s="27"/>
    </row>
    <row r="174" spans="1:41">
      <c r="A174" s="44">
        <v>146</v>
      </c>
      <c r="B174" s="47" t="s">
        <v>705</v>
      </c>
      <c r="C174" s="48" t="s">
        <v>706</v>
      </c>
      <c r="D174" s="52" t="s">
        <v>73</v>
      </c>
      <c r="E174" s="52" t="s">
        <v>686</v>
      </c>
      <c r="F174" s="55" t="s">
        <v>707</v>
      </c>
      <c r="G174" s="51">
        <v>2</v>
      </c>
      <c r="H174" s="52" t="s">
        <v>708</v>
      </c>
      <c r="I174" s="54">
        <v>349000</v>
      </c>
      <c r="J174" s="54">
        <v>0</v>
      </c>
      <c r="K174" s="54">
        <v>22000</v>
      </c>
      <c r="L174" s="54">
        <v>0</v>
      </c>
      <c r="M174" s="54">
        <v>0</v>
      </c>
      <c r="N174" s="54">
        <v>0</v>
      </c>
      <c r="O174" s="54">
        <v>0</v>
      </c>
      <c r="P174" s="54">
        <v>0</v>
      </c>
      <c r="Q174" s="54">
        <v>0</v>
      </c>
      <c r="R174" s="54">
        <v>0</v>
      </c>
      <c r="S174" s="54">
        <v>0</v>
      </c>
      <c r="T174" s="54">
        <v>0</v>
      </c>
      <c r="U174" s="54">
        <v>2263</v>
      </c>
      <c r="V174" s="54">
        <v>0</v>
      </c>
      <c r="W174" s="54">
        <v>0</v>
      </c>
      <c r="X174" s="54">
        <v>0</v>
      </c>
      <c r="Y174" s="54">
        <v>0</v>
      </c>
      <c r="Z174" s="54">
        <v>0</v>
      </c>
      <c r="AA174" s="54">
        <v>0</v>
      </c>
      <c r="AB174" s="54">
        <v>0</v>
      </c>
      <c r="AC174" s="54">
        <v>0</v>
      </c>
      <c r="AD174" s="54">
        <v>0</v>
      </c>
      <c r="AE174" s="54">
        <v>0</v>
      </c>
      <c r="AF174" s="54">
        <v>0</v>
      </c>
      <c r="AG174" s="54">
        <v>0</v>
      </c>
      <c r="AH174" s="54">
        <v>0</v>
      </c>
      <c r="AI174" s="54">
        <v>0</v>
      </c>
      <c r="AJ174" s="54">
        <v>0</v>
      </c>
      <c r="AK174" s="54">
        <v>0</v>
      </c>
      <c r="AL174" s="54">
        <v>0</v>
      </c>
      <c r="AM174" s="54" t="str">
        <f>I174-J174-K174-L174-M174-N174-O174-P174-Q174-R174-S174-T174-U174-V174-W174-X174-Y174-Z174-AA174-AB174-AC174-AD174-AE174-AF174-AG174+AH174-AI174+AJ174+AK174-AL174</f>
        <v>0</v>
      </c>
      <c r="AN174" s="54"/>
      <c r="AO174" s="27"/>
    </row>
    <row r="175" spans="1:41">
      <c r="A175" s="44">
        <v>147</v>
      </c>
      <c r="B175" s="47" t="s">
        <v>709</v>
      </c>
      <c r="C175" s="48" t="s">
        <v>710</v>
      </c>
      <c r="D175" s="52" t="s">
        <v>62</v>
      </c>
      <c r="E175" s="52" t="s">
        <v>711</v>
      </c>
      <c r="F175" s="55" t="s">
        <v>712</v>
      </c>
      <c r="G175" s="51">
        <v>6</v>
      </c>
      <c r="H175" s="52" t="s">
        <v>713</v>
      </c>
      <c r="I175" s="54">
        <v>0</v>
      </c>
      <c r="J175" s="54">
        <v>0</v>
      </c>
      <c r="K175" s="54">
        <v>31000</v>
      </c>
      <c r="L175" s="54">
        <v>0</v>
      </c>
      <c r="M175" s="54">
        <v>0</v>
      </c>
      <c r="N175" s="54">
        <v>0</v>
      </c>
      <c r="O175" s="54">
        <v>0</v>
      </c>
      <c r="P175" s="54">
        <v>0</v>
      </c>
      <c r="Q175" s="54">
        <v>0</v>
      </c>
      <c r="R175" s="54">
        <v>0</v>
      </c>
      <c r="S175" s="54">
        <v>0</v>
      </c>
      <c r="T175" s="54">
        <v>0</v>
      </c>
      <c r="U175" s="54">
        <v>3189</v>
      </c>
      <c r="V175" s="54">
        <v>0</v>
      </c>
      <c r="W175" s="54">
        <v>0</v>
      </c>
      <c r="X175" s="54">
        <v>0</v>
      </c>
      <c r="Y175" s="54">
        <v>5000</v>
      </c>
      <c r="Z175" s="54">
        <v>0</v>
      </c>
      <c r="AA175" s="54">
        <v>0</v>
      </c>
      <c r="AB175" s="54">
        <v>0</v>
      </c>
      <c r="AC175" s="54">
        <v>0</v>
      </c>
      <c r="AD175" s="54">
        <v>0</v>
      </c>
      <c r="AE175" s="54">
        <v>0</v>
      </c>
      <c r="AF175" s="54">
        <v>0</v>
      </c>
      <c r="AG175" s="54">
        <v>0</v>
      </c>
      <c r="AH175" s="54">
        <v>0</v>
      </c>
      <c r="AI175" s="54">
        <v>0</v>
      </c>
      <c r="AJ175" s="54">
        <v>0</v>
      </c>
      <c r="AK175" s="54">
        <v>0</v>
      </c>
      <c r="AL175" s="54">
        <v>0</v>
      </c>
      <c r="AM175" s="54" t="str">
        <f>I175-J175-K175-L175-M175-N175-O175-P175-Q175-R175-S175-T175-U175-V175-W175-X175-Y175-Z175-AA175-AB175-AC175-AD175-AE175-AF175-AG175+AH175-AI175+AJ175+AK175-AL175</f>
        <v>0</v>
      </c>
      <c r="AN175" s="54"/>
      <c r="AO175" s="27"/>
    </row>
    <row r="176" spans="1:41">
      <c r="A176" s="44">
        <v>148</v>
      </c>
      <c r="B176" s="47" t="s">
        <v>714</v>
      </c>
      <c r="C176" s="48" t="s">
        <v>715</v>
      </c>
      <c r="D176" s="52" t="s">
        <v>62</v>
      </c>
      <c r="E176" s="52" t="s">
        <v>711</v>
      </c>
      <c r="F176" s="55" t="s">
        <v>716</v>
      </c>
      <c r="G176" s="51">
        <v>2</v>
      </c>
      <c r="H176" s="52" t="s">
        <v>717</v>
      </c>
      <c r="I176" s="54">
        <v>0</v>
      </c>
      <c r="J176" s="54">
        <v>0</v>
      </c>
      <c r="K176" s="54">
        <v>22000</v>
      </c>
      <c r="L176" s="54">
        <v>0</v>
      </c>
      <c r="M176" s="54">
        <v>0</v>
      </c>
      <c r="N176" s="54">
        <v>0</v>
      </c>
      <c r="O176" s="54">
        <v>0</v>
      </c>
      <c r="P176" s="54">
        <v>0</v>
      </c>
      <c r="Q176" s="54">
        <v>0</v>
      </c>
      <c r="R176" s="54">
        <v>0</v>
      </c>
      <c r="S176" s="54">
        <v>0</v>
      </c>
      <c r="T176" s="54">
        <v>0</v>
      </c>
      <c r="U176" s="54">
        <v>2263</v>
      </c>
      <c r="V176" s="54">
        <v>0</v>
      </c>
      <c r="W176" s="54">
        <v>0</v>
      </c>
      <c r="X176" s="54">
        <v>0</v>
      </c>
      <c r="Y176" s="54">
        <v>5000</v>
      </c>
      <c r="Z176" s="54">
        <v>0</v>
      </c>
      <c r="AA176" s="54">
        <v>0</v>
      </c>
      <c r="AB176" s="54">
        <v>0</v>
      </c>
      <c r="AC176" s="54">
        <v>0</v>
      </c>
      <c r="AD176" s="54">
        <v>0</v>
      </c>
      <c r="AE176" s="54">
        <v>0</v>
      </c>
      <c r="AF176" s="54">
        <v>0</v>
      </c>
      <c r="AG176" s="54">
        <v>0</v>
      </c>
      <c r="AH176" s="54">
        <v>0</v>
      </c>
      <c r="AI176" s="54">
        <v>0</v>
      </c>
      <c r="AJ176" s="54">
        <v>0</v>
      </c>
      <c r="AK176" s="54">
        <v>0</v>
      </c>
      <c r="AL176" s="54">
        <v>0</v>
      </c>
      <c r="AM176" s="54" t="str">
        <f>I176-J176-K176-L176-M176-N176-O176-P176-Q176-R176-S176-T176-U176-V176-W176-X176-Y176-Z176-AA176-AB176-AC176-AD176-AE176-AF176-AG176+AH176-AI176+AJ176+AK176-AL176</f>
        <v>0</v>
      </c>
      <c r="AN176" s="54"/>
      <c r="AO176" s="27"/>
    </row>
    <row r="177" spans="1:41">
      <c r="A177" s="44">
        <v>149</v>
      </c>
      <c r="B177" s="47" t="s">
        <v>718</v>
      </c>
      <c r="C177" s="48" t="s">
        <v>719</v>
      </c>
      <c r="D177" s="52" t="s">
        <v>62</v>
      </c>
      <c r="E177" s="52" t="s">
        <v>711</v>
      </c>
      <c r="F177" s="55" t="s">
        <v>720</v>
      </c>
      <c r="G177" s="51">
        <v>5.8</v>
      </c>
      <c r="H177" s="52" t="s">
        <v>721</v>
      </c>
      <c r="I177" s="54">
        <v>0</v>
      </c>
      <c r="J177" s="54">
        <v>0</v>
      </c>
      <c r="K177" s="54">
        <v>31000</v>
      </c>
      <c r="L177" s="54">
        <v>0</v>
      </c>
      <c r="M177" s="54">
        <v>0</v>
      </c>
      <c r="N177" s="54">
        <v>0</v>
      </c>
      <c r="O177" s="54">
        <v>0</v>
      </c>
      <c r="P177" s="54">
        <v>0</v>
      </c>
      <c r="Q177" s="54">
        <v>0</v>
      </c>
      <c r="R177" s="54">
        <v>0</v>
      </c>
      <c r="S177" s="54">
        <v>0</v>
      </c>
      <c r="T177" s="54">
        <v>0</v>
      </c>
      <c r="U177" s="54">
        <v>1968</v>
      </c>
      <c r="V177" s="54">
        <v>0</v>
      </c>
      <c r="W177" s="54">
        <v>0</v>
      </c>
      <c r="X177" s="54">
        <v>0</v>
      </c>
      <c r="Y177" s="54">
        <v>5000</v>
      </c>
      <c r="Z177" s="54">
        <v>0</v>
      </c>
      <c r="AA177" s="54">
        <v>0</v>
      </c>
      <c r="AB177" s="54">
        <v>0</v>
      </c>
      <c r="AC177" s="54">
        <v>0</v>
      </c>
      <c r="AD177" s="54">
        <v>0</v>
      </c>
      <c r="AE177" s="54">
        <v>0</v>
      </c>
      <c r="AF177" s="54">
        <v>0</v>
      </c>
      <c r="AG177" s="54">
        <v>0</v>
      </c>
      <c r="AH177" s="54">
        <v>0</v>
      </c>
      <c r="AI177" s="54">
        <v>0</v>
      </c>
      <c r="AJ177" s="54">
        <v>0</v>
      </c>
      <c r="AK177" s="54">
        <v>0</v>
      </c>
      <c r="AL177" s="54">
        <v>0</v>
      </c>
      <c r="AM177" s="54" t="str">
        <f>I177-J177-K177-L177-M177-N177-O177-P177-Q177-R177-S177-T177-U177-V177-W177-X177-Y177-Z177-AA177-AB177-AC177-AD177-AE177-AF177-AG177+AH177-AI177+AJ177+AK177-AL177</f>
        <v>0</v>
      </c>
      <c r="AN177" s="54"/>
      <c r="AO177" s="27"/>
    </row>
    <row r="178" spans="1:41">
      <c r="A178" s="44">
        <v>150</v>
      </c>
      <c r="B178" s="47" t="s">
        <v>722</v>
      </c>
      <c r="C178" s="48" t="s">
        <v>723</v>
      </c>
      <c r="D178" s="52" t="s">
        <v>73</v>
      </c>
      <c r="E178" s="52" t="s">
        <v>711</v>
      </c>
      <c r="F178" s="55" t="s">
        <v>724</v>
      </c>
      <c r="G178" s="51">
        <v>13</v>
      </c>
      <c r="H178" s="52" t="s">
        <v>725</v>
      </c>
      <c r="I178" s="54">
        <v>2241000</v>
      </c>
      <c r="J178" s="54">
        <v>0</v>
      </c>
      <c r="K178" s="54">
        <v>52000</v>
      </c>
      <c r="L178" s="54">
        <v>0</v>
      </c>
      <c r="M178" s="54">
        <v>0</v>
      </c>
      <c r="N178" s="54">
        <v>0</v>
      </c>
      <c r="O178" s="54">
        <v>0</v>
      </c>
      <c r="P178" s="54">
        <v>0</v>
      </c>
      <c r="Q178" s="54">
        <v>0</v>
      </c>
      <c r="R178" s="54">
        <v>0</v>
      </c>
      <c r="S178" s="54">
        <v>0</v>
      </c>
      <c r="T178" s="54">
        <v>0</v>
      </c>
      <c r="U178" s="54">
        <v>5350</v>
      </c>
      <c r="V178" s="54">
        <v>0</v>
      </c>
      <c r="W178" s="54">
        <v>0</v>
      </c>
      <c r="X178" s="54">
        <v>0</v>
      </c>
      <c r="Y178" s="54">
        <v>0</v>
      </c>
      <c r="Z178" s="54">
        <v>0</v>
      </c>
      <c r="AA178" s="54">
        <v>0</v>
      </c>
      <c r="AB178" s="54">
        <v>0</v>
      </c>
      <c r="AC178" s="54">
        <v>0</v>
      </c>
      <c r="AD178" s="54">
        <v>0</v>
      </c>
      <c r="AE178" s="54">
        <v>0</v>
      </c>
      <c r="AF178" s="54">
        <v>0</v>
      </c>
      <c r="AG178" s="54">
        <v>0</v>
      </c>
      <c r="AH178" s="54">
        <v>0</v>
      </c>
      <c r="AI178" s="54">
        <v>0</v>
      </c>
      <c r="AJ178" s="54">
        <v>0</v>
      </c>
      <c r="AK178" s="54">
        <v>0</v>
      </c>
      <c r="AL178" s="54">
        <v>0</v>
      </c>
      <c r="AM178" s="54" t="str">
        <f>I178-J178-K178-L178-M178-N178-O178-P178-Q178-R178-S178-T178-U178-V178-W178-X178-Y178-Z178-AA178-AB178-AC178-AD178-AE178-AF178-AG178+AH178-AI178+AJ178+AK178-AL178</f>
        <v>0</v>
      </c>
      <c r="AN178" s="54"/>
      <c r="AO178" s="27"/>
    </row>
    <row r="179" spans="1:41">
      <c r="A179" s="44">
        <v>151</v>
      </c>
      <c r="B179" s="47" t="s">
        <v>726</v>
      </c>
      <c r="C179" s="48" t="s">
        <v>727</v>
      </c>
      <c r="D179" s="52" t="s">
        <v>62</v>
      </c>
      <c r="E179" s="52" t="s">
        <v>728</v>
      </c>
      <c r="F179" s="55" t="s">
        <v>729</v>
      </c>
      <c r="G179" s="51">
        <v>8</v>
      </c>
      <c r="H179" s="52" t="s">
        <v>730</v>
      </c>
      <c r="I179" s="54">
        <v>0</v>
      </c>
      <c r="J179" s="54">
        <v>0</v>
      </c>
      <c r="K179" s="54">
        <v>39000</v>
      </c>
      <c r="L179" s="54">
        <v>0</v>
      </c>
      <c r="M179" s="54">
        <v>0</v>
      </c>
      <c r="N179" s="54">
        <v>0</v>
      </c>
      <c r="O179" s="54">
        <v>0</v>
      </c>
      <c r="P179" s="54">
        <v>0</v>
      </c>
      <c r="Q179" s="54">
        <v>0</v>
      </c>
      <c r="R179" s="54">
        <v>0</v>
      </c>
      <c r="S179" s="54">
        <v>0</v>
      </c>
      <c r="T179" s="54">
        <v>0</v>
      </c>
      <c r="U179" s="54">
        <v>4013</v>
      </c>
      <c r="V179" s="54">
        <v>0</v>
      </c>
      <c r="W179" s="54">
        <v>0</v>
      </c>
      <c r="X179" s="54">
        <v>0</v>
      </c>
      <c r="Y179" s="54">
        <v>5000</v>
      </c>
      <c r="Z179" s="54">
        <v>0</v>
      </c>
      <c r="AA179" s="54">
        <v>0</v>
      </c>
      <c r="AB179" s="54">
        <v>0</v>
      </c>
      <c r="AC179" s="54">
        <v>0</v>
      </c>
      <c r="AD179" s="54">
        <v>0</v>
      </c>
      <c r="AE179" s="54">
        <v>0</v>
      </c>
      <c r="AF179" s="54">
        <v>0</v>
      </c>
      <c r="AG179" s="54">
        <v>0</v>
      </c>
      <c r="AH179" s="54">
        <v>0</v>
      </c>
      <c r="AI179" s="54">
        <v>0</v>
      </c>
      <c r="AJ179" s="54">
        <v>0</v>
      </c>
      <c r="AK179" s="54">
        <v>0</v>
      </c>
      <c r="AL179" s="54">
        <v>0</v>
      </c>
      <c r="AM179" s="54" t="str">
        <f>I179-J179-K179-L179-M179-N179-O179-P179-Q179-R179-S179-T179-U179-V179-W179-X179-Y179-Z179-AA179-AB179-AC179-AD179-AE179-AF179-AG179+AH179-AI179+AJ179+AK179-AL179</f>
        <v>0</v>
      </c>
      <c r="AN179" s="54"/>
      <c r="AO179" s="27"/>
    </row>
    <row r="180" spans="1:41">
      <c r="A180" s="44">
        <v>152</v>
      </c>
      <c r="B180" s="47" t="s">
        <v>731</v>
      </c>
      <c r="C180" s="48" t="s">
        <v>732</v>
      </c>
      <c r="D180" s="52" t="s">
        <v>73</v>
      </c>
      <c r="E180" s="52" t="s">
        <v>728</v>
      </c>
      <c r="F180" s="55" t="s">
        <v>733</v>
      </c>
      <c r="G180" s="51">
        <v>6</v>
      </c>
      <c r="H180" s="52" t="s">
        <v>734</v>
      </c>
      <c r="I180" s="54">
        <v>514000</v>
      </c>
      <c r="J180" s="54">
        <v>0</v>
      </c>
      <c r="K180" s="54">
        <v>31000</v>
      </c>
      <c r="L180" s="54">
        <v>0</v>
      </c>
      <c r="M180" s="54">
        <v>0</v>
      </c>
      <c r="N180" s="54">
        <v>0</v>
      </c>
      <c r="O180" s="54">
        <v>0</v>
      </c>
      <c r="P180" s="54">
        <v>0</v>
      </c>
      <c r="Q180" s="54">
        <v>0</v>
      </c>
      <c r="R180" s="54">
        <v>0</v>
      </c>
      <c r="S180" s="54">
        <v>0</v>
      </c>
      <c r="T180" s="54">
        <v>0</v>
      </c>
      <c r="U180" s="54">
        <v>3189</v>
      </c>
      <c r="V180" s="54">
        <v>0</v>
      </c>
      <c r="W180" s="54">
        <v>0</v>
      </c>
      <c r="X180" s="54">
        <v>0</v>
      </c>
      <c r="Y180" s="54">
        <v>0</v>
      </c>
      <c r="Z180" s="54">
        <v>0</v>
      </c>
      <c r="AA180" s="54">
        <v>0</v>
      </c>
      <c r="AB180" s="54">
        <v>0</v>
      </c>
      <c r="AC180" s="54">
        <v>0</v>
      </c>
      <c r="AD180" s="54">
        <v>0</v>
      </c>
      <c r="AE180" s="54">
        <v>0</v>
      </c>
      <c r="AF180" s="54">
        <v>0</v>
      </c>
      <c r="AG180" s="54">
        <v>0</v>
      </c>
      <c r="AH180" s="54">
        <v>0</v>
      </c>
      <c r="AI180" s="54">
        <v>0</v>
      </c>
      <c r="AJ180" s="54">
        <v>0</v>
      </c>
      <c r="AK180" s="54">
        <v>0</v>
      </c>
      <c r="AL180" s="54">
        <v>0</v>
      </c>
      <c r="AM180" s="54" t="str">
        <f>I180-J180-K180-L180-M180-N180-O180-P180-Q180-R180-S180-T180-U180-V180-W180-X180-Y180-Z180-AA180-AB180-AC180-AD180-AE180-AF180-AG180+AH180-AI180+AJ180+AK180-AL180</f>
        <v>0</v>
      </c>
      <c r="AN180" s="54"/>
      <c r="AO180" s="27"/>
    </row>
    <row r="181" spans="1:41">
      <c r="A181" s="44">
        <v>153</v>
      </c>
      <c r="B181" s="47" t="s">
        <v>735</v>
      </c>
      <c r="C181" s="48" t="s">
        <v>736</v>
      </c>
      <c r="D181" s="52" t="s">
        <v>73</v>
      </c>
      <c r="E181" s="52" t="s">
        <v>728</v>
      </c>
      <c r="F181" s="55" t="s">
        <v>737</v>
      </c>
      <c r="G181" s="51">
        <v>3</v>
      </c>
      <c r="H181" s="52" t="s">
        <v>738</v>
      </c>
      <c r="I181" s="54">
        <v>525000</v>
      </c>
      <c r="J181" s="54">
        <v>0</v>
      </c>
      <c r="K181" s="54">
        <v>22000</v>
      </c>
      <c r="L181" s="54">
        <v>0</v>
      </c>
      <c r="M181" s="54">
        <v>0</v>
      </c>
      <c r="N181" s="54">
        <v>0</v>
      </c>
      <c r="O181" s="54">
        <v>0</v>
      </c>
      <c r="P181" s="54">
        <v>0</v>
      </c>
      <c r="Q181" s="54">
        <v>0</v>
      </c>
      <c r="R181" s="54">
        <v>0</v>
      </c>
      <c r="S181" s="54">
        <v>0</v>
      </c>
      <c r="T181" s="54">
        <v>0</v>
      </c>
      <c r="U181" s="54">
        <v>2263</v>
      </c>
      <c r="V181" s="54">
        <v>0</v>
      </c>
      <c r="W181" s="54">
        <v>0</v>
      </c>
      <c r="X181" s="54">
        <v>0</v>
      </c>
      <c r="Y181" s="54">
        <v>0</v>
      </c>
      <c r="Z181" s="54">
        <v>0</v>
      </c>
      <c r="AA181" s="54">
        <v>0</v>
      </c>
      <c r="AB181" s="54">
        <v>0</v>
      </c>
      <c r="AC181" s="54">
        <v>0</v>
      </c>
      <c r="AD181" s="54">
        <v>0</v>
      </c>
      <c r="AE181" s="54">
        <v>0</v>
      </c>
      <c r="AF181" s="54">
        <v>0</v>
      </c>
      <c r="AG181" s="54">
        <v>0</v>
      </c>
      <c r="AH181" s="54">
        <v>0</v>
      </c>
      <c r="AI181" s="54">
        <v>0</v>
      </c>
      <c r="AJ181" s="54">
        <v>0</v>
      </c>
      <c r="AK181" s="54">
        <v>0</v>
      </c>
      <c r="AL181" s="54">
        <v>0</v>
      </c>
      <c r="AM181" s="54" t="str">
        <f>I181-J181-K181-L181-M181-N181-O181-P181-Q181-R181-S181-T181-U181-V181-W181-X181-Y181-Z181-AA181-AB181-AC181-AD181-AE181-AF181-AG181+AH181-AI181+AJ181+AK181-AL181</f>
        <v>0</v>
      </c>
      <c r="AN181" s="54"/>
      <c r="AO181" s="27"/>
    </row>
    <row r="182" spans="1:41">
      <c r="A182" s="44">
        <v>154</v>
      </c>
      <c r="B182" s="47" t="s">
        <v>739</v>
      </c>
      <c r="C182" s="48" t="s">
        <v>740</v>
      </c>
      <c r="D182" s="52" t="s">
        <v>62</v>
      </c>
      <c r="E182" s="52" t="s">
        <v>741</v>
      </c>
      <c r="F182" s="55" t="s">
        <v>742</v>
      </c>
      <c r="G182" s="51">
        <v>2</v>
      </c>
      <c r="H182" s="52" t="s">
        <v>743</v>
      </c>
      <c r="I182" s="54">
        <v>0</v>
      </c>
      <c r="J182" s="54">
        <v>0</v>
      </c>
      <c r="K182" s="54">
        <v>23000</v>
      </c>
      <c r="L182" s="54">
        <v>0</v>
      </c>
      <c r="M182" s="54">
        <v>0</v>
      </c>
      <c r="N182" s="54">
        <v>0</v>
      </c>
      <c r="O182" s="54">
        <v>0</v>
      </c>
      <c r="P182" s="54">
        <v>0</v>
      </c>
      <c r="Q182" s="54">
        <v>0</v>
      </c>
      <c r="R182" s="54">
        <v>0</v>
      </c>
      <c r="S182" s="54">
        <v>0</v>
      </c>
      <c r="T182" s="54">
        <v>0</v>
      </c>
      <c r="U182" s="54">
        <v>2366</v>
      </c>
      <c r="V182" s="54">
        <v>0</v>
      </c>
      <c r="W182" s="54">
        <v>0</v>
      </c>
      <c r="X182" s="54">
        <v>0</v>
      </c>
      <c r="Y182" s="54">
        <v>5000</v>
      </c>
      <c r="Z182" s="54">
        <v>0</v>
      </c>
      <c r="AA182" s="54">
        <v>0</v>
      </c>
      <c r="AB182" s="54">
        <v>0</v>
      </c>
      <c r="AC182" s="54">
        <v>0</v>
      </c>
      <c r="AD182" s="54">
        <v>0</v>
      </c>
      <c r="AE182" s="54">
        <v>0</v>
      </c>
      <c r="AF182" s="54">
        <v>0</v>
      </c>
      <c r="AG182" s="54">
        <v>0</v>
      </c>
      <c r="AH182" s="54">
        <v>0</v>
      </c>
      <c r="AI182" s="54">
        <v>0</v>
      </c>
      <c r="AJ182" s="54">
        <v>0</v>
      </c>
      <c r="AK182" s="54">
        <v>0</v>
      </c>
      <c r="AL182" s="54">
        <v>0</v>
      </c>
      <c r="AM182" s="54" t="str">
        <f>I182-J182-K182-L182-M182-N182-O182-P182-Q182-R182-S182-T182-U182-V182-W182-X182-Y182-Z182-AA182-AB182-AC182-AD182-AE182-AF182-AG182+AH182-AI182+AJ182+AK182-AL182</f>
        <v>0</v>
      </c>
      <c r="AN182" s="54"/>
      <c r="AO182" s="27"/>
    </row>
    <row r="183" spans="1:41">
      <c r="A183" s="44">
        <v>155</v>
      </c>
      <c r="B183" s="47" t="s">
        <v>744</v>
      </c>
      <c r="C183" s="48" t="s">
        <v>745</v>
      </c>
      <c r="D183" s="52" t="s">
        <v>62</v>
      </c>
      <c r="E183" s="52" t="s">
        <v>741</v>
      </c>
      <c r="F183" s="55" t="s">
        <v>746</v>
      </c>
      <c r="G183" s="51">
        <v>2</v>
      </c>
      <c r="H183" s="52" t="s">
        <v>747</v>
      </c>
      <c r="I183" s="54">
        <v>0</v>
      </c>
      <c r="J183" s="54">
        <v>0</v>
      </c>
      <c r="K183" s="54">
        <v>23000</v>
      </c>
      <c r="L183" s="54">
        <v>0</v>
      </c>
      <c r="M183" s="54">
        <v>0</v>
      </c>
      <c r="N183" s="54">
        <v>0</v>
      </c>
      <c r="O183" s="54">
        <v>0</v>
      </c>
      <c r="P183" s="54">
        <v>0</v>
      </c>
      <c r="Q183" s="54">
        <v>0</v>
      </c>
      <c r="R183" s="54">
        <v>0</v>
      </c>
      <c r="S183" s="54">
        <v>0</v>
      </c>
      <c r="T183" s="54">
        <v>0</v>
      </c>
      <c r="U183" s="54">
        <v>2366</v>
      </c>
      <c r="V183" s="54">
        <v>0</v>
      </c>
      <c r="W183" s="54">
        <v>0</v>
      </c>
      <c r="X183" s="54">
        <v>0</v>
      </c>
      <c r="Y183" s="54">
        <v>5000</v>
      </c>
      <c r="Z183" s="54">
        <v>0</v>
      </c>
      <c r="AA183" s="54">
        <v>0</v>
      </c>
      <c r="AB183" s="54">
        <v>0</v>
      </c>
      <c r="AC183" s="54">
        <v>0</v>
      </c>
      <c r="AD183" s="54">
        <v>0</v>
      </c>
      <c r="AE183" s="54">
        <v>0</v>
      </c>
      <c r="AF183" s="54">
        <v>0</v>
      </c>
      <c r="AG183" s="54">
        <v>0</v>
      </c>
      <c r="AH183" s="54">
        <v>0</v>
      </c>
      <c r="AI183" s="54">
        <v>0</v>
      </c>
      <c r="AJ183" s="54">
        <v>0</v>
      </c>
      <c r="AK183" s="54">
        <v>0</v>
      </c>
      <c r="AL183" s="54">
        <v>0</v>
      </c>
      <c r="AM183" s="54" t="str">
        <f>I183-J183-K183-L183-M183-N183-O183-P183-Q183-R183-S183-T183-U183-V183-W183-X183-Y183-Z183-AA183-AB183-AC183-AD183-AE183-AF183-AG183+AH183-AI183+AJ183+AK183-AL183</f>
        <v>0</v>
      </c>
      <c r="AN183" s="54"/>
      <c r="AO183" s="27"/>
    </row>
    <row r="184" spans="1:41">
      <c r="A184" s="44">
        <v>156</v>
      </c>
      <c r="B184" s="47" t="s">
        <v>748</v>
      </c>
      <c r="C184" s="48" t="s">
        <v>749</v>
      </c>
      <c r="D184" s="52" t="s">
        <v>73</v>
      </c>
      <c r="E184" s="52" t="s">
        <v>741</v>
      </c>
      <c r="F184" s="55" t="s">
        <v>750</v>
      </c>
      <c r="G184" s="51">
        <v>2</v>
      </c>
      <c r="H184" s="52" t="s">
        <v>751</v>
      </c>
      <c r="I184" s="54">
        <v>279000</v>
      </c>
      <c r="J184" s="54">
        <v>0</v>
      </c>
      <c r="K184" s="54">
        <v>22000</v>
      </c>
      <c r="L184" s="54">
        <v>0</v>
      </c>
      <c r="M184" s="54">
        <v>0</v>
      </c>
      <c r="N184" s="54">
        <v>0</v>
      </c>
      <c r="O184" s="54">
        <v>0</v>
      </c>
      <c r="P184" s="54">
        <v>0</v>
      </c>
      <c r="Q184" s="54">
        <v>0</v>
      </c>
      <c r="R184" s="54">
        <v>0</v>
      </c>
      <c r="S184" s="54">
        <v>0</v>
      </c>
      <c r="T184" s="54">
        <v>0</v>
      </c>
      <c r="U184" s="54">
        <v>2263</v>
      </c>
      <c r="V184" s="54">
        <v>0</v>
      </c>
      <c r="W184" s="54">
        <v>0</v>
      </c>
      <c r="X184" s="54">
        <v>0</v>
      </c>
      <c r="Y184" s="54">
        <v>0</v>
      </c>
      <c r="Z184" s="54">
        <v>0</v>
      </c>
      <c r="AA184" s="54">
        <v>0</v>
      </c>
      <c r="AB184" s="54">
        <v>0</v>
      </c>
      <c r="AC184" s="54">
        <v>0</v>
      </c>
      <c r="AD184" s="54">
        <v>0</v>
      </c>
      <c r="AE184" s="54">
        <v>0</v>
      </c>
      <c r="AF184" s="54">
        <v>0</v>
      </c>
      <c r="AG184" s="54">
        <v>0</v>
      </c>
      <c r="AH184" s="54">
        <v>0</v>
      </c>
      <c r="AI184" s="54">
        <v>0</v>
      </c>
      <c r="AJ184" s="54">
        <v>0</v>
      </c>
      <c r="AK184" s="54">
        <v>0</v>
      </c>
      <c r="AL184" s="54">
        <v>0</v>
      </c>
      <c r="AM184" s="54" t="str">
        <f>I184-J184-K184-L184-M184-N184-O184-P184-Q184-R184-S184-T184-U184-V184-W184-X184-Y184-Z184-AA184-AB184-AC184-AD184-AE184-AF184-AG184+AH184-AI184+AJ184+AK184-AL184</f>
        <v>0</v>
      </c>
      <c r="AN184" s="54"/>
      <c r="AO184" s="27"/>
    </row>
    <row r="185" spans="1:41">
      <c r="A185" s="44">
        <v>157</v>
      </c>
      <c r="B185" s="47" t="s">
        <v>752</v>
      </c>
      <c r="C185" s="48" t="s">
        <v>753</v>
      </c>
      <c r="D185" s="52" t="s">
        <v>73</v>
      </c>
      <c r="E185" s="52" t="s">
        <v>754</v>
      </c>
      <c r="F185" s="55" t="s">
        <v>755</v>
      </c>
      <c r="G185" s="51">
        <v>2</v>
      </c>
      <c r="H185" s="52" t="s">
        <v>756</v>
      </c>
      <c r="I185" s="54">
        <v>0</v>
      </c>
      <c r="J185" s="54">
        <v>0</v>
      </c>
      <c r="K185" s="54">
        <v>22000</v>
      </c>
      <c r="L185" s="54">
        <v>0</v>
      </c>
      <c r="M185" s="54">
        <v>0</v>
      </c>
      <c r="N185" s="54">
        <v>0</v>
      </c>
      <c r="O185" s="54">
        <v>0</v>
      </c>
      <c r="P185" s="54">
        <v>0</v>
      </c>
      <c r="Q185" s="54">
        <v>0</v>
      </c>
      <c r="R185" s="54">
        <v>0</v>
      </c>
      <c r="S185" s="54">
        <v>0</v>
      </c>
      <c r="T185" s="54">
        <v>0</v>
      </c>
      <c r="U185" s="54">
        <v>2263</v>
      </c>
      <c r="V185" s="54">
        <v>0</v>
      </c>
      <c r="W185" s="54">
        <v>0</v>
      </c>
      <c r="X185" s="54">
        <v>0</v>
      </c>
      <c r="Y185" s="54">
        <v>0</v>
      </c>
      <c r="Z185" s="54">
        <v>0</v>
      </c>
      <c r="AA185" s="54">
        <v>0</v>
      </c>
      <c r="AB185" s="54">
        <v>0</v>
      </c>
      <c r="AC185" s="54">
        <v>0</v>
      </c>
      <c r="AD185" s="54">
        <v>0</v>
      </c>
      <c r="AE185" s="54">
        <v>0</v>
      </c>
      <c r="AF185" s="54">
        <v>0</v>
      </c>
      <c r="AG185" s="54">
        <v>0</v>
      </c>
      <c r="AH185" s="54">
        <v>0</v>
      </c>
      <c r="AI185" s="54">
        <v>0</v>
      </c>
      <c r="AJ185" s="54">
        <v>0</v>
      </c>
      <c r="AK185" s="54">
        <v>0</v>
      </c>
      <c r="AL185" s="54">
        <v>0</v>
      </c>
      <c r="AM185" s="54" t="str">
        <f>I185-J185-K185-L185-M185-N185-O185-P185-Q185-R185-S185-T185-U185-V185-W185-X185-Y185-Z185-AA185-AB185-AC185-AD185-AE185-AF185-AG185+AH185-AI185+AJ185+AK185-AL185</f>
        <v>0</v>
      </c>
      <c r="AN185" s="54"/>
      <c r="AO185" s="27"/>
    </row>
    <row r="186" spans="1:41">
      <c r="A186" s="44">
        <v>158</v>
      </c>
      <c r="B186" s="47" t="s">
        <v>757</v>
      </c>
      <c r="C186" s="48" t="s">
        <v>758</v>
      </c>
      <c r="D186" s="52" t="s">
        <v>73</v>
      </c>
      <c r="E186" s="52" t="s">
        <v>754</v>
      </c>
      <c r="F186" s="55" t="s">
        <v>759</v>
      </c>
      <c r="G186" s="51">
        <v>2</v>
      </c>
      <c r="H186" s="52" t="s">
        <v>760</v>
      </c>
      <c r="I186" s="54">
        <v>0</v>
      </c>
      <c r="J186" s="54">
        <v>0</v>
      </c>
      <c r="K186" s="54">
        <v>22000</v>
      </c>
      <c r="L186" s="54">
        <v>0</v>
      </c>
      <c r="M186" s="54">
        <v>0</v>
      </c>
      <c r="N186" s="54">
        <v>0</v>
      </c>
      <c r="O186" s="54">
        <v>0</v>
      </c>
      <c r="P186" s="54">
        <v>0</v>
      </c>
      <c r="Q186" s="54">
        <v>0</v>
      </c>
      <c r="R186" s="54">
        <v>0</v>
      </c>
      <c r="S186" s="54">
        <v>0</v>
      </c>
      <c r="T186" s="54">
        <v>0</v>
      </c>
      <c r="U186" s="54">
        <v>2263</v>
      </c>
      <c r="V186" s="54">
        <v>0</v>
      </c>
      <c r="W186" s="54">
        <v>0</v>
      </c>
      <c r="X186" s="54">
        <v>0</v>
      </c>
      <c r="Y186" s="54">
        <v>11000</v>
      </c>
      <c r="Z186" s="54">
        <v>0</v>
      </c>
      <c r="AA186" s="54">
        <v>0</v>
      </c>
      <c r="AB186" s="54">
        <v>0</v>
      </c>
      <c r="AC186" s="54">
        <v>0</v>
      </c>
      <c r="AD186" s="54">
        <v>0</v>
      </c>
      <c r="AE186" s="54">
        <v>0</v>
      </c>
      <c r="AF186" s="54">
        <v>0</v>
      </c>
      <c r="AG186" s="54">
        <v>0</v>
      </c>
      <c r="AH186" s="54">
        <v>0</v>
      </c>
      <c r="AI186" s="54">
        <v>0</v>
      </c>
      <c r="AJ186" s="54">
        <v>0</v>
      </c>
      <c r="AK186" s="54">
        <v>0</v>
      </c>
      <c r="AL186" s="54">
        <v>0</v>
      </c>
      <c r="AM186" s="54" t="str">
        <f>I186-J186-K186-L186-M186-N186-O186-P186-Q186-R186-S186-T186-U186-V186-W186-X186-Y186-Z186-AA186-AB186-AC186-AD186-AE186-AF186-AG186+AH186-AI186+AJ186+AK186-AL186</f>
        <v>0</v>
      </c>
      <c r="AN186" s="54"/>
      <c r="AO186" s="27"/>
    </row>
    <row r="187" spans="1:41">
      <c r="A187" s="44">
        <v>159</v>
      </c>
      <c r="B187" s="47" t="s">
        <v>761</v>
      </c>
      <c r="C187" s="48" t="s">
        <v>762</v>
      </c>
      <c r="D187" s="52" t="s">
        <v>62</v>
      </c>
      <c r="E187" s="52" t="s">
        <v>763</v>
      </c>
      <c r="F187" s="55" t="s">
        <v>764</v>
      </c>
      <c r="G187" s="51">
        <v>2</v>
      </c>
      <c r="H187" s="52" t="s">
        <v>765</v>
      </c>
      <c r="I187" s="54">
        <v>0</v>
      </c>
      <c r="J187" s="54">
        <v>0</v>
      </c>
      <c r="K187" s="54">
        <v>22000</v>
      </c>
      <c r="L187" s="54">
        <v>0</v>
      </c>
      <c r="M187" s="54">
        <v>0</v>
      </c>
      <c r="N187" s="54">
        <v>0</v>
      </c>
      <c r="O187" s="54">
        <v>0</v>
      </c>
      <c r="P187" s="54">
        <v>0</v>
      </c>
      <c r="Q187" s="54">
        <v>0</v>
      </c>
      <c r="R187" s="54">
        <v>0</v>
      </c>
      <c r="S187" s="54">
        <v>0</v>
      </c>
      <c r="T187" s="54">
        <v>0</v>
      </c>
      <c r="U187" s="54">
        <v>2263</v>
      </c>
      <c r="V187" s="54">
        <v>0</v>
      </c>
      <c r="W187" s="54">
        <v>0</v>
      </c>
      <c r="X187" s="54">
        <v>0</v>
      </c>
      <c r="Y187" s="54">
        <v>5000</v>
      </c>
      <c r="Z187" s="54">
        <v>0</v>
      </c>
      <c r="AA187" s="54">
        <v>0</v>
      </c>
      <c r="AB187" s="54">
        <v>0</v>
      </c>
      <c r="AC187" s="54">
        <v>0</v>
      </c>
      <c r="AD187" s="54">
        <v>0</v>
      </c>
      <c r="AE187" s="54">
        <v>0</v>
      </c>
      <c r="AF187" s="54">
        <v>0</v>
      </c>
      <c r="AG187" s="54">
        <v>0</v>
      </c>
      <c r="AH187" s="54">
        <v>0</v>
      </c>
      <c r="AI187" s="54">
        <v>0</v>
      </c>
      <c r="AJ187" s="54">
        <v>0</v>
      </c>
      <c r="AK187" s="54">
        <v>0</v>
      </c>
      <c r="AL187" s="54">
        <v>0</v>
      </c>
      <c r="AM187" s="54" t="str">
        <f>I187-J187-K187-L187-M187-N187-O187-P187-Q187-R187-S187-T187-U187-V187-W187-X187-Y187-Z187-AA187-AB187-AC187-AD187-AE187-AF187-AG187+AH187-AI187+AJ187+AK187-AL187</f>
        <v>0</v>
      </c>
      <c r="AN187" s="54"/>
      <c r="AO187" s="27"/>
    </row>
    <row r="188" spans="1:41">
      <c r="A188" s="44">
        <v>160</v>
      </c>
      <c r="B188" s="47" t="s">
        <v>766</v>
      </c>
      <c r="C188" s="48" t="s">
        <v>767</v>
      </c>
      <c r="D188" s="52" t="s">
        <v>73</v>
      </c>
      <c r="E188" s="52" t="s">
        <v>763</v>
      </c>
      <c r="F188" s="55" t="s">
        <v>768</v>
      </c>
      <c r="G188" s="51">
        <v>2</v>
      </c>
      <c r="H188" s="52" t="s">
        <v>769</v>
      </c>
      <c r="I188" s="54">
        <v>0</v>
      </c>
      <c r="J188" s="54">
        <v>0</v>
      </c>
      <c r="K188" s="54">
        <v>22000</v>
      </c>
      <c r="L188" s="54">
        <v>0</v>
      </c>
      <c r="M188" s="54">
        <v>0</v>
      </c>
      <c r="N188" s="54">
        <v>0</v>
      </c>
      <c r="O188" s="54">
        <v>0</v>
      </c>
      <c r="P188" s="54">
        <v>0</v>
      </c>
      <c r="Q188" s="54">
        <v>0</v>
      </c>
      <c r="R188" s="54">
        <v>0</v>
      </c>
      <c r="S188" s="54">
        <v>0</v>
      </c>
      <c r="T188" s="54">
        <v>0</v>
      </c>
      <c r="U188" s="54">
        <v>2263</v>
      </c>
      <c r="V188" s="54">
        <v>0</v>
      </c>
      <c r="W188" s="54">
        <v>0</v>
      </c>
      <c r="X188" s="54">
        <v>0</v>
      </c>
      <c r="Y188" s="54">
        <v>0</v>
      </c>
      <c r="Z188" s="54">
        <v>0</v>
      </c>
      <c r="AA188" s="54">
        <v>0</v>
      </c>
      <c r="AB188" s="54">
        <v>0</v>
      </c>
      <c r="AC188" s="54">
        <v>0</v>
      </c>
      <c r="AD188" s="54">
        <v>0</v>
      </c>
      <c r="AE188" s="54">
        <v>0</v>
      </c>
      <c r="AF188" s="54">
        <v>0</v>
      </c>
      <c r="AG188" s="54">
        <v>0</v>
      </c>
      <c r="AH188" s="54">
        <v>0</v>
      </c>
      <c r="AI188" s="54">
        <v>0</v>
      </c>
      <c r="AJ188" s="54">
        <v>0</v>
      </c>
      <c r="AK188" s="54">
        <v>0</v>
      </c>
      <c r="AL188" s="54">
        <v>0</v>
      </c>
      <c r="AM188" s="54" t="str">
        <f>I188-J188-K188-L188-M188-N188-O188-P188-Q188-R188-S188-T188-U188-V188-W188-X188-Y188-Z188-AA188-AB188-AC188-AD188-AE188-AF188-AG188+AH188-AI188+AJ188+AK188-AL188</f>
        <v>0</v>
      </c>
      <c r="AN188" s="54"/>
      <c r="AO188" s="27"/>
    </row>
    <row r="189" spans="1:41">
      <c r="A189" s="44">
        <v>161</v>
      </c>
      <c r="B189" s="47" t="s">
        <v>770</v>
      </c>
      <c r="C189" s="48" t="s">
        <v>771</v>
      </c>
      <c r="D189" s="52" t="s">
        <v>73</v>
      </c>
      <c r="E189" s="52" t="s">
        <v>763</v>
      </c>
      <c r="F189" s="55" t="s">
        <v>772</v>
      </c>
      <c r="G189" s="51">
        <v>3</v>
      </c>
      <c r="H189" s="52" t="s">
        <v>773</v>
      </c>
      <c r="I189" s="54">
        <v>0</v>
      </c>
      <c r="J189" s="54">
        <v>0</v>
      </c>
      <c r="K189" s="54">
        <v>22000</v>
      </c>
      <c r="L189" s="54">
        <v>0</v>
      </c>
      <c r="M189" s="54">
        <v>0</v>
      </c>
      <c r="N189" s="54">
        <v>0</v>
      </c>
      <c r="O189" s="54">
        <v>0</v>
      </c>
      <c r="P189" s="54">
        <v>0</v>
      </c>
      <c r="Q189" s="54">
        <v>0</v>
      </c>
      <c r="R189" s="54">
        <v>0</v>
      </c>
      <c r="S189" s="54">
        <v>0</v>
      </c>
      <c r="T189" s="54">
        <v>0</v>
      </c>
      <c r="U189" s="54">
        <v>2263</v>
      </c>
      <c r="V189" s="54">
        <v>0</v>
      </c>
      <c r="W189" s="54">
        <v>0</v>
      </c>
      <c r="X189" s="54">
        <v>0</v>
      </c>
      <c r="Y189" s="54">
        <v>11000</v>
      </c>
      <c r="Z189" s="54">
        <v>0</v>
      </c>
      <c r="AA189" s="54">
        <v>0</v>
      </c>
      <c r="AB189" s="54">
        <v>0</v>
      </c>
      <c r="AC189" s="54">
        <v>0</v>
      </c>
      <c r="AD189" s="54">
        <v>0</v>
      </c>
      <c r="AE189" s="54">
        <v>0</v>
      </c>
      <c r="AF189" s="54">
        <v>0</v>
      </c>
      <c r="AG189" s="54">
        <v>0</v>
      </c>
      <c r="AH189" s="54">
        <v>0</v>
      </c>
      <c r="AI189" s="54">
        <v>0</v>
      </c>
      <c r="AJ189" s="54">
        <v>0</v>
      </c>
      <c r="AK189" s="54">
        <v>0</v>
      </c>
      <c r="AL189" s="54">
        <v>0</v>
      </c>
      <c r="AM189" s="54" t="str">
        <f>I189-J189-K189-L189-M189-N189-O189-P189-Q189-R189-S189-T189-U189-V189-W189-X189-Y189-Z189-AA189-AB189-AC189-AD189-AE189-AF189-AG189+AH189-AI189+AJ189+AK189-AL189</f>
        <v>0</v>
      </c>
      <c r="AN189" s="54"/>
      <c r="AO189" s="27"/>
    </row>
    <row r="190" spans="1:41">
      <c r="A190" s="44">
        <v>162</v>
      </c>
      <c r="B190" s="47" t="s">
        <v>774</v>
      </c>
      <c r="C190" s="48" t="s">
        <v>775</v>
      </c>
      <c r="D190" s="52" t="s">
        <v>73</v>
      </c>
      <c r="E190" s="52" t="s">
        <v>763</v>
      </c>
      <c r="F190" s="55" t="s">
        <v>776</v>
      </c>
      <c r="G190" s="51">
        <v>2</v>
      </c>
      <c r="H190" s="52" t="s">
        <v>777</v>
      </c>
      <c r="I190" s="54">
        <v>0</v>
      </c>
      <c r="J190" s="54">
        <v>0</v>
      </c>
      <c r="K190" s="54">
        <v>22000</v>
      </c>
      <c r="L190" s="54">
        <v>0</v>
      </c>
      <c r="M190" s="54">
        <v>0</v>
      </c>
      <c r="N190" s="54">
        <v>0</v>
      </c>
      <c r="O190" s="54">
        <v>0</v>
      </c>
      <c r="P190" s="54">
        <v>0</v>
      </c>
      <c r="Q190" s="54">
        <v>0</v>
      </c>
      <c r="R190" s="54">
        <v>0</v>
      </c>
      <c r="S190" s="54">
        <v>0</v>
      </c>
      <c r="T190" s="54">
        <v>0</v>
      </c>
      <c r="U190" s="54">
        <v>2263</v>
      </c>
      <c r="V190" s="54">
        <v>0</v>
      </c>
      <c r="W190" s="54">
        <v>0</v>
      </c>
      <c r="X190" s="54">
        <v>0</v>
      </c>
      <c r="Y190" s="54">
        <v>11000</v>
      </c>
      <c r="Z190" s="54">
        <v>0</v>
      </c>
      <c r="AA190" s="54">
        <v>0</v>
      </c>
      <c r="AB190" s="54">
        <v>0</v>
      </c>
      <c r="AC190" s="54">
        <v>0</v>
      </c>
      <c r="AD190" s="54">
        <v>0</v>
      </c>
      <c r="AE190" s="54">
        <v>0</v>
      </c>
      <c r="AF190" s="54">
        <v>0</v>
      </c>
      <c r="AG190" s="54">
        <v>0</v>
      </c>
      <c r="AH190" s="54">
        <v>0</v>
      </c>
      <c r="AI190" s="54">
        <v>0</v>
      </c>
      <c r="AJ190" s="54">
        <v>0</v>
      </c>
      <c r="AK190" s="54">
        <v>0</v>
      </c>
      <c r="AL190" s="54">
        <v>0</v>
      </c>
      <c r="AM190" s="54" t="str">
        <f>I190-J190-K190-L190-M190-N190-O190-P190-Q190-R190-S190-T190-U190-V190-W190-X190-Y190-Z190-AA190-AB190-AC190-AD190-AE190-AF190-AG190+AH190-AI190+AJ190+AK190-AL190</f>
        <v>0</v>
      </c>
      <c r="AN190" s="54"/>
      <c r="AO190" s="27"/>
    </row>
    <row r="191" spans="1:41">
      <c r="A191" s="44">
        <v>163</v>
      </c>
      <c r="B191" s="47" t="s">
        <v>778</v>
      </c>
      <c r="C191" s="48" t="s">
        <v>779</v>
      </c>
      <c r="D191" s="52" t="s">
        <v>73</v>
      </c>
      <c r="E191" s="52" t="s">
        <v>780</v>
      </c>
      <c r="F191" s="55" t="s">
        <v>781</v>
      </c>
      <c r="G191" s="51">
        <v>3</v>
      </c>
      <c r="H191" s="52" t="s">
        <v>782</v>
      </c>
      <c r="I191" s="54">
        <v>399000</v>
      </c>
      <c r="J191" s="54">
        <v>0</v>
      </c>
      <c r="K191" s="54">
        <v>22000</v>
      </c>
      <c r="L191" s="54">
        <v>0</v>
      </c>
      <c r="M191" s="54">
        <v>0</v>
      </c>
      <c r="N191" s="54">
        <v>0</v>
      </c>
      <c r="O191" s="54">
        <v>0</v>
      </c>
      <c r="P191" s="54">
        <v>0</v>
      </c>
      <c r="Q191" s="54">
        <v>0</v>
      </c>
      <c r="R191" s="54">
        <v>0</v>
      </c>
      <c r="S191" s="54">
        <v>0</v>
      </c>
      <c r="T191" s="54">
        <v>0</v>
      </c>
      <c r="U191" s="54">
        <v>2263</v>
      </c>
      <c r="V191" s="54">
        <v>0</v>
      </c>
      <c r="W191" s="54">
        <v>0</v>
      </c>
      <c r="X191" s="54">
        <v>0</v>
      </c>
      <c r="Y191" s="54">
        <v>0</v>
      </c>
      <c r="Z191" s="54">
        <v>0</v>
      </c>
      <c r="AA191" s="54">
        <v>0</v>
      </c>
      <c r="AB191" s="54">
        <v>0</v>
      </c>
      <c r="AC191" s="54">
        <v>0</v>
      </c>
      <c r="AD191" s="54">
        <v>0</v>
      </c>
      <c r="AE191" s="54">
        <v>0</v>
      </c>
      <c r="AF191" s="54">
        <v>0</v>
      </c>
      <c r="AG191" s="54">
        <v>0</v>
      </c>
      <c r="AH191" s="54">
        <v>0</v>
      </c>
      <c r="AI191" s="54">
        <v>0</v>
      </c>
      <c r="AJ191" s="54">
        <v>0</v>
      </c>
      <c r="AK191" s="54">
        <v>0</v>
      </c>
      <c r="AL191" s="54">
        <v>0</v>
      </c>
      <c r="AM191" s="54" t="str">
        <f>I191-J191-K191-L191-M191-N191-O191-P191-Q191-R191-S191-T191-U191-V191-W191-X191-Y191-Z191-AA191-AB191-AC191-AD191-AE191-AF191-AG191+AH191-AI191+AJ191+AK191-AL191</f>
        <v>0</v>
      </c>
      <c r="AN191" s="54"/>
      <c r="AO191" s="27"/>
    </row>
    <row r="192" spans="1:41">
      <c r="A192" s="44">
        <v>164</v>
      </c>
      <c r="B192" s="47" t="s">
        <v>783</v>
      </c>
      <c r="C192" s="48" t="s">
        <v>784</v>
      </c>
      <c r="D192" s="52" t="s">
        <v>73</v>
      </c>
      <c r="E192" s="52" t="s">
        <v>785</v>
      </c>
      <c r="F192" s="55" t="s">
        <v>786</v>
      </c>
      <c r="G192" s="51">
        <v>2</v>
      </c>
      <c r="H192" s="52" t="s">
        <v>787</v>
      </c>
      <c r="I192" s="54">
        <v>229000</v>
      </c>
      <c r="J192" s="54">
        <v>0</v>
      </c>
      <c r="K192" s="54">
        <v>22000</v>
      </c>
      <c r="L192" s="54">
        <v>0</v>
      </c>
      <c r="M192" s="54">
        <v>0</v>
      </c>
      <c r="N192" s="54">
        <v>0</v>
      </c>
      <c r="O192" s="54">
        <v>0</v>
      </c>
      <c r="P192" s="54">
        <v>0</v>
      </c>
      <c r="Q192" s="54">
        <v>0</v>
      </c>
      <c r="R192" s="54">
        <v>0</v>
      </c>
      <c r="S192" s="54">
        <v>0</v>
      </c>
      <c r="T192" s="54">
        <v>0</v>
      </c>
      <c r="U192" s="54">
        <v>2263</v>
      </c>
      <c r="V192" s="54">
        <v>0</v>
      </c>
      <c r="W192" s="54">
        <v>0</v>
      </c>
      <c r="X192" s="54">
        <v>0</v>
      </c>
      <c r="Y192" s="54">
        <v>0</v>
      </c>
      <c r="Z192" s="54">
        <v>0</v>
      </c>
      <c r="AA192" s="54">
        <v>0</v>
      </c>
      <c r="AB192" s="54">
        <v>0</v>
      </c>
      <c r="AC192" s="54">
        <v>0</v>
      </c>
      <c r="AD192" s="54">
        <v>0</v>
      </c>
      <c r="AE192" s="54">
        <v>0</v>
      </c>
      <c r="AF192" s="54">
        <v>0</v>
      </c>
      <c r="AG192" s="54">
        <v>0</v>
      </c>
      <c r="AH192" s="54">
        <v>0</v>
      </c>
      <c r="AI192" s="54">
        <v>0</v>
      </c>
      <c r="AJ192" s="54">
        <v>0</v>
      </c>
      <c r="AK192" s="54">
        <v>0</v>
      </c>
      <c r="AL192" s="54">
        <v>0</v>
      </c>
      <c r="AM192" s="54" t="str">
        <f>I192-J192-K192-L192-M192-N192-O192-P192-Q192-R192-S192-T192-U192-V192-W192-X192-Y192-Z192-AA192-AB192-AC192-AD192-AE192-AF192-AG192+AH192-AI192+AJ192+AK192-AL192</f>
        <v>0</v>
      </c>
      <c r="AN192" s="54"/>
      <c r="AO192" s="27"/>
    </row>
    <row r="193" spans="1:41">
      <c r="A193" s="44">
        <v>165</v>
      </c>
      <c r="B193" s="47" t="s">
        <v>788</v>
      </c>
      <c r="C193" s="48" t="s">
        <v>789</v>
      </c>
      <c r="D193" s="52" t="s">
        <v>73</v>
      </c>
      <c r="E193" s="52" t="s">
        <v>785</v>
      </c>
      <c r="F193" s="55" t="s">
        <v>605</v>
      </c>
      <c r="G193" s="51">
        <v>13</v>
      </c>
      <c r="H193" s="52" t="s">
        <v>790</v>
      </c>
      <c r="I193" s="54">
        <v>0</v>
      </c>
      <c r="J193" s="54">
        <v>0</v>
      </c>
      <c r="K193" s="54">
        <v>64000</v>
      </c>
      <c r="L193" s="54">
        <v>0</v>
      </c>
      <c r="M193" s="54">
        <v>0</v>
      </c>
      <c r="N193" s="54">
        <v>0</v>
      </c>
      <c r="O193" s="54">
        <v>0</v>
      </c>
      <c r="P193" s="54">
        <v>0</v>
      </c>
      <c r="Q193" s="54">
        <v>0</v>
      </c>
      <c r="R193" s="54">
        <v>0</v>
      </c>
      <c r="S193" s="54">
        <v>0</v>
      </c>
      <c r="T193" s="54">
        <v>0</v>
      </c>
      <c r="U193" s="54">
        <v>6585</v>
      </c>
      <c r="V193" s="54">
        <v>0</v>
      </c>
      <c r="W193" s="54">
        <v>0</v>
      </c>
      <c r="X193" s="54">
        <v>0</v>
      </c>
      <c r="Y193" s="54">
        <v>0</v>
      </c>
      <c r="Z193" s="54">
        <v>0</v>
      </c>
      <c r="AA193" s="54">
        <v>0</v>
      </c>
      <c r="AB193" s="54">
        <v>0</v>
      </c>
      <c r="AC193" s="54">
        <v>0</v>
      </c>
      <c r="AD193" s="54">
        <v>0</v>
      </c>
      <c r="AE193" s="54">
        <v>0</v>
      </c>
      <c r="AF193" s="54">
        <v>0</v>
      </c>
      <c r="AG193" s="54">
        <v>0</v>
      </c>
      <c r="AH193" s="54">
        <v>0</v>
      </c>
      <c r="AI193" s="54">
        <v>0</v>
      </c>
      <c r="AJ193" s="54">
        <v>0</v>
      </c>
      <c r="AK193" s="54">
        <v>0</v>
      </c>
      <c r="AL193" s="54">
        <v>0</v>
      </c>
      <c r="AM193" s="54" t="str">
        <f>I193-J193-K193-L193-M193-N193-O193-P193-Q193-R193-S193-T193-U193-V193-W193-X193-Y193-Z193-AA193-AB193-AC193-AD193-AE193-AF193-AG193+AH193-AI193+AJ193+AK193-AL193</f>
        <v>0</v>
      </c>
      <c r="AN193" s="54"/>
      <c r="AO193" s="27"/>
    </row>
    <row r="194" spans="1:41">
      <c r="A194" s="44">
        <v>166</v>
      </c>
      <c r="B194" s="47" t="s">
        <v>791</v>
      </c>
      <c r="C194" s="48" t="s">
        <v>792</v>
      </c>
      <c r="D194" s="52" t="s">
        <v>73</v>
      </c>
      <c r="E194" s="52" t="s">
        <v>785</v>
      </c>
      <c r="F194" s="55" t="s">
        <v>759</v>
      </c>
      <c r="G194" s="51">
        <v>5</v>
      </c>
      <c r="H194" s="52" t="s">
        <v>793</v>
      </c>
      <c r="I194" s="54">
        <v>1330000</v>
      </c>
      <c r="J194" s="54">
        <v>0</v>
      </c>
      <c r="K194" s="54">
        <v>27000</v>
      </c>
      <c r="L194" s="54">
        <v>0</v>
      </c>
      <c r="M194" s="54">
        <v>0</v>
      </c>
      <c r="N194" s="54">
        <v>0</v>
      </c>
      <c r="O194" s="54">
        <v>0</v>
      </c>
      <c r="P194" s="54">
        <v>0</v>
      </c>
      <c r="Q194" s="54">
        <v>0</v>
      </c>
      <c r="R194" s="54">
        <v>0</v>
      </c>
      <c r="S194" s="54">
        <v>0</v>
      </c>
      <c r="T194" s="54">
        <v>0</v>
      </c>
      <c r="U194" s="54">
        <v>2778</v>
      </c>
      <c r="V194" s="54">
        <v>0</v>
      </c>
      <c r="W194" s="54">
        <v>0</v>
      </c>
      <c r="X194" s="54">
        <v>0</v>
      </c>
      <c r="Y194" s="54">
        <v>0</v>
      </c>
      <c r="Z194" s="54">
        <v>0</v>
      </c>
      <c r="AA194" s="54">
        <v>0</v>
      </c>
      <c r="AB194" s="54">
        <v>0</v>
      </c>
      <c r="AC194" s="54">
        <v>0</v>
      </c>
      <c r="AD194" s="54">
        <v>0</v>
      </c>
      <c r="AE194" s="54">
        <v>0</v>
      </c>
      <c r="AF194" s="54">
        <v>0</v>
      </c>
      <c r="AG194" s="54">
        <v>0</v>
      </c>
      <c r="AH194" s="54">
        <v>0</v>
      </c>
      <c r="AI194" s="54">
        <v>0</v>
      </c>
      <c r="AJ194" s="54">
        <v>0</v>
      </c>
      <c r="AK194" s="54">
        <v>0</v>
      </c>
      <c r="AL194" s="54">
        <v>0</v>
      </c>
      <c r="AM194" s="54" t="str">
        <f>I194-J194-K194-L194-M194-N194-O194-P194-Q194-R194-S194-T194-U194-V194-W194-X194-Y194-Z194-AA194-AB194-AC194-AD194-AE194-AF194-AG194+AH194-AI194+AJ194+AK194-AL194</f>
        <v>0</v>
      </c>
      <c r="AN194" s="54"/>
      <c r="AO194" s="27"/>
    </row>
    <row r="195" spans="1:41">
      <c r="A195" s="44">
        <v>167</v>
      </c>
      <c r="B195" s="47" t="s">
        <v>794</v>
      </c>
      <c r="C195" s="48" t="s">
        <v>795</v>
      </c>
      <c r="D195" s="52" t="s">
        <v>62</v>
      </c>
      <c r="E195" s="52" t="s">
        <v>785</v>
      </c>
      <c r="F195" s="55" t="s">
        <v>796</v>
      </c>
      <c r="G195" s="51">
        <v>5</v>
      </c>
      <c r="H195" s="52" t="s">
        <v>797</v>
      </c>
      <c r="I195" s="54">
        <v>0</v>
      </c>
      <c r="J195" s="54">
        <v>0</v>
      </c>
      <c r="K195" s="54">
        <v>27000</v>
      </c>
      <c r="L195" s="54">
        <v>0</v>
      </c>
      <c r="M195" s="54">
        <v>0</v>
      </c>
      <c r="N195" s="54">
        <v>0</v>
      </c>
      <c r="O195" s="54">
        <v>0</v>
      </c>
      <c r="P195" s="54">
        <v>0</v>
      </c>
      <c r="Q195" s="54">
        <v>0</v>
      </c>
      <c r="R195" s="54">
        <v>0</v>
      </c>
      <c r="S195" s="54">
        <v>0</v>
      </c>
      <c r="T195" s="54">
        <v>0</v>
      </c>
      <c r="U195" s="54">
        <v>2778</v>
      </c>
      <c r="V195" s="54">
        <v>0</v>
      </c>
      <c r="W195" s="54">
        <v>0</v>
      </c>
      <c r="X195" s="54">
        <v>0</v>
      </c>
      <c r="Y195" s="54">
        <v>13500</v>
      </c>
      <c r="Z195" s="54">
        <v>0</v>
      </c>
      <c r="AA195" s="54">
        <v>0</v>
      </c>
      <c r="AB195" s="54">
        <v>0</v>
      </c>
      <c r="AC195" s="54">
        <v>0</v>
      </c>
      <c r="AD195" s="54">
        <v>0</v>
      </c>
      <c r="AE195" s="54">
        <v>0</v>
      </c>
      <c r="AF195" s="54">
        <v>0</v>
      </c>
      <c r="AG195" s="54">
        <v>0</v>
      </c>
      <c r="AH195" s="54">
        <v>0</v>
      </c>
      <c r="AI195" s="54">
        <v>0</v>
      </c>
      <c r="AJ195" s="54">
        <v>0</v>
      </c>
      <c r="AK195" s="54">
        <v>0</v>
      </c>
      <c r="AL195" s="54">
        <v>0</v>
      </c>
      <c r="AM195" s="54" t="str">
        <f>I195-J195-K195-L195-M195-N195-O195-P195-Q195-R195-S195-T195-U195-V195-W195-X195-Y195-Z195-AA195-AB195-AC195-AD195-AE195-AF195-AG195+AH195-AI195+AJ195+AK195-AL195</f>
        <v>0</v>
      </c>
      <c r="AN195" s="54"/>
      <c r="AO195" s="27"/>
    </row>
    <row r="196" spans="1:41">
      <c r="A196" s="44">
        <v>168</v>
      </c>
      <c r="B196" s="47" t="s">
        <v>798</v>
      </c>
      <c r="C196" s="48" t="s">
        <v>799</v>
      </c>
      <c r="D196" s="52" t="s">
        <v>73</v>
      </c>
      <c r="E196" s="52" t="s">
        <v>785</v>
      </c>
      <c r="F196" s="55" t="s">
        <v>800</v>
      </c>
      <c r="G196" s="51">
        <v>3</v>
      </c>
      <c r="H196" s="52" t="s">
        <v>801</v>
      </c>
      <c r="I196" s="54">
        <v>999000</v>
      </c>
      <c r="J196" s="54">
        <v>0</v>
      </c>
      <c r="K196" s="54">
        <v>22000</v>
      </c>
      <c r="L196" s="54">
        <v>0</v>
      </c>
      <c r="M196" s="54">
        <v>0</v>
      </c>
      <c r="N196" s="54">
        <v>0</v>
      </c>
      <c r="O196" s="54">
        <v>0</v>
      </c>
      <c r="P196" s="54">
        <v>0</v>
      </c>
      <c r="Q196" s="54">
        <v>0</v>
      </c>
      <c r="R196" s="54">
        <v>0</v>
      </c>
      <c r="S196" s="54">
        <v>0</v>
      </c>
      <c r="T196" s="54">
        <v>0</v>
      </c>
      <c r="U196" s="54">
        <v>2263</v>
      </c>
      <c r="V196" s="54">
        <v>0</v>
      </c>
      <c r="W196" s="54">
        <v>0</v>
      </c>
      <c r="X196" s="54">
        <v>0</v>
      </c>
      <c r="Y196" s="54">
        <v>0</v>
      </c>
      <c r="Z196" s="54">
        <v>0</v>
      </c>
      <c r="AA196" s="54">
        <v>0</v>
      </c>
      <c r="AB196" s="54">
        <v>0</v>
      </c>
      <c r="AC196" s="54">
        <v>0</v>
      </c>
      <c r="AD196" s="54">
        <v>0</v>
      </c>
      <c r="AE196" s="54">
        <v>0</v>
      </c>
      <c r="AF196" s="54">
        <v>0</v>
      </c>
      <c r="AG196" s="54">
        <v>0</v>
      </c>
      <c r="AH196" s="54">
        <v>0</v>
      </c>
      <c r="AI196" s="54">
        <v>0</v>
      </c>
      <c r="AJ196" s="54">
        <v>0</v>
      </c>
      <c r="AK196" s="54">
        <v>0</v>
      </c>
      <c r="AL196" s="54">
        <v>0</v>
      </c>
      <c r="AM196" s="54" t="str">
        <f>I196-J196-K196-L196-M196-N196-O196-P196-Q196-R196-S196-T196-U196-V196-W196-X196-Y196-Z196-AA196-AB196-AC196-AD196-AE196-AF196-AG196+AH196-AI196+AJ196+AK196-AL196</f>
        <v>0</v>
      </c>
      <c r="AN196" s="54"/>
      <c r="AO196" s="27"/>
    </row>
    <row r="197" spans="1:41">
      <c r="A197" s="44">
        <v>169</v>
      </c>
      <c r="B197" s="47" t="s">
        <v>802</v>
      </c>
      <c r="C197" s="48" t="s">
        <v>803</v>
      </c>
      <c r="D197" s="52" t="s">
        <v>73</v>
      </c>
      <c r="E197" s="52" t="s">
        <v>785</v>
      </c>
      <c r="F197" s="55" t="s">
        <v>804</v>
      </c>
      <c r="G197" s="51">
        <v>5</v>
      </c>
      <c r="H197" s="52" t="s">
        <v>805</v>
      </c>
      <c r="I197" s="54">
        <v>794000</v>
      </c>
      <c r="J197" s="54">
        <v>0</v>
      </c>
      <c r="K197" s="54">
        <v>27000</v>
      </c>
      <c r="L197" s="54">
        <v>0</v>
      </c>
      <c r="M197" s="54">
        <v>0</v>
      </c>
      <c r="N197" s="54">
        <v>0</v>
      </c>
      <c r="O197" s="54">
        <v>0</v>
      </c>
      <c r="P197" s="54">
        <v>0</v>
      </c>
      <c r="Q197" s="54">
        <v>0</v>
      </c>
      <c r="R197" s="54">
        <v>0</v>
      </c>
      <c r="S197" s="54">
        <v>0</v>
      </c>
      <c r="T197" s="54">
        <v>0</v>
      </c>
      <c r="U197" s="54">
        <v>2778</v>
      </c>
      <c r="V197" s="54">
        <v>0</v>
      </c>
      <c r="W197" s="54">
        <v>0</v>
      </c>
      <c r="X197" s="54">
        <v>0</v>
      </c>
      <c r="Y197" s="54">
        <v>0</v>
      </c>
      <c r="Z197" s="54">
        <v>0</v>
      </c>
      <c r="AA197" s="54">
        <v>0</v>
      </c>
      <c r="AB197" s="54">
        <v>0</v>
      </c>
      <c r="AC197" s="54">
        <v>0</v>
      </c>
      <c r="AD197" s="54">
        <v>0</v>
      </c>
      <c r="AE197" s="54">
        <v>0</v>
      </c>
      <c r="AF197" s="54">
        <v>0</v>
      </c>
      <c r="AG197" s="54">
        <v>0</v>
      </c>
      <c r="AH197" s="54">
        <v>0</v>
      </c>
      <c r="AI197" s="54">
        <v>0</v>
      </c>
      <c r="AJ197" s="54">
        <v>0</v>
      </c>
      <c r="AK197" s="54">
        <v>0</v>
      </c>
      <c r="AL197" s="54">
        <v>0</v>
      </c>
      <c r="AM197" s="54" t="str">
        <f>I197-J197-K197-L197-M197-N197-O197-P197-Q197-R197-S197-T197-U197-V197-W197-X197-Y197-Z197-AA197-AB197-AC197-AD197-AE197-AF197-AG197+AH197-AI197+AJ197+AK197-AL197</f>
        <v>0</v>
      </c>
      <c r="AN197" s="54"/>
      <c r="AO197" s="27"/>
    </row>
    <row r="198" spans="1:41">
      <c r="A198" s="44">
        <v>170</v>
      </c>
      <c r="B198" s="47" t="s">
        <v>806</v>
      </c>
      <c r="C198" s="48" t="s">
        <v>807</v>
      </c>
      <c r="D198" s="52" t="s">
        <v>73</v>
      </c>
      <c r="E198" s="52" t="s">
        <v>785</v>
      </c>
      <c r="F198" s="55" t="s">
        <v>808</v>
      </c>
      <c r="G198" s="51">
        <v>2</v>
      </c>
      <c r="H198" s="52" t="s">
        <v>809</v>
      </c>
      <c r="I198" s="54">
        <v>255000</v>
      </c>
      <c r="J198" s="54">
        <v>0</v>
      </c>
      <c r="K198" s="54">
        <v>22000</v>
      </c>
      <c r="L198" s="54">
        <v>0</v>
      </c>
      <c r="M198" s="54">
        <v>0</v>
      </c>
      <c r="N198" s="54">
        <v>0</v>
      </c>
      <c r="O198" s="54">
        <v>0</v>
      </c>
      <c r="P198" s="54">
        <v>0</v>
      </c>
      <c r="Q198" s="54">
        <v>0</v>
      </c>
      <c r="R198" s="54">
        <v>0</v>
      </c>
      <c r="S198" s="54">
        <v>0</v>
      </c>
      <c r="T198" s="54">
        <v>0</v>
      </c>
      <c r="U198" s="54">
        <v>2263</v>
      </c>
      <c r="V198" s="54">
        <v>0</v>
      </c>
      <c r="W198" s="54">
        <v>0</v>
      </c>
      <c r="X198" s="54">
        <v>0</v>
      </c>
      <c r="Y198" s="54">
        <v>0</v>
      </c>
      <c r="Z198" s="54">
        <v>0</v>
      </c>
      <c r="AA198" s="54">
        <v>0</v>
      </c>
      <c r="AB198" s="54">
        <v>0</v>
      </c>
      <c r="AC198" s="54">
        <v>0</v>
      </c>
      <c r="AD198" s="54">
        <v>0</v>
      </c>
      <c r="AE198" s="54">
        <v>0</v>
      </c>
      <c r="AF198" s="54">
        <v>0</v>
      </c>
      <c r="AG198" s="54">
        <v>0</v>
      </c>
      <c r="AH198" s="54">
        <v>0</v>
      </c>
      <c r="AI198" s="54">
        <v>0</v>
      </c>
      <c r="AJ198" s="54">
        <v>0</v>
      </c>
      <c r="AK198" s="54">
        <v>0</v>
      </c>
      <c r="AL198" s="54">
        <v>0</v>
      </c>
      <c r="AM198" s="54" t="str">
        <f>I198-J198-K198-L198-M198-N198-O198-P198-Q198-R198-S198-T198-U198-V198-W198-X198-Y198-Z198-AA198-AB198-AC198-AD198-AE198-AF198-AG198+AH198-AI198+AJ198+AK198-AL198</f>
        <v>0</v>
      </c>
      <c r="AN198" s="54"/>
      <c r="AO198" s="27"/>
    </row>
    <row r="199" spans="1:41">
      <c r="A199" s="44">
        <v>171</v>
      </c>
      <c r="B199" s="47" t="s">
        <v>810</v>
      </c>
      <c r="C199" s="48" t="s">
        <v>811</v>
      </c>
      <c r="D199" s="52" t="s">
        <v>73</v>
      </c>
      <c r="E199" s="52" t="s">
        <v>785</v>
      </c>
      <c r="F199" s="55" t="s">
        <v>812</v>
      </c>
      <c r="G199" s="51">
        <v>2</v>
      </c>
      <c r="H199" s="52" t="s">
        <v>813</v>
      </c>
      <c r="I199" s="54">
        <v>251100</v>
      </c>
      <c r="J199" s="54">
        <v>0</v>
      </c>
      <c r="K199" s="54">
        <v>22000</v>
      </c>
      <c r="L199" s="54">
        <v>0</v>
      </c>
      <c r="M199" s="54">
        <v>0</v>
      </c>
      <c r="N199" s="54">
        <v>0</v>
      </c>
      <c r="O199" s="54">
        <v>0</v>
      </c>
      <c r="P199" s="54">
        <v>0</v>
      </c>
      <c r="Q199" s="54">
        <v>0</v>
      </c>
      <c r="R199" s="54">
        <v>0</v>
      </c>
      <c r="S199" s="54">
        <v>0</v>
      </c>
      <c r="T199" s="54">
        <v>0</v>
      </c>
      <c r="U199" s="54">
        <v>2263</v>
      </c>
      <c r="V199" s="54">
        <v>0</v>
      </c>
      <c r="W199" s="54">
        <v>0</v>
      </c>
      <c r="X199" s="54">
        <v>0</v>
      </c>
      <c r="Y199" s="54">
        <v>0</v>
      </c>
      <c r="Z199" s="54">
        <v>0</v>
      </c>
      <c r="AA199" s="54">
        <v>0</v>
      </c>
      <c r="AB199" s="54">
        <v>0</v>
      </c>
      <c r="AC199" s="54">
        <v>0</v>
      </c>
      <c r="AD199" s="54">
        <v>0</v>
      </c>
      <c r="AE199" s="54">
        <v>0</v>
      </c>
      <c r="AF199" s="54">
        <v>0</v>
      </c>
      <c r="AG199" s="54">
        <v>0</v>
      </c>
      <c r="AH199" s="54">
        <v>0</v>
      </c>
      <c r="AI199" s="54">
        <v>0</v>
      </c>
      <c r="AJ199" s="54">
        <v>0</v>
      </c>
      <c r="AK199" s="54">
        <v>0</v>
      </c>
      <c r="AL199" s="54">
        <v>0</v>
      </c>
      <c r="AM199" s="54" t="str">
        <f>I199-J199-K199-L199-M199-N199-O199-P199-Q199-R199-S199-T199-U199-V199-W199-X199-Y199-Z199-AA199-AB199-AC199-AD199-AE199-AF199-AG199+AH199-AI199+AJ199+AK199-AL199</f>
        <v>0</v>
      </c>
      <c r="AN199" s="54"/>
      <c r="AO199" s="27"/>
    </row>
    <row r="200" spans="1:41">
      <c r="A200" s="44">
        <v>172</v>
      </c>
      <c r="B200" s="47" t="s">
        <v>814</v>
      </c>
      <c r="C200" s="48" t="s">
        <v>815</v>
      </c>
      <c r="D200" s="52" t="s">
        <v>73</v>
      </c>
      <c r="E200" s="52" t="s">
        <v>785</v>
      </c>
      <c r="F200" s="55" t="s">
        <v>816</v>
      </c>
      <c r="G200" s="51">
        <v>5</v>
      </c>
      <c r="H200" s="52" t="s">
        <v>817</v>
      </c>
      <c r="I200" s="54">
        <v>759000</v>
      </c>
      <c r="J200" s="54">
        <v>0</v>
      </c>
      <c r="K200" s="54">
        <v>27000</v>
      </c>
      <c r="L200" s="54">
        <v>0</v>
      </c>
      <c r="M200" s="54">
        <v>0</v>
      </c>
      <c r="N200" s="54">
        <v>0</v>
      </c>
      <c r="O200" s="54">
        <v>0</v>
      </c>
      <c r="P200" s="54">
        <v>0</v>
      </c>
      <c r="Q200" s="54">
        <v>0</v>
      </c>
      <c r="R200" s="54">
        <v>0</v>
      </c>
      <c r="S200" s="54">
        <v>0</v>
      </c>
      <c r="T200" s="54">
        <v>0</v>
      </c>
      <c r="U200" s="54">
        <v>2778</v>
      </c>
      <c r="V200" s="54">
        <v>0</v>
      </c>
      <c r="W200" s="54">
        <v>0</v>
      </c>
      <c r="X200" s="54">
        <v>0</v>
      </c>
      <c r="Y200" s="54">
        <v>0</v>
      </c>
      <c r="Z200" s="54">
        <v>0</v>
      </c>
      <c r="AA200" s="54">
        <v>0</v>
      </c>
      <c r="AB200" s="54">
        <v>0</v>
      </c>
      <c r="AC200" s="54">
        <v>0</v>
      </c>
      <c r="AD200" s="54">
        <v>0</v>
      </c>
      <c r="AE200" s="54">
        <v>0</v>
      </c>
      <c r="AF200" s="54">
        <v>0</v>
      </c>
      <c r="AG200" s="54">
        <v>0</v>
      </c>
      <c r="AH200" s="54">
        <v>0</v>
      </c>
      <c r="AI200" s="54">
        <v>0</v>
      </c>
      <c r="AJ200" s="54">
        <v>0</v>
      </c>
      <c r="AK200" s="54">
        <v>0</v>
      </c>
      <c r="AL200" s="54">
        <v>0</v>
      </c>
      <c r="AM200" s="54" t="str">
        <f>I200-J200-K200-L200-M200-N200-O200-P200-Q200-R200-S200-T200-U200-V200-W200-X200-Y200-Z200-AA200-AB200-AC200-AD200-AE200-AF200-AG200+AH200-AI200+AJ200+AK200-AL200</f>
        <v>0</v>
      </c>
      <c r="AN200" s="54"/>
      <c r="AO200" s="27"/>
    </row>
    <row r="201" spans="1:41">
      <c r="A201" s="44">
        <v>173</v>
      </c>
      <c r="B201" s="47" t="s">
        <v>818</v>
      </c>
      <c r="C201" s="48" t="s">
        <v>819</v>
      </c>
      <c r="D201" s="52" t="s">
        <v>73</v>
      </c>
      <c r="E201" s="52" t="s">
        <v>785</v>
      </c>
      <c r="F201" s="55" t="s">
        <v>820</v>
      </c>
      <c r="G201" s="51">
        <v>4</v>
      </c>
      <c r="H201" s="52" t="s">
        <v>821</v>
      </c>
      <c r="I201" s="54">
        <v>0</v>
      </c>
      <c r="J201" s="54">
        <v>0</v>
      </c>
      <c r="K201" s="54">
        <v>25000</v>
      </c>
      <c r="L201" s="54">
        <v>0</v>
      </c>
      <c r="M201" s="54">
        <v>0</v>
      </c>
      <c r="N201" s="54">
        <v>0</v>
      </c>
      <c r="O201" s="54">
        <v>0</v>
      </c>
      <c r="P201" s="54">
        <v>0</v>
      </c>
      <c r="Q201" s="54">
        <v>0</v>
      </c>
      <c r="R201" s="54">
        <v>0</v>
      </c>
      <c r="S201" s="54">
        <v>0</v>
      </c>
      <c r="T201" s="54">
        <v>0</v>
      </c>
      <c r="U201" s="54">
        <v>2572</v>
      </c>
      <c r="V201" s="54">
        <v>0</v>
      </c>
      <c r="W201" s="54">
        <v>0</v>
      </c>
      <c r="X201" s="54">
        <v>0</v>
      </c>
      <c r="Y201" s="54">
        <v>0</v>
      </c>
      <c r="Z201" s="54">
        <v>0</v>
      </c>
      <c r="AA201" s="54">
        <v>0</v>
      </c>
      <c r="AB201" s="54">
        <v>0</v>
      </c>
      <c r="AC201" s="54">
        <v>0</v>
      </c>
      <c r="AD201" s="54">
        <v>0</v>
      </c>
      <c r="AE201" s="54">
        <v>0</v>
      </c>
      <c r="AF201" s="54">
        <v>0</v>
      </c>
      <c r="AG201" s="54">
        <v>0</v>
      </c>
      <c r="AH201" s="54">
        <v>0</v>
      </c>
      <c r="AI201" s="54">
        <v>0</v>
      </c>
      <c r="AJ201" s="54">
        <v>0</v>
      </c>
      <c r="AK201" s="54">
        <v>0</v>
      </c>
      <c r="AL201" s="54">
        <v>0</v>
      </c>
      <c r="AM201" s="54" t="str">
        <f>I201-J201-K201-L201-M201-N201-O201-P201-Q201-R201-S201-T201-U201-V201-W201-X201-Y201-Z201-AA201-AB201-AC201-AD201-AE201-AF201-AG201+AH201-AI201+AJ201+AK201-AL201</f>
        <v>0</v>
      </c>
      <c r="AN201" s="54"/>
      <c r="AO201" s="27"/>
    </row>
    <row r="202" spans="1:41">
      <c r="A202" s="44">
        <v>174</v>
      </c>
      <c r="B202" s="47" t="s">
        <v>822</v>
      </c>
      <c r="C202" s="48" t="s">
        <v>823</v>
      </c>
      <c r="D202" s="52" t="s">
        <v>73</v>
      </c>
      <c r="E202" s="52" t="s">
        <v>785</v>
      </c>
      <c r="F202" s="55" t="s">
        <v>824</v>
      </c>
      <c r="G202" s="51">
        <v>5</v>
      </c>
      <c r="H202" s="52" t="s">
        <v>825</v>
      </c>
      <c r="I202" s="54">
        <v>550000</v>
      </c>
      <c r="J202" s="54">
        <v>0</v>
      </c>
      <c r="K202" s="54">
        <v>27000</v>
      </c>
      <c r="L202" s="54">
        <v>0</v>
      </c>
      <c r="M202" s="54">
        <v>0</v>
      </c>
      <c r="N202" s="54">
        <v>0</v>
      </c>
      <c r="O202" s="54">
        <v>0</v>
      </c>
      <c r="P202" s="54">
        <v>0</v>
      </c>
      <c r="Q202" s="54">
        <v>0</v>
      </c>
      <c r="R202" s="54">
        <v>0</v>
      </c>
      <c r="S202" s="54">
        <v>0</v>
      </c>
      <c r="T202" s="54">
        <v>0</v>
      </c>
      <c r="U202" s="54">
        <v>2778</v>
      </c>
      <c r="V202" s="54">
        <v>0</v>
      </c>
      <c r="W202" s="54">
        <v>0</v>
      </c>
      <c r="X202" s="54">
        <v>0</v>
      </c>
      <c r="Y202" s="54">
        <v>0</v>
      </c>
      <c r="Z202" s="54">
        <v>0</v>
      </c>
      <c r="AA202" s="54">
        <v>0</v>
      </c>
      <c r="AB202" s="54">
        <v>0</v>
      </c>
      <c r="AC202" s="54">
        <v>0</v>
      </c>
      <c r="AD202" s="54">
        <v>0</v>
      </c>
      <c r="AE202" s="54">
        <v>0</v>
      </c>
      <c r="AF202" s="54">
        <v>0</v>
      </c>
      <c r="AG202" s="54">
        <v>0</v>
      </c>
      <c r="AH202" s="54">
        <v>0</v>
      </c>
      <c r="AI202" s="54">
        <v>0</v>
      </c>
      <c r="AJ202" s="54">
        <v>0</v>
      </c>
      <c r="AK202" s="54">
        <v>0</v>
      </c>
      <c r="AL202" s="54">
        <v>0</v>
      </c>
      <c r="AM202" s="54" t="str">
        <f>I202-J202-K202-L202-M202-N202-O202-P202-Q202-R202-S202-T202-U202-V202-W202-X202-Y202-Z202-AA202-AB202-AC202-AD202-AE202-AF202-AG202+AH202-AI202+AJ202+AK202-AL202</f>
        <v>0</v>
      </c>
      <c r="AN202" s="54"/>
      <c r="AO202" s="27"/>
    </row>
    <row r="203" spans="1:41">
      <c r="A203" s="44">
        <v>175</v>
      </c>
      <c r="B203" s="47" t="s">
        <v>826</v>
      </c>
      <c r="C203" s="48" t="s">
        <v>827</v>
      </c>
      <c r="D203" s="52" t="s">
        <v>73</v>
      </c>
      <c r="E203" s="52" t="s">
        <v>785</v>
      </c>
      <c r="F203" s="55" t="s">
        <v>828</v>
      </c>
      <c r="G203" s="51">
        <v>4</v>
      </c>
      <c r="H203" s="52" t="s">
        <v>829</v>
      </c>
      <c r="I203" s="54">
        <v>1099000</v>
      </c>
      <c r="J203" s="54">
        <v>0</v>
      </c>
      <c r="K203" s="54">
        <v>25000</v>
      </c>
      <c r="L203" s="54">
        <v>0</v>
      </c>
      <c r="M203" s="54">
        <v>0</v>
      </c>
      <c r="N203" s="54">
        <v>0</v>
      </c>
      <c r="O203" s="54">
        <v>0</v>
      </c>
      <c r="P203" s="54">
        <v>0</v>
      </c>
      <c r="Q203" s="54">
        <v>0</v>
      </c>
      <c r="R203" s="54">
        <v>0</v>
      </c>
      <c r="S203" s="54">
        <v>0</v>
      </c>
      <c r="T203" s="54">
        <v>0</v>
      </c>
      <c r="U203" s="54">
        <v>2572</v>
      </c>
      <c r="V203" s="54">
        <v>0</v>
      </c>
      <c r="W203" s="54">
        <v>0</v>
      </c>
      <c r="X203" s="54">
        <v>0</v>
      </c>
      <c r="Y203" s="54">
        <v>0</v>
      </c>
      <c r="Z203" s="54">
        <v>0</v>
      </c>
      <c r="AA203" s="54">
        <v>0</v>
      </c>
      <c r="AB203" s="54">
        <v>0</v>
      </c>
      <c r="AC203" s="54">
        <v>0</v>
      </c>
      <c r="AD203" s="54">
        <v>0</v>
      </c>
      <c r="AE203" s="54">
        <v>0</v>
      </c>
      <c r="AF203" s="54">
        <v>0</v>
      </c>
      <c r="AG203" s="54">
        <v>0</v>
      </c>
      <c r="AH203" s="54">
        <v>0</v>
      </c>
      <c r="AI203" s="54">
        <v>0</v>
      </c>
      <c r="AJ203" s="54">
        <v>0</v>
      </c>
      <c r="AK203" s="54">
        <v>0</v>
      </c>
      <c r="AL203" s="54">
        <v>0</v>
      </c>
      <c r="AM203" s="54" t="str">
        <f>I203-J203-K203-L203-M203-N203-O203-P203-Q203-R203-S203-T203-U203-V203-W203-X203-Y203-Z203-AA203-AB203-AC203-AD203-AE203-AF203-AG203+AH203-AI203+AJ203+AK203-AL203</f>
        <v>0</v>
      </c>
      <c r="AN203" s="54"/>
      <c r="AO203" s="27"/>
    </row>
    <row r="204" spans="1:41">
      <c r="A204" s="44">
        <v>176</v>
      </c>
      <c r="B204" s="47" t="s">
        <v>830</v>
      </c>
      <c r="C204" s="48" t="s">
        <v>831</v>
      </c>
      <c r="D204" s="52" t="s">
        <v>73</v>
      </c>
      <c r="E204" s="52" t="s">
        <v>785</v>
      </c>
      <c r="F204" s="55" t="s">
        <v>832</v>
      </c>
      <c r="G204" s="51">
        <v>2</v>
      </c>
      <c r="H204" s="52" t="s">
        <v>833</v>
      </c>
      <c r="I204" s="54">
        <v>197100</v>
      </c>
      <c r="J204" s="54">
        <v>0</v>
      </c>
      <c r="K204" s="54">
        <v>22000</v>
      </c>
      <c r="L204" s="54">
        <v>0</v>
      </c>
      <c r="M204" s="54">
        <v>0</v>
      </c>
      <c r="N204" s="54">
        <v>0</v>
      </c>
      <c r="O204" s="54">
        <v>0</v>
      </c>
      <c r="P204" s="54">
        <v>0</v>
      </c>
      <c r="Q204" s="54">
        <v>0</v>
      </c>
      <c r="R204" s="54">
        <v>0</v>
      </c>
      <c r="S204" s="54">
        <v>0</v>
      </c>
      <c r="T204" s="54">
        <v>0</v>
      </c>
      <c r="U204" s="54">
        <v>2263</v>
      </c>
      <c r="V204" s="54">
        <v>0</v>
      </c>
      <c r="W204" s="54">
        <v>0</v>
      </c>
      <c r="X204" s="54">
        <v>0</v>
      </c>
      <c r="Y204" s="54">
        <v>0</v>
      </c>
      <c r="Z204" s="54">
        <v>0</v>
      </c>
      <c r="AA204" s="54">
        <v>0</v>
      </c>
      <c r="AB204" s="54">
        <v>0</v>
      </c>
      <c r="AC204" s="54">
        <v>0</v>
      </c>
      <c r="AD204" s="54">
        <v>0</v>
      </c>
      <c r="AE204" s="54">
        <v>0</v>
      </c>
      <c r="AF204" s="54">
        <v>0</v>
      </c>
      <c r="AG204" s="54">
        <v>0</v>
      </c>
      <c r="AH204" s="54">
        <v>0</v>
      </c>
      <c r="AI204" s="54">
        <v>0</v>
      </c>
      <c r="AJ204" s="54">
        <v>0</v>
      </c>
      <c r="AK204" s="54">
        <v>0</v>
      </c>
      <c r="AL204" s="54">
        <v>0</v>
      </c>
      <c r="AM204" s="54" t="str">
        <f>I204-J204-K204-L204-M204-N204-O204-P204-Q204-R204-S204-T204-U204-V204-W204-X204-Y204-Z204-AA204-AB204-AC204-AD204-AE204-AF204-AG204+AH204-AI204+AJ204+AK204-AL204</f>
        <v>0</v>
      </c>
      <c r="AN204" s="54"/>
      <c r="AO204" s="27"/>
    </row>
    <row r="205" spans="1:41">
      <c r="A205" s="44">
        <v>177</v>
      </c>
      <c r="B205" s="47" t="s">
        <v>834</v>
      </c>
      <c r="C205" s="48" t="s">
        <v>835</v>
      </c>
      <c r="D205" s="52" t="s">
        <v>73</v>
      </c>
      <c r="E205" s="52" t="s">
        <v>785</v>
      </c>
      <c r="F205" s="55" t="s">
        <v>836</v>
      </c>
      <c r="G205" s="51">
        <v>5</v>
      </c>
      <c r="H205" s="52" t="s">
        <v>837</v>
      </c>
      <c r="I205" s="54">
        <v>1705000</v>
      </c>
      <c r="J205" s="54">
        <v>0</v>
      </c>
      <c r="K205" s="54">
        <v>27000</v>
      </c>
      <c r="L205" s="54">
        <v>0</v>
      </c>
      <c r="M205" s="54">
        <v>0</v>
      </c>
      <c r="N205" s="54">
        <v>0</v>
      </c>
      <c r="O205" s="54">
        <v>0</v>
      </c>
      <c r="P205" s="54">
        <v>0</v>
      </c>
      <c r="Q205" s="54">
        <v>0</v>
      </c>
      <c r="R205" s="54">
        <v>0</v>
      </c>
      <c r="S205" s="54">
        <v>0</v>
      </c>
      <c r="T205" s="54">
        <v>0</v>
      </c>
      <c r="U205" s="54">
        <v>2778</v>
      </c>
      <c r="V205" s="54">
        <v>0</v>
      </c>
      <c r="W205" s="54">
        <v>0</v>
      </c>
      <c r="X205" s="54">
        <v>0</v>
      </c>
      <c r="Y205" s="54">
        <v>0</v>
      </c>
      <c r="Z205" s="54">
        <v>0</v>
      </c>
      <c r="AA205" s="54">
        <v>0</v>
      </c>
      <c r="AB205" s="54">
        <v>0</v>
      </c>
      <c r="AC205" s="54">
        <v>0</v>
      </c>
      <c r="AD205" s="54">
        <v>0</v>
      </c>
      <c r="AE205" s="54">
        <v>0</v>
      </c>
      <c r="AF205" s="54">
        <v>0</v>
      </c>
      <c r="AG205" s="54">
        <v>0</v>
      </c>
      <c r="AH205" s="54">
        <v>0</v>
      </c>
      <c r="AI205" s="54">
        <v>0</v>
      </c>
      <c r="AJ205" s="54">
        <v>0</v>
      </c>
      <c r="AK205" s="54">
        <v>0</v>
      </c>
      <c r="AL205" s="54">
        <v>0</v>
      </c>
      <c r="AM205" s="54" t="str">
        <f>I205-J205-K205-L205-M205-N205-O205-P205-Q205-R205-S205-T205-U205-V205-W205-X205-Y205-Z205-AA205-AB205-AC205-AD205-AE205-AF205-AG205+AH205-AI205+AJ205+AK205-AL205</f>
        <v>0</v>
      </c>
      <c r="AN205" s="54"/>
      <c r="AO205" s="27"/>
    </row>
    <row r="206" spans="1:41">
      <c r="A206" s="44">
        <v>178</v>
      </c>
      <c r="B206" s="47" t="s">
        <v>838</v>
      </c>
      <c r="C206" s="48" t="s">
        <v>839</v>
      </c>
      <c r="D206" s="52" t="s">
        <v>73</v>
      </c>
      <c r="E206" s="52" t="s">
        <v>785</v>
      </c>
      <c r="F206" s="55" t="s">
        <v>840</v>
      </c>
      <c r="G206" s="51">
        <v>3</v>
      </c>
      <c r="H206" s="52" t="s">
        <v>841</v>
      </c>
      <c r="I206" s="54">
        <v>189000</v>
      </c>
      <c r="J206" s="54">
        <v>0</v>
      </c>
      <c r="K206" s="54">
        <v>22000</v>
      </c>
      <c r="L206" s="54">
        <v>0</v>
      </c>
      <c r="M206" s="54">
        <v>0</v>
      </c>
      <c r="N206" s="54">
        <v>0</v>
      </c>
      <c r="O206" s="54">
        <v>0</v>
      </c>
      <c r="P206" s="54">
        <v>0</v>
      </c>
      <c r="Q206" s="54">
        <v>0</v>
      </c>
      <c r="R206" s="54">
        <v>0</v>
      </c>
      <c r="S206" s="54">
        <v>0</v>
      </c>
      <c r="T206" s="54">
        <v>0</v>
      </c>
      <c r="U206" s="54">
        <v>2263</v>
      </c>
      <c r="V206" s="54">
        <v>0</v>
      </c>
      <c r="W206" s="54">
        <v>0</v>
      </c>
      <c r="X206" s="54">
        <v>0</v>
      </c>
      <c r="Y206" s="54">
        <v>0</v>
      </c>
      <c r="Z206" s="54">
        <v>0</v>
      </c>
      <c r="AA206" s="54">
        <v>0</v>
      </c>
      <c r="AB206" s="54">
        <v>0</v>
      </c>
      <c r="AC206" s="54">
        <v>0</v>
      </c>
      <c r="AD206" s="54">
        <v>0</v>
      </c>
      <c r="AE206" s="54">
        <v>0</v>
      </c>
      <c r="AF206" s="54">
        <v>0</v>
      </c>
      <c r="AG206" s="54">
        <v>0</v>
      </c>
      <c r="AH206" s="54">
        <v>0</v>
      </c>
      <c r="AI206" s="54">
        <v>0</v>
      </c>
      <c r="AJ206" s="54">
        <v>0</v>
      </c>
      <c r="AK206" s="54">
        <v>0</v>
      </c>
      <c r="AL206" s="54">
        <v>0</v>
      </c>
      <c r="AM206" s="54" t="str">
        <f>I206-J206-K206-L206-M206-N206-O206-P206-Q206-R206-S206-T206-U206-V206-W206-X206-Y206-Z206-AA206-AB206-AC206-AD206-AE206-AF206-AG206+AH206-AI206+AJ206+AK206-AL206</f>
        <v>0</v>
      </c>
      <c r="AN206" s="54"/>
      <c r="AO206" s="27"/>
    </row>
    <row r="207" spans="1:41">
      <c r="A207" s="44">
        <v>179</v>
      </c>
      <c r="B207" s="47" t="s">
        <v>842</v>
      </c>
      <c r="C207" s="48" t="s">
        <v>843</v>
      </c>
      <c r="D207" s="52" t="s">
        <v>73</v>
      </c>
      <c r="E207" s="52" t="s">
        <v>785</v>
      </c>
      <c r="F207" s="55" t="s">
        <v>844</v>
      </c>
      <c r="G207" s="51">
        <v>10.1</v>
      </c>
      <c r="H207" s="52" t="s">
        <v>845</v>
      </c>
      <c r="I207" s="54">
        <v>1720000</v>
      </c>
      <c r="J207" s="54">
        <v>0</v>
      </c>
      <c r="K207" s="54">
        <v>54000</v>
      </c>
      <c r="L207" s="54">
        <v>0</v>
      </c>
      <c r="M207" s="54">
        <v>0</v>
      </c>
      <c r="N207" s="54">
        <v>0</v>
      </c>
      <c r="O207" s="54">
        <v>0</v>
      </c>
      <c r="P207" s="54">
        <v>0</v>
      </c>
      <c r="Q207" s="54">
        <v>0</v>
      </c>
      <c r="R207" s="54">
        <v>0</v>
      </c>
      <c r="S207" s="54">
        <v>0</v>
      </c>
      <c r="T207" s="54">
        <v>0</v>
      </c>
      <c r="U207" s="54">
        <v>3429</v>
      </c>
      <c r="V207" s="54">
        <v>0</v>
      </c>
      <c r="W207" s="54">
        <v>0</v>
      </c>
      <c r="X207" s="54">
        <v>0</v>
      </c>
      <c r="Y207" s="54">
        <v>0</v>
      </c>
      <c r="Z207" s="54">
        <v>0</v>
      </c>
      <c r="AA207" s="54">
        <v>0</v>
      </c>
      <c r="AB207" s="54">
        <v>0</v>
      </c>
      <c r="AC207" s="54">
        <v>0</v>
      </c>
      <c r="AD207" s="54">
        <v>0</v>
      </c>
      <c r="AE207" s="54">
        <v>0</v>
      </c>
      <c r="AF207" s="54">
        <v>0</v>
      </c>
      <c r="AG207" s="54">
        <v>0</v>
      </c>
      <c r="AH207" s="54">
        <v>0</v>
      </c>
      <c r="AI207" s="54">
        <v>0</v>
      </c>
      <c r="AJ207" s="54">
        <v>0</v>
      </c>
      <c r="AK207" s="54">
        <v>0</v>
      </c>
      <c r="AL207" s="54">
        <v>0</v>
      </c>
      <c r="AM207" s="54" t="str">
        <f>I207-J207-K207-L207-M207-N207-O207-P207-Q207-R207-S207-T207-U207-V207-W207-X207-Y207-Z207-AA207-AB207-AC207-AD207-AE207-AF207-AG207+AH207-AI207+AJ207+AK207-AL207</f>
        <v>0</v>
      </c>
      <c r="AN207" s="54"/>
      <c r="AO207" s="27"/>
    </row>
    <row r="208" spans="1:41">
      <c r="A208" s="44">
        <v>180</v>
      </c>
      <c r="B208" s="47" t="s">
        <v>846</v>
      </c>
      <c r="C208" s="48" t="s">
        <v>847</v>
      </c>
      <c r="D208" s="52" t="s">
        <v>73</v>
      </c>
      <c r="E208" s="52" t="s">
        <v>785</v>
      </c>
      <c r="F208" s="55" t="s">
        <v>848</v>
      </c>
      <c r="G208" s="51">
        <v>6</v>
      </c>
      <c r="H208" s="52" t="s">
        <v>849</v>
      </c>
      <c r="I208" s="54">
        <v>527000</v>
      </c>
      <c r="J208" s="54">
        <v>0</v>
      </c>
      <c r="K208" s="54">
        <v>31000</v>
      </c>
      <c r="L208" s="54">
        <v>0</v>
      </c>
      <c r="M208" s="54">
        <v>0</v>
      </c>
      <c r="N208" s="54">
        <v>0</v>
      </c>
      <c r="O208" s="54">
        <v>0</v>
      </c>
      <c r="P208" s="54">
        <v>0</v>
      </c>
      <c r="Q208" s="54">
        <v>0</v>
      </c>
      <c r="R208" s="54">
        <v>0</v>
      </c>
      <c r="S208" s="54">
        <v>0</v>
      </c>
      <c r="T208" s="54">
        <v>0</v>
      </c>
      <c r="U208" s="54">
        <v>3189</v>
      </c>
      <c r="V208" s="54">
        <v>0</v>
      </c>
      <c r="W208" s="54">
        <v>0</v>
      </c>
      <c r="X208" s="54">
        <v>0</v>
      </c>
      <c r="Y208" s="54">
        <v>0</v>
      </c>
      <c r="Z208" s="54">
        <v>0</v>
      </c>
      <c r="AA208" s="54">
        <v>0</v>
      </c>
      <c r="AB208" s="54">
        <v>0</v>
      </c>
      <c r="AC208" s="54">
        <v>0</v>
      </c>
      <c r="AD208" s="54">
        <v>0</v>
      </c>
      <c r="AE208" s="54">
        <v>0</v>
      </c>
      <c r="AF208" s="54">
        <v>0</v>
      </c>
      <c r="AG208" s="54">
        <v>0</v>
      </c>
      <c r="AH208" s="54">
        <v>0</v>
      </c>
      <c r="AI208" s="54">
        <v>0</v>
      </c>
      <c r="AJ208" s="54">
        <v>0</v>
      </c>
      <c r="AK208" s="54">
        <v>0</v>
      </c>
      <c r="AL208" s="54">
        <v>0</v>
      </c>
      <c r="AM208" s="54" t="str">
        <f>I208-J208-K208-L208-M208-N208-O208-P208-Q208-R208-S208-T208-U208-V208-W208-X208-Y208-Z208-AA208-AB208-AC208-AD208-AE208-AF208-AG208+AH208-AI208+AJ208+AK208-AL208</f>
        <v>0</v>
      </c>
      <c r="AN208" s="54"/>
      <c r="AO208" s="27"/>
    </row>
    <row r="209" spans="1:41">
      <c r="A209" s="44">
        <v>181</v>
      </c>
      <c r="B209" s="47" t="s">
        <v>850</v>
      </c>
      <c r="C209" s="48" t="s">
        <v>851</v>
      </c>
      <c r="D209" s="52" t="s">
        <v>62</v>
      </c>
      <c r="E209" s="52" t="s">
        <v>785</v>
      </c>
      <c r="F209" s="55" t="s">
        <v>852</v>
      </c>
      <c r="G209" s="51">
        <v>6</v>
      </c>
      <c r="H209" s="52" t="s">
        <v>853</v>
      </c>
      <c r="I209" s="54">
        <v>0</v>
      </c>
      <c r="J209" s="54">
        <v>0</v>
      </c>
      <c r="K209" s="54">
        <v>31000</v>
      </c>
      <c r="L209" s="54">
        <v>0</v>
      </c>
      <c r="M209" s="54">
        <v>0</v>
      </c>
      <c r="N209" s="54">
        <v>0</v>
      </c>
      <c r="O209" s="54">
        <v>0</v>
      </c>
      <c r="P209" s="54">
        <v>0</v>
      </c>
      <c r="Q209" s="54">
        <v>0</v>
      </c>
      <c r="R209" s="54">
        <v>0</v>
      </c>
      <c r="S209" s="54">
        <v>0</v>
      </c>
      <c r="T209" s="54">
        <v>0</v>
      </c>
      <c r="U209" s="54">
        <v>3189</v>
      </c>
      <c r="V209" s="54">
        <v>0</v>
      </c>
      <c r="W209" s="54">
        <v>0</v>
      </c>
      <c r="X209" s="54">
        <v>0</v>
      </c>
      <c r="Y209" s="54">
        <v>15500</v>
      </c>
      <c r="Z209" s="54">
        <v>0</v>
      </c>
      <c r="AA209" s="54">
        <v>0</v>
      </c>
      <c r="AB209" s="54">
        <v>0</v>
      </c>
      <c r="AC209" s="54">
        <v>0</v>
      </c>
      <c r="AD209" s="54">
        <v>0</v>
      </c>
      <c r="AE209" s="54">
        <v>0</v>
      </c>
      <c r="AF209" s="54">
        <v>0</v>
      </c>
      <c r="AG209" s="54">
        <v>0</v>
      </c>
      <c r="AH209" s="54">
        <v>0</v>
      </c>
      <c r="AI209" s="54">
        <v>0</v>
      </c>
      <c r="AJ209" s="54">
        <v>0</v>
      </c>
      <c r="AK209" s="54">
        <v>0</v>
      </c>
      <c r="AL209" s="54">
        <v>0</v>
      </c>
      <c r="AM209" s="54" t="str">
        <f>I209-J209-K209-L209-M209-N209-O209-P209-Q209-R209-S209-T209-U209-V209-W209-X209-Y209-Z209-AA209-AB209-AC209-AD209-AE209-AF209-AG209+AH209-AI209+AJ209+AK209-AL209</f>
        <v>0</v>
      </c>
      <c r="AN209" s="54"/>
      <c r="AO209" s="27"/>
    </row>
    <row r="210" spans="1:41">
      <c r="A210" s="44">
        <v>182</v>
      </c>
      <c r="B210" s="47" t="s">
        <v>854</v>
      </c>
      <c r="C210" s="48" t="s">
        <v>855</v>
      </c>
      <c r="D210" s="52" t="s">
        <v>73</v>
      </c>
      <c r="E210" s="52" t="s">
        <v>785</v>
      </c>
      <c r="F210" s="55" t="s">
        <v>856</v>
      </c>
      <c r="G210" s="51">
        <v>3</v>
      </c>
      <c r="H210" s="52" t="s">
        <v>857</v>
      </c>
      <c r="I210" s="54">
        <v>525000</v>
      </c>
      <c r="J210" s="54">
        <v>0</v>
      </c>
      <c r="K210" s="54">
        <v>22000</v>
      </c>
      <c r="L210" s="54">
        <v>0</v>
      </c>
      <c r="M210" s="54">
        <v>0</v>
      </c>
      <c r="N210" s="54">
        <v>0</v>
      </c>
      <c r="O210" s="54">
        <v>0</v>
      </c>
      <c r="P210" s="54">
        <v>0</v>
      </c>
      <c r="Q210" s="54">
        <v>0</v>
      </c>
      <c r="R210" s="54">
        <v>0</v>
      </c>
      <c r="S210" s="54">
        <v>0</v>
      </c>
      <c r="T210" s="54">
        <v>0</v>
      </c>
      <c r="U210" s="54">
        <v>2263</v>
      </c>
      <c r="V210" s="54">
        <v>0</v>
      </c>
      <c r="W210" s="54">
        <v>0</v>
      </c>
      <c r="X210" s="54">
        <v>0</v>
      </c>
      <c r="Y210" s="54">
        <v>0</v>
      </c>
      <c r="Z210" s="54">
        <v>0</v>
      </c>
      <c r="AA210" s="54">
        <v>0</v>
      </c>
      <c r="AB210" s="54">
        <v>0</v>
      </c>
      <c r="AC210" s="54">
        <v>0</v>
      </c>
      <c r="AD210" s="54">
        <v>0</v>
      </c>
      <c r="AE210" s="54">
        <v>0</v>
      </c>
      <c r="AF210" s="54">
        <v>0</v>
      </c>
      <c r="AG210" s="54">
        <v>0</v>
      </c>
      <c r="AH210" s="54">
        <v>0</v>
      </c>
      <c r="AI210" s="54">
        <v>0</v>
      </c>
      <c r="AJ210" s="54">
        <v>0</v>
      </c>
      <c r="AK210" s="54">
        <v>0</v>
      </c>
      <c r="AL210" s="54">
        <v>0</v>
      </c>
      <c r="AM210" s="54" t="str">
        <f>I210-J210-K210-L210-M210-N210-O210-P210-Q210-R210-S210-T210-U210-V210-W210-X210-Y210-Z210-AA210-AB210-AC210-AD210-AE210-AF210-AG210+AH210-AI210+AJ210+AK210-AL210</f>
        <v>0</v>
      </c>
      <c r="AN210" s="54"/>
      <c r="AO210" s="27"/>
    </row>
    <row r="211" spans="1:41">
      <c r="A211" s="44">
        <v>183</v>
      </c>
      <c r="B211" s="47" t="s">
        <v>858</v>
      </c>
      <c r="C211" s="48" t="s">
        <v>859</v>
      </c>
      <c r="D211" s="52" t="s">
        <v>73</v>
      </c>
      <c r="E211" s="52" t="s">
        <v>785</v>
      </c>
      <c r="F211" s="55" t="s">
        <v>860</v>
      </c>
      <c r="G211" s="51">
        <v>7</v>
      </c>
      <c r="H211" s="52" t="s">
        <v>861</v>
      </c>
      <c r="I211" s="54">
        <v>799000</v>
      </c>
      <c r="J211" s="54">
        <v>0</v>
      </c>
      <c r="K211" s="54">
        <v>35000</v>
      </c>
      <c r="L211" s="54">
        <v>0</v>
      </c>
      <c r="M211" s="54">
        <v>0</v>
      </c>
      <c r="N211" s="54">
        <v>0</v>
      </c>
      <c r="O211" s="54">
        <v>0</v>
      </c>
      <c r="P211" s="54">
        <v>0</v>
      </c>
      <c r="Q211" s="54">
        <v>0</v>
      </c>
      <c r="R211" s="54">
        <v>0</v>
      </c>
      <c r="S211" s="54">
        <v>0</v>
      </c>
      <c r="T211" s="54">
        <v>0</v>
      </c>
      <c r="U211" s="54">
        <v>3601</v>
      </c>
      <c r="V211" s="54">
        <v>0</v>
      </c>
      <c r="W211" s="54">
        <v>0</v>
      </c>
      <c r="X211" s="54">
        <v>0</v>
      </c>
      <c r="Y211" s="54">
        <v>0</v>
      </c>
      <c r="Z211" s="54">
        <v>0</v>
      </c>
      <c r="AA211" s="54">
        <v>0</v>
      </c>
      <c r="AB211" s="54">
        <v>0</v>
      </c>
      <c r="AC211" s="54">
        <v>0</v>
      </c>
      <c r="AD211" s="54">
        <v>0</v>
      </c>
      <c r="AE211" s="54">
        <v>0</v>
      </c>
      <c r="AF211" s="54">
        <v>0</v>
      </c>
      <c r="AG211" s="54">
        <v>0</v>
      </c>
      <c r="AH211" s="54">
        <v>0</v>
      </c>
      <c r="AI211" s="54">
        <v>0</v>
      </c>
      <c r="AJ211" s="54">
        <v>0</v>
      </c>
      <c r="AK211" s="54">
        <v>0</v>
      </c>
      <c r="AL211" s="54">
        <v>0</v>
      </c>
      <c r="AM211" s="54" t="str">
        <f>I211-J211-K211-L211-M211-N211-O211-P211-Q211-R211-S211-T211-U211-V211-W211-X211-Y211-Z211-AA211-AB211-AC211-AD211-AE211-AF211-AG211+AH211-AI211+AJ211+AK211-AL211</f>
        <v>0</v>
      </c>
      <c r="AN211" s="54"/>
      <c r="AO211" s="27"/>
    </row>
    <row r="212" spans="1:41">
      <c r="A212" s="44">
        <v>184</v>
      </c>
      <c r="B212" s="47" t="s">
        <v>862</v>
      </c>
      <c r="C212" s="48" t="s">
        <v>863</v>
      </c>
      <c r="D212" s="52" t="s">
        <v>73</v>
      </c>
      <c r="E212" s="52" t="s">
        <v>785</v>
      </c>
      <c r="F212" s="55" t="s">
        <v>864</v>
      </c>
      <c r="G212" s="51">
        <v>3</v>
      </c>
      <c r="H212" s="52" t="s">
        <v>865</v>
      </c>
      <c r="I212" s="54">
        <v>550000</v>
      </c>
      <c r="J212" s="54">
        <v>0</v>
      </c>
      <c r="K212" s="54">
        <v>22000</v>
      </c>
      <c r="L212" s="54">
        <v>0</v>
      </c>
      <c r="M212" s="54">
        <v>0</v>
      </c>
      <c r="N212" s="54">
        <v>0</v>
      </c>
      <c r="O212" s="54">
        <v>0</v>
      </c>
      <c r="P212" s="54">
        <v>0</v>
      </c>
      <c r="Q212" s="54">
        <v>0</v>
      </c>
      <c r="R212" s="54">
        <v>0</v>
      </c>
      <c r="S212" s="54">
        <v>0</v>
      </c>
      <c r="T212" s="54">
        <v>0</v>
      </c>
      <c r="U212" s="54">
        <v>2263</v>
      </c>
      <c r="V212" s="54">
        <v>0</v>
      </c>
      <c r="W212" s="54">
        <v>0</v>
      </c>
      <c r="X212" s="54">
        <v>0</v>
      </c>
      <c r="Y212" s="54">
        <v>0</v>
      </c>
      <c r="Z212" s="54">
        <v>0</v>
      </c>
      <c r="AA212" s="54">
        <v>0</v>
      </c>
      <c r="AB212" s="54">
        <v>0</v>
      </c>
      <c r="AC212" s="54">
        <v>0</v>
      </c>
      <c r="AD212" s="54">
        <v>0</v>
      </c>
      <c r="AE212" s="54">
        <v>0</v>
      </c>
      <c r="AF212" s="54">
        <v>0</v>
      </c>
      <c r="AG212" s="54">
        <v>0</v>
      </c>
      <c r="AH212" s="54">
        <v>0</v>
      </c>
      <c r="AI212" s="54">
        <v>0</v>
      </c>
      <c r="AJ212" s="54">
        <v>0</v>
      </c>
      <c r="AK212" s="54">
        <v>0</v>
      </c>
      <c r="AL212" s="54">
        <v>0</v>
      </c>
      <c r="AM212" s="54" t="str">
        <f>I212-J212-K212-L212-M212-N212-O212-P212-Q212-R212-S212-T212-U212-V212-W212-X212-Y212-Z212-AA212-AB212-AC212-AD212-AE212-AF212-AG212+AH212-AI212+AJ212+AK212-AL212</f>
        <v>0</v>
      </c>
      <c r="AN212" s="54"/>
      <c r="AO212" s="27"/>
    </row>
    <row r="213" spans="1:41">
      <c r="A213" s="44">
        <v>185</v>
      </c>
      <c r="B213" s="47" t="s">
        <v>866</v>
      </c>
      <c r="C213" s="48" t="s">
        <v>867</v>
      </c>
      <c r="D213" s="52" t="s">
        <v>62</v>
      </c>
      <c r="E213" s="52" t="s">
        <v>785</v>
      </c>
      <c r="F213" s="55" t="s">
        <v>868</v>
      </c>
      <c r="G213" s="51">
        <v>3</v>
      </c>
      <c r="H213" s="52" t="s">
        <v>869</v>
      </c>
      <c r="I213" s="54">
        <v>0</v>
      </c>
      <c r="J213" s="54">
        <v>0</v>
      </c>
      <c r="K213" s="54">
        <v>22000</v>
      </c>
      <c r="L213" s="54">
        <v>0</v>
      </c>
      <c r="M213" s="54">
        <v>0</v>
      </c>
      <c r="N213" s="54">
        <v>0</v>
      </c>
      <c r="O213" s="54">
        <v>0</v>
      </c>
      <c r="P213" s="54">
        <v>0</v>
      </c>
      <c r="Q213" s="54">
        <v>0</v>
      </c>
      <c r="R213" s="54">
        <v>0</v>
      </c>
      <c r="S213" s="54">
        <v>0</v>
      </c>
      <c r="T213" s="54">
        <v>0</v>
      </c>
      <c r="U213" s="54">
        <v>2263</v>
      </c>
      <c r="V213" s="54">
        <v>0</v>
      </c>
      <c r="W213" s="54">
        <v>0</v>
      </c>
      <c r="X213" s="54">
        <v>0</v>
      </c>
      <c r="Y213" s="54">
        <v>11000</v>
      </c>
      <c r="Z213" s="54">
        <v>0</v>
      </c>
      <c r="AA213" s="54">
        <v>0</v>
      </c>
      <c r="AB213" s="54">
        <v>0</v>
      </c>
      <c r="AC213" s="54">
        <v>0</v>
      </c>
      <c r="AD213" s="54">
        <v>0</v>
      </c>
      <c r="AE213" s="54">
        <v>0</v>
      </c>
      <c r="AF213" s="54">
        <v>0</v>
      </c>
      <c r="AG213" s="54">
        <v>0</v>
      </c>
      <c r="AH213" s="54">
        <v>0</v>
      </c>
      <c r="AI213" s="54">
        <v>0</v>
      </c>
      <c r="AJ213" s="54">
        <v>0</v>
      </c>
      <c r="AK213" s="54">
        <v>0</v>
      </c>
      <c r="AL213" s="54">
        <v>0</v>
      </c>
      <c r="AM213" s="54" t="str">
        <f>I213-J213-K213-L213-M213-N213-O213-P213-Q213-R213-S213-T213-U213-V213-W213-X213-Y213-Z213-AA213-AB213-AC213-AD213-AE213-AF213-AG213+AH213-AI213+AJ213+AK213-AL213</f>
        <v>0</v>
      </c>
      <c r="AN213" s="54"/>
      <c r="AO213" s="27"/>
    </row>
    <row r="214" spans="1:41">
      <c r="A214" s="44">
        <v>186</v>
      </c>
      <c r="B214" s="47" t="s">
        <v>870</v>
      </c>
      <c r="C214" s="48" t="s">
        <v>871</v>
      </c>
      <c r="D214" s="52" t="s">
        <v>73</v>
      </c>
      <c r="E214" s="52" t="s">
        <v>872</v>
      </c>
      <c r="F214" s="55" t="s">
        <v>873</v>
      </c>
      <c r="G214" s="51">
        <v>3</v>
      </c>
      <c r="H214" s="52" t="s">
        <v>874</v>
      </c>
      <c r="I214" s="54">
        <v>525000</v>
      </c>
      <c r="J214" s="54">
        <v>0</v>
      </c>
      <c r="K214" s="54">
        <v>22000</v>
      </c>
      <c r="L214" s="54">
        <v>0</v>
      </c>
      <c r="M214" s="54">
        <v>0</v>
      </c>
      <c r="N214" s="54">
        <v>0</v>
      </c>
      <c r="O214" s="54">
        <v>0</v>
      </c>
      <c r="P214" s="54">
        <v>0</v>
      </c>
      <c r="Q214" s="54">
        <v>0</v>
      </c>
      <c r="R214" s="54">
        <v>0</v>
      </c>
      <c r="S214" s="54">
        <v>0</v>
      </c>
      <c r="T214" s="54">
        <v>0</v>
      </c>
      <c r="U214" s="54">
        <v>2263</v>
      </c>
      <c r="V214" s="54">
        <v>0</v>
      </c>
      <c r="W214" s="54">
        <v>0</v>
      </c>
      <c r="X214" s="54">
        <v>0</v>
      </c>
      <c r="Y214" s="54">
        <v>0</v>
      </c>
      <c r="Z214" s="54">
        <v>0</v>
      </c>
      <c r="AA214" s="54">
        <v>0</v>
      </c>
      <c r="AB214" s="54">
        <v>0</v>
      </c>
      <c r="AC214" s="54">
        <v>0</v>
      </c>
      <c r="AD214" s="54">
        <v>0</v>
      </c>
      <c r="AE214" s="54">
        <v>0</v>
      </c>
      <c r="AF214" s="54">
        <v>0</v>
      </c>
      <c r="AG214" s="54">
        <v>0</v>
      </c>
      <c r="AH214" s="54">
        <v>0</v>
      </c>
      <c r="AI214" s="54">
        <v>0</v>
      </c>
      <c r="AJ214" s="54">
        <v>0</v>
      </c>
      <c r="AK214" s="54">
        <v>0</v>
      </c>
      <c r="AL214" s="54">
        <v>0</v>
      </c>
      <c r="AM214" s="54" t="str">
        <f>I214-J214-K214-L214-M214-N214-O214-P214-Q214-R214-S214-T214-U214-V214-W214-X214-Y214-Z214-AA214-AB214-AC214-AD214-AE214-AF214-AG214+AH214-AI214+AJ214+AK214-AL214</f>
        <v>0</v>
      </c>
      <c r="AN214" s="54"/>
      <c r="AO214" s="27"/>
    </row>
    <row r="215" spans="1:41">
      <c r="A215" s="44">
        <v>187</v>
      </c>
      <c r="B215" s="47" t="s">
        <v>875</v>
      </c>
      <c r="C215" s="48" t="s">
        <v>876</v>
      </c>
      <c r="D215" s="52" t="s">
        <v>73</v>
      </c>
      <c r="E215" s="52" t="s">
        <v>872</v>
      </c>
      <c r="F215" s="55" t="s">
        <v>877</v>
      </c>
      <c r="G215" s="51">
        <v>4</v>
      </c>
      <c r="H215" s="52" t="s">
        <v>878</v>
      </c>
      <c r="I215" s="54">
        <v>220000</v>
      </c>
      <c r="J215" s="54">
        <v>0</v>
      </c>
      <c r="K215" s="54">
        <v>25000</v>
      </c>
      <c r="L215" s="54">
        <v>0</v>
      </c>
      <c r="M215" s="54">
        <v>0</v>
      </c>
      <c r="N215" s="54">
        <v>0</v>
      </c>
      <c r="O215" s="54">
        <v>0</v>
      </c>
      <c r="P215" s="54">
        <v>0</v>
      </c>
      <c r="Q215" s="54">
        <v>0</v>
      </c>
      <c r="R215" s="54">
        <v>0</v>
      </c>
      <c r="S215" s="54">
        <v>0</v>
      </c>
      <c r="T215" s="54">
        <v>0</v>
      </c>
      <c r="U215" s="54">
        <v>1587</v>
      </c>
      <c r="V215" s="54">
        <v>0</v>
      </c>
      <c r="W215" s="54">
        <v>0</v>
      </c>
      <c r="X215" s="54">
        <v>0</v>
      </c>
      <c r="Y215" s="54">
        <v>0</v>
      </c>
      <c r="Z215" s="54">
        <v>0</v>
      </c>
      <c r="AA215" s="54">
        <v>0</v>
      </c>
      <c r="AB215" s="54">
        <v>0</v>
      </c>
      <c r="AC215" s="54">
        <v>0</v>
      </c>
      <c r="AD215" s="54">
        <v>0</v>
      </c>
      <c r="AE215" s="54">
        <v>0</v>
      </c>
      <c r="AF215" s="54">
        <v>0</v>
      </c>
      <c r="AG215" s="54">
        <v>0</v>
      </c>
      <c r="AH215" s="54">
        <v>0</v>
      </c>
      <c r="AI215" s="54">
        <v>0</v>
      </c>
      <c r="AJ215" s="54">
        <v>0</v>
      </c>
      <c r="AK215" s="54">
        <v>0</v>
      </c>
      <c r="AL215" s="54">
        <v>0</v>
      </c>
      <c r="AM215" s="54" t="str">
        <f>I215-J215-K215-L215-M215-N215-O215-P215-Q215-R215-S215-T215-U215-V215-W215-X215-Y215-Z215-AA215-AB215-AC215-AD215-AE215-AF215-AG215+AH215-AI215+AJ215+AK215-AL215</f>
        <v>0</v>
      </c>
      <c r="AN215" s="54"/>
      <c r="AO215" s="27"/>
    </row>
    <row r="216" spans="1:41">
      <c r="A216" s="44">
        <v>188</v>
      </c>
      <c r="B216" s="47" t="s">
        <v>879</v>
      </c>
      <c r="C216" s="48" t="s">
        <v>880</v>
      </c>
      <c r="D216" s="52" t="s">
        <v>62</v>
      </c>
      <c r="E216" s="52" t="s">
        <v>872</v>
      </c>
      <c r="F216" s="55" t="s">
        <v>881</v>
      </c>
      <c r="G216" s="51">
        <v>3</v>
      </c>
      <c r="H216" s="52" t="s">
        <v>882</v>
      </c>
      <c r="I216" s="54">
        <v>0</v>
      </c>
      <c r="J216" s="54">
        <v>0</v>
      </c>
      <c r="K216" s="54">
        <v>22000</v>
      </c>
      <c r="L216" s="54">
        <v>0</v>
      </c>
      <c r="M216" s="54">
        <v>0</v>
      </c>
      <c r="N216" s="54">
        <v>0</v>
      </c>
      <c r="O216" s="54">
        <v>0</v>
      </c>
      <c r="P216" s="54">
        <v>0</v>
      </c>
      <c r="Q216" s="54">
        <v>0</v>
      </c>
      <c r="R216" s="54">
        <v>0</v>
      </c>
      <c r="S216" s="54">
        <v>0</v>
      </c>
      <c r="T216" s="54">
        <v>0</v>
      </c>
      <c r="U216" s="54">
        <v>2263</v>
      </c>
      <c r="V216" s="54">
        <v>0</v>
      </c>
      <c r="W216" s="54">
        <v>0</v>
      </c>
      <c r="X216" s="54">
        <v>0</v>
      </c>
      <c r="Y216" s="54">
        <v>11000</v>
      </c>
      <c r="Z216" s="54">
        <v>0</v>
      </c>
      <c r="AA216" s="54">
        <v>0</v>
      </c>
      <c r="AB216" s="54">
        <v>0</v>
      </c>
      <c r="AC216" s="54">
        <v>0</v>
      </c>
      <c r="AD216" s="54">
        <v>0</v>
      </c>
      <c r="AE216" s="54">
        <v>0</v>
      </c>
      <c r="AF216" s="54">
        <v>0</v>
      </c>
      <c r="AG216" s="54">
        <v>0</v>
      </c>
      <c r="AH216" s="54">
        <v>0</v>
      </c>
      <c r="AI216" s="54">
        <v>0</v>
      </c>
      <c r="AJ216" s="54">
        <v>0</v>
      </c>
      <c r="AK216" s="54">
        <v>0</v>
      </c>
      <c r="AL216" s="54">
        <v>0</v>
      </c>
      <c r="AM216" s="54" t="str">
        <f>I216-J216-K216-L216-M216-N216-O216-P216-Q216-R216-S216-T216-U216-V216-W216-X216-Y216-Z216-AA216-AB216-AC216-AD216-AE216-AF216-AG216+AH216-AI216+AJ216+AK216-AL216</f>
        <v>0</v>
      </c>
      <c r="AN216" s="54"/>
      <c r="AO216" s="27"/>
    </row>
    <row r="217" spans="1:41">
      <c r="A217" s="44">
        <v>189</v>
      </c>
      <c r="B217" s="47" t="s">
        <v>883</v>
      </c>
      <c r="C217" s="48" t="s">
        <v>884</v>
      </c>
      <c r="D217" s="52" t="s">
        <v>73</v>
      </c>
      <c r="E217" s="52" t="s">
        <v>872</v>
      </c>
      <c r="F217" s="55" t="s">
        <v>885</v>
      </c>
      <c r="G217" s="51">
        <v>4</v>
      </c>
      <c r="H217" s="52" t="s">
        <v>886</v>
      </c>
      <c r="I217" s="54">
        <v>648000</v>
      </c>
      <c r="J217" s="54">
        <v>0</v>
      </c>
      <c r="K217" s="54">
        <v>25000</v>
      </c>
      <c r="L217" s="54">
        <v>0</v>
      </c>
      <c r="M217" s="54">
        <v>0</v>
      </c>
      <c r="N217" s="54">
        <v>0</v>
      </c>
      <c r="O217" s="54">
        <v>0</v>
      </c>
      <c r="P217" s="54">
        <v>0</v>
      </c>
      <c r="Q217" s="54">
        <v>0</v>
      </c>
      <c r="R217" s="54">
        <v>0</v>
      </c>
      <c r="S217" s="54">
        <v>0</v>
      </c>
      <c r="T217" s="54">
        <v>0</v>
      </c>
      <c r="U217" s="54">
        <v>2572</v>
      </c>
      <c r="V217" s="54">
        <v>0</v>
      </c>
      <c r="W217" s="54">
        <v>0</v>
      </c>
      <c r="X217" s="54">
        <v>0</v>
      </c>
      <c r="Y217" s="54">
        <v>0</v>
      </c>
      <c r="Z217" s="54">
        <v>0</v>
      </c>
      <c r="AA217" s="54">
        <v>0</v>
      </c>
      <c r="AB217" s="54">
        <v>0</v>
      </c>
      <c r="AC217" s="54">
        <v>0</v>
      </c>
      <c r="AD217" s="54">
        <v>0</v>
      </c>
      <c r="AE217" s="54">
        <v>0</v>
      </c>
      <c r="AF217" s="54">
        <v>0</v>
      </c>
      <c r="AG217" s="54">
        <v>0</v>
      </c>
      <c r="AH217" s="54">
        <v>0</v>
      </c>
      <c r="AI217" s="54">
        <v>0</v>
      </c>
      <c r="AJ217" s="54">
        <v>0</v>
      </c>
      <c r="AK217" s="54">
        <v>0</v>
      </c>
      <c r="AL217" s="54">
        <v>0</v>
      </c>
      <c r="AM217" s="54" t="str">
        <f>I217-J217-K217-L217-M217-N217-O217-P217-Q217-R217-S217-T217-U217-V217-W217-X217-Y217-Z217-AA217-AB217-AC217-AD217-AE217-AF217-AG217+AH217-AI217+AJ217+AK217-AL217</f>
        <v>0</v>
      </c>
      <c r="AN217" s="54"/>
      <c r="AO217" s="27"/>
    </row>
    <row r="218" spans="1:41">
      <c r="A218" s="44">
        <v>190</v>
      </c>
      <c r="B218" s="47" t="s">
        <v>887</v>
      </c>
      <c r="C218" s="48" t="s">
        <v>888</v>
      </c>
      <c r="D218" s="52" t="s">
        <v>73</v>
      </c>
      <c r="E218" s="52" t="s">
        <v>872</v>
      </c>
      <c r="F218" s="55" t="s">
        <v>889</v>
      </c>
      <c r="G218" s="51">
        <v>8</v>
      </c>
      <c r="H218" s="52" t="s">
        <v>890</v>
      </c>
      <c r="I218" s="54">
        <v>1973000</v>
      </c>
      <c r="J218" s="54">
        <v>0</v>
      </c>
      <c r="K218" s="54">
        <v>39000</v>
      </c>
      <c r="L218" s="54">
        <v>0</v>
      </c>
      <c r="M218" s="54">
        <v>0</v>
      </c>
      <c r="N218" s="54">
        <v>0</v>
      </c>
      <c r="O218" s="54">
        <v>0</v>
      </c>
      <c r="P218" s="54">
        <v>0</v>
      </c>
      <c r="Q218" s="54">
        <v>0</v>
      </c>
      <c r="R218" s="54">
        <v>0</v>
      </c>
      <c r="S218" s="54">
        <v>0</v>
      </c>
      <c r="T218" s="54">
        <v>0</v>
      </c>
      <c r="U218" s="54">
        <v>4013</v>
      </c>
      <c r="V218" s="54">
        <v>0</v>
      </c>
      <c r="W218" s="54">
        <v>0</v>
      </c>
      <c r="X218" s="54">
        <v>0</v>
      </c>
      <c r="Y218" s="54">
        <v>0</v>
      </c>
      <c r="Z218" s="54">
        <v>0</v>
      </c>
      <c r="AA218" s="54">
        <v>0</v>
      </c>
      <c r="AB218" s="54">
        <v>0</v>
      </c>
      <c r="AC218" s="54">
        <v>0</v>
      </c>
      <c r="AD218" s="54">
        <v>0</v>
      </c>
      <c r="AE218" s="54">
        <v>0</v>
      </c>
      <c r="AF218" s="54">
        <v>0</v>
      </c>
      <c r="AG218" s="54">
        <v>0</v>
      </c>
      <c r="AH218" s="54">
        <v>0</v>
      </c>
      <c r="AI218" s="54">
        <v>0</v>
      </c>
      <c r="AJ218" s="54">
        <v>0</v>
      </c>
      <c r="AK218" s="54">
        <v>0</v>
      </c>
      <c r="AL218" s="54">
        <v>0</v>
      </c>
      <c r="AM218" s="54" t="str">
        <f>I218-J218-K218-L218-M218-N218-O218-P218-Q218-R218-S218-T218-U218-V218-W218-X218-Y218-Z218-AA218-AB218-AC218-AD218-AE218-AF218-AG218+AH218-AI218+AJ218+AK218-AL218</f>
        <v>0</v>
      </c>
      <c r="AN218" s="54"/>
      <c r="AO218" s="27"/>
    </row>
    <row r="219" spans="1:41">
      <c r="A219" s="44">
        <v>191</v>
      </c>
      <c r="B219" s="47" t="s">
        <v>891</v>
      </c>
      <c r="C219" s="48" t="s">
        <v>892</v>
      </c>
      <c r="D219" s="52" t="s">
        <v>73</v>
      </c>
      <c r="E219" s="52" t="s">
        <v>872</v>
      </c>
      <c r="F219" s="55" t="s">
        <v>893</v>
      </c>
      <c r="G219" s="51">
        <v>2</v>
      </c>
      <c r="H219" s="52" t="s">
        <v>894</v>
      </c>
      <c r="I219" s="54">
        <v>775000</v>
      </c>
      <c r="J219" s="54">
        <v>0</v>
      </c>
      <c r="K219" s="54">
        <v>22000</v>
      </c>
      <c r="L219" s="54">
        <v>0</v>
      </c>
      <c r="M219" s="54">
        <v>0</v>
      </c>
      <c r="N219" s="54">
        <v>0</v>
      </c>
      <c r="O219" s="54">
        <v>0</v>
      </c>
      <c r="P219" s="54">
        <v>0</v>
      </c>
      <c r="Q219" s="54">
        <v>0</v>
      </c>
      <c r="R219" s="54">
        <v>0</v>
      </c>
      <c r="S219" s="54">
        <v>0</v>
      </c>
      <c r="T219" s="54">
        <v>0</v>
      </c>
      <c r="U219" s="54">
        <v>2263</v>
      </c>
      <c r="V219" s="54">
        <v>0</v>
      </c>
      <c r="W219" s="54">
        <v>0</v>
      </c>
      <c r="X219" s="54">
        <v>0</v>
      </c>
      <c r="Y219" s="54">
        <v>0</v>
      </c>
      <c r="Z219" s="54">
        <v>0</v>
      </c>
      <c r="AA219" s="54">
        <v>0</v>
      </c>
      <c r="AB219" s="54">
        <v>0</v>
      </c>
      <c r="AC219" s="54">
        <v>0</v>
      </c>
      <c r="AD219" s="54">
        <v>0</v>
      </c>
      <c r="AE219" s="54">
        <v>0</v>
      </c>
      <c r="AF219" s="54">
        <v>0</v>
      </c>
      <c r="AG219" s="54">
        <v>0</v>
      </c>
      <c r="AH219" s="54">
        <v>0</v>
      </c>
      <c r="AI219" s="54">
        <v>0</v>
      </c>
      <c r="AJ219" s="54">
        <v>0</v>
      </c>
      <c r="AK219" s="54">
        <v>0</v>
      </c>
      <c r="AL219" s="54">
        <v>0</v>
      </c>
      <c r="AM219" s="54" t="str">
        <f>I219-J219-K219-L219-M219-N219-O219-P219-Q219-R219-S219-T219-U219-V219-W219-X219-Y219-Z219-AA219-AB219-AC219-AD219-AE219-AF219-AG219+AH219-AI219+AJ219+AK219-AL219</f>
        <v>0</v>
      </c>
      <c r="AN219" s="54"/>
      <c r="AO219" s="27"/>
    </row>
    <row r="220" spans="1:41">
      <c r="A220" s="44">
        <v>192</v>
      </c>
      <c r="B220" s="47" t="s">
        <v>895</v>
      </c>
      <c r="C220" s="48" t="s">
        <v>896</v>
      </c>
      <c r="D220" s="52" t="s">
        <v>73</v>
      </c>
      <c r="E220" s="52" t="s">
        <v>872</v>
      </c>
      <c r="F220" s="55" t="s">
        <v>897</v>
      </c>
      <c r="G220" s="51">
        <v>3</v>
      </c>
      <c r="H220" s="52" t="s">
        <v>898</v>
      </c>
      <c r="I220" s="54">
        <v>270000</v>
      </c>
      <c r="J220" s="54">
        <v>0</v>
      </c>
      <c r="K220" s="54">
        <v>22000</v>
      </c>
      <c r="L220" s="54">
        <v>0</v>
      </c>
      <c r="M220" s="54">
        <v>0</v>
      </c>
      <c r="N220" s="54">
        <v>0</v>
      </c>
      <c r="O220" s="54">
        <v>0</v>
      </c>
      <c r="P220" s="54">
        <v>0</v>
      </c>
      <c r="Q220" s="54">
        <v>0</v>
      </c>
      <c r="R220" s="54">
        <v>0</v>
      </c>
      <c r="S220" s="54">
        <v>0</v>
      </c>
      <c r="T220" s="54">
        <v>0</v>
      </c>
      <c r="U220" s="54">
        <v>2263</v>
      </c>
      <c r="V220" s="54">
        <v>0</v>
      </c>
      <c r="W220" s="54">
        <v>0</v>
      </c>
      <c r="X220" s="54">
        <v>0</v>
      </c>
      <c r="Y220" s="54">
        <v>0</v>
      </c>
      <c r="Z220" s="54">
        <v>0</v>
      </c>
      <c r="AA220" s="54">
        <v>0</v>
      </c>
      <c r="AB220" s="54">
        <v>0</v>
      </c>
      <c r="AC220" s="54">
        <v>0</v>
      </c>
      <c r="AD220" s="54">
        <v>0</v>
      </c>
      <c r="AE220" s="54">
        <v>0</v>
      </c>
      <c r="AF220" s="54">
        <v>0</v>
      </c>
      <c r="AG220" s="54">
        <v>0</v>
      </c>
      <c r="AH220" s="54">
        <v>0</v>
      </c>
      <c r="AI220" s="54">
        <v>0</v>
      </c>
      <c r="AJ220" s="54">
        <v>0</v>
      </c>
      <c r="AK220" s="54">
        <v>0</v>
      </c>
      <c r="AL220" s="54">
        <v>0</v>
      </c>
      <c r="AM220" s="54" t="str">
        <f>I220-J220-K220-L220-M220-N220-O220-P220-Q220-R220-S220-T220-U220-V220-W220-X220-Y220-Z220-AA220-AB220-AC220-AD220-AE220-AF220-AG220+AH220-AI220+AJ220+AK220-AL220</f>
        <v>0</v>
      </c>
      <c r="AN220" s="54"/>
      <c r="AO220" s="27"/>
    </row>
    <row r="221" spans="1:41">
      <c r="A221" s="44">
        <v>193</v>
      </c>
      <c r="B221" s="47" t="s">
        <v>899</v>
      </c>
      <c r="C221" s="48" t="s">
        <v>900</v>
      </c>
      <c r="D221" s="52" t="s">
        <v>73</v>
      </c>
      <c r="E221" s="52" t="s">
        <v>872</v>
      </c>
      <c r="F221" s="55" t="s">
        <v>433</v>
      </c>
      <c r="G221" s="51">
        <v>4</v>
      </c>
      <c r="H221" s="52" t="s">
        <v>901</v>
      </c>
      <c r="I221" s="54">
        <v>645000</v>
      </c>
      <c r="J221" s="54">
        <v>0</v>
      </c>
      <c r="K221" s="54">
        <v>25000</v>
      </c>
      <c r="L221" s="54">
        <v>0</v>
      </c>
      <c r="M221" s="54">
        <v>0</v>
      </c>
      <c r="N221" s="54">
        <v>0</v>
      </c>
      <c r="O221" s="54">
        <v>0</v>
      </c>
      <c r="P221" s="54">
        <v>0</v>
      </c>
      <c r="Q221" s="54">
        <v>0</v>
      </c>
      <c r="R221" s="54">
        <v>0</v>
      </c>
      <c r="S221" s="54">
        <v>0</v>
      </c>
      <c r="T221" s="54">
        <v>0</v>
      </c>
      <c r="U221" s="54">
        <v>2572</v>
      </c>
      <c r="V221" s="54">
        <v>0</v>
      </c>
      <c r="W221" s="54">
        <v>0</v>
      </c>
      <c r="X221" s="54">
        <v>0</v>
      </c>
      <c r="Y221" s="54">
        <v>0</v>
      </c>
      <c r="Z221" s="54">
        <v>0</v>
      </c>
      <c r="AA221" s="54">
        <v>0</v>
      </c>
      <c r="AB221" s="54">
        <v>0</v>
      </c>
      <c r="AC221" s="54">
        <v>0</v>
      </c>
      <c r="AD221" s="54">
        <v>0</v>
      </c>
      <c r="AE221" s="54">
        <v>0</v>
      </c>
      <c r="AF221" s="54">
        <v>0</v>
      </c>
      <c r="AG221" s="54">
        <v>0</v>
      </c>
      <c r="AH221" s="54">
        <v>0</v>
      </c>
      <c r="AI221" s="54">
        <v>0</v>
      </c>
      <c r="AJ221" s="54">
        <v>0</v>
      </c>
      <c r="AK221" s="54">
        <v>0</v>
      </c>
      <c r="AL221" s="54">
        <v>0</v>
      </c>
      <c r="AM221" s="54" t="str">
        <f>I221-J221-K221-L221-M221-N221-O221-P221-Q221-R221-S221-T221-U221-V221-W221-X221-Y221-Z221-AA221-AB221-AC221-AD221-AE221-AF221-AG221+AH221-AI221+AJ221+AK221-AL221</f>
        <v>0</v>
      </c>
      <c r="AN221" s="54"/>
      <c r="AO221" s="27"/>
    </row>
    <row r="222" spans="1:41">
      <c r="A222" s="44">
        <v>194</v>
      </c>
      <c r="B222" s="47" t="s">
        <v>902</v>
      </c>
      <c r="C222" s="48" t="s">
        <v>903</v>
      </c>
      <c r="D222" s="52" t="s">
        <v>73</v>
      </c>
      <c r="E222" s="52" t="s">
        <v>872</v>
      </c>
      <c r="F222" s="55" t="s">
        <v>904</v>
      </c>
      <c r="G222" s="51">
        <v>2</v>
      </c>
      <c r="H222" s="52" t="s">
        <v>905</v>
      </c>
      <c r="I222" s="54">
        <v>389000</v>
      </c>
      <c r="J222" s="54">
        <v>0</v>
      </c>
      <c r="K222" s="54">
        <v>22000</v>
      </c>
      <c r="L222" s="54">
        <v>0</v>
      </c>
      <c r="M222" s="54">
        <v>0</v>
      </c>
      <c r="N222" s="54">
        <v>0</v>
      </c>
      <c r="O222" s="54">
        <v>0</v>
      </c>
      <c r="P222" s="54">
        <v>0</v>
      </c>
      <c r="Q222" s="54">
        <v>0</v>
      </c>
      <c r="R222" s="54">
        <v>0</v>
      </c>
      <c r="S222" s="54">
        <v>0</v>
      </c>
      <c r="T222" s="54">
        <v>0</v>
      </c>
      <c r="U222" s="54">
        <v>2263</v>
      </c>
      <c r="V222" s="54">
        <v>0</v>
      </c>
      <c r="W222" s="54">
        <v>0</v>
      </c>
      <c r="X222" s="54">
        <v>0</v>
      </c>
      <c r="Y222" s="54">
        <v>0</v>
      </c>
      <c r="Z222" s="54">
        <v>0</v>
      </c>
      <c r="AA222" s="54">
        <v>0</v>
      </c>
      <c r="AB222" s="54">
        <v>0</v>
      </c>
      <c r="AC222" s="54">
        <v>0</v>
      </c>
      <c r="AD222" s="54">
        <v>0</v>
      </c>
      <c r="AE222" s="54">
        <v>0</v>
      </c>
      <c r="AF222" s="54">
        <v>0</v>
      </c>
      <c r="AG222" s="54">
        <v>0</v>
      </c>
      <c r="AH222" s="54">
        <v>0</v>
      </c>
      <c r="AI222" s="54">
        <v>0</v>
      </c>
      <c r="AJ222" s="54">
        <v>0</v>
      </c>
      <c r="AK222" s="54">
        <v>0</v>
      </c>
      <c r="AL222" s="54">
        <v>0</v>
      </c>
      <c r="AM222" s="54" t="str">
        <f>I222-J222-K222-L222-M222-N222-O222-P222-Q222-R222-S222-T222-U222-V222-W222-X222-Y222-Z222-AA222-AB222-AC222-AD222-AE222-AF222-AG222+AH222-AI222+AJ222+AK222-AL222</f>
        <v>0</v>
      </c>
      <c r="AN222" s="54"/>
      <c r="AO222" s="27"/>
    </row>
    <row r="223" spans="1:41">
      <c r="A223" s="44">
        <v>195</v>
      </c>
      <c r="B223" s="47" t="s">
        <v>906</v>
      </c>
      <c r="C223" s="48" t="s">
        <v>907</v>
      </c>
      <c r="D223" s="52" t="s">
        <v>73</v>
      </c>
      <c r="E223" s="52" t="s">
        <v>872</v>
      </c>
      <c r="F223" s="55" t="s">
        <v>908</v>
      </c>
      <c r="G223" s="51">
        <v>3</v>
      </c>
      <c r="H223" s="52" t="s">
        <v>909</v>
      </c>
      <c r="I223" s="54">
        <v>270000</v>
      </c>
      <c r="J223" s="54">
        <v>0</v>
      </c>
      <c r="K223" s="54">
        <v>22000</v>
      </c>
      <c r="L223" s="54">
        <v>0</v>
      </c>
      <c r="M223" s="54">
        <v>0</v>
      </c>
      <c r="N223" s="54">
        <v>0</v>
      </c>
      <c r="O223" s="54">
        <v>0</v>
      </c>
      <c r="P223" s="54">
        <v>0</v>
      </c>
      <c r="Q223" s="54">
        <v>0</v>
      </c>
      <c r="R223" s="54">
        <v>0</v>
      </c>
      <c r="S223" s="54">
        <v>0</v>
      </c>
      <c r="T223" s="54">
        <v>0</v>
      </c>
      <c r="U223" s="54">
        <v>2263</v>
      </c>
      <c r="V223" s="54">
        <v>0</v>
      </c>
      <c r="W223" s="54">
        <v>0</v>
      </c>
      <c r="X223" s="54">
        <v>0</v>
      </c>
      <c r="Y223" s="54">
        <v>0</v>
      </c>
      <c r="Z223" s="54">
        <v>0</v>
      </c>
      <c r="AA223" s="54">
        <v>0</v>
      </c>
      <c r="AB223" s="54">
        <v>0</v>
      </c>
      <c r="AC223" s="54">
        <v>0</v>
      </c>
      <c r="AD223" s="54">
        <v>0</v>
      </c>
      <c r="AE223" s="54">
        <v>0</v>
      </c>
      <c r="AF223" s="54">
        <v>0</v>
      </c>
      <c r="AG223" s="54">
        <v>0</v>
      </c>
      <c r="AH223" s="54">
        <v>0</v>
      </c>
      <c r="AI223" s="54">
        <v>0</v>
      </c>
      <c r="AJ223" s="54">
        <v>0</v>
      </c>
      <c r="AK223" s="54">
        <v>0</v>
      </c>
      <c r="AL223" s="54">
        <v>0</v>
      </c>
      <c r="AM223" s="54" t="str">
        <f>I223-J223-K223-L223-M223-N223-O223-P223-Q223-R223-S223-T223-U223-V223-W223-X223-Y223-Z223-AA223-AB223-AC223-AD223-AE223-AF223-AG223+AH223-AI223+AJ223+AK223-AL223</f>
        <v>0</v>
      </c>
      <c r="AN223" s="54"/>
      <c r="AO223" s="27"/>
    </row>
    <row r="224" spans="1:41">
      <c r="A224" s="44">
        <v>196</v>
      </c>
      <c r="B224" s="47" t="s">
        <v>910</v>
      </c>
      <c r="C224" s="48" t="s">
        <v>911</v>
      </c>
      <c r="D224" s="52" t="s">
        <v>73</v>
      </c>
      <c r="E224" s="52" t="s">
        <v>872</v>
      </c>
      <c r="F224" s="55" t="s">
        <v>912</v>
      </c>
      <c r="G224" s="51">
        <v>6</v>
      </c>
      <c r="H224" s="52" t="s">
        <v>913</v>
      </c>
      <c r="I224" s="54">
        <v>1089000</v>
      </c>
      <c r="J224" s="54">
        <v>0</v>
      </c>
      <c r="K224" s="54">
        <v>31000</v>
      </c>
      <c r="L224" s="54">
        <v>0</v>
      </c>
      <c r="M224" s="54">
        <v>0</v>
      </c>
      <c r="N224" s="54">
        <v>0</v>
      </c>
      <c r="O224" s="54">
        <v>0</v>
      </c>
      <c r="P224" s="54">
        <v>0</v>
      </c>
      <c r="Q224" s="54">
        <v>0</v>
      </c>
      <c r="R224" s="54">
        <v>0</v>
      </c>
      <c r="S224" s="54">
        <v>0</v>
      </c>
      <c r="T224" s="54">
        <v>0</v>
      </c>
      <c r="U224" s="54">
        <v>3189</v>
      </c>
      <c r="V224" s="54">
        <v>0</v>
      </c>
      <c r="W224" s="54">
        <v>0</v>
      </c>
      <c r="X224" s="54">
        <v>0</v>
      </c>
      <c r="Y224" s="54">
        <v>0</v>
      </c>
      <c r="Z224" s="54">
        <v>0</v>
      </c>
      <c r="AA224" s="54">
        <v>0</v>
      </c>
      <c r="AB224" s="54">
        <v>0</v>
      </c>
      <c r="AC224" s="54">
        <v>0</v>
      </c>
      <c r="AD224" s="54">
        <v>0</v>
      </c>
      <c r="AE224" s="54">
        <v>0</v>
      </c>
      <c r="AF224" s="54">
        <v>0</v>
      </c>
      <c r="AG224" s="54">
        <v>0</v>
      </c>
      <c r="AH224" s="54">
        <v>0</v>
      </c>
      <c r="AI224" s="54">
        <v>0</v>
      </c>
      <c r="AJ224" s="54">
        <v>0</v>
      </c>
      <c r="AK224" s="54">
        <v>0</v>
      </c>
      <c r="AL224" s="54">
        <v>0</v>
      </c>
      <c r="AM224" s="54" t="str">
        <f>I224-J224-K224-L224-M224-N224-O224-P224-Q224-R224-S224-T224-U224-V224-W224-X224-Y224-Z224-AA224-AB224-AC224-AD224-AE224-AF224-AG224+AH224-AI224+AJ224+AK224-AL224</f>
        <v>0</v>
      </c>
      <c r="AN224" s="54"/>
      <c r="AO224" s="27"/>
    </row>
    <row r="225" spans="1:41">
      <c r="A225" s="44">
        <v>197</v>
      </c>
      <c r="B225" s="47" t="s">
        <v>914</v>
      </c>
      <c r="C225" s="48" t="s">
        <v>915</v>
      </c>
      <c r="D225" s="52" t="s">
        <v>73</v>
      </c>
      <c r="E225" s="52" t="s">
        <v>916</v>
      </c>
      <c r="F225" s="55" t="s">
        <v>917</v>
      </c>
      <c r="G225" s="51">
        <v>4</v>
      </c>
      <c r="H225" s="52" t="s">
        <v>918</v>
      </c>
      <c r="I225" s="54">
        <v>220000</v>
      </c>
      <c r="J225" s="54">
        <v>0</v>
      </c>
      <c r="K225" s="54">
        <v>25000</v>
      </c>
      <c r="L225" s="54">
        <v>0</v>
      </c>
      <c r="M225" s="54">
        <v>0</v>
      </c>
      <c r="N225" s="54">
        <v>0</v>
      </c>
      <c r="O225" s="54">
        <v>0</v>
      </c>
      <c r="P225" s="54">
        <v>0</v>
      </c>
      <c r="Q225" s="54">
        <v>0</v>
      </c>
      <c r="R225" s="54">
        <v>0</v>
      </c>
      <c r="S225" s="54">
        <v>0</v>
      </c>
      <c r="T225" s="54">
        <v>0</v>
      </c>
      <c r="U225" s="54">
        <v>2572</v>
      </c>
      <c r="V225" s="54">
        <v>0</v>
      </c>
      <c r="W225" s="54">
        <v>0</v>
      </c>
      <c r="X225" s="54">
        <v>0</v>
      </c>
      <c r="Y225" s="54">
        <v>0</v>
      </c>
      <c r="Z225" s="54">
        <v>0</v>
      </c>
      <c r="AA225" s="54">
        <v>0</v>
      </c>
      <c r="AB225" s="54">
        <v>0</v>
      </c>
      <c r="AC225" s="54">
        <v>0</v>
      </c>
      <c r="AD225" s="54">
        <v>0</v>
      </c>
      <c r="AE225" s="54">
        <v>0</v>
      </c>
      <c r="AF225" s="54">
        <v>0</v>
      </c>
      <c r="AG225" s="54">
        <v>0</v>
      </c>
      <c r="AH225" s="54">
        <v>0</v>
      </c>
      <c r="AI225" s="54">
        <v>0</v>
      </c>
      <c r="AJ225" s="54">
        <v>0</v>
      </c>
      <c r="AK225" s="54">
        <v>0</v>
      </c>
      <c r="AL225" s="54">
        <v>0</v>
      </c>
      <c r="AM225" s="54" t="str">
        <f>I225-J225-K225-L225-M225-N225-O225-P225-Q225-R225-S225-T225-U225-V225-W225-X225-Y225-Z225-AA225-AB225-AC225-AD225-AE225-AF225-AG225+AH225-AI225+AJ225+AK225-AL225</f>
        <v>0</v>
      </c>
      <c r="AN225" s="54"/>
      <c r="AO225" s="27"/>
    </row>
    <row r="226" spans="1:41">
      <c r="A226" s="44">
        <v>198</v>
      </c>
      <c r="B226" s="47" t="s">
        <v>919</v>
      </c>
      <c r="C226" s="48" t="s">
        <v>920</v>
      </c>
      <c r="D226" s="52" t="s">
        <v>73</v>
      </c>
      <c r="E226" s="52" t="s">
        <v>921</v>
      </c>
      <c r="F226" s="55" t="s">
        <v>922</v>
      </c>
      <c r="G226" s="51">
        <v>6</v>
      </c>
      <c r="H226" s="52" t="s">
        <v>923</v>
      </c>
      <c r="I226" s="54">
        <v>953000</v>
      </c>
      <c r="J226" s="54">
        <v>0</v>
      </c>
      <c r="K226" s="54">
        <v>31000</v>
      </c>
      <c r="L226" s="54">
        <v>0</v>
      </c>
      <c r="M226" s="54">
        <v>0</v>
      </c>
      <c r="N226" s="54">
        <v>0</v>
      </c>
      <c r="O226" s="54">
        <v>0</v>
      </c>
      <c r="P226" s="54">
        <v>0</v>
      </c>
      <c r="Q226" s="54">
        <v>0</v>
      </c>
      <c r="R226" s="54">
        <v>0</v>
      </c>
      <c r="S226" s="54">
        <v>0</v>
      </c>
      <c r="T226" s="54">
        <v>0</v>
      </c>
      <c r="U226" s="54">
        <v>3189</v>
      </c>
      <c r="V226" s="54">
        <v>0</v>
      </c>
      <c r="W226" s="54">
        <v>0</v>
      </c>
      <c r="X226" s="54">
        <v>0</v>
      </c>
      <c r="Y226" s="54">
        <v>0</v>
      </c>
      <c r="Z226" s="54">
        <v>0</v>
      </c>
      <c r="AA226" s="54">
        <v>0</v>
      </c>
      <c r="AB226" s="54">
        <v>0</v>
      </c>
      <c r="AC226" s="54">
        <v>0</v>
      </c>
      <c r="AD226" s="54">
        <v>0</v>
      </c>
      <c r="AE226" s="54">
        <v>0</v>
      </c>
      <c r="AF226" s="54">
        <v>0</v>
      </c>
      <c r="AG226" s="54">
        <v>0</v>
      </c>
      <c r="AH226" s="54">
        <v>0</v>
      </c>
      <c r="AI226" s="54">
        <v>0</v>
      </c>
      <c r="AJ226" s="54">
        <v>0</v>
      </c>
      <c r="AK226" s="54">
        <v>0</v>
      </c>
      <c r="AL226" s="54">
        <v>0</v>
      </c>
      <c r="AM226" s="54" t="str">
        <f>I226-J226-K226-L226-M226-N226-O226-P226-Q226-R226-S226-T226-U226-V226-W226-X226-Y226-Z226-AA226-AB226-AC226-AD226-AE226-AF226-AG226+AH226-AI226+AJ226+AK226-AL226</f>
        <v>0</v>
      </c>
      <c r="AN226" s="54"/>
      <c r="AO226" s="27"/>
    </row>
    <row r="227" spans="1:41">
      <c r="A227" s="44">
        <v>199</v>
      </c>
      <c r="B227" s="47" t="s">
        <v>924</v>
      </c>
      <c r="C227" s="48" t="s">
        <v>925</v>
      </c>
      <c r="D227" s="52" t="s">
        <v>73</v>
      </c>
      <c r="E227" s="52" t="s">
        <v>921</v>
      </c>
      <c r="F227" s="55" t="s">
        <v>926</v>
      </c>
      <c r="G227" s="51">
        <v>3</v>
      </c>
      <c r="H227" s="52" t="s">
        <v>927</v>
      </c>
      <c r="I227" s="54">
        <v>215100</v>
      </c>
      <c r="J227" s="54">
        <v>0</v>
      </c>
      <c r="K227" s="54">
        <v>22000</v>
      </c>
      <c r="L227" s="54">
        <v>0</v>
      </c>
      <c r="M227" s="54">
        <v>0</v>
      </c>
      <c r="N227" s="54">
        <v>0</v>
      </c>
      <c r="O227" s="54">
        <v>0</v>
      </c>
      <c r="P227" s="54">
        <v>0</v>
      </c>
      <c r="Q227" s="54">
        <v>0</v>
      </c>
      <c r="R227" s="54">
        <v>0</v>
      </c>
      <c r="S227" s="54">
        <v>0</v>
      </c>
      <c r="T227" s="54">
        <v>0</v>
      </c>
      <c r="U227" s="54">
        <v>2263</v>
      </c>
      <c r="V227" s="54">
        <v>0</v>
      </c>
      <c r="W227" s="54">
        <v>0</v>
      </c>
      <c r="X227" s="54">
        <v>0</v>
      </c>
      <c r="Y227" s="54">
        <v>0</v>
      </c>
      <c r="Z227" s="54">
        <v>0</v>
      </c>
      <c r="AA227" s="54">
        <v>0</v>
      </c>
      <c r="AB227" s="54">
        <v>0</v>
      </c>
      <c r="AC227" s="54">
        <v>0</v>
      </c>
      <c r="AD227" s="54">
        <v>0</v>
      </c>
      <c r="AE227" s="54">
        <v>0</v>
      </c>
      <c r="AF227" s="54">
        <v>0</v>
      </c>
      <c r="AG227" s="54">
        <v>0</v>
      </c>
      <c r="AH227" s="54">
        <v>0</v>
      </c>
      <c r="AI227" s="54">
        <v>0</v>
      </c>
      <c r="AJ227" s="54">
        <v>0</v>
      </c>
      <c r="AK227" s="54">
        <v>0</v>
      </c>
      <c r="AL227" s="54">
        <v>0</v>
      </c>
      <c r="AM227" s="54" t="str">
        <f>I227-J227-K227-L227-M227-N227-O227-P227-Q227-R227-S227-T227-U227-V227-W227-X227-Y227-Z227-AA227-AB227-AC227-AD227-AE227-AF227-AG227+AH227-AI227+AJ227+AK227-AL227</f>
        <v>0</v>
      </c>
      <c r="AN227" s="54"/>
      <c r="AO227" s="27"/>
    </row>
    <row r="228" spans="1:41">
      <c r="A228" s="44">
        <v>200</v>
      </c>
      <c r="B228" s="47" t="s">
        <v>928</v>
      </c>
      <c r="C228" s="48" t="s">
        <v>929</v>
      </c>
      <c r="D228" s="52" t="s">
        <v>73</v>
      </c>
      <c r="E228" s="52" t="s">
        <v>921</v>
      </c>
      <c r="F228" s="55" t="s">
        <v>930</v>
      </c>
      <c r="G228" s="51">
        <v>2</v>
      </c>
      <c r="H228" s="52" t="s">
        <v>931</v>
      </c>
      <c r="I228" s="54">
        <v>299000</v>
      </c>
      <c r="J228" s="54">
        <v>0</v>
      </c>
      <c r="K228" s="54">
        <v>22000</v>
      </c>
      <c r="L228" s="54">
        <v>0</v>
      </c>
      <c r="M228" s="54">
        <v>0</v>
      </c>
      <c r="N228" s="54">
        <v>0</v>
      </c>
      <c r="O228" s="54">
        <v>0</v>
      </c>
      <c r="P228" s="54">
        <v>0</v>
      </c>
      <c r="Q228" s="54">
        <v>0</v>
      </c>
      <c r="R228" s="54">
        <v>0</v>
      </c>
      <c r="S228" s="54">
        <v>0</v>
      </c>
      <c r="T228" s="54">
        <v>0</v>
      </c>
      <c r="U228" s="54">
        <v>2263</v>
      </c>
      <c r="V228" s="54">
        <v>0</v>
      </c>
      <c r="W228" s="54">
        <v>0</v>
      </c>
      <c r="X228" s="54">
        <v>0</v>
      </c>
      <c r="Y228" s="54">
        <v>0</v>
      </c>
      <c r="Z228" s="54">
        <v>0</v>
      </c>
      <c r="AA228" s="54">
        <v>0</v>
      </c>
      <c r="AB228" s="54">
        <v>0</v>
      </c>
      <c r="AC228" s="54">
        <v>0</v>
      </c>
      <c r="AD228" s="54">
        <v>0</v>
      </c>
      <c r="AE228" s="54">
        <v>0</v>
      </c>
      <c r="AF228" s="54">
        <v>0</v>
      </c>
      <c r="AG228" s="54">
        <v>0</v>
      </c>
      <c r="AH228" s="54">
        <v>0</v>
      </c>
      <c r="AI228" s="54">
        <v>0</v>
      </c>
      <c r="AJ228" s="54">
        <v>0</v>
      </c>
      <c r="AK228" s="54">
        <v>0</v>
      </c>
      <c r="AL228" s="54">
        <v>0</v>
      </c>
      <c r="AM228" s="54" t="str">
        <f>I228-J228-K228-L228-M228-N228-O228-P228-Q228-R228-S228-T228-U228-V228-W228-X228-Y228-Z228-AA228-AB228-AC228-AD228-AE228-AF228-AG228+AH228-AI228+AJ228+AK228-AL228</f>
        <v>0</v>
      </c>
      <c r="AN228" s="54"/>
      <c r="AO228" s="27"/>
    </row>
    <row r="229" spans="1:41">
      <c r="A229" s="44">
        <v>201</v>
      </c>
      <c r="B229" s="47" t="s">
        <v>932</v>
      </c>
      <c r="C229" s="48" t="s">
        <v>933</v>
      </c>
      <c r="D229" s="52" t="s">
        <v>73</v>
      </c>
      <c r="E229" s="52" t="s">
        <v>921</v>
      </c>
      <c r="F229" s="55" t="s">
        <v>934</v>
      </c>
      <c r="G229" s="51">
        <v>3</v>
      </c>
      <c r="H229" s="52" t="s">
        <v>935</v>
      </c>
      <c r="I229" s="54">
        <v>800000</v>
      </c>
      <c r="J229" s="54">
        <v>0</v>
      </c>
      <c r="K229" s="54">
        <v>22000</v>
      </c>
      <c r="L229" s="54">
        <v>0</v>
      </c>
      <c r="M229" s="54">
        <v>0</v>
      </c>
      <c r="N229" s="54">
        <v>0</v>
      </c>
      <c r="O229" s="54">
        <v>0</v>
      </c>
      <c r="P229" s="54">
        <v>0</v>
      </c>
      <c r="Q229" s="54">
        <v>0</v>
      </c>
      <c r="R229" s="54">
        <v>0</v>
      </c>
      <c r="S229" s="54">
        <v>0</v>
      </c>
      <c r="T229" s="54">
        <v>0</v>
      </c>
      <c r="U229" s="54">
        <v>2263</v>
      </c>
      <c r="V229" s="54">
        <v>0</v>
      </c>
      <c r="W229" s="54">
        <v>0</v>
      </c>
      <c r="X229" s="54">
        <v>0</v>
      </c>
      <c r="Y229" s="54">
        <v>0</v>
      </c>
      <c r="Z229" s="54">
        <v>0</v>
      </c>
      <c r="AA229" s="54">
        <v>0</v>
      </c>
      <c r="AB229" s="54">
        <v>0</v>
      </c>
      <c r="AC229" s="54">
        <v>0</v>
      </c>
      <c r="AD229" s="54">
        <v>0</v>
      </c>
      <c r="AE229" s="54">
        <v>0</v>
      </c>
      <c r="AF229" s="54">
        <v>0</v>
      </c>
      <c r="AG229" s="54">
        <v>0</v>
      </c>
      <c r="AH229" s="54">
        <v>0</v>
      </c>
      <c r="AI229" s="54">
        <v>0</v>
      </c>
      <c r="AJ229" s="54">
        <v>0</v>
      </c>
      <c r="AK229" s="54">
        <v>0</v>
      </c>
      <c r="AL229" s="54">
        <v>0</v>
      </c>
      <c r="AM229" s="54" t="str">
        <f>I229-J229-K229-L229-M229-N229-O229-P229-Q229-R229-S229-T229-U229-V229-W229-X229-Y229-Z229-AA229-AB229-AC229-AD229-AE229-AF229-AG229+AH229-AI229+AJ229+AK229-AL229</f>
        <v>0</v>
      </c>
      <c r="AN229" s="54"/>
      <c r="AO229" s="27"/>
    </row>
    <row r="230" spans="1:41">
      <c r="A230" s="44">
        <v>202</v>
      </c>
      <c r="B230" s="47" t="s">
        <v>936</v>
      </c>
      <c r="C230" s="48" t="s">
        <v>937</v>
      </c>
      <c r="D230" s="52" t="s">
        <v>73</v>
      </c>
      <c r="E230" s="52" t="s">
        <v>921</v>
      </c>
      <c r="F230" s="55" t="s">
        <v>938</v>
      </c>
      <c r="G230" s="51">
        <v>2</v>
      </c>
      <c r="H230" s="52" t="s">
        <v>939</v>
      </c>
      <c r="I230" s="54">
        <v>720000</v>
      </c>
      <c r="J230" s="54">
        <v>0</v>
      </c>
      <c r="K230" s="54">
        <v>22000</v>
      </c>
      <c r="L230" s="54">
        <v>0</v>
      </c>
      <c r="M230" s="54">
        <v>0</v>
      </c>
      <c r="N230" s="54">
        <v>0</v>
      </c>
      <c r="O230" s="54">
        <v>0</v>
      </c>
      <c r="P230" s="54">
        <v>0</v>
      </c>
      <c r="Q230" s="54">
        <v>0</v>
      </c>
      <c r="R230" s="54">
        <v>0</v>
      </c>
      <c r="S230" s="54">
        <v>0</v>
      </c>
      <c r="T230" s="54">
        <v>0</v>
      </c>
      <c r="U230" s="54">
        <v>2263</v>
      </c>
      <c r="V230" s="54">
        <v>0</v>
      </c>
      <c r="W230" s="54">
        <v>0</v>
      </c>
      <c r="X230" s="54">
        <v>0</v>
      </c>
      <c r="Y230" s="54">
        <v>0</v>
      </c>
      <c r="Z230" s="54">
        <v>0</v>
      </c>
      <c r="AA230" s="54">
        <v>0</v>
      </c>
      <c r="AB230" s="54">
        <v>0</v>
      </c>
      <c r="AC230" s="54">
        <v>0</v>
      </c>
      <c r="AD230" s="54">
        <v>0</v>
      </c>
      <c r="AE230" s="54">
        <v>0</v>
      </c>
      <c r="AF230" s="54">
        <v>0</v>
      </c>
      <c r="AG230" s="54">
        <v>0</v>
      </c>
      <c r="AH230" s="54">
        <v>0</v>
      </c>
      <c r="AI230" s="54">
        <v>0</v>
      </c>
      <c r="AJ230" s="54">
        <v>0</v>
      </c>
      <c r="AK230" s="54">
        <v>0</v>
      </c>
      <c r="AL230" s="54">
        <v>0</v>
      </c>
      <c r="AM230" s="54" t="str">
        <f>I230-J230-K230-L230-M230-N230-O230-P230-Q230-R230-S230-T230-U230-V230-W230-X230-Y230-Z230-AA230-AB230-AC230-AD230-AE230-AF230-AG230+AH230-AI230+AJ230+AK230-AL230</f>
        <v>0</v>
      </c>
      <c r="AN230" s="54"/>
      <c r="AO230" s="27"/>
    </row>
    <row r="231" spans="1:41">
      <c r="A231" s="44">
        <v>203</v>
      </c>
      <c r="B231" s="47" t="s">
        <v>940</v>
      </c>
      <c r="C231" s="48" t="s">
        <v>941</v>
      </c>
      <c r="D231" s="52" t="s">
        <v>62</v>
      </c>
      <c r="E231" s="52" t="s">
        <v>921</v>
      </c>
      <c r="F231" s="55" t="s">
        <v>942</v>
      </c>
      <c r="G231" s="51">
        <v>3</v>
      </c>
      <c r="H231" s="52" t="s">
        <v>943</v>
      </c>
      <c r="I231" s="54">
        <v>0</v>
      </c>
      <c r="J231" s="54">
        <v>0</v>
      </c>
      <c r="K231" s="54">
        <v>22000</v>
      </c>
      <c r="L231" s="54">
        <v>0</v>
      </c>
      <c r="M231" s="54">
        <v>0</v>
      </c>
      <c r="N231" s="54">
        <v>0</v>
      </c>
      <c r="O231" s="54">
        <v>0</v>
      </c>
      <c r="P231" s="54">
        <v>0</v>
      </c>
      <c r="Q231" s="54">
        <v>0</v>
      </c>
      <c r="R231" s="54">
        <v>0</v>
      </c>
      <c r="S231" s="54">
        <v>0</v>
      </c>
      <c r="T231" s="54">
        <v>0</v>
      </c>
      <c r="U231" s="54">
        <v>1397</v>
      </c>
      <c r="V231" s="54">
        <v>0</v>
      </c>
      <c r="W231" s="54">
        <v>0</v>
      </c>
      <c r="X231" s="54">
        <v>0</v>
      </c>
      <c r="Y231" s="54">
        <v>11000</v>
      </c>
      <c r="Z231" s="54">
        <v>0</v>
      </c>
      <c r="AA231" s="54">
        <v>0</v>
      </c>
      <c r="AB231" s="54">
        <v>0</v>
      </c>
      <c r="AC231" s="54">
        <v>0</v>
      </c>
      <c r="AD231" s="54">
        <v>0</v>
      </c>
      <c r="AE231" s="54">
        <v>0</v>
      </c>
      <c r="AF231" s="54">
        <v>0</v>
      </c>
      <c r="AG231" s="54">
        <v>0</v>
      </c>
      <c r="AH231" s="54">
        <v>0</v>
      </c>
      <c r="AI231" s="54">
        <v>0</v>
      </c>
      <c r="AJ231" s="54">
        <v>0</v>
      </c>
      <c r="AK231" s="54">
        <v>0</v>
      </c>
      <c r="AL231" s="54">
        <v>0</v>
      </c>
      <c r="AM231" s="54" t="str">
        <f>I231-J231-K231-L231-M231-N231-O231-P231-Q231-R231-S231-T231-U231-V231-W231-X231-Y231-Z231-AA231-AB231-AC231-AD231-AE231-AF231-AG231+AH231-AI231+AJ231+AK231-AL231</f>
        <v>0</v>
      </c>
      <c r="AN231" s="54"/>
      <c r="AO231" s="27"/>
    </row>
    <row r="232" spans="1:41">
      <c r="A232" s="44">
        <v>204</v>
      </c>
      <c r="B232" s="47" t="s">
        <v>944</v>
      </c>
      <c r="C232" s="48" t="s">
        <v>945</v>
      </c>
      <c r="D232" s="52" t="s">
        <v>73</v>
      </c>
      <c r="E232" s="52" t="s">
        <v>921</v>
      </c>
      <c r="F232" s="55" t="s">
        <v>946</v>
      </c>
      <c r="G232" s="51">
        <v>5.7</v>
      </c>
      <c r="H232" s="52" t="s">
        <v>947</v>
      </c>
      <c r="I232" s="54">
        <v>1210000</v>
      </c>
      <c r="J232" s="54">
        <v>0</v>
      </c>
      <c r="K232" s="54">
        <v>31000</v>
      </c>
      <c r="L232" s="54">
        <v>0</v>
      </c>
      <c r="M232" s="54">
        <v>0</v>
      </c>
      <c r="N232" s="54">
        <v>0</v>
      </c>
      <c r="O232" s="54">
        <v>0</v>
      </c>
      <c r="P232" s="54">
        <v>0</v>
      </c>
      <c r="Q232" s="54">
        <v>0</v>
      </c>
      <c r="R232" s="54">
        <v>0</v>
      </c>
      <c r="S232" s="54">
        <v>0</v>
      </c>
      <c r="T232" s="54">
        <v>0</v>
      </c>
      <c r="U232" s="54">
        <v>1968</v>
      </c>
      <c r="V232" s="54">
        <v>0</v>
      </c>
      <c r="W232" s="54">
        <v>0</v>
      </c>
      <c r="X232" s="54">
        <v>0</v>
      </c>
      <c r="Y232" s="54">
        <v>0</v>
      </c>
      <c r="Z232" s="54">
        <v>0</v>
      </c>
      <c r="AA232" s="54">
        <v>0</v>
      </c>
      <c r="AB232" s="54">
        <v>0</v>
      </c>
      <c r="AC232" s="54">
        <v>0</v>
      </c>
      <c r="AD232" s="54">
        <v>0</v>
      </c>
      <c r="AE232" s="54">
        <v>0</v>
      </c>
      <c r="AF232" s="54">
        <v>0</v>
      </c>
      <c r="AG232" s="54">
        <v>0</v>
      </c>
      <c r="AH232" s="54">
        <v>0</v>
      </c>
      <c r="AI232" s="54">
        <v>0</v>
      </c>
      <c r="AJ232" s="54">
        <v>0</v>
      </c>
      <c r="AK232" s="54">
        <v>0</v>
      </c>
      <c r="AL232" s="54">
        <v>0</v>
      </c>
      <c r="AM232" s="54" t="str">
        <f>I232-J232-K232-L232-M232-N232-O232-P232-Q232-R232-S232-T232-U232-V232-W232-X232-Y232-Z232-AA232-AB232-AC232-AD232-AE232-AF232-AG232+AH232-AI232+AJ232+AK232-AL232</f>
        <v>0</v>
      </c>
      <c r="AN232" s="54"/>
      <c r="AO232" s="27"/>
    </row>
    <row r="233" spans="1:41">
      <c r="A233" s="44">
        <v>205</v>
      </c>
      <c r="B233" s="47" t="s">
        <v>948</v>
      </c>
      <c r="C233" s="48" t="s">
        <v>949</v>
      </c>
      <c r="D233" s="52" t="s">
        <v>73</v>
      </c>
      <c r="E233" s="52" t="s">
        <v>921</v>
      </c>
      <c r="F233" s="55" t="s">
        <v>950</v>
      </c>
      <c r="G233" s="51">
        <v>9</v>
      </c>
      <c r="H233" s="52" t="s">
        <v>951</v>
      </c>
      <c r="I233" s="54">
        <v>405000</v>
      </c>
      <c r="J233" s="54">
        <v>0</v>
      </c>
      <c r="K233" s="54">
        <v>44000</v>
      </c>
      <c r="L233" s="54">
        <v>0</v>
      </c>
      <c r="M233" s="54">
        <v>0</v>
      </c>
      <c r="N233" s="54">
        <v>0</v>
      </c>
      <c r="O233" s="54">
        <v>0</v>
      </c>
      <c r="P233" s="54">
        <v>0</v>
      </c>
      <c r="Q233" s="54">
        <v>0</v>
      </c>
      <c r="R233" s="54">
        <v>0</v>
      </c>
      <c r="S233" s="54">
        <v>0</v>
      </c>
      <c r="T233" s="54">
        <v>0</v>
      </c>
      <c r="U233" s="54">
        <v>4527</v>
      </c>
      <c r="V233" s="54">
        <v>0</v>
      </c>
      <c r="W233" s="54">
        <v>0</v>
      </c>
      <c r="X233" s="54">
        <v>0</v>
      </c>
      <c r="Y233" s="54">
        <v>0</v>
      </c>
      <c r="Z233" s="54">
        <v>0</v>
      </c>
      <c r="AA233" s="54">
        <v>0</v>
      </c>
      <c r="AB233" s="54">
        <v>0</v>
      </c>
      <c r="AC233" s="54">
        <v>0</v>
      </c>
      <c r="AD233" s="54">
        <v>0</v>
      </c>
      <c r="AE233" s="54">
        <v>0</v>
      </c>
      <c r="AF233" s="54">
        <v>0</v>
      </c>
      <c r="AG233" s="54">
        <v>0</v>
      </c>
      <c r="AH233" s="54">
        <v>0</v>
      </c>
      <c r="AI233" s="54">
        <v>0</v>
      </c>
      <c r="AJ233" s="54">
        <v>0</v>
      </c>
      <c r="AK233" s="54">
        <v>0</v>
      </c>
      <c r="AL233" s="54">
        <v>0</v>
      </c>
      <c r="AM233" s="54" t="str">
        <f>I233-J233-K233-L233-M233-N233-O233-P233-Q233-R233-S233-T233-U233-V233-W233-X233-Y233-Z233-AA233-AB233-AC233-AD233-AE233-AF233-AG233+AH233-AI233+AJ233+AK233-AL233</f>
        <v>0</v>
      </c>
      <c r="AN233" s="54"/>
      <c r="AO233" s="27"/>
    </row>
    <row r="234" spans="1:41">
      <c r="A234" s="44">
        <v>206</v>
      </c>
      <c r="B234" s="47" t="s">
        <v>952</v>
      </c>
      <c r="C234" s="48" t="s">
        <v>953</v>
      </c>
      <c r="D234" s="52" t="s">
        <v>73</v>
      </c>
      <c r="E234" s="52" t="s">
        <v>921</v>
      </c>
      <c r="F234" s="55" t="s">
        <v>954</v>
      </c>
      <c r="G234" s="51">
        <v>8</v>
      </c>
      <c r="H234" s="52" t="s">
        <v>955</v>
      </c>
      <c r="I234" s="54">
        <v>921000</v>
      </c>
      <c r="J234" s="54">
        <v>0</v>
      </c>
      <c r="K234" s="54">
        <v>39000</v>
      </c>
      <c r="L234" s="54">
        <v>0</v>
      </c>
      <c r="M234" s="54">
        <v>0</v>
      </c>
      <c r="N234" s="54">
        <v>0</v>
      </c>
      <c r="O234" s="54">
        <v>0</v>
      </c>
      <c r="P234" s="54">
        <v>0</v>
      </c>
      <c r="Q234" s="54">
        <v>0</v>
      </c>
      <c r="R234" s="54">
        <v>0</v>
      </c>
      <c r="S234" s="54">
        <v>0</v>
      </c>
      <c r="T234" s="54">
        <v>0</v>
      </c>
      <c r="U234" s="54">
        <v>4013</v>
      </c>
      <c r="V234" s="54">
        <v>0</v>
      </c>
      <c r="W234" s="54">
        <v>0</v>
      </c>
      <c r="X234" s="54">
        <v>0</v>
      </c>
      <c r="Y234" s="54">
        <v>0</v>
      </c>
      <c r="Z234" s="54">
        <v>0</v>
      </c>
      <c r="AA234" s="54">
        <v>0</v>
      </c>
      <c r="AB234" s="54">
        <v>0</v>
      </c>
      <c r="AC234" s="54">
        <v>0</v>
      </c>
      <c r="AD234" s="54">
        <v>0</v>
      </c>
      <c r="AE234" s="54">
        <v>0</v>
      </c>
      <c r="AF234" s="54">
        <v>0</v>
      </c>
      <c r="AG234" s="54">
        <v>0</v>
      </c>
      <c r="AH234" s="54">
        <v>0</v>
      </c>
      <c r="AI234" s="54">
        <v>0</v>
      </c>
      <c r="AJ234" s="54">
        <v>0</v>
      </c>
      <c r="AK234" s="54">
        <v>0</v>
      </c>
      <c r="AL234" s="54">
        <v>0</v>
      </c>
      <c r="AM234" s="54" t="str">
        <f>I234-J234-K234-L234-M234-N234-O234-P234-Q234-R234-S234-T234-U234-V234-W234-X234-Y234-Z234-AA234-AB234-AC234-AD234-AE234-AF234-AG234+AH234-AI234+AJ234+AK234-AL234</f>
        <v>0</v>
      </c>
      <c r="AN234" s="54"/>
      <c r="AO234" s="27"/>
    </row>
    <row r="235" spans="1:41">
      <c r="A235" s="44">
        <v>207</v>
      </c>
      <c r="B235" s="47" t="s">
        <v>956</v>
      </c>
      <c r="C235" s="48" t="s">
        <v>957</v>
      </c>
      <c r="D235" s="52" t="s">
        <v>73</v>
      </c>
      <c r="E235" s="52" t="s">
        <v>921</v>
      </c>
      <c r="F235" s="55" t="s">
        <v>958</v>
      </c>
      <c r="G235" s="51">
        <v>2</v>
      </c>
      <c r="H235" s="52" t="s">
        <v>959</v>
      </c>
      <c r="I235" s="54">
        <v>725000</v>
      </c>
      <c r="J235" s="54">
        <v>0</v>
      </c>
      <c r="K235" s="54">
        <v>22000</v>
      </c>
      <c r="L235" s="54">
        <v>0</v>
      </c>
      <c r="M235" s="54">
        <v>0</v>
      </c>
      <c r="N235" s="54">
        <v>0</v>
      </c>
      <c r="O235" s="54">
        <v>0</v>
      </c>
      <c r="P235" s="54">
        <v>0</v>
      </c>
      <c r="Q235" s="54">
        <v>0</v>
      </c>
      <c r="R235" s="54">
        <v>0</v>
      </c>
      <c r="S235" s="54">
        <v>0</v>
      </c>
      <c r="T235" s="54">
        <v>0</v>
      </c>
      <c r="U235" s="54">
        <v>2263</v>
      </c>
      <c r="V235" s="54">
        <v>0</v>
      </c>
      <c r="W235" s="54">
        <v>0</v>
      </c>
      <c r="X235" s="54">
        <v>0</v>
      </c>
      <c r="Y235" s="54">
        <v>0</v>
      </c>
      <c r="Z235" s="54">
        <v>0</v>
      </c>
      <c r="AA235" s="54">
        <v>0</v>
      </c>
      <c r="AB235" s="54">
        <v>0</v>
      </c>
      <c r="AC235" s="54">
        <v>0</v>
      </c>
      <c r="AD235" s="54">
        <v>0</v>
      </c>
      <c r="AE235" s="54">
        <v>0</v>
      </c>
      <c r="AF235" s="54">
        <v>0</v>
      </c>
      <c r="AG235" s="54">
        <v>0</v>
      </c>
      <c r="AH235" s="54">
        <v>0</v>
      </c>
      <c r="AI235" s="54">
        <v>0</v>
      </c>
      <c r="AJ235" s="54">
        <v>0</v>
      </c>
      <c r="AK235" s="54">
        <v>0</v>
      </c>
      <c r="AL235" s="54">
        <v>0</v>
      </c>
      <c r="AM235" s="54" t="str">
        <f>I235-J235-K235-L235-M235-N235-O235-P235-Q235-R235-S235-T235-U235-V235-W235-X235-Y235-Z235-AA235-AB235-AC235-AD235-AE235-AF235-AG235+AH235-AI235+AJ235+AK235-AL235</f>
        <v>0</v>
      </c>
      <c r="AN235" s="54"/>
      <c r="AO235" s="27"/>
    </row>
    <row r="236" spans="1:41">
      <c r="A236" s="44">
        <v>208</v>
      </c>
      <c r="B236" s="47" t="s">
        <v>960</v>
      </c>
      <c r="C236" s="48" t="s">
        <v>961</v>
      </c>
      <c r="D236" s="52" t="s">
        <v>73</v>
      </c>
      <c r="E236" s="52" t="s">
        <v>921</v>
      </c>
      <c r="F236" s="55" t="s">
        <v>962</v>
      </c>
      <c r="G236" s="51">
        <v>5</v>
      </c>
      <c r="H236" s="52" t="s">
        <v>963</v>
      </c>
      <c r="I236" s="54">
        <v>1475000</v>
      </c>
      <c r="J236" s="54">
        <v>0</v>
      </c>
      <c r="K236" s="54">
        <v>27000</v>
      </c>
      <c r="L236" s="54">
        <v>0</v>
      </c>
      <c r="M236" s="54">
        <v>0</v>
      </c>
      <c r="N236" s="54">
        <v>0</v>
      </c>
      <c r="O236" s="54">
        <v>0</v>
      </c>
      <c r="P236" s="54">
        <v>0</v>
      </c>
      <c r="Q236" s="54">
        <v>0</v>
      </c>
      <c r="R236" s="54">
        <v>0</v>
      </c>
      <c r="S236" s="54">
        <v>0</v>
      </c>
      <c r="T236" s="54">
        <v>0</v>
      </c>
      <c r="U236" s="54">
        <v>2778</v>
      </c>
      <c r="V236" s="54">
        <v>0</v>
      </c>
      <c r="W236" s="54">
        <v>0</v>
      </c>
      <c r="X236" s="54">
        <v>0</v>
      </c>
      <c r="Y236" s="54">
        <v>0</v>
      </c>
      <c r="Z236" s="54">
        <v>0</v>
      </c>
      <c r="AA236" s="54">
        <v>0</v>
      </c>
      <c r="AB236" s="54">
        <v>0</v>
      </c>
      <c r="AC236" s="54">
        <v>0</v>
      </c>
      <c r="AD236" s="54">
        <v>0</v>
      </c>
      <c r="AE236" s="54">
        <v>0</v>
      </c>
      <c r="AF236" s="54">
        <v>0</v>
      </c>
      <c r="AG236" s="54">
        <v>0</v>
      </c>
      <c r="AH236" s="54">
        <v>0</v>
      </c>
      <c r="AI236" s="54">
        <v>0</v>
      </c>
      <c r="AJ236" s="54">
        <v>0</v>
      </c>
      <c r="AK236" s="54">
        <v>0</v>
      </c>
      <c r="AL236" s="54">
        <v>0</v>
      </c>
      <c r="AM236" s="54" t="str">
        <f>I236-J236-K236-L236-M236-N236-O236-P236-Q236-R236-S236-T236-U236-V236-W236-X236-Y236-Z236-AA236-AB236-AC236-AD236-AE236-AF236-AG236+AH236-AI236+AJ236+AK236-AL236</f>
        <v>0</v>
      </c>
      <c r="AN236" s="54"/>
      <c r="AO236" s="27"/>
    </row>
    <row r="237" spans="1:41">
      <c r="A237" s="44">
        <v>209</v>
      </c>
      <c r="B237" s="47" t="s">
        <v>964</v>
      </c>
      <c r="C237" s="48" t="s">
        <v>965</v>
      </c>
      <c r="D237" s="52" t="s">
        <v>73</v>
      </c>
      <c r="E237" s="52" t="s">
        <v>921</v>
      </c>
      <c r="F237" s="55" t="s">
        <v>966</v>
      </c>
      <c r="G237" s="51">
        <v>2</v>
      </c>
      <c r="H237" s="52" t="s">
        <v>967</v>
      </c>
      <c r="I237" s="54">
        <v>218700</v>
      </c>
      <c r="J237" s="54">
        <v>0</v>
      </c>
      <c r="K237" s="54">
        <v>22000</v>
      </c>
      <c r="L237" s="54">
        <v>0</v>
      </c>
      <c r="M237" s="54">
        <v>0</v>
      </c>
      <c r="N237" s="54">
        <v>0</v>
      </c>
      <c r="O237" s="54">
        <v>0</v>
      </c>
      <c r="P237" s="54">
        <v>0</v>
      </c>
      <c r="Q237" s="54">
        <v>0</v>
      </c>
      <c r="R237" s="54">
        <v>0</v>
      </c>
      <c r="S237" s="54">
        <v>0</v>
      </c>
      <c r="T237" s="54">
        <v>0</v>
      </c>
      <c r="U237" s="54">
        <v>2263</v>
      </c>
      <c r="V237" s="54">
        <v>0</v>
      </c>
      <c r="W237" s="54">
        <v>0</v>
      </c>
      <c r="X237" s="54">
        <v>0</v>
      </c>
      <c r="Y237" s="54">
        <v>0</v>
      </c>
      <c r="Z237" s="54">
        <v>0</v>
      </c>
      <c r="AA237" s="54">
        <v>0</v>
      </c>
      <c r="AB237" s="54">
        <v>0</v>
      </c>
      <c r="AC237" s="54">
        <v>0</v>
      </c>
      <c r="AD237" s="54">
        <v>0</v>
      </c>
      <c r="AE237" s="54">
        <v>0</v>
      </c>
      <c r="AF237" s="54">
        <v>0</v>
      </c>
      <c r="AG237" s="54">
        <v>0</v>
      </c>
      <c r="AH237" s="54">
        <v>0</v>
      </c>
      <c r="AI237" s="54">
        <v>0</v>
      </c>
      <c r="AJ237" s="54">
        <v>0</v>
      </c>
      <c r="AK237" s="54">
        <v>0</v>
      </c>
      <c r="AL237" s="54">
        <v>0</v>
      </c>
      <c r="AM237" s="54" t="str">
        <f>I237-J237-K237-L237-M237-N237-O237-P237-Q237-R237-S237-T237-U237-V237-W237-X237-Y237-Z237-AA237-AB237-AC237-AD237-AE237-AF237-AG237+AH237-AI237+AJ237+AK237-AL237</f>
        <v>0</v>
      </c>
      <c r="AN237" s="54"/>
      <c r="AO237" s="27"/>
    </row>
    <row r="238" spans="1:41">
      <c r="A238" s="44">
        <v>210</v>
      </c>
      <c r="B238" s="47" t="s">
        <v>968</v>
      </c>
      <c r="C238" s="48" t="s">
        <v>969</v>
      </c>
      <c r="D238" s="52" t="s">
        <v>73</v>
      </c>
      <c r="E238" s="52" t="s">
        <v>921</v>
      </c>
      <c r="F238" s="55" t="s">
        <v>970</v>
      </c>
      <c r="G238" s="51">
        <v>2</v>
      </c>
      <c r="H238" s="52" t="s">
        <v>971</v>
      </c>
      <c r="I238" s="54">
        <v>499000</v>
      </c>
      <c r="J238" s="54">
        <v>0</v>
      </c>
      <c r="K238" s="54">
        <v>22000</v>
      </c>
      <c r="L238" s="54">
        <v>0</v>
      </c>
      <c r="M238" s="54">
        <v>0</v>
      </c>
      <c r="N238" s="54">
        <v>0</v>
      </c>
      <c r="O238" s="54">
        <v>0</v>
      </c>
      <c r="P238" s="54">
        <v>0</v>
      </c>
      <c r="Q238" s="54">
        <v>0</v>
      </c>
      <c r="R238" s="54">
        <v>0</v>
      </c>
      <c r="S238" s="54">
        <v>0</v>
      </c>
      <c r="T238" s="54">
        <v>0</v>
      </c>
      <c r="U238" s="54">
        <v>2263</v>
      </c>
      <c r="V238" s="54">
        <v>0</v>
      </c>
      <c r="W238" s="54">
        <v>0</v>
      </c>
      <c r="X238" s="54">
        <v>0</v>
      </c>
      <c r="Y238" s="54">
        <v>0</v>
      </c>
      <c r="Z238" s="54">
        <v>0</v>
      </c>
      <c r="AA238" s="54">
        <v>0</v>
      </c>
      <c r="AB238" s="54">
        <v>0</v>
      </c>
      <c r="AC238" s="54">
        <v>0</v>
      </c>
      <c r="AD238" s="54">
        <v>0</v>
      </c>
      <c r="AE238" s="54">
        <v>0</v>
      </c>
      <c r="AF238" s="54">
        <v>0</v>
      </c>
      <c r="AG238" s="54">
        <v>0</v>
      </c>
      <c r="AH238" s="54">
        <v>0</v>
      </c>
      <c r="AI238" s="54">
        <v>0</v>
      </c>
      <c r="AJ238" s="54">
        <v>0</v>
      </c>
      <c r="AK238" s="54">
        <v>0</v>
      </c>
      <c r="AL238" s="54">
        <v>0</v>
      </c>
      <c r="AM238" s="54" t="str">
        <f>I238-J238-K238-L238-M238-N238-O238-P238-Q238-R238-S238-T238-U238-V238-W238-X238-Y238-Z238-AA238-AB238-AC238-AD238-AE238-AF238-AG238+AH238-AI238+AJ238+AK238-AL238</f>
        <v>0</v>
      </c>
      <c r="AN238" s="54"/>
      <c r="AO238" s="27"/>
    </row>
    <row r="239" spans="1:41">
      <c r="A239" s="44">
        <v>211</v>
      </c>
      <c r="B239" s="47" t="s">
        <v>972</v>
      </c>
      <c r="C239" s="48" t="s">
        <v>973</v>
      </c>
      <c r="D239" s="52" t="s">
        <v>73</v>
      </c>
      <c r="E239" s="52" t="s">
        <v>921</v>
      </c>
      <c r="F239" s="55" t="s">
        <v>974</v>
      </c>
      <c r="G239" s="51">
        <v>7</v>
      </c>
      <c r="H239" s="52" t="s">
        <v>975</v>
      </c>
      <c r="I239" s="54">
        <v>913000</v>
      </c>
      <c r="J239" s="54">
        <v>0</v>
      </c>
      <c r="K239" s="54">
        <v>35000</v>
      </c>
      <c r="L239" s="54">
        <v>0</v>
      </c>
      <c r="M239" s="54">
        <v>0</v>
      </c>
      <c r="N239" s="54">
        <v>0</v>
      </c>
      <c r="O239" s="54">
        <v>0</v>
      </c>
      <c r="P239" s="54">
        <v>0</v>
      </c>
      <c r="Q239" s="54">
        <v>0</v>
      </c>
      <c r="R239" s="54">
        <v>0</v>
      </c>
      <c r="S239" s="54">
        <v>0</v>
      </c>
      <c r="T239" s="54">
        <v>0</v>
      </c>
      <c r="U239" s="54">
        <v>3601</v>
      </c>
      <c r="V239" s="54">
        <v>0</v>
      </c>
      <c r="W239" s="54">
        <v>0</v>
      </c>
      <c r="X239" s="54">
        <v>0</v>
      </c>
      <c r="Y239" s="54">
        <v>0</v>
      </c>
      <c r="Z239" s="54">
        <v>0</v>
      </c>
      <c r="AA239" s="54">
        <v>0</v>
      </c>
      <c r="AB239" s="54">
        <v>0</v>
      </c>
      <c r="AC239" s="54">
        <v>0</v>
      </c>
      <c r="AD239" s="54">
        <v>0</v>
      </c>
      <c r="AE239" s="54">
        <v>0</v>
      </c>
      <c r="AF239" s="54">
        <v>0</v>
      </c>
      <c r="AG239" s="54">
        <v>0</v>
      </c>
      <c r="AH239" s="54">
        <v>0</v>
      </c>
      <c r="AI239" s="54">
        <v>0</v>
      </c>
      <c r="AJ239" s="54">
        <v>0</v>
      </c>
      <c r="AK239" s="54">
        <v>0</v>
      </c>
      <c r="AL239" s="54">
        <v>0</v>
      </c>
      <c r="AM239" s="54" t="str">
        <f>I239-J239-K239-L239-M239-N239-O239-P239-Q239-R239-S239-T239-U239-V239-W239-X239-Y239-Z239-AA239-AB239-AC239-AD239-AE239-AF239-AG239+AH239-AI239+AJ239+AK239-AL239</f>
        <v>0</v>
      </c>
      <c r="AN239" s="54"/>
      <c r="AO239" s="27"/>
    </row>
    <row r="240" spans="1:41">
      <c r="A240" s="44">
        <v>212</v>
      </c>
      <c r="B240" s="47" t="s">
        <v>976</v>
      </c>
      <c r="C240" s="48" t="s">
        <v>977</v>
      </c>
      <c r="D240" s="52" t="s">
        <v>73</v>
      </c>
      <c r="E240" s="52" t="s">
        <v>921</v>
      </c>
      <c r="F240" s="55" t="s">
        <v>978</v>
      </c>
      <c r="G240" s="51">
        <v>5.8</v>
      </c>
      <c r="H240" s="52" t="s">
        <v>979</v>
      </c>
      <c r="I240" s="54">
        <v>599000</v>
      </c>
      <c r="J240" s="54">
        <v>0</v>
      </c>
      <c r="K240" s="54">
        <v>31000</v>
      </c>
      <c r="L240" s="54">
        <v>0</v>
      </c>
      <c r="M240" s="54">
        <v>0</v>
      </c>
      <c r="N240" s="54">
        <v>0</v>
      </c>
      <c r="O240" s="54">
        <v>0</v>
      </c>
      <c r="P240" s="54">
        <v>0</v>
      </c>
      <c r="Q240" s="54">
        <v>0</v>
      </c>
      <c r="R240" s="54">
        <v>0</v>
      </c>
      <c r="S240" s="54">
        <v>0</v>
      </c>
      <c r="T240" s="54">
        <v>0</v>
      </c>
      <c r="U240" s="54">
        <v>3189</v>
      </c>
      <c r="V240" s="54">
        <v>0</v>
      </c>
      <c r="W240" s="54">
        <v>0</v>
      </c>
      <c r="X240" s="54">
        <v>0</v>
      </c>
      <c r="Y240" s="54">
        <v>0</v>
      </c>
      <c r="Z240" s="54">
        <v>0</v>
      </c>
      <c r="AA240" s="54">
        <v>0</v>
      </c>
      <c r="AB240" s="54">
        <v>0</v>
      </c>
      <c r="AC240" s="54">
        <v>0</v>
      </c>
      <c r="AD240" s="54">
        <v>0</v>
      </c>
      <c r="AE240" s="54">
        <v>0</v>
      </c>
      <c r="AF240" s="54">
        <v>0</v>
      </c>
      <c r="AG240" s="54">
        <v>0</v>
      </c>
      <c r="AH240" s="54">
        <v>0</v>
      </c>
      <c r="AI240" s="54">
        <v>0</v>
      </c>
      <c r="AJ240" s="54">
        <v>0</v>
      </c>
      <c r="AK240" s="54">
        <v>0</v>
      </c>
      <c r="AL240" s="54">
        <v>0</v>
      </c>
      <c r="AM240" s="54" t="str">
        <f>I240-J240-K240-L240-M240-N240-O240-P240-Q240-R240-S240-T240-U240-V240-W240-X240-Y240-Z240-AA240-AB240-AC240-AD240-AE240-AF240-AG240+AH240-AI240+AJ240+AK240-AL240</f>
        <v>0</v>
      </c>
      <c r="AN240" s="54"/>
      <c r="AO240" s="27"/>
    </row>
    <row r="241" spans="1:41">
      <c r="A241" s="44">
        <v>213</v>
      </c>
      <c r="B241" s="47" t="s">
        <v>980</v>
      </c>
      <c r="C241" s="48" t="s">
        <v>981</v>
      </c>
      <c r="D241" s="52" t="s">
        <v>62</v>
      </c>
      <c r="E241" s="52" t="s">
        <v>921</v>
      </c>
      <c r="F241" s="55" t="s">
        <v>982</v>
      </c>
      <c r="G241" s="51">
        <v>3</v>
      </c>
      <c r="H241" s="52" t="s">
        <v>983</v>
      </c>
      <c r="I241" s="54">
        <v>0</v>
      </c>
      <c r="J241" s="54">
        <v>0</v>
      </c>
      <c r="K241" s="54">
        <v>22000</v>
      </c>
      <c r="L241" s="54">
        <v>0</v>
      </c>
      <c r="M241" s="54">
        <v>0</v>
      </c>
      <c r="N241" s="54">
        <v>0</v>
      </c>
      <c r="O241" s="54">
        <v>0</v>
      </c>
      <c r="P241" s="54">
        <v>0</v>
      </c>
      <c r="Q241" s="54">
        <v>0</v>
      </c>
      <c r="R241" s="54">
        <v>0</v>
      </c>
      <c r="S241" s="54">
        <v>0</v>
      </c>
      <c r="T241" s="54">
        <v>0</v>
      </c>
      <c r="U241" s="54">
        <v>2263</v>
      </c>
      <c r="V241" s="54">
        <v>0</v>
      </c>
      <c r="W241" s="54">
        <v>0</v>
      </c>
      <c r="X241" s="54">
        <v>0</v>
      </c>
      <c r="Y241" s="54">
        <v>11000</v>
      </c>
      <c r="Z241" s="54">
        <v>0</v>
      </c>
      <c r="AA241" s="54">
        <v>0</v>
      </c>
      <c r="AB241" s="54">
        <v>0</v>
      </c>
      <c r="AC241" s="54">
        <v>0</v>
      </c>
      <c r="AD241" s="54">
        <v>0</v>
      </c>
      <c r="AE241" s="54">
        <v>0</v>
      </c>
      <c r="AF241" s="54">
        <v>0</v>
      </c>
      <c r="AG241" s="54">
        <v>0</v>
      </c>
      <c r="AH241" s="54">
        <v>0</v>
      </c>
      <c r="AI241" s="54">
        <v>0</v>
      </c>
      <c r="AJ241" s="54">
        <v>0</v>
      </c>
      <c r="AK241" s="54">
        <v>0</v>
      </c>
      <c r="AL241" s="54">
        <v>0</v>
      </c>
      <c r="AM241" s="54" t="str">
        <f>I241-J241-K241-L241-M241-N241-O241-P241-Q241-R241-S241-T241-U241-V241-W241-X241-Y241-Z241-AA241-AB241-AC241-AD241-AE241-AF241-AG241+AH241-AI241+AJ241+AK241-AL241</f>
        <v>0</v>
      </c>
      <c r="AN241" s="54"/>
      <c r="AO241" s="27"/>
    </row>
    <row r="242" spans="1:41">
      <c r="A242" s="44">
        <v>214</v>
      </c>
      <c r="B242" s="47" t="s">
        <v>984</v>
      </c>
      <c r="C242" s="48" t="s">
        <v>985</v>
      </c>
      <c r="D242" s="52" t="s">
        <v>73</v>
      </c>
      <c r="E242" s="52" t="s">
        <v>921</v>
      </c>
      <c r="F242" s="55" t="s">
        <v>986</v>
      </c>
      <c r="G242" s="51">
        <v>2</v>
      </c>
      <c r="H242" s="52" t="s">
        <v>987</v>
      </c>
      <c r="I242" s="54">
        <v>300000</v>
      </c>
      <c r="J242" s="54">
        <v>0</v>
      </c>
      <c r="K242" s="54">
        <v>22000</v>
      </c>
      <c r="L242" s="54">
        <v>0</v>
      </c>
      <c r="M242" s="54">
        <v>0</v>
      </c>
      <c r="N242" s="54">
        <v>0</v>
      </c>
      <c r="O242" s="54">
        <v>0</v>
      </c>
      <c r="P242" s="54">
        <v>0</v>
      </c>
      <c r="Q242" s="54">
        <v>0</v>
      </c>
      <c r="R242" s="54">
        <v>0</v>
      </c>
      <c r="S242" s="54">
        <v>0</v>
      </c>
      <c r="T242" s="54">
        <v>0</v>
      </c>
      <c r="U242" s="54">
        <v>2263</v>
      </c>
      <c r="V242" s="54">
        <v>0</v>
      </c>
      <c r="W242" s="54">
        <v>0</v>
      </c>
      <c r="X242" s="54">
        <v>0</v>
      </c>
      <c r="Y242" s="54">
        <v>0</v>
      </c>
      <c r="Z242" s="54">
        <v>0</v>
      </c>
      <c r="AA242" s="54">
        <v>0</v>
      </c>
      <c r="AB242" s="54">
        <v>0</v>
      </c>
      <c r="AC242" s="54">
        <v>0</v>
      </c>
      <c r="AD242" s="54">
        <v>0</v>
      </c>
      <c r="AE242" s="54">
        <v>0</v>
      </c>
      <c r="AF242" s="54">
        <v>0</v>
      </c>
      <c r="AG242" s="54">
        <v>0</v>
      </c>
      <c r="AH242" s="54">
        <v>0</v>
      </c>
      <c r="AI242" s="54">
        <v>0</v>
      </c>
      <c r="AJ242" s="54">
        <v>0</v>
      </c>
      <c r="AK242" s="54">
        <v>0</v>
      </c>
      <c r="AL242" s="54">
        <v>0</v>
      </c>
      <c r="AM242" s="54" t="str">
        <f>I242-J242-K242-L242-M242-N242-O242-P242-Q242-R242-S242-T242-U242-V242-W242-X242-Y242-Z242-AA242-AB242-AC242-AD242-AE242-AF242-AG242+AH242-AI242+AJ242+AK242-AL242</f>
        <v>0</v>
      </c>
      <c r="AN242" s="54"/>
      <c r="AO242" s="27"/>
    </row>
    <row r="243" spans="1:41">
      <c r="A243" s="44">
        <v>215</v>
      </c>
      <c r="B243" s="47" t="s">
        <v>988</v>
      </c>
      <c r="C243" s="48" t="s">
        <v>989</v>
      </c>
      <c r="D243" s="52" t="s">
        <v>73</v>
      </c>
      <c r="E243" s="52" t="s">
        <v>921</v>
      </c>
      <c r="F243" s="55" t="s">
        <v>990</v>
      </c>
      <c r="G243" s="51">
        <v>5.1</v>
      </c>
      <c r="H243" s="52" t="s">
        <v>991</v>
      </c>
      <c r="I243" s="54">
        <v>810000</v>
      </c>
      <c r="J243" s="54">
        <v>0</v>
      </c>
      <c r="K243" s="54">
        <v>31000</v>
      </c>
      <c r="L243" s="54">
        <v>0</v>
      </c>
      <c r="M243" s="54">
        <v>0</v>
      </c>
      <c r="N243" s="54">
        <v>0</v>
      </c>
      <c r="O243" s="54">
        <v>0</v>
      </c>
      <c r="P243" s="54">
        <v>0</v>
      </c>
      <c r="Q243" s="54">
        <v>0</v>
      </c>
      <c r="R243" s="54">
        <v>0</v>
      </c>
      <c r="S243" s="54">
        <v>0</v>
      </c>
      <c r="T243" s="54">
        <v>0</v>
      </c>
      <c r="U243" s="54">
        <v>3189</v>
      </c>
      <c r="V243" s="54">
        <v>0</v>
      </c>
      <c r="W243" s="54">
        <v>0</v>
      </c>
      <c r="X243" s="54">
        <v>0</v>
      </c>
      <c r="Y243" s="54">
        <v>0</v>
      </c>
      <c r="Z243" s="54">
        <v>0</v>
      </c>
      <c r="AA243" s="54">
        <v>0</v>
      </c>
      <c r="AB243" s="54">
        <v>0</v>
      </c>
      <c r="AC243" s="54">
        <v>0</v>
      </c>
      <c r="AD243" s="54">
        <v>0</v>
      </c>
      <c r="AE243" s="54">
        <v>0</v>
      </c>
      <c r="AF243" s="54">
        <v>0</v>
      </c>
      <c r="AG243" s="54">
        <v>0</v>
      </c>
      <c r="AH243" s="54">
        <v>0</v>
      </c>
      <c r="AI243" s="54">
        <v>0</v>
      </c>
      <c r="AJ243" s="54">
        <v>0</v>
      </c>
      <c r="AK243" s="54">
        <v>0</v>
      </c>
      <c r="AL243" s="54">
        <v>0</v>
      </c>
      <c r="AM243" s="54" t="str">
        <f>I243-J243-K243-L243-M243-N243-O243-P243-Q243-R243-S243-T243-U243-V243-W243-X243-Y243-Z243-AA243-AB243-AC243-AD243-AE243-AF243-AG243+AH243-AI243+AJ243+AK243-AL243</f>
        <v>0</v>
      </c>
      <c r="AN243" s="54"/>
      <c r="AO243" s="27"/>
    </row>
    <row r="244" spans="1:41">
      <c r="A244" s="44">
        <v>216</v>
      </c>
      <c r="B244" s="47" t="s">
        <v>992</v>
      </c>
      <c r="C244" s="48" t="s">
        <v>993</v>
      </c>
      <c r="D244" s="52" t="s">
        <v>73</v>
      </c>
      <c r="E244" s="52" t="s">
        <v>921</v>
      </c>
      <c r="F244" s="55" t="s">
        <v>994</v>
      </c>
      <c r="G244" s="51">
        <v>3</v>
      </c>
      <c r="H244" s="52" t="s">
        <v>995</v>
      </c>
      <c r="I244" s="54">
        <v>375000</v>
      </c>
      <c r="J244" s="54">
        <v>0</v>
      </c>
      <c r="K244" s="54">
        <v>22000</v>
      </c>
      <c r="L244" s="54">
        <v>0</v>
      </c>
      <c r="M244" s="54">
        <v>0</v>
      </c>
      <c r="N244" s="54">
        <v>0</v>
      </c>
      <c r="O244" s="54">
        <v>0</v>
      </c>
      <c r="P244" s="54">
        <v>0</v>
      </c>
      <c r="Q244" s="54">
        <v>0</v>
      </c>
      <c r="R244" s="54">
        <v>0</v>
      </c>
      <c r="S244" s="54">
        <v>0</v>
      </c>
      <c r="T244" s="54">
        <v>0</v>
      </c>
      <c r="U244" s="54">
        <v>2263</v>
      </c>
      <c r="V244" s="54">
        <v>0</v>
      </c>
      <c r="W244" s="54">
        <v>0</v>
      </c>
      <c r="X244" s="54">
        <v>0</v>
      </c>
      <c r="Y244" s="54">
        <v>0</v>
      </c>
      <c r="Z244" s="54">
        <v>0</v>
      </c>
      <c r="AA244" s="54">
        <v>0</v>
      </c>
      <c r="AB244" s="54">
        <v>0</v>
      </c>
      <c r="AC244" s="54">
        <v>0</v>
      </c>
      <c r="AD244" s="54">
        <v>0</v>
      </c>
      <c r="AE244" s="54">
        <v>0</v>
      </c>
      <c r="AF244" s="54">
        <v>0</v>
      </c>
      <c r="AG244" s="54">
        <v>0</v>
      </c>
      <c r="AH244" s="54">
        <v>0</v>
      </c>
      <c r="AI244" s="54">
        <v>0</v>
      </c>
      <c r="AJ244" s="54">
        <v>0</v>
      </c>
      <c r="AK244" s="54">
        <v>0</v>
      </c>
      <c r="AL244" s="54">
        <v>0</v>
      </c>
      <c r="AM244" s="54" t="str">
        <f>I244-J244-K244-L244-M244-N244-O244-P244-Q244-R244-S244-T244-U244-V244-W244-X244-Y244-Z244-AA244-AB244-AC244-AD244-AE244-AF244-AG244+AH244-AI244+AJ244+AK244-AL244</f>
        <v>0</v>
      </c>
      <c r="AN244" s="54"/>
      <c r="AO244" s="27"/>
    </row>
    <row r="245" spans="1:41">
      <c r="A245" s="44">
        <v>217</v>
      </c>
      <c r="B245" s="47" t="s">
        <v>996</v>
      </c>
      <c r="C245" s="48" t="s">
        <v>997</v>
      </c>
      <c r="D245" s="52" t="s">
        <v>73</v>
      </c>
      <c r="E245" s="52" t="s">
        <v>921</v>
      </c>
      <c r="F245" s="55" t="s">
        <v>998</v>
      </c>
      <c r="G245" s="51">
        <v>4</v>
      </c>
      <c r="H245" s="52" t="s">
        <v>999</v>
      </c>
      <c r="I245" s="54">
        <v>659000</v>
      </c>
      <c r="J245" s="54">
        <v>0</v>
      </c>
      <c r="K245" s="54">
        <v>25000</v>
      </c>
      <c r="L245" s="54">
        <v>0</v>
      </c>
      <c r="M245" s="54">
        <v>0</v>
      </c>
      <c r="N245" s="54">
        <v>0</v>
      </c>
      <c r="O245" s="54">
        <v>0</v>
      </c>
      <c r="P245" s="54">
        <v>0</v>
      </c>
      <c r="Q245" s="54">
        <v>0</v>
      </c>
      <c r="R245" s="54">
        <v>0</v>
      </c>
      <c r="S245" s="54">
        <v>0</v>
      </c>
      <c r="T245" s="54">
        <v>0</v>
      </c>
      <c r="U245" s="54">
        <v>2572</v>
      </c>
      <c r="V245" s="54">
        <v>0</v>
      </c>
      <c r="W245" s="54">
        <v>0</v>
      </c>
      <c r="X245" s="54">
        <v>0</v>
      </c>
      <c r="Y245" s="54">
        <v>0</v>
      </c>
      <c r="Z245" s="54">
        <v>0</v>
      </c>
      <c r="AA245" s="54">
        <v>0</v>
      </c>
      <c r="AB245" s="54">
        <v>0</v>
      </c>
      <c r="AC245" s="54">
        <v>0</v>
      </c>
      <c r="AD245" s="54">
        <v>0</v>
      </c>
      <c r="AE245" s="54">
        <v>0</v>
      </c>
      <c r="AF245" s="54">
        <v>0</v>
      </c>
      <c r="AG245" s="54">
        <v>0</v>
      </c>
      <c r="AH245" s="54">
        <v>0</v>
      </c>
      <c r="AI245" s="54">
        <v>0</v>
      </c>
      <c r="AJ245" s="54">
        <v>0</v>
      </c>
      <c r="AK245" s="54">
        <v>0</v>
      </c>
      <c r="AL245" s="54">
        <v>0</v>
      </c>
      <c r="AM245" s="54" t="str">
        <f>I245-J245-K245-L245-M245-N245-O245-P245-Q245-R245-S245-T245-U245-V245-W245-X245-Y245-Z245-AA245-AB245-AC245-AD245-AE245-AF245-AG245+AH245-AI245+AJ245+AK245-AL245</f>
        <v>0</v>
      </c>
      <c r="AN245" s="54"/>
      <c r="AO245" s="27"/>
    </row>
    <row r="246" spans="1:41">
      <c r="A246" s="44">
        <v>218</v>
      </c>
      <c r="B246" s="47" t="s">
        <v>1000</v>
      </c>
      <c r="C246" s="48" t="s">
        <v>1001</v>
      </c>
      <c r="D246" s="52" t="s">
        <v>73</v>
      </c>
      <c r="E246" s="52" t="s">
        <v>921</v>
      </c>
      <c r="F246" s="55" t="s">
        <v>712</v>
      </c>
      <c r="G246" s="51">
        <v>8</v>
      </c>
      <c r="H246" s="52" t="s">
        <v>1002</v>
      </c>
      <c r="I246" s="54">
        <v>814000</v>
      </c>
      <c r="J246" s="54">
        <v>0</v>
      </c>
      <c r="K246" s="54">
        <v>39000</v>
      </c>
      <c r="L246" s="54">
        <v>0</v>
      </c>
      <c r="M246" s="54">
        <v>0</v>
      </c>
      <c r="N246" s="54">
        <v>0</v>
      </c>
      <c r="O246" s="54">
        <v>0</v>
      </c>
      <c r="P246" s="54">
        <v>0</v>
      </c>
      <c r="Q246" s="54">
        <v>0</v>
      </c>
      <c r="R246" s="54">
        <v>0</v>
      </c>
      <c r="S246" s="54">
        <v>0</v>
      </c>
      <c r="T246" s="54">
        <v>0</v>
      </c>
      <c r="U246" s="54">
        <v>4013</v>
      </c>
      <c r="V246" s="54">
        <v>0</v>
      </c>
      <c r="W246" s="54">
        <v>0</v>
      </c>
      <c r="X246" s="54">
        <v>0</v>
      </c>
      <c r="Y246" s="54">
        <v>0</v>
      </c>
      <c r="Z246" s="54">
        <v>0</v>
      </c>
      <c r="AA246" s="54">
        <v>0</v>
      </c>
      <c r="AB246" s="54">
        <v>0</v>
      </c>
      <c r="AC246" s="54">
        <v>0</v>
      </c>
      <c r="AD246" s="54">
        <v>0</v>
      </c>
      <c r="AE246" s="54">
        <v>0</v>
      </c>
      <c r="AF246" s="54">
        <v>0</v>
      </c>
      <c r="AG246" s="54">
        <v>0</v>
      </c>
      <c r="AH246" s="54">
        <v>0</v>
      </c>
      <c r="AI246" s="54">
        <v>0</v>
      </c>
      <c r="AJ246" s="54">
        <v>0</v>
      </c>
      <c r="AK246" s="54">
        <v>0</v>
      </c>
      <c r="AL246" s="54">
        <v>0</v>
      </c>
      <c r="AM246" s="54" t="str">
        <f>I246-J246-K246-L246-M246-N246-O246-P246-Q246-R246-S246-T246-U246-V246-W246-X246-Y246-Z246-AA246-AB246-AC246-AD246-AE246-AF246-AG246+AH246-AI246+AJ246+AK246-AL246</f>
        <v>0</v>
      </c>
      <c r="AN246" s="54"/>
      <c r="AO246" s="27"/>
    </row>
    <row r="247" spans="1:41">
      <c r="A247" s="44">
        <v>219</v>
      </c>
      <c r="B247" s="47" t="s">
        <v>1003</v>
      </c>
      <c r="C247" s="48" t="s">
        <v>1004</v>
      </c>
      <c r="D247" s="52" t="s">
        <v>73</v>
      </c>
      <c r="E247" s="52" t="s">
        <v>921</v>
      </c>
      <c r="F247" s="55" t="s">
        <v>1005</v>
      </c>
      <c r="G247" s="51">
        <v>3</v>
      </c>
      <c r="H247" s="52" t="s">
        <v>1006</v>
      </c>
      <c r="I247" s="54">
        <v>525000</v>
      </c>
      <c r="J247" s="54">
        <v>0</v>
      </c>
      <c r="K247" s="54">
        <v>22000</v>
      </c>
      <c r="L247" s="54">
        <v>0</v>
      </c>
      <c r="M247" s="54">
        <v>0</v>
      </c>
      <c r="N247" s="54">
        <v>0</v>
      </c>
      <c r="O247" s="54">
        <v>0</v>
      </c>
      <c r="P247" s="54">
        <v>0</v>
      </c>
      <c r="Q247" s="54">
        <v>0</v>
      </c>
      <c r="R247" s="54">
        <v>0</v>
      </c>
      <c r="S247" s="54">
        <v>0</v>
      </c>
      <c r="T247" s="54">
        <v>0</v>
      </c>
      <c r="U247" s="54">
        <v>2263</v>
      </c>
      <c r="V247" s="54">
        <v>0</v>
      </c>
      <c r="W247" s="54">
        <v>0</v>
      </c>
      <c r="X247" s="54">
        <v>0</v>
      </c>
      <c r="Y247" s="54">
        <v>0</v>
      </c>
      <c r="Z247" s="54">
        <v>0</v>
      </c>
      <c r="AA247" s="54">
        <v>0</v>
      </c>
      <c r="AB247" s="54">
        <v>0</v>
      </c>
      <c r="AC247" s="54">
        <v>0</v>
      </c>
      <c r="AD247" s="54">
        <v>0</v>
      </c>
      <c r="AE247" s="54">
        <v>0</v>
      </c>
      <c r="AF247" s="54">
        <v>0</v>
      </c>
      <c r="AG247" s="54">
        <v>0</v>
      </c>
      <c r="AH247" s="54">
        <v>0</v>
      </c>
      <c r="AI247" s="54">
        <v>0</v>
      </c>
      <c r="AJ247" s="54">
        <v>0</v>
      </c>
      <c r="AK247" s="54">
        <v>0</v>
      </c>
      <c r="AL247" s="54">
        <v>0</v>
      </c>
      <c r="AM247" s="54" t="str">
        <f>I247-J247-K247-L247-M247-N247-O247-P247-Q247-R247-S247-T247-U247-V247-W247-X247-Y247-Z247-AA247-AB247-AC247-AD247-AE247-AF247-AG247+AH247-AI247+AJ247+AK247-AL247</f>
        <v>0</v>
      </c>
      <c r="AN247" s="54"/>
      <c r="AO247" s="27"/>
    </row>
    <row r="248" spans="1:41">
      <c r="A248" s="44">
        <v>220</v>
      </c>
      <c r="B248" s="47" t="s">
        <v>1007</v>
      </c>
      <c r="C248" s="48" t="s">
        <v>1008</v>
      </c>
      <c r="D248" s="52" t="s">
        <v>73</v>
      </c>
      <c r="E248" s="52" t="s">
        <v>1009</v>
      </c>
      <c r="F248" s="55" t="s">
        <v>1010</v>
      </c>
      <c r="G248" s="51">
        <v>4</v>
      </c>
      <c r="H248" s="52" t="s">
        <v>1011</v>
      </c>
      <c r="I248" s="54">
        <v>565000</v>
      </c>
      <c r="J248" s="54">
        <v>0</v>
      </c>
      <c r="K248" s="54">
        <v>25000</v>
      </c>
      <c r="L248" s="54">
        <v>0</v>
      </c>
      <c r="M248" s="54">
        <v>0</v>
      </c>
      <c r="N248" s="54">
        <v>0</v>
      </c>
      <c r="O248" s="54">
        <v>0</v>
      </c>
      <c r="P248" s="54">
        <v>0</v>
      </c>
      <c r="Q248" s="54">
        <v>0</v>
      </c>
      <c r="R248" s="54">
        <v>0</v>
      </c>
      <c r="S248" s="54">
        <v>0</v>
      </c>
      <c r="T248" s="54">
        <v>0</v>
      </c>
      <c r="U248" s="54">
        <v>2572</v>
      </c>
      <c r="V248" s="54">
        <v>0</v>
      </c>
      <c r="W248" s="54">
        <v>0</v>
      </c>
      <c r="X248" s="54">
        <v>0</v>
      </c>
      <c r="Y248" s="54">
        <v>0</v>
      </c>
      <c r="Z248" s="54">
        <v>0</v>
      </c>
      <c r="AA248" s="54">
        <v>0</v>
      </c>
      <c r="AB248" s="54">
        <v>0</v>
      </c>
      <c r="AC248" s="54">
        <v>0</v>
      </c>
      <c r="AD248" s="54">
        <v>0</v>
      </c>
      <c r="AE248" s="54">
        <v>0</v>
      </c>
      <c r="AF248" s="54">
        <v>0</v>
      </c>
      <c r="AG248" s="54">
        <v>0</v>
      </c>
      <c r="AH248" s="54">
        <v>0</v>
      </c>
      <c r="AI248" s="54">
        <v>0</v>
      </c>
      <c r="AJ248" s="54">
        <v>0</v>
      </c>
      <c r="AK248" s="54">
        <v>0</v>
      </c>
      <c r="AL248" s="54">
        <v>0</v>
      </c>
      <c r="AM248" s="54" t="str">
        <f>I248-J248-K248-L248-M248-N248-O248-P248-Q248-R248-S248-T248-U248-V248-W248-X248-Y248-Z248-AA248-AB248-AC248-AD248-AE248-AF248-AG248+AH248-AI248+AJ248+AK248-AL248</f>
        <v>0</v>
      </c>
      <c r="AN248" s="54"/>
      <c r="AO248" s="27"/>
    </row>
    <row r="249" spans="1:41">
      <c r="A249" s="44">
        <v>221</v>
      </c>
      <c r="B249" s="47" t="s">
        <v>1012</v>
      </c>
      <c r="C249" s="48" t="s">
        <v>1013</v>
      </c>
      <c r="D249" s="52" t="s">
        <v>73</v>
      </c>
      <c r="E249" s="52" t="s">
        <v>1009</v>
      </c>
      <c r="F249" s="55" t="s">
        <v>860</v>
      </c>
      <c r="G249" s="51">
        <v>3</v>
      </c>
      <c r="H249" s="52" t="s">
        <v>1014</v>
      </c>
      <c r="I249" s="54">
        <v>269100</v>
      </c>
      <c r="J249" s="54">
        <v>0</v>
      </c>
      <c r="K249" s="54">
        <v>22000</v>
      </c>
      <c r="L249" s="54">
        <v>0</v>
      </c>
      <c r="M249" s="54">
        <v>0</v>
      </c>
      <c r="N249" s="54">
        <v>0</v>
      </c>
      <c r="O249" s="54">
        <v>0</v>
      </c>
      <c r="P249" s="54">
        <v>0</v>
      </c>
      <c r="Q249" s="54">
        <v>0</v>
      </c>
      <c r="R249" s="54">
        <v>0</v>
      </c>
      <c r="S249" s="54">
        <v>0</v>
      </c>
      <c r="T249" s="54">
        <v>0</v>
      </c>
      <c r="U249" s="54">
        <v>2263</v>
      </c>
      <c r="V249" s="54">
        <v>0</v>
      </c>
      <c r="W249" s="54">
        <v>0</v>
      </c>
      <c r="X249" s="54">
        <v>0</v>
      </c>
      <c r="Y249" s="54">
        <v>0</v>
      </c>
      <c r="Z249" s="54">
        <v>0</v>
      </c>
      <c r="AA249" s="54">
        <v>0</v>
      </c>
      <c r="AB249" s="54">
        <v>0</v>
      </c>
      <c r="AC249" s="54">
        <v>0</v>
      </c>
      <c r="AD249" s="54">
        <v>0</v>
      </c>
      <c r="AE249" s="54">
        <v>0</v>
      </c>
      <c r="AF249" s="54">
        <v>0</v>
      </c>
      <c r="AG249" s="54">
        <v>0</v>
      </c>
      <c r="AH249" s="54">
        <v>0</v>
      </c>
      <c r="AI249" s="54">
        <v>0</v>
      </c>
      <c r="AJ249" s="54">
        <v>0</v>
      </c>
      <c r="AK249" s="54">
        <v>0</v>
      </c>
      <c r="AL249" s="54">
        <v>0</v>
      </c>
      <c r="AM249" s="54" t="str">
        <f>I249-J249-K249-L249-M249-N249-O249-P249-Q249-R249-S249-T249-U249-V249-W249-X249-Y249-Z249-AA249-AB249-AC249-AD249-AE249-AF249-AG249+AH249-AI249+AJ249+AK249-AL249</f>
        <v>0</v>
      </c>
      <c r="AN249" s="54"/>
      <c r="AO249" s="27"/>
    </row>
    <row r="250" spans="1:41">
      <c r="A250" s="44">
        <v>222</v>
      </c>
      <c r="B250" s="47" t="s">
        <v>1015</v>
      </c>
      <c r="C250" s="48" t="s">
        <v>1016</v>
      </c>
      <c r="D250" s="52" t="s">
        <v>73</v>
      </c>
      <c r="E250" s="52" t="s">
        <v>1009</v>
      </c>
      <c r="F250" s="55" t="s">
        <v>1017</v>
      </c>
      <c r="G250" s="51">
        <v>6</v>
      </c>
      <c r="H250" s="52" t="s">
        <v>1018</v>
      </c>
      <c r="I250" s="54">
        <v>899000</v>
      </c>
      <c r="J250" s="54">
        <v>0</v>
      </c>
      <c r="K250" s="54">
        <v>31000</v>
      </c>
      <c r="L250" s="54">
        <v>0</v>
      </c>
      <c r="M250" s="54">
        <v>0</v>
      </c>
      <c r="N250" s="54">
        <v>0</v>
      </c>
      <c r="O250" s="54">
        <v>0</v>
      </c>
      <c r="P250" s="54">
        <v>0</v>
      </c>
      <c r="Q250" s="54">
        <v>0</v>
      </c>
      <c r="R250" s="54">
        <v>0</v>
      </c>
      <c r="S250" s="54">
        <v>0</v>
      </c>
      <c r="T250" s="54">
        <v>0</v>
      </c>
      <c r="U250" s="54">
        <v>3189</v>
      </c>
      <c r="V250" s="54">
        <v>0</v>
      </c>
      <c r="W250" s="54">
        <v>0</v>
      </c>
      <c r="X250" s="54">
        <v>0</v>
      </c>
      <c r="Y250" s="54">
        <v>0</v>
      </c>
      <c r="Z250" s="54">
        <v>0</v>
      </c>
      <c r="AA250" s="54">
        <v>0</v>
      </c>
      <c r="AB250" s="54">
        <v>0</v>
      </c>
      <c r="AC250" s="54">
        <v>0</v>
      </c>
      <c r="AD250" s="54">
        <v>0</v>
      </c>
      <c r="AE250" s="54">
        <v>0</v>
      </c>
      <c r="AF250" s="54">
        <v>0</v>
      </c>
      <c r="AG250" s="54">
        <v>0</v>
      </c>
      <c r="AH250" s="54">
        <v>0</v>
      </c>
      <c r="AI250" s="54">
        <v>0</v>
      </c>
      <c r="AJ250" s="54">
        <v>0</v>
      </c>
      <c r="AK250" s="54">
        <v>0</v>
      </c>
      <c r="AL250" s="54">
        <v>0</v>
      </c>
      <c r="AM250" s="54" t="str">
        <f>I250-J250-K250-L250-M250-N250-O250-P250-Q250-R250-S250-T250-U250-V250-W250-X250-Y250-Z250-AA250-AB250-AC250-AD250-AE250-AF250-AG250+AH250-AI250+AJ250+AK250-AL250</f>
        <v>0</v>
      </c>
      <c r="AN250" s="54"/>
      <c r="AO250" s="27"/>
    </row>
    <row r="251" spans="1:41">
      <c r="A251" s="44">
        <v>223</v>
      </c>
      <c r="B251" s="47" t="s">
        <v>1019</v>
      </c>
      <c r="C251" s="48" t="s">
        <v>1020</v>
      </c>
      <c r="D251" s="52" t="s">
        <v>73</v>
      </c>
      <c r="E251" s="52" t="s">
        <v>1009</v>
      </c>
      <c r="F251" s="55" t="s">
        <v>832</v>
      </c>
      <c r="G251" s="51">
        <v>5</v>
      </c>
      <c r="H251" s="52" t="s">
        <v>1021</v>
      </c>
      <c r="I251" s="54">
        <v>309000</v>
      </c>
      <c r="J251" s="54">
        <v>0</v>
      </c>
      <c r="K251" s="54">
        <v>27000</v>
      </c>
      <c r="L251" s="54">
        <v>0</v>
      </c>
      <c r="M251" s="54">
        <v>0</v>
      </c>
      <c r="N251" s="54">
        <v>0</v>
      </c>
      <c r="O251" s="54">
        <v>0</v>
      </c>
      <c r="P251" s="54">
        <v>0</v>
      </c>
      <c r="Q251" s="54">
        <v>0</v>
      </c>
      <c r="R251" s="54">
        <v>0</v>
      </c>
      <c r="S251" s="54">
        <v>0</v>
      </c>
      <c r="T251" s="54">
        <v>0</v>
      </c>
      <c r="U251" s="54">
        <v>2778</v>
      </c>
      <c r="V251" s="54">
        <v>0</v>
      </c>
      <c r="W251" s="54">
        <v>0</v>
      </c>
      <c r="X251" s="54">
        <v>0</v>
      </c>
      <c r="Y251" s="54">
        <v>0</v>
      </c>
      <c r="Z251" s="54">
        <v>0</v>
      </c>
      <c r="AA251" s="54">
        <v>0</v>
      </c>
      <c r="AB251" s="54">
        <v>0</v>
      </c>
      <c r="AC251" s="54">
        <v>0</v>
      </c>
      <c r="AD251" s="54">
        <v>0</v>
      </c>
      <c r="AE251" s="54">
        <v>0</v>
      </c>
      <c r="AF251" s="54">
        <v>0</v>
      </c>
      <c r="AG251" s="54">
        <v>0</v>
      </c>
      <c r="AH251" s="54">
        <v>0</v>
      </c>
      <c r="AI251" s="54">
        <v>0</v>
      </c>
      <c r="AJ251" s="54">
        <v>0</v>
      </c>
      <c r="AK251" s="54">
        <v>0</v>
      </c>
      <c r="AL251" s="54">
        <v>0</v>
      </c>
      <c r="AM251" s="54" t="str">
        <f>I251-J251-K251-L251-M251-N251-O251-P251-Q251-R251-S251-T251-U251-V251-W251-X251-Y251-Z251-AA251-AB251-AC251-AD251-AE251-AF251-AG251+AH251-AI251+AJ251+AK251-AL251</f>
        <v>0</v>
      </c>
      <c r="AN251" s="54"/>
      <c r="AO251" s="27"/>
    </row>
    <row r="252" spans="1:41">
      <c r="A252" s="44">
        <v>224</v>
      </c>
      <c r="B252" s="47" t="s">
        <v>1022</v>
      </c>
      <c r="C252" s="48" t="s">
        <v>1023</v>
      </c>
      <c r="D252" s="52" t="s">
        <v>73</v>
      </c>
      <c r="E252" s="52" t="s">
        <v>1009</v>
      </c>
      <c r="F252" s="55" t="s">
        <v>1024</v>
      </c>
      <c r="G252" s="51">
        <v>6</v>
      </c>
      <c r="H252" s="52" t="s">
        <v>1025</v>
      </c>
      <c r="I252" s="54">
        <v>1529000</v>
      </c>
      <c r="J252" s="54">
        <v>0</v>
      </c>
      <c r="K252" s="54">
        <v>31000</v>
      </c>
      <c r="L252" s="54">
        <v>0</v>
      </c>
      <c r="M252" s="54">
        <v>0</v>
      </c>
      <c r="N252" s="54">
        <v>0</v>
      </c>
      <c r="O252" s="54">
        <v>0</v>
      </c>
      <c r="P252" s="54">
        <v>0</v>
      </c>
      <c r="Q252" s="54">
        <v>0</v>
      </c>
      <c r="R252" s="54">
        <v>0</v>
      </c>
      <c r="S252" s="54">
        <v>0</v>
      </c>
      <c r="T252" s="54">
        <v>0</v>
      </c>
      <c r="U252" s="54">
        <v>3189</v>
      </c>
      <c r="V252" s="54">
        <v>0</v>
      </c>
      <c r="W252" s="54">
        <v>0</v>
      </c>
      <c r="X252" s="54">
        <v>0</v>
      </c>
      <c r="Y252" s="54">
        <v>0</v>
      </c>
      <c r="Z252" s="54">
        <v>0</v>
      </c>
      <c r="AA252" s="54">
        <v>0</v>
      </c>
      <c r="AB252" s="54">
        <v>0</v>
      </c>
      <c r="AC252" s="54">
        <v>0</v>
      </c>
      <c r="AD252" s="54">
        <v>0</v>
      </c>
      <c r="AE252" s="54">
        <v>0</v>
      </c>
      <c r="AF252" s="54">
        <v>0</v>
      </c>
      <c r="AG252" s="54">
        <v>0</v>
      </c>
      <c r="AH252" s="54">
        <v>0</v>
      </c>
      <c r="AI252" s="54">
        <v>0</v>
      </c>
      <c r="AJ252" s="54">
        <v>0</v>
      </c>
      <c r="AK252" s="54">
        <v>0</v>
      </c>
      <c r="AL252" s="54">
        <v>0</v>
      </c>
      <c r="AM252" s="54" t="str">
        <f>I252-J252-K252-L252-M252-N252-O252-P252-Q252-R252-S252-T252-U252-V252-W252-X252-Y252-Z252-AA252-AB252-AC252-AD252-AE252-AF252-AG252+AH252-AI252+AJ252+AK252-AL252</f>
        <v>0</v>
      </c>
      <c r="AN252" s="54"/>
      <c r="AO252" s="27"/>
    </row>
    <row r="253" spans="1:41">
      <c r="A253" s="44">
        <v>225</v>
      </c>
      <c r="B253" s="47" t="s">
        <v>1026</v>
      </c>
      <c r="C253" s="48" t="s">
        <v>1027</v>
      </c>
      <c r="D253" s="52" t="s">
        <v>73</v>
      </c>
      <c r="E253" s="52" t="s">
        <v>1009</v>
      </c>
      <c r="F253" s="55" t="s">
        <v>970</v>
      </c>
      <c r="G253" s="51">
        <v>2</v>
      </c>
      <c r="H253" s="52" t="s">
        <v>1028</v>
      </c>
      <c r="I253" s="54">
        <v>109000</v>
      </c>
      <c r="J253" s="54">
        <v>0</v>
      </c>
      <c r="K253" s="54">
        <v>22000</v>
      </c>
      <c r="L253" s="54">
        <v>0</v>
      </c>
      <c r="M253" s="54">
        <v>0</v>
      </c>
      <c r="N253" s="54">
        <v>0</v>
      </c>
      <c r="O253" s="54">
        <v>0</v>
      </c>
      <c r="P253" s="54">
        <v>0</v>
      </c>
      <c r="Q253" s="54">
        <v>0</v>
      </c>
      <c r="R253" s="54">
        <v>0</v>
      </c>
      <c r="S253" s="54">
        <v>0</v>
      </c>
      <c r="T253" s="54">
        <v>0</v>
      </c>
      <c r="U253" s="54">
        <v>2263</v>
      </c>
      <c r="V253" s="54">
        <v>0</v>
      </c>
      <c r="W253" s="54">
        <v>0</v>
      </c>
      <c r="X253" s="54">
        <v>0</v>
      </c>
      <c r="Y253" s="54">
        <v>0</v>
      </c>
      <c r="Z253" s="54">
        <v>0</v>
      </c>
      <c r="AA253" s="54">
        <v>0</v>
      </c>
      <c r="AB253" s="54">
        <v>0</v>
      </c>
      <c r="AC253" s="54">
        <v>0</v>
      </c>
      <c r="AD253" s="54">
        <v>0</v>
      </c>
      <c r="AE253" s="54">
        <v>0</v>
      </c>
      <c r="AF253" s="54">
        <v>0</v>
      </c>
      <c r="AG253" s="54">
        <v>0</v>
      </c>
      <c r="AH253" s="54">
        <v>0</v>
      </c>
      <c r="AI253" s="54">
        <v>0</v>
      </c>
      <c r="AJ253" s="54">
        <v>0</v>
      </c>
      <c r="AK253" s="54">
        <v>0</v>
      </c>
      <c r="AL253" s="54">
        <v>0</v>
      </c>
      <c r="AM253" s="54" t="str">
        <f>I253-J253-K253-L253-M253-N253-O253-P253-Q253-R253-S253-T253-U253-V253-W253-X253-Y253-Z253-AA253-AB253-AC253-AD253-AE253-AF253-AG253+AH253-AI253+AJ253+AK253-AL253</f>
        <v>0</v>
      </c>
      <c r="AN253" s="54"/>
      <c r="AO253" s="27"/>
    </row>
    <row r="254" spans="1:41">
      <c r="A254" s="44">
        <v>226</v>
      </c>
      <c r="B254" s="47" t="s">
        <v>1029</v>
      </c>
      <c r="C254" s="48" t="s">
        <v>1030</v>
      </c>
      <c r="D254" s="52" t="s">
        <v>73</v>
      </c>
      <c r="E254" s="52" t="s">
        <v>1009</v>
      </c>
      <c r="F254" s="55" t="s">
        <v>1031</v>
      </c>
      <c r="G254" s="51">
        <v>6</v>
      </c>
      <c r="H254" s="52" t="s">
        <v>1032</v>
      </c>
      <c r="I254" s="54">
        <v>532000</v>
      </c>
      <c r="J254" s="54">
        <v>0</v>
      </c>
      <c r="K254" s="54">
        <v>31000</v>
      </c>
      <c r="L254" s="54">
        <v>0</v>
      </c>
      <c r="M254" s="54">
        <v>0</v>
      </c>
      <c r="N254" s="54">
        <v>0</v>
      </c>
      <c r="O254" s="54">
        <v>0</v>
      </c>
      <c r="P254" s="54">
        <v>0</v>
      </c>
      <c r="Q254" s="54">
        <v>0</v>
      </c>
      <c r="R254" s="54">
        <v>0</v>
      </c>
      <c r="S254" s="54">
        <v>0</v>
      </c>
      <c r="T254" s="54">
        <v>0</v>
      </c>
      <c r="U254" s="54">
        <v>3189</v>
      </c>
      <c r="V254" s="54">
        <v>0</v>
      </c>
      <c r="W254" s="54">
        <v>0</v>
      </c>
      <c r="X254" s="54">
        <v>0</v>
      </c>
      <c r="Y254" s="54">
        <v>0</v>
      </c>
      <c r="Z254" s="54">
        <v>0</v>
      </c>
      <c r="AA254" s="54">
        <v>0</v>
      </c>
      <c r="AB254" s="54">
        <v>0</v>
      </c>
      <c r="AC254" s="54">
        <v>0</v>
      </c>
      <c r="AD254" s="54">
        <v>0</v>
      </c>
      <c r="AE254" s="54">
        <v>0</v>
      </c>
      <c r="AF254" s="54">
        <v>0</v>
      </c>
      <c r="AG254" s="54">
        <v>0</v>
      </c>
      <c r="AH254" s="54">
        <v>0</v>
      </c>
      <c r="AI254" s="54">
        <v>0</v>
      </c>
      <c r="AJ254" s="54">
        <v>0</v>
      </c>
      <c r="AK254" s="54">
        <v>0</v>
      </c>
      <c r="AL254" s="54">
        <v>0</v>
      </c>
      <c r="AM254" s="54" t="str">
        <f>I254-J254-K254-L254-M254-N254-O254-P254-Q254-R254-S254-T254-U254-V254-W254-X254-Y254-Z254-AA254-AB254-AC254-AD254-AE254-AF254-AG254+AH254-AI254+AJ254+AK254-AL254</f>
        <v>0</v>
      </c>
      <c r="AN254" s="54"/>
      <c r="AO254" s="27"/>
    </row>
    <row r="255" spans="1:41">
      <c r="A255" s="44">
        <v>227</v>
      </c>
      <c r="B255" s="47" t="s">
        <v>1033</v>
      </c>
      <c r="C255" s="48" t="s">
        <v>1034</v>
      </c>
      <c r="D255" s="52" t="s">
        <v>73</v>
      </c>
      <c r="E255" s="52" t="s">
        <v>1009</v>
      </c>
      <c r="F255" s="55" t="s">
        <v>978</v>
      </c>
      <c r="G255" s="51">
        <v>15</v>
      </c>
      <c r="H255" s="52" t="s">
        <v>1035</v>
      </c>
      <c r="I255" s="54">
        <v>1058000</v>
      </c>
      <c r="J255" s="54">
        <v>0</v>
      </c>
      <c r="K255" s="54">
        <v>74000</v>
      </c>
      <c r="L255" s="54">
        <v>0</v>
      </c>
      <c r="M255" s="54">
        <v>0</v>
      </c>
      <c r="N255" s="54">
        <v>0</v>
      </c>
      <c r="O255" s="54">
        <v>0</v>
      </c>
      <c r="P255" s="54">
        <v>0</v>
      </c>
      <c r="Q255" s="54">
        <v>0</v>
      </c>
      <c r="R255" s="54">
        <v>0</v>
      </c>
      <c r="S255" s="54">
        <v>0</v>
      </c>
      <c r="T255" s="54">
        <v>0</v>
      </c>
      <c r="U255" s="54">
        <v>7614</v>
      </c>
      <c r="V255" s="54">
        <v>0</v>
      </c>
      <c r="W255" s="54">
        <v>0</v>
      </c>
      <c r="X255" s="54">
        <v>0</v>
      </c>
      <c r="Y255" s="54">
        <v>0</v>
      </c>
      <c r="Z255" s="54">
        <v>0</v>
      </c>
      <c r="AA255" s="54">
        <v>0</v>
      </c>
      <c r="AB255" s="54">
        <v>0</v>
      </c>
      <c r="AC255" s="54">
        <v>0</v>
      </c>
      <c r="AD255" s="54">
        <v>0</v>
      </c>
      <c r="AE255" s="54">
        <v>0</v>
      </c>
      <c r="AF255" s="54">
        <v>0</v>
      </c>
      <c r="AG255" s="54">
        <v>0</v>
      </c>
      <c r="AH255" s="54">
        <v>0</v>
      </c>
      <c r="AI255" s="54">
        <v>0</v>
      </c>
      <c r="AJ255" s="54">
        <v>0</v>
      </c>
      <c r="AK255" s="54">
        <v>0</v>
      </c>
      <c r="AL255" s="54">
        <v>0</v>
      </c>
      <c r="AM255" s="54" t="str">
        <f>I255-J255-K255-L255-M255-N255-O255-P255-Q255-R255-S255-T255-U255-V255-W255-X255-Y255-Z255-AA255-AB255-AC255-AD255-AE255-AF255-AG255+AH255-AI255+AJ255+AK255-AL255</f>
        <v>0</v>
      </c>
      <c r="AN255" s="54"/>
      <c r="AO255" s="27"/>
    </row>
    <row r="256" spans="1:41">
      <c r="A256" s="44">
        <v>228</v>
      </c>
      <c r="B256" s="47" t="s">
        <v>1036</v>
      </c>
      <c r="C256" s="48" t="s">
        <v>1037</v>
      </c>
      <c r="D256" s="52" t="s">
        <v>73</v>
      </c>
      <c r="E256" s="52" t="s">
        <v>1009</v>
      </c>
      <c r="F256" s="55" t="s">
        <v>1038</v>
      </c>
      <c r="G256" s="51">
        <v>4</v>
      </c>
      <c r="H256" s="52" t="s">
        <v>1039</v>
      </c>
      <c r="I256" s="54">
        <v>258000</v>
      </c>
      <c r="J256" s="54">
        <v>0</v>
      </c>
      <c r="K256" s="54">
        <v>25000</v>
      </c>
      <c r="L256" s="54">
        <v>0</v>
      </c>
      <c r="M256" s="54">
        <v>0</v>
      </c>
      <c r="N256" s="54">
        <v>0</v>
      </c>
      <c r="O256" s="54">
        <v>0</v>
      </c>
      <c r="P256" s="54">
        <v>0</v>
      </c>
      <c r="Q256" s="54">
        <v>0</v>
      </c>
      <c r="R256" s="54">
        <v>0</v>
      </c>
      <c r="S256" s="54">
        <v>0</v>
      </c>
      <c r="T256" s="54">
        <v>0</v>
      </c>
      <c r="U256" s="54">
        <v>2572</v>
      </c>
      <c r="V256" s="54">
        <v>0</v>
      </c>
      <c r="W256" s="54">
        <v>0</v>
      </c>
      <c r="X256" s="54">
        <v>0</v>
      </c>
      <c r="Y256" s="54">
        <v>0</v>
      </c>
      <c r="Z256" s="54">
        <v>0</v>
      </c>
      <c r="AA256" s="54">
        <v>0</v>
      </c>
      <c r="AB256" s="54">
        <v>0</v>
      </c>
      <c r="AC256" s="54">
        <v>0</v>
      </c>
      <c r="AD256" s="54">
        <v>0</v>
      </c>
      <c r="AE256" s="54">
        <v>0</v>
      </c>
      <c r="AF256" s="54">
        <v>0</v>
      </c>
      <c r="AG256" s="54">
        <v>0</v>
      </c>
      <c r="AH256" s="54">
        <v>0</v>
      </c>
      <c r="AI256" s="54">
        <v>0</v>
      </c>
      <c r="AJ256" s="54">
        <v>0</v>
      </c>
      <c r="AK256" s="54">
        <v>0</v>
      </c>
      <c r="AL256" s="54">
        <v>0</v>
      </c>
      <c r="AM256" s="54" t="str">
        <f>I256-J256-K256-L256-M256-N256-O256-P256-Q256-R256-S256-T256-U256-V256-W256-X256-Y256-Z256-AA256-AB256-AC256-AD256-AE256-AF256-AG256+AH256-AI256+AJ256+AK256-AL256</f>
        <v>0</v>
      </c>
      <c r="AN256" s="54"/>
      <c r="AO256" s="27"/>
    </row>
    <row r="257" spans="1:41">
      <c r="A257" s="44">
        <v>229</v>
      </c>
      <c r="B257" s="47" t="s">
        <v>1040</v>
      </c>
      <c r="C257" s="48" t="s">
        <v>1041</v>
      </c>
      <c r="D257" s="52" t="s">
        <v>73</v>
      </c>
      <c r="E257" s="52" t="s">
        <v>1009</v>
      </c>
      <c r="F257" s="55" t="s">
        <v>1042</v>
      </c>
      <c r="G257" s="51">
        <v>6</v>
      </c>
      <c r="H257" s="52" t="s">
        <v>1043</v>
      </c>
      <c r="I257" s="54">
        <v>750000</v>
      </c>
      <c r="J257" s="54">
        <v>0</v>
      </c>
      <c r="K257" s="54">
        <v>31000</v>
      </c>
      <c r="L257" s="54">
        <v>0</v>
      </c>
      <c r="M257" s="54">
        <v>0</v>
      </c>
      <c r="N257" s="54">
        <v>0</v>
      </c>
      <c r="O257" s="54">
        <v>0</v>
      </c>
      <c r="P257" s="54">
        <v>0</v>
      </c>
      <c r="Q257" s="54">
        <v>0</v>
      </c>
      <c r="R257" s="54">
        <v>0</v>
      </c>
      <c r="S257" s="54">
        <v>0</v>
      </c>
      <c r="T257" s="54">
        <v>0</v>
      </c>
      <c r="U257" s="54">
        <v>3189</v>
      </c>
      <c r="V257" s="54">
        <v>0</v>
      </c>
      <c r="W257" s="54">
        <v>0</v>
      </c>
      <c r="X257" s="54">
        <v>0</v>
      </c>
      <c r="Y257" s="54">
        <v>0</v>
      </c>
      <c r="Z257" s="54">
        <v>0</v>
      </c>
      <c r="AA257" s="54">
        <v>0</v>
      </c>
      <c r="AB257" s="54">
        <v>0</v>
      </c>
      <c r="AC257" s="54">
        <v>0</v>
      </c>
      <c r="AD257" s="54">
        <v>0</v>
      </c>
      <c r="AE257" s="54">
        <v>0</v>
      </c>
      <c r="AF257" s="54">
        <v>0</v>
      </c>
      <c r="AG257" s="54">
        <v>0</v>
      </c>
      <c r="AH257" s="54">
        <v>0</v>
      </c>
      <c r="AI257" s="54">
        <v>0</v>
      </c>
      <c r="AJ257" s="54">
        <v>0</v>
      </c>
      <c r="AK257" s="54">
        <v>0</v>
      </c>
      <c r="AL257" s="54">
        <v>0</v>
      </c>
      <c r="AM257" s="54" t="str">
        <f>I257-J257-K257-L257-M257-N257-O257-P257-Q257-R257-S257-T257-U257-V257-W257-X257-Y257-Z257-AA257-AB257-AC257-AD257-AE257-AF257-AG257+AH257-AI257+AJ257+AK257-AL257</f>
        <v>0</v>
      </c>
      <c r="AN257" s="54"/>
      <c r="AO257" s="27"/>
    </row>
    <row r="258" spans="1:41">
      <c r="A258" s="44">
        <v>230</v>
      </c>
      <c r="B258" s="47" t="s">
        <v>1044</v>
      </c>
      <c r="C258" s="48" t="s">
        <v>1045</v>
      </c>
      <c r="D258" s="52" t="s">
        <v>73</v>
      </c>
      <c r="E258" s="52" t="s">
        <v>1009</v>
      </c>
      <c r="F258" s="55" t="s">
        <v>1046</v>
      </c>
      <c r="G258" s="51">
        <v>7</v>
      </c>
      <c r="H258" s="52" t="s">
        <v>1047</v>
      </c>
      <c r="I258" s="54">
        <v>1590000</v>
      </c>
      <c r="J258" s="54">
        <v>0</v>
      </c>
      <c r="K258" s="54">
        <v>35000</v>
      </c>
      <c r="L258" s="54">
        <v>0</v>
      </c>
      <c r="M258" s="54">
        <v>0</v>
      </c>
      <c r="N258" s="54">
        <v>0</v>
      </c>
      <c r="O258" s="54">
        <v>0</v>
      </c>
      <c r="P258" s="54">
        <v>0</v>
      </c>
      <c r="Q258" s="54">
        <v>0</v>
      </c>
      <c r="R258" s="54">
        <v>0</v>
      </c>
      <c r="S258" s="54">
        <v>0</v>
      </c>
      <c r="T258" s="54">
        <v>0</v>
      </c>
      <c r="U258" s="54">
        <v>3601</v>
      </c>
      <c r="V258" s="54">
        <v>0</v>
      </c>
      <c r="W258" s="54">
        <v>0</v>
      </c>
      <c r="X258" s="54">
        <v>0</v>
      </c>
      <c r="Y258" s="54">
        <v>0</v>
      </c>
      <c r="Z258" s="54">
        <v>0</v>
      </c>
      <c r="AA258" s="54">
        <v>0</v>
      </c>
      <c r="AB258" s="54">
        <v>0</v>
      </c>
      <c r="AC258" s="54">
        <v>0</v>
      </c>
      <c r="AD258" s="54">
        <v>0</v>
      </c>
      <c r="AE258" s="54">
        <v>0</v>
      </c>
      <c r="AF258" s="54">
        <v>0</v>
      </c>
      <c r="AG258" s="54">
        <v>0</v>
      </c>
      <c r="AH258" s="54">
        <v>0</v>
      </c>
      <c r="AI258" s="54">
        <v>0</v>
      </c>
      <c r="AJ258" s="54">
        <v>0</v>
      </c>
      <c r="AK258" s="54">
        <v>0</v>
      </c>
      <c r="AL258" s="54">
        <v>0</v>
      </c>
      <c r="AM258" s="54" t="str">
        <f>I258-J258-K258-L258-M258-N258-O258-P258-Q258-R258-S258-T258-U258-V258-W258-X258-Y258-Z258-AA258-AB258-AC258-AD258-AE258-AF258-AG258+AH258-AI258+AJ258+AK258-AL258</f>
        <v>0</v>
      </c>
      <c r="AN258" s="54"/>
      <c r="AO258" s="27"/>
    </row>
    <row r="259" spans="1:41">
      <c r="A259" s="44">
        <v>231</v>
      </c>
      <c r="B259" s="47" t="s">
        <v>1048</v>
      </c>
      <c r="C259" s="48" t="s">
        <v>1049</v>
      </c>
      <c r="D259" s="52" t="s">
        <v>62</v>
      </c>
      <c r="E259" s="52" t="s">
        <v>1009</v>
      </c>
      <c r="F259" s="55" t="s">
        <v>1050</v>
      </c>
      <c r="G259" s="51">
        <v>8</v>
      </c>
      <c r="H259" s="52" t="s">
        <v>1051</v>
      </c>
      <c r="I259" s="54">
        <v>0</v>
      </c>
      <c r="J259" s="54">
        <v>0</v>
      </c>
      <c r="K259" s="54">
        <v>39000</v>
      </c>
      <c r="L259" s="54">
        <v>0</v>
      </c>
      <c r="M259" s="54">
        <v>0</v>
      </c>
      <c r="N259" s="54">
        <v>0</v>
      </c>
      <c r="O259" s="54">
        <v>0</v>
      </c>
      <c r="P259" s="54">
        <v>0</v>
      </c>
      <c r="Q259" s="54">
        <v>0</v>
      </c>
      <c r="R259" s="54">
        <v>0</v>
      </c>
      <c r="S259" s="54">
        <v>0</v>
      </c>
      <c r="T259" s="54">
        <v>0</v>
      </c>
      <c r="U259" s="54">
        <v>4013</v>
      </c>
      <c r="V259" s="54">
        <v>0</v>
      </c>
      <c r="W259" s="54">
        <v>0</v>
      </c>
      <c r="X259" s="54">
        <v>0</v>
      </c>
      <c r="Y259" s="54">
        <v>19500</v>
      </c>
      <c r="Z259" s="54">
        <v>0</v>
      </c>
      <c r="AA259" s="54">
        <v>0</v>
      </c>
      <c r="AB259" s="54">
        <v>0</v>
      </c>
      <c r="AC259" s="54">
        <v>0</v>
      </c>
      <c r="AD259" s="54">
        <v>0</v>
      </c>
      <c r="AE259" s="54">
        <v>0</v>
      </c>
      <c r="AF259" s="54">
        <v>0</v>
      </c>
      <c r="AG259" s="54">
        <v>0</v>
      </c>
      <c r="AH259" s="54">
        <v>0</v>
      </c>
      <c r="AI259" s="54">
        <v>0</v>
      </c>
      <c r="AJ259" s="54">
        <v>0</v>
      </c>
      <c r="AK259" s="54">
        <v>0</v>
      </c>
      <c r="AL259" s="54">
        <v>0</v>
      </c>
      <c r="AM259" s="54" t="str">
        <f>I259-J259-K259-L259-M259-N259-O259-P259-Q259-R259-S259-T259-U259-V259-W259-X259-Y259-Z259-AA259-AB259-AC259-AD259-AE259-AF259-AG259+AH259-AI259+AJ259+AK259-AL259</f>
        <v>0</v>
      </c>
      <c r="AN259" s="54"/>
      <c r="AO259" s="27"/>
    </row>
    <row r="260" spans="1:41">
      <c r="A260" s="44">
        <v>232</v>
      </c>
      <c r="B260" s="47" t="s">
        <v>1052</v>
      </c>
      <c r="C260" s="48" t="s">
        <v>1053</v>
      </c>
      <c r="D260" s="52" t="s">
        <v>73</v>
      </c>
      <c r="E260" s="52" t="s">
        <v>1009</v>
      </c>
      <c r="F260" s="55" t="s">
        <v>703</v>
      </c>
      <c r="G260" s="51">
        <v>2</v>
      </c>
      <c r="H260" s="52" t="s">
        <v>1054</v>
      </c>
      <c r="I260" s="54">
        <v>559000</v>
      </c>
      <c r="J260" s="54">
        <v>0</v>
      </c>
      <c r="K260" s="54">
        <v>22000</v>
      </c>
      <c r="L260" s="54">
        <v>0</v>
      </c>
      <c r="M260" s="54">
        <v>0</v>
      </c>
      <c r="N260" s="54">
        <v>0</v>
      </c>
      <c r="O260" s="54">
        <v>0</v>
      </c>
      <c r="P260" s="54">
        <v>0</v>
      </c>
      <c r="Q260" s="54">
        <v>0</v>
      </c>
      <c r="R260" s="54">
        <v>0</v>
      </c>
      <c r="S260" s="54">
        <v>0</v>
      </c>
      <c r="T260" s="54">
        <v>0</v>
      </c>
      <c r="U260" s="54">
        <v>2263</v>
      </c>
      <c r="V260" s="54">
        <v>0</v>
      </c>
      <c r="W260" s="54">
        <v>0</v>
      </c>
      <c r="X260" s="54">
        <v>0</v>
      </c>
      <c r="Y260" s="54">
        <v>0</v>
      </c>
      <c r="Z260" s="54">
        <v>0</v>
      </c>
      <c r="AA260" s="54">
        <v>0</v>
      </c>
      <c r="AB260" s="54">
        <v>0</v>
      </c>
      <c r="AC260" s="54">
        <v>0</v>
      </c>
      <c r="AD260" s="54">
        <v>0</v>
      </c>
      <c r="AE260" s="54">
        <v>0</v>
      </c>
      <c r="AF260" s="54">
        <v>0</v>
      </c>
      <c r="AG260" s="54">
        <v>0</v>
      </c>
      <c r="AH260" s="54">
        <v>0</v>
      </c>
      <c r="AI260" s="54">
        <v>0</v>
      </c>
      <c r="AJ260" s="54">
        <v>0</v>
      </c>
      <c r="AK260" s="54">
        <v>0</v>
      </c>
      <c r="AL260" s="54">
        <v>0</v>
      </c>
      <c r="AM260" s="54" t="str">
        <f>I260-J260-K260-L260-M260-N260-O260-P260-Q260-R260-S260-T260-U260-V260-W260-X260-Y260-Z260-AA260-AB260-AC260-AD260-AE260-AF260-AG260+AH260-AI260+AJ260+AK260-AL260</f>
        <v>0</v>
      </c>
      <c r="AN260" s="54"/>
      <c r="AO260" s="27"/>
    </row>
    <row r="261" spans="1:41">
      <c r="A261" s="44">
        <v>233</v>
      </c>
      <c r="B261" s="47" t="s">
        <v>1055</v>
      </c>
      <c r="C261" s="48" t="s">
        <v>1056</v>
      </c>
      <c r="D261" s="52" t="s">
        <v>73</v>
      </c>
      <c r="E261" s="52" t="s">
        <v>1057</v>
      </c>
      <c r="F261" s="55" t="s">
        <v>1058</v>
      </c>
      <c r="G261" s="51">
        <v>5</v>
      </c>
      <c r="H261" s="52" t="s">
        <v>1059</v>
      </c>
      <c r="I261" s="54">
        <v>1860000</v>
      </c>
      <c r="J261" s="54">
        <v>0</v>
      </c>
      <c r="K261" s="54">
        <v>27000</v>
      </c>
      <c r="L261" s="54">
        <v>0</v>
      </c>
      <c r="M261" s="54">
        <v>0</v>
      </c>
      <c r="N261" s="54">
        <v>0</v>
      </c>
      <c r="O261" s="54">
        <v>0</v>
      </c>
      <c r="P261" s="54">
        <v>0</v>
      </c>
      <c r="Q261" s="54">
        <v>0</v>
      </c>
      <c r="R261" s="54">
        <v>0</v>
      </c>
      <c r="S261" s="54">
        <v>0</v>
      </c>
      <c r="T261" s="54">
        <v>0</v>
      </c>
      <c r="U261" s="54">
        <v>2778</v>
      </c>
      <c r="V261" s="54">
        <v>0</v>
      </c>
      <c r="W261" s="54">
        <v>0</v>
      </c>
      <c r="X261" s="54">
        <v>0</v>
      </c>
      <c r="Y261" s="54">
        <v>0</v>
      </c>
      <c r="Z261" s="54">
        <v>0</v>
      </c>
      <c r="AA261" s="54">
        <v>0</v>
      </c>
      <c r="AB261" s="54">
        <v>0</v>
      </c>
      <c r="AC261" s="54">
        <v>0</v>
      </c>
      <c r="AD261" s="54">
        <v>0</v>
      </c>
      <c r="AE261" s="54">
        <v>0</v>
      </c>
      <c r="AF261" s="54">
        <v>0</v>
      </c>
      <c r="AG261" s="54">
        <v>0</v>
      </c>
      <c r="AH261" s="54">
        <v>0</v>
      </c>
      <c r="AI261" s="54">
        <v>0</v>
      </c>
      <c r="AJ261" s="54">
        <v>0</v>
      </c>
      <c r="AK261" s="54">
        <v>0</v>
      </c>
      <c r="AL261" s="54">
        <v>0</v>
      </c>
      <c r="AM261" s="54" t="str">
        <f>I261-J261-K261-L261-M261-N261-O261-P261-Q261-R261-S261-T261-U261-V261-W261-X261-Y261-Z261-AA261-AB261-AC261-AD261-AE261-AF261-AG261+AH261-AI261+AJ261+AK261-AL261</f>
        <v>0</v>
      </c>
      <c r="AN261" s="54"/>
      <c r="AO261" s="27"/>
    </row>
    <row r="262" spans="1:41">
      <c r="A262" s="44">
        <v>234</v>
      </c>
      <c r="B262" s="47" t="s">
        <v>1060</v>
      </c>
      <c r="C262" s="48" t="s">
        <v>1061</v>
      </c>
      <c r="D262" s="52" t="s">
        <v>73</v>
      </c>
      <c r="E262" s="52" t="s">
        <v>1057</v>
      </c>
      <c r="F262" s="55" t="s">
        <v>1062</v>
      </c>
      <c r="G262" s="51">
        <v>4</v>
      </c>
      <c r="H262" s="52" t="s">
        <v>1063</v>
      </c>
      <c r="I262" s="54">
        <v>220000</v>
      </c>
      <c r="J262" s="54">
        <v>0</v>
      </c>
      <c r="K262" s="54">
        <v>25000</v>
      </c>
      <c r="L262" s="54">
        <v>0</v>
      </c>
      <c r="M262" s="54">
        <v>0</v>
      </c>
      <c r="N262" s="54">
        <v>0</v>
      </c>
      <c r="O262" s="54">
        <v>0</v>
      </c>
      <c r="P262" s="54">
        <v>0</v>
      </c>
      <c r="Q262" s="54">
        <v>0</v>
      </c>
      <c r="R262" s="54">
        <v>0</v>
      </c>
      <c r="S262" s="54">
        <v>0</v>
      </c>
      <c r="T262" s="54">
        <v>0</v>
      </c>
      <c r="U262" s="54">
        <v>2572</v>
      </c>
      <c r="V262" s="54">
        <v>0</v>
      </c>
      <c r="W262" s="54">
        <v>0</v>
      </c>
      <c r="X262" s="54">
        <v>0</v>
      </c>
      <c r="Y262" s="54">
        <v>0</v>
      </c>
      <c r="Z262" s="54">
        <v>0</v>
      </c>
      <c r="AA262" s="54">
        <v>0</v>
      </c>
      <c r="AB262" s="54">
        <v>0</v>
      </c>
      <c r="AC262" s="54">
        <v>0</v>
      </c>
      <c r="AD262" s="54">
        <v>0</v>
      </c>
      <c r="AE262" s="54">
        <v>0</v>
      </c>
      <c r="AF262" s="54">
        <v>0</v>
      </c>
      <c r="AG262" s="54">
        <v>0</v>
      </c>
      <c r="AH262" s="54">
        <v>0</v>
      </c>
      <c r="AI262" s="54">
        <v>0</v>
      </c>
      <c r="AJ262" s="54">
        <v>0</v>
      </c>
      <c r="AK262" s="54">
        <v>0</v>
      </c>
      <c r="AL262" s="54">
        <v>0</v>
      </c>
      <c r="AM262" s="54" t="str">
        <f>I262-J262-K262-L262-M262-N262-O262-P262-Q262-R262-S262-T262-U262-V262-W262-X262-Y262-Z262-AA262-AB262-AC262-AD262-AE262-AF262-AG262+AH262-AI262+AJ262+AK262-AL262</f>
        <v>0</v>
      </c>
      <c r="AN262" s="54"/>
      <c r="AO262" s="27"/>
    </row>
    <row r="263" spans="1:41">
      <c r="A263" s="44">
        <v>235</v>
      </c>
      <c r="B263" s="47" t="s">
        <v>1064</v>
      </c>
      <c r="C263" s="48" t="s">
        <v>1065</v>
      </c>
      <c r="D263" s="52" t="s">
        <v>73</v>
      </c>
      <c r="E263" s="52" t="s">
        <v>1057</v>
      </c>
      <c r="F263" s="55" t="s">
        <v>539</v>
      </c>
      <c r="G263" s="51">
        <v>3</v>
      </c>
      <c r="H263" s="52" t="s">
        <v>1066</v>
      </c>
      <c r="I263" s="54">
        <v>525000</v>
      </c>
      <c r="J263" s="54">
        <v>0</v>
      </c>
      <c r="K263" s="54">
        <v>22000</v>
      </c>
      <c r="L263" s="54">
        <v>0</v>
      </c>
      <c r="M263" s="54">
        <v>0</v>
      </c>
      <c r="N263" s="54">
        <v>0</v>
      </c>
      <c r="O263" s="54">
        <v>0</v>
      </c>
      <c r="P263" s="54">
        <v>0</v>
      </c>
      <c r="Q263" s="54">
        <v>0</v>
      </c>
      <c r="R263" s="54">
        <v>0</v>
      </c>
      <c r="S263" s="54">
        <v>0</v>
      </c>
      <c r="T263" s="54">
        <v>0</v>
      </c>
      <c r="U263" s="54">
        <v>2263</v>
      </c>
      <c r="V263" s="54">
        <v>0</v>
      </c>
      <c r="W263" s="54">
        <v>0</v>
      </c>
      <c r="X263" s="54">
        <v>0</v>
      </c>
      <c r="Y263" s="54">
        <v>0</v>
      </c>
      <c r="Z263" s="54">
        <v>0</v>
      </c>
      <c r="AA263" s="54">
        <v>0</v>
      </c>
      <c r="AB263" s="54">
        <v>0</v>
      </c>
      <c r="AC263" s="54">
        <v>0</v>
      </c>
      <c r="AD263" s="54">
        <v>0</v>
      </c>
      <c r="AE263" s="54">
        <v>0</v>
      </c>
      <c r="AF263" s="54">
        <v>0</v>
      </c>
      <c r="AG263" s="54">
        <v>0</v>
      </c>
      <c r="AH263" s="54">
        <v>0</v>
      </c>
      <c r="AI263" s="54">
        <v>0</v>
      </c>
      <c r="AJ263" s="54">
        <v>0</v>
      </c>
      <c r="AK263" s="54">
        <v>0</v>
      </c>
      <c r="AL263" s="54">
        <v>0</v>
      </c>
      <c r="AM263" s="54" t="str">
        <f>I263-J263-K263-L263-M263-N263-O263-P263-Q263-R263-S263-T263-U263-V263-W263-X263-Y263-Z263-AA263-AB263-AC263-AD263-AE263-AF263-AG263+AH263-AI263+AJ263+AK263-AL263</f>
        <v>0</v>
      </c>
      <c r="AN263" s="54"/>
      <c r="AO263" s="27"/>
    </row>
    <row r="264" spans="1:41">
      <c r="A264" s="44">
        <v>236</v>
      </c>
      <c r="B264" s="47" t="s">
        <v>1067</v>
      </c>
      <c r="C264" s="48" t="s">
        <v>1068</v>
      </c>
      <c r="D264" s="52" t="s">
        <v>73</v>
      </c>
      <c r="E264" s="52" t="s">
        <v>1057</v>
      </c>
      <c r="F264" s="55" t="s">
        <v>1069</v>
      </c>
      <c r="G264" s="51">
        <v>3</v>
      </c>
      <c r="H264" s="52" t="s">
        <v>1070</v>
      </c>
      <c r="I264" s="54">
        <v>525000</v>
      </c>
      <c r="J264" s="54">
        <v>0</v>
      </c>
      <c r="K264" s="54">
        <v>22000</v>
      </c>
      <c r="L264" s="54">
        <v>0</v>
      </c>
      <c r="M264" s="54">
        <v>0</v>
      </c>
      <c r="N264" s="54">
        <v>0</v>
      </c>
      <c r="O264" s="54">
        <v>0</v>
      </c>
      <c r="P264" s="54">
        <v>0</v>
      </c>
      <c r="Q264" s="54">
        <v>0</v>
      </c>
      <c r="R264" s="54">
        <v>0</v>
      </c>
      <c r="S264" s="54">
        <v>0</v>
      </c>
      <c r="T264" s="54">
        <v>0</v>
      </c>
      <c r="U264" s="54">
        <v>2263</v>
      </c>
      <c r="V264" s="54">
        <v>0</v>
      </c>
      <c r="W264" s="54">
        <v>0</v>
      </c>
      <c r="X264" s="54">
        <v>0</v>
      </c>
      <c r="Y264" s="54">
        <v>0</v>
      </c>
      <c r="Z264" s="54">
        <v>0</v>
      </c>
      <c r="AA264" s="54">
        <v>0</v>
      </c>
      <c r="AB264" s="54">
        <v>0</v>
      </c>
      <c r="AC264" s="54">
        <v>0</v>
      </c>
      <c r="AD264" s="54">
        <v>0</v>
      </c>
      <c r="AE264" s="54">
        <v>0</v>
      </c>
      <c r="AF264" s="54">
        <v>0</v>
      </c>
      <c r="AG264" s="54">
        <v>0</v>
      </c>
      <c r="AH264" s="54">
        <v>0</v>
      </c>
      <c r="AI264" s="54">
        <v>0</v>
      </c>
      <c r="AJ264" s="54">
        <v>0</v>
      </c>
      <c r="AK264" s="54">
        <v>0</v>
      </c>
      <c r="AL264" s="54">
        <v>0</v>
      </c>
      <c r="AM264" s="54" t="str">
        <f>I264-J264-K264-L264-M264-N264-O264-P264-Q264-R264-S264-T264-U264-V264-W264-X264-Y264-Z264-AA264-AB264-AC264-AD264-AE264-AF264-AG264+AH264-AI264+AJ264+AK264-AL264</f>
        <v>0</v>
      </c>
      <c r="AN264" s="54"/>
      <c r="AO264" s="27"/>
    </row>
    <row r="265" spans="1:41">
      <c r="A265" s="44">
        <v>237</v>
      </c>
      <c r="B265" s="47" t="s">
        <v>1071</v>
      </c>
      <c r="C265" s="48" t="s">
        <v>1072</v>
      </c>
      <c r="D265" s="52" t="s">
        <v>73</v>
      </c>
      <c r="E265" s="52" t="s">
        <v>1057</v>
      </c>
      <c r="F265" s="55" t="s">
        <v>712</v>
      </c>
      <c r="G265" s="51">
        <v>3</v>
      </c>
      <c r="H265" s="52" t="s">
        <v>1073</v>
      </c>
      <c r="I265" s="54">
        <v>749000</v>
      </c>
      <c r="J265" s="54">
        <v>0</v>
      </c>
      <c r="K265" s="54">
        <v>22000</v>
      </c>
      <c r="L265" s="54">
        <v>0</v>
      </c>
      <c r="M265" s="54">
        <v>0</v>
      </c>
      <c r="N265" s="54">
        <v>0</v>
      </c>
      <c r="O265" s="54">
        <v>0</v>
      </c>
      <c r="P265" s="54">
        <v>0</v>
      </c>
      <c r="Q265" s="54">
        <v>0</v>
      </c>
      <c r="R265" s="54">
        <v>0</v>
      </c>
      <c r="S265" s="54">
        <v>0</v>
      </c>
      <c r="T265" s="54">
        <v>0</v>
      </c>
      <c r="U265" s="54">
        <v>2263</v>
      </c>
      <c r="V265" s="54">
        <v>0</v>
      </c>
      <c r="W265" s="54">
        <v>0</v>
      </c>
      <c r="X265" s="54">
        <v>0</v>
      </c>
      <c r="Y265" s="54">
        <v>0</v>
      </c>
      <c r="Z265" s="54">
        <v>0</v>
      </c>
      <c r="AA265" s="54">
        <v>0</v>
      </c>
      <c r="AB265" s="54">
        <v>0</v>
      </c>
      <c r="AC265" s="54">
        <v>0</v>
      </c>
      <c r="AD265" s="54">
        <v>0</v>
      </c>
      <c r="AE265" s="54">
        <v>0</v>
      </c>
      <c r="AF265" s="54">
        <v>0</v>
      </c>
      <c r="AG265" s="54">
        <v>0</v>
      </c>
      <c r="AH265" s="54">
        <v>0</v>
      </c>
      <c r="AI265" s="54">
        <v>0</v>
      </c>
      <c r="AJ265" s="54">
        <v>0</v>
      </c>
      <c r="AK265" s="54">
        <v>0</v>
      </c>
      <c r="AL265" s="54">
        <v>0</v>
      </c>
      <c r="AM265" s="54" t="str">
        <f>I265-J265-K265-L265-M265-N265-O265-P265-Q265-R265-S265-T265-U265-V265-W265-X265-Y265-Z265-AA265-AB265-AC265-AD265-AE265-AF265-AG265+AH265-AI265+AJ265+AK265-AL265</f>
        <v>0</v>
      </c>
      <c r="AN265" s="54"/>
      <c r="AO265" s="27"/>
    </row>
    <row r="266" spans="1:41">
      <c r="A266" s="44">
        <v>238</v>
      </c>
      <c r="B266" s="47" t="s">
        <v>1074</v>
      </c>
      <c r="C266" s="48" t="s">
        <v>1075</v>
      </c>
      <c r="D266" s="52" t="s">
        <v>73</v>
      </c>
      <c r="E266" s="52" t="s">
        <v>1057</v>
      </c>
      <c r="F266" s="55" t="s">
        <v>1076</v>
      </c>
      <c r="G266" s="51">
        <v>2</v>
      </c>
      <c r="H266" s="52" t="s">
        <v>1077</v>
      </c>
      <c r="I266" s="54">
        <v>219000</v>
      </c>
      <c r="J266" s="54">
        <v>0</v>
      </c>
      <c r="K266" s="54">
        <v>22000</v>
      </c>
      <c r="L266" s="54">
        <v>0</v>
      </c>
      <c r="M266" s="54">
        <v>0</v>
      </c>
      <c r="N266" s="54">
        <v>0</v>
      </c>
      <c r="O266" s="54">
        <v>0</v>
      </c>
      <c r="P266" s="54">
        <v>0</v>
      </c>
      <c r="Q266" s="54">
        <v>0</v>
      </c>
      <c r="R266" s="54">
        <v>0</v>
      </c>
      <c r="S266" s="54">
        <v>0</v>
      </c>
      <c r="T266" s="54">
        <v>0</v>
      </c>
      <c r="U266" s="54">
        <v>2263</v>
      </c>
      <c r="V266" s="54">
        <v>0</v>
      </c>
      <c r="W266" s="54">
        <v>0</v>
      </c>
      <c r="X266" s="54">
        <v>0</v>
      </c>
      <c r="Y266" s="54">
        <v>0</v>
      </c>
      <c r="Z266" s="54">
        <v>0</v>
      </c>
      <c r="AA266" s="54">
        <v>0</v>
      </c>
      <c r="AB266" s="54">
        <v>0</v>
      </c>
      <c r="AC266" s="54">
        <v>0</v>
      </c>
      <c r="AD266" s="54">
        <v>0</v>
      </c>
      <c r="AE266" s="54">
        <v>0</v>
      </c>
      <c r="AF266" s="54">
        <v>0</v>
      </c>
      <c r="AG266" s="54">
        <v>0</v>
      </c>
      <c r="AH266" s="54">
        <v>0</v>
      </c>
      <c r="AI266" s="54">
        <v>0</v>
      </c>
      <c r="AJ266" s="54">
        <v>0</v>
      </c>
      <c r="AK266" s="54">
        <v>0</v>
      </c>
      <c r="AL266" s="54">
        <v>0</v>
      </c>
      <c r="AM266" s="54" t="str">
        <f>I266-J266-K266-L266-M266-N266-O266-P266-Q266-R266-S266-T266-U266-V266-W266-X266-Y266-Z266-AA266-AB266-AC266-AD266-AE266-AF266-AG266+AH266-AI266+AJ266+AK266-AL266</f>
        <v>0</v>
      </c>
      <c r="AN266" s="54"/>
      <c r="AO266" s="27"/>
    </row>
    <row r="267" spans="1:41">
      <c r="A267" s="44">
        <v>239</v>
      </c>
      <c r="B267" s="47" t="s">
        <v>1078</v>
      </c>
      <c r="C267" s="48" t="s">
        <v>1079</v>
      </c>
      <c r="D267" s="52" t="s">
        <v>73</v>
      </c>
      <c r="E267" s="52" t="s">
        <v>1057</v>
      </c>
      <c r="F267" s="55" t="s">
        <v>1080</v>
      </c>
      <c r="G267" s="51">
        <v>2</v>
      </c>
      <c r="H267" s="52" t="s">
        <v>1081</v>
      </c>
      <c r="I267" s="54">
        <v>219000</v>
      </c>
      <c r="J267" s="54">
        <v>0</v>
      </c>
      <c r="K267" s="54">
        <v>22000</v>
      </c>
      <c r="L267" s="54">
        <v>0</v>
      </c>
      <c r="M267" s="54">
        <v>0</v>
      </c>
      <c r="N267" s="54">
        <v>0</v>
      </c>
      <c r="O267" s="54">
        <v>0</v>
      </c>
      <c r="P267" s="54">
        <v>0</v>
      </c>
      <c r="Q267" s="54">
        <v>0</v>
      </c>
      <c r="R267" s="54">
        <v>0</v>
      </c>
      <c r="S267" s="54">
        <v>0</v>
      </c>
      <c r="T267" s="54">
        <v>0</v>
      </c>
      <c r="U267" s="54">
        <v>2263</v>
      </c>
      <c r="V267" s="54">
        <v>0</v>
      </c>
      <c r="W267" s="54">
        <v>0</v>
      </c>
      <c r="X267" s="54">
        <v>0</v>
      </c>
      <c r="Y267" s="54">
        <v>0</v>
      </c>
      <c r="Z267" s="54">
        <v>0</v>
      </c>
      <c r="AA267" s="54">
        <v>0</v>
      </c>
      <c r="AB267" s="54">
        <v>0</v>
      </c>
      <c r="AC267" s="54">
        <v>0</v>
      </c>
      <c r="AD267" s="54">
        <v>0</v>
      </c>
      <c r="AE267" s="54">
        <v>0</v>
      </c>
      <c r="AF267" s="54">
        <v>0</v>
      </c>
      <c r="AG267" s="54">
        <v>0</v>
      </c>
      <c r="AH267" s="54">
        <v>0</v>
      </c>
      <c r="AI267" s="54">
        <v>0</v>
      </c>
      <c r="AJ267" s="54">
        <v>0</v>
      </c>
      <c r="AK267" s="54">
        <v>0</v>
      </c>
      <c r="AL267" s="54">
        <v>0</v>
      </c>
      <c r="AM267" s="54" t="str">
        <f>I267-J267-K267-L267-M267-N267-O267-P267-Q267-R267-S267-T267-U267-V267-W267-X267-Y267-Z267-AA267-AB267-AC267-AD267-AE267-AF267-AG267+AH267-AI267+AJ267+AK267-AL267</f>
        <v>0</v>
      </c>
      <c r="AN267" s="54"/>
      <c r="AO267" s="27"/>
    </row>
    <row r="268" spans="1:41">
      <c r="A268" s="44">
        <v>240</v>
      </c>
      <c r="B268" s="47" t="s">
        <v>1082</v>
      </c>
      <c r="C268" s="48" t="s">
        <v>1083</v>
      </c>
      <c r="D268" s="52" t="s">
        <v>73</v>
      </c>
      <c r="E268" s="52" t="s">
        <v>1057</v>
      </c>
      <c r="F268" s="55" t="s">
        <v>1084</v>
      </c>
      <c r="G268" s="51">
        <v>5.8</v>
      </c>
      <c r="H268" s="52" t="s">
        <v>1085</v>
      </c>
      <c r="I268" s="54">
        <v>599000</v>
      </c>
      <c r="J268" s="54">
        <v>0</v>
      </c>
      <c r="K268" s="54">
        <v>31000</v>
      </c>
      <c r="L268" s="54">
        <v>0</v>
      </c>
      <c r="M268" s="54">
        <v>0</v>
      </c>
      <c r="N268" s="54">
        <v>0</v>
      </c>
      <c r="O268" s="54">
        <v>0</v>
      </c>
      <c r="P268" s="54">
        <v>0</v>
      </c>
      <c r="Q268" s="54">
        <v>0</v>
      </c>
      <c r="R268" s="54">
        <v>0</v>
      </c>
      <c r="S268" s="54">
        <v>0</v>
      </c>
      <c r="T268" s="54">
        <v>0</v>
      </c>
      <c r="U268" s="54">
        <v>3189</v>
      </c>
      <c r="V268" s="54">
        <v>0</v>
      </c>
      <c r="W268" s="54">
        <v>0</v>
      </c>
      <c r="X268" s="54">
        <v>0</v>
      </c>
      <c r="Y268" s="54">
        <v>0</v>
      </c>
      <c r="Z268" s="54">
        <v>0</v>
      </c>
      <c r="AA268" s="54">
        <v>0</v>
      </c>
      <c r="AB268" s="54">
        <v>0</v>
      </c>
      <c r="AC268" s="54">
        <v>0</v>
      </c>
      <c r="AD268" s="54">
        <v>0</v>
      </c>
      <c r="AE268" s="54">
        <v>0</v>
      </c>
      <c r="AF268" s="54">
        <v>0</v>
      </c>
      <c r="AG268" s="54">
        <v>0</v>
      </c>
      <c r="AH268" s="54">
        <v>0</v>
      </c>
      <c r="AI268" s="54">
        <v>0</v>
      </c>
      <c r="AJ268" s="54">
        <v>0</v>
      </c>
      <c r="AK268" s="54">
        <v>0</v>
      </c>
      <c r="AL268" s="54">
        <v>0</v>
      </c>
      <c r="AM268" s="54" t="str">
        <f>I268-J268-K268-L268-M268-N268-O268-P268-Q268-R268-S268-T268-U268-V268-W268-X268-Y268-Z268-AA268-AB268-AC268-AD268-AE268-AF268-AG268+AH268-AI268+AJ268+AK268-AL268</f>
        <v>0</v>
      </c>
      <c r="AN268" s="54"/>
      <c r="AO268" s="27"/>
    </row>
    <row r="269" spans="1:41">
      <c r="A269" s="44">
        <v>241</v>
      </c>
      <c r="B269" s="47" t="s">
        <v>1086</v>
      </c>
      <c r="C269" s="48" t="s">
        <v>1087</v>
      </c>
      <c r="D269" s="52" t="s">
        <v>73</v>
      </c>
      <c r="E269" s="52" t="s">
        <v>1057</v>
      </c>
      <c r="F269" s="55" t="s">
        <v>1088</v>
      </c>
      <c r="G269" s="51">
        <v>6</v>
      </c>
      <c r="H269" s="52" t="s">
        <v>1089</v>
      </c>
      <c r="I269" s="54">
        <v>950000</v>
      </c>
      <c r="J269" s="54">
        <v>0</v>
      </c>
      <c r="K269" s="54">
        <v>31000</v>
      </c>
      <c r="L269" s="54">
        <v>0</v>
      </c>
      <c r="M269" s="54">
        <v>0</v>
      </c>
      <c r="N269" s="54">
        <v>0</v>
      </c>
      <c r="O269" s="54">
        <v>0</v>
      </c>
      <c r="P269" s="54">
        <v>0</v>
      </c>
      <c r="Q269" s="54">
        <v>0</v>
      </c>
      <c r="R269" s="54">
        <v>0</v>
      </c>
      <c r="S269" s="54">
        <v>0</v>
      </c>
      <c r="T269" s="54">
        <v>0</v>
      </c>
      <c r="U269" s="54">
        <v>3189</v>
      </c>
      <c r="V269" s="54">
        <v>0</v>
      </c>
      <c r="W269" s="54">
        <v>0</v>
      </c>
      <c r="X269" s="54">
        <v>0</v>
      </c>
      <c r="Y269" s="54">
        <v>0</v>
      </c>
      <c r="Z269" s="54">
        <v>0</v>
      </c>
      <c r="AA269" s="54">
        <v>0</v>
      </c>
      <c r="AB269" s="54">
        <v>0</v>
      </c>
      <c r="AC269" s="54">
        <v>0</v>
      </c>
      <c r="AD269" s="54">
        <v>0</v>
      </c>
      <c r="AE269" s="54">
        <v>0</v>
      </c>
      <c r="AF269" s="54">
        <v>0</v>
      </c>
      <c r="AG269" s="54">
        <v>0</v>
      </c>
      <c r="AH269" s="54">
        <v>0</v>
      </c>
      <c r="AI269" s="54">
        <v>0</v>
      </c>
      <c r="AJ269" s="54">
        <v>0</v>
      </c>
      <c r="AK269" s="54">
        <v>0</v>
      </c>
      <c r="AL269" s="54">
        <v>0</v>
      </c>
      <c r="AM269" s="54" t="str">
        <f>I269-J269-K269-L269-M269-N269-O269-P269-Q269-R269-S269-T269-U269-V269-W269-X269-Y269-Z269-AA269-AB269-AC269-AD269-AE269-AF269-AG269+AH269-AI269+AJ269+AK269-AL269</f>
        <v>0</v>
      </c>
      <c r="AN269" s="54"/>
      <c r="AO269" s="27"/>
    </row>
    <row r="270" spans="1:41">
      <c r="A270" s="44">
        <v>242</v>
      </c>
      <c r="B270" s="47" t="s">
        <v>1090</v>
      </c>
      <c r="C270" s="48" t="s">
        <v>1091</v>
      </c>
      <c r="D270" s="52" t="s">
        <v>73</v>
      </c>
      <c r="E270" s="52" t="s">
        <v>1057</v>
      </c>
      <c r="F270" s="55" t="s">
        <v>1092</v>
      </c>
      <c r="G270" s="51">
        <v>3</v>
      </c>
      <c r="H270" s="52" t="s">
        <v>1093</v>
      </c>
      <c r="I270" s="54">
        <v>525000</v>
      </c>
      <c r="J270" s="54">
        <v>0</v>
      </c>
      <c r="K270" s="54">
        <v>22000</v>
      </c>
      <c r="L270" s="54">
        <v>0</v>
      </c>
      <c r="M270" s="54">
        <v>0</v>
      </c>
      <c r="N270" s="54">
        <v>0</v>
      </c>
      <c r="O270" s="54">
        <v>0</v>
      </c>
      <c r="P270" s="54">
        <v>0</v>
      </c>
      <c r="Q270" s="54">
        <v>0</v>
      </c>
      <c r="R270" s="54">
        <v>0</v>
      </c>
      <c r="S270" s="54">
        <v>0</v>
      </c>
      <c r="T270" s="54">
        <v>0</v>
      </c>
      <c r="U270" s="54">
        <v>2263</v>
      </c>
      <c r="V270" s="54">
        <v>0</v>
      </c>
      <c r="W270" s="54">
        <v>0</v>
      </c>
      <c r="X270" s="54">
        <v>0</v>
      </c>
      <c r="Y270" s="54">
        <v>0</v>
      </c>
      <c r="Z270" s="54">
        <v>0</v>
      </c>
      <c r="AA270" s="54">
        <v>0</v>
      </c>
      <c r="AB270" s="54">
        <v>0</v>
      </c>
      <c r="AC270" s="54">
        <v>0</v>
      </c>
      <c r="AD270" s="54">
        <v>0</v>
      </c>
      <c r="AE270" s="54">
        <v>0</v>
      </c>
      <c r="AF270" s="54">
        <v>0</v>
      </c>
      <c r="AG270" s="54">
        <v>0</v>
      </c>
      <c r="AH270" s="54">
        <v>0</v>
      </c>
      <c r="AI270" s="54">
        <v>0</v>
      </c>
      <c r="AJ270" s="54">
        <v>0</v>
      </c>
      <c r="AK270" s="54">
        <v>0</v>
      </c>
      <c r="AL270" s="54">
        <v>0</v>
      </c>
      <c r="AM270" s="54" t="str">
        <f>I270-J270-K270-L270-M270-N270-O270-P270-Q270-R270-S270-T270-U270-V270-W270-X270-Y270-Z270-AA270-AB270-AC270-AD270-AE270-AF270-AG270+AH270-AI270+AJ270+AK270-AL270</f>
        <v>0</v>
      </c>
      <c r="AN270" s="54"/>
      <c r="AO270" s="27"/>
    </row>
    <row r="271" spans="1:41">
      <c r="A271" s="44">
        <v>243</v>
      </c>
      <c r="B271" s="47" t="s">
        <v>1094</v>
      </c>
      <c r="C271" s="48" t="s">
        <v>1095</v>
      </c>
      <c r="D271" s="52" t="s">
        <v>73</v>
      </c>
      <c r="E271" s="52" t="s">
        <v>1057</v>
      </c>
      <c r="F271" s="55" t="s">
        <v>1096</v>
      </c>
      <c r="G271" s="51">
        <v>2</v>
      </c>
      <c r="H271" s="52" t="s">
        <v>1097</v>
      </c>
      <c r="I271" s="54">
        <v>299000</v>
      </c>
      <c r="J271" s="54">
        <v>0</v>
      </c>
      <c r="K271" s="54">
        <v>22000</v>
      </c>
      <c r="L271" s="54">
        <v>0</v>
      </c>
      <c r="M271" s="54">
        <v>0</v>
      </c>
      <c r="N271" s="54">
        <v>0</v>
      </c>
      <c r="O271" s="54">
        <v>0</v>
      </c>
      <c r="P271" s="54">
        <v>0</v>
      </c>
      <c r="Q271" s="54">
        <v>0</v>
      </c>
      <c r="R271" s="54">
        <v>0</v>
      </c>
      <c r="S271" s="54">
        <v>0</v>
      </c>
      <c r="T271" s="54">
        <v>0</v>
      </c>
      <c r="U271" s="54">
        <v>2263</v>
      </c>
      <c r="V271" s="54">
        <v>0</v>
      </c>
      <c r="W271" s="54">
        <v>0</v>
      </c>
      <c r="X271" s="54">
        <v>0</v>
      </c>
      <c r="Y271" s="54">
        <v>0</v>
      </c>
      <c r="Z271" s="54">
        <v>0</v>
      </c>
      <c r="AA271" s="54">
        <v>0</v>
      </c>
      <c r="AB271" s="54">
        <v>0</v>
      </c>
      <c r="AC271" s="54">
        <v>0</v>
      </c>
      <c r="AD271" s="54">
        <v>0</v>
      </c>
      <c r="AE271" s="54">
        <v>0</v>
      </c>
      <c r="AF271" s="54">
        <v>0</v>
      </c>
      <c r="AG271" s="54">
        <v>0</v>
      </c>
      <c r="AH271" s="54">
        <v>0</v>
      </c>
      <c r="AI271" s="54">
        <v>0</v>
      </c>
      <c r="AJ271" s="54">
        <v>0</v>
      </c>
      <c r="AK271" s="54">
        <v>0</v>
      </c>
      <c r="AL271" s="54">
        <v>0</v>
      </c>
      <c r="AM271" s="54" t="str">
        <f>I271-J271-K271-L271-M271-N271-O271-P271-Q271-R271-S271-T271-U271-V271-W271-X271-Y271-Z271-AA271-AB271-AC271-AD271-AE271-AF271-AG271+AH271-AI271+AJ271+AK271-AL271</f>
        <v>0</v>
      </c>
      <c r="AN271" s="54"/>
      <c r="AO271" s="27"/>
    </row>
    <row r="272" spans="1:41">
      <c r="A272" s="44">
        <v>244</v>
      </c>
      <c r="B272" s="47" t="s">
        <v>1098</v>
      </c>
      <c r="C272" s="48" t="s">
        <v>1099</v>
      </c>
      <c r="D272" s="52" t="s">
        <v>73</v>
      </c>
      <c r="E272" s="52" t="s">
        <v>1057</v>
      </c>
      <c r="F272" s="55" t="s">
        <v>1100</v>
      </c>
      <c r="G272" s="51">
        <v>8</v>
      </c>
      <c r="H272" s="52" t="s">
        <v>1101</v>
      </c>
      <c r="I272" s="54">
        <v>1063000</v>
      </c>
      <c r="J272" s="54">
        <v>0</v>
      </c>
      <c r="K272" s="54">
        <v>39000</v>
      </c>
      <c r="L272" s="54">
        <v>0</v>
      </c>
      <c r="M272" s="54">
        <v>0</v>
      </c>
      <c r="N272" s="54">
        <v>0</v>
      </c>
      <c r="O272" s="54">
        <v>0</v>
      </c>
      <c r="P272" s="54">
        <v>0</v>
      </c>
      <c r="Q272" s="54">
        <v>0</v>
      </c>
      <c r="R272" s="54">
        <v>0</v>
      </c>
      <c r="S272" s="54">
        <v>0</v>
      </c>
      <c r="T272" s="54">
        <v>0</v>
      </c>
      <c r="U272" s="54">
        <v>4013</v>
      </c>
      <c r="V272" s="54">
        <v>0</v>
      </c>
      <c r="W272" s="54">
        <v>0</v>
      </c>
      <c r="X272" s="54">
        <v>0</v>
      </c>
      <c r="Y272" s="54">
        <v>0</v>
      </c>
      <c r="Z272" s="54">
        <v>0</v>
      </c>
      <c r="AA272" s="54">
        <v>0</v>
      </c>
      <c r="AB272" s="54">
        <v>0</v>
      </c>
      <c r="AC272" s="54">
        <v>0</v>
      </c>
      <c r="AD272" s="54">
        <v>0</v>
      </c>
      <c r="AE272" s="54">
        <v>0</v>
      </c>
      <c r="AF272" s="54">
        <v>0</v>
      </c>
      <c r="AG272" s="54">
        <v>0</v>
      </c>
      <c r="AH272" s="54">
        <v>0</v>
      </c>
      <c r="AI272" s="54">
        <v>0</v>
      </c>
      <c r="AJ272" s="54">
        <v>0</v>
      </c>
      <c r="AK272" s="54">
        <v>0</v>
      </c>
      <c r="AL272" s="54">
        <v>0</v>
      </c>
      <c r="AM272" s="54" t="str">
        <f>I272-J272-K272-L272-M272-N272-O272-P272-Q272-R272-S272-T272-U272-V272-W272-X272-Y272-Z272-AA272-AB272-AC272-AD272-AE272-AF272-AG272+AH272-AI272+AJ272+AK272-AL272</f>
        <v>0</v>
      </c>
      <c r="AN272" s="54"/>
      <c r="AO272" s="27"/>
    </row>
    <row r="273" spans="1:41">
      <c r="A273" s="44">
        <v>245</v>
      </c>
      <c r="B273" s="47" t="s">
        <v>1102</v>
      </c>
      <c r="C273" s="48" t="s">
        <v>1103</v>
      </c>
      <c r="D273" s="52" t="s">
        <v>62</v>
      </c>
      <c r="E273" s="52" t="s">
        <v>1057</v>
      </c>
      <c r="F273" s="55" t="s">
        <v>1104</v>
      </c>
      <c r="G273" s="51">
        <v>6</v>
      </c>
      <c r="H273" s="52" t="s">
        <v>1105</v>
      </c>
      <c r="I273" s="54">
        <v>0</v>
      </c>
      <c r="J273" s="54">
        <v>0</v>
      </c>
      <c r="K273" s="54">
        <v>31000</v>
      </c>
      <c r="L273" s="54">
        <v>0</v>
      </c>
      <c r="M273" s="54">
        <v>0</v>
      </c>
      <c r="N273" s="54">
        <v>0</v>
      </c>
      <c r="O273" s="54">
        <v>0</v>
      </c>
      <c r="P273" s="54">
        <v>0</v>
      </c>
      <c r="Q273" s="54">
        <v>0</v>
      </c>
      <c r="R273" s="54">
        <v>0</v>
      </c>
      <c r="S273" s="54">
        <v>0</v>
      </c>
      <c r="T273" s="54">
        <v>0</v>
      </c>
      <c r="U273" s="54">
        <v>3189</v>
      </c>
      <c r="V273" s="54">
        <v>0</v>
      </c>
      <c r="W273" s="54">
        <v>0</v>
      </c>
      <c r="X273" s="54">
        <v>0</v>
      </c>
      <c r="Y273" s="54">
        <v>15500</v>
      </c>
      <c r="Z273" s="54">
        <v>0</v>
      </c>
      <c r="AA273" s="54">
        <v>0</v>
      </c>
      <c r="AB273" s="54">
        <v>0</v>
      </c>
      <c r="AC273" s="54">
        <v>0</v>
      </c>
      <c r="AD273" s="54">
        <v>0</v>
      </c>
      <c r="AE273" s="54">
        <v>0</v>
      </c>
      <c r="AF273" s="54">
        <v>0</v>
      </c>
      <c r="AG273" s="54">
        <v>0</v>
      </c>
      <c r="AH273" s="54">
        <v>0</v>
      </c>
      <c r="AI273" s="54">
        <v>0</v>
      </c>
      <c r="AJ273" s="54">
        <v>0</v>
      </c>
      <c r="AK273" s="54">
        <v>0</v>
      </c>
      <c r="AL273" s="54">
        <v>0</v>
      </c>
      <c r="AM273" s="54" t="str">
        <f>I273-J273-K273-L273-M273-N273-O273-P273-Q273-R273-S273-T273-U273-V273-W273-X273-Y273-Z273-AA273-AB273-AC273-AD273-AE273-AF273-AG273+AH273-AI273+AJ273+AK273-AL273</f>
        <v>0</v>
      </c>
      <c r="AN273" s="54"/>
      <c r="AO273" s="27"/>
    </row>
    <row r="274" spans="1:41">
      <c r="A274" s="44">
        <v>246</v>
      </c>
      <c r="B274" s="47" t="s">
        <v>1106</v>
      </c>
      <c r="C274" s="48" t="s">
        <v>1107</v>
      </c>
      <c r="D274" s="52" t="s">
        <v>73</v>
      </c>
      <c r="E274" s="52" t="s">
        <v>1108</v>
      </c>
      <c r="F274" s="55" t="s">
        <v>1109</v>
      </c>
      <c r="G274" s="51">
        <v>3</v>
      </c>
      <c r="H274" s="52" t="s">
        <v>1110</v>
      </c>
      <c r="I274" s="54">
        <v>30000</v>
      </c>
      <c r="J274" s="54">
        <v>0</v>
      </c>
      <c r="K274" s="54">
        <v>22000</v>
      </c>
      <c r="L274" s="54">
        <v>0</v>
      </c>
      <c r="M274" s="54">
        <v>0</v>
      </c>
      <c r="N274" s="54">
        <v>0</v>
      </c>
      <c r="O274" s="54">
        <v>0</v>
      </c>
      <c r="P274" s="54">
        <v>0</v>
      </c>
      <c r="Q274" s="54">
        <v>0</v>
      </c>
      <c r="R274" s="54">
        <v>0</v>
      </c>
      <c r="S274" s="54">
        <v>0</v>
      </c>
      <c r="T274" s="54">
        <v>0</v>
      </c>
      <c r="U274" s="54">
        <v>2263</v>
      </c>
      <c r="V274" s="54">
        <v>0</v>
      </c>
      <c r="W274" s="54">
        <v>0</v>
      </c>
      <c r="X274" s="54">
        <v>0</v>
      </c>
      <c r="Y274" s="54">
        <v>11000</v>
      </c>
      <c r="Z274" s="54">
        <v>0</v>
      </c>
      <c r="AA274" s="54">
        <v>0</v>
      </c>
      <c r="AB274" s="54">
        <v>0</v>
      </c>
      <c r="AC274" s="54">
        <v>0</v>
      </c>
      <c r="AD274" s="54">
        <v>0</v>
      </c>
      <c r="AE274" s="54">
        <v>0</v>
      </c>
      <c r="AF274" s="54">
        <v>0</v>
      </c>
      <c r="AG274" s="54">
        <v>0</v>
      </c>
      <c r="AH274" s="54">
        <v>0</v>
      </c>
      <c r="AI274" s="54">
        <v>0</v>
      </c>
      <c r="AJ274" s="54">
        <v>0</v>
      </c>
      <c r="AK274" s="54">
        <v>0</v>
      </c>
      <c r="AL274" s="54">
        <v>0</v>
      </c>
      <c r="AM274" s="54" t="str">
        <f>I274-J274-K274-L274-M274-N274-O274-P274-Q274-R274-S274-T274-U274-V274-W274-X274-Y274-Z274-AA274-AB274-AC274-AD274-AE274-AF274-AG274+AH274-AI274+AJ274+AK274-AL274</f>
        <v>0</v>
      </c>
      <c r="AN274" s="54"/>
      <c r="AO274" s="27"/>
    </row>
    <row r="275" spans="1:41">
      <c r="A275" s="44">
        <v>247</v>
      </c>
      <c r="B275" s="47" t="s">
        <v>1111</v>
      </c>
      <c r="C275" s="48" t="s">
        <v>1112</v>
      </c>
      <c r="D275" s="52" t="s">
        <v>73</v>
      </c>
      <c r="E275" s="52" t="s">
        <v>1108</v>
      </c>
      <c r="F275" s="55" t="s">
        <v>1113</v>
      </c>
      <c r="G275" s="51">
        <v>5</v>
      </c>
      <c r="H275" s="52" t="s">
        <v>1114</v>
      </c>
      <c r="I275" s="54">
        <v>345000</v>
      </c>
      <c r="J275" s="54">
        <v>0</v>
      </c>
      <c r="K275" s="54">
        <v>27000</v>
      </c>
      <c r="L275" s="54">
        <v>0</v>
      </c>
      <c r="M275" s="54">
        <v>0</v>
      </c>
      <c r="N275" s="54">
        <v>0</v>
      </c>
      <c r="O275" s="54">
        <v>0</v>
      </c>
      <c r="P275" s="54">
        <v>0</v>
      </c>
      <c r="Q275" s="54">
        <v>0</v>
      </c>
      <c r="R275" s="54">
        <v>0</v>
      </c>
      <c r="S275" s="54">
        <v>0</v>
      </c>
      <c r="T275" s="54">
        <v>0</v>
      </c>
      <c r="U275" s="54">
        <v>2778</v>
      </c>
      <c r="V275" s="54">
        <v>0</v>
      </c>
      <c r="W275" s="54">
        <v>0</v>
      </c>
      <c r="X275" s="54">
        <v>0</v>
      </c>
      <c r="Y275" s="54">
        <v>0</v>
      </c>
      <c r="Z275" s="54">
        <v>0</v>
      </c>
      <c r="AA275" s="54">
        <v>0</v>
      </c>
      <c r="AB275" s="54">
        <v>0</v>
      </c>
      <c r="AC275" s="54">
        <v>0</v>
      </c>
      <c r="AD275" s="54">
        <v>0</v>
      </c>
      <c r="AE275" s="54">
        <v>0</v>
      </c>
      <c r="AF275" s="54">
        <v>0</v>
      </c>
      <c r="AG275" s="54">
        <v>0</v>
      </c>
      <c r="AH275" s="54">
        <v>0</v>
      </c>
      <c r="AI275" s="54">
        <v>0</v>
      </c>
      <c r="AJ275" s="54">
        <v>0</v>
      </c>
      <c r="AK275" s="54">
        <v>0</v>
      </c>
      <c r="AL275" s="54">
        <v>0</v>
      </c>
      <c r="AM275" s="54" t="str">
        <f>I275-J275-K275-L275-M275-N275-O275-P275-Q275-R275-S275-T275-U275-V275-W275-X275-Y275-Z275-AA275-AB275-AC275-AD275-AE275-AF275-AG275+AH275-AI275+AJ275+AK275-AL275</f>
        <v>0</v>
      </c>
      <c r="AN275" s="54"/>
      <c r="AO275" s="27"/>
    </row>
    <row r="276" spans="1:41">
      <c r="A276" s="44">
        <v>248</v>
      </c>
      <c r="B276" s="47" t="s">
        <v>1115</v>
      </c>
      <c r="C276" s="48" t="s">
        <v>1116</v>
      </c>
      <c r="D276" s="52" t="s">
        <v>73</v>
      </c>
      <c r="E276" s="52" t="s">
        <v>1117</v>
      </c>
      <c r="F276" s="55" t="s">
        <v>1118</v>
      </c>
      <c r="G276" s="51">
        <v>3</v>
      </c>
      <c r="H276" s="52" t="s">
        <v>1119</v>
      </c>
      <c r="I276" s="54">
        <v>385000</v>
      </c>
      <c r="J276" s="54">
        <v>0</v>
      </c>
      <c r="K276" s="54">
        <v>22000</v>
      </c>
      <c r="L276" s="54">
        <v>0</v>
      </c>
      <c r="M276" s="54">
        <v>0</v>
      </c>
      <c r="N276" s="54">
        <v>0</v>
      </c>
      <c r="O276" s="54">
        <v>0</v>
      </c>
      <c r="P276" s="54">
        <v>0</v>
      </c>
      <c r="Q276" s="54">
        <v>0</v>
      </c>
      <c r="R276" s="54">
        <v>0</v>
      </c>
      <c r="S276" s="54">
        <v>0</v>
      </c>
      <c r="T276" s="54">
        <v>0</v>
      </c>
      <c r="U276" s="54">
        <v>2263</v>
      </c>
      <c r="V276" s="54">
        <v>0</v>
      </c>
      <c r="W276" s="54">
        <v>0</v>
      </c>
      <c r="X276" s="54">
        <v>0</v>
      </c>
      <c r="Y276" s="54">
        <v>0</v>
      </c>
      <c r="Z276" s="54">
        <v>0</v>
      </c>
      <c r="AA276" s="54">
        <v>0</v>
      </c>
      <c r="AB276" s="54">
        <v>0</v>
      </c>
      <c r="AC276" s="54">
        <v>0</v>
      </c>
      <c r="AD276" s="54">
        <v>0</v>
      </c>
      <c r="AE276" s="54">
        <v>0</v>
      </c>
      <c r="AF276" s="54">
        <v>0</v>
      </c>
      <c r="AG276" s="54">
        <v>0</v>
      </c>
      <c r="AH276" s="54">
        <v>0</v>
      </c>
      <c r="AI276" s="54">
        <v>0</v>
      </c>
      <c r="AJ276" s="54">
        <v>0</v>
      </c>
      <c r="AK276" s="54">
        <v>0</v>
      </c>
      <c r="AL276" s="54">
        <v>0</v>
      </c>
      <c r="AM276" s="54" t="str">
        <f>I276-J276-K276-L276-M276-N276-O276-P276-Q276-R276-S276-T276-U276-V276-W276-X276-Y276-Z276-AA276-AB276-AC276-AD276-AE276-AF276-AG276+AH276-AI276+AJ276+AK276-AL276</f>
        <v>0</v>
      </c>
      <c r="AN276" s="54"/>
      <c r="AO276" s="27"/>
    </row>
    <row r="277" spans="1:41">
      <c r="A277" s="44">
        <v>249</v>
      </c>
      <c r="B277" s="47" t="s">
        <v>1120</v>
      </c>
      <c r="C277" s="48" t="s">
        <v>1121</v>
      </c>
      <c r="D277" s="52" t="s">
        <v>73</v>
      </c>
      <c r="E277" s="52" t="s">
        <v>1117</v>
      </c>
      <c r="F277" s="55" t="s">
        <v>978</v>
      </c>
      <c r="G277" s="51">
        <v>9.2</v>
      </c>
      <c r="H277" s="52" t="s">
        <v>1122</v>
      </c>
      <c r="I277" s="54">
        <v>1935000</v>
      </c>
      <c r="J277" s="54">
        <v>0</v>
      </c>
      <c r="K277" s="54">
        <v>49000</v>
      </c>
      <c r="L277" s="54">
        <v>0</v>
      </c>
      <c r="M277" s="54">
        <v>0</v>
      </c>
      <c r="N277" s="54">
        <v>0</v>
      </c>
      <c r="O277" s="54">
        <v>0</v>
      </c>
      <c r="P277" s="54">
        <v>0</v>
      </c>
      <c r="Q277" s="54">
        <v>0</v>
      </c>
      <c r="R277" s="54">
        <v>0</v>
      </c>
      <c r="S277" s="54">
        <v>0</v>
      </c>
      <c r="T277" s="54">
        <v>0</v>
      </c>
      <c r="U277" s="54">
        <v>5042</v>
      </c>
      <c r="V277" s="54">
        <v>0</v>
      </c>
      <c r="W277" s="54">
        <v>0</v>
      </c>
      <c r="X277" s="54">
        <v>0</v>
      </c>
      <c r="Y277" s="54">
        <v>0</v>
      </c>
      <c r="Z277" s="54">
        <v>0</v>
      </c>
      <c r="AA277" s="54">
        <v>0</v>
      </c>
      <c r="AB277" s="54">
        <v>0</v>
      </c>
      <c r="AC277" s="54">
        <v>0</v>
      </c>
      <c r="AD277" s="54">
        <v>0</v>
      </c>
      <c r="AE277" s="54">
        <v>0</v>
      </c>
      <c r="AF277" s="54">
        <v>0</v>
      </c>
      <c r="AG277" s="54">
        <v>0</v>
      </c>
      <c r="AH277" s="54">
        <v>0</v>
      </c>
      <c r="AI277" s="54">
        <v>0</v>
      </c>
      <c r="AJ277" s="54">
        <v>0</v>
      </c>
      <c r="AK277" s="54">
        <v>0</v>
      </c>
      <c r="AL277" s="54">
        <v>0</v>
      </c>
      <c r="AM277" s="54" t="str">
        <f>I277-J277-K277-L277-M277-N277-O277-P277-Q277-R277-S277-T277-U277-V277-W277-X277-Y277-Z277-AA277-AB277-AC277-AD277-AE277-AF277-AG277+AH277-AI277+AJ277+AK277-AL277</f>
        <v>0</v>
      </c>
      <c r="AN277" s="54"/>
      <c r="AO277" s="27"/>
    </row>
    <row r="278" spans="1:41">
      <c r="A278" s="44">
        <v>250</v>
      </c>
      <c r="B278" s="47" t="s">
        <v>1123</v>
      </c>
      <c r="C278" s="48" t="s">
        <v>1124</v>
      </c>
      <c r="D278" s="52" t="s">
        <v>73</v>
      </c>
      <c r="E278" s="52" t="s">
        <v>1117</v>
      </c>
      <c r="F278" s="55" t="s">
        <v>1125</v>
      </c>
      <c r="G278" s="51">
        <v>3</v>
      </c>
      <c r="H278" s="52" t="s">
        <v>1126</v>
      </c>
      <c r="I278" s="54">
        <v>370000</v>
      </c>
      <c r="J278" s="54">
        <v>0</v>
      </c>
      <c r="K278" s="54">
        <v>22000</v>
      </c>
      <c r="L278" s="54">
        <v>0</v>
      </c>
      <c r="M278" s="54">
        <v>0</v>
      </c>
      <c r="N278" s="54">
        <v>0</v>
      </c>
      <c r="O278" s="54">
        <v>0</v>
      </c>
      <c r="P278" s="54">
        <v>0</v>
      </c>
      <c r="Q278" s="54">
        <v>0</v>
      </c>
      <c r="R278" s="54">
        <v>0</v>
      </c>
      <c r="S278" s="54">
        <v>0</v>
      </c>
      <c r="T278" s="54">
        <v>0</v>
      </c>
      <c r="U278" s="54">
        <v>2263</v>
      </c>
      <c r="V278" s="54">
        <v>0</v>
      </c>
      <c r="W278" s="54">
        <v>0</v>
      </c>
      <c r="X278" s="54">
        <v>0</v>
      </c>
      <c r="Y278" s="54">
        <v>0</v>
      </c>
      <c r="Z278" s="54">
        <v>0</v>
      </c>
      <c r="AA278" s="54">
        <v>0</v>
      </c>
      <c r="AB278" s="54">
        <v>0</v>
      </c>
      <c r="AC278" s="54">
        <v>0</v>
      </c>
      <c r="AD278" s="54">
        <v>0</v>
      </c>
      <c r="AE278" s="54">
        <v>0</v>
      </c>
      <c r="AF278" s="54">
        <v>0</v>
      </c>
      <c r="AG278" s="54">
        <v>0</v>
      </c>
      <c r="AH278" s="54">
        <v>0</v>
      </c>
      <c r="AI278" s="54">
        <v>0</v>
      </c>
      <c r="AJ278" s="54">
        <v>0</v>
      </c>
      <c r="AK278" s="54">
        <v>0</v>
      </c>
      <c r="AL278" s="54">
        <v>0</v>
      </c>
      <c r="AM278" s="54" t="str">
        <f>I278-J278-K278-L278-M278-N278-O278-P278-Q278-R278-S278-T278-U278-V278-W278-X278-Y278-Z278-AA278-AB278-AC278-AD278-AE278-AF278-AG278+AH278-AI278+AJ278+AK278-AL278</f>
        <v>0</v>
      </c>
      <c r="AN278" s="54"/>
      <c r="AO278" s="27"/>
    </row>
    <row r="279" spans="1:41">
      <c r="A279" s="44">
        <v>251</v>
      </c>
      <c r="B279" s="47" t="s">
        <v>1127</v>
      </c>
      <c r="C279" s="48" t="s">
        <v>1128</v>
      </c>
      <c r="D279" s="52" t="s">
        <v>73</v>
      </c>
      <c r="E279" s="52" t="s">
        <v>1117</v>
      </c>
      <c r="F279" s="55" t="s">
        <v>828</v>
      </c>
      <c r="G279" s="51">
        <v>3</v>
      </c>
      <c r="H279" s="52" t="s">
        <v>1129</v>
      </c>
      <c r="I279" s="54">
        <v>320000</v>
      </c>
      <c r="J279" s="54">
        <v>0</v>
      </c>
      <c r="K279" s="54">
        <v>22000</v>
      </c>
      <c r="L279" s="54">
        <v>0</v>
      </c>
      <c r="M279" s="54">
        <v>0</v>
      </c>
      <c r="N279" s="54">
        <v>0</v>
      </c>
      <c r="O279" s="54">
        <v>0</v>
      </c>
      <c r="P279" s="54">
        <v>0</v>
      </c>
      <c r="Q279" s="54">
        <v>0</v>
      </c>
      <c r="R279" s="54">
        <v>0</v>
      </c>
      <c r="S279" s="54">
        <v>0</v>
      </c>
      <c r="T279" s="54">
        <v>0</v>
      </c>
      <c r="U279" s="54">
        <v>2263</v>
      </c>
      <c r="V279" s="54">
        <v>0</v>
      </c>
      <c r="W279" s="54">
        <v>0</v>
      </c>
      <c r="X279" s="54">
        <v>0</v>
      </c>
      <c r="Y279" s="54">
        <v>0</v>
      </c>
      <c r="Z279" s="54">
        <v>0</v>
      </c>
      <c r="AA279" s="54">
        <v>0</v>
      </c>
      <c r="AB279" s="54">
        <v>0</v>
      </c>
      <c r="AC279" s="54">
        <v>0</v>
      </c>
      <c r="AD279" s="54">
        <v>0</v>
      </c>
      <c r="AE279" s="54">
        <v>0</v>
      </c>
      <c r="AF279" s="54">
        <v>0</v>
      </c>
      <c r="AG279" s="54">
        <v>0</v>
      </c>
      <c r="AH279" s="54">
        <v>0</v>
      </c>
      <c r="AI279" s="54">
        <v>0</v>
      </c>
      <c r="AJ279" s="54">
        <v>0</v>
      </c>
      <c r="AK279" s="54">
        <v>0</v>
      </c>
      <c r="AL279" s="54">
        <v>0</v>
      </c>
      <c r="AM279" s="54" t="str">
        <f>I279-J279-K279-L279-M279-N279-O279-P279-Q279-R279-S279-T279-U279-V279-W279-X279-Y279-Z279-AA279-AB279-AC279-AD279-AE279-AF279-AG279+AH279-AI279+AJ279+AK279-AL279</f>
        <v>0</v>
      </c>
      <c r="AN279" s="54"/>
      <c r="AO279" s="27"/>
    </row>
    <row r="280" spans="1:41">
      <c r="A280" s="44">
        <v>252</v>
      </c>
      <c r="B280" s="47" t="s">
        <v>1130</v>
      </c>
      <c r="C280" s="48" t="s">
        <v>1131</v>
      </c>
      <c r="D280" s="52" t="s">
        <v>73</v>
      </c>
      <c r="E280" s="52" t="s">
        <v>1117</v>
      </c>
      <c r="F280" s="55" t="s">
        <v>1132</v>
      </c>
      <c r="G280" s="51">
        <v>2</v>
      </c>
      <c r="H280" s="52" t="s">
        <v>1133</v>
      </c>
      <c r="I280" s="54">
        <v>229000</v>
      </c>
      <c r="J280" s="54">
        <v>0</v>
      </c>
      <c r="K280" s="54">
        <v>22000</v>
      </c>
      <c r="L280" s="54">
        <v>0</v>
      </c>
      <c r="M280" s="54">
        <v>0</v>
      </c>
      <c r="N280" s="54">
        <v>0</v>
      </c>
      <c r="O280" s="54">
        <v>0</v>
      </c>
      <c r="P280" s="54">
        <v>0</v>
      </c>
      <c r="Q280" s="54">
        <v>0</v>
      </c>
      <c r="R280" s="54">
        <v>0</v>
      </c>
      <c r="S280" s="54">
        <v>0</v>
      </c>
      <c r="T280" s="54">
        <v>0</v>
      </c>
      <c r="U280" s="54">
        <v>2263</v>
      </c>
      <c r="V280" s="54">
        <v>0</v>
      </c>
      <c r="W280" s="54">
        <v>0</v>
      </c>
      <c r="X280" s="54">
        <v>0</v>
      </c>
      <c r="Y280" s="54">
        <v>0</v>
      </c>
      <c r="Z280" s="54">
        <v>0</v>
      </c>
      <c r="AA280" s="54">
        <v>0</v>
      </c>
      <c r="AB280" s="54">
        <v>0</v>
      </c>
      <c r="AC280" s="54">
        <v>0</v>
      </c>
      <c r="AD280" s="54">
        <v>0</v>
      </c>
      <c r="AE280" s="54">
        <v>0</v>
      </c>
      <c r="AF280" s="54">
        <v>0</v>
      </c>
      <c r="AG280" s="54">
        <v>0</v>
      </c>
      <c r="AH280" s="54">
        <v>0</v>
      </c>
      <c r="AI280" s="54">
        <v>0</v>
      </c>
      <c r="AJ280" s="54">
        <v>0</v>
      </c>
      <c r="AK280" s="54">
        <v>0</v>
      </c>
      <c r="AL280" s="54">
        <v>0</v>
      </c>
      <c r="AM280" s="54" t="str">
        <f>I280-J280-K280-L280-M280-N280-O280-P280-Q280-R280-S280-T280-U280-V280-W280-X280-Y280-Z280-AA280-AB280-AC280-AD280-AE280-AF280-AG280+AH280-AI280+AJ280+AK280-AL280</f>
        <v>0</v>
      </c>
      <c r="AN280" s="54"/>
      <c r="AO280" s="27"/>
    </row>
    <row r="281" spans="1:41">
      <c r="A281" s="44">
        <v>253</v>
      </c>
      <c r="B281" s="47" t="s">
        <v>1134</v>
      </c>
      <c r="C281" s="48" t="s">
        <v>1135</v>
      </c>
      <c r="D281" s="52" t="s">
        <v>73</v>
      </c>
      <c r="E281" s="52" t="s">
        <v>1117</v>
      </c>
      <c r="F281" s="55" t="s">
        <v>1136</v>
      </c>
      <c r="G281" s="51">
        <v>3</v>
      </c>
      <c r="H281" s="52" t="s">
        <v>1137</v>
      </c>
      <c r="I281" s="54">
        <v>660000</v>
      </c>
      <c r="J281" s="54">
        <v>0</v>
      </c>
      <c r="K281" s="54">
        <v>22000</v>
      </c>
      <c r="L281" s="54">
        <v>0</v>
      </c>
      <c r="M281" s="54">
        <v>0</v>
      </c>
      <c r="N281" s="54">
        <v>0</v>
      </c>
      <c r="O281" s="54">
        <v>0</v>
      </c>
      <c r="P281" s="54">
        <v>0</v>
      </c>
      <c r="Q281" s="54">
        <v>0</v>
      </c>
      <c r="R281" s="54">
        <v>0</v>
      </c>
      <c r="S281" s="54">
        <v>0</v>
      </c>
      <c r="T281" s="54">
        <v>0</v>
      </c>
      <c r="U281" s="54">
        <v>2263</v>
      </c>
      <c r="V281" s="54">
        <v>0</v>
      </c>
      <c r="W281" s="54">
        <v>0</v>
      </c>
      <c r="X281" s="54">
        <v>0</v>
      </c>
      <c r="Y281" s="54">
        <v>0</v>
      </c>
      <c r="Z281" s="54">
        <v>0</v>
      </c>
      <c r="AA281" s="54">
        <v>0</v>
      </c>
      <c r="AB281" s="54">
        <v>0</v>
      </c>
      <c r="AC281" s="54">
        <v>0</v>
      </c>
      <c r="AD281" s="54">
        <v>0</v>
      </c>
      <c r="AE281" s="54">
        <v>0</v>
      </c>
      <c r="AF281" s="54">
        <v>0</v>
      </c>
      <c r="AG281" s="54">
        <v>0</v>
      </c>
      <c r="AH281" s="54">
        <v>0</v>
      </c>
      <c r="AI281" s="54">
        <v>0</v>
      </c>
      <c r="AJ281" s="54">
        <v>0</v>
      </c>
      <c r="AK281" s="54">
        <v>0</v>
      </c>
      <c r="AL281" s="54">
        <v>0</v>
      </c>
      <c r="AM281" s="54" t="str">
        <f>I281-J281-K281-L281-M281-N281-O281-P281-Q281-R281-S281-T281-U281-V281-W281-X281-Y281-Z281-AA281-AB281-AC281-AD281-AE281-AF281-AG281+AH281-AI281+AJ281+AK281-AL281</f>
        <v>0</v>
      </c>
      <c r="AN281" s="54"/>
      <c r="AO281" s="27"/>
    </row>
    <row r="282" spans="1:41">
      <c r="A282" s="44">
        <v>254</v>
      </c>
      <c r="B282" s="47" t="s">
        <v>1138</v>
      </c>
      <c r="C282" s="48" t="s">
        <v>1139</v>
      </c>
      <c r="D282" s="52" t="s">
        <v>73</v>
      </c>
      <c r="E282" s="52" t="s">
        <v>1117</v>
      </c>
      <c r="F282" s="55" t="s">
        <v>998</v>
      </c>
      <c r="G282" s="51">
        <v>4</v>
      </c>
      <c r="H282" s="52" t="s">
        <v>1140</v>
      </c>
      <c r="I282" s="54">
        <v>475000</v>
      </c>
      <c r="J282" s="54">
        <v>0</v>
      </c>
      <c r="K282" s="54">
        <v>25000</v>
      </c>
      <c r="L282" s="54">
        <v>0</v>
      </c>
      <c r="M282" s="54">
        <v>0</v>
      </c>
      <c r="N282" s="54">
        <v>0</v>
      </c>
      <c r="O282" s="54">
        <v>0</v>
      </c>
      <c r="P282" s="54">
        <v>0</v>
      </c>
      <c r="Q282" s="54">
        <v>0</v>
      </c>
      <c r="R282" s="54">
        <v>0</v>
      </c>
      <c r="S282" s="54">
        <v>0</v>
      </c>
      <c r="T282" s="54">
        <v>0</v>
      </c>
      <c r="U282" s="54">
        <v>2572</v>
      </c>
      <c r="V282" s="54">
        <v>0</v>
      </c>
      <c r="W282" s="54">
        <v>0</v>
      </c>
      <c r="X282" s="54">
        <v>0</v>
      </c>
      <c r="Y282" s="54">
        <v>0</v>
      </c>
      <c r="Z282" s="54">
        <v>0</v>
      </c>
      <c r="AA282" s="54">
        <v>0</v>
      </c>
      <c r="AB282" s="54">
        <v>0</v>
      </c>
      <c r="AC282" s="54">
        <v>0</v>
      </c>
      <c r="AD282" s="54">
        <v>0</v>
      </c>
      <c r="AE282" s="54">
        <v>0</v>
      </c>
      <c r="AF282" s="54">
        <v>0</v>
      </c>
      <c r="AG282" s="54">
        <v>0</v>
      </c>
      <c r="AH282" s="54">
        <v>0</v>
      </c>
      <c r="AI282" s="54">
        <v>0</v>
      </c>
      <c r="AJ282" s="54">
        <v>0</v>
      </c>
      <c r="AK282" s="54">
        <v>0</v>
      </c>
      <c r="AL282" s="54">
        <v>0</v>
      </c>
      <c r="AM282" s="54" t="str">
        <f>I282-J282-K282-L282-M282-N282-O282-P282-Q282-R282-S282-T282-U282-V282-W282-X282-Y282-Z282-AA282-AB282-AC282-AD282-AE282-AF282-AG282+AH282-AI282+AJ282+AK282-AL282</f>
        <v>0</v>
      </c>
      <c r="AN282" s="54"/>
      <c r="AO282" s="27"/>
    </row>
    <row r="283" spans="1:41">
      <c r="A283" s="44">
        <v>255</v>
      </c>
      <c r="B283" s="47" t="s">
        <v>1141</v>
      </c>
      <c r="C283" s="48" t="s">
        <v>1142</v>
      </c>
      <c r="D283" s="52" t="s">
        <v>73</v>
      </c>
      <c r="E283" s="52" t="s">
        <v>1117</v>
      </c>
      <c r="F283" s="55" t="s">
        <v>1143</v>
      </c>
      <c r="G283" s="51">
        <v>2</v>
      </c>
      <c r="H283" s="52" t="s">
        <v>1144</v>
      </c>
      <c r="I283" s="54">
        <v>295000</v>
      </c>
      <c r="J283" s="54">
        <v>0</v>
      </c>
      <c r="K283" s="54">
        <v>22000</v>
      </c>
      <c r="L283" s="54">
        <v>0</v>
      </c>
      <c r="M283" s="54">
        <v>0</v>
      </c>
      <c r="N283" s="54">
        <v>0</v>
      </c>
      <c r="O283" s="54">
        <v>0</v>
      </c>
      <c r="P283" s="54">
        <v>0</v>
      </c>
      <c r="Q283" s="54">
        <v>0</v>
      </c>
      <c r="R283" s="54">
        <v>0</v>
      </c>
      <c r="S283" s="54">
        <v>0</v>
      </c>
      <c r="T283" s="54">
        <v>0</v>
      </c>
      <c r="U283" s="54">
        <v>2263</v>
      </c>
      <c r="V283" s="54">
        <v>0</v>
      </c>
      <c r="W283" s="54">
        <v>0</v>
      </c>
      <c r="X283" s="54">
        <v>0</v>
      </c>
      <c r="Y283" s="54">
        <v>0</v>
      </c>
      <c r="Z283" s="54">
        <v>0</v>
      </c>
      <c r="AA283" s="54">
        <v>0</v>
      </c>
      <c r="AB283" s="54">
        <v>0</v>
      </c>
      <c r="AC283" s="54">
        <v>0</v>
      </c>
      <c r="AD283" s="54">
        <v>0</v>
      </c>
      <c r="AE283" s="54">
        <v>0</v>
      </c>
      <c r="AF283" s="54">
        <v>0</v>
      </c>
      <c r="AG283" s="54">
        <v>0</v>
      </c>
      <c r="AH283" s="54">
        <v>0</v>
      </c>
      <c r="AI283" s="54">
        <v>0</v>
      </c>
      <c r="AJ283" s="54">
        <v>0</v>
      </c>
      <c r="AK283" s="54">
        <v>0</v>
      </c>
      <c r="AL283" s="54">
        <v>0</v>
      </c>
      <c r="AM283" s="54" t="str">
        <f>I283-J283-K283-L283-M283-N283-O283-P283-Q283-R283-S283-T283-U283-V283-W283-X283-Y283-Z283-AA283-AB283-AC283-AD283-AE283-AF283-AG283+AH283-AI283+AJ283+AK283-AL283</f>
        <v>0</v>
      </c>
      <c r="AN283" s="54"/>
      <c r="AO283" s="27"/>
    </row>
    <row r="284" spans="1:41">
      <c r="A284" s="44">
        <v>256</v>
      </c>
      <c r="B284" s="47" t="s">
        <v>1145</v>
      </c>
      <c r="C284" s="48" t="s">
        <v>1146</v>
      </c>
      <c r="D284" s="52" t="s">
        <v>73</v>
      </c>
      <c r="E284" s="52" t="s">
        <v>1117</v>
      </c>
      <c r="F284" s="55" t="s">
        <v>1147</v>
      </c>
      <c r="G284" s="51">
        <v>4</v>
      </c>
      <c r="H284" s="52" t="s">
        <v>1148</v>
      </c>
      <c r="I284" s="54">
        <v>1199000</v>
      </c>
      <c r="J284" s="54">
        <v>0</v>
      </c>
      <c r="K284" s="54">
        <v>25000</v>
      </c>
      <c r="L284" s="54">
        <v>0</v>
      </c>
      <c r="M284" s="54">
        <v>0</v>
      </c>
      <c r="N284" s="54">
        <v>0</v>
      </c>
      <c r="O284" s="54">
        <v>0</v>
      </c>
      <c r="P284" s="54">
        <v>0</v>
      </c>
      <c r="Q284" s="54">
        <v>0</v>
      </c>
      <c r="R284" s="54">
        <v>0</v>
      </c>
      <c r="S284" s="54">
        <v>0</v>
      </c>
      <c r="T284" s="54">
        <v>0</v>
      </c>
      <c r="U284" s="54">
        <v>2572</v>
      </c>
      <c r="V284" s="54">
        <v>0</v>
      </c>
      <c r="W284" s="54">
        <v>0</v>
      </c>
      <c r="X284" s="54">
        <v>0</v>
      </c>
      <c r="Y284" s="54">
        <v>0</v>
      </c>
      <c r="Z284" s="54">
        <v>0</v>
      </c>
      <c r="AA284" s="54">
        <v>0</v>
      </c>
      <c r="AB284" s="54">
        <v>0</v>
      </c>
      <c r="AC284" s="54">
        <v>0</v>
      </c>
      <c r="AD284" s="54">
        <v>0</v>
      </c>
      <c r="AE284" s="54">
        <v>0</v>
      </c>
      <c r="AF284" s="54">
        <v>0</v>
      </c>
      <c r="AG284" s="54">
        <v>0</v>
      </c>
      <c r="AH284" s="54">
        <v>0</v>
      </c>
      <c r="AI284" s="54">
        <v>0</v>
      </c>
      <c r="AJ284" s="54">
        <v>0</v>
      </c>
      <c r="AK284" s="54">
        <v>0</v>
      </c>
      <c r="AL284" s="54">
        <v>0</v>
      </c>
      <c r="AM284" s="54" t="str">
        <f>I284-J284-K284-L284-M284-N284-O284-P284-Q284-R284-S284-T284-U284-V284-W284-X284-Y284-Z284-AA284-AB284-AC284-AD284-AE284-AF284-AG284+AH284-AI284+AJ284+AK284-AL284</f>
        <v>0</v>
      </c>
      <c r="AN284" s="54"/>
      <c r="AO284" s="27"/>
    </row>
    <row r="285" spans="1:41">
      <c r="A285" s="44">
        <v>257</v>
      </c>
      <c r="B285" s="47" t="s">
        <v>1149</v>
      </c>
      <c r="C285" s="48" t="s">
        <v>1150</v>
      </c>
      <c r="D285" s="52" t="s">
        <v>73</v>
      </c>
      <c r="E285" s="52" t="s">
        <v>1117</v>
      </c>
      <c r="F285" s="55" t="s">
        <v>1151</v>
      </c>
      <c r="G285" s="51">
        <v>3</v>
      </c>
      <c r="H285" s="52" t="s">
        <v>1152</v>
      </c>
      <c r="I285" s="54">
        <v>270000</v>
      </c>
      <c r="J285" s="54">
        <v>0</v>
      </c>
      <c r="K285" s="54">
        <v>22000</v>
      </c>
      <c r="L285" s="54">
        <v>0</v>
      </c>
      <c r="M285" s="54">
        <v>0</v>
      </c>
      <c r="N285" s="54">
        <v>0</v>
      </c>
      <c r="O285" s="54">
        <v>0</v>
      </c>
      <c r="P285" s="54">
        <v>0</v>
      </c>
      <c r="Q285" s="54">
        <v>0</v>
      </c>
      <c r="R285" s="54">
        <v>0</v>
      </c>
      <c r="S285" s="54">
        <v>0</v>
      </c>
      <c r="T285" s="54">
        <v>0</v>
      </c>
      <c r="U285" s="54">
        <v>2263</v>
      </c>
      <c r="V285" s="54">
        <v>0</v>
      </c>
      <c r="W285" s="54">
        <v>0</v>
      </c>
      <c r="X285" s="54">
        <v>0</v>
      </c>
      <c r="Y285" s="54">
        <v>0</v>
      </c>
      <c r="Z285" s="54">
        <v>0</v>
      </c>
      <c r="AA285" s="54">
        <v>0</v>
      </c>
      <c r="AB285" s="54">
        <v>0</v>
      </c>
      <c r="AC285" s="54">
        <v>0</v>
      </c>
      <c r="AD285" s="54">
        <v>0</v>
      </c>
      <c r="AE285" s="54">
        <v>0</v>
      </c>
      <c r="AF285" s="54">
        <v>0</v>
      </c>
      <c r="AG285" s="54">
        <v>0</v>
      </c>
      <c r="AH285" s="54">
        <v>0</v>
      </c>
      <c r="AI285" s="54">
        <v>0</v>
      </c>
      <c r="AJ285" s="54">
        <v>0</v>
      </c>
      <c r="AK285" s="54">
        <v>0</v>
      </c>
      <c r="AL285" s="54">
        <v>0</v>
      </c>
      <c r="AM285" s="54" t="str">
        <f>I285-J285-K285-L285-M285-N285-O285-P285-Q285-R285-S285-T285-U285-V285-W285-X285-Y285-Z285-AA285-AB285-AC285-AD285-AE285-AF285-AG285+AH285-AI285+AJ285+AK285-AL285</f>
        <v>0</v>
      </c>
      <c r="AN285" s="54"/>
      <c r="AO285" s="27"/>
    </row>
    <row r="286" spans="1:41">
      <c r="A286" s="44">
        <v>258</v>
      </c>
      <c r="B286" s="47" t="s">
        <v>1153</v>
      </c>
      <c r="C286" s="48" t="s">
        <v>1154</v>
      </c>
      <c r="D286" s="52" t="s">
        <v>62</v>
      </c>
      <c r="E286" s="52" t="s">
        <v>1117</v>
      </c>
      <c r="F286" s="55" t="s">
        <v>1155</v>
      </c>
      <c r="G286" s="51">
        <v>6</v>
      </c>
      <c r="H286" s="52" t="s">
        <v>1156</v>
      </c>
      <c r="I286" s="54">
        <v>0</v>
      </c>
      <c r="J286" s="54">
        <v>0</v>
      </c>
      <c r="K286" s="54">
        <v>31000</v>
      </c>
      <c r="L286" s="54">
        <v>0</v>
      </c>
      <c r="M286" s="54">
        <v>0</v>
      </c>
      <c r="N286" s="54">
        <v>0</v>
      </c>
      <c r="O286" s="54">
        <v>0</v>
      </c>
      <c r="P286" s="54">
        <v>0</v>
      </c>
      <c r="Q286" s="54">
        <v>0</v>
      </c>
      <c r="R286" s="54">
        <v>0</v>
      </c>
      <c r="S286" s="54">
        <v>0</v>
      </c>
      <c r="T286" s="54">
        <v>0</v>
      </c>
      <c r="U286" s="54">
        <v>3189</v>
      </c>
      <c r="V286" s="54">
        <v>0</v>
      </c>
      <c r="W286" s="54">
        <v>0</v>
      </c>
      <c r="X286" s="54">
        <v>0</v>
      </c>
      <c r="Y286" s="54">
        <v>15500</v>
      </c>
      <c r="Z286" s="54">
        <v>0</v>
      </c>
      <c r="AA286" s="54">
        <v>0</v>
      </c>
      <c r="AB286" s="54">
        <v>0</v>
      </c>
      <c r="AC286" s="54">
        <v>0</v>
      </c>
      <c r="AD286" s="54">
        <v>0</v>
      </c>
      <c r="AE286" s="54">
        <v>0</v>
      </c>
      <c r="AF286" s="54">
        <v>0</v>
      </c>
      <c r="AG286" s="54">
        <v>0</v>
      </c>
      <c r="AH286" s="54">
        <v>0</v>
      </c>
      <c r="AI286" s="54">
        <v>0</v>
      </c>
      <c r="AJ286" s="54">
        <v>0</v>
      </c>
      <c r="AK286" s="54">
        <v>0</v>
      </c>
      <c r="AL286" s="54">
        <v>0</v>
      </c>
      <c r="AM286" s="54" t="str">
        <f>I286-J286-K286-L286-M286-N286-O286-P286-Q286-R286-S286-T286-U286-V286-W286-X286-Y286-Z286-AA286-AB286-AC286-AD286-AE286-AF286-AG286+AH286-AI286+AJ286+AK286-AL286</f>
        <v>0</v>
      </c>
      <c r="AN286" s="54"/>
      <c r="AO286" s="27"/>
    </row>
    <row r="287" spans="1:41">
      <c r="A287" s="44">
        <v>259</v>
      </c>
      <c r="B287" s="47" t="s">
        <v>1157</v>
      </c>
      <c r="C287" s="48" t="s">
        <v>1158</v>
      </c>
      <c r="D287" s="52" t="s">
        <v>73</v>
      </c>
      <c r="E287" s="52" t="s">
        <v>1117</v>
      </c>
      <c r="F287" s="55" t="s">
        <v>1159</v>
      </c>
      <c r="G287" s="51">
        <v>2</v>
      </c>
      <c r="H287" s="52" t="s">
        <v>1160</v>
      </c>
      <c r="I287" s="54">
        <v>304000</v>
      </c>
      <c r="J287" s="54">
        <v>0</v>
      </c>
      <c r="K287" s="54">
        <v>22000</v>
      </c>
      <c r="L287" s="54">
        <v>0</v>
      </c>
      <c r="M287" s="54">
        <v>0</v>
      </c>
      <c r="N287" s="54">
        <v>0</v>
      </c>
      <c r="O287" s="54">
        <v>0</v>
      </c>
      <c r="P287" s="54">
        <v>0</v>
      </c>
      <c r="Q287" s="54">
        <v>0</v>
      </c>
      <c r="R287" s="54">
        <v>0</v>
      </c>
      <c r="S287" s="54">
        <v>0</v>
      </c>
      <c r="T287" s="54">
        <v>0</v>
      </c>
      <c r="U287" s="54">
        <v>2263</v>
      </c>
      <c r="V287" s="54">
        <v>0</v>
      </c>
      <c r="W287" s="54">
        <v>0</v>
      </c>
      <c r="X287" s="54">
        <v>0</v>
      </c>
      <c r="Y287" s="54">
        <v>0</v>
      </c>
      <c r="Z287" s="54">
        <v>0</v>
      </c>
      <c r="AA287" s="54">
        <v>0</v>
      </c>
      <c r="AB287" s="54">
        <v>0</v>
      </c>
      <c r="AC287" s="54">
        <v>0</v>
      </c>
      <c r="AD287" s="54">
        <v>0</v>
      </c>
      <c r="AE287" s="54">
        <v>0</v>
      </c>
      <c r="AF287" s="54">
        <v>0</v>
      </c>
      <c r="AG287" s="54">
        <v>0</v>
      </c>
      <c r="AH287" s="54">
        <v>0</v>
      </c>
      <c r="AI287" s="54">
        <v>0</v>
      </c>
      <c r="AJ287" s="54">
        <v>0</v>
      </c>
      <c r="AK287" s="54">
        <v>0</v>
      </c>
      <c r="AL287" s="54">
        <v>0</v>
      </c>
      <c r="AM287" s="54" t="str">
        <f>I287-J287-K287-L287-M287-N287-O287-P287-Q287-R287-S287-T287-U287-V287-W287-X287-Y287-Z287-AA287-AB287-AC287-AD287-AE287-AF287-AG287+AH287-AI287+AJ287+AK287-AL287</f>
        <v>0</v>
      </c>
      <c r="AN287" s="54"/>
      <c r="AO287" s="27"/>
    </row>
    <row r="288" spans="1:41">
      <c r="A288" s="44">
        <v>260</v>
      </c>
      <c r="B288" s="47" t="s">
        <v>1161</v>
      </c>
      <c r="C288" s="48" t="s">
        <v>1162</v>
      </c>
      <c r="D288" s="52" t="s">
        <v>73</v>
      </c>
      <c r="E288" s="52" t="s">
        <v>1117</v>
      </c>
      <c r="F288" s="55" t="s">
        <v>1163</v>
      </c>
      <c r="G288" s="51">
        <v>5</v>
      </c>
      <c r="H288" s="52" t="s">
        <v>1164</v>
      </c>
      <c r="I288" s="54">
        <v>814000</v>
      </c>
      <c r="J288" s="54">
        <v>0</v>
      </c>
      <c r="K288" s="54">
        <v>27000</v>
      </c>
      <c r="L288" s="54">
        <v>0</v>
      </c>
      <c r="M288" s="54">
        <v>0</v>
      </c>
      <c r="N288" s="54">
        <v>0</v>
      </c>
      <c r="O288" s="54">
        <v>0</v>
      </c>
      <c r="P288" s="54">
        <v>0</v>
      </c>
      <c r="Q288" s="54">
        <v>0</v>
      </c>
      <c r="R288" s="54">
        <v>0</v>
      </c>
      <c r="S288" s="54">
        <v>0</v>
      </c>
      <c r="T288" s="54">
        <v>0</v>
      </c>
      <c r="U288" s="54">
        <v>2778</v>
      </c>
      <c r="V288" s="54">
        <v>0</v>
      </c>
      <c r="W288" s="54">
        <v>0</v>
      </c>
      <c r="X288" s="54">
        <v>0</v>
      </c>
      <c r="Y288" s="54">
        <v>0</v>
      </c>
      <c r="Z288" s="54">
        <v>0</v>
      </c>
      <c r="AA288" s="54">
        <v>0</v>
      </c>
      <c r="AB288" s="54">
        <v>0</v>
      </c>
      <c r="AC288" s="54">
        <v>0</v>
      </c>
      <c r="AD288" s="54">
        <v>0</v>
      </c>
      <c r="AE288" s="54">
        <v>0</v>
      </c>
      <c r="AF288" s="54">
        <v>0</v>
      </c>
      <c r="AG288" s="54">
        <v>0</v>
      </c>
      <c r="AH288" s="54">
        <v>0</v>
      </c>
      <c r="AI288" s="54">
        <v>0</v>
      </c>
      <c r="AJ288" s="54">
        <v>0</v>
      </c>
      <c r="AK288" s="54">
        <v>0</v>
      </c>
      <c r="AL288" s="54">
        <v>0</v>
      </c>
      <c r="AM288" s="54" t="str">
        <f>I288-J288-K288-L288-M288-N288-O288-P288-Q288-R288-S288-T288-U288-V288-W288-X288-Y288-Z288-AA288-AB288-AC288-AD288-AE288-AF288-AG288+AH288-AI288+AJ288+AK288-AL288</f>
        <v>0</v>
      </c>
      <c r="AN288" s="54"/>
      <c r="AO288" s="27"/>
    </row>
    <row r="289" spans="1:41">
      <c r="A289" s="44">
        <v>261</v>
      </c>
      <c r="B289" s="47" t="s">
        <v>1165</v>
      </c>
      <c r="C289" s="48" t="s">
        <v>1166</v>
      </c>
      <c r="D289" s="52" t="s">
        <v>73</v>
      </c>
      <c r="E289" s="52" t="s">
        <v>1117</v>
      </c>
      <c r="F289" s="55" t="s">
        <v>1167</v>
      </c>
      <c r="G289" s="51">
        <v>3</v>
      </c>
      <c r="H289" s="52" t="s">
        <v>1168</v>
      </c>
      <c r="I289" s="54">
        <v>850000</v>
      </c>
      <c r="J289" s="54">
        <v>0</v>
      </c>
      <c r="K289" s="54">
        <v>22000</v>
      </c>
      <c r="L289" s="54">
        <v>0</v>
      </c>
      <c r="M289" s="54">
        <v>0</v>
      </c>
      <c r="N289" s="54">
        <v>0</v>
      </c>
      <c r="O289" s="54">
        <v>0</v>
      </c>
      <c r="P289" s="54">
        <v>0</v>
      </c>
      <c r="Q289" s="54">
        <v>0</v>
      </c>
      <c r="R289" s="54">
        <v>0</v>
      </c>
      <c r="S289" s="54">
        <v>0</v>
      </c>
      <c r="T289" s="54">
        <v>0</v>
      </c>
      <c r="U289" s="54">
        <v>2263</v>
      </c>
      <c r="V289" s="54">
        <v>0</v>
      </c>
      <c r="W289" s="54">
        <v>0</v>
      </c>
      <c r="X289" s="54">
        <v>0</v>
      </c>
      <c r="Y289" s="54">
        <v>0</v>
      </c>
      <c r="Z289" s="54">
        <v>0</v>
      </c>
      <c r="AA289" s="54">
        <v>0</v>
      </c>
      <c r="AB289" s="54">
        <v>0</v>
      </c>
      <c r="AC289" s="54">
        <v>0</v>
      </c>
      <c r="AD289" s="54">
        <v>0</v>
      </c>
      <c r="AE289" s="54">
        <v>0</v>
      </c>
      <c r="AF289" s="54">
        <v>0</v>
      </c>
      <c r="AG289" s="54">
        <v>0</v>
      </c>
      <c r="AH289" s="54">
        <v>0</v>
      </c>
      <c r="AI289" s="54">
        <v>0</v>
      </c>
      <c r="AJ289" s="54">
        <v>0</v>
      </c>
      <c r="AK289" s="54">
        <v>0</v>
      </c>
      <c r="AL289" s="54">
        <v>0</v>
      </c>
      <c r="AM289" s="54" t="str">
        <f>I289-J289-K289-L289-M289-N289-O289-P289-Q289-R289-S289-T289-U289-V289-W289-X289-Y289-Z289-AA289-AB289-AC289-AD289-AE289-AF289-AG289+AH289-AI289+AJ289+AK289-AL289</f>
        <v>0</v>
      </c>
      <c r="AN289" s="54"/>
      <c r="AO289" s="27"/>
    </row>
    <row r="290" spans="1:41">
      <c r="A290" s="44">
        <v>262</v>
      </c>
      <c r="B290" s="47" t="s">
        <v>1169</v>
      </c>
      <c r="C290" s="48" t="s">
        <v>1170</v>
      </c>
      <c r="D290" s="52" t="s">
        <v>73</v>
      </c>
      <c r="E290" s="52" t="s">
        <v>1117</v>
      </c>
      <c r="F290" s="55" t="s">
        <v>1171</v>
      </c>
      <c r="G290" s="51">
        <v>2</v>
      </c>
      <c r="H290" s="52" t="s">
        <v>1172</v>
      </c>
      <c r="I290" s="54">
        <v>369000</v>
      </c>
      <c r="J290" s="54">
        <v>0</v>
      </c>
      <c r="K290" s="54">
        <v>22000</v>
      </c>
      <c r="L290" s="54">
        <v>0</v>
      </c>
      <c r="M290" s="54">
        <v>0</v>
      </c>
      <c r="N290" s="54">
        <v>0</v>
      </c>
      <c r="O290" s="54">
        <v>0</v>
      </c>
      <c r="P290" s="54">
        <v>0</v>
      </c>
      <c r="Q290" s="54">
        <v>0</v>
      </c>
      <c r="R290" s="54">
        <v>0</v>
      </c>
      <c r="S290" s="54">
        <v>0</v>
      </c>
      <c r="T290" s="54">
        <v>0</v>
      </c>
      <c r="U290" s="54">
        <v>2263</v>
      </c>
      <c r="V290" s="54">
        <v>0</v>
      </c>
      <c r="W290" s="54">
        <v>0</v>
      </c>
      <c r="X290" s="54">
        <v>0</v>
      </c>
      <c r="Y290" s="54">
        <v>0</v>
      </c>
      <c r="Z290" s="54">
        <v>0</v>
      </c>
      <c r="AA290" s="54">
        <v>0</v>
      </c>
      <c r="AB290" s="54">
        <v>0</v>
      </c>
      <c r="AC290" s="54">
        <v>0</v>
      </c>
      <c r="AD290" s="54">
        <v>0</v>
      </c>
      <c r="AE290" s="54">
        <v>0</v>
      </c>
      <c r="AF290" s="54">
        <v>0</v>
      </c>
      <c r="AG290" s="54">
        <v>0</v>
      </c>
      <c r="AH290" s="54">
        <v>0</v>
      </c>
      <c r="AI290" s="54">
        <v>0</v>
      </c>
      <c r="AJ290" s="54">
        <v>0</v>
      </c>
      <c r="AK290" s="54">
        <v>0</v>
      </c>
      <c r="AL290" s="54">
        <v>0</v>
      </c>
      <c r="AM290" s="54" t="str">
        <f>I290-J290-K290-L290-M290-N290-O290-P290-Q290-R290-S290-T290-U290-V290-W290-X290-Y290-Z290-AA290-AB290-AC290-AD290-AE290-AF290-AG290+AH290-AI290+AJ290+AK290-AL290</f>
        <v>0</v>
      </c>
      <c r="AN290" s="54"/>
      <c r="AO290" s="27"/>
    </row>
    <row r="291" spans="1:41">
      <c r="A291" s="44">
        <v>263</v>
      </c>
      <c r="B291" s="47" t="s">
        <v>1173</v>
      </c>
      <c r="C291" s="48" t="s">
        <v>1174</v>
      </c>
      <c r="D291" s="52" t="s">
        <v>62</v>
      </c>
      <c r="E291" s="52" t="s">
        <v>1117</v>
      </c>
      <c r="F291" s="55" t="s">
        <v>1175</v>
      </c>
      <c r="G291" s="51">
        <v>3</v>
      </c>
      <c r="H291" s="52" t="s">
        <v>1176</v>
      </c>
      <c r="I291" s="54">
        <v>0</v>
      </c>
      <c r="J291" s="54">
        <v>0</v>
      </c>
      <c r="K291" s="54">
        <v>22000</v>
      </c>
      <c r="L291" s="54">
        <v>0</v>
      </c>
      <c r="M291" s="54">
        <v>0</v>
      </c>
      <c r="N291" s="54">
        <v>0</v>
      </c>
      <c r="O291" s="54">
        <v>0</v>
      </c>
      <c r="P291" s="54">
        <v>0</v>
      </c>
      <c r="Q291" s="54">
        <v>0</v>
      </c>
      <c r="R291" s="54">
        <v>0</v>
      </c>
      <c r="S291" s="54">
        <v>0</v>
      </c>
      <c r="T291" s="54">
        <v>0</v>
      </c>
      <c r="U291" s="54">
        <v>2263</v>
      </c>
      <c r="V291" s="54">
        <v>0</v>
      </c>
      <c r="W291" s="54">
        <v>0</v>
      </c>
      <c r="X291" s="54">
        <v>0</v>
      </c>
      <c r="Y291" s="54">
        <v>11000</v>
      </c>
      <c r="Z291" s="54">
        <v>0</v>
      </c>
      <c r="AA291" s="54">
        <v>0</v>
      </c>
      <c r="AB291" s="54">
        <v>0</v>
      </c>
      <c r="AC291" s="54">
        <v>0</v>
      </c>
      <c r="AD291" s="54">
        <v>0</v>
      </c>
      <c r="AE291" s="54">
        <v>0</v>
      </c>
      <c r="AF291" s="54">
        <v>0</v>
      </c>
      <c r="AG291" s="54">
        <v>0</v>
      </c>
      <c r="AH291" s="54">
        <v>0</v>
      </c>
      <c r="AI291" s="54">
        <v>0</v>
      </c>
      <c r="AJ291" s="54">
        <v>0</v>
      </c>
      <c r="AK291" s="54">
        <v>0</v>
      </c>
      <c r="AL291" s="54">
        <v>0</v>
      </c>
      <c r="AM291" s="54" t="str">
        <f>I291-J291-K291-L291-M291-N291-O291-P291-Q291-R291-S291-T291-U291-V291-W291-X291-Y291-Z291-AA291-AB291-AC291-AD291-AE291-AF291-AG291+AH291-AI291+AJ291+AK291-AL291</f>
        <v>0</v>
      </c>
      <c r="AN291" s="54"/>
      <c r="AO291" s="27"/>
    </row>
    <row r="292" spans="1:41">
      <c r="A292" s="44">
        <v>264</v>
      </c>
      <c r="B292" s="47" t="s">
        <v>1177</v>
      </c>
      <c r="C292" s="48" t="s">
        <v>1178</v>
      </c>
      <c r="D292" s="52" t="s">
        <v>73</v>
      </c>
      <c r="E292" s="52" t="s">
        <v>1117</v>
      </c>
      <c r="F292" s="55" t="s">
        <v>328</v>
      </c>
      <c r="G292" s="51">
        <v>2</v>
      </c>
      <c r="H292" s="52" t="s">
        <v>1179</v>
      </c>
      <c r="I292" s="54">
        <v>315000</v>
      </c>
      <c r="J292" s="54">
        <v>0</v>
      </c>
      <c r="K292" s="54">
        <v>22000</v>
      </c>
      <c r="L292" s="54">
        <v>0</v>
      </c>
      <c r="M292" s="54">
        <v>0</v>
      </c>
      <c r="N292" s="54">
        <v>0</v>
      </c>
      <c r="O292" s="54">
        <v>0</v>
      </c>
      <c r="P292" s="54">
        <v>0</v>
      </c>
      <c r="Q292" s="54">
        <v>0</v>
      </c>
      <c r="R292" s="54">
        <v>0</v>
      </c>
      <c r="S292" s="54">
        <v>0</v>
      </c>
      <c r="T292" s="54">
        <v>0</v>
      </c>
      <c r="U292" s="54">
        <v>2263</v>
      </c>
      <c r="V292" s="54">
        <v>0</v>
      </c>
      <c r="W292" s="54">
        <v>0</v>
      </c>
      <c r="X292" s="54">
        <v>0</v>
      </c>
      <c r="Y292" s="54">
        <v>0</v>
      </c>
      <c r="Z292" s="54">
        <v>0</v>
      </c>
      <c r="AA292" s="54">
        <v>0</v>
      </c>
      <c r="AB292" s="54">
        <v>0</v>
      </c>
      <c r="AC292" s="54">
        <v>0</v>
      </c>
      <c r="AD292" s="54">
        <v>0</v>
      </c>
      <c r="AE292" s="54">
        <v>0</v>
      </c>
      <c r="AF292" s="54">
        <v>0</v>
      </c>
      <c r="AG292" s="54">
        <v>0</v>
      </c>
      <c r="AH292" s="54">
        <v>0</v>
      </c>
      <c r="AI292" s="54">
        <v>0</v>
      </c>
      <c r="AJ292" s="54">
        <v>0</v>
      </c>
      <c r="AK292" s="54">
        <v>0</v>
      </c>
      <c r="AL292" s="54">
        <v>0</v>
      </c>
      <c r="AM292" s="54" t="str">
        <f>I292-J292-K292-L292-M292-N292-O292-P292-Q292-R292-S292-T292-U292-V292-W292-X292-Y292-Z292-AA292-AB292-AC292-AD292-AE292-AF292-AG292+AH292-AI292+AJ292+AK292-AL292</f>
        <v>0</v>
      </c>
      <c r="AN292" s="54"/>
      <c r="AO292" s="27"/>
    </row>
    <row r="293" spans="1:41">
      <c r="A293" s="44">
        <v>265</v>
      </c>
      <c r="B293" s="47" t="s">
        <v>1180</v>
      </c>
      <c r="C293" s="48" t="s">
        <v>1181</v>
      </c>
      <c r="D293" s="52" t="s">
        <v>73</v>
      </c>
      <c r="E293" s="52" t="s">
        <v>1117</v>
      </c>
      <c r="F293" s="55" t="s">
        <v>1182</v>
      </c>
      <c r="G293" s="51">
        <v>4</v>
      </c>
      <c r="H293" s="52" t="s">
        <v>1183</v>
      </c>
      <c r="I293" s="54">
        <v>220000</v>
      </c>
      <c r="J293" s="54">
        <v>0</v>
      </c>
      <c r="K293" s="54">
        <v>25000</v>
      </c>
      <c r="L293" s="54">
        <v>0</v>
      </c>
      <c r="M293" s="54">
        <v>0</v>
      </c>
      <c r="N293" s="54">
        <v>0</v>
      </c>
      <c r="O293" s="54">
        <v>0</v>
      </c>
      <c r="P293" s="54">
        <v>0</v>
      </c>
      <c r="Q293" s="54">
        <v>0</v>
      </c>
      <c r="R293" s="54">
        <v>0</v>
      </c>
      <c r="S293" s="54">
        <v>0</v>
      </c>
      <c r="T293" s="54">
        <v>0</v>
      </c>
      <c r="U293" s="54">
        <v>2572</v>
      </c>
      <c r="V293" s="54">
        <v>0</v>
      </c>
      <c r="W293" s="54">
        <v>0</v>
      </c>
      <c r="X293" s="54">
        <v>0</v>
      </c>
      <c r="Y293" s="54">
        <v>0</v>
      </c>
      <c r="Z293" s="54">
        <v>0</v>
      </c>
      <c r="AA293" s="54">
        <v>0</v>
      </c>
      <c r="AB293" s="54">
        <v>0</v>
      </c>
      <c r="AC293" s="54">
        <v>0</v>
      </c>
      <c r="AD293" s="54">
        <v>0</v>
      </c>
      <c r="AE293" s="54">
        <v>0</v>
      </c>
      <c r="AF293" s="54">
        <v>0</v>
      </c>
      <c r="AG293" s="54">
        <v>0</v>
      </c>
      <c r="AH293" s="54">
        <v>0</v>
      </c>
      <c r="AI293" s="54">
        <v>0</v>
      </c>
      <c r="AJ293" s="54">
        <v>0</v>
      </c>
      <c r="AK293" s="54">
        <v>0</v>
      </c>
      <c r="AL293" s="54">
        <v>0</v>
      </c>
      <c r="AM293" s="54" t="str">
        <f>I293-J293-K293-L293-M293-N293-O293-P293-Q293-R293-S293-T293-U293-V293-W293-X293-Y293-Z293-AA293-AB293-AC293-AD293-AE293-AF293-AG293+AH293-AI293+AJ293+AK293-AL293</f>
        <v>0</v>
      </c>
      <c r="AN293" s="54"/>
      <c r="AO293" s="27"/>
    </row>
    <row r="294" spans="1:41">
      <c r="A294" s="44">
        <v>266</v>
      </c>
      <c r="B294" s="47" t="s">
        <v>1184</v>
      </c>
      <c r="C294" s="48" t="s">
        <v>1185</v>
      </c>
      <c r="D294" s="52" t="s">
        <v>73</v>
      </c>
      <c r="E294" s="52" t="s">
        <v>1117</v>
      </c>
      <c r="F294" s="55" t="s">
        <v>1186</v>
      </c>
      <c r="G294" s="51">
        <v>3</v>
      </c>
      <c r="H294" s="52" t="s">
        <v>1187</v>
      </c>
      <c r="I294" s="54">
        <v>525000</v>
      </c>
      <c r="J294" s="54">
        <v>0</v>
      </c>
      <c r="K294" s="54">
        <v>22000</v>
      </c>
      <c r="L294" s="54">
        <v>0</v>
      </c>
      <c r="M294" s="54">
        <v>0</v>
      </c>
      <c r="N294" s="54">
        <v>0</v>
      </c>
      <c r="O294" s="54">
        <v>0</v>
      </c>
      <c r="P294" s="54">
        <v>0</v>
      </c>
      <c r="Q294" s="54">
        <v>0</v>
      </c>
      <c r="R294" s="54">
        <v>0</v>
      </c>
      <c r="S294" s="54">
        <v>0</v>
      </c>
      <c r="T294" s="54">
        <v>0</v>
      </c>
      <c r="U294" s="54">
        <v>2263</v>
      </c>
      <c r="V294" s="54">
        <v>0</v>
      </c>
      <c r="W294" s="54">
        <v>0</v>
      </c>
      <c r="X294" s="54">
        <v>0</v>
      </c>
      <c r="Y294" s="54">
        <v>0</v>
      </c>
      <c r="Z294" s="54">
        <v>0</v>
      </c>
      <c r="AA294" s="54">
        <v>0</v>
      </c>
      <c r="AB294" s="54">
        <v>0</v>
      </c>
      <c r="AC294" s="54">
        <v>0</v>
      </c>
      <c r="AD294" s="54">
        <v>0</v>
      </c>
      <c r="AE294" s="54">
        <v>0</v>
      </c>
      <c r="AF294" s="54">
        <v>0</v>
      </c>
      <c r="AG294" s="54">
        <v>0</v>
      </c>
      <c r="AH294" s="54">
        <v>0</v>
      </c>
      <c r="AI294" s="54">
        <v>0</v>
      </c>
      <c r="AJ294" s="54">
        <v>0</v>
      </c>
      <c r="AK294" s="54">
        <v>0</v>
      </c>
      <c r="AL294" s="54">
        <v>0</v>
      </c>
      <c r="AM294" s="54" t="str">
        <f>I294-J294-K294-L294-M294-N294-O294-P294-Q294-R294-S294-T294-U294-V294-W294-X294-Y294-Z294-AA294-AB294-AC294-AD294-AE294-AF294-AG294+AH294-AI294+AJ294+AK294-AL294</f>
        <v>0</v>
      </c>
      <c r="AN294" s="54"/>
      <c r="AO294" s="27"/>
    </row>
    <row r="295" spans="1:41">
      <c r="A295" s="44">
        <v>267</v>
      </c>
      <c r="B295" s="47" t="s">
        <v>1188</v>
      </c>
      <c r="C295" s="48" t="s">
        <v>1189</v>
      </c>
      <c r="D295" s="52" t="s">
        <v>73</v>
      </c>
      <c r="E295" s="52" t="s">
        <v>1117</v>
      </c>
      <c r="F295" s="55" t="s">
        <v>1190</v>
      </c>
      <c r="G295" s="51">
        <v>3</v>
      </c>
      <c r="H295" s="52" t="s">
        <v>1191</v>
      </c>
      <c r="I295" s="54">
        <v>749000</v>
      </c>
      <c r="J295" s="54">
        <v>0</v>
      </c>
      <c r="K295" s="54">
        <v>22000</v>
      </c>
      <c r="L295" s="54">
        <v>0</v>
      </c>
      <c r="M295" s="54">
        <v>0</v>
      </c>
      <c r="N295" s="54">
        <v>0</v>
      </c>
      <c r="O295" s="54">
        <v>0</v>
      </c>
      <c r="P295" s="54">
        <v>0</v>
      </c>
      <c r="Q295" s="54">
        <v>0</v>
      </c>
      <c r="R295" s="54">
        <v>0</v>
      </c>
      <c r="S295" s="54">
        <v>0</v>
      </c>
      <c r="T295" s="54">
        <v>0</v>
      </c>
      <c r="U295" s="54">
        <v>2263</v>
      </c>
      <c r="V295" s="54">
        <v>0</v>
      </c>
      <c r="W295" s="54">
        <v>0</v>
      </c>
      <c r="X295" s="54">
        <v>0</v>
      </c>
      <c r="Y295" s="54">
        <v>0</v>
      </c>
      <c r="Z295" s="54">
        <v>0</v>
      </c>
      <c r="AA295" s="54">
        <v>0</v>
      </c>
      <c r="AB295" s="54">
        <v>0</v>
      </c>
      <c r="AC295" s="54">
        <v>0</v>
      </c>
      <c r="AD295" s="54">
        <v>0</v>
      </c>
      <c r="AE295" s="54">
        <v>0</v>
      </c>
      <c r="AF295" s="54">
        <v>0</v>
      </c>
      <c r="AG295" s="54">
        <v>0</v>
      </c>
      <c r="AH295" s="54">
        <v>0</v>
      </c>
      <c r="AI295" s="54">
        <v>0</v>
      </c>
      <c r="AJ295" s="54">
        <v>0</v>
      </c>
      <c r="AK295" s="54">
        <v>0</v>
      </c>
      <c r="AL295" s="54">
        <v>0</v>
      </c>
      <c r="AM295" s="54" t="str">
        <f>I295-J295-K295-L295-M295-N295-O295-P295-Q295-R295-S295-T295-U295-V295-W295-X295-Y295-Z295-AA295-AB295-AC295-AD295-AE295-AF295-AG295+AH295-AI295+AJ295+AK295-AL295</f>
        <v>0</v>
      </c>
      <c r="AN295" s="54"/>
      <c r="AO295" s="27"/>
    </row>
    <row r="296" spans="1:41">
      <c r="A296" s="44">
        <v>268</v>
      </c>
      <c r="B296" s="47" t="s">
        <v>1192</v>
      </c>
      <c r="C296" s="48" t="s">
        <v>1193</v>
      </c>
      <c r="D296" s="52" t="s">
        <v>73</v>
      </c>
      <c r="E296" s="52" t="s">
        <v>1117</v>
      </c>
      <c r="F296" s="55" t="s">
        <v>1194</v>
      </c>
      <c r="G296" s="51">
        <v>8</v>
      </c>
      <c r="H296" s="52" t="s">
        <v>1195</v>
      </c>
      <c r="I296" s="54">
        <v>2250000</v>
      </c>
      <c r="J296" s="54">
        <v>0</v>
      </c>
      <c r="K296" s="54">
        <v>39000</v>
      </c>
      <c r="L296" s="54">
        <v>0</v>
      </c>
      <c r="M296" s="54">
        <v>0</v>
      </c>
      <c r="N296" s="54">
        <v>0</v>
      </c>
      <c r="O296" s="54">
        <v>0</v>
      </c>
      <c r="P296" s="54">
        <v>0</v>
      </c>
      <c r="Q296" s="54">
        <v>0</v>
      </c>
      <c r="R296" s="54">
        <v>0</v>
      </c>
      <c r="S296" s="54">
        <v>0</v>
      </c>
      <c r="T296" s="54">
        <v>0</v>
      </c>
      <c r="U296" s="54">
        <v>4013</v>
      </c>
      <c r="V296" s="54">
        <v>0</v>
      </c>
      <c r="W296" s="54">
        <v>0</v>
      </c>
      <c r="X296" s="54">
        <v>0</v>
      </c>
      <c r="Y296" s="54">
        <v>0</v>
      </c>
      <c r="Z296" s="54">
        <v>0</v>
      </c>
      <c r="AA296" s="54">
        <v>0</v>
      </c>
      <c r="AB296" s="54">
        <v>0</v>
      </c>
      <c r="AC296" s="54">
        <v>0</v>
      </c>
      <c r="AD296" s="54">
        <v>0</v>
      </c>
      <c r="AE296" s="54">
        <v>0</v>
      </c>
      <c r="AF296" s="54">
        <v>0</v>
      </c>
      <c r="AG296" s="54">
        <v>0</v>
      </c>
      <c r="AH296" s="54">
        <v>0</v>
      </c>
      <c r="AI296" s="54">
        <v>0</v>
      </c>
      <c r="AJ296" s="54">
        <v>0</v>
      </c>
      <c r="AK296" s="54">
        <v>0</v>
      </c>
      <c r="AL296" s="54">
        <v>0</v>
      </c>
      <c r="AM296" s="54" t="str">
        <f>I296-J296-K296-L296-M296-N296-O296-P296-Q296-R296-S296-T296-U296-V296-W296-X296-Y296-Z296-AA296-AB296-AC296-AD296-AE296-AF296-AG296+AH296-AI296+AJ296+AK296-AL296</f>
        <v>0</v>
      </c>
      <c r="AN296" s="54"/>
      <c r="AO296" s="27"/>
    </row>
    <row r="297" spans="1:41">
      <c r="A297" s="44">
        <v>269</v>
      </c>
      <c r="B297" s="47" t="s">
        <v>1196</v>
      </c>
      <c r="C297" s="48" t="s">
        <v>1197</v>
      </c>
      <c r="D297" s="52" t="s">
        <v>73</v>
      </c>
      <c r="E297" s="52" t="s">
        <v>1117</v>
      </c>
      <c r="F297" s="55" t="s">
        <v>1198</v>
      </c>
      <c r="G297" s="51">
        <v>6</v>
      </c>
      <c r="H297" s="52" t="s">
        <v>1199</v>
      </c>
      <c r="I297" s="54">
        <v>369000</v>
      </c>
      <c r="J297" s="54">
        <v>0</v>
      </c>
      <c r="K297" s="54">
        <v>31000</v>
      </c>
      <c r="L297" s="54">
        <v>0</v>
      </c>
      <c r="M297" s="54">
        <v>0</v>
      </c>
      <c r="N297" s="54">
        <v>0</v>
      </c>
      <c r="O297" s="54">
        <v>0</v>
      </c>
      <c r="P297" s="54">
        <v>0</v>
      </c>
      <c r="Q297" s="54">
        <v>0</v>
      </c>
      <c r="R297" s="54">
        <v>0</v>
      </c>
      <c r="S297" s="54">
        <v>0</v>
      </c>
      <c r="T297" s="54">
        <v>0</v>
      </c>
      <c r="U297" s="54">
        <v>3189</v>
      </c>
      <c r="V297" s="54">
        <v>0</v>
      </c>
      <c r="W297" s="54">
        <v>0</v>
      </c>
      <c r="X297" s="54">
        <v>0</v>
      </c>
      <c r="Y297" s="54">
        <v>0</v>
      </c>
      <c r="Z297" s="54">
        <v>0</v>
      </c>
      <c r="AA297" s="54">
        <v>0</v>
      </c>
      <c r="AB297" s="54">
        <v>0</v>
      </c>
      <c r="AC297" s="54">
        <v>0</v>
      </c>
      <c r="AD297" s="54">
        <v>0</v>
      </c>
      <c r="AE297" s="54">
        <v>0</v>
      </c>
      <c r="AF297" s="54">
        <v>0</v>
      </c>
      <c r="AG297" s="54">
        <v>0</v>
      </c>
      <c r="AH297" s="54">
        <v>0</v>
      </c>
      <c r="AI297" s="54">
        <v>0</v>
      </c>
      <c r="AJ297" s="54">
        <v>0</v>
      </c>
      <c r="AK297" s="54">
        <v>0</v>
      </c>
      <c r="AL297" s="54">
        <v>0</v>
      </c>
      <c r="AM297" s="54" t="str">
        <f>I297-J297-K297-L297-M297-N297-O297-P297-Q297-R297-S297-T297-U297-V297-W297-X297-Y297-Z297-AA297-AB297-AC297-AD297-AE297-AF297-AG297+AH297-AI297+AJ297+AK297-AL297</f>
        <v>0</v>
      </c>
      <c r="AN297" s="54"/>
      <c r="AO297" s="27"/>
    </row>
    <row r="298" spans="1:41">
      <c r="A298" s="44">
        <v>270</v>
      </c>
      <c r="B298" s="47" t="s">
        <v>1200</v>
      </c>
      <c r="C298" s="48" t="s">
        <v>1201</v>
      </c>
      <c r="D298" s="52" t="s">
        <v>73</v>
      </c>
      <c r="E298" s="52" t="s">
        <v>1117</v>
      </c>
      <c r="F298" s="55" t="s">
        <v>1202</v>
      </c>
      <c r="G298" s="51">
        <v>3</v>
      </c>
      <c r="H298" s="52" t="s">
        <v>1203</v>
      </c>
      <c r="I298" s="54">
        <v>319000</v>
      </c>
      <c r="J298" s="54">
        <v>0</v>
      </c>
      <c r="K298" s="54">
        <v>22000</v>
      </c>
      <c r="L298" s="54">
        <v>0</v>
      </c>
      <c r="M298" s="54">
        <v>0</v>
      </c>
      <c r="N298" s="54">
        <v>0</v>
      </c>
      <c r="O298" s="54">
        <v>0</v>
      </c>
      <c r="P298" s="54">
        <v>0</v>
      </c>
      <c r="Q298" s="54">
        <v>0</v>
      </c>
      <c r="R298" s="54">
        <v>0</v>
      </c>
      <c r="S298" s="54">
        <v>0</v>
      </c>
      <c r="T298" s="54">
        <v>0</v>
      </c>
      <c r="U298" s="54">
        <v>2263</v>
      </c>
      <c r="V298" s="54">
        <v>0</v>
      </c>
      <c r="W298" s="54">
        <v>0</v>
      </c>
      <c r="X298" s="54">
        <v>0</v>
      </c>
      <c r="Y298" s="54">
        <v>0</v>
      </c>
      <c r="Z298" s="54">
        <v>0</v>
      </c>
      <c r="AA298" s="54">
        <v>0</v>
      </c>
      <c r="AB298" s="54">
        <v>0</v>
      </c>
      <c r="AC298" s="54">
        <v>0</v>
      </c>
      <c r="AD298" s="54">
        <v>0</v>
      </c>
      <c r="AE298" s="54">
        <v>0</v>
      </c>
      <c r="AF298" s="54">
        <v>0</v>
      </c>
      <c r="AG298" s="54">
        <v>0</v>
      </c>
      <c r="AH298" s="54">
        <v>0</v>
      </c>
      <c r="AI298" s="54">
        <v>0</v>
      </c>
      <c r="AJ298" s="54">
        <v>0</v>
      </c>
      <c r="AK298" s="54">
        <v>0</v>
      </c>
      <c r="AL298" s="54">
        <v>0</v>
      </c>
      <c r="AM298" s="54" t="str">
        <f>I298-J298-K298-L298-M298-N298-O298-P298-Q298-R298-S298-T298-U298-V298-W298-X298-Y298-Z298-AA298-AB298-AC298-AD298-AE298-AF298-AG298+AH298-AI298+AJ298+AK298-AL298</f>
        <v>0</v>
      </c>
      <c r="AN298" s="54"/>
      <c r="AO298" s="27"/>
    </row>
    <row r="299" spans="1:41">
      <c r="A299" s="44">
        <v>271</v>
      </c>
      <c r="B299" s="47" t="s">
        <v>1204</v>
      </c>
      <c r="C299" s="48" t="s">
        <v>1205</v>
      </c>
      <c r="D299" s="52" t="s">
        <v>73</v>
      </c>
      <c r="E299" s="52" t="s">
        <v>1117</v>
      </c>
      <c r="F299" s="55" t="s">
        <v>1206</v>
      </c>
      <c r="G299" s="51">
        <v>2</v>
      </c>
      <c r="H299" s="52" t="s">
        <v>1207</v>
      </c>
      <c r="I299" s="54">
        <v>299000</v>
      </c>
      <c r="J299" s="54">
        <v>0</v>
      </c>
      <c r="K299" s="54">
        <v>22000</v>
      </c>
      <c r="L299" s="54">
        <v>0</v>
      </c>
      <c r="M299" s="54">
        <v>0</v>
      </c>
      <c r="N299" s="54">
        <v>0</v>
      </c>
      <c r="O299" s="54">
        <v>0</v>
      </c>
      <c r="P299" s="54">
        <v>0</v>
      </c>
      <c r="Q299" s="54">
        <v>0</v>
      </c>
      <c r="R299" s="54">
        <v>0</v>
      </c>
      <c r="S299" s="54">
        <v>0</v>
      </c>
      <c r="T299" s="54">
        <v>0</v>
      </c>
      <c r="U299" s="54">
        <v>2263</v>
      </c>
      <c r="V299" s="54">
        <v>0</v>
      </c>
      <c r="W299" s="54">
        <v>0</v>
      </c>
      <c r="X299" s="54">
        <v>0</v>
      </c>
      <c r="Y299" s="54">
        <v>0</v>
      </c>
      <c r="Z299" s="54">
        <v>0</v>
      </c>
      <c r="AA299" s="54">
        <v>0</v>
      </c>
      <c r="AB299" s="54">
        <v>0</v>
      </c>
      <c r="AC299" s="54">
        <v>0</v>
      </c>
      <c r="AD299" s="54">
        <v>0</v>
      </c>
      <c r="AE299" s="54">
        <v>0</v>
      </c>
      <c r="AF299" s="54">
        <v>0</v>
      </c>
      <c r="AG299" s="54">
        <v>0</v>
      </c>
      <c r="AH299" s="54">
        <v>0</v>
      </c>
      <c r="AI299" s="54">
        <v>0</v>
      </c>
      <c r="AJ299" s="54">
        <v>0</v>
      </c>
      <c r="AK299" s="54">
        <v>0</v>
      </c>
      <c r="AL299" s="54">
        <v>0</v>
      </c>
      <c r="AM299" s="54" t="str">
        <f>I299-J299-K299-L299-M299-N299-O299-P299-Q299-R299-S299-T299-U299-V299-W299-X299-Y299-Z299-AA299-AB299-AC299-AD299-AE299-AF299-AG299+AH299-AI299+AJ299+AK299-AL299</f>
        <v>0</v>
      </c>
      <c r="AN299" s="54"/>
      <c r="AO299" s="27"/>
    </row>
    <row r="300" spans="1:41">
      <c r="A300" s="44">
        <v>272</v>
      </c>
      <c r="B300" s="47" t="s">
        <v>1208</v>
      </c>
      <c r="C300" s="48" t="s">
        <v>1209</v>
      </c>
      <c r="D300" s="52" t="s">
        <v>73</v>
      </c>
      <c r="E300" s="52" t="s">
        <v>1117</v>
      </c>
      <c r="F300" s="55" t="s">
        <v>1210</v>
      </c>
      <c r="G300" s="51">
        <v>6</v>
      </c>
      <c r="H300" s="52" t="s">
        <v>1211</v>
      </c>
      <c r="I300" s="54">
        <v>1590000</v>
      </c>
      <c r="J300" s="54">
        <v>0</v>
      </c>
      <c r="K300" s="54">
        <v>31000</v>
      </c>
      <c r="L300" s="54">
        <v>0</v>
      </c>
      <c r="M300" s="54">
        <v>0</v>
      </c>
      <c r="N300" s="54">
        <v>0</v>
      </c>
      <c r="O300" s="54">
        <v>0</v>
      </c>
      <c r="P300" s="54">
        <v>0</v>
      </c>
      <c r="Q300" s="54">
        <v>0</v>
      </c>
      <c r="R300" s="54">
        <v>0</v>
      </c>
      <c r="S300" s="54">
        <v>0</v>
      </c>
      <c r="T300" s="54">
        <v>0</v>
      </c>
      <c r="U300" s="54">
        <v>3189</v>
      </c>
      <c r="V300" s="54">
        <v>0</v>
      </c>
      <c r="W300" s="54">
        <v>0</v>
      </c>
      <c r="X300" s="54">
        <v>0</v>
      </c>
      <c r="Y300" s="54">
        <v>0</v>
      </c>
      <c r="Z300" s="54">
        <v>0</v>
      </c>
      <c r="AA300" s="54">
        <v>0</v>
      </c>
      <c r="AB300" s="54">
        <v>0</v>
      </c>
      <c r="AC300" s="54">
        <v>0</v>
      </c>
      <c r="AD300" s="54">
        <v>0</v>
      </c>
      <c r="AE300" s="54">
        <v>0</v>
      </c>
      <c r="AF300" s="54">
        <v>0</v>
      </c>
      <c r="AG300" s="54">
        <v>0</v>
      </c>
      <c r="AH300" s="54">
        <v>0</v>
      </c>
      <c r="AI300" s="54">
        <v>0</v>
      </c>
      <c r="AJ300" s="54">
        <v>0</v>
      </c>
      <c r="AK300" s="54">
        <v>0</v>
      </c>
      <c r="AL300" s="54">
        <v>0</v>
      </c>
      <c r="AM300" s="54" t="str">
        <f>I300-J300-K300-L300-M300-N300-O300-P300-Q300-R300-S300-T300-U300-V300-W300-X300-Y300-Z300-AA300-AB300-AC300-AD300-AE300-AF300-AG300+AH300-AI300+AJ300+AK300-AL300</f>
        <v>0</v>
      </c>
      <c r="AN300" s="54"/>
      <c r="AO300" s="27"/>
    </row>
    <row r="301" spans="1:41">
      <c r="A301" s="44">
        <v>273</v>
      </c>
      <c r="B301" s="47" t="s">
        <v>1212</v>
      </c>
      <c r="C301" s="48" t="s">
        <v>1213</v>
      </c>
      <c r="D301" s="52" t="s">
        <v>73</v>
      </c>
      <c r="E301" s="52" t="s">
        <v>1117</v>
      </c>
      <c r="F301" s="55" t="s">
        <v>1100</v>
      </c>
      <c r="G301" s="51">
        <v>10</v>
      </c>
      <c r="H301" s="52" t="s">
        <v>1214</v>
      </c>
      <c r="I301" s="54">
        <v>963000</v>
      </c>
      <c r="J301" s="54">
        <v>0</v>
      </c>
      <c r="K301" s="54">
        <v>49000</v>
      </c>
      <c r="L301" s="54">
        <v>0</v>
      </c>
      <c r="M301" s="54">
        <v>0</v>
      </c>
      <c r="N301" s="54">
        <v>0</v>
      </c>
      <c r="O301" s="54">
        <v>0</v>
      </c>
      <c r="P301" s="54">
        <v>0</v>
      </c>
      <c r="Q301" s="54">
        <v>0</v>
      </c>
      <c r="R301" s="54">
        <v>0</v>
      </c>
      <c r="S301" s="54">
        <v>0</v>
      </c>
      <c r="T301" s="54">
        <v>0</v>
      </c>
      <c r="U301" s="54">
        <v>5042</v>
      </c>
      <c r="V301" s="54">
        <v>0</v>
      </c>
      <c r="W301" s="54">
        <v>0</v>
      </c>
      <c r="X301" s="54">
        <v>0</v>
      </c>
      <c r="Y301" s="54">
        <v>0</v>
      </c>
      <c r="Z301" s="54">
        <v>0</v>
      </c>
      <c r="AA301" s="54">
        <v>0</v>
      </c>
      <c r="AB301" s="54">
        <v>0</v>
      </c>
      <c r="AC301" s="54">
        <v>0</v>
      </c>
      <c r="AD301" s="54">
        <v>0</v>
      </c>
      <c r="AE301" s="54">
        <v>0</v>
      </c>
      <c r="AF301" s="54">
        <v>0</v>
      </c>
      <c r="AG301" s="54">
        <v>0</v>
      </c>
      <c r="AH301" s="54">
        <v>0</v>
      </c>
      <c r="AI301" s="54">
        <v>0</v>
      </c>
      <c r="AJ301" s="54">
        <v>0</v>
      </c>
      <c r="AK301" s="54">
        <v>0</v>
      </c>
      <c r="AL301" s="54">
        <v>0</v>
      </c>
      <c r="AM301" s="54" t="str">
        <f>I301-J301-K301-L301-M301-N301-O301-P301-Q301-R301-S301-T301-U301-V301-W301-X301-Y301-Z301-AA301-AB301-AC301-AD301-AE301-AF301-AG301+AH301-AI301+AJ301+AK301-AL301</f>
        <v>0</v>
      </c>
      <c r="AN301" s="54"/>
      <c r="AO301" s="27"/>
    </row>
    <row r="302" spans="1:41">
      <c r="A302" s="44">
        <v>274</v>
      </c>
      <c r="B302" s="47" t="s">
        <v>1215</v>
      </c>
      <c r="C302" s="48" t="s">
        <v>1216</v>
      </c>
      <c r="D302" s="52" t="s">
        <v>73</v>
      </c>
      <c r="E302" s="52" t="s">
        <v>1117</v>
      </c>
      <c r="F302" s="55" t="s">
        <v>1217</v>
      </c>
      <c r="G302" s="51">
        <v>6</v>
      </c>
      <c r="H302" s="52" t="s">
        <v>1218</v>
      </c>
      <c r="I302" s="54">
        <v>899000</v>
      </c>
      <c r="J302" s="54">
        <v>0</v>
      </c>
      <c r="K302" s="54">
        <v>31000</v>
      </c>
      <c r="L302" s="54">
        <v>0</v>
      </c>
      <c r="M302" s="54">
        <v>0</v>
      </c>
      <c r="N302" s="54">
        <v>0</v>
      </c>
      <c r="O302" s="54">
        <v>0</v>
      </c>
      <c r="P302" s="54">
        <v>0</v>
      </c>
      <c r="Q302" s="54">
        <v>0</v>
      </c>
      <c r="R302" s="54">
        <v>0</v>
      </c>
      <c r="S302" s="54">
        <v>0</v>
      </c>
      <c r="T302" s="54">
        <v>0</v>
      </c>
      <c r="U302" s="54">
        <v>3189</v>
      </c>
      <c r="V302" s="54">
        <v>0</v>
      </c>
      <c r="W302" s="54">
        <v>0</v>
      </c>
      <c r="X302" s="54">
        <v>0</v>
      </c>
      <c r="Y302" s="54">
        <v>0</v>
      </c>
      <c r="Z302" s="54">
        <v>0</v>
      </c>
      <c r="AA302" s="54">
        <v>0</v>
      </c>
      <c r="AB302" s="54">
        <v>0</v>
      </c>
      <c r="AC302" s="54">
        <v>0</v>
      </c>
      <c r="AD302" s="54">
        <v>0</v>
      </c>
      <c r="AE302" s="54">
        <v>0</v>
      </c>
      <c r="AF302" s="54">
        <v>0</v>
      </c>
      <c r="AG302" s="54">
        <v>0</v>
      </c>
      <c r="AH302" s="54">
        <v>0</v>
      </c>
      <c r="AI302" s="54">
        <v>0</v>
      </c>
      <c r="AJ302" s="54">
        <v>0</v>
      </c>
      <c r="AK302" s="54">
        <v>0</v>
      </c>
      <c r="AL302" s="54">
        <v>0</v>
      </c>
      <c r="AM302" s="54" t="str">
        <f>I302-J302-K302-L302-M302-N302-O302-P302-Q302-R302-S302-T302-U302-V302-W302-X302-Y302-Z302-AA302-AB302-AC302-AD302-AE302-AF302-AG302+AH302-AI302+AJ302+AK302-AL302</f>
        <v>0</v>
      </c>
      <c r="AN302" s="54"/>
      <c r="AO302" s="27"/>
    </row>
    <row r="303" spans="1:41">
      <c r="A303" s="44">
        <v>275</v>
      </c>
      <c r="B303" s="47" t="s">
        <v>1219</v>
      </c>
      <c r="C303" s="48" t="s">
        <v>1220</v>
      </c>
      <c r="D303" s="52" t="s">
        <v>73</v>
      </c>
      <c r="E303" s="52" t="s">
        <v>1117</v>
      </c>
      <c r="F303" s="55" t="s">
        <v>1221</v>
      </c>
      <c r="G303" s="51">
        <v>4</v>
      </c>
      <c r="H303" s="52" t="s">
        <v>1222</v>
      </c>
      <c r="I303" s="54">
        <v>220000</v>
      </c>
      <c r="J303" s="54">
        <v>0</v>
      </c>
      <c r="K303" s="54">
        <v>25000</v>
      </c>
      <c r="L303" s="54">
        <v>0</v>
      </c>
      <c r="M303" s="54">
        <v>0</v>
      </c>
      <c r="N303" s="54">
        <v>0</v>
      </c>
      <c r="O303" s="54">
        <v>0</v>
      </c>
      <c r="P303" s="54">
        <v>0</v>
      </c>
      <c r="Q303" s="54">
        <v>0</v>
      </c>
      <c r="R303" s="54">
        <v>0</v>
      </c>
      <c r="S303" s="54">
        <v>0</v>
      </c>
      <c r="T303" s="54">
        <v>0</v>
      </c>
      <c r="U303" s="54">
        <v>2572</v>
      </c>
      <c r="V303" s="54">
        <v>0</v>
      </c>
      <c r="W303" s="54">
        <v>0</v>
      </c>
      <c r="X303" s="54">
        <v>0</v>
      </c>
      <c r="Y303" s="54">
        <v>0</v>
      </c>
      <c r="Z303" s="54">
        <v>0</v>
      </c>
      <c r="AA303" s="54">
        <v>0</v>
      </c>
      <c r="AB303" s="54">
        <v>0</v>
      </c>
      <c r="AC303" s="54">
        <v>0</v>
      </c>
      <c r="AD303" s="54">
        <v>0</v>
      </c>
      <c r="AE303" s="54">
        <v>0</v>
      </c>
      <c r="AF303" s="54">
        <v>0</v>
      </c>
      <c r="AG303" s="54">
        <v>0</v>
      </c>
      <c r="AH303" s="54">
        <v>0</v>
      </c>
      <c r="AI303" s="54">
        <v>0</v>
      </c>
      <c r="AJ303" s="54">
        <v>0</v>
      </c>
      <c r="AK303" s="54">
        <v>0</v>
      </c>
      <c r="AL303" s="54">
        <v>0</v>
      </c>
      <c r="AM303" s="54" t="str">
        <f>I303-J303-K303-L303-M303-N303-O303-P303-Q303-R303-S303-T303-U303-V303-W303-X303-Y303-Z303-AA303-AB303-AC303-AD303-AE303-AF303-AG303+AH303-AI303+AJ303+AK303-AL303</f>
        <v>0</v>
      </c>
      <c r="AN303" s="54"/>
      <c r="AO303" s="27"/>
    </row>
    <row r="304" spans="1:41">
      <c r="A304" s="44">
        <v>276</v>
      </c>
      <c r="B304" s="47" t="s">
        <v>1223</v>
      </c>
      <c r="C304" s="48" t="s">
        <v>1224</v>
      </c>
      <c r="D304" s="52" t="s">
        <v>73</v>
      </c>
      <c r="E304" s="52" t="s">
        <v>1117</v>
      </c>
      <c r="F304" s="55" t="s">
        <v>1225</v>
      </c>
      <c r="G304" s="51">
        <v>2</v>
      </c>
      <c r="H304" s="52" t="s">
        <v>1226</v>
      </c>
      <c r="I304" s="54">
        <v>119000</v>
      </c>
      <c r="J304" s="54">
        <v>0</v>
      </c>
      <c r="K304" s="54">
        <v>22000</v>
      </c>
      <c r="L304" s="54">
        <v>0</v>
      </c>
      <c r="M304" s="54">
        <v>0</v>
      </c>
      <c r="N304" s="54">
        <v>0</v>
      </c>
      <c r="O304" s="54">
        <v>0</v>
      </c>
      <c r="P304" s="54">
        <v>0</v>
      </c>
      <c r="Q304" s="54">
        <v>0</v>
      </c>
      <c r="R304" s="54">
        <v>0</v>
      </c>
      <c r="S304" s="54">
        <v>0</v>
      </c>
      <c r="T304" s="54">
        <v>0</v>
      </c>
      <c r="U304" s="54">
        <v>2263</v>
      </c>
      <c r="V304" s="54">
        <v>0</v>
      </c>
      <c r="W304" s="54">
        <v>0</v>
      </c>
      <c r="X304" s="54">
        <v>0</v>
      </c>
      <c r="Y304" s="54">
        <v>0</v>
      </c>
      <c r="Z304" s="54">
        <v>0</v>
      </c>
      <c r="AA304" s="54">
        <v>0</v>
      </c>
      <c r="AB304" s="54">
        <v>0</v>
      </c>
      <c r="AC304" s="54">
        <v>0</v>
      </c>
      <c r="AD304" s="54">
        <v>0</v>
      </c>
      <c r="AE304" s="54">
        <v>0</v>
      </c>
      <c r="AF304" s="54">
        <v>0</v>
      </c>
      <c r="AG304" s="54">
        <v>0</v>
      </c>
      <c r="AH304" s="54">
        <v>0</v>
      </c>
      <c r="AI304" s="54">
        <v>0</v>
      </c>
      <c r="AJ304" s="54">
        <v>0</v>
      </c>
      <c r="AK304" s="54">
        <v>0</v>
      </c>
      <c r="AL304" s="54">
        <v>0</v>
      </c>
      <c r="AM304" s="54" t="str">
        <f>I304-J304-K304-L304-M304-N304-O304-P304-Q304-R304-S304-T304-U304-V304-W304-X304-Y304-Z304-AA304-AB304-AC304-AD304-AE304-AF304-AG304+AH304-AI304+AJ304+AK304-AL304</f>
        <v>0</v>
      </c>
      <c r="AN304" s="54"/>
      <c r="AO304" s="27"/>
    </row>
    <row r="305" spans="1:41">
      <c r="A305" s="44">
        <v>277</v>
      </c>
      <c r="B305" s="47" t="s">
        <v>1227</v>
      </c>
      <c r="C305" s="48" t="s">
        <v>1228</v>
      </c>
      <c r="D305" s="52" t="s">
        <v>73</v>
      </c>
      <c r="E305" s="52" t="s">
        <v>1229</v>
      </c>
      <c r="F305" s="55" t="s">
        <v>1230</v>
      </c>
      <c r="G305" s="51">
        <v>3</v>
      </c>
      <c r="H305" s="52" t="s">
        <v>1231</v>
      </c>
      <c r="I305" s="54">
        <v>235000</v>
      </c>
      <c r="J305" s="54">
        <v>0</v>
      </c>
      <c r="K305" s="54">
        <v>22000</v>
      </c>
      <c r="L305" s="54">
        <v>0</v>
      </c>
      <c r="M305" s="54">
        <v>0</v>
      </c>
      <c r="N305" s="54">
        <v>0</v>
      </c>
      <c r="O305" s="54">
        <v>0</v>
      </c>
      <c r="P305" s="54">
        <v>0</v>
      </c>
      <c r="Q305" s="54">
        <v>0</v>
      </c>
      <c r="R305" s="54">
        <v>0</v>
      </c>
      <c r="S305" s="54">
        <v>0</v>
      </c>
      <c r="T305" s="54">
        <v>0</v>
      </c>
      <c r="U305" s="54">
        <v>2263</v>
      </c>
      <c r="V305" s="54">
        <v>0</v>
      </c>
      <c r="W305" s="54">
        <v>0</v>
      </c>
      <c r="X305" s="54">
        <v>0</v>
      </c>
      <c r="Y305" s="54">
        <v>0</v>
      </c>
      <c r="Z305" s="54">
        <v>0</v>
      </c>
      <c r="AA305" s="54">
        <v>0</v>
      </c>
      <c r="AB305" s="54">
        <v>0</v>
      </c>
      <c r="AC305" s="54">
        <v>0</v>
      </c>
      <c r="AD305" s="54">
        <v>0</v>
      </c>
      <c r="AE305" s="54">
        <v>0</v>
      </c>
      <c r="AF305" s="54">
        <v>0</v>
      </c>
      <c r="AG305" s="54">
        <v>0</v>
      </c>
      <c r="AH305" s="54">
        <v>0</v>
      </c>
      <c r="AI305" s="54">
        <v>0</v>
      </c>
      <c r="AJ305" s="54">
        <v>0</v>
      </c>
      <c r="AK305" s="54">
        <v>0</v>
      </c>
      <c r="AL305" s="54">
        <v>0</v>
      </c>
      <c r="AM305" s="54" t="str">
        <f>I305-J305-K305-L305-M305-N305-O305-P305-Q305-R305-S305-T305-U305-V305-W305-X305-Y305-Z305-AA305-AB305-AC305-AD305-AE305-AF305-AG305+AH305-AI305+AJ305+AK305-AL305</f>
        <v>0</v>
      </c>
      <c r="AN305" s="54"/>
      <c r="AO305" s="27"/>
    </row>
    <row r="306" spans="1:41">
      <c r="A306" s="44">
        <v>278</v>
      </c>
      <c r="B306" s="47" t="s">
        <v>1232</v>
      </c>
      <c r="C306" s="48" t="s">
        <v>1233</v>
      </c>
      <c r="D306" s="52" t="s">
        <v>73</v>
      </c>
      <c r="E306" s="52" t="s">
        <v>1229</v>
      </c>
      <c r="F306" s="55" t="s">
        <v>1234</v>
      </c>
      <c r="G306" s="51">
        <v>4</v>
      </c>
      <c r="H306" s="52" t="s">
        <v>1235</v>
      </c>
      <c r="I306" s="54">
        <v>220000</v>
      </c>
      <c r="J306" s="54">
        <v>0</v>
      </c>
      <c r="K306" s="54">
        <v>25000</v>
      </c>
      <c r="L306" s="54">
        <v>0</v>
      </c>
      <c r="M306" s="54">
        <v>0</v>
      </c>
      <c r="N306" s="54">
        <v>0</v>
      </c>
      <c r="O306" s="54">
        <v>0</v>
      </c>
      <c r="P306" s="54">
        <v>0</v>
      </c>
      <c r="Q306" s="54">
        <v>0</v>
      </c>
      <c r="R306" s="54">
        <v>0</v>
      </c>
      <c r="S306" s="54">
        <v>0</v>
      </c>
      <c r="T306" s="54">
        <v>0</v>
      </c>
      <c r="U306" s="54">
        <v>2572</v>
      </c>
      <c r="V306" s="54">
        <v>0</v>
      </c>
      <c r="W306" s="54">
        <v>0</v>
      </c>
      <c r="X306" s="54">
        <v>0</v>
      </c>
      <c r="Y306" s="54">
        <v>0</v>
      </c>
      <c r="Z306" s="54">
        <v>0</v>
      </c>
      <c r="AA306" s="54">
        <v>0</v>
      </c>
      <c r="AB306" s="54">
        <v>0</v>
      </c>
      <c r="AC306" s="54">
        <v>0</v>
      </c>
      <c r="AD306" s="54">
        <v>0</v>
      </c>
      <c r="AE306" s="54">
        <v>0</v>
      </c>
      <c r="AF306" s="54">
        <v>0</v>
      </c>
      <c r="AG306" s="54">
        <v>0</v>
      </c>
      <c r="AH306" s="54">
        <v>0</v>
      </c>
      <c r="AI306" s="54">
        <v>0</v>
      </c>
      <c r="AJ306" s="54">
        <v>0</v>
      </c>
      <c r="AK306" s="54">
        <v>0</v>
      </c>
      <c r="AL306" s="54">
        <v>0</v>
      </c>
      <c r="AM306" s="54" t="str">
        <f>I306-J306-K306-L306-M306-N306-O306-P306-Q306-R306-S306-T306-U306-V306-W306-X306-Y306-Z306-AA306-AB306-AC306-AD306-AE306-AF306-AG306+AH306-AI306+AJ306+AK306-AL306</f>
        <v>0</v>
      </c>
      <c r="AN306" s="54"/>
      <c r="AO306" s="27"/>
    </row>
    <row r="307" spans="1:41">
      <c r="A307" s="44">
        <v>279</v>
      </c>
      <c r="B307" s="47" t="s">
        <v>1236</v>
      </c>
      <c r="C307" s="48" t="s">
        <v>1237</v>
      </c>
      <c r="D307" s="52" t="s">
        <v>73</v>
      </c>
      <c r="E307" s="52" t="s">
        <v>1229</v>
      </c>
      <c r="F307" s="55" t="s">
        <v>1238</v>
      </c>
      <c r="G307" s="51">
        <v>3</v>
      </c>
      <c r="H307" s="52" t="s">
        <v>1239</v>
      </c>
      <c r="I307" s="54">
        <v>525000</v>
      </c>
      <c r="J307" s="54">
        <v>0</v>
      </c>
      <c r="K307" s="54">
        <v>22000</v>
      </c>
      <c r="L307" s="54">
        <v>0</v>
      </c>
      <c r="M307" s="54">
        <v>0</v>
      </c>
      <c r="N307" s="54">
        <v>0</v>
      </c>
      <c r="O307" s="54">
        <v>0</v>
      </c>
      <c r="P307" s="54">
        <v>0</v>
      </c>
      <c r="Q307" s="54">
        <v>0</v>
      </c>
      <c r="R307" s="54">
        <v>0</v>
      </c>
      <c r="S307" s="54">
        <v>0</v>
      </c>
      <c r="T307" s="54">
        <v>0</v>
      </c>
      <c r="U307" s="54">
        <v>2263</v>
      </c>
      <c r="V307" s="54">
        <v>0</v>
      </c>
      <c r="W307" s="54">
        <v>0</v>
      </c>
      <c r="X307" s="54">
        <v>0</v>
      </c>
      <c r="Y307" s="54">
        <v>0</v>
      </c>
      <c r="Z307" s="54">
        <v>0</v>
      </c>
      <c r="AA307" s="54">
        <v>0</v>
      </c>
      <c r="AB307" s="54">
        <v>0</v>
      </c>
      <c r="AC307" s="54">
        <v>0</v>
      </c>
      <c r="AD307" s="54">
        <v>0</v>
      </c>
      <c r="AE307" s="54">
        <v>0</v>
      </c>
      <c r="AF307" s="54">
        <v>0</v>
      </c>
      <c r="AG307" s="54">
        <v>0</v>
      </c>
      <c r="AH307" s="54">
        <v>0</v>
      </c>
      <c r="AI307" s="54">
        <v>0</v>
      </c>
      <c r="AJ307" s="54">
        <v>0</v>
      </c>
      <c r="AK307" s="54">
        <v>0</v>
      </c>
      <c r="AL307" s="54">
        <v>0</v>
      </c>
      <c r="AM307" s="54" t="str">
        <f>I307-J307-K307-L307-M307-N307-O307-P307-Q307-R307-S307-T307-U307-V307-W307-X307-Y307-Z307-AA307-AB307-AC307-AD307-AE307-AF307-AG307+AH307-AI307+AJ307+AK307-AL307</f>
        <v>0</v>
      </c>
      <c r="AN307" s="54"/>
      <c r="AO307" s="27"/>
    </row>
    <row r="308" spans="1:41">
      <c r="A308" s="44">
        <v>280</v>
      </c>
      <c r="B308" s="47" t="s">
        <v>1240</v>
      </c>
      <c r="C308" s="48" t="s">
        <v>1241</v>
      </c>
      <c r="D308" s="52" t="s">
        <v>73</v>
      </c>
      <c r="E308" s="52" t="s">
        <v>1229</v>
      </c>
      <c r="F308" s="55" t="s">
        <v>1242</v>
      </c>
      <c r="G308" s="51">
        <v>6</v>
      </c>
      <c r="H308" s="52" t="s">
        <v>1243</v>
      </c>
      <c r="I308" s="54">
        <v>899000</v>
      </c>
      <c r="J308" s="54">
        <v>0</v>
      </c>
      <c r="K308" s="54">
        <v>31000</v>
      </c>
      <c r="L308" s="54">
        <v>0</v>
      </c>
      <c r="M308" s="54">
        <v>0</v>
      </c>
      <c r="N308" s="54">
        <v>0</v>
      </c>
      <c r="O308" s="54">
        <v>0</v>
      </c>
      <c r="P308" s="54">
        <v>0</v>
      </c>
      <c r="Q308" s="54">
        <v>0</v>
      </c>
      <c r="R308" s="54">
        <v>0</v>
      </c>
      <c r="S308" s="54">
        <v>0</v>
      </c>
      <c r="T308" s="54">
        <v>0</v>
      </c>
      <c r="U308" s="54">
        <v>3189</v>
      </c>
      <c r="V308" s="54">
        <v>0</v>
      </c>
      <c r="W308" s="54">
        <v>0</v>
      </c>
      <c r="X308" s="54">
        <v>0</v>
      </c>
      <c r="Y308" s="54">
        <v>0</v>
      </c>
      <c r="Z308" s="54">
        <v>0</v>
      </c>
      <c r="AA308" s="54">
        <v>0</v>
      </c>
      <c r="AB308" s="54">
        <v>0</v>
      </c>
      <c r="AC308" s="54">
        <v>0</v>
      </c>
      <c r="AD308" s="54">
        <v>0</v>
      </c>
      <c r="AE308" s="54">
        <v>0</v>
      </c>
      <c r="AF308" s="54">
        <v>0</v>
      </c>
      <c r="AG308" s="54">
        <v>0</v>
      </c>
      <c r="AH308" s="54">
        <v>0</v>
      </c>
      <c r="AI308" s="54">
        <v>0</v>
      </c>
      <c r="AJ308" s="54">
        <v>0</v>
      </c>
      <c r="AK308" s="54">
        <v>0</v>
      </c>
      <c r="AL308" s="54">
        <v>0</v>
      </c>
      <c r="AM308" s="54" t="str">
        <f>I308-J308-K308-L308-M308-N308-O308-P308-Q308-R308-S308-T308-U308-V308-W308-X308-Y308-Z308-AA308-AB308-AC308-AD308-AE308-AF308-AG308+AH308-AI308+AJ308+AK308-AL308</f>
        <v>0</v>
      </c>
      <c r="AN308" s="54"/>
      <c r="AO308" s="27"/>
    </row>
    <row r="309" spans="1:41">
      <c r="A309" s="44">
        <v>281</v>
      </c>
      <c r="B309" s="47" t="s">
        <v>1244</v>
      </c>
      <c r="C309" s="48" t="s">
        <v>1245</v>
      </c>
      <c r="D309" s="52" t="s">
        <v>73</v>
      </c>
      <c r="E309" s="52" t="s">
        <v>1229</v>
      </c>
      <c r="F309" s="55" t="s">
        <v>962</v>
      </c>
      <c r="G309" s="51">
        <v>5</v>
      </c>
      <c r="H309" s="52" t="s">
        <v>1246</v>
      </c>
      <c r="I309" s="54">
        <v>594000</v>
      </c>
      <c r="J309" s="54">
        <v>0</v>
      </c>
      <c r="K309" s="54">
        <v>27000</v>
      </c>
      <c r="L309" s="54">
        <v>0</v>
      </c>
      <c r="M309" s="54">
        <v>0</v>
      </c>
      <c r="N309" s="54">
        <v>0</v>
      </c>
      <c r="O309" s="54">
        <v>0</v>
      </c>
      <c r="P309" s="54">
        <v>0</v>
      </c>
      <c r="Q309" s="54">
        <v>0</v>
      </c>
      <c r="R309" s="54">
        <v>0</v>
      </c>
      <c r="S309" s="54">
        <v>0</v>
      </c>
      <c r="T309" s="54">
        <v>0</v>
      </c>
      <c r="U309" s="54">
        <v>2778</v>
      </c>
      <c r="V309" s="54">
        <v>0</v>
      </c>
      <c r="W309" s="54">
        <v>0</v>
      </c>
      <c r="X309" s="54">
        <v>0</v>
      </c>
      <c r="Y309" s="54">
        <v>0</v>
      </c>
      <c r="Z309" s="54">
        <v>0</v>
      </c>
      <c r="AA309" s="54">
        <v>0</v>
      </c>
      <c r="AB309" s="54">
        <v>0</v>
      </c>
      <c r="AC309" s="54">
        <v>0</v>
      </c>
      <c r="AD309" s="54">
        <v>0</v>
      </c>
      <c r="AE309" s="54">
        <v>0</v>
      </c>
      <c r="AF309" s="54">
        <v>0</v>
      </c>
      <c r="AG309" s="54">
        <v>0</v>
      </c>
      <c r="AH309" s="54">
        <v>0</v>
      </c>
      <c r="AI309" s="54">
        <v>0</v>
      </c>
      <c r="AJ309" s="54">
        <v>0</v>
      </c>
      <c r="AK309" s="54">
        <v>0</v>
      </c>
      <c r="AL309" s="54">
        <v>0</v>
      </c>
      <c r="AM309" s="54" t="str">
        <f>I309-J309-K309-L309-M309-N309-O309-P309-Q309-R309-S309-T309-U309-V309-W309-X309-Y309-Z309-AA309-AB309-AC309-AD309-AE309-AF309-AG309+AH309-AI309+AJ309+AK309-AL309</f>
        <v>0</v>
      </c>
      <c r="AN309" s="54"/>
      <c r="AO309" s="27"/>
    </row>
    <row r="310" spans="1:41">
      <c r="A310" s="44">
        <v>282</v>
      </c>
      <c r="B310" s="47" t="s">
        <v>1247</v>
      </c>
      <c r="C310" s="48" t="s">
        <v>1248</v>
      </c>
      <c r="D310" s="52" t="s">
        <v>73</v>
      </c>
      <c r="E310" s="52" t="s">
        <v>1229</v>
      </c>
      <c r="F310" s="55" t="s">
        <v>1249</v>
      </c>
      <c r="G310" s="51">
        <v>6</v>
      </c>
      <c r="H310" s="52" t="s">
        <v>1250</v>
      </c>
      <c r="I310" s="54">
        <v>1455000</v>
      </c>
      <c r="J310" s="54">
        <v>0</v>
      </c>
      <c r="K310" s="54">
        <v>31000</v>
      </c>
      <c r="L310" s="54">
        <v>0</v>
      </c>
      <c r="M310" s="54">
        <v>0</v>
      </c>
      <c r="N310" s="54">
        <v>0</v>
      </c>
      <c r="O310" s="54">
        <v>0</v>
      </c>
      <c r="P310" s="54">
        <v>0</v>
      </c>
      <c r="Q310" s="54">
        <v>0</v>
      </c>
      <c r="R310" s="54">
        <v>0</v>
      </c>
      <c r="S310" s="54">
        <v>0</v>
      </c>
      <c r="T310" s="54">
        <v>0</v>
      </c>
      <c r="U310" s="54">
        <v>3189</v>
      </c>
      <c r="V310" s="54">
        <v>0</v>
      </c>
      <c r="W310" s="54">
        <v>0</v>
      </c>
      <c r="X310" s="54">
        <v>0</v>
      </c>
      <c r="Y310" s="54">
        <v>0</v>
      </c>
      <c r="Z310" s="54">
        <v>0</v>
      </c>
      <c r="AA310" s="54">
        <v>0</v>
      </c>
      <c r="AB310" s="54">
        <v>0</v>
      </c>
      <c r="AC310" s="54">
        <v>0</v>
      </c>
      <c r="AD310" s="54">
        <v>0</v>
      </c>
      <c r="AE310" s="54">
        <v>0</v>
      </c>
      <c r="AF310" s="54">
        <v>0</v>
      </c>
      <c r="AG310" s="54">
        <v>0</v>
      </c>
      <c r="AH310" s="54">
        <v>0</v>
      </c>
      <c r="AI310" s="54">
        <v>0</v>
      </c>
      <c r="AJ310" s="54">
        <v>0</v>
      </c>
      <c r="AK310" s="54">
        <v>0</v>
      </c>
      <c r="AL310" s="54">
        <v>0</v>
      </c>
      <c r="AM310" s="54" t="str">
        <f>I310-J310-K310-L310-M310-N310-O310-P310-Q310-R310-S310-T310-U310-V310-W310-X310-Y310-Z310-AA310-AB310-AC310-AD310-AE310-AF310-AG310+AH310-AI310+AJ310+AK310-AL310</f>
        <v>0</v>
      </c>
      <c r="AN310" s="54"/>
      <c r="AO310" s="27"/>
    </row>
    <row r="311" spans="1:41">
      <c r="A311" s="44">
        <v>283</v>
      </c>
      <c r="B311" s="47" t="s">
        <v>1251</v>
      </c>
      <c r="C311" s="48" t="s">
        <v>1252</v>
      </c>
      <c r="D311" s="52" t="s">
        <v>73</v>
      </c>
      <c r="E311" s="52" t="s">
        <v>1229</v>
      </c>
      <c r="F311" s="55" t="s">
        <v>994</v>
      </c>
      <c r="G311" s="51">
        <v>3</v>
      </c>
      <c r="H311" s="52" t="s">
        <v>1253</v>
      </c>
      <c r="I311" s="54">
        <v>799000</v>
      </c>
      <c r="J311" s="54">
        <v>0</v>
      </c>
      <c r="K311" s="54">
        <v>22000</v>
      </c>
      <c r="L311" s="54">
        <v>0</v>
      </c>
      <c r="M311" s="54">
        <v>0</v>
      </c>
      <c r="N311" s="54">
        <v>0</v>
      </c>
      <c r="O311" s="54">
        <v>0</v>
      </c>
      <c r="P311" s="54">
        <v>0</v>
      </c>
      <c r="Q311" s="54">
        <v>0</v>
      </c>
      <c r="R311" s="54">
        <v>0</v>
      </c>
      <c r="S311" s="54">
        <v>0</v>
      </c>
      <c r="T311" s="54">
        <v>0</v>
      </c>
      <c r="U311" s="54">
        <v>2263</v>
      </c>
      <c r="V311" s="54">
        <v>0</v>
      </c>
      <c r="W311" s="54">
        <v>0</v>
      </c>
      <c r="X311" s="54">
        <v>0</v>
      </c>
      <c r="Y311" s="54">
        <v>0</v>
      </c>
      <c r="Z311" s="54">
        <v>0</v>
      </c>
      <c r="AA311" s="54">
        <v>0</v>
      </c>
      <c r="AB311" s="54">
        <v>0</v>
      </c>
      <c r="AC311" s="54">
        <v>0</v>
      </c>
      <c r="AD311" s="54">
        <v>0</v>
      </c>
      <c r="AE311" s="54">
        <v>0</v>
      </c>
      <c r="AF311" s="54">
        <v>0</v>
      </c>
      <c r="AG311" s="54">
        <v>0</v>
      </c>
      <c r="AH311" s="54">
        <v>0</v>
      </c>
      <c r="AI311" s="54">
        <v>0</v>
      </c>
      <c r="AJ311" s="54">
        <v>0</v>
      </c>
      <c r="AK311" s="54">
        <v>0</v>
      </c>
      <c r="AL311" s="54">
        <v>0</v>
      </c>
      <c r="AM311" s="54" t="str">
        <f>I311-J311-K311-L311-M311-N311-O311-P311-Q311-R311-S311-T311-U311-V311-W311-X311-Y311-Z311-AA311-AB311-AC311-AD311-AE311-AF311-AG311+AH311-AI311+AJ311+AK311-AL311</f>
        <v>0</v>
      </c>
      <c r="AN311" s="54"/>
      <c r="AO311" s="27"/>
    </row>
    <row r="312" spans="1:41">
      <c r="A312" s="44">
        <v>284</v>
      </c>
      <c r="B312" s="47" t="s">
        <v>1254</v>
      </c>
      <c r="C312" s="48" t="s">
        <v>1255</v>
      </c>
      <c r="D312" s="52" t="s">
        <v>73</v>
      </c>
      <c r="E312" s="52" t="s">
        <v>1229</v>
      </c>
      <c r="F312" s="55" t="s">
        <v>1256</v>
      </c>
      <c r="G312" s="51">
        <v>6</v>
      </c>
      <c r="H312" s="52" t="s">
        <v>1257</v>
      </c>
      <c r="I312" s="54">
        <v>949000</v>
      </c>
      <c r="J312" s="54">
        <v>0</v>
      </c>
      <c r="K312" s="54">
        <v>31000</v>
      </c>
      <c r="L312" s="54">
        <v>0</v>
      </c>
      <c r="M312" s="54">
        <v>0</v>
      </c>
      <c r="N312" s="54">
        <v>0</v>
      </c>
      <c r="O312" s="54">
        <v>0</v>
      </c>
      <c r="P312" s="54">
        <v>0</v>
      </c>
      <c r="Q312" s="54">
        <v>0</v>
      </c>
      <c r="R312" s="54">
        <v>0</v>
      </c>
      <c r="S312" s="54">
        <v>0</v>
      </c>
      <c r="T312" s="54">
        <v>0</v>
      </c>
      <c r="U312" s="54">
        <v>3189</v>
      </c>
      <c r="V312" s="54">
        <v>0</v>
      </c>
      <c r="W312" s="54">
        <v>0</v>
      </c>
      <c r="X312" s="54">
        <v>0</v>
      </c>
      <c r="Y312" s="54">
        <v>0</v>
      </c>
      <c r="Z312" s="54">
        <v>0</v>
      </c>
      <c r="AA312" s="54">
        <v>0</v>
      </c>
      <c r="AB312" s="54">
        <v>0</v>
      </c>
      <c r="AC312" s="54">
        <v>0</v>
      </c>
      <c r="AD312" s="54">
        <v>0</v>
      </c>
      <c r="AE312" s="54">
        <v>0</v>
      </c>
      <c r="AF312" s="54">
        <v>0</v>
      </c>
      <c r="AG312" s="54">
        <v>0</v>
      </c>
      <c r="AH312" s="54">
        <v>0</v>
      </c>
      <c r="AI312" s="54">
        <v>0</v>
      </c>
      <c r="AJ312" s="54">
        <v>0</v>
      </c>
      <c r="AK312" s="54">
        <v>0</v>
      </c>
      <c r="AL312" s="54">
        <v>0</v>
      </c>
      <c r="AM312" s="54" t="str">
        <f>I312-J312-K312-L312-M312-N312-O312-P312-Q312-R312-S312-T312-U312-V312-W312-X312-Y312-Z312-AA312-AB312-AC312-AD312-AE312-AF312-AG312+AH312-AI312+AJ312+AK312-AL312</f>
        <v>0</v>
      </c>
      <c r="AN312" s="54"/>
      <c r="AO312" s="27"/>
    </row>
    <row r="313" spans="1:41">
      <c r="A313" s="44">
        <v>285</v>
      </c>
      <c r="B313" s="47" t="s">
        <v>1258</v>
      </c>
      <c r="C313" s="48" t="s">
        <v>1259</v>
      </c>
      <c r="D313" s="52" t="s">
        <v>73</v>
      </c>
      <c r="E313" s="52" t="s">
        <v>1229</v>
      </c>
      <c r="F313" s="55" t="s">
        <v>1260</v>
      </c>
      <c r="G313" s="51">
        <v>2</v>
      </c>
      <c r="H313" s="52" t="s">
        <v>1261</v>
      </c>
      <c r="I313" s="54">
        <v>399000</v>
      </c>
      <c r="J313" s="54">
        <v>0</v>
      </c>
      <c r="K313" s="54">
        <v>22000</v>
      </c>
      <c r="L313" s="54">
        <v>0</v>
      </c>
      <c r="M313" s="54">
        <v>0</v>
      </c>
      <c r="N313" s="54">
        <v>0</v>
      </c>
      <c r="O313" s="54">
        <v>0</v>
      </c>
      <c r="P313" s="54">
        <v>0</v>
      </c>
      <c r="Q313" s="54">
        <v>0</v>
      </c>
      <c r="R313" s="54">
        <v>0</v>
      </c>
      <c r="S313" s="54">
        <v>0</v>
      </c>
      <c r="T313" s="54">
        <v>0</v>
      </c>
      <c r="U313" s="54">
        <v>2263</v>
      </c>
      <c r="V313" s="54">
        <v>0</v>
      </c>
      <c r="W313" s="54">
        <v>0</v>
      </c>
      <c r="X313" s="54">
        <v>0</v>
      </c>
      <c r="Y313" s="54">
        <v>0</v>
      </c>
      <c r="Z313" s="54">
        <v>0</v>
      </c>
      <c r="AA313" s="54">
        <v>0</v>
      </c>
      <c r="AB313" s="54">
        <v>0</v>
      </c>
      <c r="AC313" s="54">
        <v>0</v>
      </c>
      <c r="AD313" s="54">
        <v>0</v>
      </c>
      <c r="AE313" s="54">
        <v>0</v>
      </c>
      <c r="AF313" s="54">
        <v>0</v>
      </c>
      <c r="AG313" s="54">
        <v>0</v>
      </c>
      <c r="AH313" s="54">
        <v>0</v>
      </c>
      <c r="AI313" s="54">
        <v>0</v>
      </c>
      <c r="AJ313" s="54">
        <v>0</v>
      </c>
      <c r="AK313" s="54">
        <v>0</v>
      </c>
      <c r="AL313" s="54">
        <v>0</v>
      </c>
      <c r="AM313" s="54" t="str">
        <f>I313-J313-K313-L313-M313-N313-O313-P313-Q313-R313-S313-T313-U313-V313-W313-X313-Y313-Z313-AA313-AB313-AC313-AD313-AE313-AF313-AG313+AH313-AI313+AJ313+AK313-AL313</f>
        <v>0</v>
      </c>
      <c r="AN313" s="54"/>
      <c r="AO313" s="27"/>
    </row>
    <row r="314" spans="1:41">
      <c r="A314" s="44">
        <v>286</v>
      </c>
      <c r="B314" s="47" t="s">
        <v>1262</v>
      </c>
      <c r="C314" s="48" t="s">
        <v>1263</v>
      </c>
      <c r="D314" s="52" t="s">
        <v>73</v>
      </c>
      <c r="E314" s="52" t="s">
        <v>1229</v>
      </c>
      <c r="F314" s="55" t="s">
        <v>554</v>
      </c>
      <c r="G314" s="51">
        <v>3</v>
      </c>
      <c r="H314" s="52" t="s">
        <v>1264</v>
      </c>
      <c r="I314" s="54">
        <v>299000</v>
      </c>
      <c r="J314" s="54">
        <v>0</v>
      </c>
      <c r="K314" s="54">
        <v>22000</v>
      </c>
      <c r="L314" s="54">
        <v>0</v>
      </c>
      <c r="M314" s="54">
        <v>0</v>
      </c>
      <c r="N314" s="54">
        <v>0</v>
      </c>
      <c r="O314" s="54">
        <v>0</v>
      </c>
      <c r="P314" s="54">
        <v>0</v>
      </c>
      <c r="Q314" s="54">
        <v>0</v>
      </c>
      <c r="R314" s="54">
        <v>0</v>
      </c>
      <c r="S314" s="54">
        <v>0</v>
      </c>
      <c r="T314" s="54">
        <v>0</v>
      </c>
      <c r="U314" s="54">
        <v>2263</v>
      </c>
      <c r="V314" s="54">
        <v>0</v>
      </c>
      <c r="W314" s="54">
        <v>0</v>
      </c>
      <c r="X314" s="54">
        <v>0</v>
      </c>
      <c r="Y314" s="54">
        <v>0</v>
      </c>
      <c r="Z314" s="54">
        <v>0</v>
      </c>
      <c r="AA314" s="54">
        <v>0</v>
      </c>
      <c r="AB314" s="54">
        <v>0</v>
      </c>
      <c r="AC314" s="54">
        <v>0</v>
      </c>
      <c r="AD314" s="54">
        <v>0</v>
      </c>
      <c r="AE314" s="54">
        <v>0</v>
      </c>
      <c r="AF314" s="54">
        <v>0</v>
      </c>
      <c r="AG314" s="54">
        <v>0</v>
      </c>
      <c r="AH314" s="54">
        <v>0</v>
      </c>
      <c r="AI314" s="54">
        <v>0</v>
      </c>
      <c r="AJ314" s="54">
        <v>0</v>
      </c>
      <c r="AK314" s="54">
        <v>0</v>
      </c>
      <c r="AL314" s="54">
        <v>0</v>
      </c>
      <c r="AM314" s="54" t="str">
        <f>I314-J314-K314-L314-M314-N314-O314-P314-Q314-R314-S314-T314-U314-V314-W314-X314-Y314-Z314-AA314-AB314-AC314-AD314-AE314-AF314-AG314+AH314-AI314+AJ314+AK314-AL314</f>
        <v>0</v>
      </c>
      <c r="AN314" s="54"/>
      <c r="AO314" s="27"/>
    </row>
    <row r="315" spans="1:41">
      <c r="A315" s="44">
        <v>287</v>
      </c>
      <c r="B315" s="47" t="s">
        <v>1265</v>
      </c>
      <c r="C315" s="48" t="s">
        <v>1266</v>
      </c>
      <c r="D315" s="52" t="s">
        <v>73</v>
      </c>
      <c r="E315" s="52" t="s">
        <v>1229</v>
      </c>
      <c r="F315" s="55" t="s">
        <v>1267</v>
      </c>
      <c r="G315" s="51">
        <v>3</v>
      </c>
      <c r="H315" s="52" t="s">
        <v>1268</v>
      </c>
      <c r="I315" s="54">
        <v>30000</v>
      </c>
      <c r="J315" s="54">
        <v>0</v>
      </c>
      <c r="K315" s="54">
        <v>22000</v>
      </c>
      <c r="L315" s="54">
        <v>0</v>
      </c>
      <c r="M315" s="54">
        <v>0</v>
      </c>
      <c r="N315" s="54">
        <v>0</v>
      </c>
      <c r="O315" s="54">
        <v>0</v>
      </c>
      <c r="P315" s="54">
        <v>0</v>
      </c>
      <c r="Q315" s="54">
        <v>0</v>
      </c>
      <c r="R315" s="54">
        <v>0</v>
      </c>
      <c r="S315" s="54">
        <v>0</v>
      </c>
      <c r="T315" s="54">
        <v>0</v>
      </c>
      <c r="U315" s="54">
        <v>2263</v>
      </c>
      <c r="V315" s="54">
        <v>0</v>
      </c>
      <c r="W315" s="54">
        <v>0</v>
      </c>
      <c r="X315" s="54">
        <v>0</v>
      </c>
      <c r="Y315" s="54">
        <v>11000</v>
      </c>
      <c r="Z315" s="54">
        <v>0</v>
      </c>
      <c r="AA315" s="54">
        <v>0</v>
      </c>
      <c r="AB315" s="54">
        <v>0</v>
      </c>
      <c r="AC315" s="54">
        <v>0</v>
      </c>
      <c r="AD315" s="54">
        <v>0</v>
      </c>
      <c r="AE315" s="54">
        <v>0</v>
      </c>
      <c r="AF315" s="54">
        <v>0</v>
      </c>
      <c r="AG315" s="54">
        <v>0</v>
      </c>
      <c r="AH315" s="54">
        <v>0</v>
      </c>
      <c r="AI315" s="54">
        <v>0</v>
      </c>
      <c r="AJ315" s="54">
        <v>0</v>
      </c>
      <c r="AK315" s="54">
        <v>0</v>
      </c>
      <c r="AL315" s="54">
        <v>0</v>
      </c>
      <c r="AM315" s="54" t="str">
        <f>I315-J315-K315-L315-M315-N315-O315-P315-Q315-R315-S315-T315-U315-V315-W315-X315-Y315-Z315-AA315-AB315-AC315-AD315-AE315-AF315-AG315+AH315-AI315+AJ315+AK315-AL315</f>
        <v>0</v>
      </c>
      <c r="AN315" s="54"/>
      <c r="AO315" s="27"/>
    </row>
    <row r="316" spans="1:41">
      <c r="A316" s="44">
        <v>288</v>
      </c>
      <c r="B316" s="47" t="s">
        <v>1269</v>
      </c>
      <c r="C316" s="48" t="s">
        <v>1270</v>
      </c>
      <c r="D316" s="52" t="s">
        <v>73</v>
      </c>
      <c r="E316" s="52" t="s">
        <v>1229</v>
      </c>
      <c r="F316" s="55" t="s">
        <v>1271</v>
      </c>
      <c r="G316" s="51">
        <v>4</v>
      </c>
      <c r="H316" s="52" t="s">
        <v>1272</v>
      </c>
      <c r="I316" s="54">
        <v>180000</v>
      </c>
      <c r="J316" s="54">
        <v>0</v>
      </c>
      <c r="K316" s="54">
        <v>25000</v>
      </c>
      <c r="L316" s="54">
        <v>0</v>
      </c>
      <c r="M316" s="54">
        <v>0</v>
      </c>
      <c r="N316" s="54">
        <v>0</v>
      </c>
      <c r="O316" s="54">
        <v>0</v>
      </c>
      <c r="P316" s="54">
        <v>0</v>
      </c>
      <c r="Q316" s="54">
        <v>0</v>
      </c>
      <c r="R316" s="54">
        <v>0</v>
      </c>
      <c r="S316" s="54">
        <v>0</v>
      </c>
      <c r="T316" s="54">
        <v>0</v>
      </c>
      <c r="U316" s="54">
        <v>2572</v>
      </c>
      <c r="V316" s="54">
        <v>0</v>
      </c>
      <c r="W316" s="54">
        <v>0</v>
      </c>
      <c r="X316" s="54">
        <v>0</v>
      </c>
      <c r="Y316" s="54">
        <v>0</v>
      </c>
      <c r="Z316" s="54">
        <v>0</v>
      </c>
      <c r="AA316" s="54">
        <v>0</v>
      </c>
      <c r="AB316" s="54">
        <v>0</v>
      </c>
      <c r="AC316" s="54">
        <v>0</v>
      </c>
      <c r="AD316" s="54">
        <v>0</v>
      </c>
      <c r="AE316" s="54">
        <v>0</v>
      </c>
      <c r="AF316" s="54">
        <v>0</v>
      </c>
      <c r="AG316" s="54">
        <v>0</v>
      </c>
      <c r="AH316" s="54">
        <v>0</v>
      </c>
      <c r="AI316" s="54">
        <v>0</v>
      </c>
      <c r="AJ316" s="54">
        <v>0</v>
      </c>
      <c r="AK316" s="54">
        <v>0</v>
      </c>
      <c r="AL316" s="54">
        <v>0</v>
      </c>
      <c r="AM316" s="54" t="str">
        <f>I316-J316-K316-L316-M316-N316-O316-P316-Q316-R316-S316-T316-U316-V316-W316-X316-Y316-Z316-AA316-AB316-AC316-AD316-AE316-AF316-AG316+AH316-AI316+AJ316+AK316-AL316</f>
        <v>0</v>
      </c>
      <c r="AN316" s="54"/>
      <c r="AO316" s="27"/>
    </row>
    <row r="317" spans="1:41">
      <c r="A317" s="44">
        <v>289</v>
      </c>
      <c r="B317" s="47" t="s">
        <v>1273</v>
      </c>
      <c r="C317" s="48" t="s">
        <v>1274</v>
      </c>
      <c r="D317" s="52" t="s">
        <v>73</v>
      </c>
      <c r="E317" s="52" t="s">
        <v>1229</v>
      </c>
      <c r="F317" s="55" t="s">
        <v>1275</v>
      </c>
      <c r="G317" s="51">
        <v>8</v>
      </c>
      <c r="H317" s="52" t="s">
        <v>1276</v>
      </c>
      <c r="I317" s="54">
        <v>734000</v>
      </c>
      <c r="J317" s="54">
        <v>0</v>
      </c>
      <c r="K317" s="54">
        <v>39000</v>
      </c>
      <c r="L317" s="54">
        <v>0</v>
      </c>
      <c r="M317" s="54">
        <v>0</v>
      </c>
      <c r="N317" s="54">
        <v>0</v>
      </c>
      <c r="O317" s="54">
        <v>0</v>
      </c>
      <c r="P317" s="54">
        <v>0</v>
      </c>
      <c r="Q317" s="54">
        <v>0</v>
      </c>
      <c r="R317" s="54">
        <v>0</v>
      </c>
      <c r="S317" s="54">
        <v>0</v>
      </c>
      <c r="T317" s="54">
        <v>0</v>
      </c>
      <c r="U317" s="54">
        <v>4013</v>
      </c>
      <c r="V317" s="54">
        <v>0</v>
      </c>
      <c r="W317" s="54">
        <v>0</v>
      </c>
      <c r="X317" s="54">
        <v>0</v>
      </c>
      <c r="Y317" s="54">
        <v>0</v>
      </c>
      <c r="Z317" s="54">
        <v>0</v>
      </c>
      <c r="AA317" s="54">
        <v>0</v>
      </c>
      <c r="AB317" s="54">
        <v>0</v>
      </c>
      <c r="AC317" s="54">
        <v>0</v>
      </c>
      <c r="AD317" s="54">
        <v>0</v>
      </c>
      <c r="AE317" s="54">
        <v>0</v>
      </c>
      <c r="AF317" s="54">
        <v>0</v>
      </c>
      <c r="AG317" s="54">
        <v>0</v>
      </c>
      <c r="AH317" s="54">
        <v>0</v>
      </c>
      <c r="AI317" s="54">
        <v>0</v>
      </c>
      <c r="AJ317" s="54">
        <v>0</v>
      </c>
      <c r="AK317" s="54">
        <v>0</v>
      </c>
      <c r="AL317" s="54">
        <v>0</v>
      </c>
      <c r="AM317" s="54" t="str">
        <f>I317-J317-K317-L317-M317-N317-O317-P317-Q317-R317-S317-T317-U317-V317-W317-X317-Y317-Z317-AA317-AB317-AC317-AD317-AE317-AF317-AG317+AH317-AI317+AJ317+AK317-AL317</f>
        <v>0</v>
      </c>
      <c r="AN317" s="54"/>
      <c r="AO317" s="27"/>
    </row>
    <row r="318" spans="1:41">
      <c r="A318" s="44">
        <v>290</v>
      </c>
      <c r="B318" s="47" t="s">
        <v>1277</v>
      </c>
      <c r="C318" s="48" t="s">
        <v>1278</v>
      </c>
      <c r="D318" s="52" t="s">
        <v>73</v>
      </c>
      <c r="E318" s="52" t="s">
        <v>1229</v>
      </c>
      <c r="F318" s="55" t="s">
        <v>1279</v>
      </c>
      <c r="G318" s="51">
        <v>2</v>
      </c>
      <c r="H318" s="52" t="s">
        <v>1280</v>
      </c>
      <c r="I318" s="54">
        <v>399000</v>
      </c>
      <c r="J318" s="54">
        <v>0</v>
      </c>
      <c r="K318" s="54">
        <v>22000</v>
      </c>
      <c r="L318" s="54">
        <v>0</v>
      </c>
      <c r="M318" s="54">
        <v>0</v>
      </c>
      <c r="N318" s="54">
        <v>0</v>
      </c>
      <c r="O318" s="54">
        <v>0</v>
      </c>
      <c r="P318" s="54">
        <v>0</v>
      </c>
      <c r="Q318" s="54">
        <v>0</v>
      </c>
      <c r="R318" s="54">
        <v>0</v>
      </c>
      <c r="S318" s="54">
        <v>0</v>
      </c>
      <c r="T318" s="54">
        <v>0</v>
      </c>
      <c r="U318" s="54">
        <v>2263</v>
      </c>
      <c r="V318" s="54">
        <v>0</v>
      </c>
      <c r="W318" s="54">
        <v>0</v>
      </c>
      <c r="X318" s="54">
        <v>0</v>
      </c>
      <c r="Y318" s="54">
        <v>0</v>
      </c>
      <c r="Z318" s="54">
        <v>0</v>
      </c>
      <c r="AA318" s="54">
        <v>0</v>
      </c>
      <c r="AB318" s="54">
        <v>0</v>
      </c>
      <c r="AC318" s="54">
        <v>0</v>
      </c>
      <c r="AD318" s="54">
        <v>0</v>
      </c>
      <c r="AE318" s="54">
        <v>0</v>
      </c>
      <c r="AF318" s="54">
        <v>0</v>
      </c>
      <c r="AG318" s="54">
        <v>0</v>
      </c>
      <c r="AH318" s="54">
        <v>0</v>
      </c>
      <c r="AI318" s="54">
        <v>0</v>
      </c>
      <c r="AJ318" s="54">
        <v>0</v>
      </c>
      <c r="AK318" s="54">
        <v>0</v>
      </c>
      <c r="AL318" s="54">
        <v>0</v>
      </c>
      <c r="AM318" s="54" t="str">
        <f>I318-J318-K318-L318-M318-N318-O318-P318-Q318-R318-S318-T318-U318-V318-W318-X318-Y318-Z318-AA318-AB318-AC318-AD318-AE318-AF318-AG318+AH318-AI318+AJ318+AK318-AL318</f>
        <v>0</v>
      </c>
      <c r="AN318" s="54"/>
      <c r="AO318" s="27"/>
    </row>
    <row r="319" spans="1:41">
      <c r="A319" s="44">
        <v>291</v>
      </c>
      <c r="B319" s="47" t="s">
        <v>1281</v>
      </c>
      <c r="C319" s="48" t="s">
        <v>1282</v>
      </c>
      <c r="D319" s="52" t="s">
        <v>62</v>
      </c>
      <c r="E319" s="52" t="s">
        <v>1229</v>
      </c>
      <c r="F319" s="55" t="s">
        <v>1283</v>
      </c>
      <c r="G319" s="51">
        <v>4</v>
      </c>
      <c r="H319" s="52" t="s">
        <v>1284</v>
      </c>
      <c r="I319" s="54">
        <v>0</v>
      </c>
      <c r="J319" s="54">
        <v>0</v>
      </c>
      <c r="K319" s="54">
        <v>25000</v>
      </c>
      <c r="L319" s="54">
        <v>0</v>
      </c>
      <c r="M319" s="54">
        <v>0</v>
      </c>
      <c r="N319" s="54">
        <v>0</v>
      </c>
      <c r="O319" s="54">
        <v>0</v>
      </c>
      <c r="P319" s="54">
        <v>0</v>
      </c>
      <c r="Q319" s="54">
        <v>0</v>
      </c>
      <c r="R319" s="54">
        <v>0</v>
      </c>
      <c r="S319" s="54">
        <v>0</v>
      </c>
      <c r="T319" s="54">
        <v>0</v>
      </c>
      <c r="U319" s="54">
        <v>2572</v>
      </c>
      <c r="V319" s="54">
        <v>0</v>
      </c>
      <c r="W319" s="54">
        <v>0</v>
      </c>
      <c r="X319" s="54">
        <v>0</v>
      </c>
      <c r="Y319" s="54">
        <v>12500</v>
      </c>
      <c r="Z319" s="54">
        <v>0</v>
      </c>
      <c r="AA319" s="54">
        <v>0</v>
      </c>
      <c r="AB319" s="54">
        <v>0</v>
      </c>
      <c r="AC319" s="54">
        <v>0</v>
      </c>
      <c r="AD319" s="54">
        <v>0</v>
      </c>
      <c r="AE319" s="54">
        <v>0</v>
      </c>
      <c r="AF319" s="54">
        <v>0</v>
      </c>
      <c r="AG319" s="54">
        <v>0</v>
      </c>
      <c r="AH319" s="54">
        <v>0</v>
      </c>
      <c r="AI319" s="54">
        <v>0</v>
      </c>
      <c r="AJ319" s="54">
        <v>0</v>
      </c>
      <c r="AK319" s="54">
        <v>0</v>
      </c>
      <c r="AL319" s="54">
        <v>0</v>
      </c>
      <c r="AM319" s="54" t="str">
        <f>I319-J319-K319-L319-M319-N319-O319-P319-Q319-R319-S319-T319-U319-V319-W319-X319-Y319-Z319-AA319-AB319-AC319-AD319-AE319-AF319-AG319+AH319-AI319+AJ319+AK319-AL319</f>
        <v>0</v>
      </c>
      <c r="AN319" s="54"/>
      <c r="AO319" s="27"/>
    </row>
    <row r="320" spans="1:41">
      <c r="A320" s="44">
        <v>292</v>
      </c>
      <c r="B320" s="47" t="s">
        <v>1285</v>
      </c>
      <c r="C320" s="48" t="s">
        <v>1286</v>
      </c>
      <c r="D320" s="52" t="s">
        <v>62</v>
      </c>
      <c r="E320" s="52" t="s">
        <v>1229</v>
      </c>
      <c r="F320" s="55" t="s">
        <v>1287</v>
      </c>
      <c r="G320" s="51">
        <v>3</v>
      </c>
      <c r="H320" s="52" t="s">
        <v>1288</v>
      </c>
      <c r="I320" s="54">
        <v>0</v>
      </c>
      <c r="J320" s="54">
        <v>0</v>
      </c>
      <c r="K320" s="54">
        <v>22000</v>
      </c>
      <c r="L320" s="54">
        <v>0</v>
      </c>
      <c r="M320" s="54">
        <v>0</v>
      </c>
      <c r="N320" s="54">
        <v>0</v>
      </c>
      <c r="O320" s="54">
        <v>0</v>
      </c>
      <c r="P320" s="54">
        <v>0</v>
      </c>
      <c r="Q320" s="54">
        <v>0</v>
      </c>
      <c r="R320" s="54">
        <v>0</v>
      </c>
      <c r="S320" s="54">
        <v>0</v>
      </c>
      <c r="T320" s="54">
        <v>0</v>
      </c>
      <c r="U320" s="54">
        <v>2263</v>
      </c>
      <c r="V320" s="54">
        <v>0</v>
      </c>
      <c r="W320" s="54">
        <v>0</v>
      </c>
      <c r="X320" s="54">
        <v>0</v>
      </c>
      <c r="Y320" s="54">
        <v>5000</v>
      </c>
      <c r="Z320" s="54">
        <v>0</v>
      </c>
      <c r="AA320" s="54">
        <v>0</v>
      </c>
      <c r="AB320" s="54">
        <v>0</v>
      </c>
      <c r="AC320" s="54">
        <v>0</v>
      </c>
      <c r="AD320" s="54">
        <v>0</v>
      </c>
      <c r="AE320" s="54">
        <v>0</v>
      </c>
      <c r="AF320" s="54">
        <v>0</v>
      </c>
      <c r="AG320" s="54">
        <v>0</v>
      </c>
      <c r="AH320" s="54">
        <v>0</v>
      </c>
      <c r="AI320" s="54">
        <v>0</v>
      </c>
      <c r="AJ320" s="54">
        <v>0</v>
      </c>
      <c r="AK320" s="54">
        <v>0</v>
      </c>
      <c r="AL320" s="54">
        <v>0</v>
      </c>
      <c r="AM320" s="54" t="str">
        <f>I320-J320-K320-L320-M320-N320-O320-P320-Q320-R320-S320-T320-U320-V320-W320-X320-Y320-Z320-AA320-AB320-AC320-AD320-AE320-AF320-AG320+AH320-AI320+AJ320+AK320-AL320</f>
        <v>0</v>
      </c>
      <c r="AN320" s="54"/>
      <c r="AO320" s="27"/>
    </row>
    <row r="321" spans="1:41">
      <c r="A321" s="44">
        <v>293</v>
      </c>
      <c r="B321" s="47" t="s">
        <v>1289</v>
      </c>
      <c r="C321" s="48" t="s">
        <v>1290</v>
      </c>
      <c r="D321" s="52" t="s">
        <v>73</v>
      </c>
      <c r="E321" s="52" t="s">
        <v>1229</v>
      </c>
      <c r="F321" s="55" t="s">
        <v>1291</v>
      </c>
      <c r="G321" s="51">
        <v>2</v>
      </c>
      <c r="H321" s="52" t="s">
        <v>1292</v>
      </c>
      <c r="I321" s="54">
        <v>299000</v>
      </c>
      <c r="J321" s="54">
        <v>0</v>
      </c>
      <c r="K321" s="54">
        <v>22000</v>
      </c>
      <c r="L321" s="54">
        <v>0</v>
      </c>
      <c r="M321" s="54">
        <v>0</v>
      </c>
      <c r="N321" s="54">
        <v>0</v>
      </c>
      <c r="O321" s="54">
        <v>0</v>
      </c>
      <c r="P321" s="54">
        <v>0</v>
      </c>
      <c r="Q321" s="54">
        <v>0</v>
      </c>
      <c r="R321" s="54">
        <v>0</v>
      </c>
      <c r="S321" s="54">
        <v>0</v>
      </c>
      <c r="T321" s="54">
        <v>0</v>
      </c>
      <c r="U321" s="54">
        <v>2263</v>
      </c>
      <c r="V321" s="54">
        <v>0</v>
      </c>
      <c r="W321" s="54">
        <v>0</v>
      </c>
      <c r="X321" s="54">
        <v>0</v>
      </c>
      <c r="Y321" s="54">
        <v>0</v>
      </c>
      <c r="Z321" s="54">
        <v>0</v>
      </c>
      <c r="AA321" s="54">
        <v>0</v>
      </c>
      <c r="AB321" s="54">
        <v>0</v>
      </c>
      <c r="AC321" s="54">
        <v>0</v>
      </c>
      <c r="AD321" s="54">
        <v>0</v>
      </c>
      <c r="AE321" s="54">
        <v>0</v>
      </c>
      <c r="AF321" s="54">
        <v>0</v>
      </c>
      <c r="AG321" s="54">
        <v>0</v>
      </c>
      <c r="AH321" s="54">
        <v>0</v>
      </c>
      <c r="AI321" s="54">
        <v>0</v>
      </c>
      <c r="AJ321" s="54">
        <v>0</v>
      </c>
      <c r="AK321" s="54">
        <v>0</v>
      </c>
      <c r="AL321" s="54">
        <v>0</v>
      </c>
      <c r="AM321" s="54" t="str">
        <f>I321-J321-K321-L321-M321-N321-O321-P321-Q321-R321-S321-T321-U321-V321-W321-X321-Y321-Z321-AA321-AB321-AC321-AD321-AE321-AF321-AG321+AH321-AI321+AJ321+AK321-AL321</f>
        <v>0</v>
      </c>
      <c r="AN321" s="54"/>
      <c r="AO321" s="27"/>
    </row>
    <row r="322" spans="1:41">
      <c r="A322" s="44">
        <v>294</v>
      </c>
      <c r="B322" s="47" t="s">
        <v>1293</v>
      </c>
      <c r="C322" s="48" t="s">
        <v>1294</v>
      </c>
      <c r="D322" s="52" t="s">
        <v>73</v>
      </c>
      <c r="E322" s="52" t="s">
        <v>1229</v>
      </c>
      <c r="F322" s="55" t="s">
        <v>1295</v>
      </c>
      <c r="G322" s="51">
        <v>3</v>
      </c>
      <c r="H322" s="52" t="s">
        <v>1296</v>
      </c>
      <c r="I322" s="54">
        <v>525000</v>
      </c>
      <c r="J322" s="54">
        <v>0</v>
      </c>
      <c r="K322" s="54">
        <v>22000</v>
      </c>
      <c r="L322" s="54">
        <v>0</v>
      </c>
      <c r="M322" s="54">
        <v>0</v>
      </c>
      <c r="N322" s="54">
        <v>0</v>
      </c>
      <c r="O322" s="54">
        <v>0</v>
      </c>
      <c r="P322" s="54">
        <v>0</v>
      </c>
      <c r="Q322" s="54">
        <v>0</v>
      </c>
      <c r="R322" s="54">
        <v>0</v>
      </c>
      <c r="S322" s="54">
        <v>0</v>
      </c>
      <c r="T322" s="54">
        <v>0</v>
      </c>
      <c r="U322" s="54">
        <v>2263</v>
      </c>
      <c r="V322" s="54">
        <v>0</v>
      </c>
      <c r="W322" s="54">
        <v>0</v>
      </c>
      <c r="X322" s="54">
        <v>0</v>
      </c>
      <c r="Y322" s="54">
        <v>0</v>
      </c>
      <c r="Z322" s="54">
        <v>0</v>
      </c>
      <c r="AA322" s="54">
        <v>0</v>
      </c>
      <c r="AB322" s="54">
        <v>0</v>
      </c>
      <c r="AC322" s="54">
        <v>0</v>
      </c>
      <c r="AD322" s="54">
        <v>0</v>
      </c>
      <c r="AE322" s="54">
        <v>0</v>
      </c>
      <c r="AF322" s="54">
        <v>0</v>
      </c>
      <c r="AG322" s="54">
        <v>0</v>
      </c>
      <c r="AH322" s="54">
        <v>0</v>
      </c>
      <c r="AI322" s="54">
        <v>0</v>
      </c>
      <c r="AJ322" s="54">
        <v>0</v>
      </c>
      <c r="AK322" s="54">
        <v>0</v>
      </c>
      <c r="AL322" s="54">
        <v>0</v>
      </c>
      <c r="AM322" s="54" t="str">
        <f>I322-J322-K322-L322-M322-N322-O322-P322-Q322-R322-S322-T322-U322-V322-W322-X322-Y322-Z322-AA322-AB322-AC322-AD322-AE322-AF322-AG322+AH322-AI322+AJ322+AK322-AL322</f>
        <v>0</v>
      </c>
      <c r="AN322" s="54"/>
      <c r="AO322" s="27"/>
    </row>
    <row r="323" spans="1:41">
      <c r="A323" s="44">
        <v>295</v>
      </c>
      <c r="B323" s="47" t="s">
        <v>1297</v>
      </c>
      <c r="C323" s="48" t="s">
        <v>1298</v>
      </c>
      <c r="D323" s="52" t="s">
        <v>73</v>
      </c>
      <c r="E323" s="52" t="s">
        <v>1299</v>
      </c>
      <c r="F323" s="55" t="s">
        <v>1300</v>
      </c>
      <c r="G323" s="51">
        <v>3</v>
      </c>
      <c r="H323" s="52" t="s">
        <v>1301</v>
      </c>
      <c r="I323" s="54">
        <v>206100</v>
      </c>
      <c r="J323" s="54">
        <v>0</v>
      </c>
      <c r="K323" s="54">
        <v>22000</v>
      </c>
      <c r="L323" s="54">
        <v>0</v>
      </c>
      <c r="M323" s="54">
        <v>0</v>
      </c>
      <c r="N323" s="54">
        <v>0</v>
      </c>
      <c r="O323" s="54">
        <v>0</v>
      </c>
      <c r="P323" s="54">
        <v>0</v>
      </c>
      <c r="Q323" s="54">
        <v>0</v>
      </c>
      <c r="R323" s="54">
        <v>0</v>
      </c>
      <c r="S323" s="54">
        <v>0</v>
      </c>
      <c r="T323" s="54">
        <v>0</v>
      </c>
      <c r="U323" s="54">
        <v>2263</v>
      </c>
      <c r="V323" s="54">
        <v>0</v>
      </c>
      <c r="W323" s="54">
        <v>0</v>
      </c>
      <c r="X323" s="54">
        <v>0</v>
      </c>
      <c r="Y323" s="54">
        <v>0</v>
      </c>
      <c r="Z323" s="54">
        <v>0</v>
      </c>
      <c r="AA323" s="54">
        <v>0</v>
      </c>
      <c r="AB323" s="54">
        <v>0</v>
      </c>
      <c r="AC323" s="54">
        <v>0</v>
      </c>
      <c r="AD323" s="54">
        <v>0</v>
      </c>
      <c r="AE323" s="54">
        <v>0</v>
      </c>
      <c r="AF323" s="54">
        <v>0</v>
      </c>
      <c r="AG323" s="54">
        <v>0</v>
      </c>
      <c r="AH323" s="54">
        <v>0</v>
      </c>
      <c r="AI323" s="54">
        <v>0</v>
      </c>
      <c r="AJ323" s="54">
        <v>0</v>
      </c>
      <c r="AK323" s="54">
        <v>0</v>
      </c>
      <c r="AL323" s="54">
        <v>0</v>
      </c>
      <c r="AM323" s="54" t="str">
        <f>I323-J323-K323-L323-M323-N323-O323-P323-Q323-R323-S323-T323-U323-V323-W323-X323-Y323-Z323-AA323-AB323-AC323-AD323-AE323-AF323-AG323+AH323-AI323+AJ323+AK323-AL323</f>
        <v>0</v>
      </c>
      <c r="AN323" s="54"/>
      <c r="AO323" s="27"/>
    </row>
    <row r="324" spans="1:41">
      <c r="A324" s="44">
        <v>296</v>
      </c>
      <c r="B324" s="47" t="s">
        <v>1302</v>
      </c>
      <c r="C324" s="48" t="s">
        <v>1303</v>
      </c>
      <c r="D324" s="52" t="s">
        <v>73</v>
      </c>
      <c r="E324" s="52" t="s">
        <v>1299</v>
      </c>
      <c r="F324" s="55" t="s">
        <v>1092</v>
      </c>
      <c r="G324" s="51">
        <v>6</v>
      </c>
      <c r="H324" s="52" t="s">
        <v>1304</v>
      </c>
      <c r="I324" s="54">
        <v>999000</v>
      </c>
      <c r="J324" s="54">
        <v>0</v>
      </c>
      <c r="K324" s="54">
        <v>31000</v>
      </c>
      <c r="L324" s="54">
        <v>0</v>
      </c>
      <c r="M324" s="54">
        <v>0</v>
      </c>
      <c r="N324" s="54">
        <v>0</v>
      </c>
      <c r="O324" s="54">
        <v>0</v>
      </c>
      <c r="P324" s="54">
        <v>0</v>
      </c>
      <c r="Q324" s="54">
        <v>0</v>
      </c>
      <c r="R324" s="54">
        <v>0</v>
      </c>
      <c r="S324" s="54">
        <v>0</v>
      </c>
      <c r="T324" s="54">
        <v>0</v>
      </c>
      <c r="U324" s="54">
        <v>1968</v>
      </c>
      <c r="V324" s="54">
        <v>0</v>
      </c>
      <c r="W324" s="54">
        <v>0</v>
      </c>
      <c r="X324" s="54">
        <v>0</v>
      </c>
      <c r="Y324" s="54">
        <v>0</v>
      </c>
      <c r="Z324" s="54">
        <v>0</v>
      </c>
      <c r="AA324" s="54">
        <v>0</v>
      </c>
      <c r="AB324" s="54">
        <v>0</v>
      </c>
      <c r="AC324" s="54">
        <v>0</v>
      </c>
      <c r="AD324" s="54">
        <v>0</v>
      </c>
      <c r="AE324" s="54">
        <v>0</v>
      </c>
      <c r="AF324" s="54">
        <v>0</v>
      </c>
      <c r="AG324" s="54">
        <v>0</v>
      </c>
      <c r="AH324" s="54">
        <v>0</v>
      </c>
      <c r="AI324" s="54">
        <v>0</v>
      </c>
      <c r="AJ324" s="54">
        <v>0</v>
      </c>
      <c r="AK324" s="54">
        <v>0</v>
      </c>
      <c r="AL324" s="54">
        <v>0</v>
      </c>
      <c r="AM324" s="54" t="str">
        <f>I324-J324-K324-L324-M324-N324-O324-P324-Q324-R324-S324-T324-U324-V324-W324-X324-Y324-Z324-AA324-AB324-AC324-AD324-AE324-AF324-AG324+AH324-AI324+AJ324+AK324-AL324</f>
        <v>0</v>
      </c>
      <c r="AN324" s="54"/>
      <c r="AO324" s="27"/>
    </row>
    <row r="325" spans="1:41">
      <c r="A325" s="44">
        <v>297</v>
      </c>
      <c r="B325" s="47" t="s">
        <v>1305</v>
      </c>
      <c r="C325" s="48" t="s">
        <v>1306</v>
      </c>
      <c r="D325" s="52" t="s">
        <v>73</v>
      </c>
      <c r="E325" s="52" t="s">
        <v>1299</v>
      </c>
      <c r="F325" s="55" t="s">
        <v>1307</v>
      </c>
      <c r="G325" s="51">
        <v>5.8</v>
      </c>
      <c r="H325" s="52" t="s">
        <v>1308</v>
      </c>
      <c r="I325" s="54">
        <v>599000</v>
      </c>
      <c r="J325" s="54">
        <v>0</v>
      </c>
      <c r="K325" s="54">
        <v>31000</v>
      </c>
      <c r="L325" s="54">
        <v>0</v>
      </c>
      <c r="M325" s="54">
        <v>0</v>
      </c>
      <c r="N325" s="54">
        <v>0</v>
      </c>
      <c r="O325" s="54">
        <v>0</v>
      </c>
      <c r="P325" s="54">
        <v>0</v>
      </c>
      <c r="Q325" s="54">
        <v>0</v>
      </c>
      <c r="R325" s="54">
        <v>0</v>
      </c>
      <c r="S325" s="54">
        <v>0</v>
      </c>
      <c r="T325" s="54">
        <v>0</v>
      </c>
      <c r="U325" s="54">
        <v>3189</v>
      </c>
      <c r="V325" s="54">
        <v>0</v>
      </c>
      <c r="W325" s="54">
        <v>0</v>
      </c>
      <c r="X325" s="54">
        <v>0</v>
      </c>
      <c r="Y325" s="54">
        <v>0</v>
      </c>
      <c r="Z325" s="54">
        <v>0</v>
      </c>
      <c r="AA325" s="54">
        <v>0</v>
      </c>
      <c r="AB325" s="54">
        <v>0</v>
      </c>
      <c r="AC325" s="54">
        <v>0</v>
      </c>
      <c r="AD325" s="54">
        <v>0</v>
      </c>
      <c r="AE325" s="54">
        <v>0</v>
      </c>
      <c r="AF325" s="54">
        <v>0</v>
      </c>
      <c r="AG325" s="54">
        <v>0</v>
      </c>
      <c r="AH325" s="54">
        <v>0</v>
      </c>
      <c r="AI325" s="54">
        <v>0</v>
      </c>
      <c r="AJ325" s="54">
        <v>0</v>
      </c>
      <c r="AK325" s="54">
        <v>0</v>
      </c>
      <c r="AL325" s="54">
        <v>0</v>
      </c>
      <c r="AM325" s="54" t="str">
        <f>I325-J325-K325-L325-M325-N325-O325-P325-Q325-R325-S325-T325-U325-V325-W325-X325-Y325-Z325-AA325-AB325-AC325-AD325-AE325-AF325-AG325+AH325-AI325+AJ325+AK325-AL325</f>
        <v>0</v>
      </c>
      <c r="AN325" s="54"/>
      <c r="AO325" s="27"/>
    </row>
    <row r="326" spans="1:41">
      <c r="A326" s="44">
        <v>298</v>
      </c>
      <c r="B326" s="47" t="s">
        <v>1309</v>
      </c>
      <c r="C326" s="48" t="s">
        <v>1310</v>
      </c>
      <c r="D326" s="52" t="s">
        <v>73</v>
      </c>
      <c r="E326" s="52" t="s">
        <v>1299</v>
      </c>
      <c r="F326" s="55" t="s">
        <v>1311</v>
      </c>
      <c r="G326" s="51">
        <v>5</v>
      </c>
      <c r="H326" s="52" t="s">
        <v>1312</v>
      </c>
      <c r="I326" s="54">
        <v>394000</v>
      </c>
      <c r="J326" s="54">
        <v>0</v>
      </c>
      <c r="K326" s="54">
        <v>27000</v>
      </c>
      <c r="L326" s="54">
        <v>0</v>
      </c>
      <c r="M326" s="54">
        <v>0</v>
      </c>
      <c r="N326" s="54">
        <v>0</v>
      </c>
      <c r="O326" s="54">
        <v>0</v>
      </c>
      <c r="P326" s="54">
        <v>0</v>
      </c>
      <c r="Q326" s="54">
        <v>0</v>
      </c>
      <c r="R326" s="54">
        <v>0</v>
      </c>
      <c r="S326" s="54">
        <v>0</v>
      </c>
      <c r="T326" s="54">
        <v>0</v>
      </c>
      <c r="U326" s="54">
        <v>2778</v>
      </c>
      <c r="V326" s="54">
        <v>0</v>
      </c>
      <c r="W326" s="54">
        <v>0</v>
      </c>
      <c r="X326" s="54">
        <v>0</v>
      </c>
      <c r="Y326" s="54">
        <v>0</v>
      </c>
      <c r="Z326" s="54">
        <v>0</v>
      </c>
      <c r="AA326" s="54">
        <v>0</v>
      </c>
      <c r="AB326" s="54">
        <v>0</v>
      </c>
      <c r="AC326" s="54">
        <v>0</v>
      </c>
      <c r="AD326" s="54">
        <v>0</v>
      </c>
      <c r="AE326" s="54">
        <v>0</v>
      </c>
      <c r="AF326" s="54">
        <v>0</v>
      </c>
      <c r="AG326" s="54">
        <v>0</v>
      </c>
      <c r="AH326" s="54">
        <v>0</v>
      </c>
      <c r="AI326" s="54">
        <v>0</v>
      </c>
      <c r="AJ326" s="54">
        <v>0</v>
      </c>
      <c r="AK326" s="54">
        <v>0</v>
      </c>
      <c r="AL326" s="54">
        <v>0</v>
      </c>
      <c r="AM326" s="54" t="str">
        <f>I326-J326-K326-L326-M326-N326-O326-P326-Q326-R326-S326-T326-U326-V326-W326-X326-Y326-Z326-AA326-AB326-AC326-AD326-AE326-AF326-AG326+AH326-AI326+AJ326+AK326-AL326</f>
        <v>0</v>
      </c>
      <c r="AN326" s="54"/>
      <c r="AO326" s="27"/>
    </row>
    <row r="327" spans="1:41">
      <c r="A327" s="44">
        <v>299</v>
      </c>
      <c r="B327" s="47" t="s">
        <v>1313</v>
      </c>
      <c r="C327" s="48" t="s">
        <v>1314</v>
      </c>
      <c r="D327" s="52" t="s">
        <v>73</v>
      </c>
      <c r="E327" s="52" t="s">
        <v>1299</v>
      </c>
      <c r="F327" s="55" t="s">
        <v>1315</v>
      </c>
      <c r="G327" s="51">
        <v>3</v>
      </c>
      <c r="H327" s="52" t="s">
        <v>1316</v>
      </c>
      <c r="I327" s="54">
        <v>749000</v>
      </c>
      <c r="J327" s="54">
        <v>0</v>
      </c>
      <c r="K327" s="54">
        <v>22000</v>
      </c>
      <c r="L327" s="54">
        <v>0</v>
      </c>
      <c r="M327" s="54">
        <v>0</v>
      </c>
      <c r="N327" s="54">
        <v>0</v>
      </c>
      <c r="O327" s="54">
        <v>0</v>
      </c>
      <c r="P327" s="54">
        <v>0</v>
      </c>
      <c r="Q327" s="54">
        <v>0</v>
      </c>
      <c r="R327" s="54">
        <v>0</v>
      </c>
      <c r="S327" s="54">
        <v>0</v>
      </c>
      <c r="T327" s="54">
        <v>0</v>
      </c>
      <c r="U327" s="54">
        <v>2263</v>
      </c>
      <c r="V327" s="54">
        <v>0</v>
      </c>
      <c r="W327" s="54">
        <v>0</v>
      </c>
      <c r="X327" s="54">
        <v>0</v>
      </c>
      <c r="Y327" s="54">
        <v>0</v>
      </c>
      <c r="Z327" s="54">
        <v>0</v>
      </c>
      <c r="AA327" s="54">
        <v>0</v>
      </c>
      <c r="AB327" s="54">
        <v>0</v>
      </c>
      <c r="AC327" s="54">
        <v>0</v>
      </c>
      <c r="AD327" s="54">
        <v>0</v>
      </c>
      <c r="AE327" s="54">
        <v>0</v>
      </c>
      <c r="AF327" s="54">
        <v>0</v>
      </c>
      <c r="AG327" s="54">
        <v>0</v>
      </c>
      <c r="AH327" s="54">
        <v>0</v>
      </c>
      <c r="AI327" s="54">
        <v>0</v>
      </c>
      <c r="AJ327" s="54">
        <v>0</v>
      </c>
      <c r="AK327" s="54">
        <v>0</v>
      </c>
      <c r="AL327" s="54">
        <v>0</v>
      </c>
      <c r="AM327" s="54" t="str">
        <f>I327-J327-K327-L327-M327-N327-O327-P327-Q327-R327-S327-T327-U327-V327-W327-X327-Y327-Z327-AA327-AB327-AC327-AD327-AE327-AF327-AG327+AH327-AI327+AJ327+AK327-AL327</f>
        <v>0</v>
      </c>
      <c r="AN327" s="54"/>
      <c r="AO327" s="27"/>
    </row>
    <row r="328" spans="1:41">
      <c r="A328" s="44">
        <v>300</v>
      </c>
      <c r="B328" s="47" t="s">
        <v>1317</v>
      </c>
      <c r="C328" s="48" t="s">
        <v>1318</v>
      </c>
      <c r="D328" s="52" t="s">
        <v>73</v>
      </c>
      <c r="E328" s="52" t="s">
        <v>1299</v>
      </c>
      <c r="F328" s="55" t="s">
        <v>1319</v>
      </c>
      <c r="G328" s="51">
        <v>3</v>
      </c>
      <c r="H328" s="52" t="s">
        <v>1320</v>
      </c>
      <c r="I328" s="54">
        <v>525000</v>
      </c>
      <c r="J328" s="54">
        <v>0</v>
      </c>
      <c r="K328" s="54">
        <v>22000</v>
      </c>
      <c r="L328" s="54">
        <v>0</v>
      </c>
      <c r="M328" s="54">
        <v>0</v>
      </c>
      <c r="N328" s="54">
        <v>0</v>
      </c>
      <c r="O328" s="54">
        <v>0</v>
      </c>
      <c r="P328" s="54">
        <v>0</v>
      </c>
      <c r="Q328" s="54">
        <v>0</v>
      </c>
      <c r="R328" s="54">
        <v>0</v>
      </c>
      <c r="S328" s="54">
        <v>0</v>
      </c>
      <c r="T328" s="54">
        <v>0</v>
      </c>
      <c r="U328" s="54">
        <v>2263</v>
      </c>
      <c r="V328" s="54">
        <v>0</v>
      </c>
      <c r="W328" s="54">
        <v>0</v>
      </c>
      <c r="X328" s="54">
        <v>0</v>
      </c>
      <c r="Y328" s="54">
        <v>0</v>
      </c>
      <c r="Z328" s="54">
        <v>0</v>
      </c>
      <c r="AA328" s="54">
        <v>0</v>
      </c>
      <c r="AB328" s="54">
        <v>0</v>
      </c>
      <c r="AC328" s="54">
        <v>0</v>
      </c>
      <c r="AD328" s="54">
        <v>0</v>
      </c>
      <c r="AE328" s="54">
        <v>0</v>
      </c>
      <c r="AF328" s="54">
        <v>0</v>
      </c>
      <c r="AG328" s="54">
        <v>0</v>
      </c>
      <c r="AH328" s="54">
        <v>0</v>
      </c>
      <c r="AI328" s="54">
        <v>0</v>
      </c>
      <c r="AJ328" s="54">
        <v>0</v>
      </c>
      <c r="AK328" s="54">
        <v>0</v>
      </c>
      <c r="AL328" s="54">
        <v>0</v>
      </c>
      <c r="AM328" s="54" t="str">
        <f>I328-J328-K328-L328-M328-N328-O328-P328-Q328-R328-S328-T328-U328-V328-W328-X328-Y328-Z328-AA328-AB328-AC328-AD328-AE328-AF328-AG328+AH328-AI328+AJ328+AK328-AL328</f>
        <v>0</v>
      </c>
      <c r="AN328" s="54"/>
      <c r="AO328" s="27"/>
    </row>
    <row r="329" spans="1:41">
      <c r="A329" s="44">
        <v>301</v>
      </c>
      <c r="B329" s="47" t="s">
        <v>1321</v>
      </c>
      <c r="C329" s="48" t="s">
        <v>1322</v>
      </c>
      <c r="D329" s="52" t="s">
        <v>62</v>
      </c>
      <c r="E329" s="52" t="s">
        <v>1299</v>
      </c>
      <c r="F329" s="55" t="s">
        <v>1323</v>
      </c>
      <c r="G329" s="51">
        <v>3</v>
      </c>
      <c r="H329" s="52" t="s">
        <v>1324</v>
      </c>
      <c r="I329" s="54">
        <v>0</v>
      </c>
      <c r="J329" s="54">
        <v>0</v>
      </c>
      <c r="K329" s="54">
        <v>22000</v>
      </c>
      <c r="L329" s="54">
        <v>0</v>
      </c>
      <c r="M329" s="54">
        <v>0</v>
      </c>
      <c r="N329" s="54">
        <v>0</v>
      </c>
      <c r="O329" s="54">
        <v>0</v>
      </c>
      <c r="P329" s="54">
        <v>0</v>
      </c>
      <c r="Q329" s="54">
        <v>0</v>
      </c>
      <c r="R329" s="54">
        <v>0</v>
      </c>
      <c r="S329" s="54">
        <v>0</v>
      </c>
      <c r="T329" s="54">
        <v>0</v>
      </c>
      <c r="U329" s="54">
        <v>2263</v>
      </c>
      <c r="V329" s="54">
        <v>0</v>
      </c>
      <c r="W329" s="54">
        <v>0</v>
      </c>
      <c r="X329" s="54">
        <v>0</v>
      </c>
      <c r="Y329" s="54">
        <v>11000</v>
      </c>
      <c r="Z329" s="54">
        <v>0</v>
      </c>
      <c r="AA329" s="54">
        <v>0</v>
      </c>
      <c r="AB329" s="54">
        <v>0</v>
      </c>
      <c r="AC329" s="54">
        <v>0</v>
      </c>
      <c r="AD329" s="54">
        <v>0</v>
      </c>
      <c r="AE329" s="54">
        <v>0</v>
      </c>
      <c r="AF329" s="54">
        <v>0</v>
      </c>
      <c r="AG329" s="54">
        <v>0</v>
      </c>
      <c r="AH329" s="54">
        <v>0</v>
      </c>
      <c r="AI329" s="54">
        <v>0</v>
      </c>
      <c r="AJ329" s="54">
        <v>0</v>
      </c>
      <c r="AK329" s="54">
        <v>0</v>
      </c>
      <c r="AL329" s="54">
        <v>0</v>
      </c>
      <c r="AM329" s="54" t="str">
        <f>I329-J329-K329-L329-M329-N329-O329-P329-Q329-R329-S329-T329-U329-V329-W329-X329-Y329-Z329-AA329-AB329-AC329-AD329-AE329-AF329-AG329+AH329-AI329+AJ329+AK329-AL329</f>
        <v>0</v>
      </c>
      <c r="AN329" s="54"/>
      <c r="AO329" s="27"/>
    </row>
    <row r="330" spans="1:41">
      <c r="A330" s="44">
        <v>302</v>
      </c>
      <c r="B330" s="47" t="s">
        <v>1325</v>
      </c>
      <c r="C330" s="48" t="s">
        <v>1326</v>
      </c>
      <c r="D330" s="52" t="s">
        <v>73</v>
      </c>
      <c r="E330" s="52" t="s">
        <v>1299</v>
      </c>
      <c r="F330" s="55" t="s">
        <v>1327</v>
      </c>
      <c r="G330" s="51">
        <v>3</v>
      </c>
      <c r="H330" s="52" t="s">
        <v>1328</v>
      </c>
      <c r="I330" s="54">
        <v>299000</v>
      </c>
      <c r="J330" s="54">
        <v>0</v>
      </c>
      <c r="K330" s="54">
        <v>22000</v>
      </c>
      <c r="L330" s="54">
        <v>0</v>
      </c>
      <c r="M330" s="54">
        <v>0</v>
      </c>
      <c r="N330" s="54">
        <v>0</v>
      </c>
      <c r="O330" s="54">
        <v>0</v>
      </c>
      <c r="P330" s="54">
        <v>0</v>
      </c>
      <c r="Q330" s="54">
        <v>0</v>
      </c>
      <c r="R330" s="54">
        <v>0</v>
      </c>
      <c r="S330" s="54">
        <v>0</v>
      </c>
      <c r="T330" s="54">
        <v>0</v>
      </c>
      <c r="U330" s="54">
        <v>2263</v>
      </c>
      <c r="V330" s="54">
        <v>0</v>
      </c>
      <c r="W330" s="54">
        <v>0</v>
      </c>
      <c r="X330" s="54">
        <v>0</v>
      </c>
      <c r="Y330" s="54">
        <v>0</v>
      </c>
      <c r="Z330" s="54">
        <v>0</v>
      </c>
      <c r="AA330" s="54">
        <v>0</v>
      </c>
      <c r="AB330" s="54">
        <v>0</v>
      </c>
      <c r="AC330" s="54">
        <v>0</v>
      </c>
      <c r="AD330" s="54">
        <v>0</v>
      </c>
      <c r="AE330" s="54">
        <v>0</v>
      </c>
      <c r="AF330" s="54">
        <v>0</v>
      </c>
      <c r="AG330" s="54">
        <v>0</v>
      </c>
      <c r="AH330" s="54">
        <v>0</v>
      </c>
      <c r="AI330" s="54">
        <v>0</v>
      </c>
      <c r="AJ330" s="54">
        <v>0</v>
      </c>
      <c r="AK330" s="54">
        <v>0</v>
      </c>
      <c r="AL330" s="54">
        <v>0</v>
      </c>
      <c r="AM330" s="54" t="str">
        <f>I330-J330-K330-L330-M330-N330-O330-P330-Q330-R330-S330-T330-U330-V330-W330-X330-Y330-Z330-AA330-AB330-AC330-AD330-AE330-AF330-AG330+AH330-AI330+AJ330+AK330-AL330</f>
        <v>0</v>
      </c>
      <c r="AN330" s="54"/>
      <c r="AO330" s="27"/>
    </row>
    <row r="331" spans="1:41">
      <c r="A331" s="44">
        <v>303</v>
      </c>
      <c r="B331" s="47" t="s">
        <v>1329</v>
      </c>
      <c r="C331" s="48" t="s">
        <v>1330</v>
      </c>
      <c r="D331" s="52" t="s">
        <v>73</v>
      </c>
      <c r="E331" s="52" t="s">
        <v>1299</v>
      </c>
      <c r="F331" s="55" t="s">
        <v>1331</v>
      </c>
      <c r="G331" s="51">
        <v>2</v>
      </c>
      <c r="H331" s="52" t="s">
        <v>1332</v>
      </c>
      <c r="I331" s="54">
        <v>299000</v>
      </c>
      <c r="J331" s="54">
        <v>0</v>
      </c>
      <c r="K331" s="54">
        <v>22000</v>
      </c>
      <c r="L331" s="54">
        <v>0</v>
      </c>
      <c r="M331" s="54">
        <v>0</v>
      </c>
      <c r="N331" s="54">
        <v>0</v>
      </c>
      <c r="O331" s="54">
        <v>0</v>
      </c>
      <c r="P331" s="54">
        <v>0</v>
      </c>
      <c r="Q331" s="54">
        <v>0</v>
      </c>
      <c r="R331" s="54">
        <v>0</v>
      </c>
      <c r="S331" s="54">
        <v>0</v>
      </c>
      <c r="T331" s="54">
        <v>0</v>
      </c>
      <c r="U331" s="54">
        <v>2263</v>
      </c>
      <c r="V331" s="54">
        <v>0</v>
      </c>
      <c r="W331" s="54">
        <v>0</v>
      </c>
      <c r="X331" s="54">
        <v>0</v>
      </c>
      <c r="Y331" s="54">
        <v>0</v>
      </c>
      <c r="Z331" s="54">
        <v>0</v>
      </c>
      <c r="AA331" s="54">
        <v>0</v>
      </c>
      <c r="AB331" s="54">
        <v>0</v>
      </c>
      <c r="AC331" s="54">
        <v>0</v>
      </c>
      <c r="AD331" s="54">
        <v>0</v>
      </c>
      <c r="AE331" s="54">
        <v>0</v>
      </c>
      <c r="AF331" s="54">
        <v>0</v>
      </c>
      <c r="AG331" s="54">
        <v>0</v>
      </c>
      <c r="AH331" s="54">
        <v>0</v>
      </c>
      <c r="AI331" s="54">
        <v>0</v>
      </c>
      <c r="AJ331" s="54">
        <v>0</v>
      </c>
      <c r="AK331" s="54">
        <v>0</v>
      </c>
      <c r="AL331" s="54">
        <v>0</v>
      </c>
      <c r="AM331" s="54" t="str">
        <f>I331-J331-K331-L331-M331-N331-O331-P331-Q331-R331-S331-T331-U331-V331-W331-X331-Y331-Z331-AA331-AB331-AC331-AD331-AE331-AF331-AG331+AH331-AI331+AJ331+AK331-AL331</f>
        <v>0</v>
      </c>
      <c r="AN331" s="54"/>
      <c r="AO331" s="27"/>
    </row>
    <row r="332" spans="1:41">
      <c r="A332" s="44">
        <v>304</v>
      </c>
      <c r="B332" s="47" t="s">
        <v>1333</v>
      </c>
      <c r="C332" s="48" t="s">
        <v>1334</v>
      </c>
      <c r="D332" s="52" t="s">
        <v>73</v>
      </c>
      <c r="E332" s="52" t="s">
        <v>1299</v>
      </c>
      <c r="F332" s="55" t="s">
        <v>1335</v>
      </c>
      <c r="G332" s="51">
        <v>3</v>
      </c>
      <c r="H332" s="52" t="s">
        <v>1336</v>
      </c>
      <c r="I332" s="54">
        <v>525000</v>
      </c>
      <c r="J332" s="54">
        <v>0</v>
      </c>
      <c r="K332" s="54">
        <v>22000</v>
      </c>
      <c r="L332" s="54">
        <v>0</v>
      </c>
      <c r="M332" s="54">
        <v>0</v>
      </c>
      <c r="N332" s="54">
        <v>0</v>
      </c>
      <c r="O332" s="54">
        <v>0</v>
      </c>
      <c r="P332" s="54">
        <v>0</v>
      </c>
      <c r="Q332" s="54">
        <v>0</v>
      </c>
      <c r="R332" s="54">
        <v>0</v>
      </c>
      <c r="S332" s="54">
        <v>0</v>
      </c>
      <c r="T332" s="54">
        <v>0</v>
      </c>
      <c r="U332" s="54">
        <v>2263</v>
      </c>
      <c r="V332" s="54">
        <v>0</v>
      </c>
      <c r="W332" s="54">
        <v>0</v>
      </c>
      <c r="X332" s="54">
        <v>0</v>
      </c>
      <c r="Y332" s="54">
        <v>0</v>
      </c>
      <c r="Z332" s="54">
        <v>0</v>
      </c>
      <c r="AA332" s="54">
        <v>0</v>
      </c>
      <c r="AB332" s="54">
        <v>0</v>
      </c>
      <c r="AC332" s="54">
        <v>0</v>
      </c>
      <c r="AD332" s="54">
        <v>0</v>
      </c>
      <c r="AE332" s="54">
        <v>0</v>
      </c>
      <c r="AF332" s="54">
        <v>0</v>
      </c>
      <c r="AG332" s="54">
        <v>0</v>
      </c>
      <c r="AH332" s="54">
        <v>0</v>
      </c>
      <c r="AI332" s="54">
        <v>0</v>
      </c>
      <c r="AJ332" s="54">
        <v>0</v>
      </c>
      <c r="AK332" s="54">
        <v>0</v>
      </c>
      <c r="AL332" s="54">
        <v>0</v>
      </c>
      <c r="AM332" s="54" t="str">
        <f>I332-J332-K332-L332-M332-N332-O332-P332-Q332-R332-S332-T332-U332-V332-W332-X332-Y332-Z332-AA332-AB332-AC332-AD332-AE332-AF332-AG332+AH332-AI332+AJ332+AK332-AL332</f>
        <v>0</v>
      </c>
      <c r="AN332" s="54"/>
      <c r="AO332" s="27"/>
    </row>
    <row r="333" spans="1:41">
      <c r="A333" s="44">
        <v>305</v>
      </c>
      <c r="B333" s="47" t="s">
        <v>1337</v>
      </c>
      <c r="C333" s="48" t="s">
        <v>1338</v>
      </c>
      <c r="D333" s="52" t="s">
        <v>62</v>
      </c>
      <c r="E333" s="52" t="s">
        <v>1339</v>
      </c>
      <c r="F333" s="55" t="s">
        <v>1340</v>
      </c>
      <c r="G333" s="51">
        <v>11</v>
      </c>
      <c r="H333" s="52" t="s">
        <v>1341</v>
      </c>
      <c r="I333" s="54">
        <v>0</v>
      </c>
      <c r="J333" s="54">
        <v>0</v>
      </c>
      <c r="K333" s="54">
        <v>44000</v>
      </c>
      <c r="L333" s="54">
        <v>0</v>
      </c>
      <c r="M333" s="54">
        <v>0</v>
      </c>
      <c r="N333" s="54">
        <v>0</v>
      </c>
      <c r="O333" s="54">
        <v>0</v>
      </c>
      <c r="P333" s="54">
        <v>0</v>
      </c>
      <c r="Q333" s="54">
        <v>0</v>
      </c>
      <c r="R333" s="54">
        <v>0</v>
      </c>
      <c r="S333" s="54">
        <v>0</v>
      </c>
      <c r="T333" s="54">
        <v>0</v>
      </c>
      <c r="U333" s="54">
        <v>4527</v>
      </c>
      <c r="V333" s="54">
        <v>0</v>
      </c>
      <c r="W333" s="54">
        <v>0</v>
      </c>
      <c r="X333" s="54">
        <v>0</v>
      </c>
      <c r="Y333" s="54">
        <v>5000</v>
      </c>
      <c r="Z333" s="54">
        <v>0</v>
      </c>
      <c r="AA333" s="54">
        <v>0</v>
      </c>
      <c r="AB333" s="54">
        <v>0</v>
      </c>
      <c r="AC333" s="54">
        <v>0</v>
      </c>
      <c r="AD333" s="54">
        <v>0</v>
      </c>
      <c r="AE333" s="54">
        <v>0</v>
      </c>
      <c r="AF333" s="54">
        <v>0</v>
      </c>
      <c r="AG333" s="54">
        <v>0</v>
      </c>
      <c r="AH333" s="54">
        <v>0</v>
      </c>
      <c r="AI333" s="54">
        <v>0</v>
      </c>
      <c r="AJ333" s="54">
        <v>0</v>
      </c>
      <c r="AK333" s="54">
        <v>0</v>
      </c>
      <c r="AL333" s="54">
        <v>0</v>
      </c>
      <c r="AM333" s="54" t="str">
        <f>I333-J333-K333-L333-M333-N333-O333-P333-Q333-R333-S333-T333-U333-V333-W333-X333-Y333-Z333-AA333-AB333-AC333-AD333-AE333-AF333-AG333+AH333-AI333+AJ333+AK333-AL333</f>
        <v>0</v>
      </c>
      <c r="AN333" s="54"/>
      <c r="AO333" s="27"/>
    </row>
    <row r="334" spans="1:41">
      <c r="A334" s="44">
        <v>306</v>
      </c>
      <c r="B334" s="47" t="s">
        <v>1342</v>
      </c>
      <c r="C334" s="48" t="s">
        <v>1343</v>
      </c>
      <c r="D334" s="52" t="s">
        <v>73</v>
      </c>
      <c r="E334" s="52" t="s">
        <v>1339</v>
      </c>
      <c r="F334" s="55" t="s">
        <v>1344</v>
      </c>
      <c r="G334" s="51">
        <v>2</v>
      </c>
      <c r="H334" s="52" t="s">
        <v>1345</v>
      </c>
      <c r="I334" s="54">
        <v>314000</v>
      </c>
      <c r="J334" s="54">
        <v>0</v>
      </c>
      <c r="K334" s="54">
        <v>22000</v>
      </c>
      <c r="L334" s="54">
        <v>0</v>
      </c>
      <c r="M334" s="54">
        <v>0</v>
      </c>
      <c r="N334" s="54">
        <v>0</v>
      </c>
      <c r="O334" s="54">
        <v>0</v>
      </c>
      <c r="P334" s="54">
        <v>0</v>
      </c>
      <c r="Q334" s="54">
        <v>0</v>
      </c>
      <c r="R334" s="54">
        <v>0</v>
      </c>
      <c r="S334" s="54">
        <v>0</v>
      </c>
      <c r="T334" s="54">
        <v>0</v>
      </c>
      <c r="U334" s="54">
        <v>2263</v>
      </c>
      <c r="V334" s="54">
        <v>0</v>
      </c>
      <c r="W334" s="54">
        <v>0</v>
      </c>
      <c r="X334" s="54">
        <v>0</v>
      </c>
      <c r="Y334" s="54">
        <v>0</v>
      </c>
      <c r="Z334" s="54">
        <v>0</v>
      </c>
      <c r="AA334" s="54">
        <v>0</v>
      </c>
      <c r="AB334" s="54">
        <v>0</v>
      </c>
      <c r="AC334" s="54">
        <v>0</v>
      </c>
      <c r="AD334" s="54">
        <v>0</v>
      </c>
      <c r="AE334" s="54">
        <v>0</v>
      </c>
      <c r="AF334" s="54">
        <v>0</v>
      </c>
      <c r="AG334" s="54">
        <v>0</v>
      </c>
      <c r="AH334" s="54">
        <v>0</v>
      </c>
      <c r="AI334" s="54">
        <v>0</v>
      </c>
      <c r="AJ334" s="54">
        <v>0</v>
      </c>
      <c r="AK334" s="54">
        <v>0</v>
      </c>
      <c r="AL334" s="54">
        <v>0</v>
      </c>
      <c r="AM334" s="54" t="str">
        <f>I334-J334-K334-L334-M334-N334-O334-P334-Q334-R334-S334-T334-U334-V334-W334-X334-Y334-Z334-AA334-AB334-AC334-AD334-AE334-AF334-AG334+AH334-AI334+AJ334+AK334-AL334</f>
        <v>0</v>
      </c>
      <c r="AN334" s="54"/>
      <c r="AO334" s="27"/>
    </row>
    <row r="335" spans="1:41">
      <c r="A335" s="44">
        <v>307</v>
      </c>
      <c r="B335" s="47" t="s">
        <v>1346</v>
      </c>
      <c r="C335" s="48" t="s">
        <v>1347</v>
      </c>
      <c r="D335" s="52" t="s">
        <v>62</v>
      </c>
      <c r="E335" s="52" t="s">
        <v>1339</v>
      </c>
      <c r="F335" s="55" t="s">
        <v>1348</v>
      </c>
      <c r="G335" s="51">
        <v>3</v>
      </c>
      <c r="H335" s="52" t="s">
        <v>1349</v>
      </c>
      <c r="I335" s="54">
        <v>0</v>
      </c>
      <c r="J335" s="54">
        <v>0</v>
      </c>
      <c r="K335" s="54">
        <v>22000</v>
      </c>
      <c r="L335" s="54">
        <v>0</v>
      </c>
      <c r="M335" s="54">
        <v>0</v>
      </c>
      <c r="N335" s="54">
        <v>0</v>
      </c>
      <c r="O335" s="54">
        <v>0</v>
      </c>
      <c r="P335" s="54">
        <v>0</v>
      </c>
      <c r="Q335" s="54">
        <v>0</v>
      </c>
      <c r="R335" s="54">
        <v>0</v>
      </c>
      <c r="S335" s="54">
        <v>0</v>
      </c>
      <c r="T335" s="54">
        <v>0</v>
      </c>
      <c r="U335" s="54">
        <v>2263</v>
      </c>
      <c r="V335" s="54">
        <v>0</v>
      </c>
      <c r="W335" s="54">
        <v>0</v>
      </c>
      <c r="X335" s="54">
        <v>0</v>
      </c>
      <c r="Y335" s="54">
        <v>11000</v>
      </c>
      <c r="Z335" s="54">
        <v>0</v>
      </c>
      <c r="AA335" s="54">
        <v>0</v>
      </c>
      <c r="AB335" s="54">
        <v>0</v>
      </c>
      <c r="AC335" s="54">
        <v>0</v>
      </c>
      <c r="AD335" s="54">
        <v>0</v>
      </c>
      <c r="AE335" s="54">
        <v>0</v>
      </c>
      <c r="AF335" s="54">
        <v>0</v>
      </c>
      <c r="AG335" s="54">
        <v>0</v>
      </c>
      <c r="AH335" s="54">
        <v>0</v>
      </c>
      <c r="AI335" s="54">
        <v>0</v>
      </c>
      <c r="AJ335" s="54">
        <v>0</v>
      </c>
      <c r="AK335" s="54">
        <v>0</v>
      </c>
      <c r="AL335" s="54">
        <v>0</v>
      </c>
      <c r="AM335" s="54" t="str">
        <f>I335-J335-K335-L335-M335-N335-O335-P335-Q335-R335-S335-T335-U335-V335-W335-X335-Y335-Z335-AA335-AB335-AC335-AD335-AE335-AF335-AG335+AH335-AI335+AJ335+AK335-AL335</f>
        <v>0</v>
      </c>
      <c r="AN335" s="54"/>
      <c r="AO335" s="27"/>
    </row>
    <row r="336" spans="1:41">
      <c r="A336" s="44">
        <v>308</v>
      </c>
      <c r="B336" s="47" t="s">
        <v>1350</v>
      </c>
      <c r="C336" s="48" t="s">
        <v>1351</v>
      </c>
      <c r="D336" s="52" t="s">
        <v>73</v>
      </c>
      <c r="E336" s="52" t="s">
        <v>1339</v>
      </c>
      <c r="F336" s="55" t="s">
        <v>1352</v>
      </c>
      <c r="G336" s="51">
        <v>5</v>
      </c>
      <c r="H336" s="52" t="s">
        <v>1353</v>
      </c>
      <c r="I336" s="54">
        <v>694000</v>
      </c>
      <c r="J336" s="54">
        <v>0</v>
      </c>
      <c r="K336" s="54">
        <v>27000</v>
      </c>
      <c r="L336" s="54">
        <v>0</v>
      </c>
      <c r="M336" s="54">
        <v>0</v>
      </c>
      <c r="N336" s="54">
        <v>0</v>
      </c>
      <c r="O336" s="54">
        <v>0</v>
      </c>
      <c r="P336" s="54">
        <v>0</v>
      </c>
      <c r="Q336" s="54">
        <v>0</v>
      </c>
      <c r="R336" s="54">
        <v>0</v>
      </c>
      <c r="S336" s="54">
        <v>0</v>
      </c>
      <c r="T336" s="54">
        <v>0</v>
      </c>
      <c r="U336" s="54">
        <v>2778</v>
      </c>
      <c r="V336" s="54">
        <v>0</v>
      </c>
      <c r="W336" s="54">
        <v>0</v>
      </c>
      <c r="X336" s="54">
        <v>0</v>
      </c>
      <c r="Y336" s="54">
        <v>0</v>
      </c>
      <c r="Z336" s="54">
        <v>0</v>
      </c>
      <c r="AA336" s="54">
        <v>0</v>
      </c>
      <c r="AB336" s="54">
        <v>0</v>
      </c>
      <c r="AC336" s="54">
        <v>0</v>
      </c>
      <c r="AD336" s="54">
        <v>0</v>
      </c>
      <c r="AE336" s="54">
        <v>0</v>
      </c>
      <c r="AF336" s="54">
        <v>0</v>
      </c>
      <c r="AG336" s="54">
        <v>0</v>
      </c>
      <c r="AH336" s="54">
        <v>0</v>
      </c>
      <c r="AI336" s="54">
        <v>0</v>
      </c>
      <c r="AJ336" s="54">
        <v>0</v>
      </c>
      <c r="AK336" s="54">
        <v>0</v>
      </c>
      <c r="AL336" s="54">
        <v>0</v>
      </c>
      <c r="AM336" s="54" t="str">
        <f>I336-J336-K336-L336-M336-N336-O336-P336-Q336-R336-S336-T336-U336-V336-W336-X336-Y336-Z336-AA336-AB336-AC336-AD336-AE336-AF336-AG336+AH336-AI336+AJ336+AK336-AL336</f>
        <v>0</v>
      </c>
      <c r="AN336" s="54"/>
      <c r="AO336" s="27"/>
    </row>
    <row r="337" spans="1:41">
      <c r="A337" s="44">
        <v>309</v>
      </c>
      <c r="B337" s="47" t="s">
        <v>1354</v>
      </c>
      <c r="C337" s="48" t="s">
        <v>1355</v>
      </c>
      <c r="D337" s="52" t="s">
        <v>73</v>
      </c>
      <c r="E337" s="52" t="s">
        <v>1339</v>
      </c>
      <c r="F337" s="55" t="s">
        <v>626</v>
      </c>
      <c r="G337" s="51">
        <v>2</v>
      </c>
      <c r="H337" s="52" t="s">
        <v>1356</v>
      </c>
      <c r="I337" s="54">
        <v>99000</v>
      </c>
      <c r="J337" s="54">
        <v>0</v>
      </c>
      <c r="K337" s="54">
        <v>22000</v>
      </c>
      <c r="L337" s="54">
        <v>0</v>
      </c>
      <c r="M337" s="54">
        <v>0</v>
      </c>
      <c r="N337" s="54">
        <v>0</v>
      </c>
      <c r="O337" s="54">
        <v>0</v>
      </c>
      <c r="P337" s="54">
        <v>0</v>
      </c>
      <c r="Q337" s="54">
        <v>0</v>
      </c>
      <c r="R337" s="54">
        <v>0</v>
      </c>
      <c r="S337" s="54">
        <v>0</v>
      </c>
      <c r="T337" s="54">
        <v>0</v>
      </c>
      <c r="U337" s="54">
        <v>2263</v>
      </c>
      <c r="V337" s="54">
        <v>0</v>
      </c>
      <c r="W337" s="54">
        <v>0</v>
      </c>
      <c r="X337" s="54">
        <v>0</v>
      </c>
      <c r="Y337" s="54">
        <v>0</v>
      </c>
      <c r="Z337" s="54">
        <v>0</v>
      </c>
      <c r="AA337" s="54">
        <v>0</v>
      </c>
      <c r="AB337" s="54">
        <v>0</v>
      </c>
      <c r="AC337" s="54">
        <v>0</v>
      </c>
      <c r="AD337" s="54">
        <v>0</v>
      </c>
      <c r="AE337" s="54">
        <v>0</v>
      </c>
      <c r="AF337" s="54">
        <v>0</v>
      </c>
      <c r="AG337" s="54">
        <v>0</v>
      </c>
      <c r="AH337" s="54">
        <v>0</v>
      </c>
      <c r="AI337" s="54">
        <v>0</v>
      </c>
      <c r="AJ337" s="54">
        <v>0</v>
      </c>
      <c r="AK337" s="54">
        <v>0</v>
      </c>
      <c r="AL337" s="54">
        <v>0</v>
      </c>
      <c r="AM337" s="54" t="str">
        <f>I337-J337-K337-L337-M337-N337-O337-P337-Q337-R337-S337-T337-U337-V337-W337-X337-Y337-Z337-AA337-AB337-AC337-AD337-AE337-AF337-AG337+AH337-AI337+AJ337+AK337-AL337</f>
        <v>0</v>
      </c>
      <c r="AN337" s="54"/>
      <c r="AO337" s="27"/>
    </row>
    <row r="338" spans="1:41">
      <c r="A338" s="44">
        <v>310</v>
      </c>
      <c r="B338" s="47" t="s">
        <v>1357</v>
      </c>
      <c r="C338" s="48" t="s">
        <v>1358</v>
      </c>
      <c r="D338" s="52" t="s">
        <v>73</v>
      </c>
      <c r="E338" s="52" t="s">
        <v>1339</v>
      </c>
      <c r="F338" s="55" t="s">
        <v>1359</v>
      </c>
      <c r="G338" s="51">
        <v>3</v>
      </c>
      <c r="H338" s="52" t="s">
        <v>1360</v>
      </c>
      <c r="I338" s="54">
        <v>525000</v>
      </c>
      <c r="J338" s="54">
        <v>0</v>
      </c>
      <c r="K338" s="54">
        <v>22000</v>
      </c>
      <c r="L338" s="54">
        <v>0</v>
      </c>
      <c r="M338" s="54">
        <v>0</v>
      </c>
      <c r="N338" s="54">
        <v>0</v>
      </c>
      <c r="O338" s="54">
        <v>0</v>
      </c>
      <c r="P338" s="54">
        <v>0</v>
      </c>
      <c r="Q338" s="54">
        <v>0</v>
      </c>
      <c r="R338" s="54">
        <v>0</v>
      </c>
      <c r="S338" s="54">
        <v>0</v>
      </c>
      <c r="T338" s="54">
        <v>0</v>
      </c>
      <c r="U338" s="54">
        <v>2263</v>
      </c>
      <c r="V338" s="54">
        <v>0</v>
      </c>
      <c r="W338" s="54">
        <v>0</v>
      </c>
      <c r="X338" s="54">
        <v>0</v>
      </c>
      <c r="Y338" s="54">
        <v>0</v>
      </c>
      <c r="Z338" s="54">
        <v>0</v>
      </c>
      <c r="AA338" s="54">
        <v>0</v>
      </c>
      <c r="AB338" s="54">
        <v>0</v>
      </c>
      <c r="AC338" s="54">
        <v>0</v>
      </c>
      <c r="AD338" s="54">
        <v>0</v>
      </c>
      <c r="AE338" s="54">
        <v>0</v>
      </c>
      <c r="AF338" s="54">
        <v>0</v>
      </c>
      <c r="AG338" s="54">
        <v>0</v>
      </c>
      <c r="AH338" s="54">
        <v>0</v>
      </c>
      <c r="AI338" s="54">
        <v>0</v>
      </c>
      <c r="AJ338" s="54">
        <v>0</v>
      </c>
      <c r="AK338" s="54">
        <v>0</v>
      </c>
      <c r="AL338" s="54">
        <v>0</v>
      </c>
      <c r="AM338" s="54" t="str">
        <f>I338-J338-K338-L338-M338-N338-O338-P338-Q338-R338-S338-T338-U338-V338-W338-X338-Y338-Z338-AA338-AB338-AC338-AD338-AE338-AF338-AG338+AH338-AI338+AJ338+AK338-AL338</f>
        <v>0</v>
      </c>
      <c r="AN338" s="54"/>
      <c r="AO338" s="27"/>
    </row>
    <row r="339" spans="1:41">
      <c r="A339" s="44">
        <v>311</v>
      </c>
      <c r="B339" s="47" t="s">
        <v>1361</v>
      </c>
      <c r="C339" s="48" t="s">
        <v>1362</v>
      </c>
      <c r="D339" s="52" t="s">
        <v>73</v>
      </c>
      <c r="E339" s="52" t="s">
        <v>1339</v>
      </c>
      <c r="F339" s="55" t="s">
        <v>1363</v>
      </c>
      <c r="G339" s="51">
        <v>2</v>
      </c>
      <c r="H339" s="52" t="s">
        <v>1364</v>
      </c>
      <c r="I339" s="54">
        <v>165000</v>
      </c>
      <c r="J339" s="54">
        <v>0</v>
      </c>
      <c r="K339" s="54">
        <v>22000</v>
      </c>
      <c r="L339" s="54">
        <v>0</v>
      </c>
      <c r="M339" s="54">
        <v>0</v>
      </c>
      <c r="N339" s="54">
        <v>0</v>
      </c>
      <c r="O339" s="54">
        <v>0</v>
      </c>
      <c r="P339" s="54">
        <v>0</v>
      </c>
      <c r="Q339" s="54">
        <v>0</v>
      </c>
      <c r="R339" s="54">
        <v>0</v>
      </c>
      <c r="S339" s="54">
        <v>0</v>
      </c>
      <c r="T339" s="54">
        <v>0</v>
      </c>
      <c r="U339" s="54">
        <v>2263</v>
      </c>
      <c r="V339" s="54">
        <v>0</v>
      </c>
      <c r="W339" s="54">
        <v>0</v>
      </c>
      <c r="X339" s="54">
        <v>0</v>
      </c>
      <c r="Y339" s="54">
        <v>0</v>
      </c>
      <c r="Z339" s="54">
        <v>0</v>
      </c>
      <c r="AA339" s="54">
        <v>0</v>
      </c>
      <c r="AB339" s="54">
        <v>0</v>
      </c>
      <c r="AC339" s="54">
        <v>0</v>
      </c>
      <c r="AD339" s="54">
        <v>0</v>
      </c>
      <c r="AE339" s="54">
        <v>0</v>
      </c>
      <c r="AF339" s="54">
        <v>0</v>
      </c>
      <c r="AG339" s="54">
        <v>0</v>
      </c>
      <c r="AH339" s="54">
        <v>0</v>
      </c>
      <c r="AI339" s="54">
        <v>0</v>
      </c>
      <c r="AJ339" s="54">
        <v>0</v>
      </c>
      <c r="AK339" s="54">
        <v>0</v>
      </c>
      <c r="AL339" s="54">
        <v>0</v>
      </c>
      <c r="AM339" s="54" t="str">
        <f>I339-J339-K339-L339-M339-N339-O339-P339-Q339-R339-S339-T339-U339-V339-W339-X339-Y339-Z339-AA339-AB339-AC339-AD339-AE339-AF339-AG339+AH339-AI339+AJ339+AK339-AL339</f>
        <v>0</v>
      </c>
      <c r="AN339" s="54"/>
      <c r="AO339" s="27"/>
    </row>
    <row r="340" spans="1:41">
      <c r="A340" s="44">
        <v>312</v>
      </c>
      <c r="B340" s="47" t="s">
        <v>1365</v>
      </c>
      <c r="C340" s="48" t="s">
        <v>1366</v>
      </c>
      <c r="D340" s="52" t="s">
        <v>73</v>
      </c>
      <c r="E340" s="52" t="s">
        <v>1339</v>
      </c>
      <c r="F340" s="55" t="s">
        <v>1367</v>
      </c>
      <c r="G340" s="51">
        <v>5</v>
      </c>
      <c r="H340" s="52" t="s">
        <v>1368</v>
      </c>
      <c r="I340" s="54">
        <v>399000</v>
      </c>
      <c r="J340" s="54">
        <v>0</v>
      </c>
      <c r="K340" s="54">
        <v>27000</v>
      </c>
      <c r="L340" s="54">
        <v>0</v>
      </c>
      <c r="M340" s="54">
        <v>0</v>
      </c>
      <c r="N340" s="54">
        <v>0</v>
      </c>
      <c r="O340" s="54">
        <v>0</v>
      </c>
      <c r="P340" s="54">
        <v>0</v>
      </c>
      <c r="Q340" s="54">
        <v>0</v>
      </c>
      <c r="R340" s="54">
        <v>0</v>
      </c>
      <c r="S340" s="54">
        <v>0</v>
      </c>
      <c r="T340" s="54">
        <v>0</v>
      </c>
      <c r="U340" s="54">
        <v>2778</v>
      </c>
      <c r="V340" s="54">
        <v>0</v>
      </c>
      <c r="W340" s="54">
        <v>0</v>
      </c>
      <c r="X340" s="54">
        <v>0</v>
      </c>
      <c r="Y340" s="54">
        <v>0</v>
      </c>
      <c r="Z340" s="54">
        <v>0</v>
      </c>
      <c r="AA340" s="54">
        <v>0</v>
      </c>
      <c r="AB340" s="54">
        <v>0</v>
      </c>
      <c r="AC340" s="54">
        <v>0</v>
      </c>
      <c r="AD340" s="54">
        <v>0</v>
      </c>
      <c r="AE340" s="54">
        <v>0</v>
      </c>
      <c r="AF340" s="54">
        <v>0</v>
      </c>
      <c r="AG340" s="54">
        <v>0</v>
      </c>
      <c r="AH340" s="54">
        <v>0</v>
      </c>
      <c r="AI340" s="54">
        <v>0</v>
      </c>
      <c r="AJ340" s="54">
        <v>0</v>
      </c>
      <c r="AK340" s="54">
        <v>0</v>
      </c>
      <c r="AL340" s="54">
        <v>0</v>
      </c>
      <c r="AM340" s="54" t="str">
        <f>I340-J340-K340-L340-M340-N340-O340-P340-Q340-R340-S340-T340-U340-V340-W340-X340-Y340-Z340-AA340-AB340-AC340-AD340-AE340-AF340-AG340+AH340-AI340+AJ340+AK340-AL340</f>
        <v>0</v>
      </c>
      <c r="AN340" s="54"/>
      <c r="AO340" s="27"/>
    </row>
    <row r="341" spans="1:41">
      <c r="A341" s="44">
        <v>313</v>
      </c>
      <c r="B341" s="47" t="s">
        <v>1369</v>
      </c>
      <c r="C341" s="48" t="s">
        <v>1370</v>
      </c>
      <c r="D341" s="52" t="s">
        <v>73</v>
      </c>
      <c r="E341" s="52" t="s">
        <v>1339</v>
      </c>
      <c r="F341" s="55" t="s">
        <v>1371</v>
      </c>
      <c r="G341" s="51">
        <v>2</v>
      </c>
      <c r="H341" s="52" t="s">
        <v>1372</v>
      </c>
      <c r="I341" s="54">
        <v>359100</v>
      </c>
      <c r="J341" s="54">
        <v>0</v>
      </c>
      <c r="K341" s="54">
        <v>22000</v>
      </c>
      <c r="L341" s="54">
        <v>0</v>
      </c>
      <c r="M341" s="54">
        <v>0</v>
      </c>
      <c r="N341" s="54">
        <v>0</v>
      </c>
      <c r="O341" s="54">
        <v>0</v>
      </c>
      <c r="P341" s="54">
        <v>0</v>
      </c>
      <c r="Q341" s="54">
        <v>0</v>
      </c>
      <c r="R341" s="54">
        <v>0</v>
      </c>
      <c r="S341" s="54">
        <v>0</v>
      </c>
      <c r="T341" s="54">
        <v>0</v>
      </c>
      <c r="U341" s="54">
        <v>2263</v>
      </c>
      <c r="V341" s="54">
        <v>0</v>
      </c>
      <c r="W341" s="54">
        <v>0</v>
      </c>
      <c r="X341" s="54">
        <v>0</v>
      </c>
      <c r="Y341" s="54">
        <v>0</v>
      </c>
      <c r="Z341" s="54">
        <v>0</v>
      </c>
      <c r="AA341" s="54">
        <v>0</v>
      </c>
      <c r="AB341" s="54">
        <v>0</v>
      </c>
      <c r="AC341" s="54">
        <v>0</v>
      </c>
      <c r="AD341" s="54">
        <v>0</v>
      </c>
      <c r="AE341" s="54">
        <v>0</v>
      </c>
      <c r="AF341" s="54">
        <v>0</v>
      </c>
      <c r="AG341" s="54">
        <v>0</v>
      </c>
      <c r="AH341" s="54">
        <v>0</v>
      </c>
      <c r="AI341" s="54">
        <v>0</v>
      </c>
      <c r="AJ341" s="54">
        <v>0</v>
      </c>
      <c r="AK341" s="54">
        <v>0</v>
      </c>
      <c r="AL341" s="54">
        <v>0</v>
      </c>
      <c r="AM341" s="54" t="str">
        <f>I341-J341-K341-L341-M341-N341-O341-P341-Q341-R341-S341-T341-U341-V341-W341-X341-Y341-Z341-AA341-AB341-AC341-AD341-AE341-AF341-AG341+AH341-AI341+AJ341+AK341-AL341</f>
        <v>0</v>
      </c>
      <c r="AN341" s="54"/>
      <c r="AO341" s="27"/>
    </row>
    <row r="342" spans="1:41">
      <c r="A342" s="44">
        <v>314</v>
      </c>
      <c r="B342" s="47" t="s">
        <v>1373</v>
      </c>
      <c r="C342" s="48" t="s">
        <v>1374</v>
      </c>
      <c r="D342" s="52" t="s">
        <v>73</v>
      </c>
      <c r="E342" s="52" t="s">
        <v>1339</v>
      </c>
      <c r="F342" s="55" t="s">
        <v>1375</v>
      </c>
      <c r="G342" s="51">
        <v>2</v>
      </c>
      <c r="H342" s="52" t="s">
        <v>1376</v>
      </c>
      <c r="I342" s="54">
        <v>230000</v>
      </c>
      <c r="J342" s="54">
        <v>0</v>
      </c>
      <c r="K342" s="54">
        <v>22000</v>
      </c>
      <c r="L342" s="54">
        <v>0</v>
      </c>
      <c r="M342" s="54">
        <v>0</v>
      </c>
      <c r="N342" s="54">
        <v>0</v>
      </c>
      <c r="O342" s="54">
        <v>0</v>
      </c>
      <c r="P342" s="54">
        <v>0</v>
      </c>
      <c r="Q342" s="54">
        <v>0</v>
      </c>
      <c r="R342" s="54">
        <v>0</v>
      </c>
      <c r="S342" s="54">
        <v>0</v>
      </c>
      <c r="T342" s="54">
        <v>0</v>
      </c>
      <c r="U342" s="54">
        <v>2263</v>
      </c>
      <c r="V342" s="54">
        <v>0</v>
      </c>
      <c r="W342" s="54">
        <v>0</v>
      </c>
      <c r="X342" s="54">
        <v>0</v>
      </c>
      <c r="Y342" s="54">
        <v>0</v>
      </c>
      <c r="Z342" s="54">
        <v>0</v>
      </c>
      <c r="AA342" s="54">
        <v>0</v>
      </c>
      <c r="AB342" s="54">
        <v>0</v>
      </c>
      <c r="AC342" s="54">
        <v>0</v>
      </c>
      <c r="AD342" s="54">
        <v>0</v>
      </c>
      <c r="AE342" s="54">
        <v>0</v>
      </c>
      <c r="AF342" s="54">
        <v>0</v>
      </c>
      <c r="AG342" s="54">
        <v>0</v>
      </c>
      <c r="AH342" s="54">
        <v>0</v>
      </c>
      <c r="AI342" s="54">
        <v>0</v>
      </c>
      <c r="AJ342" s="54">
        <v>0</v>
      </c>
      <c r="AK342" s="54">
        <v>0</v>
      </c>
      <c r="AL342" s="54">
        <v>0</v>
      </c>
      <c r="AM342" s="54" t="str">
        <f>I342-J342-K342-L342-M342-N342-O342-P342-Q342-R342-S342-T342-U342-V342-W342-X342-Y342-Z342-AA342-AB342-AC342-AD342-AE342-AF342-AG342+AH342-AI342+AJ342+AK342-AL342</f>
        <v>0</v>
      </c>
      <c r="AN342" s="54"/>
      <c r="AO342" s="27"/>
    </row>
    <row r="343" spans="1:41">
      <c r="A343" s="44">
        <v>315</v>
      </c>
      <c r="B343" s="47" t="s">
        <v>1377</v>
      </c>
      <c r="C343" s="48" t="s">
        <v>1378</v>
      </c>
      <c r="D343" s="52" t="s">
        <v>73</v>
      </c>
      <c r="E343" s="52" t="s">
        <v>1339</v>
      </c>
      <c r="F343" s="55" t="s">
        <v>1379</v>
      </c>
      <c r="G343" s="51">
        <v>3</v>
      </c>
      <c r="H343" s="52" t="s">
        <v>1380</v>
      </c>
      <c r="I343" s="54">
        <v>320000</v>
      </c>
      <c r="J343" s="54">
        <v>0</v>
      </c>
      <c r="K343" s="54">
        <v>22000</v>
      </c>
      <c r="L343" s="54">
        <v>0</v>
      </c>
      <c r="M343" s="54">
        <v>0</v>
      </c>
      <c r="N343" s="54">
        <v>0</v>
      </c>
      <c r="O343" s="54">
        <v>0</v>
      </c>
      <c r="P343" s="54">
        <v>0</v>
      </c>
      <c r="Q343" s="54">
        <v>0</v>
      </c>
      <c r="R343" s="54">
        <v>0</v>
      </c>
      <c r="S343" s="54">
        <v>0</v>
      </c>
      <c r="T343" s="54">
        <v>0</v>
      </c>
      <c r="U343" s="54">
        <v>2263</v>
      </c>
      <c r="V343" s="54">
        <v>0</v>
      </c>
      <c r="W343" s="54">
        <v>0</v>
      </c>
      <c r="X343" s="54">
        <v>0</v>
      </c>
      <c r="Y343" s="54">
        <v>0</v>
      </c>
      <c r="Z343" s="54">
        <v>0</v>
      </c>
      <c r="AA343" s="54">
        <v>0</v>
      </c>
      <c r="AB343" s="54">
        <v>0</v>
      </c>
      <c r="AC343" s="54">
        <v>0</v>
      </c>
      <c r="AD343" s="54">
        <v>0</v>
      </c>
      <c r="AE343" s="54">
        <v>0</v>
      </c>
      <c r="AF343" s="54">
        <v>0</v>
      </c>
      <c r="AG343" s="54">
        <v>0</v>
      </c>
      <c r="AH343" s="54">
        <v>0</v>
      </c>
      <c r="AI343" s="54">
        <v>0</v>
      </c>
      <c r="AJ343" s="54">
        <v>0</v>
      </c>
      <c r="AK343" s="54">
        <v>0</v>
      </c>
      <c r="AL343" s="54">
        <v>0</v>
      </c>
      <c r="AM343" s="54" t="str">
        <f>I343-J343-K343-L343-M343-N343-O343-P343-Q343-R343-S343-T343-U343-V343-W343-X343-Y343-Z343-AA343-AB343-AC343-AD343-AE343-AF343-AG343+AH343-AI343+AJ343+AK343-AL343</f>
        <v>0</v>
      </c>
      <c r="AN343" s="54"/>
      <c r="AO343" s="27"/>
    </row>
    <row r="344" spans="1:41">
      <c r="A344" s="44">
        <v>316</v>
      </c>
      <c r="B344" s="47" t="s">
        <v>1381</v>
      </c>
      <c r="C344" s="48" t="s">
        <v>1382</v>
      </c>
      <c r="D344" s="52" t="s">
        <v>73</v>
      </c>
      <c r="E344" s="52" t="s">
        <v>1339</v>
      </c>
      <c r="F344" s="55" t="s">
        <v>1383</v>
      </c>
      <c r="G344" s="51">
        <v>4</v>
      </c>
      <c r="H344" s="52" t="s">
        <v>1384</v>
      </c>
      <c r="I344" s="54">
        <v>659000</v>
      </c>
      <c r="J344" s="54">
        <v>0</v>
      </c>
      <c r="K344" s="54">
        <v>25000</v>
      </c>
      <c r="L344" s="54">
        <v>0</v>
      </c>
      <c r="M344" s="54">
        <v>0</v>
      </c>
      <c r="N344" s="54">
        <v>0</v>
      </c>
      <c r="O344" s="54">
        <v>0</v>
      </c>
      <c r="P344" s="54">
        <v>0</v>
      </c>
      <c r="Q344" s="54">
        <v>0</v>
      </c>
      <c r="R344" s="54">
        <v>0</v>
      </c>
      <c r="S344" s="54">
        <v>0</v>
      </c>
      <c r="T344" s="54">
        <v>0</v>
      </c>
      <c r="U344" s="54">
        <v>2572</v>
      </c>
      <c r="V344" s="54">
        <v>0</v>
      </c>
      <c r="W344" s="54">
        <v>0</v>
      </c>
      <c r="X344" s="54">
        <v>0</v>
      </c>
      <c r="Y344" s="54">
        <v>0</v>
      </c>
      <c r="Z344" s="54">
        <v>0</v>
      </c>
      <c r="AA344" s="54">
        <v>0</v>
      </c>
      <c r="AB344" s="54">
        <v>0</v>
      </c>
      <c r="AC344" s="54">
        <v>0</v>
      </c>
      <c r="AD344" s="54">
        <v>0</v>
      </c>
      <c r="AE344" s="54">
        <v>0</v>
      </c>
      <c r="AF344" s="54">
        <v>0</v>
      </c>
      <c r="AG344" s="54">
        <v>0</v>
      </c>
      <c r="AH344" s="54">
        <v>0</v>
      </c>
      <c r="AI344" s="54">
        <v>0</v>
      </c>
      <c r="AJ344" s="54">
        <v>0</v>
      </c>
      <c r="AK344" s="54">
        <v>0</v>
      </c>
      <c r="AL344" s="54">
        <v>0</v>
      </c>
      <c r="AM344" s="54" t="str">
        <f>I344-J344-K344-L344-M344-N344-O344-P344-Q344-R344-S344-T344-U344-V344-W344-X344-Y344-Z344-AA344-AB344-AC344-AD344-AE344-AF344-AG344+AH344-AI344+AJ344+AK344-AL344</f>
        <v>0</v>
      </c>
      <c r="AN344" s="54"/>
      <c r="AO344" s="27"/>
    </row>
    <row r="345" spans="1:41">
      <c r="A345" s="44">
        <v>317</v>
      </c>
      <c r="B345" s="47" t="s">
        <v>1385</v>
      </c>
      <c r="C345" s="48" t="s">
        <v>1386</v>
      </c>
      <c r="D345" s="52" t="s">
        <v>73</v>
      </c>
      <c r="E345" s="52" t="s">
        <v>1339</v>
      </c>
      <c r="F345" s="55" t="s">
        <v>1387</v>
      </c>
      <c r="G345" s="51">
        <v>2</v>
      </c>
      <c r="H345" s="52" t="s">
        <v>1388</v>
      </c>
      <c r="I345" s="54">
        <v>325000</v>
      </c>
      <c r="J345" s="54">
        <v>0</v>
      </c>
      <c r="K345" s="54">
        <v>22000</v>
      </c>
      <c r="L345" s="54">
        <v>0</v>
      </c>
      <c r="M345" s="54">
        <v>0</v>
      </c>
      <c r="N345" s="54">
        <v>0</v>
      </c>
      <c r="O345" s="54">
        <v>0</v>
      </c>
      <c r="P345" s="54">
        <v>0</v>
      </c>
      <c r="Q345" s="54">
        <v>0</v>
      </c>
      <c r="R345" s="54">
        <v>0</v>
      </c>
      <c r="S345" s="54">
        <v>0</v>
      </c>
      <c r="T345" s="54">
        <v>0</v>
      </c>
      <c r="U345" s="54">
        <v>2263</v>
      </c>
      <c r="V345" s="54">
        <v>0</v>
      </c>
      <c r="W345" s="54">
        <v>0</v>
      </c>
      <c r="X345" s="54">
        <v>0</v>
      </c>
      <c r="Y345" s="54">
        <v>0</v>
      </c>
      <c r="Z345" s="54">
        <v>0</v>
      </c>
      <c r="AA345" s="54">
        <v>0</v>
      </c>
      <c r="AB345" s="54">
        <v>0</v>
      </c>
      <c r="AC345" s="54">
        <v>0</v>
      </c>
      <c r="AD345" s="54">
        <v>0</v>
      </c>
      <c r="AE345" s="54">
        <v>0</v>
      </c>
      <c r="AF345" s="54">
        <v>0</v>
      </c>
      <c r="AG345" s="54">
        <v>0</v>
      </c>
      <c r="AH345" s="54">
        <v>0</v>
      </c>
      <c r="AI345" s="54">
        <v>0</v>
      </c>
      <c r="AJ345" s="54">
        <v>0</v>
      </c>
      <c r="AK345" s="54">
        <v>0</v>
      </c>
      <c r="AL345" s="54">
        <v>0</v>
      </c>
      <c r="AM345" s="54" t="str">
        <f>I345-J345-K345-L345-M345-N345-O345-P345-Q345-R345-S345-T345-U345-V345-W345-X345-Y345-Z345-AA345-AB345-AC345-AD345-AE345-AF345-AG345+AH345-AI345+AJ345+AK345-AL345</f>
        <v>0</v>
      </c>
      <c r="AN345" s="54"/>
      <c r="AO345" s="27"/>
    </row>
    <row r="346" spans="1:41">
      <c r="A346" s="44">
        <v>318</v>
      </c>
      <c r="B346" s="47" t="s">
        <v>1389</v>
      </c>
      <c r="C346" s="48" t="s">
        <v>1390</v>
      </c>
      <c r="D346" s="52" t="s">
        <v>62</v>
      </c>
      <c r="E346" s="52" t="s">
        <v>1339</v>
      </c>
      <c r="F346" s="55" t="s">
        <v>1391</v>
      </c>
      <c r="G346" s="51">
        <v>4</v>
      </c>
      <c r="H346" s="52" t="s">
        <v>1392</v>
      </c>
      <c r="I346" s="54">
        <v>0</v>
      </c>
      <c r="J346" s="54">
        <v>0</v>
      </c>
      <c r="K346" s="54">
        <v>25000</v>
      </c>
      <c r="L346" s="54">
        <v>0</v>
      </c>
      <c r="M346" s="54">
        <v>0</v>
      </c>
      <c r="N346" s="54">
        <v>0</v>
      </c>
      <c r="O346" s="54">
        <v>0</v>
      </c>
      <c r="P346" s="54">
        <v>0</v>
      </c>
      <c r="Q346" s="54">
        <v>0</v>
      </c>
      <c r="R346" s="54">
        <v>0</v>
      </c>
      <c r="S346" s="54">
        <v>0</v>
      </c>
      <c r="T346" s="54">
        <v>0</v>
      </c>
      <c r="U346" s="54">
        <v>2572</v>
      </c>
      <c r="V346" s="54">
        <v>0</v>
      </c>
      <c r="W346" s="54">
        <v>0</v>
      </c>
      <c r="X346" s="54">
        <v>0</v>
      </c>
      <c r="Y346" s="54">
        <v>12500</v>
      </c>
      <c r="Z346" s="54">
        <v>0</v>
      </c>
      <c r="AA346" s="54">
        <v>0</v>
      </c>
      <c r="AB346" s="54">
        <v>0</v>
      </c>
      <c r="AC346" s="54">
        <v>0</v>
      </c>
      <c r="AD346" s="54">
        <v>0</v>
      </c>
      <c r="AE346" s="54">
        <v>0</v>
      </c>
      <c r="AF346" s="54">
        <v>0</v>
      </c>
      <c r="AG346" s="54">
        <v>0</v>
      </c>
      <c r="AH346" s="54">
        <v>0</v>
      </c>
      <c r="AI346" s="54">
        <v>0</v>
      </c>
      <c r="AJ346" s="54">
        <v>0</v>
      </c>
      <c r="AK346" s="54">
        <v>0</v>
      </c>
      <c r="AL346" s="54">
        <v>0</v>
      </c>
      <c r="AM346" s="54" t="str">
        <f>I346-J346-K346-L346-M346-N346-O346-P346-Q346-R346-S346-T346-U346-V346-W346-X346-Y346-Z346-AA346-AB346-AC346-AD346-AE346-AF346-AG346+AH346-AI346+AJ346+AK346-AL346</f>
        <v>0</v>
      </c>
      <c r="AN346" s="54"/>
      <c r="AO346" s="27"/>
    </row>
    <row r="347" spans="1:41">
      <c r="A347" s="44">
        <v>319</v>
      </c>
      <c r="B347" s="47" t="s">
        <v>1393</v>
      </c>
      <c r="C347" s="48" t="s">
        <v>1394</v>
      </c>
      <c r="D347" s="52" t="s">
        <v>73</v>
      </c>
      <c r="E347" s="52" t="s">
        <v>1339</v>
      </c>
      <c r="F347" s="55" t="s">
        <v>1395</v>
      </c>
      <c r="G347" s="51">
        <v>2</v>
      </c>
      <c r="H347" s="52" t="s">
        <v>1396</v>
      </c>
      <c r="I347" s="54">
        <v>279000</v>
      </c>
      <c r="J347" s="54">
        <v>0</v>
      </c>
      <c r="K347" s="54">
        <v>22000</v>
      </c>
      <c r="L347" s="54">
        <v>0</v>
      </c>
      <c r="M347" s="54">
        <v>0</v>
      </c>
      <c r="N347" s="54">
        <v>0</v>
      </c>
      <c r="O347" s="54">
        <v>0</v>
      </c>
      <c r="P347" s="54">
        <v>0</v>
      </c>
      <c r="Q347" s="54">
        <v>0</v>
      </c>
      <c r="R347" s="54">
        <v>0</v>
      </c>
      <c r="S347" s="54">
        <v>0</v>
      </c>
      <c r="T347" s="54">
        <v>0</v>
      </c>
      <c r="U347" s="54">
        <v>2263</v>
      </c>
      <c r="V347" s="54">
        <v>0</v>
      </c>
      <c r="W347" s="54">
        <v>0</v>
      </c>
      <c r="X347" s="54">
        <v>0</v>
      </c>
      <c r="Y347" s="54">
        <v>0</v>
      </c>
      <c r="Z347" s="54">
        <v>0</v>
      </c>
      <c r="AA347" s="54">
        <v>0</v>
      </c>
      <c r="AB347" s="54">
        <v>0</v>
      </c>
      <c r="AC347" s="54">
        <v>0</v>
      </c>
      <c r="AD347" s="54">
        <v>0</v>
      </c>
      <c r="AE347" s="54">
        <v>0</v>
      </c>
      <c r="AF347" s="54">
        <v>0</v>
      </c>
      <c r="AG347" s="54">
        <v>0</v>
      </c>
      <c r="AH347" s="54">
        <v>0</v>
      </c>
      <c r="AI347" s="54">
        <v>0</v>
      </c>
      <c r="AJ347" s="54">
        <v>0</v>
      </c>
      <c r="AK347" s="54">
        <v>0</v>
      </c>
      <c r="AL347" s="54">
        <v>0</v>
      </c>
      <c r="AM347" s="54" t="str">
        <f>I347-J347-K347-L347-M347-N347-O347-P347-Q347-R347-S347-T347-U347-V347-W347-X347-Y347-Z347-AA347-AB347-AC347-AD347-AE347-AF347-AG347+AH347-AI347+AJ347+AK347-AL347</f>
        <v>0</v>
      </c>
      <c r="AN347" s="54"/>
      <c r="AO347" s="27"/>
    </row>
    <row r="348" spans="1:41">
      <c r="A348" s="44">
        <v>320</v>
      </c>
      <c r="B348" s="47" t="s">
        <v>1397</v>
      </c>
      <c r="C348" s="48" t="s">
        <v>1398</v>
      </c>
      <c r="D348" s="52" t="s">
        <v>73</v>
      </c>
      <c r="E348" s="52" t="s">
        <v>1339</v>
      </c>
      <c r="F348" s="55" t="s">
        <v>1399</v>
      </c>
      <c r="G348" s="51">
        <v>2</v>
      </c>
      <c r="H348" s="52" t="s">
        <v>1400</v>
      </c>
      <c r="I348" s="54">
        <v>270000</v>
      </c>
      <c r="J348" s="54">
        <v>0</v>
      </c>
      <c r="K348" s="54">
        <v>22000</v>
      </c>
      <c r="L348" s="54">
        <v>0</v>
      </c>
      <c r="M348" s="54">
        <v>0</v>
      </c>
      <c r="N348" s="54">
        <v>0</v>
      </c>
      <c r="O348" s="54">
        <v>0</v>
      </c>
      <c r="P348" s="54">
        <v>0</v>
      </c>
      <c r="Q348" s="54">
        <v>0</v>
      </c>
      <c r="R348" s="54">
        <v>0</v>
      </c>
      <c r="S348" s="54">
        <v>0</v>
      </c>
      <c r="T348" s="54">
        <v>0</v>
      </c>
      <c r="U348" s="54">
        <v>2263</v>
      </c>
      <c r="V348" s="54">
        <v>0</v>
      </c>
      <c r="W348" s="54">
        <v>0</v>
      </c>
      <c r="X348" s="54">
        <v>0</v>
      </c>
      <c r="Y348" s="54">
        <v>0</v>
      </c>
      <c r="Z348" s="54">
        <v>0</v>
      </c>
      <c r="AA348" s="54">
        <v>0</v>
      </c>
      <c r="AB348" s="54">
        <v>0</v>
      </c>
      <c r="AC348" s="54">
        <v>0</v>
      </c>
      <c r="AD348" s="54">
        <v>0</v>
      </c>
      <c r="AE348" s="54">
        <v>0</v>
      </c>
      <c r="AF348" s="54">
        <v>0</v>
      </c>
      <c r="AG348" s="54">
        <v>0</v>
      </c>
      <c r="AH348" s="54">
        <v>0</v>
      </c>
      <c r="AI348" s="54">
        <v>0</v>
      </c>
      <c r="AJ348" s="54">
        <v>0</v>
      </c>
      <c r="AK348" s="54">
        <v>0</v>
      </c>
      <c r="AL348" s="54">
        <v>0</v>
      </c>
      <c r="AM348" s="54" t="str">
        <f>I348-J348-K348-L348-M348-N348-O348-P348-Q348-R348-S348-T348-U348-V348-W348-X348-Y348-Z348-AA348-AB348-AC348-AD348-AE348-AF348-AG348+AH348-AI348+AJ348+AK348-AL348</f>
        <v>0</v>
      </c>
      <c r="AN348" s="54"/>
      <c r="AO348" s="27"/>
    </row>
    <row r="349" spans="1:41">
      <c r="A349" s="44">
        <v>321</v>
      </c>
      <c r="B349" s="47" t="s">
        <v>1401</v>
      </c>
      <c r="C349" s="48" t="s">
        <v>1402</v>
      </c>
      <c r="D349" s="52" t="s">
        <v>73</v>
      </c>
      <c r="E349" s="52" t="s">
        <v>1339</v>
      </c>
      <c r="F349" s="55" t="s">
        <v>1403</v>
      </c>
      <c r="G349" s="51">
        <v>4</v>
      </c>
      <c r="H349" s="52" t="s">
        <v>1404</v>
      </c>
      <c r="I349" s="54">
        <v>280000</v>
      </c>
      <c r="J349" s="54">
        <v>0</v>
      </c>
      <c r="K349" s="54">
        <v>25000</v>
      </c>
      <c r="L349" s="54">
        <v>0</v>
      </c>
      <c r="M349" s="54">
        <v>0</v>
      </c>
      <c r="N349" s="54">
        <v>0</v>
      </c>
      <c r="O349" s="54">
        <v>0</v>
      </c>
      <c r="P349" s="54">
        <v>0</v>
      </c>
      <c r="Q349" s="54">
        <v>0</v>
      </c>
      <c r="R349" s="54">
        <v>0</v>
      </c>
      <c r="S349" s="54">
        <v>0</v>
      </c>
      <c r="T349" s="54">
        <v>0</v>
      </c>
      <c r="U349" s="54">
        <v>2572</v>
      </c>
      <c r="V349" s="54">
        <v>0</v>
      </c>
      <c r="W349" s="54">
        <v>0</v>
      </c>
      <c r="X349" s="54">
        <v>0</v>
      </c>
      <c r="Y349" s="54">
        <v>0</v>
      </c>
      <c r="Z349" s="54">
        <v>0</v>
      </c>
      <c r="AA349" s="54">
        <v>0</v>
      </c>
      <c r="AB349" s="54">
        <v>0</v>
      </c>
      <c r="AC349" s="54">
        <v>0</v>
      </c>
      <c r="AD349" s="54">
        <v>0</v>
      </c>
      <c r="AE349" s="54">
        <v>0</v>
      </c>
      <c r="AF349" s="54">
        <v>0</v>
      </c>
      <c r="AG349" s="54">
        <v>0</v>
      </c>
      <c r="AH349" s="54">
        <v>0</v>
      </c>
      <c r="AI349" s="54">
        <v>0</v>
      </c>
      <c r="AJ349" s="54">
        <v>0</v>
      </c>
      <c r="AK349" s="54">
        <v>0</v>
      </c>
      <c r="AL349" s="54">
        <v>0</v>
      </c>
      <c r="AM349" s="54" t="str">
        <f>I349-J349-K349-L349-M349-N349-O349-P349-Q349-R349-S349-T349-U349-V349-W349-X349-Y349-Z349-AA349-AB349-AC349-AD349-AE349-AF349-AG349+AH349-AI349+AJ349+AK349-AL349</f>
        <v>0</v>
      </c>
      <c r="AN349" s="54"/>
      <c r="AO349" s="27"/>
    </row>
    <row r="350" spans="1:41">
      <c r="A350" s="44">
        <v>322</v>
      </c>
      <c r="B350" s="47" t="s">
        <v>1405</v>
      </c>
      <c r="C350" s="48" t="s">
        <v>1406</v>
      </c>
      <c r="D350" s="52" t="s">
        <v>62</v>
      </c>
      <c r="E350" s="52" t="s">
        <v>1339</v>
      </c>
      <c r="F350" s="55" t="s">
        <v>1175</v>
      </c>
      <c r="G350" s="51">
        <v>6</v>
      </c>
      <c r="H350" s="52" t="s">
        <v>1407</v>
      </c>
      <c r="I350" s="54">
        <v>0</v>
      </c>
      <c r="J350" s="54">
        <v>0</v>
      </c>
      <c r="K350" s="54">
        <v>31000</v>
      </c>
      <c r="L350" s="54">
        <v>0</v>
      </c>
      <c r="M350" s="54">
        <v>0</v>
      </c>
      <c r="N350" s="54">
        <v>0</v>
      </c>
      <c r="O350" s="54">
        <v>0</v>
      </c>
      <c r="P350" s="54">
        <v>0</v>
      </c>
      <c r="Q350" s="54">
        <v>0</v>
      </c>
      <c r="R350" s="54">
        <v>0</v>
      </c>
      <c r="S350" s="54">
        <v>0</v>
      </c>
      <c r="T350" s="54">
        <v>0</v>
      </c>
      <c r="U350" s="54">
        <v>3189</v>
      </c>
      <c r="V350" s="54">
        <v>0</v>
      </c>
      <c r="W350" s="54">
        <v>0</v>
      </c>
      <c r="X350" s="54">
        <v>0</v>
      </c>
      <c r="Y350" s="54">
        <v>15500</v>
      </c>
      <c r="Z350" s="54">
        <v>0</v>
      </c>
      <c r="AA350" s="54">
        <v>0</v>
      </c>
      <c r="AB350" s="54">
        <v>0</v>
      </c>
      <c r="AC350" s="54">
        <v>0</v>
      </c>
      <c r="AD350" s="54">
        <v>0</v>
      </c>
      <c r="AE350" s="54">
        <v>0</v>
      </c>
      <c r="AF350" s="54">
        <v>0</v>
      </c>
      <c r="AG350" s="54">
        <v>0</v>
      </c>
      <c r="AH350" s="54">
        <v>0</v>
      </c>
      <c r="AI350" s="54">
        <v>0</v>
      </c>
      <c r="AJ350" s="54">
        <v>0</v>
      </c>
      <c r="AK350" s="54">
        <v>0</v>
      </c>
      <c r="AL350" s="54">
        <v>0</v>
      </c>
      <c r="AM350" s="54" t="str">
        <f>I350-J350-K350-L350-M350-N350-O350-P350-Q350-R350-S350-T350-U350-V350-W350-X350-Y350-Z350-AA350-AB350-AC350-AD350-AE350-AF350-AG350+AH350-AI350+AJ350+AK350-AL350</f>
        <v>0</v>
      </c>
      <c r="AN350" s="54"/>
      <c r="AO350" s="27"/>
    </row>
    <row r="351" spans="1:41">
      <c r="A351" s="44">
        <v>323</v>
      </c>
      <c r="B351" s="47" t="s">
        <v>1408</v>
      </c>
      <c r="C351" s="48" t="s">
        <v>1409</v>
      </c>
      <c r="D351" s="52" t="s">
        <v>73</v>
      </c>
      <c r="E351" s="52" t="s">
        <v>1339</v>
      </c>
      <c r="F351" s="55" t="s">
        <v>1410</v>
      </c>
      <c r="G351" s="51">
        <v>3</v>
      </c>
      <c r="H351" s="52" t="s">
        <v>1411</v>
      </c>
      <c r="I351" s="54">
        <v>119000</v>
      </c>
      <c r="J351" s="54">
        <v>0</v>
      </c>
      <c r="K351" s="54">
        <v>22000</v>
      </c>
      <c r="L351" s="54">
        <v>0</v>
      </c>
      <c r="M351" s="54">
        <v>0</v>
      </c>
      <c r="N351" s="54">
        <v>0</v>
      </c>
      <c r="O351" s="54">
        <v>0</v>
      </c>
      <c r="P351" s="54">
        <v>0</v>
      </c>
      <c r="Q351" s="54">
        <v>0</v>
      </c>
      <c r="R351" s="54">
        <v>0</v>
      </c>
      <c r="S351" s="54">
        <v>0</v>
      </c>
      <c r="T351" s="54">
        <v>0</v>
      </c>
      <c r="U351" s="54">
        <v>2263</v>
      </c>
      <c r="V351" s="54">
        <v>0</v>
      </c>
      <c r="W351" s="54">
        <v>0</v>
      </c>
      <c r="X351" s="54">
        <v>0</v>
      </c>
      <c r="Y351" s="54">
        <v>0</v>
      </c>
      <c r="Z351" s="54">
        <v>0</v>
      </c>
      <c r="AA351" s="54">
        <v>0</v>
      </c>
      <c r="AB351" s="54">
        <v>0</v>
      </c>
      <c r="AC351" s="54">
        <v>0</v>
      </c>
      <c r="AD351" s="54">
        <v>0</v>
      </c>
      <c r="AE351" s="54">
        <v>0</v>
      </c>
      <c r="AF351" s="54">
        <v>0</v>
      </c>
      <c r="AG351" s="54">
        <v>0</v>
      </c>
      <c r="AH351" s="54">
        <v>0</v>
      </c>
      <c r="AI351" s="54">
        <v>0</v>
      </c>
      <c r="AJ351" s="54">
        <v>0</v>
      </c>
      <c r="AK351" s="54">
        <v>0</v>
      </c>
      <c r="AL351" s="54">
        <v>0</v>
      </c>
      <c r="AM351" s="54" t="str">
        <f>I351-J351-K351-L351-M351-N351-O351-P351-Q351-R351-S351-T351-U351-V351-W351-X351-Y351-Z351-AA351-AB351-AC351-AD351-AE351-AF351-AG351+AH351-AI351+AJ351+AK351-AL351</f>
        <v>0</v>
      </c>
      <c r="AN351" s="54"/>
      <c r="AO351" s="27"/>
    </row>
    <row r="352" spans="1:41">
      <c r="A352" s="44">
        <v>324</v>
      </c>
      <c r="B352" s="47" t="s">
        <v>1412</v>
      </c>
      <c r="C352" s="48" t="s">
        <v>1413</v>
      </c>
      <c r="D352" s="52" t="s">
        <v>73</v>
      </c>
      <c r="E352" s="52" t="s">
        <v>1339</v>
      </c>
      <c r="F352" s="55" t="s">
        <v>1414</v>
      </c>
      <c r="G352" s="51">
        <v>3</v>
      </c>
      <c r="H352" s="52" t="s">
        <v>1415</v>
      </c>
      <c r="I352" s="54">
        <v>185000</v>
      </c>
      <c r="J352" s="54">
        <v>0</v>
      </c>
      <c r="K352" s="54">
        <v>22000</v>
      </c>
      <c r="L352" s="54">
        <v>0</v>
      </c>
      <c r="M352" s="54">
        <v>0</v>
      </c>
      <c r="N352" s="54">
        <v>0</v>
      </c>
      <c r="O352" s="54">
        <v>0</v>
      </c>
      <c r="P352" s="54">
        <v>0</v>
      </c>
      <c r="Q352" s="54">
        <v>0</v>
      </c>
      <c r="R352" s="54">
        <v>0</v>
      </c>
      <c r="S352" s="54">
        <v>0</v>
      </c>
      <c r="T352" s="54">
        <v>0</v>
      </c>
      <c r="U352" s="54">
        <v>2263</v>
      </c>
      <c r="V352" s="54">
        <v>0</v>
      </c>
      <c r="W352" s="54">
        <v>0</v>
      </c>
      <c r="X352" s="54">
        <v>0</v>
      </c>
      <c r="Y352" s="54">
        <v>0</v>
      </c>
      <c r="Z352" s="54">
        <v>0</v>
      </c>
      <c r="AA352" s="54">
        <v>0</v>
      </c>
      <c r="AB352" s="54">
        <v>0</v>
      </c>
      <c r="AC352" s="54">
        <v>0</v>
      </c>
      <c r="AD352" s="54">
        <v>0</v>
      </c>
      <c r="AE352" s="54">
        <v>0</v>
      </c>
      <c r="AF352" s="54">
        <v>0</v>
      </c>
      <c r="AG352" s="54">
        <v>0</v>
      </c>
      <c r="AH352" s="54">
        <v>0</v>
      </c>
      <c r="AI352" s="54">
        <v>0</v>
      </c>
      <c r="AJ352" s="54">
        <v>0</v>
      </c>
      <c r="AK352" s="54">
        <v>0</v>
      </c>
      <c r="AL352" s="54">
        <v>0</v>
      </c>
      <c r="AM352" s="54" t="str">
        <f>I352-J352-K352-L352-M352-N352-O352-P352-Q352-R352-S352-T352-U352-V352-W352-X352-Y352-Z352-AA352-AB352-AC352-AD352-AE352-AF352-AG352+AH352-AI352+AJ352+AK352-AL352</f>
        <v>0</v>
      </c>
      <c r="AN352" s="54"/>
      <c r="AO352" s="27"/>
    </row>
    <row r="353" spans="1:41">
      <c r="A353" s="44">
        <v>325</v>
      </c>
      <c r="B353" s="47" t="s">
        <v>1416</v>
      </c>
      <c r="C353" s="48" t="s">
        <v>1417</v>
      </c>
      <c r="D353" s="52" t="s">
        <v>73</v>
      </c>
      <c r="E353" s="52" t="s">
        <v>1339</v>
      </c>
      <c r="F353" s="55" t="s">
        <v>1418</v>
      </c>
      <c r="G353" s="51">
        <v>3</v>
      </c>
      <c r="H353" s="52" t="s">
        <v>1419</v>
      </c>
      <c r="I353" s="54">
        <v>270000</v>
      </c>
      <c r="J353" s="54">
        <v>0</v>
      </c>
      <c r="K353" s="54">
        <v>22000</v>
      </c>
      <c r="L353" s="54">
        <v>0</v>
      </c>
      <c r="M353" s="54">
        <v>0</v>
      </c>
      <c r="N353" s="54">
        <v>0</v>
      </c>
      <c r="O353" s="54">
        <v>0</v>
      </c>
      <c r="P353" s="54">
        <v>0</v>
      </c>
      <c r="Q353" s="54">
        <v>0</v>
      </c>
      <c r="R353" s="54">
        <v>0</v>
      </c>
      <c r="S353" s="54">
        <v>0</v>
      </c>
      <c r="T353" s="54">
        <v>0</v>
      </c>
      <c r="U353" s="54">
        <v>2263</v>
      </c>
      <c r="V353" s="54">
        <v>0</v>
      </c>
      <c r="W353" s="54">
        <v>0</v>
      </c>
      <c r="X353" s="54">
        <v>0</v>
      </c>
      <c r="Y353" s="54">
        <v>0</v>
      </c>
      <c r="Z353" s="54">
        <v>0</v>
      </c>
      <c r="AA353" s="54">
        <v>0</v>
      </c>
      <c r="AB353" s="54">
        <v>0</v>
      </c>
      <c r="AC353" s="54">
        <v>0</v>
      </c>
      <c r="AD353" s="54">
        <v>0</v>
      </c>
      <c r="AE353" s="54">
        <v>0</v>
      </c>
      <c r="AF353" s="54">
        <v>0</v>
      </c>
      <c r="AG353" s="54">
        <v>0</v>
      </c>
      <c r="AH353" s="54">
        <v>0</v>
      </c>
      <c r="AI353" s="54">
        <v>0</v>
      </c>
      <c r="AJ353" s="54">
        <v>0</v>
      </c>
      <c r="AK353" s="54">
        <v>0</v>
      </c>
      <c r="AL353" s="54">
        <v>0</v>
      </c>
      <c r="AM353" s="54" t="str">
        <f>I353-J353-K353-L353-M353-N353-O353-P353-Q353-R353-S353-T353-U353-V353-W353-X353-Y353-Z353-AA353-AB353-AC353-AD353-AE353-AF353-AG353+AH353-AI353+AJ353+AK353-AL353</f>
        <v>0</v>
      </c>
      <c r="AN353" s="54"/>
      <c r="AO353" s="27"/>
    </row>
    <row r="354" spans="1:41">
      <c r="A354" s="44">
        <v>326</v>
      </c>
      <c r="B354" s="47" t="s">
        <v>1420</v>
      </c>
      <c r="C354" s="48" t="s">
        <v>1421</v>
      </c>
      <c r="D354" s="52" t="s">
        <v>73</v>
      </c>
      <c r="E354" s="52" t="s">
        <v>1339</v>
      </c>
      <c r="F354" s="55" t="s">
        <v>1221</v>
      </c>
      <c r="G354" s="51">
        <v>7</v>
      </c>
      <c r="H354" s="52" t="s">
        <v>1422</v>
      </c>
      <c r="I354" s="54">
        <v>710000</v>
      </c>
      <c r="J354" s="54">
        <v>0</v>
      </c>
      <c r="K354" s="54">
        <v>35000</v>
      </c>
      <c r="L354" s="54">
        <v>0</v>
      </c>
      <c r="M354" s="54">
        <v>0</v>
      </c>
      <c r="N354" s="54">
        <v>0</v>
      </c>
      <c r="O354" s="54">
        <v>0</v>
      </c>
      <c r="P354" s="54">
        <v>0</v>
      </c>
      <c r="Q354" s="54">
        <v>0</v>
      </c>
      <c r="R354" s="54">
        <v>0</v>
      </c>
      <c r="S354" s="54">
        <v>0</v>
      </c>
      <c r="T354" s="54">
        <v>0</v>
      </c>
      <c r="U354" s="54">
        <v>3601</v>
      </c>
      <c r="V354" s="54">
        <v>0</v>
      </c>
      <c r="W354" s="54">
        <v>0</v>
      </c>
      <c r="X354" s="54">
        <v>0</v>
      </c>
      <c r="Y354" s="54">
        <v>0</v>
      </c>
      <c r="Z354" s="54">
        <v>0</v>
      </c>
      <c r="AA354" s="54">
        <v>0</v>
      </c>
      <c r="AB354" s="54">
        <v>0</v>
      </c>
      <c r="AC354" s="54">
        <v>0</v>
      </c>
      <c r="AD354" s="54">
        <v>0</v>
      </c>
      <c r="AE354" s="54">
        <v>0</v>
      </c>
      <c r="AF354" s="54">
        <v>0</v>
      </c>
      <c r="AG354" s="54">
        <v>0</v>
      </c>
      <c r="AH354" s="54">
        <v>0</v>
      </c>
      <c r="AI354" s="54">
        <v>0</v>
      </c>
      <c r="AJ354" s="54">
        <v>0</v>
      </c>
      <c r="AK354" s="54">
        <v>0</v>
      </c>
      <c r="AL354" s="54">
        <v>0</v>
      </c>
      <c r="AM354" s="54" t="str">
        <f>I354-J354-K354-L354-M354-N354-O354-P354-Q354-R354-S354-T354-U354-V354-W354-X354-Y354-Z354-AA354-AB354-AC354-AD354-AE354-AF354-AG354+AH354-AI354+AJ354+AK354-AL354</f>
        <v>0</v>
      </c>
      <c r="AN354" s="54"/>
      <c r="AO354" s="27"/>
    </row>
    <row r="355" spans="1:41">
      <c r="A355" s="44">
        <v>327</v>
      </c>
      <c r="B355" s="47" t="s">
        <v>1423</v>
      </c>
      <c r="C355" s="48" t="s">
        <v>1424</v>
      </c>
      <c r="D355" s="52" t="s">
        <v>73</v>
      </c>
      <c r="E355" s="52" t="s">
        <v>1339</v>
      </c>
      <c r="F355" s="55" t="s">
        <v>893</v>
      </c>
      <c r="G355" s="51">
        <v>4</v>
      </c>
      <c r="H355" s="52" t="s">
        <v>1425</v>
      </c>
      <c r="I355" s="54">
        <v>675000</v>
      </c>
      <c r="J355" s="54">
        <v>0</v>
      </c>
      <c r="K355" s="54">
        <v>25000</v>
      </c>
      <c r="L355" s="54">
        <v>0</v>
      </c>
      <c r="M355" s="54">
        <v>0</v>
      </c>
      <c r="N355" s="54">
        <v>0</v>
      </c>
      <c r="O355" s="54">
        <v>0</v>
      </c>
      <c r="P355" s="54">
        <v>0</v>
      </c>
      <c r="Q355" s="54">
        <v>0</v>
      </c>
      <c r="R355" s="54">
        <v>0</v>
      </c>
      <c r="S355" s="54">
        <v>0</v>
      </c>
      <c r="T355" s="54">
        <v>0</v>
      </c>
      <c r="U355" s="54">
        <v>2572</v>
      </c>
      <c r="V355" s="54">
        <v>0</v>
      </c>
      <c r="W355" s="54">
        <v>0</v>
      </c>
      <c r="X355" s="54">
        <v>0</v>
      </c>
      <c r="Y355" s="54">
        <v>0</v>
      </c>
      <c r="Z355" s="54">
        <v>0</v>
      </c>
      <c r="AA355" s="54">
        <v>0</v>
      </c>
      <c r="AB355" s="54">
        <v>0</v>
      </c>
      <c r="AC355" s="54">
        <v>0</v>
      </c>
      <c r="AD355" s="54">
        <v>0</v>
      </c>
      <c r="AE355" s="54">
        <v>0</v>
      </c>
      <c r="AF355" s="54">
        <v>0</v>
      </c>
      <c r="AG355" s="54">
        <v>0</v>
      </c>
      <c r="AH355" s="54">
        <v>0</v>
      </c>
      <c r="AI355" s="54">
        <v>0</v>
      </c>
      <c r="AJ355" s="54">
        <v>0</v>
      </c>
      <c r="AK355" s="54">
        <v>0</v>
      </c>
      <c r="AL355" s="54">
        <v>0</v>
      </c>
      <c r="AM355" s="54" t="str">
        <f>I355-J355-K355-L355-M355-N355-O355-P355-Q355-R355-S355-T355-U355-V355-W355-X355-Y355-Z355-AA355-AB355-AC355-AD355-AE355-AF355-AG355+AH355-AI355+AJ355+AK355-AL355</f>
        <v>0</v>
      </c>
      <c r="AN355" s="54"/>
      <c r="AO355" s="27"/>
    </row>
    <row r="356" spans="1:41">
      <c r="A356" s="44">
        <v>328</v>
      </c>
      <c r="B356" s="47" t="s">
        <v>1426</v>
      </c>
      <c r="C356" s="48" t="s">
        <v>1427</v>
      </c>
      <c r="D356" s="52" t="s">
        <v>73</v>
      </c>
      <c r="E356" s="52" t="s">
        <v>1339</v>
      </c>
      <c r="F356" s="55" t="s">
        <v>1428</v>
      </c>
      <c r="G356" s="51">
        <v>2</v>
      </c>
      <c r="H356" s="52" t="s">
        <v>1429</v>
      </c>
      <c r="I356" s="54">
        <v>169000</v>
      </c>
      <c r="J356" s="54">
        <v>0</v>
      </c>
      <c r="K356" s="54">
        <v>22000</v>
      </c>
      <c r="L356" s="54">
        <v>0</v>
      </c>
      <c r="M356" s="54">
        <v>0</v>
      </c>
      <c r="N356" s="54">
        <v>0</v>
      </c>
      <c r="O356" s="54">
        <v>0</v>
      </c>
      <c r="P356" s="54">
        <v>0</v>
      </c>
      <c r="Q356" s="54">
        <v>0</v>
      </c>
      <c r="R356" s="54">
        <v>0</v>
      </c>
      <c r="S356" s="54">
        <v>0</v>
      </c>
      <c r="T356" s="54">
        <v>0</v>
      </c>
      <c r="U356" s="54">
        <v>2263</v>
      </c>
      <c r="V356" s="54">
        <v>0</v>
      </c>
      <c r="W356" s="54">
        <v>0</v>
      </c>
      <c r="X356" s="54">
        <v>0</v>
      </c>
      <c r="Y356" s="54">
        <v>0</v>
      </c>
      <c r="Z356" s="54">
        <v>0</v>
      </c>
      <c r="AA356" s="54">
        <v>0</v>
      </c>
      <c r="AB356" s="54">
        <v>0</v>
      </c>
      <c r="AC356" s="54">
        <v>0</v>
      </c>
      <c r="AD356" s="54">
        <v>0</v>
      </c>
      <c r="AE356" s="54">
        <v>0</v>
      </c>
      <c r="AF356" s="54">
        <v>0</v>
      </c>
      <c r="AG356" s="54">
        <v>0</v>
      </c>
      <c r="AH356" s="54">
        <v>0</v>
      </c>
      <c r="AI356" s="54">
        <v>0</v>
      </c>
      <c r="AJ356" s="54">
        <v>0</v>
      </c>
      <c r="AK356" s="54">
        <v>0</v>
      </c>
      <c r="AL356" s="54">
        <v>0</v>
      </c>
      <c r="AM356" s="54" t="str">
        <f>I356-J356-K356-L356-M356-N356-O356-P356-Q356-R356-S356-T356-U356-V356-W356-X356-Y356-Z356-AA356-AB356-AC356-AD356-AE356-AF356-AG356+AH356-AI356+AJ356+AK356-AL356</f>
        <v>0</v>
      </c>
      <c r="AN356" s="54"/>
      <c r="AO356" s="27"/>
    </row>
    <row r="357" spans="1:41">
      <c r="A357" s="44">
        <v>329</v>
      </c>
      <c r="B357" s="47" t="s">
        <v>1430</v>
      </c>
      <c r="C357" s="48" t="s">
        <v>1431</v>
      </c>
      <c r="D357" s="52" t="s">
        <v>73</v>
      </c>
      <c r="E357" s="52" t="s">
        <v>1339</v>
      </c>
      <c r="F357" s="55" t="s">
        <v>1432</v>
      </c>
      <c r="G357" s="51">
        <v>5.8</v>
      </c>
      <c r="H357" s="52" t="s">
        <v>1433</v>
      </c>
      <c r="I357" s="54">
        <v>599000</v>
      </c>
      <c r="J357" s="54">
        <v>0</v>
      </c>
      <c r="K357" s="54">
        <v>31000</v>
      </c>
      <c r="L357" s="54">
        <v>0</v>
      </c>
      <c r="M357" s="54">
        <v>0</v>
      </c>
      <c r="N357" s="54">
        <v>0</v>
      </c>
      <c r="O357" s="54">
        <v>0</v>
      </c>
      <c r="P357" s="54">
        <v>0</v>
      </c>
      <c r="Q357" s="54">
        <v>0</v>
      </c>
      <c r="R357" s="54">
        <v>0</v>
      </c>
      <c r="S357" s="54">
        <v>0</v>
      </c>
      <c r="T357" s="54">
        <v>0</v>
      </c>
      <c r="U357" s="54">
        <v>3189</v>
      </c>
      <c r="V357" s="54">
        <v>0</v>
      </c>
      <c r="W357" s="54">
        <v>0</v>
      </c>
      <c r="X357" s="54">
        <v>0</v>
      </c>
      <c r="Y357" s="54">
        <v>0</v>
      </c>
      <c r="Z357" s="54">
        <v>0</v>
      </c>
      <c r="AA357" s="54">
        <v>0</v>
      </c>
      <c r="AB357" s="54">
        <v>0</v>
      </c>
      <c r="AC357" s="54">
        <v>0</v>
      </c>
      <c r="AD357" s="54">
        <v>0</v>
      </c>
      <c r="AE357" s="54">
        <v>0</v>
      </c>
      <c r="AF357" s="54">
        <v>0</v>
      </c>
      <c r="AG357" s="54">
        <v>0</v>
      </c>
      <c r="AH357" s="54">
        <v>0</v>
      </c>
      <c r="AI357" s="54">
        <v>0</v>
      </c>
      <c r="AJ357" s="54">
        <v>0</v>
      </c>
      <c r="AK357" s="54">
        <v>0</v>
      </c>
      <c r="AL357" s="54">
        <v>0</v>
      </c>
      <c r="AM357" s="54" t="str">
        <f>I357-J357-K357-L357-M357-N357-O357-P357-Q357-R357-S357-T357-U357-V357-W357-X357-Y357-Z357-AA357-AB357-AC357-AD357-AE357-AF357-AG357+AH357-AI357+AJ357+AK357-AL357</f>
        <v>0</v>
      </c>
      <c r="AN357" s="54"/>
      <c r="AO357" s="27"/>
    </row>
    <row r="358" spans="1:41">
      <c r="A358" s="44">
        <v>330</v>
      </c>
      <c r="B358" s="47" t="s">
        <v>1434</v>
      </c>
      <c r="C358" s="48" t="s">
        <v>1435</v>
      </c>
      <c r="D358" s="52" t="s">
        <v>73</v>
      </c>
      <c r="E358" s="52" t="s">
        <v>1339</v>
      </c>
      <c r="F358" s="55" t="s">
        <v>1436</v>
      </c>
      <c r="G358" s="51">
        <v>2</v>
      </c>
      <c r="H358" s="52" t="s">
        <v>1437</v>
      </c>
      <c r="I358" s="54">
        <v>350000</v>
      </c>
      <c r="J358" s="54">
        <v>0</v>
      </c>
      <c r="K358" s="54">
        <v>22000</v>
      </c>
      <c r="L358" s="54">
        <v>0</v>
      </c>
      <c r="M358" s="54">
        <v>0</v>
      </c>
      <c r="N358" s="54">
        <v>0</v>
      </c>
      <c r="O358" s="54">
        <v>0</v>
      </c>
      <c r="P358" s="54">
        <v>0</v>
      </c>
      <c r="Q358" s="54">
        <v>0</v>
      </c>
      <c r="R358" s="54">
        <v>0</v>
      </c>
      <c r="S358" s="54">
        <v>0</v>
      </c>
      <c r="T358" s="54">
        <v>0</v>
      </c>
      <c r="U358" s="54">
        <v>2263</v>
      </c>
      <c r="V358" s="54">
        <v>0</v>
      </c>
      <c r="W358" s="54">
        <v>0</v>
      </c>
      <c r="X358" s="54">
        <v>0</v>
      </c>
      <c r="Y358" s="54">
        <v>0</v>
      </c>
      <c r="Z358" s="54">
        <v>0</v>
      </c>
      <c r="AA358" s="54">
        <v>0</v>
      </c>
      <c r="AB358" s="54">
        <v>0</v>
      </c>
      <c r="AC358" s="54">
        <v>0</v>
      </c>
      <c r="AD358" s="54">
        <v>0</v>
      </c>
      <c r="AE358" s="54">
        <v>0</v>
      </c>
      <c r="AF358" s="54">
        <v>0</v>
      </c>
      <c r="AG358" s="54">
        <v>0</v>
      </c>
      <c r="AH358" s="54">
        <v>0</v>
      </c>
      <c r="AI358" s="54">
        <v>0</v>
      </c>
      <c r="AJ358" s="54">
        <v>0</v>
      </c>
      <c r="AK358" s="54">
        <v>0</v>
      </c>
      <c r="AL358" s="54">
        <v>0</v>
      </c>
      <c r="AM358" s="54" t="str">
        <f>I358-J358-K358-L358-M358-N358-O358-P358-Q358-R358-S358-T358-U358-V358-W358-X358-Y358-Z358-AA358-AB358-AC358-AD358-AE358-AF358-AG358+AH358-AI358+AJ358+AK358-AL358</f>
        <v>0</v>
      </c>
      <c r="AN358" s="54"/>
      <c r="AO358" s="27"/>
    </row>
    <row r="359" spans="1:41">
      <c r="A359" s="44">
        <v>331</v>
      </c>
      <c r="B359" s="47" t="s">
        <v>1438</v>
      </c>
      <c r="C359" s="48" t="s">
        <v>1439</v>
      </c>
      <c r="D359" s="52" t="s">
        <v>62</v>
      </c>
      <c r="E359" s="52" t="s">
        <v>1339</v>
      </c>
      <c r="F359" s="55" t="s">
        <v>1440</v>
      </c>
      <c r="G359" s="51">
        <v>8</v>
      </c>
      <c r="H359" s="52" t="s">
        <v>1441</v>
      </c>
      <c r="I359" s="54">
        <v>0</v>
      </c>
      <c r="J359" s="54">
        <v>0</v>
      </c>
      <c r="K359" s="54">
        <v>39000</v>
      </c>
      <c r="L359" s="54">
        <v>0</v>
      </c>
      <c r="M359" s="54">
        <v>0</v>
      </c>
      <c r="N359" s="54">
        <v>0</v>
      </c>
      <c r="O359" s="54">
        <v>0</v>
      </c>
      <c r="P359" s="54">
        <v>0</v>
      </c>
      <c r="Q359" s="54">
        <v>0</v>
      </c>
      <c r="R359" s="54">
        <v>0</v>
      </c>
      <c r="S359" s="54">
        <v>0</v>
      </c>
      <c r="T359" s="54">
        <v>0</v>
      </c>
      <c r="U359" s="54">
        <v>4013</v>
      </c>
      <c r="V359" s="54">
        <v>0</v>
      </c>
      <c r="W359" s="54">
        <v>0</v>
      </c>
      <c r="X359" s="54">
        <v>0</v>
      </c>
      <c r="Y359" s="54">
        <v>0</v>
      </c>
      <c r="Z359" s="54">
        <v>0</v>
      </c>
      <c r="AA359" s="54">
        <v>0</v>
      </c>
      <c r="AB359" s="54">
        <v>0</v>
      </c>
      <c r="AC359" s="54">
        <v>0</v>
      </c>
      <c r="AD359" s="54">
        <v>0</v>
      </c>
      <c r="AE359" s="54">
        <v>0</v>
      </c>
      <c r="AF359" s="54">
        <v>0</v>
      </c>
      <c r="AG359" s="54">
        <v>0</v>
      </c>
      <c r="AH359" s="54">
        <v>0</v>
      </c>
      <c r="AI359" s="54">
        <v>0</v>
      </c>
      <c r="AJ359" s="54">
        <v>0</v>
      </c>
      <c r="AK359" s="54">
        <v>0</v>
      </c>
      <c r="AL359" s="54">
        <v>0</v>
      </c>
      <c r="AM359" s="54" t="str">
        <f>I359-J359-K359-L359-M359-N359-O359-P359-Q359-R359-S359-T359-U359-V359-W359-X359-Y359-Z359-AA359-AB359-AC359-AD359-AE359-AF359-AG359+AH359-AI359+AJ359+AK359-AL359</f>
        <v>0</v>
      </c>
      <c r="AN359" s="54"/>
      <c r="AO359" s="27"/>
    </row>
    <row r="360" spans="1:41">
      <c r="A360" s="44">
        <v>332</v>
      </c>
      <c r="B360" s="47" t="s">
        <v>1442</v>
      </c>
      <c r="C360" s="48" t="s">
        <v>1443</v>
      </c>
      <c r="D360" s="52" t="s">
        <v>62</v>
      </c>
      <c r="E360" s="52" t="s">
        <v>1339</v>
      </c>
      <c r="F360" s="55" t="s">
        <v>1444</v>
      </c>
      <c r="G360" s="51">
        <v>3</v>
      </c>
      <c r="H360" s="52" t="s">
        <v>1445</v>
      </c>
      <c r="I360" s="54">
        <v>0</v>
      </c>
      <c r="J360" s="54">
        <v>0</v>
      </c>
      <c r="K360" s="54">
        <v>22000</v>
      </c>
      <c r="L360" s="54">
        <v>0</v>
      </c>
      <c r="M360" s="54">
        <v>0</v>
      </c>
      <c r="N360" s="54">
        <v>0</v>
      </c>
      <c r="O360" s="54">
        <v>0</v>
      </c>
      <c r="P360" s="54">
        <v>0</v>
      </c>
      <c r="Q360" s="54">
        <v>0</v>
      </c>
      <c r="R360" s="54">
        <v>0</v>
      </c>
      <c r="S360" s="54">
        <v>0</v>
      </c>
      <c r="T360" s="54">
        <v>0</v>
      </c>
      <c r="U360" s="54">
        <v>2263</v>
      </c>
      <c r="V360" s="54">
        <v>0</v>
      </c>
      <c r="W360" s="54">
        <v>0</v>
      </c>
      <c r="X360" s="54">
        <v>0</v>
      </c>
      <c r="Y360" s="54">
        <v>5000</v>
      </c>
      <c r="Z360" s="54">
        <v>0</v>
      </c>
      <c r="AA360" s="54">
        <v>0</v>
      </c>
      <c r="AB360" s="54">
        <v>0</v>
      </c>
      <c r="AC360" s="54">
        <v>0</v>
      </c>
      <c r="AD360" s="54">
        <v>0</v>
      </c>
      <c r="AE360" s="54">
        <v>0</v>
      </c>
      <c r="AF360" s="54">
        <v>0</v>
      </c>
      <c r="AG360" s="54">
        <v>0</v>
      </c>
      <c r="AH360" s="54">
        <v>0</v>
      </c>
      <c r="AI360" s="54">
        <v>0</v>
      </c>
      <c r="AJ360" s="54">
        <v>0</v>
      </c>
      <c r="AK360" s="54">
        <v>0</v>
      </c>
      <c r="AL360" s="54">
        <v>0</v>
      </c>
      <c r="AM360" s="54" t="str">
        <f>I360-J360-K360-L360-M360-N360-O360-P360-Q360-R360-S360-T360-U360-V360-W360-X360-Y360-Z360-AA360-AB360-AC360-AD360-AE360-AF360-AG360+AH360-AI360+AJ360+AK360-AL360</f>
        <v>0</v>
      </c>
      <c r="AN360" s="54"/>
      <c r="AO360" s="27"/>
    </row>
    <row r="361" spans="1:41">
      <c r="A361" s="44">
        <v>333</v>
      </c>
      <c r="B361" s="47" t="s">
        <v>1446</v>
      </c>
      <c r="C361" s="48" t="s">
        <v>1447</v>
      </c>
      <c r="D361" s="52" t="s">
        <v>73</v>
      </c>
      <c r="E361" s="52" t="s">
        <v>1339</v>
      </c>
      <c r="F361" s="55" t="s">
        <v>1448</v>
      </c>
      <c r="G361" s="51">
        <v>2</v>
      </c>
      <c r="H361" s="52" t="s">
        <v>1449</v>
      </c>
      <c r="I361" s="54">
        <v>254000</v>
      </c>
      <c r="J361" s="54">
        <v>0</v>
      </c>
      <c r="K361" s="54">
        <v>22000</v>
      </c>
      <c r="L361" s="54">
        <v>0</v>
      </c>
      <c r="M361" s="54">
        <v>0</v>
      </c>
      <c r="N361" s="54">
        <v>0</v>
      </c>
      <c r="O361" s="54">
        <v>0</v>
      </c>
      <c r="P361" s="54">
        <v>0</v>
      </c>
      <c r="Q361" s="54">
        <v>0</v>
      </c>
      <c r="R361" s="54">
        <v>0</v>
      </c>
      <c r="S361" s="54">
        <v>0</v>
      </c>
      <c r="T361" s="54">
        <v>0</v>
      </c>
      <c r="U361" s="54">
        <v>2263</v>
      </c>
      <c r="V361" s="54">
        <v>0</v>
      </c>
      <c r="W361" s="54">
        <v>0</v>
      </c>
      <c r="X361" s="54">
        <v>0</v>
      </c>
      <c r="Y361" s="54">
        <v>0</v>
      </c>
      <c r="Z361" s="54">
        <v>0</v>
      </c>
      <c r="AA361" s="54">
        <v>0</v>
      </c>
      <c r="AB361" s="54">
        <v>0</v>
      </c>
      <c r="AC361" s="54">
        <v>0</v>
      </c>
      <c r="AD361" s="54">
        <v>0</v>
      </c>
      <c r="AE361" s="54">
        <v>0</v>
      </c>
      <c r="AF361" s="54">
        <v>0</v>
      </c>
      <c r="AG361" s="54">
        <v>0</v>
      </c>
      <c r="AH361" s="54">
        <v>0</v>
      </c>
      <c r="AI361" s="54">
        <v>0</v>
      </c>
      <c r="AJ361" s="54">
        <v>0</v>
      </c>
      <c r="AK361" s="54">
        <v>0</v>
      </c>
      <c r="AL361" s="54">
        <v>0</v>
      </c>
      <c r="AM361" s="54" t="str">
        <f>I361-J361-K361-L361-M361-N361-O361-P361-Q361-R361-S361-T361-U361-V361-W361-X361-Y361-Z361-AA361-AB361-AC361-AD361-AE361-AF361-AG361+AH361-AI361+AJ361+AK361-AL361</f>
        <v>0</v>
      </c>
      <c r="AN361" s="54"/>
      <c r="AO361" s="27"/>
    </row>
    <row r="362" spans="1:41">
      <c r="A362" s="44">
        <v>334</v>
      </c>
      <c r="B362" s="47" t="s">
        <v>1450</v>
      </c>
      <c r="C362" s="48" t="s">
        <v>1451</v>
      </c>
      <c r="D362" s="52" t="s">
        <v>73</v>
      </c>
      <c r="E362" s="52" t="s">
        <v>1339</v>
      </c>
      <c r="F362" s="55" t="s">
        <v>1452</v>
      </c>
      <c r="G362" s="51">
        <v>3</v>
      </c>
      <c r="H362" s="52" t="s">
        <v>1453</v>
      </c>
      <c r="I362" s="54">
        <v>434000</v>
      </c>
      <c r="J362" s="54">
        <v>0</v>
      </c>
      <c r="K362" s="54">
        <v>22000</v>
      </c>
      <c r="L362" s="54">
        <v>0</v>
      </c>
      <c r="M362" s="54">
        <v>0</v>
      </c>
      <c r="N362" s="54">
        <v>0</v>
      </c>
      <c r="O362" s="54">
        <v>0</v>
      </c>
      <c r="P362" s="54">
        <v>0</v>
      </c>
      <c r="Q362" s="54">
        <v>0</v>
      </c>
      <c r="R362" s="54">
        <v>0</v>
      </c>
      <c r="S362" s="54">
        <v>0</v>
      </c>
      <c r="T362" s="54">
        <v>0</v>
      </c>
      <c r="U362" s="54">
        <v>2263</v>
      </c>
      <c r="V362" s="54">
        <v>0</v>
      </c>
      <c r="W362" s="54">
        <v>0</v>
      </c>
      <c r="X362" s="54">
        <v>0</v>
      </c>
      <c r="Y362" s="54">
        <v>0</v>
      </c>
      <c r="Z362" s="54">
        <v>0</v>
      </c>
      <c r="AA362" s="54">
        <v>0</v>
      </c>
      <c r="AB362" s="54">
        <v>0</v>
      </c>
      <c r="AC362" s="54">
        <v>0</v>
      </c>
      <c r="AD362" s="54">
        <v>0</v>
      </c>
      <c r="AE362" s="54">
        <v>0</v>
      </c>
      <c r="AF362" s="54">
        <v>0</v>
      </c>
      <c r="AG362" s="54">
        <v>0</v>
      </c>
      <c r="AH362" s="54">
        <v>0</v>
      </c>
      <c r="AI362" s="54">
        <v>0</v>
      </c>
      <c r="AJ362" s="54">
        <v>0</v>
      </c>
      <c r="AK362" s="54">
        <v>0</v>
      </c>
      <c r="AL362" s="54">
        <v>0</v>
      </c>
      <c r="AM362" s="54" t="str">
        <f>I362-J362-K362-L362-M362-N362-O362-P362-Q362-R362-S362-T362-U362-V362-W362-X362-Y362-Z362-AA362-AB362-AC362-AD362-AE362-AF362-AG362+AH362-AI362+AJ362+AK362-AL362</f>
        <v>0</v>
      </c>
      <c r="AN362" s="54"/>
      <c r="AO362" s="27"/>
    </row>
    <row r="363" spans="1:41">
      <c r="A363" s="44">
        <v>335</v>
      </c>
      <c r="B363" s="47" t="s">
        <v>1454</v>
      </c>
      <c r="C363" s="48" t="s">
        <v>1455</v>
      </c>
      <c r="D363" s="52" t="s">
        <v>73</v>
      </c>
      <c r="E363" s="52" t="s">
        <v>1339</v>
      </c>
      <c r="F363" s="55" t="s">
        <v>1456</v>
      </c>
      <c r="G363" s="51">
        <v>4</v>
      </c>
      <c r="H363" s="52" t="s">
        <v>1457</v>
      </c>
      <c r="I363" s="54">
        <v>255000</v>
      </c>
      <c r="J363" s="54">
        <v>0</v>
      </c>
      <c r="K363" s="54">
        <v>25000</v>
      </c>
      <c r="L363" s="54">
        <v>0</v>
      </c>
      <c r="M363" s="54">
        <v>0</v>
      </c>
      <c r="N363" s="54">
        <v>0</v>
      </c>
      <c r="O363" s="54">
        <v>0</v>
      </c>
      <c r="P363" s="54">
        <v>0</v>
      </c>
      <c r="Q363" s="54">
        <v>0</v>
      </c>
      <c r="R363" s="54">
        <v>0</v>
      </c>
      <c r="S363" s="54">
        <v>0</v>
      </c>
      <c r="T363" s="54">
        <v>0</v>
      </c>
      <c r="U363" s="54">
        <v>2572</v>
      </c>
      <c r="V363" s="54">
        <v>0</v>
      </c>
      <c r="W363" s="54">
        <v>0</v>
      </c>
      <c r="X363" s="54">
        <v>0</v>
      </c>
      <c r="Y363" s="54">
        <v>0</v>
      </c>
      <c r="Z363" s="54">
        <v>0</v>
      </c>
      <c r="AA363" s="54">
        <v>0</v>
      </c>
      <c r="AB363" s="54">
        <v>0</v>
      </c>
      <c r="AC363" s="54">
        <v>0</v>
      </c>
      <c r="AD363" s="54">
        <v>0</v>
      </c>
      <c r="AE363" s="54">
        <v>0</v>
      </c>
      <c r="AF363" s="54">
        <v>0</v>
      </c>
      <c r="AG363" s="54">
        <v>0</v>
      </c>
      <c r="AH363" s="54">
        <v>0</v>
      </c>
      <c r="AI363" s="54">
        <v>0</v>
      </c>
      <c r="AJ363" s="54">
        <v>0</v>
      </c>
      <c r="AK363" s="54">
        <v>0</v>
      </c>
      <c r="AL363" s="54">
        <v>0</v>
      </c>
      <c r="AM363" s="54" t="str">
        <f>I363-J363-K363-L363-M363-N363-O363-P363-Q363-R363-S363-T363-U363-V363-W363-X363-Y363-Z363-AA363-AB363-AC363-AD363-AE363-AF363-AG363+AH363-AI363+AJ363+AK363-AL363</f>
        <v>0</v>
      </c>
      <c r="AN363" s="54"/>
      <c r="AO363" s="27"/>
    </row>
    <row r="364" spans="1:41">
      <c r="A364" s="44">
        <v>336</v>
      </c>
      <c r="B364" s="47" t="s">
        <v>1458</v>
      </c>
      <c r="C364" s="48" t="s">
        <v>1459</v>
      </c>
      <c r="D364" s="52" t="s">
        <v>62</v>
      </c>
      <c r="E364" s="52" t="s">
        <v>1339</v>
      </c>
      <c r="F364" s="55" t="s">
        <v>1460</v>
      </c>
      <c r="G364" s="51">
        <v>6</v>
      </c>
      <c r="H364" s="52" t="s">
        <v>1461</v>
      </c>
      <c r="I364" s="54">
        <v>0</v>
      </c>
      <c r="J364" s="54">
        <v>0</v>
      </c>
      <c r="K364" s="54">
        <v>31000</v>
      </c>
      <c r="L364" s="54">
        <v>0</v>
      </c>
      <c r="M364" s="54">
        <v>0</v>
      </c>
      <c r="N364" s="54">
        <v>0</v>
      </c>
      <c r="O364" s="54">
        <v>0</v>
      </c>
      <c r="P364" s="54">
        <v>0</v>
      </c>
      <c r="Q364" s="54">
        <v>0</v>
      </c>
      <c r="R364" s="54">
        <v>0</v>
      </c>
      <c r="S364" s="54">
        <v>0</v>
      </c>
      <c r="T364" s="54">
        <v>0</v>
      </c>
      <c r="U364" s="54">
        <v>3189</v>
      </c>
      <c r="V364" s="54">
        <v>0</v>
      </c>
      <c r="W364" s="54">
        <v>0</v>
      </c>
      <c r="X364" s="54">
        <v>0</v>
      </c>
      <c r="Y364" s="54">
        <v>15500</v>
      </c>
      <c r="Z364" s="54">
        <v>0</v>
      </c>
      <c r="AA364" s="54">
        <v>0</v>
      </c>
      <c r="AB364" s="54">
        <v>0</v>
      </c>
      <c r="AC364" s="54">
        <v>0</v>
      </c>
      <c r="AD364" s="54">
        <v>0</v>
      </c>
      <c r="AE364" s="54">
        <v>0</v>
      </c>
      <c r="AF364" s="54">
        <v>0</v>
      </c>
      <c r="AG364" s="54">
        <v>0</v>
      </c>
      <c r="AH364" s="54">
        <v>0</v>
      </c>
      <c r="AI364" s="54">
        <v>0</v>
      </c>
      <c r="AJ364" s="54">
        <v>0</v>
      </c>
      <c r="AK364" s="54">
        <v>0</v>
      </c>
      <c r="AL364" s="54">
        <v>0</v>
      </c>
      <c r="AM364" s="54" t="str">
        <f>I364-J364-K364-L364-M364-N364-O364-P364-Q364-R364-S364-T364-U364-V364-W364-X364-Y364-Z364-AA364-AB364-AC364-AD364-AE364-AF364-AG364+AH364-AI364+AJ364+AK364-AL364</f>
        <v>0</v>
      </c>
      <c r="AN364" s="54"/>
      <c r="AO364" s="27"/>
    </row>
    <row r="365" spans="1:41">
      <c r="A365" s="44">
        <v>337</v>
      </c>
      <c r="B365" s="47" t="s">
        <v>1462</v>
      </c>
      <c r="C365" s="48" t="s">
        <v>1463</v>
      </c>
      <c r="D365" s="52" t="s">
        <v>62</v>
      </c>
      <c r="E365" s="52" t="s">
        <v>1339</v>
      </c>
      <c r="F365" s="55" t="s">
        <v>1464</v>
      </c>
      <c r="G365" s="51">
        <v>6</v>
      </c>
      <c r="H365" s="52" t="s">
        <v>1465</v>
      </c>
      <c r="I365" s="54">
        <v>0</v>
      </c>
      <c r="J365" s="54">
        <v>0</v>
      </c>
      <c r="K365" s="54">
        <v>31000</v>
      </c>
      <c r="L365" s="54">
        <v>0</v>
      </c>
      <c r="M365" s="54">
        <v>0</v>
      </c>
      <c r="N365" s="54">
        <v>0</v>
      </c>
      <c r="O365" s="54">
        <v>0</v>
      </c>
      <c r="P365" s="54">
        <v>0</v>
      </c>
      <c r="Q365" s="54">
        <v>0</v>
      </c>
      <c r="R365" s="54">
        <v>0</v>
      </c>
      <c r="S365" s="54">
        <v>0</v>
      </c>
      <c r="T365" s="54">
        <v>0</v>
      </c>
      <c r="U365" s="54">
        <v>3189</v>
      </c>
      <c r="V365" s="54">
        <v>0</v>
      </c>
      <c r="W365" s="54">
        <v>0</v>
      </c>
      <c r="X365" s="54">
        <v>0</v>
      </c>
      <c r="Y365" s="54">
        <v>15500</v>
      </c>
      <c r="Z365" s="54">
        <v>0</v>
      </c>
      <c r="AA365" s="54">
        <v>0</v>
      </c>
      <c r="AB365" s="54">
        <v>0</v>
      </c>
      <c r="AC365" s="54">
        <v>0</v>
      </c>
      <c r="AD365" s="54">
        <v>0</v>
      </c>
      <c r="AE365" s="54">
        <v>0</v>
      </c>
      <c r="AF365" s="54">
        <v>0</v>
      </c>
      <c r="AG365" s="54">
        <v>0</v>
      </c>
      <c r="AH365" s="54">
        <v>0</v>
      </c>
      <c r="AI365" s="54">
        <v>0</v>
      </c>
      <c r="AJ365" s="54">
        <v>0</v>
      </c>
      <c r="AK365" s="54">
        <v>0</v>
      </c>
      <c r="AL365" s="54">
        <v>0</v>
      </c>
      <c r="AM365" s="54" t="str">
        <f>I365-J365-K365-L365-M365-N365-O365-P365-Q365-R365-S365-T365-U365-V365-W365-X365-Y365-Z365-AA365-AB365-AC365-AD365-AE365-AF365-AG365+AH365-AI365+AJ365+AK365-AL365</f>
        <v>0</v>
      </c>
      <c r="AN365" s="54"/>
      <c r="AO365" s="27"/>
    </row>
    <row r="366" spans="1:41">
      <c r="A366" s="44">
        <v>338</v>
      </c>
      <c r="B366" s="47" t="s">
        <v>1466</v>
      </c>
      <c r="C366" s="48" t="s">
        <v>1467</v>
      </c>
      <c r="D366" s="52" t="s">
        <v>73</v>
      </c>
      <c r="E366" s="52" t="s">
        <v>1339</v>
      </c>
      <c r="F366" s="55" t="s">
        <v>1468</v>
      </c>
      <c r="G366" s="51">
        <v>2</v>
      </c>
      <c r="H366" s="52" t="s">
        <v>1469</v>
      </c>
      <c r="I366" s="54">
        <v>399000</v>
      </c>
      <c r="J366" s="54">
        <v>0</v>
      </c>
      <c r="K366" s="54">
        <v>22000</v>
      </c>
      <c r="L366" s="54">
        <v>0</v>
      </c>
      <c r="M366" s="54">
        <v>0</v>
      </c>
      <c r="N366" s="54">
        <v>0</v>
      </c>
      <c r="O366" s="54">
        <v>0</v>
      </c>
      <c r="P366" s="54">
        <v>0</v>
      </c>
      <c r="Q366" s="54">
        <v>0</v>
      </c>
      <c r="R366" s="54">
        <v>0</v>
      </c>
      <c r="S366" s="54">
        <v>0</v>
      </c>
      <c r="T366" s="54">
        <v>0</v>
      </c>
      <c r="U366" s="54">
        <v>2263</v>
      </c>
      <c r="V366" s="54">
        <v>0</v>
      </c>
      <c r="W366" s="54">
        <v>0</v>
      </c>
      <c r="X366" s="54">
        <v>0</v>
      </c>
      <c r="Y366" s="54">
        <v>0</v>
      </c>
      <c r="Z366" s="54">
        <v>0</v>
      </c>
      <c r="AA366" s="54">
        <v>0</v>
      </c>
      <c r="AB366" s="54">
        <v>0</v>
      </c>
      <c r="AC366" s="54">
        <v>0</v>
      </c>
      <c r="AD366" s="54">
        <v>0</v>
      </c>
      <c r="AE366" s="54">
        <v>0</v>
      </c>
      <c r="AF366" s="54">
        <v>0</v>
      </c>
      <c r="AG366" s="54">
        <v>0</v>
      </c>
      <c r="AH366" s="54">
        <v>0</v>
      </c>
      <c r="AI366" s="54">
        <v>0</v>
      </c>
      <c r="AJ366" s="54">
        <v>0</v>
      </c>
      <c r="AK366" s="54">
        <v>0</v>
      </c>
      <c r="AL366" s="54">
        <v>0</v>
      </c>
      <c r="AM366" s="54" t="str">
        <f>I366-J366-K366-L366-M366-N366-O366-P366-Q366-R366-S366-T366-U366-V366-W366-X366-Y366-Z366-AA366-AB366-AC366-AD366-AE366-AF366-AG366+AH366-AI366+AJ366+AK366-AL366</f>
        <v>0</v>
      </c>
      <c r="AN366" s="54"/>
      <c r="AO366" s="27"/>
    </row>
    <row r="367" spans="1:41">
      <c r="A367" s="44">
        <v>339</v>
      </c>
      <c r="B367" s="47" t="s">
        <v>1470</v>
      </c>
      <c r="C367" s="48" t="s">
        <v>1471</v>
      </c>
      <c r="D367" s="52" t="s">
        <v>73</v>
      </c>
      <c r="E367" s="52" t="s">
        <v>1339</v>
      </c>
      <c r="F367" s="55" t="s">
        <v>1472</v>
      </c>
      <c r="G367" s="51">
        <v>4</v>
      </c>
      <c r="H367" s="52" t="s">
        <v>1473</v>
      </c>
      <c r="I367" s="54">
        <v>549000</v>
      </c>
      <c r="J367" s="54">
        <v>0</v>
      </c>
      <c r="K367" s="54">
        <v>25000</v>
      </c>
      <c r="L367" s="54">
        <v>0</v>
      </c>
      <c r="M367" s="54">
        <v>0</v>
      </c>
      <c r="N367" s="54">
        <v>0</v>
      </c>
      <c r="O367" s="54">
        <v>0</v>
      </c>
      <c r="P367" s="54">
        <v>0</v>
      </c>
      <c r="Q367" s="54">
        <v>0</v>
      </c>
      <c r="R367" s="54">
        <v>0</v>
      </c>
      <c r="S367" s="54">
        <v>0</v>
      </c>
      <c r="T367" s="54">
        <v>0</v>
      </c>
      <c r="U367" s="54">
        <v>2572</v>
      </c>
      <c r="V367" s="54">
        <v>0</v>
      </c>
      <c r="W367" s="54">
        <v>0</v>
      </c>
      <c r="X367" s="54">
        <v>0</v>
      </c>
      <c r="Y367" s="54">
        <v>0</v>
      </c>
      <c r="Z367" s="54">
        <v>0</v>
      </c>
      <c r="AA367" s="54">
        <v>0</v>
      </c>
      <c r="AB367" s="54">
        <v>0</v>
      </c>
      <c r="AC367" s="54">
        <v>0</v>
      </c>
      <c r="AD367" s="54">
        <v>0</v>
      </c>
      <c r="AE367" s="54">
        <v>0</v>
      </c>
      <c r="AF367" s="54">
        <v>0</v>
      </c>
      <c r="AG367" s="54">
        <v>0</v>
      </c>
      <c r="AH367" s="54">
        <v>0</v>
      </c>
      <c r="AI367" s="54">
        <v>0</v>
      </c>
      <c r="AJ367" s="54">
        <v>0</v>
      </c>
      <c r="AK367" s="54">
        <v>0</v>
      </c>
      <c r="AL367" s="54">
        <v>0</v>
      </c>
      <c r="AM367" s="54" t="str">
        <f>I367-J367-K367-L367-M367-N367-O367-P367-Q367-R367-S367-T367-U367-V367-W367-X367-Y367-Z367-AA367-AB367-AC367-AD367-AE367-AF367-AG367+AH367-AI367+AJ367+AK367-AL367</f>
        <v>0</v>
      </c>
      <c r="AN367" s="54"/>
      <c r="AO367" s="27"/>
    </row>
    <row r="368" spans="1:41">
      <c r="A368" s="44">
        <v>340</v>
      </c>
      <c r="B368" s="47" t="s">
        <v>1474</v>
      </c>
      <c r="C368" s="48" t="s">
        <v>1475</v>
      </c>
      <c r="D368" s="52" t="s">
        <v>73</v>
      </c>
      <c r="E368" s="52" t="s">
        <v>1339</v>
      </c>
      <c r="F368" s="55" t="s">
        <v>1476</v>
      </c>
      <c r="G368" s="51">
        <v>2</v>
      </c>
      <c r="H368" s="52" t="s">
        <v>1477</v>
      </c>
      <c r="I368" s="54">
        <v>304000</v>
      </c>
      <c r="J368" s="54">
        <v>0</v>
      </c>
      <c r="K368" s="54">
        <v>22000</v>
      </c>
      <c r="L368" s="54">
        <v>0</v>
      </c>
      <c r="M368" s="54">
        <v>0</v>
      </c>
      <c r="N368" s="54">
        <v>0</v>
      </c>
      <c r="O368" s="54">
        <v>0</v>
      </c>
      <c r="P368" s="54">
        <v>0</v>
      </c>
      <c r="Q368" s="54">
        <v>0</v>
      </c>
      <c r="R368" s="54">
        <v>0</v>
      </c>
      <c r="S368" s="54">
        <v>0</v>
      </c>
      <c r="T368" s="54">
        <v>0</v>
      </c>
      <c r="U368" s="54">
        <v>2263</v>
      </c>
      <c r="V368" s="54">
        <v>0</v>
      </c>
      <c r="W368" s="54">
        <v>0</v>
      </c>
      <c r="X368" s="54">
        <v>0</v>
      </c>
      <c r="Y368" s="54">
        <v>0</v>
      </c>
      <c r="Z368" s="54">
        <v>0</v>
      </c>
      <c r="AA368" s="54">
        <v>0</v>
      </c>
      <c r="AB368" s="54">
        <v>0</v>
      </c>
      <c r="AC368" s="54">
        <v>0</v>
      </c>
      <c r="AD368" s="54">
        <v>0</v>
      </c>
      <c r="AE368" s="54">
        <v>0</v>
      </c>
      <c r="AF368" s="54">
        <v>0</v>
      </c>
      <c r="AG368" s="54">
        <v>0</v>
      </c>
      <c r="AH368" s="54">
        <v>0</v>
      </c>
      <c r="AI368" s="54">
        <v>0</v>
      </c>
      <c r="AJ368" s="54">
        <v>0</v>
      </c>
      <c r="AK368" s="54">
        <v>0</v>
      </c>
      <c r="AL368" s="54">
        <v>0</v>
      </c>
      <c r="AM368" s="54" t="str">
        <f>I368-J368-K368-L368-M368-N368-O368-P368-Q368-R368-S368-T368-U368-V368-W368-X368-Y368-Z368-AA368-AB368-AC368-AD368-AE368-AF368-AG368+AH368-AI368+AJ368+AK368-AL368</f>
        <v>0</v>
      </c>
      <c r="AN368" s="54"/>
      <c r="AO368" s="27"/>
    </row>
    <row r="369" spans="1:41">
      <c r="A369" s="44">
        <v>341</v>
      </c>
      <c r="B369" s="47" t="s">
        <v>1478</v>
      </c>
      <c r="C369" s="48" t="s">
        <v>1479</v>
      </c>
      <c r="D369" s="52" t="s">
        <v>73</v>
      </c>
      <c r="E369" s="52" t="s">
        <v>1480</v>
      </c>
      <c r="F369" s="55" t="s">
        <v>1481</v>
      </c>
      <c r="G369" s="51">
        <v>2</v>
      </c>
      <c r="H369" s="52" t="s">
        <v>1482</v>
      </c>
      <c r="I369" s="54">
        <v>245000</v>
      </c>
      <c r="J369" s="54">
        <v>0</v>
      </c>
      <c r="K369" s="54">
        <v>22000</v>
      </c>
      <c r="L369" s="54">
        <v>0</v>
      </c>
      <c r="M369" s="54">
        <v>0</v>
      </c>
      <c r="N369" s="54">
        <v>0</v>
      </c>
      <c r="O369" s="54">
        <v>0</v>
      </c>
      <c r="P369" s="54">
        <v>0</v>
      </c>
      <c r="Q369" s="54">
        <v>0</v>
      </c>
      <c r="R369" s="54">
        <v>0</v>
      </c>
      <c r="S369" s="54">
        <v>0</v>
      </c>
      <c r="T369" s="54">
        <v>0</v>
      </c>
      <c r="U369" s="54">
        <v>2263</v>
      </c>
      <c r="V369" s="54">
        <v>0</v>
      </c>
      <c r="W369" s="54">
        <v>0</v>
      </c>
      <c r="X369" s="54">
        <v>0</v>
      </c>
      <c r="Y369" s="54">
        <v>0</v>
      </c>
      <c r="Z369" s="54">
        <v>0</v>
      </c>
      <c r="AA369" s="54">
        <v>0</v>
      </c>
      <c r="AB369" s="54">
        <v>0</v>
      </c>
      <c r="AC369" s="54">
        <v>0</v>
      </c>
      <c r="AD369" s="54">
        <v>0</v>
      </c>
      <c r="AE369" s="54">
        <v>0</v>
      </c>
      <c r="AF369" s="54">
        <v>0</v>
      </c>
      <c r="AG369" s="54">
        <v>0</v>
      </c>
      <c r="AH369" s="54">
        <v>0</v>
      </c>
      <c r="AI369" s="54">
        <v>0</v>
      </c>
      <c r="AJ369" s="54">
        <v>0</v>
      </c>
      <c r="AK369" s="54">
        <v>0</v>
      </c>
      <c r="AL369" s="54">
        <v>0</v>
      </c>
      <c r="AM369" s="54" t="str">
        <f>I369-J369-K369-L369-M369-N369-O369-P369-Q369-R369-S369-T369-U369-V369-W369-X369-Y369-Z369-AA369-AB369-AC369-AD369-AE369-AF369-AG369+AH369-AI369+AJ369+AK369-AL369</f>
        <v>0</v>
      </c>
      <c r="AN369" s="54"/>
      <c r="AO369" s="27"/>
    </row>
    <row r="370" spans="1:41">
      <c r="A370" s="44">
        <v>342</v>
      </c>
      <c r="B370" s="47" t="s">
        <v>1483</v>
      </c>
      <c r="C370" s="48" t="s">
        <v>1484</v>
      </c>
      <c r="D370" s="52" t="s">
        <v>73</v>
      </c>
      <c r="E370" s="52" t="s">
        <v>1480</v>
      </c>
      <c r="F370" s="55" t="s">
        <v>1485</v>
      </c>
      <c r="G370" s="51">
        <v>3</v>
      </c>
      <c r="H370" s="52" t="s">
        <v>1486</v>
      </c>
      <c r="I370" s="54">
        <v>270000</v>
      </c>
      <c r="J370" s="54">
        <v>0</v>
      </c>
      <c r="K370" s="54">
        <v>22000</v>
      </c>
      <c r="L370" s="54">
        <v>0</v>
      </c>
      <c r="M370" s="54">
        <v>0</v>
      </c>
      <c r="N370" s="54">
        <v>0</v>
      </c>
      <c r="O370" s="54">
        <v>0</v>
      </c>
      <c r="P370" s="54">
        <v>0</v>
      </c>
      <c r="Q370" s="54">
        <v>0</v>
      </c>
      <c r="R370" s="54">
        <v>0</v>
      </c>
      <c r="S370" s="54">
        <v>0</v>
      </c>
      <c r="T370" s="54">
        <v>0</v>
      </c>
      <c r="U370" s="54">
        <v>2263</v>
      </c>
      <c r="V370" s="54">
        <v>0</v>
      </c>
      <c r="W370" s="54">
        <v>0</v>
      </c>
      <c r="X370" s="54">
        <v>0</v>
      </c>
      <c r="Y370" s="54">
        <v>0</v>
      </c>
      <c r="Z370" s="54">
        <v>0</v>
      </c>
      <c r="AA370" s="54">
        <v>0</v>
      </c>
      <c r="AB370" s="54">
        <v>0</v>
      </c>
      <c r="AC370" s="54">
        <v>0</v>
      </c>
      <c r="AD370" s="54">
        <v>0</v>
      </c>
      <c r="AE370" s="54">
        <v>0</v>
      </c>
      <c r="AF370" s="54">
        <v>0</v>
      </c>
      <c r="AG370" s="54">
        <v>0</v>
      </c>
      <c r="AH370" s="54">
        <v>0</v>
      </c>
      <c r="AI370" s="54">
        <v>0</v>
      </c>
      <c r="AJ370" s="54">
        <v>0</v>
      </c>
      <c r="AK370" s="54">
        <v>0</v>
      </c>
      <c r="AL370" s="54">
        <v>0</v>
      </c>
      <c r="AM370" s="54" t="str">
        <f>I370-J370-K370-L370-M370-N370-O370-P370-Q370-R370-S370-T370-U370-V370-W370-X370-Y370-Z370-AA370-AB370-AC370-AD370-AE370-AF370-AG370+AH370-AI370+AJ370+AK370-AL370</f>
        <v>0</v>
      </c>
      <c r="AN370" s="54"/>
      <c r="AO370" s="27"/>
    </row>
    <row r="371" spans="1:41">
      <c r="A371" s="44">
        <v>343</v>
      </c>
      <c r="B371" s="47" t="s">
        <v>1487</v>
      </c>
      <c r="C371" s="48" t="s">
        <v>1488</v>
      </c>
      <c r="D371" s="52" t="s">
        <v>73</v>
      </c>
      <c r="E371" s="52" t="s">
        <v>1480</v>
      </c>
      <c r="F371" s="55" t="s">
        <v>1489</v>
      </c>
      <c r="G371" s="51">
        <v>3</v>
      </c>
      <c r="H371" s="52" t="s">
        <v>1490</v>
      </c>
      <c r="I371" s="54">
        <v>271150</v>
      </c>
      <c r="J371" s="54">
        <v>0</v>
      </c>
      <c r="K371" s="54">
        <v>22000</v>
      </c>
      <c r="L371" s="54">
        <v>0</v>
      </c>
      <c r="M371" s="54">
        <v>0</v>
      </c>
      <c r="N371" s="54">
        <v>0</v>
      </c>
      <c r="O371" s="54">
        <v>0</v>
      </c>
      <c r="P371" s="54">
        <v>0</v>
      </c>
      <c r="Q371" s="54">
        <v>0</v>
      </c>
      <c r="R371" s="54">
        <v>0</v>
      </c>
      <c r="S371" s="54">
        <v>0</v>
      </c>
      <c r="T371" s="54">
        <v>0</v>
      </c>
      <c r="U371" s="54">
        <v>2263</v>
      </c>
      <c r="V371" s="54">
        <v>0</v>
      </c>
      <c r="W371" s="54">
        <v>0</v>
      </c>
      <c r="X371" s="54">
        <v>0</v>
      </c>
      <c r="Y371" s="54">
        <v>0</v>
      </c>
      <c r="Z371" s="54">
        <v>0</v>
      </c>
      <c r="AA371" s="54">
        <v>0</v>
      </c>
      <c r="AB371" s="54">
        <v>0</v>
      </c>
      <c r="AC371" s="54">
        <v>0</v>
      </c>
      <c r="AD371" s="54">
        <v>0</v>
      </c>
      <c r="AE371" s="54">
        <v>0</v>
      </c>
      <c r="AF371" s="54">
        <v>0</v>
      </c>
      <c r="AG371" s="54">
        <v>0</v>
      </c>
      <c r="AH371" s="54">
        <v>0</v>
      </c>
      <c r="AI371" s="54">
        <v>0</v>
      </c>
      <c r="AJ371" s="54">
        <v>0</v>
      </c>
      <c r="AK371" s="54">
        <v>0</v>
      </c>
      <c r="AL371" s="54">
        <v>0</v>
      </c>
      <c r="AM371" s="54" t="str">
        <f>I371-J371-K371-L371-M371-N371-O371-P371-Q371-R371-S371-T371-U371-V371-W371-X371-Y371-Z371-AA371-AB371-AC371-AD371-AE371-AF371-AG371+AH371-AI371+AJ371+AK371-AL371</f>
        <v>0</v>
      </c>
      <c r="AN371" s="54"/>
      <c r="AO371" s="27"/>
    </row>
    <row r="372" spans="1:41">
      <c r="A372" s="44">
        <v>344</v>
      </c>
      <c r="B372" s="47" t="s">
        <v>1491</v>
      </c>
      <c r="C372" s="48" t="s">
        <v>1492</v>
      </c>
      <c r="D372" s="52" t="s">
        <v>73</v>
      </c>
      <c r="E372" s="52" t="s">
        <v>1480</v>
      </c>
      <c r="F372" s="55" t="s">
        <v>1493</v>
      </c>
      <c r="G372" s="51">
        <v>2</v>
      </c>
      <c r="H372" s="52" t="s">
        <v>1494</v>
      </c>
      <c r="I372" s="54">
        <v>349000</v>
      </c>
      <c r="J372" s="54">
        <v>0</v>
      </c>
      <c r="K372" s="54">
        <v>22000</v>
      </c>
      <c r="L372" s="54">
        <v>0</v>
      </c>
      <c r="M372" s="54">
        <v>0</v>
      </c>
      <c r="N372" s="54">
        <v>0</v>
      </c>
      <c r="O372" s="54">
        <v>0</v>
      </c>
      <c r="P372" s="54">
        <v>0</v>
      </c>
      <c r="Q372" s="54">
        <v>0</v>
      </c>
      <c r="R372" s="54">
        <v>0</v>
      </c>
      <c r="S372" s="54">
        <v>0</v>
      </c>
      <c r="T372" s="54">
        <v>0</v>
      </c>
      <c r="U372" s="54">
        <v>2263</v>
      </c>
      <c r="V372" s="54">
        <v>0</v>
      </c>
      <c r="W372" s="54">
        <v>0</v>
      </c>
      <c r="X372" s="54">
        <v>0</v>
      </c>
      <c r="Y372" s="54">
        <v>0</v>
      </c>
      <c r="Z372" s="54">
        <v>0</v>
      </c>
      <c r="AA372" s="54">
        <v>0</v>
      </c>
      <c r="AB372" s="54">
        <v>0</v>
      </c>
      <c r="AC372" s="54">
        <v>0</v>
      </c>
      <c r="AD372" s="54">
        <v>0</v>
      </c>
      <c r="AE372" s="54">
        <v>0</v>
      </c>
      <c r="AF372" s="54">
        <v>0</v>
      </c>
      <c r="AG372" s="54">
        <v>0</v>
      </c>
      <c r="AH372" s="54">
        <v>0</v>
      </c>
      <c r="AI372" s="54">
        <v>0</v>
      </c>
      <c r="AJ372" s="54">
        <v>0</v>
      </c>
      <c r="AK372" s="54">
        <v>0</v>
      </c>
      <c r="AL372" s="54">
        <v>0</v>
      </c>
      <c r="AM372" s="54" t="str">
        <f>I372-J372-K372-L372-M372-N372-O372-P372-Q372-R372-S372-T372-U372-V372-W372-X372-Y372-Z372-AA372-AB372-AC372-AD372-AE372-AF372-AG372+AH372-AI372+AJ372+AK372-AL372</f>
        <v>0</v>
      </c>
      <c r="AN372" s="54"/>
      <c r="AO372" s="27"/>
    </row>
    <row r="373" spans="1:41">
      <c r="A373" s="44">
        <v>345</v>
      </c>
      <c r="B373" s="47" t="s">
        <v>1495</v>
      </c>
      <c r="C373" s="48" t="s">
        <v>1496</v>
      </c>
      <c r="D373" s="52" t="s">
        <v>62</v>
      </c>
      <c r="E373" s="52" t="s">
        <v>1480</v>
      </c>
      <c r="F373" s="55" t="s">
        <v>1497</v>
      </c>
      <c r="G373" s="51">
        <v>6</v>
      </c>
      <c r="H373" s="52" t="s">
        <v>1498</v>
      </c>
      <c r="I373" s="54">
        <v>0</v>
      </c>
      <c r="J373" s="54">
        <v>0</v>
      </c>
      <c r="K373" s="54">
        <v>31000</v>
      </c>
      <c r="L373" s="54">
        <v>0</v>
      </c>
      <c r="M373" s="54">
        <v>0</v>
      </c>
      <c r="N373" s="54">
        <v>0</v>
      </c>
      <c r="O373" s="54">
        <v>0</v>
      </c>
      <c r="P373" s="54">
        <v>0</v>
      </c>
      <c r="Q373" s="54">
        <v>0</v>
      </c>
      <c r="R373" s="54">
        <v>0</v>
      </c>
      <c r="S373" s="54">
        <v>0</v>
      </c>
      <c r="T373" s="54">
        <v>0</v>
      </c>
      <c r="U373" s="54">
        <v>3189</v>
      </c>
      <c r="V373" s="54">
        <v>0</v>
      </c>
      <c r="W373" s="54">
        <v>0</v>
      </c>
      <c r="X373" s="54">
        <v>0</v>
      </c>
      <c r="Y373" s="54">
        <v>15500</v>
      </c>
      <c r="Z373" s="54">
        <v>0</v>
      </c>
      <c r="AA373" s="54">
        <v>0</v>
      </c>
      <c r="AB373" s="54">
        <v>0</v>
      </c>
      <c r="AC373" s="54">
        <v>0</v>
      </c>
      <c r="AD373" s="54">
        <v>0</v>
      </c>
      <c r="AE373" s="54">
        <v>0</v>
      </c>
      <c r="AF373" s="54">
        <v>0</v>
      </c>
      <c r="AG373" s="54">
        <v>0</v>
      </c>
      <c r="AH373" s="54">
        <v>0</v>
      </c>
      <c r="AI373" s="54">
        <v>0</v>
      </c>
      <c r="AJ373" s="54">
        <v>0</v>
      </c>
      <c r="AK373" s="54">
        <v>0</v>
      </c>
      <c r="AL373" s="54">
        <v>0</v>
      </c>
      <c r="AM373" s="54" t="str">
        <f>I373-J373-K373-L373-M373-N373-O373-P373-Q373-R373-S373-T373-U373-V373-W373-X373-Y373-Z373-AA373-AB373-AC373-AD373-AE373-AF373-AG373+AH373-AI373+AJ373+AK373-AL373</f>
        <v>0</v>
      </c>
      <c r="AN373" s="54"/>
      <c r="AO373" s="27"/>
    </row>
    <row r="374" spans="1:41">
      <c r="A374" s="44">
        <v>346</v>
      </c>
      <c r="B374" s="47" t="s">
        <v>1499</v>
      </c>
      <c r="C374" s="48" t="s">
        <v>1500</v>
      </c>
      <c r="D374" s="52" t="s">
        <v>73</v>
      </c>
      <c r="E374" s="52" t="s">
        <v>1480</v>
      </c>
      <c r="F374" s="55" t="s">
        <v>1501</v>
      </c>
      <c r="G374" s="51">
        <v>3</v>
      </c>
      <c r="H374" s="52" t="s">
        <v>1502</v>
      </c>
      <c r="I374" s="54">
        <v>299000</v>
      </c>
      <c r="J374" s="54">
        <v>0</v>
      </c>
      <c r="K374" s="54">
        <v>22000</v>
      </c>
      <c r="L374" s="54">
        <v>0</v>
      </c>
      <c r="M374" s="54">
        <v>0</v>
      </c>
      <c r="N374" s="54">
        <v>0</v>
      </c>
      <c r="O374" s="54">
        <v>0</v>
      </c>
      <c r="P374" s="54">
        <v>0</v>
      </c>
      <c r="Q374" s="54">
        <v>0</v>
      </c>
      <c r="R374" s="54">
        <v>0</v>
      </c>
      <c r="S374" s="54">
        <v>0</v>
      </c>
      <c r="T374" s="54">
        <v>0</v>
      </c>
      <c r="U374" s="54">
        <v>2263</v>
      </c>
      <c r="V374" s="54">
        <v>0</v>
      </c>
      <c r="W374" s="54">
        <v>0</v>
      </c>
      <c r="X374" s="54">
        <v>0</v>
      </c>
      <c r="Y374" s="54">
        <v>0</v>
      </c>
      <c r="Z374" s="54">
        <v>0</v>
      </c>
      <c r="AA374" s="54">
        <v>0</v>
      </c>
      <c r="AB374" s="54">
        <v>0</v>
      </c>
      <c r="AC374" s="54">
        <v>0</v>
      </c>
      <c r="AD374" s="54">
        <v>0</v>
      </c>
      <c r="AE374" s="54">
        <v>0</v>
      </c>
      <c r="AF374" s="54">
        <v>0</v>
      </c>
      <c r="AG374" s="54">
        <v>0</v>
      </c>
      <c r="AH374" s="54">
        <v>0</v>
      </c>
      <c r="AI374" s="54">
        <v>0</v>
      </c>
      <c r="AJ374" s="54">
        <v>0</v>
      </c>
      <c r="AK374" s="54">
        <v>0</v>
      </c>
      <c r="AL374" s="54">
        <v>0</v>
      </c>
      <c r="AM374" s="54" t="str">
        <f>I374-J374-K374-L374-M374-N374-O374-P374-Q374-R374-S374-T374-U374-V374-W374-X374-Y374-Z374-AA374-AB374-AC374-AD374-AE374-AF374-AG374+AH374-AI374+AJ374+AK374-AL374</f>
        <v>0</v>
      </c>
      <c r="AN374" s="54"/>
      <c r="AO374" s="27"/>
    </row>
    <row r="375" spans="1:41">
      <c r="A375" s="44">
        <v>347</v>
      </c>
      <c r="B375" s="47" t="s">
        <v>1503</v>
      </c>
      <c r="C375" s="48" t="s">
        <v>1504</v>
      </c>
      <c r="D375" s="52" t="s">
        <v>73</v>
      </c>
      <c r="E375" s="52" t="s">
        <v>1480</v>
      </c>
      <c r="F375" s="55" t="s">
        <v>1505</v>
      </c>
      <c r="G375" s="51">
        <v>8</v>
      </c>
      <c r="H375" s="52" t="s">
        <v>1506</v>
      </c>
      <c r="I375" s="54">
        <v>953000</v>
      </c>
      <c r="J375" s="54">
        <v>0</v>
      </c>
      <c r="K375" s="54">
        <v>39000</v>
      </c>
      <c r="L375" s="54">
        <v>0</v>
      </c>
      <c r="M375" s="54">
        <v>0</v>
      </c>
      <c r="N375" s="54">
        <v>0</v>
      </c>
      <c r="O375" s="54">
        <v>0</v>
      </c>
      <c r="P375" s="54">
        <v>0</v>
      </c>
      <c r="Q375" s="54">
        <v>0</v>
      </c>
      <c r="R375" s="54">
        <v>0</v>
      </c>
      <c r="S375" s="54">
        <v>0</v>
      </c>
      <c r="T375" s="54">
        <v>0</v>
      </c>
      <c r="U375" s="54">
        <v>4013</v>
      </c>
      <c r="V375" s="54">
        <v>0</v>
      </c>
      <c r="W375" s="54">
        <v>0</v>
      </c>
      <c r="X375" s="54">
        <v>0</v>
      </c>
      <c r="Y375" s="54">
        <v>0</v>
      </c>
      <c r="Z375" s="54">
        <v>0</v>
      </c>
      <c r="AA375" s="54">
        <v>0</v>
      </c>
      <c r="AB375" s="54">
        <v>0</v>
      </c>
      <c r="AC375" s="54">
        <v>0</v>
      </c>
      <c r="AD375" s="54">
        <v>0</v>
      </c>
      <c r="AE375" s="54">
        <v>0</v>
      </c>
      <c r="AF375" s="54">
        <v>0</v>
      </c>
      <c r="AG375" s="54">
        <v>0</v>
      </c>
      <c r="AH375" s="54">
        <v>0</v>
      </c>
      <c r="AI375" s="54">
        <v>0</v>
      </c>
      <c r="AJ375" s="54">
        <v>0</v>
      </c>
      <c r="AK375" s="54">
        <v>0</v>
      </c>
      <c r="AL375" s="54">
        <v>0</v>
      </c>
      <c r="AM375" s="54" t="str">
        <f>I375-J375-K375-L375-M375-N375-O375-P375-Q375-R375-S375-T375-U375-V375-W375-X375-Y375-Z375-AA375-AB375-AC375-AD375-AE375-AF375-AG375+AH375-AI375+AJ375+AK375-AL375</f>
        <v>0</v>
      </c>
      <c r="AN375" s="54"/>
      <c r="AO375" s="27"/>
    </row>
    <row r="376" spans="1:41">
      <c r="A376" s="44">
        <v>348</v>
      </c>
      <c r="B376" s="47" t="s">
        <v>1507</v>
      </c>
      <c r="C376" s="48" t="s">
        <v>1508</v>
      </c>
      <c r="D376" s="52" t="s">
        <v>73</v>
      </c>
      <c r="E376" s="52" t="s">
        <v>1480</v>
      </c>
      <c r="F376" s="55" t="s">
        <v>1509</v>
      </c>
      <c r="G376" s="51">
        <v>2</v>
      </c>
      <c r="H376" s="52" t="s">
        <v>1510</v>
      </c>
      <c r="I376" s="54">
        <v>295000</v>
      </c>
      <c r="J376" s="54">
        <v>0</v>
      </c>
      <c r="K376" s="54">
        <v>22000</v>
      </c>
      <c r="L376" s="54">
        <v>0</v>
      </c>
      <c r="M376" s="54">
        <v>0</v>
      </c>
      <c r="N376" s="54">
        <v>0</v>
      </c>
      <c r="O376" s="54">
        <v>0</v>
      </c>
      <c r="P376" s="54">
        <v>0</v>
      </c>
      <c r="Q376" s="54">
        <v>0</v>
      </c>
      <c r="R376" s="54">
        <v>0</v>
      </c>
      <c r="S376" s="54">
        <v>0</v>
      </c>
      <c r="T376" s="54">
        <v>0</v>
      </c>
      <c r="U376" s="54">
        <v>2263</v>
      </c>
      <c r="V376" s="54">
        <v>0</v>
      </c>
      <c r="W376" s="54">
        <v>0</v>
      </c>
      <c r="X376" s="54">
        <v>0</v>
      </c>
      <c r="Y376" s="54">
        <v>0</v>
      </c>
      <c r="Z376" s="54">
        <v>0</v>
      </c>
      <c r="AA376" s="54">
        <v>0</v>
      </c>
      <c r="AB376" s="54">
        <v>0</v>
      </c>
      <c r="AC376" s="54">
        <v>0</v>
      </c>
      <c r="AD376" s="54">
        <v>0</v>
      </c>
      <c r="AE376" s="54">
        <v>0</v>
      </c>
      <c r="AF376" s="54">
        <v>0</v>
      </c>
      <c r="AG376" s="54">
        <v>0</v>
      </c>
      <c r="AH376" s="54">
        <v>0</v>
      </c>
      <c r="AI376" s="54">
        <v>0</v>
      </c>
      <c r="AJ376" s="54">
        <v>0</v>
      </c>
      <c r="AK376" s="54">
        <v>0</v>
      </c>
      <c r="AL376" s="54">
        <v>0</v>
      </c>
      <c r="AM376" s="54" t="str">
        <f>I376-J376-K376-L376-M376-N376-O376-P376-Q376-R376-S376-T376-U376-V376-W376-X376-Y376-Z376-AA376-AB376-AC376-AD376-AE376-AF376-AG376+AH376-AI376+AJ376+AK376-AL376</f>
        <v>0</v>
      </c>
      <c r="AN376" s="54"/>
      <c r="AO376" s="27"/>
    </row>
    <row r="377" spans="1:41">
      <c r="A377" s="44">
        <v>349</v>
      </c>
      <c r="B377" s="47" t="s">
        <v>1511</v>
      </c>
      <c r="C377" s="48" t="s">
        <v>1512</v>
      </c>
      <c r="D377" s="52" t="s">
        <v>73</v>
      </c>
      <c r="E377" s="52" t="s">
        <v>1480</v>
      </c>
      <c r="F377" s="55" t="s">
        <v>1513</v>
      </c>
      <c r="G377" s="51">
        <v>2</v>
      </c>
      <c r="H377" s="52" t="s">
        <v>1514</v>
      </c>
      <c r="I377" s="54">
        <v>399000</v>
      </c>
      <c r="J377" s="54">
        <v>0</v>
      </c>
      <c r="K377" s="54">
        <v>22000</v>
      </c>
      <c r="L377" s="54">
        <v>0</v>
      </c>
      <c r="M377" s="54">
        <v>0</v>
      </c>
      <c r="N377" s="54">
        <v>0</v>
      </c>
      <c r="O377" s="54">
        <v>0</v>
      </c>
      <c r="P377" s="54">
        <v>0</v>
      </c>
      <c r="Q377" s="54">
        <v>0</v>
      </c>
      <c r="R377" s="54">
        <v>0</v>
      </c>
      <c r="S377" s="54">
        <v>0</v>
      </c>
      <c r="T377" s="54">
        <v>0</v>
      </c>
      <c r="U377" s="54">
        <v>2263</v>
      </c>
      <c r="V377" s="54">
        <v>0</v>
      </c>
      <c r="W377" s="54">
        <v>0</v>
      </c>
      <c r="X377" s="54">
        <v>0</v>
      </c>
      <c r="Y377" s="54">
        <v>0</v>
      </c>
      <c r="Z377" s="54">
        <v>0</v>
      </c>
      <c r="AA377" s="54">
        <v>0</v>
      </c>
      <c r="AB377" s="54">
        <v>0</v>
      </c>
      <c r="AC377" s="54">
        <v>0</v>
      </c>
      <c r="AD377" s="54">
        <v>0</v>
      </c>
      <c r="AE377" s="54">
        <v>0</v>
      </c>
      <c r="AF377" s="54">
        <v>0</v>
      </c>
      <c r="AG377" s="54">
        <v>0</v>
      </c>
      <c r="AH377" s="54">
        <v>0</v>
      </c>
      <c r="AI377" s="54">
        <v>0</v>
      </c>
      <c r="AJ377" s="54">
        <v>0</v>
      </c>
      <c r="AK377" s="54">
        <v>0</v>
      </c>
      <c r="AL377" s="54">
        <v>0</v>
      </c>
      <c r="AM377" s="54" t="str">
        <f>I377-J377-K377-L377-M377-N377-O377-P377-Q377-R377-S377-T377-U377-V377-W377-X377-Y377-Z377-AA377-AB377-AC377-AD377-AE377-AF377-AG377+AH377-AI377+AJ377+AK377-AL377</f>
        <v>0</v>
      </c>
      <c r="AN377" s="54"/>
      <c r="AO377" s="27"/>
    </row>
    <row r="378" spans="1:41">
      <c r="A378" s="44">
        <v>350</v>
      </c>
      <c r="B378" s="47" t="s">
        <v>1515</v>
      </c>
      <c r="C378" s="48" t="s">
        <v>1516</v>
      </c>
      <c r="D378" s="52" t="s">
        <v>73</v>
      </c>
      <c r="E378" s="52" t="s">
        <v>1480</v>
      </c>
      <c r="F378" s="55" t="s">
        <v>1517</v>
      </c>
      <c r="G378" s="51">
        <v>2</v>
      </c>
      <c r="H378" s="52" t="s">
        <v>1518</v>
      </c>
      <c r="I378" s="54">
        <v>295000</v>
      </c>
      <c r="J378" s="54">
        <v>0</v>
      </c>
      <c r="K378" s="54">
        <v>22000</v>
      </c>
      <c r="L378" s="54">
        <v>0</v>
      </c>
      <c r="M378" s="54">
        <v>0</v>
      </c>
      <c r="N378" s="54">
        <v>0</v>
      </c>
      <c r="O378" s="54">
        <v>0</v>
      </c>
      <c r="P378" s="54">
        <v>0</v>
      </c>
      <c r="Q378" s="54">
        <v>0</v>
      </c>
      <c r="R378" s="54">
        <v>0</v>
      </c>
      <c r="S378" s="54">
        <v>0</v>
      </c>
      <c r="T378" s="54">
        <v>0</v>
      </c>
      <c r="U378" s="54">
        <v>2263</v>
      </c>
      <c r="V378" s="54">
        <v>0</v>
      </c>
      <c r="W378" s="54">
        <v>0</v>
      </c>
      <c r="X378" s="54">
        <v>0</v>
      </c>
      <c r="Y378" s="54">
        <v>0</v>
      </c>
      <c r="Z378" s="54">
        <v>0</v>
      </c>
      <c r="AA378" s="54">
        <v>0</v>
      </c>
      <c r="AB378" s="54">
        <v>0</v>
      </c>
      <c r="AC378" s="54">
        <v>0</v>
      </c>
      <c r="AD378" s="54">
        <v>0</v>
      </c>
      <c r="AE378" s="54">
        <v>0</v>
      </c>
      <c r="AF378" s="54">
        <v>0</v>
      </c>
      <c r="AG378" s="54">
        <v>0</v>
      </c>
      <c r="AH378" s="54">
        <v>0</v>
      </c>
      <c r="AI378" s="54">
        <v>0</v>
      </c>
      <c r="AJ378" s="54">
        <v>0</v>
      </c>
      <c r="AK378" s="54">
        <v>0</v>
      </c>
      <c r="AL378" s="54">
        <v>0</v>
      </c>
      <c r="AM378" s="54" t="str">
        <f>I378-J378-K378-L378-M378-N378-O378-P378-Q378-R378-S378-T378-U378-V378-W378-X378-Y378-Z378-AA378-AB378-AC378-AD378-AE378-AF378-AG378+AH378-AI378+AJ378+AK378-AL378</f>
        <v>0</v>
      </c>
      <c r="AN378" s="54"/>
      <c r="AO378" s="27"/>
    </row>
    <row r="379" spans="1:41">
      <c r="A379" s="44">
        <v>351</v>
      </c>
      <c r="B379" s="47" t="s">
        <v>1519</v>
      </c>
      <c r="C379" s="48" t="s">
        <v>1520</v>
      </c>
      <c r="D379" s="52" t="s">
        <v>73</v>
      </c>
      <c r="E379" s="52" t="s">
        <v>1480</v>
      </c>
      <c r="F379" s="55" t="s">
        <v>1521</v>
      </c>
      <c r="G379" s="51">
        <v>3</v>
      </c>
      <c r="H379" s="52" t="s">
        <v>1522</v>
      </c>
      <c r="I379" s="54">
        <v>525000</v>
      </c>
      <c r="J379" s="54">
        <v>0</v>
      </c>
      <c r="K379" s="54">
        <v>22000</v>
      </c>
      <c r="L379" s="54">
        <v>0</v>
      </c>
      <c r="M379" s="54">
        <v>0</v>
      </c>
      <c r="N379" s="54">
        <v>0</v>
      </c>
      <c r="O379" s="54">
        <v>0</v>
      </c>
      <c r="P379" s="54">
        <v>0</v>
      </c>
      <c r="Q379" s="54">
        <v>0</v>
      </c>
      <c r="R379" s="54">
        <v>0</v>
      </c>
      <c r="S379" s="54">
        <v>0</v>
      </c>
      <c r="T379" s="54">
        <v>0</v>
      </c>
      <c r="U379" s="54">
        <v>1397</v>
      </c>
      <c r="V379" s="54">
        <v>0</v>
      </c>
      <c r="W379" s="54">
        <v>0</v>
      </c>
      <c r="X379" s="54">
        <v>0</v>
      </c>
      <c r="Y379" s="54">
        <v>0</v>
      </c>
      <c r="Z379" s="54">
        <v>0</v>
      </c>
      <c r="AA379" s="54">
        <v>0</v>
      </c>
      <c r="AB379" s="54">
        <v>0</v>
      </c>
      <c r="AC379" s="54">
        <v>0</v>
      </c>
      <c r="AD379" s="54">
        <v>0</v>
      </c>
      <c r="AE379" s="54">
        <v>0</v>
      </c>
      <c r="AF379" s="54">
        <v>0</v>
      </c>
      <c r="AG379" s="54">
        <v>0</v>
      </c>
      <c r="AH379" s="54">
        <v>0</v>
      </c>
      <c r="AI379" s="54">
        <v>0</v>
      </c>
      <c r="AJ379" s="54">
        <v>0</v>
      </c>
      <c r="AK379" s="54">
        <v>0</v>
      </c>
      <c r="AL379" s="54">
        <v>0</v>
      </c>
      <c r="AM379" s="54" t="str">
        <f>I379-J379-K379-L379-M379-N379-O379-P379-Q379-R379-S379-T379-U379-V379-W379-X379-Y379-Z379-AA379-AB379-AC379-AD379-AE379-AF379-AG379+AH379-AI379+AJ379+AK379-AL379</f>
        <v>0</v>
      </c>
      <c r="AN379" s="54"/>
      <c r="AO379" s="27"/>
    </row>
    <row r="380" spans="1:41">
      <c r="A380" s="44">
        <v>352</v>
      </c>
      <c r="B380" s="47" t="s">
        <v>1523</v>
      </c>
      <c r="C380" s="48" t="s">
        <v>1524</v>
      </c>
      <c r="D380" s="52" t="s">
        <v>73</v>
      </c>
      <c r="E380" s="52" t="s">
        <v>1480</v>
      </c>
      <c r="F380" s="55" t="s">
        <v>1525</v>
      </c>
      <c r="G380" s="51">
        <v>4</v>
      </c>
      <c r="H380" s="52" t="s">
        <v>1526</v>
      </c>
      <c r="I380" s="54">
        <v>220000</v>
      </c>
      <c r="J380" s="54">
        <v>0</v>
      </c>
      <c r="K380" s="54">
        <v>25000</v>
      </c>
      <c r="L380" s="54">
        <v>0</v>
      </c>
      <c r="M380" s="54">
        <v>0</v>
      </c>
      <c r="N380" s="54">
        <v>0</v>
      </c>
      <c r="O380" s="54">
        <v>0</v>
      </c>
      <c r="P380" s="54">
        <v>0</v>
      </c>
      <c r="Q380" s="54">
        <v>0</v>
      </c>
      <c r="R380" s="54">
        <v>0</v>
      </c>
      <c r="S380" s="54">
        <v>0</v>
      </c>
      <c r="T380" s="54">
        <v>0</v>
      </c>
      <c r="U380" s="54">
        <v>2572</v>
      </c>
      <c r="V380" s="54">
        <v>0</v>
      </c>
      <c r="W380" s="54">
        <v>0</v>
      </c>
      <c r="X380" s="54">
        <v>0</v>
      </c>
      <c r="Y380" s="54">
        <v>0</v>
      </c>
      <c r="Z380" s="54">
        <v>0</v>
      </c>
      <c r="AA380" s="54">
        <v>0</v>
      </c>
      <c r="AB380" s="54">
        <v>0</v>
      </c>
      <c r="AC380" s="54">
        <v>0</v>
      </c>
      <c r="AD380" s="54">
        <v>0</v>
      </c>
      <c r="AE380" s="54">
        <v>0</v>
      </c>
      <c r="AF380" s="54">
        <v>0</v>
      </c>
      <c r="AG380" s="54">
        <v>0</v>
      </c>
      <c r="AH380" s="54">
        <v>0</v>
      </c>
      <c r="AI380" s="54">
        <v>0</v>
      </c>
      <c r="AJ380" s="54">
        <v>0</v>
      </c>
      <c r="AK380" s="54">
        <v>0</v>
      </c>
      <c r="AL380" s="54">
        <v>0</v>
      </c>
      <c r="AM380" s="54" t="str">
        <f>I380-J380-K380-L380-M380-N380-O380-P380-Q380-R380-S380-T380-U380-V380-W380-X380-Y380-Z380-AA380-AB380-AC380-AD380-AE380-AF380-AG380+AH380-AI380+AJ380+AK380-AL380</f>
        <v>0</v>
      </c>
      <c r="AN380" s="54"/>
      <c r="AO380" s="27"/>
    </row>
    <row r="381" spans="1:41">
      <c r="A381" s="44">
        <v>353</v>
      </c>
      <c r="B381" s="47" t="s">
        <v>1527</v>
      </c>
      <c r="C381" s="48" t="s">
        <v>1528</v>
      </c>
      <c r="D381" s="52" t="s">
        <v>73</v>
      </c>
      <c r="E381" s="52" t="s">
        <v>1480</v>
      </c>
      <c r="F381" s="55" t="s">
        <v>1428</v>
      </c>
      <c r="G381" s="51">
        <v>3</v>
      </c>
      <c r="H381" s="52" t="s">
        <v>1529</v>
      </c>
      <c r="I381" s="54">
        <v>299000</v>
      </c>
      <c r="J381" s="54">
        <v>0</v>
      </c>
      <c r="K381" s="54">
        <v>22000</v>
      </c>
      <c r="L381" s="54">
        <v>0</v>
      </c>
      <c r="M381" s="54">
        <v>0</v>
      </c>
      <c r="N381" s="54">
        <v>0</v>
      </c>
      <c r="O381" s="54">
        <v>0</v>
      </c>
      <c r="P381" s="54">
        <v>0</v>
      </c>
      <c r="Q381" s="54">
        <v>0</v>
      </c>
      <c r="R381" s="54">
        <v>0</v>
      </c>
      <c r="S381" s="54">
        <v>0</v>
      </c>
      <c r="T381" s="54">
        <v>0</v>
      </c>
      <c r="U381" s="54">
        <v>1397</v>
      </c>
      <c r="V381" s="54">
        <v>0</v>
      </c>
      <c r="W381" s="54">
        <v>0</v>
      </c>
      <c r="X381" s="54">
        <v>0</v>
      </c>
      <c r="Y381" s="54">
        <v>0</v>
      </c>
      <c r="Z381" s="54">
        <v>0</v>
      </c>
      <c r="AA381" s="54">
        <v>0</v>
      </c>
      <c r="AB381" s="54">
        <v>0</v>
      </c>
      <c r="AC381" s="54">
        <v>0</v>
      </c>
      <c r="AD381" s="54">
        <v>0</v>
      </c>
      <c r="AE381" s="54">
        <v>0</v>
      </c>
      <c r="AF381" s="54">
        <v>0</v>
      </c>
      <c r="AG381" s="54">
        <v>0</v>
      </c>
      <c r="AH381" s="54">
        <v>0</v>
      </c>
      <c r="AI381" s="54">
        <v>0</v>
      </c>
      <c r="AJ381" s="54">
        <v>0</v>
      </c>
      <c r="AK381" s="54">
        <v>0</v>
      </c>
      <c r="AL381" s="54">
        <v>0</v>
      </c>
      <c r="AM381" s="54" t="str">
        <f>I381-J381-K381-L381-M381-N381-O381-P381-Q381-R381-S381-T381-U381-V381-W381-X381-Y381-Z381-AA381-AB381-AC381-AD381-AE381-AF381-AG381+AH381-AI381+AJ381+AK381-AL381</f>
        <v>0</v>
      </c>
      <c r="AN381" s="54"/>
      <c r="AO381" s="27"/>
    </row>
    <row r="382" spans="1:41">
      <c r="A382" s="44">
        <v>354</v>
      </c>
      <c r="B382" s="47" t="s">
        <v>1530</v>
      </c>
      <c r="C382" s="48" t="s">
        <v>1531</v>
      </c>
      <c r="D382" s="52" t="s">
        <v>62</v>
      </c>
      <c r="E382" s="52" t="s">
        <v>1480</v>
      </c>
      <c r="F382" s="55" t="s">
        <v>1532</v>
      </c>
      <c r="G382" s="51">
        <v>2</v>
      </c>
      <c r="H382" s="52" t="s">
        <v>1533</v>
      </c>
      <c r="I382" s="54">
        <v>0</v>
      </c>
      <c r="J382" s="54">
        <v>0</v>
      </c>
      <c r="K382" s="54">
        <v>22000</v>
      </c>
      <c r="L382" s="54">
        <v>0</v>
      </c>
      <c r="M382" s="54">
        <v>0</v>
      </c>
      <c r="N382" s="54">
        <v>0</v>
      </c>
      <c r="O382" s="54">
        <v>0</v>
      </c>
      <c r="P382" s="54">
        <v>0</v>
      </c>
      <c r="Q382" s="54">
        <v>0</v>
      </c>
      <c r="R382" s="54">
        <v>0</v>
      </c>
      <c r="S382" s="54">
        <v>0</v>
      </c>
      <c r="T382" s="54">
        <v>0</v>
      </c>
      <c r="U382" s="54">
        <v>2263</v>
      </c>
      <c r="V382" s="54">
        <v>0</v>
      </c>
      <c r="W382" s="54">
        <v>0</v>
      </c>
      <c r="X382" s="54">
        <v>0</v>
      </c>
      <c r="Y382" s="54">
        <v>11000</v>
      </c>
      <c r="Z382" s="54">
        <v>0</v>
      </c>
      <c r="AA382" s="54">
        <v>0</v>
      </c>
      <c r="AB382" s="54">
        <v>0</v>
      </c>
      <c r="AC382" s="54">
        <v>0</v>
      </c>
      <c r="AD382" s="54">
        <v>0</v>
      </c>
      <c r="AE382" s="54">
        <v>0</v>
      </c>
      <c r="AF382" s="54">
        <v>0</v>
      </c>
      <c r="AG382" s="54">
        <v>0</v>
      </c>
      <c r="AH382" s="54">
        <v>0</v>
      </c>
      <c r="AI382" s="54">
        <v>0</v>
      </c>
      <c r="AJ382" s="54">
        <v>0</v>
      </c>
      <c r="AK382" s="54">
        <v>0</v>
      </c>
      <c r="AL382" s="54">
        <v>0</v>
      </c>
      <c r="AM382" s="54" t="str">
        <f>I382-J382-K382-L382-M382-N382-O382-P382-Q382-R382-S382-T382-U382-V382-W382-X382-Y382-Z382-AA382-AB382-AC382-AD382-AE382-AF382-AG382+AH382-AI382+AJ382+AK382-AL382</f>
        <v>0</v>
      </c>
      <c r="AN382" s="54"/>
      <c r="AO382" s="27"/>
    </row>
    <row r="383" spans="1:41">
      <c r="A383" s="44">
        <v>355</v>
      </c>
      <c r="B383" s="47" t="s">
        <v>1534</v>
      </c>
      <c r="C383" s="48" t="s">
        <v>1535</v>
      </c>
      <c r="D383" s="52" t="s">
        <v>73</v>
      </c>
      <c r="E383" s="52" t="s">
        <v>1536</v>
      </c>
      <c r="F383" s="55" t="s">
        <v>1537</v>
      </c>
      <c r="G383" s="51">
        <v>3</v>
      </c>
      <c r="H383" s="52" t="s">
        <v>1538</v>
      </c>
      <c r="I383" s="54">
        <v>319000</v>
      </c>
      <c r="J383" s="54">
        <v>0</v>
      </c>
      <c r="K383" s="54">
        <v>22000</v>
      </c>
      <c r="L383" s="54">
        <v>0</v>
      </c>
      <c r="M383" s="54">
        <v>0</v>
      </c>
      <c r="N383" s="54">
        <v>0</v>
      </c>
      <c r="O383" s="54">
        <v>0</v>
      </c>
      <c r="P383" s="54">
        <v>0</v>
      </c>
      <c r="Q383" s="54">
        <v>0</v>
      </c>
      <c r="R383" s="54">
        <v>0</v>
      </c>
      <c r="S383" s="54">
        <v>0</v>
      </c>
      <c r="T383" s="54">
        <v>0</v>
      </c>
      <c r="U383" s="54">
        <v>2263</v>
      </c>
      <c r="V383" s="54">
        <v>0</v>
      </c>
      <c r="W383" s="54">
        <v>0</v>
      </c>
      <c r="X383" s="54">
        <v>0</v>
      </c>
      <c r="Y383" s="54">
        <v>0</v>
      </c>
      <c r="Z383" s="54">
        <v>0</v>
      </c>
      <c r="AA383" s="54">
        <v>0</v>
      </c>
      <c r="AB383" s="54">
        <v>0</v>
      </c>
      <c r="AC383" s="54">
        <v>0</v>
      </c>
      <c r="AD383" s="54">
        <v>0</v>
      </c>
      <c r="AE383" s="54">
        <v>0</v>
      </c>
      <c r="AF383" s="54">
        <v>0</v>
      </c>
      <c r="AG383" s="54">
        <v>0</v>
      </c>
      <c r="AH383" s="54">
        <v>0</v>
      </c>
      <c r="AI383" s="54">
        <v>0</v>
      </c>
      <c r="AJ383" s="54">
        <v>0</v>
      </c>
      <c r="AK383" s="54">
        <v>0</v>
      </c>
      <c r="AL383" s="54">
        <v>0</v>
      </c>
      <c r="AM383" s="54" t="str">
        <f>I383-J383-K383-L383-M383-N383-O383-P383-Q383-R383-S383-T383-U383-V383-W383-X383-Y383-Z383-AA383-AB383-AC383-AD383-AE383-AF383-AG383+AH383-AI383+AJ383+AK383-AL383</f>
        <v>0</v>
      </c>
      <c r="AN383" s="54"/>
      <c r="AO383" s="27"/>
    </row>
    <row r="384" spans="1:41">
      <c r="A384" s="44">
        <v>356</v>
      </c>
      <c r="B384" s="47" t="s">
        <v>1539</v>
      </c>
      <c r="C384" s="48" t="s">
        <v>1540</v>
      </c>
      <c r="D384" s="52" t="s">
        <v>73</v>
      </c>
      <c r="E384" s="52" t="s">
        <v>1536</v>
      </c>
      <c r="F384" s="55" t="s">
        <v>1541</v>
      </c>
      <c r="G384" s="51">
        <v>3</v>
      </c>
      <c r="H384" s="52" t="s">
        <v>1542</v>
      </c>
      <c r="I384" s="54">
        <v>525000</v>
      </c>
      <c r="J384" s="54">
        <v>0</v>
      </c>
      <c r="K384" s="54">
        <v>22000</v>
      </c>
      <c r="L384" s="54">
        <v>0</v>
      </c>
      <c r="M384" s="54">
        <v>0</v>
      </c>
      <c r="N384" s="54">
        <v>0</v>
      </c>
      <c r="O384" s="54">
        <v>0</v>
      </c>
      <c r="P384" s="54">
        <v>0</v>
      </c>
      <c r="Q384" s="54">
        <v>0</v>
      </c>
      <c r="R384" s="54">
        <v>0</v>
      </c>
      <c r="S384" s="54">
        <v>0</v>
      </c>
      <c r="T384" s="54">
        <v>0</v>
      </c>
      <c r="U384" s="54">
        <v>2263</v>
      </c>
      <c r="V384" s="54">
        <v>0</v>
      </c>
      <c r="W384" s="54">
        <v>0</v>
      </c>
      <c r="X384" s="54">
        <v>0</v>
      </c>
      <c r="Y384" s="54">
        <v>0</v>
      </c>
      <c r="Z384" s="54">
        <v>0</v>
      </c>
      <c r="AA384" s="54">
        <v>0</v>
      </c>
      <c r="AB384" s="54">
        <v>0</v>
      </c>
      <c r="AC384" s="54">
        <v>0</v>
      </c>
      <c r="AD384" s="54">
        <v>0</v>
      </c>
      <c r="AE384" s="54">
        <v>0</v>
      </c>
      <c r="AF384" s="54">
        <v>0</v>
      </c>
      <c r="AG384" s="54">
        <v>0</v>
      </c>
      <c r="AH384" s="54">
        <v>0</v>
      </c>
      <c r="AI384" s="54">
        <v>0</v>
      </c>
      <c r="AJ384" s="54">
        <v>0</v>
      </c>
      <c r="AK384" s="54">
        <v>0</v>
      </c>
      <c r="AL384" s="54">
        <v>0</v>
      </c>
      <c r="AM384" s="54" t="str">
        <f>I384-J384-K384-L384-M384-N384-O384-P384-Q384-R384-S384-T384-U384-V384-W384-X384-Y384-Z384-AA384-AB384-AC384-AD384-AE384-AF384-AG384+AH384-AI384+AJ384+AK384-AL384</f>
        <v>0</v>
      </c>
      <c r="AN384" s="54"/>
      <c r="AO384" s="27"/>
    </row>
    <row r="385" spans="1:41">
      <c r="A385" s="44">
        <v>357</v>
      </c>
      <c r="B385" s="47" t="s">
        <v>1543</v>
      </c>
      <c r="C385" s="48" t="s">
        <v>1544</v>
      </c>
      <c r="D385" s="52" t="s">
        <v>73</v>
      </c>
      <c r="E385" s="52" t="s">
        <v>1545</v>
      </c>
      <c r="F385" s="55" t="s">
        <v>1546</v>
      </c>
      <c r="G385" s="51">
        <v>2</v>
      </c>
      <c r="H385" s="52" t="s">
        <v>1547</v>
      </c>
      <c r="I385" s="54">
        <v>144000</v>
      </c>
      <c r="J385" s="54">
        <v>0</v>
      </c>
      <c r="K385" s="54">
        <v>22000</v>
      </c>
      <c r="L385" s="54">
        <v>0</v>
      </c>
      <c r="M385" s="54">
        <v>0</v>
      </c>
      <c r="N385" s="54">
        <v>0</v>
      </c>
      <c r="O385" s="54">
        <v>0</v>
      </c>
      <c r="P385" s="54">
        <v>0</v>
      </c>
      <c r="Q385" s="54">
        <v>0</v>
      </c>
      <c r="R385" s="54">
        <v>0</v>
      </c>
      <c r="S385" s="54">
        <v>0</v>
      </c>
      <c r="T385" s="54">
        <v>0</v>
      </c>
      <c r="U385" s="54">
        <v>2263</v>
      </c>
      <c r="V385" s="54">
        <v>0</v>
      </c>
      <c r="W385" s="54">
        <v>0</v>
      </c>
      <c r="X385" s="54">
        <v>0</v>
      </c>
      <c r="Y385" s="54">
        <v>0</v>
      </c>
      <c r="Z385" s="54">
        <v>0</v>
      </c>
      <c r="AA385" s="54">
        <v>0</v>
      </c>
      <c r="AB385" s="54">
        <v>0</v>
      </c>
      <c r="AC385" s="54">
        <v>0</v>
      </c>
      <c r="AD385" s="54">
        <v>0</v>
      </c>
      <c r="AE385" s="54">
        <v>0</v>
      </c>
      <c r="AF385" s="54">
        <v>0</v>
      </c>
      <c r="AG385" s="54">
        <v>0</v>
      </c>
      <c r="AH385" s="54">
        <v>0</v>
      </c>
      <c r="AI385" s="54">
        <v>0</v>
      </c>
      <c r="AJ385" s="54">
        <v>0</v>
      </c>
      <c r="AK385" s="54">
        <v>0</v>
      </c>
      <c r="AL385" s="54">
        <v>0</v>
      </c>
      <c r="AM385" s="54" t="str">
        <f>I385-J385-K385-L385-M385-N385-O385-P385-Q385-R385-S385-T385-U385-V385-W385-X385-Y385-Z385-AA385-AB385-AC385-AD385-AE385-AF385-AG385+AH385-AI385+AJ385+AK385-AL385</f>
        <v>0</v>
      </c>
      <c r="AN385" s="54"/>
      <c r="AO385" s="27"/>
    </row>
    <row r="386" spans="1:41">
      <c r="A386" s="44">
        <v>358</v>
      </c>
      <c r="B386" s="47" t="s">
        <v>1548</v>
      </c>
      <c r="C386" s="48" t="s">
        <v>1549</v>
      </c>
      <c r="D386" s="52" t="s">
        <v>73</v>
      </c>
      <c r="E386" s="52" t="s">
        <v>1545</v>
      </c>
      <c r="F386" s="55" t="s">
        <v>1550</v>
      </c>
      <c r="G386" s="51">
        <v>4</v>
      </c>
      <c r="H386" s="52" t="s">
        <v>1551</v>
      </c>
      <c r="I386" s="54">
        <v>578000</v>
      </c>
      <c r="J386" s="54">
        <v>0</v>
      </c>
      <c r="K386" s="54">
        <v>25000</v>
      </c>
      <c r="L386" s="54">
        <v>0</v>
      </c>
      <c r="M386" s="54">
        <v>0</v>
      </c>
      <c r="N386" s="54">
        <v>0</v>
      </c>
      <c r="O386" s="54">
        <v>0</v>
      </c>
      <c r="P386" s="54">
        <v>0</v>
      </c>
      <c r="Q386" s="54">
        <v>0</v>
      </c>
      <c r="R386" s="54">
        <v>0</v>
      </c>
      <c r="S386" s="54">
        <v>0</v>
      </c>
      <c r="T386" s="54">
        <v>0</v>
      </c>
      <c r="U386" s="54">
        <v>2572</v>
      </c>
      <c r="V386" s="54">
        <v>0</v>
      </c>
      <c r="W386" s="54">
        <v>0</v>
      </c>
      <c r="X386" s="54">
        <v>0</v>
      </c>
      <c r="Y386" s="54">
        <v>0</v>
      </c>
      <c r="Z386" s="54">
        <v>0</v>
      </c>
      <c r="AA386" s="54">
        <v>0</v>
      </c>
      <c r="AB386" s="54">
        <v>0</v>
      </c>
      <c r="AC386" s="54">
        <v>0</v>
      </c>
      <c r="AD386" s="54">
        <v>0</v>
      </c>
      <c r="AE386" s="54">
        <v>0</v>
      </c>
      <c r="AF386" s="54">
        <v>0</v>
      </c>
      <c r="AG386" s="54">
        <v>0</v>
      </c>
      <c r="AH386" s="54">
        <v>0</v>
      </c>
      <c r="AI386" s="54">
        <v>0</v>
      </c>
      <c r="AJ386" s="54">
        <v>0</v>
      </c>
      <c r="AK386" s="54">
        <v>0</v>
      </c>
      <c r="AL386" s="54">
        <v>0</v>
      </c>
      <c r="AM386" s="54" t="str">
        <f>I386-J386-K386-L386-M386-N386-O386-P386-Q386-R386-S386-T386-U386-V386-W386-X386-Y386-Z386-AA386-AB386-AC386-AD386-AE386-AF386-AG386+AH386-AI386+AJ386+AK386-AL386</f>
        <v>0</v>
      </c>
      <c r="AN386" s="54"/>
      <c r="AO386" s="27"/>
    </row>
    <row r="387" spans="1:41">
      <c r="A387" s="44">
        <v>359</v>
      </c>
      <c r="B387" s="47" t="s">
        <v>1552</v>
      </c>
      <c r="C387" s="48" t="s">
        <v>1553</v>
      </c>
      <c r="D387" s="52" t="s">
        <v>62</v>
      </c>
      <c r="E387" s="52" t="s">
        <v>1545</v>
      </c>
      <c r="F387" s="55" t="s">
        <v>1554</v>
      </c>
      <c r="G387" s="51">
        <v>6</v>
      </c>
      <c r="H387" s="52" t="s">
        <v>1555</v>
      </c>
      <c r="I387" s="54">
        <v>0</v>
      </c>
      <c r="J387" s="54">
        <v>0</v>
      </c>
      <c r="K387" s="54">
        <v>31000</v>
      </c>
      <c r="L387" s="54">
        <v>0</v>
      </c>
      <c r="M387" s="54">
        <v>0</v>
      </c>
      <c r="N387" s="54">
        <v>0</v>
      </c>
      <c r="O387" s="54">
        <v>0</v>
      </c>
      <c r="P387" s="54">
        <v>0</v>
      </c>
      <c r="Q387" s="54">
        <v>0</v>
      </c>
      <c r="R387" s="54">
        <v>0</v>
      </c>
      <c r="S387" s="54">
        <v>0</v>
      </c>
      <c r="T387" s="54">
        <v>0</v>
      </c>
      <c r="U387" s="54">
        <v>3189</v>
      </c>
      <c r="V387" s="54">
        <v>0</v>
      </c>
      <c r="W387" s="54">
        <v>0</v>
      </c>
      <c r="X387" s="54">
        <v>0</v>
      </c>
      <c r="Y387" s="54">
        <v>15500</v>
      </c>
      <c r="Z387" s="54">
        <v>0</v>
      </c>
      <c r="AA387" s="54">
        <v>0</v>
      </c>
      <c r="AB387" s="54">
        <v>0</v>
      </c>
      <c r="AC387" s="54">
        <v>0</v>
      </c>
      <c r="AD387" s="54">
        <v>0</v>
      </c>
      <c r="AE387" s="54">
        <v>0</v>
      </c>
      <c r="AF387" s="54">
        <v>0</v>
      </c>
      <c r="AG387" s="54">
        <v>0</v>
      </c>
      <c r="AH387" s="54">
        <v>0</v>
      </c>
      <c r="AI387" s="54">
        <v>0</v>
      </c>
      <c r="AJ387" s="54">
        <v>0</v>
      </c>
      <c r="AK387" s="54">
        <v>0</v>
      </c>
      <c r="AL387" s="54">
        <v>0</v>
      </c>
      <c r="AM387" s="54" t="str">
        <f>I387-J387-K387-L387-M387-N387-O387-P387-Q387-R387-S387-T387-U387-V387-W387-X387-Y387-Z387-AA387-AB387-AC387-AD387-AE387-AF387-AG387+AH387-AI387+AJ387+AK387-AL387</f>
        <v>0</v>
      </c>
      <c r="AN387" s="54"/>
      <c r="AO387" s="27"/>
    </row>
    <row r="388" spans="1:41">
      <c r="A388" s="44">
        <v>360</v>
      </c>
      <c r="B388" s="47" t="s">
        <v>1556</v>
      </c>
      <c r="C388" s="48" t="s">
        <v>1557</v>
      </c>
      <c r="D388" s="52" t="s">
        <v>73</v>
      </c>
      <c r="E388" s="52" t="s">
        <v>1545</v>
      </c>
      <c r="F388" s="55" t="s">
        <v>1225</v>
      </c>
      <c r="G388" s="51">
        <v>5</v>
      </c>
      <c r="H388" s="52" t="s">
        <v>1558</v>
      </c>
      <c r="I388" s="54">
        <v>1018000</v>
      </c>
      <c r="J388" s="54">
        <v>0</v>
      </c>
      <c r="K388" s="54">
        <v>27000</v>
      </c>
      <c r="L388" s="54">
        <v>0</v>
      </c>
      <c r="M388" s="54">
        <v>0</v>
      </c>
      <c r="N388" s="54">
        <v>0</v>
      </c>
      <c r="O388" s="54">
        <v>0</v>
      </c>
      <c r="P388" s="54">
        <v>0</v>
      </c>
      <c r="Q388" s="54">
        <v>0</v>
      </c>
      <c r="R388" s="54">
        <v>0</v>
      </c>
      <c r="S388" s="54">
        <v>0</v>
      </c>
      <c r="T388" s="54">
        <v>0</v>
      </c>
      <c r="U388" s="54">
        <v>2778</v>
      </c>
      <c r="V388" s="54">
        <v>0</v>
      </c>
      <c r="W388" s="54">
        <v>0</v>
      </c>
      <c r="X388" s="54">
        <v>0</v>
      </c>
      <c r="Y388" s="54">
        <v>0</v>
      </c>
      <c r="Z388" s="54">
        <v>0</v>
      </c>
      <c r="AA388" s="54">
        <v>0</v>
      </c>
      <c r="AB388" s="54">
        <v>0</v>
      </c>
      <c r="AC388" s="54">
        <v>0</v>
      </c>
      <c r="AD388" s="54">
        <v>0</v>
      </c>
      <c r="AE388" s="54">
        <v>0</v>
      </c>
      <c r="AF388" s="54">
        <v>0</v>
      </c>
      <c r="AG388" s="54">
        <v>0</v>
      </c>
      <c r="AH388" s="54">
        <v>0</v>
      </c>
      <c r="AI388" s="54">
        <v>0</v>
      </c>
      <c r="AJ388" s="54">
        <v>0</v>
      </c>
      <c r="AK388" s="54">
        <v>0</v>
      </c>
      <c r="AL388" s="54">
        <v>0</v>
      </c>
      <c r="AM388" s="54" t="str">
        <f>I388-J388-K388-L388-M388-N388-O388-P388-Q388-R388-S388-T388-U388-V388-W388-X388-Y388-Z388-AA388-AB388-AC388-AD388-AE388-AF388-AG388+AH388-AI388+AJ388+AK388-AL388</f>
        <v>0</v>
      </c>
      <c r="AN388" s="54"/>
      <c r="AO388" s="27"/>
    </row>
    <row r="389" spans="1:41">
      <c r="A389" s="44">
        <v>361</v>
      </c>
      <c r="B389" s="47" t="s">
        <v>1559</v>
      </c>
      <c r="C389" s="48" t="s">
        <v>1560</v>
      </c>
      <c r="D389" s="52" t="s">
        <v>73</v>
      </c>
      <c r="E389" s="52" t="s">
        <v>1545</v>
      </c>
      <c r="F389" s="55" t="s">
        <v>1561</v>
      </c>
      <c r="G389" s="51">
        <v>2</v>
      </c>
      <c r="H389" s="52" t="s">
        <v>1562</v>
      </c>
      <c r="I389" s="54">
        <v>243000</v>
      </c>
      <c r="J389" s="54">
        <v>0</v>
      </c>
      <c r="K389" s="54">
        <v>22000</v>
      </c>
      <c r="L389" s="54">
        <v>0</v>
      </c>
      <c r="M389" s="54">
        <v>0</v>
      </c>
      <c r="N389" s="54">
        <v>0</v>
      </c>
      <c r="O389" s="54">
        <v>0</v>
      </c>
      <c r="P389" s="54">
        <v>0</v>
      </c>
      <c r="Q389" s="54">
        <v>0</v>
      </c>
      <c r="R389" s="54">
        <v>0</v>
      </c>
      <c r="S389" s="54">
        <v>0</v>
      </c>
      <c r="T389" s="54">
        <v>0</v>
      </c>
      <c r="U389" s="54">
        <v>2263</v>
      </c>
      <c r="V389" s="54">
        <v>0</v>
      </c>
      <c r="W389" s="54">
        <v>0</v>
      </c>
      <c r="X389" s="54">
        <v>0</v>
      </c>
      <c r="Y389" s="54">
        <v>0</v>
      </c>
      <c r="Z389" s="54">
        <v>0</v>
      </c>
      <c r="AA389" s="54">
        <v>0</v>
      </c>
      <c r="AB389" s="54">
        <v>0</v>
      </c>
      <c r="AC389" s="54">
        <v>0</v>
      </c>
      <c r="AD389" s="54">
        <v>0</v>
      </c>
      <c r="AE389" s="54">
        <v>0</v>
      </c>
      <c r="AF389" s="54">
        <v>0</v>
      </c>
      <c r="AG389" s="54">
        <v>0</v>
      </c>
      <c r="AH389" s="54">
        <v>0</v>
      </c>
      <c r="AI389" s="54">
        <v>0</v>
      </c>
      <c r="AJ389" s="54">
        <v>0</v>
      </c>
      <c r="AK389" s="54">
        <v>0</v>
      </c>
      <c r="AL389" s="54">
        <v>0</v>
      </c>
      <c r="AM389" s="54" t="str">
        <f>I389-J389-K389-L389-M389-N389-O389-P389-Q389-R389-S389-T389-U389-V389-W389-X389-Y389-Z389-AA389-AB389-AC389-AD389-AE389-AF389-AG389+AH389-AI389+AJ389+AK389-AL389</f>
        <v>0</v>
      </c>
      <c r="AN389" s="54"/>
      <c r="AO389" s="27"/>
    </row>
    <row r="390" spans="1:41">
      <c r="A390" s="44">
        <v>362</v>
      </c>
      <c r="B390" s="47" t="s">
        <v>1563</v>
      </c>
      <c r="C390" s="48" t="s">
        <v>1564</v>
      </c>
      <c r="D390" s="52" t="s">
        <v>73</v>
      </c>
      <c r="E390" s="52" t="s">
        <v>1545</v>
      </c>
      <c r="F390" s="55" t="s">
        <v>1565</v>
      </c>
      <c r="G390" s="51">
        <v>3</v>
      </c>
      <c r="H390" s="52" t="s">
        <v>1566</v>
      </c>
      <c r="I390" s="54">
        <v>359000</v>
      </c>
      <c r="J390" s="54">
        <v>0</v>
      </c>
      <c r="K390" s="54">
        <v>22000</v>
      </c>
      <c r="L390" s="54">
        <v>0</v>
      </c>
      <c r="M390" s="54">
        <v>0</v>
      </c>
      <c r="N390" s="54">
        <v>0</v>
      </c>
      <c r="O390" s="54">
        <v>0</v>
      </c>
      <c r="P390" s="54">
        <v>0</v>
      </c>
      <c r="Q390" s="54">
        <v>0</v>
      </c>
      <c r="R390" s="54">
        <v>0</v>
      </c>
      <c r="S390" s="54">
        <v>0</v>
      </c>
      <c r="T390" s="54">
        <v>0</v>
      </c>
      <c r="U390" s="54">
        <v>2263</v>
      </c>
      <c r="V390" s="54">
        <v>0</v>
      </c>
      <c r="W390" s="54">
        <v>0</v>
      </c>
      <c r="X390" s="54">
        <v>0</v>
      </c>
      <c r="Y390" s="54">
        <v>0</v>
      </c>
      <c r="Z390" s="54">
        <v>0</v>
      </c>
      <c r="AA390" s="54">
        <v>0</v>
      </c>
      <c r="AB390" s="54">
        <v>0</v>
      </c>
      <c r="AC390" s="54">
        <v>0</v>
      </c>
      <c r="AD390" s="54">
        <v>0</v>
      </c>
      <c r="AE390" s="54">
        <v>0</v>
      </c>
      <c r="AF390" s="54">
        <v>0</v>
      </c>
      <c r="AG390" s="54">
        <v>0</v>
      </c>
      <c r="AH390" s="54">
        <v>0</v>
      </c>
      <c r="AI390" s="54">
        <v>0</v>
      </c>
      <c r="AJ390" s="54">
        <v>0</v>
      </c>
      <c r="AK390" s="54">
        <v>0</v>
      </c>
      <c r="AL390" s="54">
        <v>0</v>
      </c>
      <c r="AM390" s="54" t="str">
        <f>I390-J390-K390-L390-M390-N390-O390-P390-Q390-R390-S390-T390-U390-V390-W390-X390-Y390-Z390-AA390-AB390-AC390-AD390-AE390-AF390-AG390+AH390-AI390+AJ390+AK390-AL390</f>
        <v>0</v>
      </c>
      <c r="AN390" s="54"/>
      <c r="AO390" s="27"/>
    </row>
    <row r="391" spans="1:41">
      <c r="A391" s="44">
        <v>363</v>
      </c>
      <c r="B391" s="47" t="s">
        <v>1567</v>
      </c>
      <c r="C391" s="48" t="s">
        <v>1568</v>
      </c>
      <c r="D391" s="52" t="s">
        <v>73</v>
      </c>
      <c r="E391" s="52" t="s">
        <v>1545</v>
      </c>
      <c r="F391" s="55" t="s">
        <v>1569</v>
      </c>
      <c r="G391" s="51">
        <v>6</v>
      </c>
      <c r="H391" s="52" t="s">
        <v>1570</v>
      </c>
      <c r="I391" s="54">
        <v>439000</v>
      </c>
      <c r="J391" s="54">
        <v>0</v>
      </c>
      <c r="K391" s="54">
        <v>31000</v>
      </c>
      <c r="L391" s="54">
        <v>0</v>
      </c>
      <c r="M391" s="54">
        <v>0</v>
      </c>
      <c r="N391" s="54">
        <v>0</v>
      </c>
      <c r="O391" s="54">
        <v>0</v>
      </c>
      <c r="P391" s="54">
        <v>0</v>
      </c>
      <c r="Q391" s="54">
        <v>0</v>
      </c>
      <c r="R391" s="54">
        <v>0</v>
      </c>
      <c r="S391" s="54">
        <v>0</v>
      </c>
      <c r="T391" s="54">
        <v>0</v>
      </c>
      <c r="U391" s="54">
        <v>3189</v>
      </c>
      <c r="V391" s="54">
        <v>0</v>
      </c>
      <c r="W391" s="54">
        <v>0</v>
      </c>
      <c r="X391" s="54">
        <v>0</v>
      </c>
      <c r="Y391" s="54">
        <v>0</v>
      </c>
      <c r="Z391" s="54">
        <v>0</v>
      </c>
      <c r="AA391" s="54">
        <v>0</v>
      </c>
      <c r="AB391" s="54">
        <v>0</v>
      </c>
      <c r="AC391" s="54">
        <v>0</v>
      </c>
      <c r="AD391" s="54">
        <v>0</v>
      </c>
      <c r="AE391" s="54">
        <v>0</v>
      </c>
      <c r="AF391" s="54">
        <v>0</v>
      </c>
      <c r="AG391" s="54">
        <v>0</v>
      </c>
      <c r="AH391" s="54">
        <v>0</v>
      </c>
      <c r="AI391" s="54">
        <v>0</v>
      </c>
      <c r="AJ391" s="54">
        <v>0</v>
      </c>
      <c r="AK391" s="54">
        <v>0</v>
      </c>
      <c r="AL391" s="54">
        <v>0</v>
      </c>
      <c r="AM391" s="54" t="str">
        <f>I391-J391-K391-L391-M391-N391-O391-P391-Q391-R391-S391-T391-U391-V391-W391-X391-Y391-Z391-AA391-AB391-AC391-AD391-AE391-AF391-AG391+AH391-AI391+AJ391+AK391-AL391</f>
        <v>0</v>
      </c>
      <c r="AN391" s="54"/>
      <c r="AO391" s="27"/>
    </row>
    <row r="392" spans="1:41">
      <c r="A392" s="44">
        <v>364</v>
      </c>
      <c r="B392" s="47" t="s">
        <v>1571</v>
      </c>
      <c r="C392" s="48" t="s">
        <v>1572</v>
      </c>
      <c r="D392" s="52" t="s">
        <v>62</v>
      </c>
      <c r="E392" s="52" t="s">
        <v>1573</v>
      </c>
      <c r="F392" s="55" t="s">
        <v>1574</v>
      </c>
      <c r="G392" s="51">
        <v>3</v>
      </c>
      <c r="H392" s="52" t="s">
        <v>1575</v>
      </c>
      <c r="I392" s="54">
        <v>0</v>
      </c>
      <c r="J392" s="54">
        <v>0</v>
      </c>
      <c r="K392" s="54">
        <v>22000</v>
      </c>
      <c r="L392" s="54">
        <v>0</v>
      </c>
      <c r="M392" s="54">
        <v>0</v>
      </c>
      <c r="N392" s="54">
        <v>0</v>
      </c>
      <c r="O392" s="54">
        <v>0</v>
      </c>
      <c r="P392" s="54">
        <v>0</v>
      </c>
      <c r="Q392" s="54">
        <v>0</v>
      </c>
      <c r="R392" s="54">
        <v>0</v>
      </c>
      <c r="S392" s="54">
        <v>0</v>
      </c>
      <c r="T392" s="54">
        <v>0</v>
      </c>
      <c r="U392" s="54">
        <v>2263</v>
      </c>
      <c r="V392" s="54">
        <v>0</v>
      </c>
      <c r="W392" s="54">
        <v>0</v>
      </c>
      <c r="X392" s="54">
        <v>0</v>
      </c>
      <c r="Y392" s="54">
        <v>11000</v>
      </c>
      <c r="Z392" s="54">
        <v>0</v>
      </c>
      <c r="AA392" s="54">
        <v>0</v>
      </c>
      <c r="AB392" s="54">
        <v>0</v>
      </c>
      <c r="AC392" s="54">
        <v>0</v>
      </c>
      <c r="AD392" s="54">
        <v>0</v>
      </c>
      <c r="AE392" s="54">
        <v>0</v>
      </c>
      <c r="AF392" s="54">
        <v>0</v>
      </c>
      <c r="AG392" s="54">
        <v>0</v>
      </c>
      <c r="AH392" s="54">
        <v>0</v>
      </c>
      <c r="AI392" s="54">
        <v>0</v>
      </c>
      <c r="AJ392" s="54">
        <v>0</v>
      </c>
      <c r="AK392" s="54">
        <v>0</v>
      </c>
      <c r="AL392" s="54">
        <v>0</v>
      </c>
      <c r="AM392" s="54" t="str">
        <f>I392-J392-K392-L392-M392-N392-O392-P392-Q392-R392-S392-T392-U392-V392-W392-X392-Y392-Z392-AA392-AB392-AC392-AD392-AE392-AF392-AG392+AH392-AI392+AJ392+AK392-AL392</f>
        <v>0</v>
      </c>
      <c r="AN392" s="54"/>
      <c r="AO392" s="27"/>
    </row>
    <row r="393" spans="1:41">
      <c r="A393" s="44">
        <v>365</v>
      </c>
      <c r="B393" s="47" t="s">
        <v>1576</v>
      </c>
      <c r="C393" s="48" t="s">
        <v>1577</v>
      </c>
      <c r="D393" s="52" t="s">
        <v>73</v>
      </c>
      <c r="E393" s="52" t="s">
        <v>1578</v>
      </c>
      <c r="F393" s="55" t="s">
        <v>1579</v>
      </c>
      <c r="G393" s="51">
        <v>2</v>
      </c>
      <c r="H393" s="52" t="s">
        <v>1580</v>
      </c>
      <c r="I393" s="54">
        <v>0</v>
      </c>
      <c r="J393" s="54">
        <v>0</v>
      </c>
      <c r="K393" s="54">
        <v>22000</v>
      </c>
      <c r="L393" s="54">
        <v>0</v>
      </c>
      <c r="M393" s="54">
        <v>0</v>
      </c>
      <c r="N393" s="54">
        <v>0</v>
      </c>
      <c r="O393" s="54">
        <v>0</v>
      </c>
      <c r="P393" s="54">
        <v>0</v>
      </c>
      <c r="Q393" s="54">
        <v>0</v>
      </c>
      <c r="R393" s="54">
        <v>0</v>
      </c>
      <c r="S393" s="54">
        <v>0</v>
      </c>
      <c r="T393" s="54">
        <v>0</v>
      </c>
      <c r="U393" s="54">
        <v>2263</v>
      </c>
      <c r="V393" s="54">
        <v>0</v>
      </c>
      <c r="W393" s="54">
        <v>0</v>
      </c>
      <c r="X393" s="54">
        <v>0</v>
      </c>
      <c r="Y393" s="54">
        <v>11000</v>
      </c>
      <c r="Z393" s="54">
        <v>0</v>
      </c>
      <c r="AA393" s="54">
        <v>0</v>
      </c>
      <c r="AB393" s="54">
        <v>0</v>
      </c>
      <c r="AC393" s="54">
        <v>0</v>
      </c>
      <c r="AD393" s="54">
        <v>0</v>
      </c>
      <c r="AE393" s="54">
        <v>0</v>
      </c>
      <c r="AF393" s="54">
        <v>0</v>
      </c>
      <c r="AG393" s="54">
        <v>0</v>
      </c>
      <c r="AH393" s="54">
        <v>0</v>
      </c>
      <c r="AI393" s="54">
        <v>0</v>
      </c>
      <c r="AJ393" s="54">
        <v>0</v>
      </c>
      <c r="AK393" s="54">
        <v>0</v>
      </c>
      <c r="AL393" s="54">
        <v>0</v>
      </c>
      <c r="AM393" s="54" t="str">
        <f>I393-J393-K393-L393-M393-N393-O393-P393-Q393-R393-S393-T393-U393-V393-W393-X393-Y393-Z393-AA393-AB393-AC393-AD393-AE393-AF393-AG393+AH393-AI393+AJ393+AK393-AL393</f>
        <v>0</v>
      </c>
      <c r="AN393" s="54"/>
      <c r="AO393" s="27"/>
    </row>
    <row r="394" spans="1:41">
      <c r="A394" s="44">
        <v>366</v>
      </c>
      <c r="B394" s="47" t="s">
        <v>1581</v>
      </c>
      <c r="C394" s="48" t="s">
        <v>1582</v>
      </c>
      <c r="D394" s="52" t="s">
        <v>73</v>
      </c>
      <c r="E394" s="52" t="s">
        <v>1578</v>
      </c>
      <c r="F394" s="55" t="s">
        <v>1583</v>
      </c>
      <c r="G394" s="51">
        <v>4</v>
      </c>
      <c r="H394" s="52" t="s">
        <v>1584</v>
      </c>
      <c r="I394" s="54">
        <v>0</v>
      </c>
      <c r="J394" s="54">
        <v>0</v>
      </c>
      <c r="K394" s="54">
        <v>25000</v>
      </c>
      <c r="L394" s="54">
        <v>0</v>
      </c>
      <c r="M394" s="54">
        <v>0</v>
      </c>
      <c r="N394" s="54">
        <v>0</v>
      </c>
      <c r="O394" s="54">
        <v>0</v>
      </c>
      <c r="P394" s="54">
        <v>0</v>
      </c>
      <c r="Q394" s="54">
        <v>0</v>
      </c>
      <c r="R394" s="54">
        <v>0</v>
      </c>
      <c r="S394" s="54">
        <v>0</v>
      </c>
      <c r="T394" s="54">
        <v>0</v>
      </c>
      <c r="U394" s="54">
        <v>2572</v>
      </c>
      <c r="V394" s="54">
        <v>0</v>
      </c>
      <c r="W394" s="54">
        <v>0</v>
      </c>
      <c r="X394" s="54">
        <v>0</v>
      </c>
      <c r="Y394" s="54">
        <v>12500</v>
      </c>
      <c r="Z394" s="54">
        <v>0</v>
      </c>
      <c r="AA394" s="54">
        <v>0</v>
      </c>
      <c r="AB394" s="54">
        <v>0</v>
      </c>
      <c r="AC394" s="54">
        <v>0</v>
      </c>
      <c r="AD394" s="54">
        <v>0</v>
      </c>
      <c r="AE394" s="54">
        <v>0</v>
      </c>
      <c r="AF394" s="54">
        <v>0</v>
      </c>
      <c r="AG394" s="54">
        <v>0</v>
      </c>
      <c r="AH394" s="54">
        <v>0</v>
      </c>
      <c r="AI394" s="54">
        <v>0</v>
      </c>
      <c r="AJ394" s="54">
        <v>0</v>
      </c>
      <c r="AK394" s="54">
        <v>0</v>
      </c>
      <c r="AL394" s="54">
        <v>0</v>
      </c>
      <c r="AM394" s="54" t="str">
        <f>I394-J394-K394-L394-M394-N394-O394-P394-Q394-R394-S394-T394-U394-V394-W394-X394-Y394-Z394-AA394-AB394-AC394-AD394-AE394-AF394-AG394+AH394-AI394+AJ394+AK394-AL394</f>
        <v>0</v>
      </c>
      <c r="AN394" s="54"/>
      <c r="AO394" s="27"/>
    </row>
    <row r="395" spans="1:41">
      <c r="A395" s="44">
        <v>367</v>
      </c>
      <c r="B395" s="47" t="s">
        <v>1585</v>
      </c>
      <c r="C395" s="48" t="s">
        <v>1586</v>
      </c>
      <c r="D395" s="52" t="s">
        <v>73</v>
      </c>
      <c r="E395" s="52" t="s">
        <v>1578</v>
      </c>
      <c r="F395" s="55" t="s">
        <v>1587</v>
      </c>
      <c r="G395" s="51">
        <v>3</v>
      </c>
      <c r="H395" s="52" t="s">
        <v>1588</v>
      </c>
      <c r="I395" s="54">
        <v>0</v>
      </c>
      <c r="J395" s="54">
        <v>0</v>
      </c>
      <c r="K395" s="54">
        <v>22000</v>
      </c>
      <c r="L395" s="54">
        <v>0</v>
      </c>
      <c r="M395" s="54">
        <v>0</v>
      </c>
      <c r="N395" s="54">
        <v>0</v>
      </c>
      <c r="O395" s="54">
        <v>0</v>
      </c>
      <c r="P395" s="54">
        <v>0</v>
      </c>
      <c r="Q395" s="54">
        <v>0</v>
      </c>
      <c r="R395" s="54">
        <v>0</v>
      </c>
      <c r="S395" s="54">
        <v>0</v>
      </c>
      <c r="T395" s="54">
        <v>0</v>
      </c>
      <c r="U395" s="54">
        <v>2263</v>
      </c>
      <c r="V395" s="54">
        <v>0</v>
      </c>
      <c r="W395" s="54">
        <v>0</v>
      </c>
      <c r="X395" s="54">
        <v>0</v>
      </c>
      <c r="Y395" s="54">
        <v>11000</v>
      </c>
      <c r="Z395" s="54">
        <v>0</v>
      </c>
      <c r="AA395" s="54">
        <v>0</v>
      </c>
      <c r="AB395" s="54">
        <v>0</v>
      </c>
      <c r="AC395" s="54">
        <v>0</v>
      </c>
      <c r="AD395" s="54">
        <v>0</v>
      </c>
      <c r="AE395" s="54">
        <v>0</v>
      </c>
      <c r="AF395" s="54">
        <v>0</v>
      </c>
      <c r="AG395" s="54">
        <v>0</v>
      </c>
      <c r="AH395" s="54">
        <v>0</v>
      </c>
      <c r="AI395" s="54">
        <v>0</v>
      </c>
      <c r="AJ395" s="54">
        <v>0</v>
      </c>
      <c r="AK395" s="54">
        <v>0</v>
      </c>
      <c r="AL395" s="54">
        <v>0</v>
      </c>
      <c r="AM395" s="54" t="str">
        <f>I395-J395-K395-L395-M395-N395-O395-P395-Q395-R395-S395-T395-U395-V395-W395-X395-Y395-Z395-AA395-AB395-AC395-AD395-AE395-AF395-AG395+AH395-AI395+AJ395+AK395-AL395</f>
        <v>0</v>
      </c>
      <c r="AN395" s="54"/>
      <c r="AO395" s="27"/>
    </row>
    <row r="396" spans="1:41">
      <c r="A396" s="44">
        <v>368</v>
      </c>
      <c r="B396" s="47" t="s">
        <v>1589</v>
      </c>
      <c r="C396" s="48" t="s">
        <v>1590</v>
      </c>
      <c r="D396" s="52" t="s">
        <v>73</v>
      </c>
      <c r="E396" s="52" t="s">
        <v>1578</v>
      </c>
      <c r="F396" s="55" t="s">
        <v>1591</v>
      </c>
      <c r="G396" s="51">
        <v>3</v>
      </c>
      <c r="H396" s="52" t="s">
        <v>1592</v>
      </c>
      <c r="I396" s="54">
        <v>0</v>
      </c>
      <c r="J396" s="54">
        <v>0</v>
      </c>
      <c r="K396" s="54">
        <v>22000</v>
      </c>
      <c r="L396" s="54">
        <v>0</v>
      </c>
      <c r="M396" s="54">
        <v>0</v>
      </c>
      <c r="N396" s="54">
        <v>0</v>
      </c>
      <c r="O396" s="54">
        <v>0</v>
      </c>
      <c r="P396" s="54">
        <v>0</v>
      </c>
      <c r="Q396" s="54">
        <v>0</v>
      </c>
      <c r="R396" s="54">
        <v>0</v>
      </c>
      <c r="S396" s="54">
        <v>0</v>
      </c>
      <c r="T396" s="54">
        <v>0</v>
      </c>
      <c r="U396" s="54">
        <v>2263</v>
      </c>
      <c r="V396" s="54">
        <v>0</v>
      </c>
      <c r="W396" s="54">
        <v>0</v>
      </c>
      <c r="X396" s="54">
        <v>0</v>
      </c>
      <c r="Y396" s="54">
        <v>11000</v>
      </c>
      <c r="Z396" s="54">
        <v>0</v>
      </c>
      <c r="AA396" s="54">
        <v>0</v>
      </c>
      <c r="AB396" s="54">
        <v>0</v>
      </c>
      <c r="AC396" s="54">
        <v>0</v>
      </c>
      <c r="AD396" s="54">
        <v>0</v>
      </c>
      <c r="AE396" s="54">
        <v>0</v>
      </c>
      <c r="AF396" s="54">
        <v>0</v>
      </c>
      <c r="AG396" s="54">
        <v>0</v>
      </c>
      <c r="AH396" s="54">
        <v>0</v>
      </c>
      <c r="AI396" s="54">
        <v>0</v>
      </c>
      <c r="AJ396" s="54">
        <v>0</v>
      </c>
      <c r="AK396" s="54">
        <v>0</v>
      </c>
      <c r="AL396" s="54">
        <v>0</v>
      </c>
      <c r="AM396" s="54" t="str">
        <f>I396-J396-K396-L396-M396-N396-O396-P396-Q396-R396-S396-T396-U396-V396-W396-X396-Y396-Z396-AA396-AB396-AC396-AD396-AE396-AF396-AG396+AH396-AI396+AJ396+AK396-AL396</f>
        <v>0</v>
      </c>
      <c r="AN396" s="54"/>
      <c r="AO396" s="27"/>
    </row>
    <row r="397" spans="1:41">
      <c r="A397" s="44">
        <v>369</v>
      </c>
      <c r="B397" s="47" t="s">
        <v>1593</v>
      </c>
      <c r="C397" s="48" t="s">
        <v>1594</v>
      </c>
      <c r="D397" s="52" t="s">
        <v>73</v>
      </c>
      <c r="E397" s="52" t="s">
        <v>1578</v>
      </c>
      <c r="F397" s="55" t="s">
        <v>1595</v>
      </c>
      <c r="G397" s="51">
        <v>3</v>
      </c>
      <c r="H397" s="52" t="s">
        <v>1596</v>
      </c>
      <c r="I397" s="54">
        <v>0</v>
      </c>
      <c r="J397" s="54">
        <v>0</v>
      </c>
      <c r="K397" s="54">
        <v>22000</v>
      </c>
      <c r="L397" s="54">
        <v>0</v>
      </c>
      <c r="M397" s="54">
        <v>0</v>
      </c>
      <c r="N397" s="54">
        <v>0</v>
      </c>
      <c r="O397" s="54">
        <v>0</v>
      </c>
      <c r="P397" s="54">
        <v>0</v>
      </c>
      <c r="Q397" s="54">
        <v>0</v>
      </c>
      <c r="R397" s="54">
        <v>0</v>
      </c>
      <c r="S397" s="54">
        <v>0</v>
      </c>
      <c r="T397" s="54">
        <v>0</v>
      </c>
      <c r="U397" s="54">
        <v>2263</v>
      </c>
      <c r="V397" s="54">
        <v>0</v>
      </c>
      <c r="W397" s="54">
        <v>0</v>
      </c>
      <c r="X397" s="54">
        <v>0</v>
      </c>
      <c r="Y397" s="54">
        <v>11000</v>
      </c>
      <c r="Z397" s="54">
        <v>0</v>
      </c>
      <c r="AA397" s="54">
        <v>0</v>
      </c>
      <c r="AB397" s="54">
        <v>0</v>
      </c>
      <c r="AC397" s="54">
        <v>0</v>
      </c>
      <c r="AD397" s="54">
        <v>0</v>
      </c>
      <c r="AE397" s="54">
        <v>0</v>
      </c>
      <c r="AF397" s="54">
        <v>0</v>
      </c>
      <c r="AG397" s="54">
        <v>0</v>
      </c>
      <c r="AH397" s="54">
        <v>0</v>
      </c>
      <c r="AI397" s="54">
        <v>0</v>
      </c>
      <c r="AJ397" s="54">
        <v>0</v>
      </c>
      <c r="AK397" s="54">
        <v>0</v>
      </c>
      <c r="AL397" s="54">
        <v>0</v>
      </c>
      <c r="AM397" s="54" t="str">
        <f>I397-J397-K397-L397-M397-N397-O397-P397-Q397-R397-S397-T397-U397-V397-W397-X397-Y397-Z397-AA397-AB397-AC397-AD397-AE397-AF397-AG397+AH397-AI397+AJ397+AK397-AL397</f>
        <v>0</v>
      </c>
      <c r="AN397" s="54"/>
      <c r="AO397" s="27"/>
    </row>
    <row r="398" spans="1:41">
      <c r="A398" s="44">
        <v>370</v>
      </c>
      <c r="B398" s="47" t="s">
        <v>1597</v>
      </c>
      <c r="C398" s="48" t="s">
        <v>1598</v>
      </c>
      <c r="D398" s="52" t="s">
        <v>73</v>
      </c>
      <c r="E398" s="52" t="s">
        <v>1599</v>
      </c>
      <c r="F398" s="55" t="s">
        <v>1600</v>
      </c>
      <c r="G398" s="51">
        <v>2</v>
      </c>
      <c r="H398" s="52" t="s">
        <v>1601</v>
      </c>
      <c r="I398" s="54">
        <v>0</v>
      </c>
      <c r="J398" s="54">
        <v>0</v>
      </c>
      <c r="K398" s="54">
        <v>22000</v>
      </c>
      <c r="L398" s="54">
        <v>0</v>
      </c>
      <c r="M398" s="54">
        <v>0</v>
      </c>
      <c r="N398" s="54">
        <v>0</v>
      </c>
      <c r="O398" s="54">
        <v>0</v>
      </c>
      <c r="P398" s="54">
        <v>0</v>
      </c>
      <c r="Q398" s="54">
        <v>0</v>
      </c>
      <c r="R398" s="54">
        <v>0</v>
      </c>
      <c r="S398" s="54">
        <v>0</v>
      </c>
      <c r="T398" s="54">
        <v>0</v>
      </c>
      <c r="U398" s="54">
        <v>2263</v>
      </c>
      <c r="V398" s="54">
        <v>0</v>
      </c>
      <c r="W398" s="54">
        <v>0</v>
      </c>
      <c r="X398" s="54">
        <v>0</v>
      </c>
      <c r="Y398" s="54">
        <v>0</v>
      </c>
      <c r="Z398" s="54">
        <v>0</v>
      </c>
      <c r="AA398" s="54">
        <v>0</v>
      </c>
      <c r="AB398" s="54">
        <v>0</v>
      </c>
      <c r="AC398" s="54">
        <v>0</v>
      </c>
      <c r="AD398" s="54">
        <v>0</v>
      </c>
      <c r="AE398" s="54">
        <v>0</v>
      </c>
      <c r="AF398" s="54">
        <v>0</v>
      </c>
      <c r="AG398" s="54">
        <v>0</v>
      </c>
      <c r="AH398" s="54">
        <v>0</v>
      </c>
      <c r="AI398" s="54">
        <v>0</v>
      </c>
      <c r="AJ398" s="54">
        <v>0</v>
      </c>
      <c r="AK398" s="54">
        <v>0</v>
      </c>
      <c r="AL398" s="54">
        <v>0</v>
      </c>
      <c r="AM398" s="54" t="str">
        <f>I398-J398-K398-L398-M398-N398-O398-P398-Q398-R398-S398-T398-U398-V398-W398-X398-Y398-Z398-AA398-AB398-AC398-AD398-AE398-AF398-AG398+AH398-AI398+AJ398+AK398-AL398</f>
        <v>0</v>
      </c>
      <c r="AN398" s="54"/>
      <c r="AO398" s="27"/>
    </row>
    <row r="399" spans="1:41">
      <c r="A399" s="44">
        <v>371</v>
      </c>
      <c r="B399" s="47" t="s">
        <v>1602</v>
      </c>
      <c r="C399" s="48" t="s">
        <v>1603</v>
      </c>
      <c r="D399" s="52" t="s">
        <v>73</v>
      </c>
      <c r="E399" s="52" t="s">
        <v>1599</v>
      </c>
      <c r="F399" s="55" t="s">
        <v>707</v>
      </c>
      <c r="G399" s="51">
        <v>3</v>
      </c>
      <c r="H399" s="52" t="s">
        <v>1604</v>
      </c>
      <c r="I399" s="54">
        <v>0</v>
      </c>
      <c r="J399" s="54">
        <v>0</v>
      </c>
      <c r="K399" s="54">
        <v>22000</v>
      </c>
      <c r="L399" s="54">
        <v>0</v>
      </c>
      <c r="M399" s="54">
        <v>0</v>
      </c>
      <c r="N399" s="54">
        <v>0</v>
      </c>
      <c r="O399" s="54">
        <v>0</v>
      </c>
      <c r="P399" s="54">
        <v>0</v>
      </c>
      <c r="Q399" s="54">
        <v>0</v>
      </c>
      <c r="R399" s="54">
        <v>0</v>
      </c>
      <c r="S399" s="54">
        <v>0</v>
      </c>
      <c r="T399" s="54">
        <v>0</v>
      </c>
      <c r="U399" s="54">
        <v>2263</v>
      </c>
      <c r="V399" s="54">
        <v>0</v>
      </c>
      <c r="W399" s="54">
        <v>0</v>
      </c>
      <c r="X399" s="54">
        <v>0</v>
      </c>
      <c r="Y399" s="54">
        <v>0</v>
      </c>
      <c r="Z399" s="54">
        <v>0</v>
      </c>
      <c r="AA399" s="54">
        <v>0</v>
      </c>
      <c r="AB399" s="54">
        <v>0</v>
      </c>
      <c r="AC399" s="54">
        <v>0</v>
      </c>
      <c r="AD399" s="54">
        <v>0</v>
      </c>
      <c r="AE399" s="54">
        <v>0</v>
      </c>
      <c r="AF399" s="54">
        <v>0</v>
      </c>
      <c r="AG399" s="54">
        <v>0</v>
      </c>
      <c r="AH399" s="54">
        <v>0</v>
      </c>
      <c r="AI399" s="54">
        <v>0</v>
      </c>
      <c r="AJ399" s="54">
        <v>0</v>
      </c>
      <c r="AK399" s="54">
        <v>0</v>
      </c>
      <c r="AL399" s="54">
        <v>0</v>
      </c>
      <c r="AM399" s="54" t="str">
        <f>I399-J399-K399-L399-M399-N399-O399-P399-Q399-R399-S399-T399-U399-V399-W399-X399-Y399-Z399-AA399-AB399-AC399-AD399-AE399-AF399-AG399+AH399-AI399+AJ399+AK399-AL399</f>
        <v>0</v>
      </c>
      <c r="AN399" s="54"/>
      <c r="AO399" s="27"/>
    </row>
    <row r="400" spans="1:41">
      <c r="A400" s="44">
        <v>372</v>
      </c>
      <c r="B400" s="47" t="s">
        <v>1605</v>
      </c>
      <c r="C400" s="48" t="s">
        <v>1606</v>
      </c>
      <c r="D400" s="52" t="s">
        <v>73</v>
      </c>
      <c r="E400" s="52" t="s">
        <v>1599</v>
      </c>
      <c r="F400" s="55" t="s">
        <v>1607</v>
      </c>
      <c r="G400" s="51">
        <v>3</v>
      </c>
      <c r="H400" s="52" t="s">
        <v>1608</v>
      </c>
      <c r="I400" s="54">
        <v>0</v>
      </c>
      <c r="J400" s="54">
        <v>0</v>
      </c>
      <c r="K400" s="54">
        <v>22000</v>
      </c>
      <c r="L400" s="54">
        <v>0</v>
      </c>
      <c r="M400" s="54">
        <v>0</v>
      </c>
      <c r="N400" s="54">
        <v>0</v>
      </c>
      <c r="O400" s="54">
        <v>0</v>
      </c>
      <c r="P400" s="54">
        <v>0</v>
      </c>
      <c r="Q400" s="54">
        <v>0</v>
      </c>
      <c r="R400" s="54">
        <v>0</v>
      </c>
      <c r="S400" s="54">
        <v>0</v>
      </c>
      <c r="T400" s="54">
        <v>0</v>
      </c>
      <c r="U400" s="54">
        <v>2263</v>
      </c>
      <c r="V400" s="54">
        <v>0</v>
      </c>
      <c r="W400" s="54">
        <v>0</v>
      </c>
      <c r="X400" s="54">
        <v>0</v>
      </c>
      <c r="Y400" s="54">
        <v>0</v>
      </c>
      <c r="Z400" s="54">
        <v>0</v>
      </c>
      <c r="AA400" s="54">
        <v>0</v>
      </c>
      <c r="AB400" s="54">
        <v>0</v>
      </c>
      <c r="AC400" s="54">
        <v>0</v>
      </c>
      <c r="AD400" s="54">
        <v>0</v>
      </c>
      <c r="AE400" s="54">
        <v>0</v>
      </c>
      <c r="AF400" s="54">
        <v>0</v>
      </c>
      <c r="AG400" s="54">
        <v>0</v>
      </c>
      <c r="AH400" s="54">
        <v>0</v>
      </c>
      <c r="AI400" s="54">
        <v>0</v>
      </c>
      <c r="AJ400" s="54">
        <v>0</v>
      </c>
      <c r="AK400" s="54">
        <v>0</v>
      </c>
      <c r="AL400" s="54">
        <v>0</v>
      </c>
      <c r="AM400" s="54" t="str">
        <f>I400-J400-K400-L400-M400-N400-O400-P400-Q400-R400-S400-T400-U400-V400-W400-X400-Y400-Z400-AA400-AB400-AC400-AD400-AE400-AF400-AG400+AH400-AI400+AJ400+AK400-AL400</f>
        <v>0</v>
      </c>
      <c r="AN400" s="54"/>
      <c r="AO400" s="27"/>
    </row>
    <row r="401" spans="1:41">
      <c r="A401" s="44">
        <v>373</v>
      </c>
      <c r="B401" s="47" t="s">
        <v>1609</v>
      </c>
      <c r="C401" s="48" t="s">
        <v>1610</v>
      </c>
      <c r="D401" s="52" t="s">
        <v>73</v>
      </c>
      <c r="E401" s="52" t="s">
        <v>1599</v>
      </c>
      <c r="F401" s="55" t="s">
        <v>1611</v>
      </c>
      <c r="G401" s="51">
        <v>1</v>
      </c>
      <c r="H401" s="52" t="s">
        <v>1612</v>
      </c>
      <c r="I401" s="54">
        <v>0</v>
      </c>
      <c r="J401" s="54">
        <v>0</v>
      </c>
      <c r="K401" s="54">
        <v>22000</v>
      </c>
      <c r="L401" s="54">
        <v>0</v>
      </c>
      <c r="M401" s="54">
        <v>0</v>
      </c>
      <c r="N401" s="54">
        <v>0</v>
      </c>
      <c r="O401" s="54">
        <v>0</v>
      </c>
      <c r="P401" s="54">
        <v>0</v>
      </c>
      <c r="Q401" s="54">
        <v>0</v>
      </c>
      <c r="R401" s="54">
        <v>0</v>
      </c>
      <c r="S401" s="54">
        <v>0</v>
      </c>
      <c r="T401" s="54">
        <v>0</v>
      </c>
      <c r="U401" s="54">
        <v>2263</v>
      </c>
      <c r="V401" s="54">
        <v>0</v>
      </c>
      <c r="W401" s="54">
        <v>0</v>
      </c>
      <c r="X401" s="54">
        <v>0</v>
      </c>
      <c r="Y401" s="54">
        <v>0</v>
      </c>
      <c r="Z401" s="54">
        <v>0</v>
      </c>
      <c r="AA401" s="54">
        <v>0</v>
      </c>
      <c r="AB401" s="54">
        <v>0</v>
      </c>
      <c r="AC401" s="54">
        <v>0</v>
      </c>
      <c r="AD401" s="54">
        <v>0</v>
      </c>
      <c r="AE401" s="54">
        <v>0</v>
      </c>
      <c r="AF401" s="54">
        <v>0</v>
      </c>
      <c r="AG401" s="54">
        <v>0</v>
      </c>
      <c r="AH401" s="54">
        <v>0</v>
      </c>
      <c r="AI401" s="54">
        <v>0</v>
      </c>
      <c r="AJ401" s="54">
        <v>0</v>
      </c>
      <c r="AK401" s="54">
        <v>0</v>
      </c>
      <c r="AL401" s="54">
        <v>0</v>
      </c>
      <c r="AM401" s="54" t="str">
        <f>I401-J401-K401-L401-M401-N401-O401-P401-Q401-R401-S401-T401-U401-V401-W401-X401-Y401-Z401-AA401-AB401-AC401-AD401-AE401-AF401-AG401+AH401-AI401+AJ401+AK401-AL401</f>
        <v>0</v>
      </c>
      <c r="AN401" s="54"/>
      <c r="AO401" s="27"/>
    </row>
    <row r="402" spans="1:41">
      <c r="A402" s="44">
        <v>374</v>
      </c>
      <c r="B402" s="47" t="s">
        <v>1613</v>
      </c>
      <c r="C402" s="48" t="s">
        <v>1614</v>
      </c>
      <c r="D402" s="52" t="s">
        <v>62</v>
      </c>
      <c r="E402" s="52" t="s">
        <v>1599</v>
      </c>
      <c r="F402" s="55" t="s">
        <v>1615</v>
      </c>
      <c r="G402" s="51">
        <v>2</v>
      </c>
      <c r="H402" s="52" t="s">
        <v>1616</v>
      </c>
      <c r="I402" s="54">
        <v>0</v>
      </c>
      <c r="J402" s="54">
        <v>0</v>
      </c>
      <c r="K402" s="54">
        <v>22000</v>
      </c>
      <c r="L402" s="54">
        <v>0</v>
      </c>
      <c r="M402" s="54">
        <v>0</v>
      </c>
      <c r="N402" s="54">
        <v>0</v>
      </c>
      <c r="O402" s="54">
        <v>0</v>
      </c>
      <c r="P402" s="54">
        <v>0</v>
      </c>
      <c r="Q402" s="54">
        <v>0</v>
      </c>
      <c r="R402" s="54">
        <v>0</v>
      </c>
      <c r="S402" s="54">
        <v>0</v>
      </c>
      <c r="T402" s="54">
        <v>0</v>
      </c>
      <c r="U402" s="54">
        <v>2263</v>
      </c>
      <c r="V402" s="54">
        <v>0</v>
      </c>
      <c r="W402" s="54">
        <v>0</v>
      </c>
      <c r="X402" s="54">
        <v>0</v>
      </c>
      <c r="Y402" s="54">
        <v>11000</v>
      </c>
      <c r="Z402" s="54">
        <v>0</v>
      </c>
      <c r="AA402" s="54">
        <v>0</v>
      </c>
      <c r="AB402" s="54">
        <v>0</v>
      </c>
      <c r="AC402" s="54">
        <v>0</v>
      </c>
      <c r="AD402" s="54">
        <v>0</v>
      </c>
      <c r="AE402" s="54">
        <v>0</v>
      </c>
      <c r="AF402" s="54">
        <v>0</v>
      </c>
      <c r="AG402" s="54">
        <v>0</v>
      </c>
      <c r="AH402" s="54">
        <v>0</v>
      </c>
      <c r="AI402" s="54">
        <v>0</v>
      </c>
      <c r="AJ402" s="54">
        <v>0</v>
      </c>
      <c r="AK402" s="54">
        <v>0</v>
      </c>
      <c r="AL402" s="54">
        <v>0</v>
      </c>
      <c r="AM402" s="54" t="str">
        <f>I402-J402-K402-L402-M402-N402-O402-P402-Q402-R402-S402-T402-U402-V402-W402-X402-Y402-Z402-AA402-AB402-AC402-AD402-AE402-AF402-AG402+AH402-AI402+AJ402+AK402-AL402</f>
        <v>0</v>
      </c>
      <c r="AN402" s="54"/>
      <c r="AO402" s="27"/>
    </row>
    <row r="403" spans="1:41">
      <c r="A403" s="44">
        <v>375</v>
      </c>
      <c r="B403" s="47" t="s">
        <v>1617</v>
      </c>
      <c r="C403" s="48" t="s">
        <v>1618</v>
      </c>
      <c r="D403" s="52" t="s">
        <v>73</v>
      </c>
      <c r="E403" s="52" t="s">
        <v>1599</v>
      </c>
      <c r="F403" s="55" t="s">
        <v>1619</v>
      </c>
      <c r="G403" s="51">
        <v>1</v>
      </c>
      <c r="H403" s="52" t="s">
        <v>1620</v>
      </c>
      <c r="I403" s="54">
        <v>0</v>
      </c>
      <c r="J403" s="54">
        <v>0</v>
      </c>
      <c r="K403" s="54">
        <v>22000</v>
      </c>
      <c r="L403" s="54">
        <v>0</v>
      </c>
      <c r="M403" s="54">
        <v>0</v>
      </c>
      <c r="N403" s="54">
        <v>0</v>
      </c>
      <c r="O403" s="54">
        <v>0</v>
      </c>
      <c r="P403" s="54">
        <v>0</v>
      </c>
      <c r="Q403" s="54">
        <v>0</v>
      </c>
      <c r="R403" s="54">
        <v>0</v>
      </c>
      <c r="S403" s="54">
        <v>0</v>
      </c>
      <c r="T403" s="54">
        <v>0</v>
      </c>
      <c r="U403" s="54">
        <v>2263</v>
      </c>
      <c r="V403" s="54">
        <v>0</v>
      </c>
      <c r="W403" s="54">
        <v>0</v>
      </c>
      <c r="X403" s="54">
        <v>0</v>
      </c>
      <c r="Y403" s="54">
        <v>0</v>
      </c>
      <c r="Z403" s="54">
        <v>0</v>
      </c>
      <c r="AA403" s="54">
        <v>0</v>
      </c>
      <c r="AB403" s="54">
        <v>0</v>
      </c>
      <c r="AC403" s="54">
        <v>0</v>
      </c>
      <c r="AD403" s="54">
        <v>0</v>
      </c>
      <c r="AE403" s="54">
        <v>0</v>
      </c>
      <c r="AF403" s="54">
        <v>0</v>
      </c>
      <c r="AG403" s="54">
        <v>0</v>
      </c>
      <c r="AH403" s="54">
        <v>0</v>
      </c>
      <c r="AI403" s="54">
        <v>0</v>
      </c>
      <c r="AJ403" s="54">
        <v>0</v>
      </c>
      <c r="AK403" s="54">
        <v>0</v>
      </c>
      <c r="AL403" s="54">
        <v>0</v>
      </c>
      <c r="AM403" s="54" t="str">
        <f>I403-J403-K403-L403-M403-N403-O403-P403-Q403-R403-S403-T403-U403-V403-W403-X403-Y403-Z403-AA403-AB403-AC403-AD403-AE403-AF403-AG403+AH403-AI403+AJ403+AK403-AL403</f>
        <v>0</v>
      </c>
      <c r="AN403" s="54"/>
      <c r="AO403" s="27"/>
    </row>
    <row r="404" spans="1:41">
      <c r="A404" s="44">
        <v>376</v>
      </c>
      <c r="B404" s="47" t="s">
        <v>1621</v>
      </c>
      <c r="C404" s="48" t="s">
        <v>1622</v>
      </c>
      <c r="D404" s="52" t="s">
        <v>73</v>
      </c>
      <c r="E404" s="52" t="s">
        <v>1599</v>
      </c>
      <c r="F404" s="55" t="s">
        <v>575</v>
      </c>
      <c r="G404" s="51">
        <v>2</v>
      </c>
      <c r="H404" s="52" t="s">
        <v>1623</v>
      </c>
      <c r="I404" s="54">
        <v>0</v>
      </c>
      <c r="J404" s="54">
        <v>0</v>
      </c>
      <c r="K404" s="54">
        <v>22000</v>
      </c>
      <c r="L404" s="54">
        <v>0</v>
      </c>
      <c r="M404" s="54">
        <v>0</v>
      </c>
      <c r="N404" s="54">
        <v>0</v>
      </c>
      <c r="O404" s="54">
        <v>0</v>
      </c>
      <c r="P404" s="54">
        <v>0</v>
      </c>
      <c r="Q404" s="54">
        <v>0</v>
      </c>
      <c r="R404" s="54">
        <v>0</v>
      </c>
      <c r="S404" s="54">
        <v>0</v>
      </c>
      <c r="T404" s="54">
        <v>0</v>
      </c>
      <c r="U404" s="54">
        <v>1397</v>
      </c>
      <c r="V404" s="54">
        <v>0</v>
      </c>
      <c r="W404" s="54">
        <v>0</v>
      </c>
      <c r="X404" s="54">
        <v>0</v>
      </c>
      <c r="Y404" s="54">
        <v>0</v>
      </c>
      <c r="Z404" s="54">
        <v>0</v>
      </c>
      <c r="AA404" s="54">
        <v>0</v>
      </c>
      <c r="AB404" s="54">
        <v>0</v>
      </c>
      <c r="AC404" s="54">
        <v>0</v>
      </c>
      <c r="AD404" s="54">
        <v>0</v>
      </c>
      <c r="AE404" s="54">
        <v>0</v>
      </c>
      <c r="AF404" s="54">
        <v>0</v>
      </c>
      <c r="AG404" s="54">
        <v>0</v>
      </c>
      <c r="AH404" s="54">
        <v>0</v>
      </c>
      <c r="AI404" s="54">
        <v>0</v>
      </c>
      <c r="AJ404" s="54">
        <v>0</v>
      </c>
      <c r="AK404" s="54">
        <v>0</v>
      </c>
      <c r="AL404" s="54">
        <v>0</v>
      </c>
      <c r="AM404" s="54" t="str">
        <f>I404-J404-K404-L404-M404-N404-O404-P404-Q404-R404-S404-T404-U404-V404-W404-X404-Y404-Z404-AA404-AB404-AC404-AD404-AE404-AF404-AG404+AH404-AI404+AJ404+AK404-AL404</f>
        <v>0</v>
      </c>
      <c r="AN404" s="54"/>
      <c r="AO404" s="27"/>
    </row>
    <row r="405" spans="1:41">
      <c r="A405" s="44">
        <v>377</v>
      </c>
      <c r="B405" s="47" t="s">
        <v>1624</v>
      </c>
      <c r="C405" s="48" t="s">
        <v>1625</v>
      </c>
      <c r="D405" s="52" t="s">
        <v>73</v>
      </c>
      <c r="E405" s="52" t="s">
        <v>1599</v>
      </c>
      <c r="F405" s="55" t="s">
        <v>1626</v>
      </c>
      <c r="G405" s="51">
        <v>2</v>
      </c>
      <c r="H405" s="52" t="s">
        <v>1627</v>
      </c>
      <c r="I405" s="54">
        <v>0</v>
      </c>
      <c r="J405" s="54">
        <v>0</v>
      </c>
      <c r="K405" s="54">
        <v>22000</v>
      </c>
      <c r="L405" s="54">
        <v>0</v>
      </c>
      <c r="M405" s="54">
        <v>0</v>
      </c>
      <c r="N405" s="54">
        <v>0</v>
      </c>
      <c r="O405" s="54">
        <v>0</v>
      </c>
      <c r="P405" s="54">
        <v>0</v>
      </c>
      <c r="Q405" s="54">
        <v>0</v>
      </c>
      <c r="R405" s="54">
        <v>0</v>
      </c>
      <c r="S405" s="54">
        <v>0</v>
      </c>
      <c r="T405" s="54">
        <v>0</v>
      </c>
      <c r="U405" s="54">
        <v>2263</v>
      </c>
      <c r="V405" s="54">
        <v>0</v>
      </c>
      <c r="W405" s="54">
        <v>0</v>
      </c>
      <c r="X405" s="54">
        <v>0</v>
      </c>
      <c r="Y405" s="54">
        <v>11000</v>
      </c>
      <c r="Z405" s="54">
        <v>0</v>
      </c>
      <c r="AA405" s="54">
        <v>0</v>
      </c>
      <c r="AB405" s="54">
        <v>0</v>
      </c>
      <c r="AC405" s="54">
        <v>0</v>
      </c>
      <c r="AD405" s="54">
        <v>0</v>
      </c>
      <c r="AE405" s="54">
        <v>0</v>
      </c>
      <c r="AF405" s="54">
        <v>0</v>
      </c>
      <c r="AG405" s="54">
        <v>0</v>
      </c>
      <c r="AH405" s="54">
        <v>0</v>
      </c>
      <c r="AI405" s="54">
        <v>0</v>
      </c>
      <c r="AJ405" s="54">
        <v>0</v>
      </c>
      <c r="AK405" s="54">
        <v>0</v>
      </c>
      <c r="AL405" s="54">
        <v>0</v>
      </c>
      <c r="AM405" s="54" t="str">
        <f>I405-J405-K405-L405-M405-N405-O405-P405-Q405-R405-S405-T405-U405-V405-W405-X405-Y405-Z405-AA405-AB405-AC405-AD405-AE405-AF405-AG405+AH405-AI405+AJ405+AK405-AL405</f>
        <v>0</v>
      </c>
      <c r="AN405" s="54"/>
      <c r="AO405" s="27"/>
    </row>
    <row r="406" spans="1:41">
      <c r="A406" s="44">
        <v>378</v>
      </c>
      <c r="B406" s="47" t="s">
        <v>1628</v>
      </c>
      <c r="C406" s="48" t="s">
        <v>1629</v>
      </c>
      <c r="D406" s="52" t="s">
        <v>73</v>
      </c>
      <c r="E406" s="52" t="s">
        <v>1630</v>
      </c>
      <c r="F406" s="55" t="s">
        <v>600</v>
      </c>
      <c r="G406" s="51">
        <v>3</v>
      </c>
      <c r="H406" s="52" t="s">
        <v>1631</v>
      </c>
      <c r="I406" s="54">
        <v>0</v>
      </c>
      <c r="J406" s="54">
        <v>0</v>
      </c>
      <c r="K406" s="54">
        <v>22000</v>
      </c>
      <c r="L406" s="54">
        <v>0</v>
      </c>
      <c r="M406" s="54">
        <v>0</v>
      </c>
      <c r="N406" s="54">
        <v>0</v>
      </c>
      <c r="O406" s="54">
        <v>0</v>
      </c>
      <c r="P406" s="54">
        <v>0</v>
      </c>
      <c r="Q406" s="54">
        <v>0</v>
      </c>
      <c r="R406" s="54">
        <v>0</v>
      </c>
      <c r="S406" s="54">
        <v>0</v>
      </c>
      <c r="T406" s="54">
        <v>0</v>
      </c>
      <c r="U406" s="54">
        <v>2263</v>
      </c>
      <c r="V406" s="54">
        <v>0</v>
      </c>
      <c r="W406" s="54">
        <v>0</v>
      </c>
      <c r="X406" s="54">
        <v>0</v>
      </c>
      <c r="Y406" s="54">
        <v>11000</v>
      </c>
      <c r="Z406" s="54">
        <v>0</v>
      </c>
      <c r="AA406" s="54">
        <v>0</v>
      </c>
      <c r="AB406" s="54">
        <v>0</v>
      </c>
      <c r="AC406" s="54">
        <v>0</v>
      </c>
      <c r="AD406" s="54">
        <v>0</v>
      </c>
      <c r="AE406" s="54">
        <v>0</v>
      </c>
      <c r="AF406" s="54">
        <v>0</v>
      </c>
      <c r="AG406" s="54">
        <v>0</v>
      </c>
      <c r="AH406" s="54">
        <v>0</v>
      </c>
      <c r="AI406" s="54">
        <v>0</v>
      </c>
      <c r="AJ406" s="54">
        <v>0</v>
      </c>
      <c r="AK406" s="54">
        <v>0</v>
      </c>
      <c r="AL406" s="54">
        <v>0</v>
      </c>
      <c r="AM406" s="54" t="str">
        <f>I406-J406-K406-L406-M406-N406-O406-P406-Q406-R406-S406-T406-U406-V406-W406-X406-Y406-Z406-AA406-AB406-AC406-AD406-AE406-AF406-AG406+AH406-AI406+AJ406+AK406-AL406</f>
        <v>0</v>
      </c>
      <c r="AN406" s="54"/>
      <c r="AO406" s="27"/>
    </row>
    <row r="407" spans="1:41">
      <c r="A407" s="44">
        <v>379</v>
      </c>
      <c r="B407" s="47" t="s">
        <v>1632</v>
      </c>
      <c r="C407" s="48" t="s">
        <v>1633</v>
      </c>
      <c r="D407" s="52" t="s">
        <v>73</v>
      </c>
      <c r="E407" s="52" t="s">
        <v>1630</v>
      </c>
      <c r="F407" s="55" t="s">
        <v>1634</v>
      </c>
      <c r="G407" s="51">
        <v>2</v>
      </c>
      <c r="H407" s="52" t="s">
        <v>1635</v>
      </c>
      <c r="I407" s="54">
        <v>0</v>
      </c>
      <c r="J407" s="54">
        <v>0</v>
      </c>
      <c r="K407" s="54">
        <v>22000</v>
      </c>
      <c r="L407" s="54">
        <v>0</v>
      </c>
      <c r="M407" s="54">
        <v>0</v>
      </c>
      <c r="N407" s="54">
        <v>0</v>
      </c>
      <c r="O407" s="54">
        <v>0</v>
      </c>
      <c r="P407" s="54">
        <v>0</v>
      </c>
      <c r="Q407" s="54">
        <v>0</v>
      </c>
      <c r="R407" s="54">
        <v>0</v>
      </c>
      <c r="S407" s="54">
        <v>0</v>
      </c>
      <c r="T407" s="54">
        <v>0</v>
      </c>
      <c r="U407" s="54">
        <v>2263</v>
      </c>
      <c r="V407" s="54">
        <v>0</v>
      </c>
      <c r="W407" s="54">
        <v>0</v>
      </c>
      <c r="X407" s="54">
        <v>0</v>
      </c>
      <c r="Y407" s="54">
        <v>11000</v>
      </c>
      <c r="Z407" s="54">
        <v>0</v>
      </c>
      <c r="AA407" s="54">
        <v>0</v>
      </c>
      <c r="AB407" s="54">
        <v>0</v>
      </c>
      <c r="AC407" s="54">
        <v>0</v>
      </c>
      <c r="AD407" s="54">
        <v>0</v>
      </c>
      <c r="AE407" s="54">
        <v>0</v>
      </c>
      <c r="AF407" s="54">
        <v>0</v>
      </c>
      <c r="AG407" s="54">
        <v>0</v>
      </c>
      <c r="AH407" s="54">
        <v>0</v>
      </c>
      <c r="AI407" s="54">
        <v>0</v>
      </c>
      <c r="AJ407" s="54">
        <v>0</v>
      </c>
      <c r="AK407" s="54">
        <v>0</v>
      </c>
      <c r="AL407" s="54">
        <v>0</v>
      </c>
      <c r="AM407" s="54" t="str">
        <f>I407-J407-K407-L407-M407-N407-O407-P407-Q407-R407-S407-T407-U407-V407-W407-X407-Y407-Z407-AA407-AB407-AC407-AD407-AE407-AF407-AG407+AH407-AI407+AJ407+AK407-AL407</f>
        <v>0</v>
      </c>
      <c r="AN407" s="54"/>
      <c r="AO407" s="27"/>
    </row>
    <row r="408" spans="1:41">
      <c r="A408" s="44">
        <v>380</v>
      </c>
      <c r="B408" s="47" t="s">
        <v>1636</v>
      </c>
      <c r="C408" s="48" t="s">
        <v>1637</v>
      </c>
      <c r="D408" s="52" t="s">
        <v>73</v>
      </c>
      <c r="E408" s="52" t="s">
        <v>1630</v>
      </c>
      <c r="F408" s="55" t="s">
        <v>1638</v>
      </c>
      <c r="G408" s="51">
        <v>5.4</v>
      </c>
      <c r="H408" s="52" t="s">
        <v>1639</v>
      </c>
      <c r="I408" s="54">
        <v>0</v>
      </c>
      <c r="J408" s="54">
        <v>0</v>
      </c>
      <c r="K408" s="54">
        <v>31000</v>
      </c>
      <c r="L408" s="54">
        <v>0</v>
      </c>
      <c r="M408" s="54">
        <v>0</v>
      </c>
      <c r="N408" s="54">
        <v>0</v>
      </c>
      <c r="O408" s="54">
        <v>0</v>
      </c>
      <c r="P408" s="54">
        <v>0</v>
      </c>
      <c r="Q408" s="54">
        <v>0</v>
      </c>
      <c r="R408" s="54">
        <v>0</v>
      </c>
      <c r="S408" s="54">
        <v>0</v>
      </c>
      <c r="T408" s="54">
        <v>0</v>
      </c>
      <c r="U408" s="54">
        <v>1968</v>
      </c>
      <c r="V408" s="54">
        <v>0</v>
      </c>
      <c r="W408" s="54">
        <v>0</v>
      </c>
      <c r="X408" s="54">
        <v>0</v>
      </c>
      <c r="Y408" s="54">
        <v>15500</v>
      </c>
      <c r="Z408" s="54">
        <v>0</v>
      </c>
      <c r="AA408" s="54">
        <v>0</v>
      </c>
      <c r="AB408" s="54">
        <v>0</v>
      </c>
      <c r="AC408" s="54">
        <v>0</v>
      </c>
      <c r="AD408" s="54">
        <v>0</v>
      </c>
      <c r="AE408" s="54">
        <v>0</v>
      </c>
      <c r="AF408" s="54">
        <v>0</v>
      </c>
      <c r="AG408" s="54">
        <v>0</v>
      </c>
      <c r="AH408" s="54">
        <v>0</v>
      </c>
      <c r="AI408" s="54">
        <v>0</v>
      </c>
      <c r="AJ408" s="54">
        <v>0</v>
      </c>
      <c r="AK408" s="54">
        <v>0</v>
      </c>
      <c r="AL408" s="54">
        <v>0</v>
      </c>
      <c r="AM408" s="54" t="str">
        <f>I408-J408-K408-L408-M408-N408-O408-P408-Q408-R408-S408-T408-U408-V408-W408-X408-Y408-Z408-AA408-AB408-AC408-AD408-AE408-AF408-AG408+AH408-AI408+AJ408+AK408-AL408</f>
        <v>0</v>
      </c>
      <c r="AN408" s="54"/>
      <c r="AO408" s="27"/>
    </row>
    <row r="409" spans="1:41">
      <c r="A409" s="44">
        <v>381</v>
      </c>
      <c r="B409" s="47" t="s">
        <v>1640</v>
      </c>
      <c r="C409" s="48" t="s">
        <v>1641</v>
      </c>
      <c r="D409" s="52" t="s">
        <v>73</v>
      </c>
      <c r="E409" s="52" t="s">
        <v>1630</v>
      </c>
      <c r="F409" s="55" t="s">
        <v>1642</v>
      </c>
      <c r="G409" s="51">
        <v>4</v>
      </c>
      <c r="H409" s="52" t="s">
        <v>1643</v>
      </c>
      <c r="I409" s="54">
        <v>0</v>
      </c>
      <c r="J409" s="54">
        <v>0</v>
      </c>
      <c r="K409" s="54">
        <v>25000</v>
      </c>
      <c r="L409" s="54">
        <v>0</v>
      </c>
      <c r="M409" s="54">
        <v>0</v>
      </c>
      <c r="N409" s="54">
        <v>0</v>
      </c>
      <c r="O409" s="54">
        <v>0</v>
      </c>
      <c r="P409" s="54">
        <v>0</v>
      </c>
      <c r="Q409" s="54">
        <v>0</v>
      </c>
      <c r="R409" s="54">
        <v>0</v>
      </c>
      <c r="S409" s="54">
        <v>0</v>
      </c>
      <c r="T409" s="54">
        <v>0</v>
      </c>
      <c r="U409" s="54">
        <v>2572</v>
      </c>
      <c r="V409" s="54">
        <v>0</v>
      </c>
      <c r="W409" s="54">
        <v>0</v>
      </c>
      <c r="X409" s="54">
        <v>0</v>
      </c>
      <c r="Y409" s="54">
        <v>12500</v>
      </c>
      <c r="Z409" s="54">
        <v>0</v>
      </c>
      <c r="AA409" s="54">
        <v>0</v>
      </c>
      <c r="AB409" s="54">
        <v>0</v>
      </c>
      <c r="AC409" s="54">
        <v>0</v>
      </c>
      <c r="AD409" s="54">
        <v>0</v>
      </c>
      <c r="AE409" s="54">
        <v>0</v>
      </c>
      <c r="AF409" s="54">
        <v>0</v>
      </c>
      <c r="AG409" s="54">
        <v>0</v>
      </c>
      <c r="AH409" s="54">
        <v>0</v>
      </c>
      <c r="AI409" s="54">
        <v>0</v>
      </c>
      <c r="AJ409" s="54">
        <v>0</v>
      </c>
      <c r="AK409" s="54">
        <v>0</v>
      </c>
      <c r="AL409" s="54">
        <v>0</v>
      </c>
      <c r="AM409" s="54" t="str">
        <f>I409-J409-K409-L409-M409-N409-O409-P409-Q409-R409-S409-T409-U409-V409-W409-X409-Y409-Z409-AA409-AB409-AC409-AD409-AE409-AF409-AG409+AH409-AI409+AJ409+AK409-AL409</f>
        <v>0</v>
      </c>
      <c r="AN409" s="54"/>
      <c r="AO409" s="27"/>
    </row>
    <row r="410" spans="1:41">
      <c r="A410" s="44">
        <v>382</v>
      </c>
      <c r="B410" s="47" t="s">
        <v>1644</v>
      </c>
      <c r="C410" s="48" t="s">
        <v>1645</v>
      </c>
      <c r="D410" s="52" t="s">
        <v>73</v>
      </c>
      <c r="E410" s="52" t="s">
        <v>1630</v>
      </c>
      <c r="F410" s="55" t="s">
        <v>1646</v>
      </c>
      <c r="G410" s="51">
        <v>4</v>
      </c>
      <c r="H410" s="52" t="s">
        <v>1647</v>
      </c>
      <c r="I410" s="54">
        <v>0</v>
      </c>
      <c r="J410" s="54">
        <v>0</v>
      </c>
      <c r="K410" s="54">
        <v>25000</v>
      </c>
      <c r="L410" s="54">
        <v>0</v>
      </c>
      <c r="M410" s="54">
        <v>0</v>
      </c>
      <c r="N410" s="54">
        <v>0</v>
      </c>
      <c r="O410" s="54">
        <v>0</v>
      </c>
      <c r="P410" s="54">
        <v>0</v>
      </c>
      <c r="Q410" s="54">
        <v>0</v>
      </c>
      <c r="R410" s="54">
        <v>0</v>
      </c>
      <c r="S410" s="54">
        <v>0</v>
      </c>
      <c r="T410" s="54">
        <v>0</v>
      </c>
      <c r="U410" s="54">
        <v>2572</v>
      </c>
      <c r="V410" s="54">
        <v>0</v>
      </c>
      <c r="W410" s="54">
        <v>0</v>
      </c>
      <c r="X410" s="54">
        <v>0</v>
      </c>
      <c r="Y410" s="54">
        <v>5000</v>
      </c>
      <c r="Z410" s="54">
        <v>0</v>
      </c>
      <c r="AA410" s="54">
        <v>0</v>
      </c>
      <c r="AB410" s="54">
        <v>0</v>
      </c>
      <c r="AC410" s="54">
        <v>0</v>
      </c>
      <c r="AD410" s="54">
        <v>0</v>
      </c>
      <c r="AE410" s="54">
        <v>0</v>
      </c>
      <c r="AF410" s="54">
        <v>0</v>
      </c>
      <c r="AG410" s="54">
        <v>0</v>
      </c>
      <c r="AH410" s="54">
        <v>0</v>
      </c>
      <c r="AI410" s="54">
        <v>0</v>
      </c>
      <c r="AJ410" s="54">
        <v>0</v>
      </c>
      <c r="AK410" s="54">
        <v>0</v>
      </c>
      <c r="AL410" s="54">
        <v>0</v>
      </c>
      <c r="AM410" s="54" t="str">
        <f>I410-J410-K410-L410-M410-N410-O410-P410-Q410-R410-S410-T410-U410-V410-W410-X410-Y410-Z410-AA410-AB410-AC410-AD410-AE410-AF410-AG410+AH410-AI410+AJ410+AK410-AL410</f>
        <v>0</v>
      </c>
      <c r="AN410" s="54"/>
      <c r="AO410" s="27"/>
    </row>
    <row r="411" spans="1:41">
      <c r="A411" s="44">
        <v>383</v>
      </c>
      <c r="B411" s="47" t="s">
        <v>1648</v>
      </c>
      <c r="C411" s="48" t="s">
        <v>1649</v>
      </c>
      <c r="D411" s="52" t="s">
        <v>73</v>
      </c>
      <c r="E411" s="52" t="s">
        <v>1630</v>
      </c>
      <c r="F411" s="55" t="s">
        <v>1650</v>
      </c>
      <c r="G411" s="51">
        <v>4</v>
      </c>
      <c r="H411" s="52" t="s">
        <v>1651</v>
      </c>
      <c r="I411" s="54">
        <v>0</v>
      </c>
      <c r="J411" s="54">
        <v>0</v>
      </c>
      <c r="K411" s="54">
        <v>25000</v>
      </c>
      <c r="L411" s="54">
        <v>0</v>
      </c>
      <c r="M411" s="54">
        <v>0</v>
      </c>
      <c r="N411" s="54">
        <v>0</v>
      </c>
      <c r="O411" s="54">
        <v>0</v>
      </c>
      <c r="P411" s="54">
        <v>0</v>
      </c>
      <c r="Q411" s="54">
        <v>0</v>
      </c>
      <c r="R411" s="54">
        <v>0</v>
      </c>
      <c r="S411" s="54">
        <v>0</v>
      </c>
      <c r="T411" s="54">
        <v>0</v>
      </c>
      <c r="U411" s="54">
        <v>2572</v>
      </c>
      <c r="V411" s="54">
        <v>0</v>
      </c>
      <c r="W411" s="54">
        <v>0</v>
      </c>
      <c r="X411" s="54">
        <v>0</v>
      </c>
      <c r="Y411" s="54">
        <v>12500</v>
      </c>
      <c r="Z411" s="54">
        <v>0</v>
      </c>
      <c r="AA411" s="54">
        <v>0</v>
      </c>
      <c r="AB411" s="54">
        <v>0</v>
      </c>
      <c r="AC411" s="54">
        <v>0</v>
      </c>
      <c r="AD411" s="54">
        <v>0</v>
      </c>
      <c r="AE411" s="54">
        <v>0</v>
      </c>
      <c r="AF411" s="54">
        <v>0</v>
      </c>
      <c r="AG411" s="54">
        <v>0</v>
      </c>
      <c r="AH411" s="54">
        <v>0</v>
      </c>
      <c r="AI411" s="54">
        <v>0</v>
      </c>
      <c r="AJ411" s="54">
        <v>0</v>
      </c>
      <c r="AK411" s="54">
        <v>0</v>
      </c>
      <c r="AL411" s="54">
        <v>0</v>
      </c>
      <c r="AM411" s="54" t="str">
        <f>I411-J411-K411-L411-M411-N411-O411-P411-Q411-R411-S411-T411-U411-V411-W411-X411-Y411-Z411-AA411-AB411-AC411-AD411-AE411-AF411-AG411+AH411-AI411+AJ411+AK411-AL411</f>
        <v>0</v>
      </c>
      <c r="AN411" s="54"/>
      <c r="AO411" s="27"/>
    </row>
    <row r="412" spans="1:41">
      <c r="A412" s="44">
        <v>384</v>
      </c>
      <c r="B412" s="47" t="s">
        <v>1652</v>
      </c>
      <c r="C412" s="48" t="s">
        <v>1653</v>
      </c>
      <c r="D412" s="52" t="s">
        <v>73</v>
      </c>
      <c r="E412" s="52" t="s">
        <v>1630</v>
      </c>
      <c r="F412" s="55" t="s">
        <v>1654</v>
      </c>
      <c r="G412" s="51">
        <v>3</v>
      </c>
      <c r="H412" s="52" t="s">
        <v>1655</v>
      </c>
      <c r="I412" s="54">
        <v>0</v>
      </c>
      <c r="J412" s="54">
        <v>0</v>
      </c>
      <c r="K412" s="54">
        <v>22000</v>
      </c>
      <c r="L412" s="54">
        <v>0</v>
      </c>
      <c r="M412" s="54">
        <v>0</v>
      </c>
      <c r="N412" s="54">
        <v>0</v>
      </c>
      <c r="O412" s="54">
        <v>0</v>
      </c>
      <c r="P412" s="54">
        <v>0</v>
      </c>
      <c r="Q412" s="54">
        <v>0</v>
      </c>
      <c r="R412" s="54">
        <v>0</v>
      </c>
      <c r="S412" s="54">
        <v>0</v>
      </c>
      <c r="T412" s="54">
        <v>0</v>
      </c>
      <c r="U412" s="54">
        <v>2263</v>
      </c>
      <c r="V412" s="54">
        <v>0</v>
      </c>
      <c r="W412" s="54">
        <v>0</v>
      </c>
      <c r="X412" s="54">
        <v>0</v>
      </c>
      <c r="Y412" s="54">
        <v>11000</v>
      </c>
      <c r="Z412" s="54">
        <v>0</v>
      </c>
      <c r="AA412" s="54">
        <v>0</v>
      </c>
      <c r="AB412" s="54">
        <v>0</v>
      </c>
      <c r="AC412" s="54">
        <v>0</v>
      </c>
      <c r="AD412" s="54">
        <v>0</v>
      </c>
      <c r="AE412" s="54">
        <v>0</v>
      </c>
      <c r="AF412" s="54">
        <v>0</v>
      </c>
      <c r="AG412" s="54">
        <v>0</v>
      </c>
      <c r="AH412" s="54">
        <v>0</v>
      </c>
      <c r="AI412" s="54">
        <v>0</v>
      </c>
      <c r="AJ412" s="54">
        <v>0</v>
      </c>
      <c r="AK412" s="54">
        <v>0</v>
      </c>
      <c r="AL412" s="54">
        <v>0</v>
      </c>
      <c r="AM412" s="54" t="str">
        <f>I412-J412-K412-L412-M412-N412-O412-P412-Q412-R412-S412-T412-U412-V412-W412-X412-Y412-Z412-AA412-AB412-AC412-AD412-AE412-AF412-AG412+AH412-AI412+AJ412+AK412-AL412</f>
        <v>0</v>
      </c>
      <c r="AN412" s="54"/>
      <c r="AO412" s="27"/>
    </row>
    <row r="413" spans="1:41">
      <c r="A413" s="44">
        <v>385</v>
      </c>
      <c r="B413" s="47" t="s">
        <v>1656</v>
      </c>
      <c r="C413" s="48" t="s">
        <v>1657</v>
      </c>
      <c r="D413" s="52" t="s">
        <v>62</v>
      </c>
      <c r="E413" s="52" t="s">
        <v>1658</v>
      </c>
      <c r="F413" s="55" t="s">
        <v>1659</v>
      </c>
      <c r="G413" s="51">
        <v>3</v>
      </c>
      <c r="H413" s="52" t="s">
        <v>1660</v>
      </c>
      <c r="I413" s="54">
        <v>0</v>
      </c>
      <c r="J413" s="54">
        <v>0</v>
      </c>
      <c r="K413" s="54">
        <v>22000</v>
      </c>
      <c r="L413" s="54">
        <v>0</v>
      </c>
      <c r="M413" s="54">
        <v>0</v>
      </c>
      <c r="N413" s="54">
        <v>0</v>
      </c>
      <c r="O413" s="54">
        <v>0</v>
      </c>
      <c r="P413" s="54">
        <v>0</v>
      </c>
      <c r="Q413" s="54">
        <v>0</v>
      </c>
      <c r="R413" s="54">
        <v>0</v>
      </c>
      <c r="S413" s="54">
        <v>0</v>
      </c>
      <c r="T413" s="54">
        <v>0</v>
      </c>
      <c r="U413" s="54">
        <v>2263</v>
      </c>
      <c r="V413" s="54">
        <v>0</v>
      </c>
      <c r="W413" s="54">
        <v>0</v>
      </c>
      <c r="X413" s="54">
        <v>0</v>
      </c>
      <c r="Y413" s="54">
        <v>11000</v>
      </c>
      <c r="Z413" s="54">
        <v>0</v>
      </c>
      <c r="AA413" s="54">
        <v>0</v>
      </c>
      <c r="AB413" s="54">
        <v>0</v>
      </c>
      <c r="AC413" s="54">
        <v>0</v>
      </c>
      <c r="AD413" s="54">
        <v>0</v>
      </c>
      <c r="AE413" s="54">
        <v>0</v>
      </c>
      <c r="AF413" s="54">
        <v>0</v>
      </c>
      <c r="AG413" s="54">
        <v>0</v>
      </c>
      <c r="AH413" s="54">
        <v>0</v>
      </c>
      <c r="AI413" s="54">
        <v>0</v>
      </c>
      <c r="AJ413" s="54">
        <v>0</v>
      </c>
      <c r="AK413" s="54">
        <v>0</v>
      </c>
      <c r="AL413" s="54">
        <v>0</v>
      </c>
      <c r="AM413" s="54" t="str">
        <f>I413-J413-K413-L413-M413-N413-O413-P413-Q413-R413-S413-T413-U413-V413-W413-X413-Y413-Z413-AA413-AB413-AC413-AD413-AE413-AF413-AG413+AH413-AI413+AJ413+AK413-AL413</f>
        <v>0</v>
      </c>
      <c r="AN413" s="54"/>
      <c r="AO413" s="27"/>
    </row>
    <row r="414" spans="1:41">
      <c r="A414" s="44">
        <v>386</v>
      </c>
      <c r="B414" s="47" t="s">
        <v>1661</v>
      </c>
      <c r="C414" s="48" t="s">
        <v>1662</v>
      </c>
      <c r="D414" s="52" t="s">
        <v>62</v>
      </c>
      <c r="E414" s="52" t="s">
        <v>1658</v>
      </c>
      <c r="F414" s="55" t="s">
        <v>1565</v>
      </c>
      <c r="G414" s="51">
        <v>3</v>
      </c>
      <c r="H414" s="52" t="s">
        <v>1663</v>
      </c>
      <c r="I414" s="54">
        <v>0</v>
      </c>
      <c r="J414" s="54">
        <v>0</v>
      </c>
      <c r="K414" s="54">
        <v>22000</v>
      </c>
      <c r="L414" s="54">
        <v>0</v>
      </c>
      <c r="M414" s="54">
        <v>0</v>
      </c>
      <c r="N414" s="54">
        <v>0</v>
      </c>
      <c r="O414" s="54">
        <v>0</v>
      </c>
      <c r="P414" s="54">
        <v>0</v>
      </c>
      <c r="Q414" s="54">
        <v>0</v>
      </c>
      <c r="R414" s="54">
        <v>0</v>
      </c>
      <c r="S414" s="54">
        <v>0</v>
      </c>
      <c r="T414" s="54">
        <v>0</v>
      </c>
      <c r="U414" s="54">
        <v>2263</v>
      </c>
      <c r="V414" s="54">
        <v>0</v>
      </c>
      <c r="W414" s="54">
        <v>0</v>
      </c>
      <c r="X414" s="54">
        <v>0</v>
      </c>
      <c r="Y414" s="54">
        <v>5000</v>
      </c>
      <c r="Z414" s="54">
        <v>0</v>
      </c>
      <c r="AA414" s="54">
        <v>0</v>
      </c>
      <c r="AB414" s="54">
        <v>0</v>
      </c>
      <c r="AC414" s="54">
        <v>0</v>
      </c>
      <c r="AD414" s="54">
        <v>0</v>
      </c>
      <c r="AE414" s="54">
        <v>0</v>
      </c>
      <c r="AF414" s="54">
        <v>0</v>
      </c>
      <c r="AG414" s="54">
        <v>0</v>
      </c>
      <c r="AH414" s="54">
        <v>0</v>
      </c>
      <c r="AI414" s="54">
        <v>0</v>
      </c>
      <c r="AJ414" s="54">
        <v>0</v>
      </c>
      <c r="AK414" s="54">
        <v>0</v>
      </c>
      <c r="AL414" s="54">
        <v>0</v>
      </c>
      <c r="AM414" s="54" t="str">
        <f>I414-J414-K414-L414-M414-N414-O414-P414-Q414-R414-S414-T414-U414-V414-W414-X414-Y414-Z414-AA414-AB414-AC414-AD414-AE414-AF414-AG414+AH414-AI414+AJ414+AK414-AL414</f>
        <v>0</v>
      </c>
      <c r="AN414" s="54"/>
      <c r="AO414" s="27"/>
    </row>
    <row r="415" spans="1:41">
      <c r="A415" s="44">
        <v>387</v>
      </c>
      <c r="B415" s="47" t="s">
        <v>1664</v>
      </c>
      <c r="C415" s="48" t="s">
        <v>1665</v>
      </c>
      <c r="D415" s="52" t="s">
        <v>73</v>
      </c>
      <c r="E415" s="52" t="s">
        <v>1658</v>
      </c>
      <c r="F415" s="55" t="s">
        <v>1666</v>
      </c>
      <c r="G415" s="51">
        <v>3</v>
      </c>
      <c r="H415" s="52" t="s">
        <v>1667</v>
      </c>
      <c r="I415" s="54">
        <v>0</v>
      </c>
      <c r="J415" s="54">
        <v>0</v>
      </c>
      <c r="K415" s="54">
        <v>22000</v>
      </c>
      <c r="L415" s="54">
        <v>0</v>
      </c>
      <c r="M415" s="54">
        <v>0</v>
      </c>
      <c r="N415" s="54">
        <v>0</v>
      </c>
      <c r="O415" s="54">
        <v>0</v>
      </c>
      <c r="P415" s="54">
        <v>0</v>
      </c>
      <c r="Q415" s="54">
        <v>0</v>
      </c>
      <c r="R415" s="54">
        <v>0</v>
      </c>
      <c r="S415" s="54">
        <v>0</v>
      </c>
      <c r="T415" s="54">
        <v>0</v>
      </c>
      <c r="U415" s="54">
        <v>2263</v>
      </c>
      <c r="V415" s="54">
        <v>0</v>
      </c>
      <c r="W415" s="54">
        <v>0</v>
      </c>
      <c r="X415" s="54">
        <v>0</v>
      </c>
      <c r="Y415" s="54">
        <v>11000</v>
      </c>
      <c r="Z415" s="54">
        <v>0</v>
      </c>
      <c r="AA415" s="54">
        <v>0</v>
      </c>
      <c r="AB415" s="54">
        <v>0</v>
      </c>
      <c r="AC415" s="54">
        <v>0</v>
      </c>
      <c r="AD415" s="54">
        <v>0</v>
      </c>
      <c r="AE415" s="54">
        <v>0</v>
      </c>
      <c r="AF415" s="54">
        <v>0</v>
      </c>
      <c r="AG415" s="54">
        <v>0</v>
      </c>
      <c r="AH415" s="54">
        <v>0</v>
      </c>
      <c r="AI415" s="54">
        <v>0</v>
      </c>
      <c r="AJ415" s="54">
        <v>0</v>
      </c>
      <c r="AK415" s="54">
        <v>0</v>
      </c>
      <c r="AL415" s="54">
        <v>0</v>
      </c>
      <c r="AM415" s="54" t="str">
        <f>I415-J415-K415-L415-M415-N415-O415-P415-Q415-R415-S415-T415-U415-V415-W415-X415-Y415-Z415-AA415-AB415-AC415-AD415-AE415-AF415-AG415+AH415-AI415+AJ415+AK415-AL415</f>
        <v>0</v>
      </c>
      <c r="AN415" s="54"/>
      <c r="AO415" s="27"/>
    </row>
    <row r="416" spans="1:41">
      <c r="A416" s="44">
        <v>388</v>
      </c>
      <c r="B416" s="47" t="s">
        <v>1668</v>
      </c>
      <c r="C416" s="48" t="s">
        <v>1669</v>
      </c>
      <c r="D416" s="52" t="s">
        <v>73</v>
      </c>
      <c r="E416" s="52" t="s">
        <v>1670</v>
      </c>
      <c r="F416" s="55" t="s">
        <v>1671</v>
      </c>
      <c r="G416" s="51">
        <v>4</v>
      </c>
      <c r="H416" s="52" t="s">
        <v>1672</v>
      </c>
      <c r="I416" s="54">
        <v>0</v>
      </c>
      <c r="J416" s="54">
        <v>0</v>
      </c>
      <c r="K416" s="54">
        <v>25000</v>
      </c>
      <c r="L416" s="54">
        <v>0</v>
      </c>
      <c r="M416" s="54">
        <v>0</v>
      </c>
      <c r="N416" s="54">
        <v>0</v>
      </c>
      <c r="O416" s="54">
        <v>0</v>
      </c>
      <c r="P416" s="54">
        <v>0</v>
      </c>
      <c r="Q416" s="54">
        <v>0</v>
      </c>
      <c r="R416" s="54">
        <v>0</v>
      </c>
      <c r="S416" s="54">
        <v>0</v>
      </c>
      <c r="T416" s="54">
        <v>0</v>
      </c>
      <c r="U416" s="54">
        <v>2572</v>
      </c>
      <c r="V416" s="54">
        <v>0</v>
      </c>
      <c r="W416" s="54">
        <v>0</v>
      </c>
      <c r="X416" s="54">
        <v>0</v>
      </c>
      <c r="Y416" s="54">
        <v>12500</v>
      </c>
      <c r="Z416" s="54">
        <v>0</v>
      </c>
      <c r="AA416" s="54">
        <v>0</v>
      </c>
      <c r="AB416" s="54">
        <v>0</v>
      </c>
      <c r="AC416" s="54">
        <v>0</v>
      </c>
      <c r="AD416" s="54">
        <v>0</v>
      </c>
      <c r="AE416" s="54">
        <v>0</v>
      </c>
      <c r="AF416" s="54">
        <v>0</v>
      </c>
      <c r="AG416" s="54">
        <v>0</v>
      </c>
      <c r="AH416" s="54">
        <v>0</v>
      </c>
      <c r="AI416" s="54">
        <v>0</v>
      </c>
      <c r="AJ416" s="54">
        <v>0</v>
      </c>
      <c r="AK416" s="54">
        <v>0</v>
      </c>
      <c r="AL416" s="54">
        <v>0</v>
      </c>
      <c r="AM416" s="54" t="str">
        <f>I416-J416-K416-L416-M416-N416-O416-P416-Q416-R416-S416-T416-U416-V416-W416-X416-Y416-Z416-AA416-AB416-AC416-AD416-AE416-AF416-AG416+AH416-AI416+AJ416+AK416-AL416</f>
        <v>0</v>
      </c>
      <c r="AN416" s="54"/>
      <c r="AO416" s="27"/>
    </row>
    <row r="417" spans="1:41">
      <c r="A417" s="44">
        <v>389</v>
      </c>
      <c r="B417" s="47" t="s">
        <v>1673</v>
      </c>
      <c r="C417" s="48" t="s">
        <v>1674</v>
      </c>
      <c r="D417" s="52" t="s">
        <v>73</v>
      </c>
      <c r="E417" s="52" t="s">
        <v>1670</v>
      </c>
      <c r="F417" s="55" t="s">
        <v>1675</v>
      </c>
      <c r="G417" s="51">
        <v>3</v>
      </c>
      <c r="H417" s="52" t="s">
        <v>1676</v>
      </c>
      <c r="I417" s="54">
        <v>0</v>
      </c>
      <c r="J417" s="54">
        <v>0</v>
      </c>
      <c r="K417" s="54">
        <v>22000</v>
      </c>
      <c r="L417" s="54">
        <v>0</v>
      </c>
      <c r="M417" s="54">
        <v>0</v>
      </c>
      <c r="N417" s="54">
        <v>0</v>
      </c>
      <c r="O417" s="54">
        <v>0</v>
      </c>
      <c r="P417" s="54">
        <v>0</v>
      </c>
      <c r="Q417" s="54">
        <v>0</v>
      </c>
      <c r="R417" s="54">
        <v>0</v>
      </c>
      <c r="S417" s="54">
        <v>0</v>
      </c>
      <c r="T417" s="54">
        <v>0</v>
      </c>
      <c r="U417" s="54">
        <v>2263</v>
      </c>
      <c r="V417" s="54">
        <v>0</v>
      </c>
      <c r="W417" s="54">
        <v>0</v>
      </c>
      <c r="X417" s="54">
        <v>0</v>
      </c>
      <c r="Y417" s="54">
        <v>11000</v>
      </c>
      <c r="Z417" s="54">
        <v>0</v>
      </c>
      <c r="AA417" s="54">
        <v>0</v>
      </c>
      <c r="AB417" s="54">
        <v>0</v>
      </c>
      <c r="AC417" s="54">
        <v>0</v>
      </c>
      <c r="AD417" s="54">
        <v>0</v>
      </c>
      <c r="AE417" s="54">
        <v>0</v>
      </c>
      <c r="AF417" s="54">
        <v>0</v>
      </c>
      <c r="AG417" s="54">
        <v>0</v>
      </c>
      <c r="AH417" s="54">
        <v>0</v>
      </c>
      <c r="AI417" s="54">
        <v>0</v>
      </c>
      <c r="AJ417" s="54">
        <v>0</v>
      </c>
      <c r="AK417" s="54">
        <v>0</v>
      </c>
      <c r="AL417" s="54">
        <v>0</v>
      </c>
      <c r="AM417" s="54" t="str">
        <f>I417-J417-K417-L417-M417-N417-O417-P417-Q417-R417-S417-T417-U417-V417-W417-X417-Y417-Z417-AA417-AB417-AC417-AD417-AE417-AF417-AG417+AH417-AI417+AJ417+AK417-AL417</f>
        <v>0</v>
      </c>
      <c r="AN417" s="54"/>
      <c r="AO417" s="27"/>
    </row>
    <row r="418" spans="1:41">
      <c r="A418" s="44">
        <v>390</v>
      </c>
      <c r="B418" s="47" t="s">
        <v>1677</v>
      </c>
      <c r="C418" s="48" t="s">
        <v>1678</v>
      </c>
      <c r="D418" s="52" t="s">
        <v>73</v>
      </c>
      <c r="E418" s="52" t="s">
        <v>1670</v>
      </c>
      <c r="F418" s="55" t="s">
        <v>1679</v>
      </c>
      <c r="G418" s="51">
        <v>3</v>
      </c>
      <c r="H418" s="52" t="s">
        <v>1680</v>
      </c>
      <c r="I418" s="54">
        <v>0</v>
      </c>
      <c r="J418" s="54">
        <v>0</v>
      </c>
      <c r="K418" s="54">
        <v>22000</v>
      </c>
      <c r="L418" s="54">
        <v>0</v>
      </c>
      <c r="M418" s="54">
        <v>0</v>
      </c>
      <c r="N418" s="54">
        <v>0</v>
      </c>
      <c r="O418" s="54">
        <v>0</v>
      </c>
      <c r="P418" s="54">
        <v>0</v>
      </c>
      <c r="Q418" s="54">
        <v>0</v>
      </c>
      <c r="R418" s="54">
        <v>0</v>
      </c>
      <c r="S418" s="54">
        <v>0</v>
      </c>
      <c r="T418" s="54">
        <v>0</v>
      </c>
      <c r="U418" s="54">
        <v>2263</v>
      </c>
      <c r="V418" s="54">
        <v>0</v>
      </c>
      <c r="W418" s="54">
        <v>0</v>
      </c>
      <c r="X418" s="54">
        <v>0</v>
      </c>
      <c r="Y418" s="54">
        <v>11000</v>
      </c>
      <c r="Z418" s="54">
        <v>0</v>
      </c>
      <c r="AA418" s="54">
        <v>0</v>
      </c>
      <c r="AB418" s="54">
        <v>0</v>
      </c>
      <c r="AC418" s="54">
        <v>0</v>
      </c>
      <c r="AD418" s="54">
        <v>0</v>
      </c>
      <c r="AE418" s="54">
        <v>0</v>
      </c>
      <c r="AF418" s="54">
        <v>0</v>
      </c>
      <c r="AG418" s="54">
        <v>0</v>
      </c>
      <c r="AH418" s="54">
        <v>0</v>
      </c>
      <c r="AI418" s="54">
        <v>0</v>
      </c>
      <c r="AJ418" s="54">
        <v>0</v>
      </c>
      <c r="AK418" s="54">
        <v>0</v>
      </c>
      <c r="AL418" s="54">
        <v>0</v>
      </c>
      <c r="AM418" s="54" t="str">
        <f>I418-J418-K418-L418-M418-N418-O418-P418-Q418-R418-S418-T418-U418-V418-W418-X418-Y418-Z418-AA418-AB418-AC418-AD418-AE418-AF418-AG418+AH418-AI418+AJ418+AK418-AL418</f>
        <v>0</v>
      </c>
      <c r="AN418" s="54"/>
      <c r="AO418" s="27"/>
    </row>
    <row r="419" spans="1:41">
      <c r="A419" s="44">
        <v>391</v>
      </c>
      <c r="B419" s="47" t="s">
        <v>1681</v>
      </c>
      <c r="C419" s="48" t="s">
        <v>1682</v>
      </c>
      <c r="D419" s="52" t="s">
        <v>73</v>
      </c>
      <c r="E419" s="52" t="s">
        <v>1670</v>
      </c>
      <c r="F419" s="55" t="s">
        <v>1683</v>
      </c>
      <c r="G419" s="51">
        <v>3</v>
      </c>
      <c r="H419" s="52" t="s">
        <v>1684</v>
      </c>
      <c r="I419" s="54">
        <v>0</v>
      </c>
      <c r="J419" s="54">
        <v>0</v>
      </c>
      <c r="K419" s="54">
        <v>22000</v>
      </c>
      <c r="L419" s="54">
        <v>0</v>
      </c>
      <c r="M419" s="54">
        <v>0</v>
      </c>
      <c r="N419" s="54">
        <v>0</v>
      </c>
      <c r="O419" s="54">
        <v>0</v>
      </c>
      <c r="P419" s="54">
        <v>0</v>
      </c>
      <c r="Q419" s="54">
        <v>0</v>
      </c>
      <c r="R419" s="54">
        <v>0</v>
      </c>
      <c r="S419" s="54">
        <v>0</v>
      </c>
      <c r="T419" s="54">
        <v>0</v>
      </c>
      <c r="U419" s="54">
        <v>2263</v>
      </c>
      <c r="V419" s="54">
        <v>0</v>
      </c>
      <c r="W419" s="54">
        <v>0</v>
      </c>
      <c r="X419" s="54">
        <v>0</v>
      </c>
      <c r="Y419" s="54">
        <v>11000</v>
      </c>
      <c r="Z419" s="54">
        <v>0</v>
      </c>
      <c r="AA419" s="54">
        <v>0</v>
      </c>
      <c r="AB419" s="54">
        <v>0</v>
      </c>
      <c r="AC419" s="54">
        <v>0</v>
      </c>
      <c r="AD419" s="54">
        <v>0</v>
      </c>
      <c r="AE419" s="54">
        <v>0</v>
      </c>
      <c r="AF419" s="54">
        <v>0</v>
      </c>
      <c r="AG419" s="54">
        <v>0</v>
      </c>
      <c r="AH419" s="54">
        <v>0</v>
      </c>
      <c r="AI419" s="54">
        <v>0</v>
      </c>
      <c r="AJ419" s="54">
        <v>0</v>
      </c>
      <c r="AK419" s="54">
        <v>0</v>
      </c>
      <c r="AL419" s="54">
        <v>0</v>
      </c>
      <c r="AM419" s="54" t="str">
        <f>I419-J419-K419-L419-M419-N419-O419-P419-Q419-R419-S419-T419-U419-V419-W419-X419-Y419-Z419-AA419-AB419-AC419-AD419-AE419-AF419-AG419+AH419-AI419+AJ419+AK419-AL419</f>
        <v>0</v>
      </c>
      <c r="AN419" s="54"/>
      <c r="AO419" s="27"/>
    </row>
    <row r="420" spans="1:41">
      <c r="A420" s="44">
        <v>392</v>
      </c>
      <c r="B420" s="47" t="s">
        <v>1685</v>
      </c>
      <c r="C420" s="48" t="s">
        <v>1686</v>
      </c>
      <c r="D420" s="52" t="s">
        <v>62</v>
      </c>
      <c r="E420" s="52" t="s">
        <v>1670</v>
      </c>
      <c r="F420" s="55" t="s">
        <v>1687</v>
      </c>
      <c r="G420" s="51">
        <v>3</v>
      </c>
      <c r="H420" s="52" t="s">
        <v>1688</v>
      </c>
      <c r="I420" s="54">
        <v>0</v>
      </c>
      <c r="J420" s="54">
        <v>0</v>
      </c>
      <c r="K420" s="54">
        <v>22000</v>
      </c>
      <c r="L420" s="54">
        <v>0</v>
      </c>
      <c r="M420" s="54">
        <v>0</v>
      </c>
      <c r="N420" s="54">
        <v>0</v>
      </c>
      <c r="O420" s="54">
        <v>0</v>
      </c>
      <c r="P420" s="54">
        <v>0</v>
      </c>
      <c r="Q420" s="54">
        <v>0</v>
      </c>
      <c r="R420" s="54">
        <v>0</v>
      </c>
      <c r="S420" s="54">
        <v>0</v>
      </c>
      <c r="T420" s="54">
        <v>0</v>
      </c>
      <c r="U420" s="54">
        <v>2263</v>
      </c>
      <c r="V420" s="54">
        <v>0</v>
      </c>
      <c r="W420" s="54">
        <v>0</v>
      </c>
      <c r="X420" s="54">
        <v>0</v>
      </c>
      <c r="Y420" s="54">
        <v>5000</v>
      </c>
      <c r="Z420" s="54">
        <v>0</v>
      </c>
      <c r="AA420" s="54">
        <v>0</v>
      </c>
      <c r="AB420" s="54">
        <v>0</v>
      </c>
      <c r="AC420" s="54">
        <v>0</v>
      </c>
      <c r="AD420" s="54">
        <v>0</v>
      </c>
      <c r="AE420" s="54">
        <v>0</v>
      </c>
      <c r="AF420" s="54">
        <v>0</v>
      </c>
      <c r="AG420" s="54">
        <v>0</v>
      </c>
      <c r="AH420" s="54">
        <v>0</v>
      </c>
      <c r="AI420" s="54">
        <v>0</v>
      </c>
      <c r="AJ420" s="54">
        <v>0</v>
      </c>
      <c r="AK420" s="54">
        <v>0</v>
      </c>
      <c r="AL420" s="54">
        <v>0</v>
      </c>
      <c r="AM420" s="54" t="str">
        <f>I420-J420-K420-L420-M420-N420-O420-P420-Q420-R420-S420-T420-U420-V420-W420-X420-Y420-Z420-AA420-AB420-AC420-AD420-AE420-AF420-AG420+AH420-AI420+AJ420+AK420-AL420</f>
        <v>0</v>
      </c>
      <c r="AN420" s="54"/>
      <c r="AO420" s="27"/>
    </row>
    <row r="421" spans="1:41">
      <c r="A421" s="44">
        <v>393</v>
      </c>
      <c r="B421" s="47" t="s">
        <v>1689</v>
      </c>
      <c r="C421" s="48" t="s">
        <v>1690</v>
      </c>
      <c r="D421" s="52" t="s">
        <v>73</v>
      </c>
      <c r="E421" s="52" t="s">
        <v>1691</v>
      </c>
      <c r="F421" s="55" t="s">
        <v>1692</v>
      </c>
      <c r="G421" s="51">
        <v>0.1</v>
      </c>
      <c r="H421" s="52" t="s">
        <v>1693</v>
      </c>
      <c r="I421" s="54">
        <v>0</v>
      </c>
      <c r="J421" s="54">
        <v>0</v>
      </c>
      <c r="K421" s="54">
        <v>22000</v>
      </c>
      <c r="L421" s="54">
        <v>0</v>
      </c>
      <c r="M421" s="54">
        <v>0</v>
      </c>
      <c r="N421" s="54">
        <v>0</v>
      </c>
      <c r="O421" s="54">
        <v>0</v>
      </c>
      <c r="P421" s="54">
        <v>0</v>
      </c>
      <c r="Q421" s="54">
        <v>0</v>
      </c>
      <c r="R421" s="54">
        <v>0</v>
      </c>
      <c r="S421" s="54">
        <v>0</v>
      </c>
      <c r="T421" s="54">
        <v>0</v>
      </c>
      <c r="U421" s="54">
        <v>2263</v>
      </c>
      <c r="V421" s="54">
        <v>0</v>
      </c>
      <c r="W421" s="54">
        <v>0</v>
      </c>
      <c r="X421" s="54">
        <v>0</v>
      </c>
      <c r="Y421" s="54">
        <v>0</v>
      </c>
      <c r="Z421" s="54">
        <v>0</v>
      </c>
      <c r="AA421" s="54">
        <v>0</v>
      </c>
      <c r="AB421" s="54">
        <v>0</v>
      </c>
      <c r="AC421" s="54">
        <v>0</v>
      </c>
      <c r="AD421" s="54">
        <v>0</v>
      </c>
      <c r="AE421" s="54">
        <v>0</v>
      </c>
      <c r="AF421" s="54">
        <v>0</v>
      </c>
      <c r="AG421" s="54">
        <v>0</v>
      </c>
      <c r="AH421" s="54">
        <v>0</v>
      </c>
      <c r="AI421" s="54">
        <v>0</v>
      </c>
      <c r="AJ421" s="54">
        <v>0</v>
      </c>
      <c r="AK421" s="54">
        <v>0</v>
      </c>
      <c r="AL421" s="54">
        <v>0</v>
      </c>
      <c r="AM421" s="54" t="str">
        <f>I421-J421-K421-L421-M421-N421-O421-P421-Q421-R421-S421-T421-U421-V421-W421-X421-Y421-Z421-AA421-AB421-AC421-AD421-AE421-AF421-AG421+AH421-AI421+AJ421+AK421-AL421</f>
        <v>0</v>
      </c>
      <c r="AN421" s="54"/>
      <c r="AO421" s="27"/>
    </row>
    <row r="422" spans="1:41">
      <c r="A422" s="44">
        <v>394</v>
      </c>
      <c r="B422" s="47" t="s">
        <v>1694</v>
      </c>
      <c r="C422" s="48" t="s">
        <v>1695</v>
      </c>
      <c r="D422" s="52" t="s">
        <v>73</v>
      </c>
      <c r="E422" s="52" t="s">
        <v>1696</v>
      </c>
      <c r="F422" s="55" t="s">
        <v>1697</v>
      </c>
      <c r="G422" s="51">
        <v>2</v>
      </c>
      <c r="H422" s="52" t="s">
        <v>1698</v>
      </c>
      <c r="I422" s="54">
        <v>314000</v>
      </c>
      <c r="J422" s="54">
        <v>0</v>
      </c>
      <c r="K422" s="54">
        <v>22000</v>
      </c>
      <c r="L422" s="54">
        <v>0</v>
      </c>
      <c r="M422" s="54">
        <v>0</v>
      </c>
      <c r="N422" s="54">
        <v>0</v>
      </c>
      <c r="O422" s="54">
        <v>0</v>
      </c>
      <c r="P422" s="54">
        <v>0</v>
      </c>
      <c r="Q422" s="54">
        <v>0</v>
      </c>
      <c r="R422" s="54">
        <v>0</v>
      </c>
      <c r="S422" s="54">
        <v>0</v>
      </c>
      <c r="T422" s="54">
        <v>0</v>
      </c>
      <c r="U422" s="54">
        <v>2263</v>
      </c>
      <c r="V422" s="54">
        <v>0</v>
      </c>
      <c r="W422" s="54">
        <v>0</v>
      </c>
      <c r="X422" s="54">
        <v>0</v>
      </c>
      <c r="Y422" s="54">
        <v>0</v>
      </c>
      <c r="Z422" s="54">
        <v>0</v>
      </c>
      <c r="AA422" s="54">
        <v>0</v>
      </c>
      <c r="AB422" s="54">
        <v>0</v>
      </c>
      <c r="AC422" s="54">
        <v>0</v>
      </c>
      <c r="AD422" s="54">
        <v>0</v>
      </c>
      <c r="AE422" s="54">
        <v>0</v>
      </c>
      <c r="AF422" s="54">
        <v>0</v>
      </c>
      <c r="AG422" s="54">
        <v>0</v>
      </c>
      <c r="AH422" s="54">
        <v>0</v>
      </c>
      <c r="AI422" s="54">
        <v>0</v>
      </c>
      <c r="AJ422" s="54">
        <v>0</v>
      </c>
      <c r="AK422" s="54">
        <v>0</v>
      </c>
      <c r="AL422" s="54">
        <v>0</v>
      </c>
      <c r="AM422" s="54" t="str">
        <f>I422-J422-K422-L422-M422-N422-O422-P422-Q422-R422-S422-T422-U422-V422-W422-X422-Y422-Z422-AA422-AB422-AC422-AD422-AE422-AF422-AG422+AH422-AI422+AJ422+AK422-AL422</f>
        <v>0</v>
      </c>
      <c r="AN422" s="54"/>
      <c r="AO422" s="27"/>
    </row>
    <row r="423" spans="1:41">
      <c r="A423" s="44">
        <v>395</v>
      </c>
      <c r="B423" s="47" t="s">
        <v>1699</v>
      </c>
      <c r="C423" s="48" t="s">
        <v>1700</v>
      </c>
      <c r="D423" s="52" t="s">
        <v>73</v>
      </c>
      <c r="E423" s="52" t="s">
        <v>1696</v>
      </c>
      <c r="F423" s="55" t="s">
        <v>1701</v>
      </c>
      <c r="G423" s="51">
        <v>4</v>
      </c>
      <c r="H423" s="52" t="s">
        <v>1702</v>
      </c>
      <c r="I423" s="54">
        <v>255000</v>
      </c>
      <c r="J423" s="54">
        <v>0</v>
      </c>
      <c r="K423" s="54">
        <v>25000</v>
      </c>
      <c r="L423" s="54">
        <v>0</v>
      </c>
      <c r="M423" s="54">
        <v>0</v>
      </c>
      <c r="N423" s="54">
        <v>0</v>
      </c>
      <c r="O423" s="54">
        <v>0</v>
      </c>
      <c r="P423" s="54">
        <v>0</v>
      </c>
      <c r="Q423" s="54">
        <v>0</v>
      </c>
      <c r="R423" s="54">
        <v>0</v>
      </c>
      <c r="S423" s="54">
        <v>0</v>
      </c>
      <c r="T423" s="54">
        <v>0</v>
      </c>
      <c r="U423" s="54">
        <v>2572</v>
      </c>
      <c r="V423" s="54">
        <v>0</v>
      </c>
      <c r="W423" s="54">
        <v>0</v>
      </c>
      <c r="X423" s="54">
        <v>0</v>
      </c>
      <c r="Y423" s="54">
        <v>0</v>
      </c>
      <c r="Z423" s="54">
        <v>0</v>
      </c>
      <c r="AA423" s="54">
        <v>0</v>
      </c>
      <c r="AB423" s="54">
        <v>0</v>
      </c>
      <c r="AC423" s="54">
        <v>0</v>
      </c>
      <c r="AD423" s="54">
        <v>0</v>
      </c>
      <c r="AE423" s="54">
        <v>0</v>
      </c>
      <c r="AF423" s="54">
        <v>0</v>
      </c>
      <c r="AG423" s="54">
        <v>0</v>
      </c>
      <c r="AH423" s="54">
        <v>0</v>
      </c>
      <c r="AI423" s="54">
        <v>0</v>
      </c>
      <c r="AJ423" s="54">
        <v>0</v>
      </c>
      <c r="AK423" s="54">
        <v>0</v>
      </c>
      <c r="AL423" s="54">
        <v>0</v>
      </c>
      <c r="AM423" s="54" t="str">
        <f>I423-J423-K423-L423-M423-N423-O423-P423-Q423-R423-S423-T423-U423-V423-W423-X423-Y423-Z423-AA423-AB423-AC423-AD423-AE423-AF423-AG423+AH423-AI423+AJ423+AK423-AL423</f>
        <v>0</v>
      </c>
      <c r="AN423" s="54"/>
      <c r="AO423" s="27"/>
    </row>
    <row r="424" spans="1:41">
      <c r="A424" s="44">
        <v>396</v>
      </c>
      <c r="B424" s="47" t="s">
        <v>1703</v>
      </c>
      <c r="C424" s="48" t="s">
        <v>1704</v>
      </c>
      <c r="D424" s="52" t="s">
        <v>73</v>
      </c>
      <c r="E424" s="52" t="s">
        <v>1696</v>
      </c>
      <c r="F424" s="55" t="s">
        <v>1705</v>
      </c>
      <c r="G424" s="51">
        <v>7</v>
      </c>
      <c r="H424" s="52" t="s">
        <v>1706</v>
      </c>
      <c r="I424" s="54">
        <v>1819000</v>
      </c>
      <c r="J424" s="54">
        <v>0</v>
      </c>
      <c r="K424" s="54">
        <v>35000</v>
      </c>
      <c r="L424" s="54">
        <v>0</v>
      </c>
      <c r="M424" s="54">
        <v>0</v>
      </c>
      <c r="N424" s="54">
        <v>0</v>
      </c>
      <c r="O424" s="54">
        <v>0</v>
      </c>
      <c r="P424" s="54">
        <v>0</v>
      </c>
      <c r="Q424" s="54">
        <v>0</v>
      </c>
      <c r="R424" s="54">
        <v>0</v>
      </c>
      <c r="S424" s="54">
        <v>0</v>
      </c>
      <c r="T424" s="54">
        <v>0</v>
      </c>
      <c r="U424" s="54">
        <v>3601</v>
      </c>
      <c r="V424" s="54">
        <v>0</v>
      </c>
      <c r="W424" s="54">
        <v>0</v>
      </c>
      <c r="X424" s="54">
        <v>0</v>
      </c>
      <c r="Y424" s="54">
        <v>0</v>
      </c>
      <c r="Z424" s="54">
        <v>0</v>
      </c>
      <c r="AA424" s="54">
        <v>0</v>
      </c>
      <c r="AB424" s="54">
        <v>0</v>
      </c>
      <c r="AC424" s="54">
        <v>0</v>
      </c>
      <c r="AD424" s="54">
        <v>0</v>
      </c>
      <c r="AE424" s="54">
        <v>0</v>
      </c>
      <c r="AF424" s="54">
        <v>0</v>
      </c>
      <c r="AG424" s="54">
        <v>0</v>
      </c>
      <c r="AH424" s="54">
        <v>0</v>
      </c>
      <c r="AI424" s="54">
        <v>0</v>
      </c>
      <c r="AJ424" s="54">
        <v>0</v>
      </c>
      <c r="AK424" s="54">
        <v>0</v>
      </c>
      <c r="AL424" s="54">
        <v>0</v>
      </c>
      <c r="AM424" s="54" t="str">
        <f>I424-J424-K424-L424-M424-N424-O424-P424-Q424-R424-S424-T424-U424-V424-W424-X424-Y424-Z424-AA424-AB424-AC424-AD424-AE424-AF424-AG424+AH424-AI424+AJ424+AK424-AL424</f>
        <v>0</v>
      </c>
      <c r="AN424" s="54"/>
      <c r="AO424" s="27"/>
    </row>
    <row r="425" spans="1:41">
      <c r="A425" s="44">
        <v>397</v>
      </c>
      <c r="B425" s="47" t="s">
        <v>1707</v>
      </c>
      <c r="C425" s="48" t="s">
        <v>1708</v>
      </c>
      <c r="D425" s="52" t="s">
        <v>62</v>
      </c>
      <c r="E425" s="52" t="s">
        <v>1696</v>
      </c>
      <c r="F425" s="55" t="s">
        <v>1709</v>
      </c>
      <c r="G425" s="51">
        <v>4</v>
      </c>
      <c r="H425" s="52" t="s">
        <v>1156</v>
      </c>
      <c r="I425" s="54">
        <v>0</v>
      </c>
      <c r="J425" s="54">
        <v>0</v>
      </c>
      <c r="K425" s="54">
        <v>25000</v>
      </c>
      <c r="L425" s="54">
        <v>0</v>
      </c>
      <c r="M425" s="54">
        <v>0</v>
      </c>
      <c r="N425" s="54">
        <v>0</v>
      </c>
      <c r="O425" s="54">
        <v>0</v>
      </c>
      <c r="P425" s="54">
        <v>0</v>
      </c>
      <c r="Q425" s="54">
        <v>0</v>
      </c>
      <c r="R425" s="54">
        <v>0</v>
      </c>
      <c r="S425" s="54">
        <v>0</v>
      </c>
      <c r="T425" s="54">
        <v>0</v>
      </c>
      <c r="U425" s="54">
        <v>2572</v>
      </c>
      <c r="V425" s="54">
        <v>0</v>
      </c>
      <c r="W425" s="54">
        <v>0</v>
      </c>
      <c r="X425" s="54">
        <v>0</v>
      </c>
      <c r="Y425" s="54">
        <v>12500</v>
      </c>
      <c r="Z425" s="54">
        <v>0</v>
      </c>
      <c r="AA425" s="54">
        <v>0</v>
      </c>
      <c r="AB425" s="54">
        <v>0</v>
      </c>
      <c r="AC425" s="54">
        <v>0</v>
      </c>
      <c r="AD425" s="54">
        <v>0</v>
      </c>
      <c r="AE425" s="54">
        <v>0</v>
      </c>
      <c r="AF425" s="54">
        <v>0</v>
      </c>
      <c r="AG425" s="54">
        <v>0</v>
      </c>
      <c r="AH425" s="54">
        <v>0</v>
      </c>
      <c r="AI425" s="54">
        <v>0</v>
      </c>
      <c r="AJ425" s="54">
        <v>0</v>
      </c>
      <c r="AK425" s="54">
        <v>0</v>
      </c>
      <c r="AL425" s="54">
        <v>0</v>
      </c>
      <c r="AM425" s="54" t="str">
        <f>I425-J425-K425-L425-M425-N425-O425-P425-Q425-R425-S425-T425-U425-V425-W425-X425-Y425-Z425-AA425-AB425-AC425-AD425-AE425-AF425-AG425+AH425-AI425+AJ425+AK425-AL425</f>
        <v>0</v>
      </c>
      <c r="AN425" s="54"/>
      <c r="AO425" s="27"/>
    </row>
    <row r="426" spans="1:41">
      <c r="A426" s="44">
        <v>398</v>
      </c>
      <c r="B426" s="47" t="s">
        <v>1710</v>
      </c>
      <c r="C426" s="48" t="s">
        <v>1711</v>
      </c>
      <c r="D426" s="52" t="s">
        <v>73</v>
      </c>
      <c r="E426" s="52" t="s">
        <v>1696</v>
      </c>
      <c r="F426" s="55" t="s">
        <v>1712</v>
      </c>
      <c r="G426" s="51">
        <v>3</v>
      </c>
      <c r="H426" s="52" t="s">
        <v>1713</v>
      </c>
      <c r="I426" s="54">
        <v>718100</v>
      </c>
      <c r="J426" s="54">
        <v>0</v>
      </c>
      <c r="K426" s="54">
        <v>22000</v>
      </c>
      <c r="L426" s="54">
        <v>0</v>
      </c>
      <c r="M426" s="54">
        <v>0</v>
      </c>
      <c r="N426" s="54">
        <v>0</v>
      </c>
      <c r="O426" s="54">
        <v>0</v>
      </c>
      <c r="P426" s="54">
        <v>0</v>
      </c>
      <c r="Q426" s="54">
        <v>0</v>
      </c>
      <c r="R426" s="54">
        <v>0</v>
      </c>
      <c r="S426" s="54">
        <v>0</v>
      </c>
      <c r="T426" s="54">
        <v>0</v>
      </c>
      <c r="U426" s="54">
        <v>2263</v>
      </c>
      <c r="V426" s="54">
        <v>0</v>
      </c>
      <c r="W426" s="54">
        <v>0</v>
      </c>
      <c r="X426" s="54">
        <v>0</v>
      </c>
      <c r="Y426" s="54">
        <v>0</v>
      </c>
      <c r="Z426" s="54">
        <v>0</v>
      </c>
      <c r="AA426" s="54">
        <v>0</v>
      </c>
      <c r="AB426" s="54">
        <v>0</v>
      </c>
      <c r="AC426" s="54">
        <v>0</v>
      </c>
      <c r="AD426" s="54">
        <v>0</v>
      </c>
      <c r="AE426" s="54">
        <v>0</v>
      </c>
      <c r="AF426" s="54">
        <v>0</v>
      </c>
      <c r="AG426" s="54">
        <v>0</v>
      </c>
      <c r="AH426" s="54">
        <v>0</v>
      </c>
      <c r="AI426" s="54">
        <v>0</v>
      </c>
      <c r="AJ426" s="54">
        <v>0</v>
      </c>
      <c r="AK426" s="54">
        <v>0</v>
      </c>
      <c r="AL426" s="54">
        <v>0</v>
      </c>
      <c r="AM426" s="54" t="str">
        <f>I426-J426-K426-L426-M426-N426-O426-P426-Q426-R426-S426-T426-U426-V426-W426-X426-Y426-Z426-AA426-AB426-AC426-AD426-AE426-AF426-AG426+AH426-AI426+AJ426+AK426-AL426</f>
        <v>0</v>
      </c>
      <c r="AN426" s="54"/>
      <c r="AO426" s="27"/>
    </row>
    <row r="427" spans="1:41">
      <c r="A427" s="44">
        <v>399</v>
      </c>
      <c r="B427" s="47" t="s">
        <v>1714</v>
      </c>
      <c r="C427" s="48" t="s">
        <v>1715</v>
      </c>
      <c r="D427" s="52" t="s">
        <v>73</v>
      </c>
      <c r="E427" s="52" t="s">
        <v>1696</v>
      </c>
      <c r="F427" s="55" t="s">
        <v>1716</v>
      </c>
      <c r="G427" s="51">
        <v>2</v>
      </c>
      <c r="H427" s="52" t="s">
        <v>1717</v>
      </c>
      <c r="I427" s="54">
        <v>325000</v>
      </c>
      <c r="J427" s="54">
        <v>0</v>
      </c>
      <c r="K427" s="54">
        <v>22000</v>
      </c>
      <c r="L427" s="54">
        <v>0</v>
      </c>
      <c r="M427" s="54">
        <v>0</v>
      </c>
      <c r="N427" s="54">
        <v>0</v>
      </c>
      <c r="O427" s="54">
        <v>0</v>
      </c>
      <c r="P427" s="54">
        <v>0</v>
      </c>
      <c r="Q427" s="54">
        <v>0</v>
      </c>
      <c r="R427" s="54">
        <v>0</v>
      </c>
      <c r="S427" s="54">
        <v>0</v>
      </c>
      <c r="T427" s="54">
        <v>0</v>
      </c>
      <c r="U427" s="54">
        <v>2263</v>
      </c>
      <c r="V427" s="54">
        <v>0</v>
      </c>
      <c r="W427" s="54">
        <v>0</v>
      </c>
      <c r="X427" s="54">
        <v>0</v>
      </c>
      <c r="Y427" s="54">
        <v>0</v>
      </c>
      <c r="Z427" s="54">
        <v>0</v>
      </c>
      <c r="AA427" s="54">
        <v>0</v>
      </c>
      <c r="AB427" s="54">
        <v>0</v>
      </c>
      <c r="AC427" s="54">
        <v>0</v>
      </c>
      <c r="AD427" s="54">
        <v>0</v>
      </c>
      <c r="AE427" s="54">
        <v>0</v>
      </c>
      <c r="AF427" s="54">
        <v>0</v>
      </c>
      <c r="AG427" s="54">
        <v>0</v>
      </c>
      <c r="AH427" s="54">
        <v>0</v>
      </c>
      <c r="AI427" s="54">
        <v>0</v>
      </c>
      <c r="AJ427" s="54">
        <v>0</v>
      </c>
      <c r="AK427" s="54">
        <v>0</v>
      </c>
      <c r="AL427" s="54">
        <v>0</v>
      </c>
      <c r="AM427" s="54" t="str">
        <f>I427-J427-K427-L427-M427-N427-O427-P427-Q427-R427-S427-T427-U427-V427-W427-X427-Y427-Z427-AA427-AB427-AC427-AD427-AE427-AF427-AG427+AH427-AI427+AJ427+AK427-AL427</f>
        <v>0</v>
      </c>
      <c r="AN427" s="54"/>
      <c r="AO427" s="27"/>
    </row>
    <row r="428" spans="1:41">
      <c r="A428" s="44">
        <v>400</v>
      </c>
      <c r="B428" s="47" t="s">
        <v>1718</v>
      </c>
      <c r="C428" s="48" t="s">
        <v>1719</v>
      </c>
      <c r="D428" s="52" t="s">
        <v>73</v>
      </c>
      <c r="E428" s="52" t="s">
        <v>1696</v>
      </c>
      <c r="F428" s="55" t="s">
        <v>1720</v>
      </c>
      <c r="G428" s="51">
        <v>3</v>
      </c>
      <c r="H428" s="52" t="s">
        <v>1721</v>
      </c>
      <c r="I428" s="54">
        <v>450000</v>
      </c>
      <c r="J428" s="54">
        <v>0</v>
      </c>
      <c r="K428" s="54">
        <v>22000</v>
      </c>
      <c r="L428" s="54">
        <v>0</v>
      </c>
      <c r="M428" s="54">
        <v>0</v>
      </c>
      <c r="N428" s="54">
        <v>0</v>
      </c>
      <c r="O428" s="54">
        <v>0</v>
      </c>
      <c r="P428" s="54">
        <v>0</v>
      </c>
      <c r="Q428" s="54">
        <v>0</v>
      </c>
      <c r="R428" s="54">
        <v>0</v>
      </c>
      <c r="S428" s="54">
        <v>0</v>
      </c>
      <c r="T428" s="54">
        <v>0</v>
      </c>
      <c r="U428" s="54">
        <v>2263</v>
      </c>
      <c r="V428" s="54">
        <v>0</v>
      </c>
      <c r="W428" s="54">
        <v>0</v>
      </c>
      <c r="X428" s="54">
        <v>0</v>
      </c>
      <c r="Y428" s="54">
        <v>0</v>
      </c>
      <c r="Z428" s="54">
        <v>0</v>
      </c>
      <c r="AA428" s="54">
        <v>0</v>
      </c>
      <c r="AB428" s="54">
        <v>0</v>
      </c>
      <c r="AC428" s="54">
        <v>0</v>
      </c>
      <c r="AD428" s="54">
        <v>0</v>
      </c>
      <c r="AE428" s="54">
        <v>0</v>
      </c>
      <c r="AF428" s="54">
        <v>0</v>
      </c>
      <c r="AG428" s="54">
        <v>0</v>
      </c>
      <c r="AH428" s="54">
        <v>0</v>
      </c>
      <c r="AI428" s="54">
        <v>0</v>
      </c>
      <c r="AJ428" s="54">
        <v>0</v>
      </c>
      <c r="AK428" s="54">
        <v>0</v>
      </c>
      <c r="AL428" s="54">
        <v>0</v>
      </c>
      <c r="AM428" s="54" t="str">
        <f>I428-J428-K428-L428-M428-N428-O428-P428-Q428-R428-S428-T428-U428-V428-W428-X428-Y428-Z428-AA428-AB428-AC428-AD428-AE428-AF428-AG428+AH428-AI428+AJ428+AK428-AL428</f>
        <v>0</v>
      </c>
      <c r="AN428" s="54"/>
      <c r="AO428" s="27"/>
    </row>
    <row r="429" spans="1:41">
      <c r="A429" s="44">
        <v>401</v>
      </c>
      <c r="B429" s="47" t="s">
        <v>1722</v>
      </c>
      <c r="C429" s="48" t="s">
        <v>1723</v>
      </c>
      <c r="D429" s="52" t="s">
        <v>73</v>
      </c>
      <c r="E429" s="52" t="s">
        <v>1696</v>
      </c>
      <c r="F429" s="55" t="s">
        <v>1225</v>
      </c>
      <c r="G429" s="51">
        <v>3</v>
      </c>
      <c r="H429" s="52" t="s">
        <v>1724</v>
      </c>
      <c r="I429" s="54">
        <v>320000</v>
      </c>
      <c r="J429" s="54">
        <v>0</v>
      </c>
      <c r="K429" s="54">
        <v>22000</v>
      </c>
      <c r="L429" s="54">
        <v>0</v>
      </c>
      <c r="M429" s="54">
        <v>0</v>
      </c>
      <c r="N429" s="54">
        <v>0</v>
      </c>
      <c r="O429" s="54">
        <v>0</v>
      </c>
      <c r="P429" s="54">
        <v>0</v>
      </c>
      <c r="Q429" s="54">
        <v>0</v>
      </c>
      <c r="R429" s="54">
        <v>0</v>
      </c>
      <c r="S429" s="54">
        <v>0</v>
      </c>
      <c r="T429" s="54">
        <v>0</v>
      </c>
      <c r="U429" s="54">
        <v>2263</v>
      </c>
      <c r="V429" s="54">
        <v>0</v>
      </c>
      <c r="W429" s="54">
        <v>0</v>
      </c>
      <c r="X429" s="54">
        <v>0</v>
      </c>
      <c r="Y429" s="54">
        <v>0</v>
      </c>
      <c r="Z429" s="54">
        <v>0</v>
      </c>
      <c r="AA429" s="54">
        <v>0</v>
      </c>
      <c r="AB429" s="54">
        <v>0</v>
      </c>
      <c r="AC429" s="54">
        <v>0</v>
      </c>
      <c r="AD429" s="54">
        <v>0</v>
      </c>
      <c r="AE429" s="54">
        <v>0</v>
      </c>
      <c r="AF429" s="54">
        <v>0</v>
      </c>
      <c r="AG429" s="54">
        <v>0</v>
      </c>
      <c r="AH429" s="54">
        <v>0</v>
      </c>
      <c r="AI429" s="54">
        <v>0</v>
      </c>
      <c r="AJ429" s="54">
        <v>0</v>
      </c>
      <c r="AK429" s="54">
        <v>0</v>
      </c>
      <c r="AL429" s="54">
        <v>0</v>
      </c>
      <c r="AM429" s="54" t="str">
        <f>I429-J429-K429-L429-M429-N429-O429-P429-Q429-R429-S429-T429-U429-V429-W429-X429-Y429-Z429-AA429-AB429-AC429-AD429-AE429-AF429-AG429+AH429-AI429+AJ429+AK429-AL429</f>
        <v>0</v>
      </c>
      <c r="AN429" s="54"/>
      <c r="AO429" s="27"/>
    </row>
    <row r="430" spans="1:41">
      <c r="A430" s="44">
        <v>402</v>
      </c>
      <c r="B430" s="47" t="s">
        <v>1725</v>
      </c>
      <c r="C430" s="48" t="s">
        <v>1726</v>
      </c>
      <c r="D430" s="52" t="s">
        <v>73</v>
      </c>
      <c r="E430" s="52" t="s">
        <v>1696</v>
      </c>
      <c r="F430" s="55" t="s">
        <v>1727</v>
      </c>
      <c r="G430" s="51">
        <v>2</v>
      </c>
      <c r="H430" s="52" t="s">
        <v>1728</v>
      </c>
      <c r="I430" s="54">
        <v>264000</v>
      </c>
      <c r="J430" s="54">
        <v>0</v>
      </c>
      <c r="K430" s="54">
        <v>22000</v>
      </c>
      <c r="L430" s="54">
        <v>0</v>
      </c>
      <c r="M430" s="54">
        <v>0</v>
      </c>
      <c r="N430" s="54">
        <v>0</v>
      </c>
      <c r="O430" s="54">
        <v>0</v>
      </c>
      <c r="P430" s="54">
        <v>0</v>
      </c>
      <c r="Q430" s="54">
        <v>0</v>
      </c>
      <c r="R430" s="54">
        <v>0</v>
      </c>
      <c r="S430" s="54">
        <v>0</v>
      </c>
      <c r="T430" s="54">
        <v>0</v>
      </c>
      <c r="U430" s="54">
        <v>2263</v>
      </c>
      <c r="V430" s="54">
        <v>0</v>
      </c>
      <c r="W430" s="54">
        <v>0</v>
      </c>
      <c r="X430" s="54">
        <v>0</v>
      </c>
      <c r="Y430" s="54">
        <v>0</v>
      </c>
      <c r="Z430" s="54">
        <v>0</v>
      </c>
      <c r="AA430" s="54">
        <v>0</v>
      </c>
      <c r="AB430" s="54">
        <v>0</v>
      </c>
      <c r="AC430" s="54">
        <v>0</v>
      </c>
      <c r="AD430" s="54">
        <v>0</v>
      </c>
      <c r="AE430" s="54">
        <v>0</v>
      </c>
      <c r="AF430" s="54">
        <v>0</v>
      </c>
      <c r="AG430" s="54">
        <v>0</v>
      </c>
      <c r="AH430" s="54">
        <v>0</v>
      </c>
      <c r="AI430" s="54">
        <v>0</v>
      </c>
      <c r="AJ430" s="54">
        <v>0</v>
      </c>
      <c r="AK430" s="54">
        <v>0</v>
      </c>
      <c r="AL430" s="54">
        <v>0</v>
      </c>
      <c r="AM430" s="54" t="str">
        <f>I430-J430-K430-L430-M430-N430-O430-P430-Q430-R430-S430-T430-U430-V430-W430-X430-Y430-Z430-AA430-AB430-AC430-AD430-AE430-AF430-AG430+AH430-AI430+AJ430+AK430-AL430</f>
        <v>0</v>
      </c>
      <c r="AN430" s="54"/>
      <c r="AO430" s="27"/>
    </row>
    <row r="431" spans="1:41">
      <c r="A431" s="44">
        <v>403</v>
      </c>
      <c r="B431" s="47" t="s">
        <v>1729</v>
      </c>
      <c r="C431" s="48" t="s">
        <v>1730</v>
      </c>
      <c r="D431" s="52" t="s">
        <v>73</v>
      </c>
      <c r="E431" s="52" t="s">
        <v>1696</v>
      </c>
      <c r="F431" s="55" t="s">
        <v>1731</v>
      </c>
      <c r="G431" s="51">
        <v>4</v>
      </c>
      <c r="H431" s="52" t="s">
        <v>1732</v>
      </c>
      <c r="I431" s="54">
        <v>680000</v>
      </c>
      <c r="J431" s="54">
        <v>0</v>
      </c>
      <c r="K431" s="54">
        <v>25000</v>
      </c>
      <c r="L431" s="54">
        <v>0</v>
      </c>
      <c r="M431" s="54">
        <v>0</v>
      </c>
      <c r="N431" s="54">
        <v>0</v>
      </c>
      <c r="O431" s="54">
        <v>0</v>
      </c>
      <c r="P431" s="54">
        <v>0</v>
      </c>
      <c r="Q431" s="54">
        <v>0</v>
      </c>
      <c r="R431" s="54">
        <v>0</v>
      </c>
      <c r="S431" s="54">
        <v>0</v>
      </c>
      <c r="T431" s="54">
        <v>0</v>
      </c>
      <c r="U431" s="54">
        <v>2572</v>
      </c>
      <c r="V431" s="54">
        <v>0</v>
      </c>
      <c r="W431" s="54">
        <v>0</v>
      </c>
      <c r="X431" s="54">
        <v>0</v>
      </c>
      <c r="Y431" s="54">
        <v>0</v>
      </c>
      <c r="Z431" s="54">
        <v>0</v>
      </c>
      <c r="AA431" s="54">
        <v>0</v>
      </c>
      <c r="AB431" s="54">
        <v>0</v>
      </c>
      <c r="AC431" s="54">
        <v>0</v>
      </c>
      <c r="AD431" s="54">
        <v>0</v>
      </c>
      <c r="AE431" s="54">
        <v>0</v>
      </c>
      <c r="AF431" s="54">
        <v>0</v>
      </c>
      <c r="AG431" s="54">
        <v>0</v>
      </c>
      <c r="AH431" s="54">
        <v>0</v>
      </c>
      <c r="AI431" s="54">
        <v>0</v>
      </c>
      <c r="AJ431" s="54">
        <v>0</v>
      </c>
      <c r="AK431" s="54">
        <v>0</v>
      </c>
      <c r="AL431" s="54">
        <v>0</v>
      </c>
      <c r="AM431" s="54" t="str">
        <f>I431-J431-K431-L431-M431-N431-O431-P431-Q431-R431-S431-T431-U431-V431-W431-X431-Y431-Z431-AA431-AB431-AC431-AD431-AE431-AF431-AG431+AH431-AI431+AJ431+AK431-AL431</f>
        <v>0</v>
      </c>
      <c r="AN431" s="54"/>
      <c r="AO431" s="27"/>
    </row>
    <row r="432" spans="1:41">
      <c r="A432" s="44">
        <v>404</v>
      </c>
      <c r="B432" s="47" t="s">
        <v>1733</v>
      </c>
      <c r="C432" s="48" t="s">
        <v>1734</v>
      </c>
      <c r="D432" s="52" t="s">
        <v>73</v>
      </c>
      <c r="E432" s="52" t="s">
        <v>1696</v>
      </c>
      <c r="F432" s="55" t="s">
        <v>1735</v>
      </c>
      <c r="G432" s="51">
        <v>2</v>
      </c>
      <c r="H432" s="52" t="s">
        <v>1736</v>
      </c>
      <c r="I432" s="54">
        <v>330000</v>
      </c>
      <c r="J432" s="54">
        <v>0</v>
      </c>
      <c r="K432" s="54">
        <v>22000</v>
      </c>
      <c r="L432" s="54">
        <v>0</v>
      </c>
      <c r="M432" s="54">
        <v>0</v>
      </c>
      <c r="N432" s="54">
        <v>0</v>
      </c>
      <c r="O432" s="54">
        <v>0</v>
      </c>
      <c r="P432" s="54">
        <v>0</v>
      </c>
      <c r="Q432" s="54">
        <v>0</v>
      </c>
      <c r="R432" s="54">
        <v>0</v>
      </c>
      <c r="S432" s="54">
        <v>0</v>
      </c>
      <c r="T432" s="54">
        <v>0</v>
      </c>
      <c r="U432" s="54">
        <v>2263</v>
      </c>
      <c r="V432" s="54">
        <v>0</v>
      </c>
      <c r="W432" s="54">
        <v>0</v>
      </c>
      <c r="X432" s="54">
        <v>0</v>
      </c>
      <c r="Y432" s="54">
        <v>0</v>
      </c>
      <c r="Z432" s="54">
        <v>0</v>
      </c>
      <c r="AA432" s="54">
        <v>0</v>
      </c>
      <c r="AB432" s="54">
        <v>0</v>
      </c>
      <c r="AC432" s="54">
        <v>0</v>
      </c>
      <c r="AD432" s="54">
        <v>0</v>
      </c>
      <c r="AE432" s="54">
        <v>0</v>
      </c>
      <c r="AF432" s="54">
        <v>0</v>
      </c>
      <c r="AG432" s="54">
        <v>0</v>
      </c>
      <c r="AH432" s="54">
        <v>0</v>
      </c>
      <c r="AI432" s="54">
        <v>0</v>
      </c>
      <c r="AJ432" s="54">
        <v>0</v>
      </c>
      <c r="AK432" s="54">
        <v>0</v>
      </c>
      <c r="AL432" s="54">
        <v>0</v>
      </c>
      <c r="AM432" s="54" t="str">
        <f>I432-J432-K432-L432-M432-N432-O432-P432-Q432-R432-S432-T432-U432-V432-W432-X432-Y432-Z432-AA432-AB432-AC432-AD432-AE432-AF432-AG432+AH432-AI432+AJ432+AK432-AL432</f>
        <v>0</v>
      </c>
      <c r="AN432" s="54"/>
      <c r="AO432" s="27"/>
    </row>
    <row r="433" spans="1:41">
      <c r="A433" s="44">
        <v>405</v>
      </c>
      <c r="B433" s="47" t="s">
        <v>1737</v>
      </c>
      <c r="C433" s="48" t="s">
        <v>1738</v>
      </c>
      <c r="D433" s="52" t="s">
        <v>73</v>
      </c>
      <c r="E433" s="52" t="s">
        <v>1696</v>
      </c>
      <c r="F433" s="55" t="s">
        <v>626</v>
      </c>
      <c r="G433" s="51">
        <v>6</v>
      </c>
      <c r="H433" s="52" t="s">
        <v>1739</v>
      </c>
      <c r="I433" s="54">
        <v>1239000</v>
      </c>
      <c r="J433" s="54">
        <v>0</v>
      </c>
      <c r="K433" s="54">
        <v>31000</v>
      </c>
      <c r="L433" s="54">
        <v>0</v>
      </c>
      <c r="M433" s="54">
        <v>0</v>
      </c>
      <c r="N433" s="54">
        <v>0</v>
      </c>
      <c r="O433" s="54">
        <v>0</v>
      </c>
      <c r="P433" s="54">
        <v>0</v>
      </c>
      <c r="Q433" s="54">
        <v>0</v>
      </c>
      <c r="R433" s="54">
        <v>0</v>
      </c>
      <c r="S433" s="54">
        <v>0</v>
      </c>
      <c r="T433" s="54">
        <v>0</v>
      </c>
      <c r="U433" s="54">
        <v>3189</v>
      </c>
      <c r="V433" s="54">
        <v>0</v>
      </c>
      <c r="W433" s="54">
        <v>0</v>
      </c>
      <c r="X433" s="54">
        <v>0</v>
      </c>
      <c r="Y433" s="54">
        <v>0</v>
      </c>
      <c r="Z433" s="54">
        <v>0</v>
      </c>
      <c r="AA433" s="54">
        <v>0</v>
      </c>
      <c r="AB433" s="54">
        <v>0</v>
      </c>
      <c r="AC433" s="54">
        <v>0</v>
      </c>
      <c r="AD433" s="54">
        <v>0</v>
      </c>
      <c r="AE433" s="54">
        <v>0</v>
      </c>
      <c r="AF433" s="54">
        <v>0</v>
      </c>
      <c r="AG433" s="54">
        <v>0</v>
      </c>
      <c r="AH433" s="54">
        <v>0</v>
      </c>
      <c r="AI433" s="54">
        <v>0</v>
      </c>
      <c r="AJ433" s="54">
        <v>0</v>
      </c>
      <c r="AK433" s="54">
        <v>0</v>
      </c>
      <c r="AL433" s="54">
        <v>0</v>
      </c>
      <c r="AM433" s="54" t="str">
        <f>I433-J433-K433-L433-M433-N433-O433-P433-Q433-R433-S433-T433-U433-V433-W433-X433-Y433-Z433-AA433-AB433-AC433-AD433-AE433-AF433-AG433+AH433-AI433+AJ433+AK433-AL433</f>
        <v>0</v>
      </c>
      <c r="AN433" s="54"/>
      <c r="AO433" s="27"/>
    </row>
    <row r="434" spans="1:41">
      <c r="A434" s="44">
        <v>406</v>
      </c>
      <c r="B434" s="47" t="s">
        <v>1740</v>
      </c>
      <c r="C434" s="48" t="s">
        <v>1741</v>
      </c>
      <c r="D434" s="52" t="s">
        <v>73</v>
      </c>
      <c r="E434" s="52" t="s">
        <v>1696</v>
      </c>
      <c r="F434" s="55" t="s">
        <v>1742</v>
      </c>
      <c r="G434" s="51">
        <v>3</v>
      </c>
      <c r="H434" s="52" t="s">
        <v>1743</v>
      </c>
      <c r="I434" s="54">
        <v>560000</v>
      </c>
      <c r="J434" s="54">
        <v>0</v>
      </c>
      <c r="K434" s="54">
        <v>22000</v>
      </c>
      <c r="L434" s="54">
        <v>0</v>
      </c>
      <c r="M434" s="54">
        <v>0</v>
      </c>
      <c r="N434" s="54">
        <v>0</v>
      </c>
      <c r="O434" s="54">
        <v>0</v>
      </c>
      <c r="P434" s="54">
        <v>0</v>
      </c>
      <c r="Q434" s="54">
        <v>0</v>
      </c>
      <c r="R434" s="54">
        <v>0</v>
      </c>
      <c r="S434" s="54">
        <v>0</v>
      </c>
      <c r="T434" s="54">
        <v>0</v>
      </c>
      <c r="U434" s="54">
        <v>2263</v>
      </c>
      <c r="V434" s="54">
        <v>0</v>
      </c>
      <c r="W434" s="54">
        <v>0</v>
      </c>
      <c r="X434" s="54">
        <v>0</v>
      </c>
      <c r="Y434" s="54">
        <v>0</v>
      </c>
      <c r="Z434" s="54">
        <v>0</v>
      </c>
      <c r="AA434" s="54">
        <v>0</v>
      </c>
      <c r="AB434" s="54">
        <v>0</v>
      </c>
      <c r="AC434" s="54">
        <v>0</v>
      </c>
      <c r="AD434" s="54">
        <v>0</v>
      </c>
      <c r="AE434" s="54">
        <v>0</v>
      </c>
      <c r="AF434" s="54">
        <v>0</v>
      </c>
      <c r="AG434" s="54">
        <v>0</v>
      </c>
      <c r="AH434" s="54">
        <v>0</v>
      </c>
      <c r="AI434" s="54">
        <v>0</v>
      </c>
      <c r="AJ434" s="54">
        <v>0</v>
      </c>
      <c r="AK434" s="54">
        <v>0</v>
      </c>
      <c r="AL434" s="54">
        <v>0</v>
      </c>
      <c r="AM434" s="54" t="str">
        <f>I434-J434-K434-L434-M434-N434-O434-P434-Q434-R434-S434-T434-U434-V434-W434-X434-Y434-Z434-AA434-AB434-AC434-AD434-AE434-AF434-AG434+AH434-AI434+AJ434+AK434-AL434</f>
        <v>0</v>
      </c>
      <c r="AN434" s="54"/>
      <c r="AO434" s="27"/>
    </row>
    <row r="435" spans="1:41">
      <c r="A435" s="44">
        <v>407</v>
      </c>
      <c r="B435" s="47" t="s">
        <v>1744</v>
      </c>
      <c r="C435" s="48" t="s">
        <v>1745</v>
      </c>
      <c r="D435" s="52" t="s">
        <v>73</v>
      </c>
      <c r="E435" s="52" t="s">
        <v>1696</v>
      </c>
      <c r="F435" s="55" t="s">
        <v>1746</v>
      </c>
      <c r="G435" s="51">
        <v>3</v>
      </c>
      <c r="H435" s="52" t="s">
        <v>1747</v>
      </c>
      <c r="I435" s="54">
        <v>560000</v>
      </c>
      <c r="J435" s="54">
        <v>0</v>
      </c>
      <c r="K435" s="54">
        <v>22000</v>
      </c>
      <c r="L435" s="54">
        <v>0</v>
      </c>
      <c r="M435" s="54">
        <v>0</v>
      </c>
      <c r="N435" s="54">
        <v>0</v>
      </c>
      <c r="O435" s="54">
        <v>0</v>
      </c>
      <c r="P435" s="54">
        <v>0</v>
      </c>
      <c r="Q435" s="54">
        <v>0</v>
      </c>
      <c r="R435" s="54">
        <v>0</v>
      </c>
      <c r="S435" s="54">
        <v>0</v>
      </c>
      <c r="T435" s="54">
        <v>0</v>
      </c>
      <c r="U435" s="54">
        <v>2263</v>
      </c>
      <c r="V435" s="54">
        <v>0</v>
      </c>
      <c r="W435" s="54">
        <v>0</v>
      </c>
      <c r="X435" s="54">
        <v>0</v>
      </c>
      <c r="Y435" s="54">
        <v>0</v>
      </c>
      <c r="Z435" s="54">
        <v>0</v>
      </c>
      <c r="AA435" s="54">
        <v>0</v>
      </c>
      <c r="AB435" s="54">
        <v>0</v>
      </c>
      <c r="AC435" s="54">
        <v>0</v>
      </c>
      <c r="AD435" s="54">
        <v>0</v>
      </c>
      <c r="AE435" s="54">
        <v>0</v>
      </c>
      <c r="AF435" s="54">
        <v>0</v>
      </c>
      <c r="AG435" s="54">
        <v>0</v>
      </c>
      <c r="AH435" s="54">
        <v>0</v>
      </c>
      <c r="AI435" s="54">
        <v>0</v>
      </c>
      <c r="AJ435" s="54">
        <v>0</v>
      </c>
      <c r="AK435" s="54">
        <v>0</v>
      </c>
      <c r="AL435" s="54">
        <v>0</v>
      </c>
      <c r="AM435" s="54" t="str">
        <f>I435-J435-K435-L435-M435-N435-O435-P435-Q435-R435-S435-T435-U435-V435-W435-X435-Y435-Z435-AA435-AB435-AC435-AD435-AE435-AF435-AG435+AH435-AI435+AJ435+AK435-AL435</f>
        <v>0</v>
      </c>
      <c r="AN435" s="54"/>
      <c r="AO435" s="27"/>
    </row>
    <row r="436" spans="1:41">
      <c r="A436" s="44">
        <v>408</v>
      </c>
      <c r="B436" s="47" t="s">
        <v>1748</v>
      </c>
      <c r="C436" s="48" t="s">
        <v>1749</v>
      </c>
      <c r="D436" s="52" t="s">
        <v>73</v>
      </c>
      <c r="E436" s="52" t="s">
        <v>1750</v>
      </c>
      <c r="F436" s="55" t="s">
        <v>1751</v>
      </c>
      <c r="G436" s="51">
        <v>3</v>
      </c>
      <c r="H436" s="52" t="s">
        <v>1752</v>
      </c>
      <c r="I436" s="54">
        <v>560000</v>
      </c>
      <c r="J436" s="54">
        <v>0</v>
      </c>
      <c r="K436" s="54">
        <v>22000</v>
      </c>
      <c r="L436" s="54">
        <v>0</v>
      </c>
      <c r="M436" s="54">
        <v>0</v>
      </c>
      <c r="N436" s="54">
        <v>0</v>
      </c>
      <c r="O436" s="54">
        <v>0</v>
      </c>
      <c r="P436" s="54">
        <v>0</v>
      </c>
      <c r="Q436" s="54">
        <v>0</v>
      </c>
      <c r="R436" s="54">
        <v>0</v>
      </c>
      <c r="S436" s="54">
        <v>0</v>
      </c>
      <c r="T436" s="54">
        <v>0</v>
      </c>
      <c r="U436" s="54">
        <v>2263</v>
      </c>
      <c r="V436" s="54">
        <v>0</v>
      </c>
      <c r="W436" s="54">
        <v>0</v>
      </c>
      <c r="X436" s="54">
        <v>0</v>
      </c>
      <c r="Y436" s="54">
        <v>0</v>
      </c>
      <c r="Z436" s="54">
        <v>0</v>
      </c>
      <c r="AA436" s="54">
        <v>0</v>
      </c>
      <c r="AB436" s="54">
        <v>0</v>
      </c>
      <c r="AC436" s="54">
        <v>0</v>
      </c>
      <c r="AD436" s="54">
        <v>0</v>
      </c>
      <c r="AE436" s="54">
        <v>0</v>
      </c>
      <c r="AF436" s="54">
        <v>0</v>
      </c>
      <c r="AG436" s="54">
        <v>0</v>
      </c>
      <c r="AH436" s="54">
        <v>0</v>
      </c>
      <c r="AI436" s="54">
        <v>0</v>
      </c>
      <c r="AJ436" s="54">
        <v>0</v>
      </c>
      <c r="AK436" s="54">
        <v>0</v>
      </c>
      <c r="AL436" s="54">
        <v>0</v>
      </c>
      <c r="AM436" s="54" t="str">
        <f>I436-J436-K436-L436-M436-N436-O436-P436-Q436-R436-S436-T436-U436-V436-W436-X436-Y436-Z436-AA436-AB436-AC436-AD436-AE436-AF436-AG436+AH436-AI436+AJ436+AK436-AL436</f>
        <v>0</v>
      </c>
      <c r="AN436" s="54"/>
      <c r="AO436" s="27"/>
    </row>
    <row r="437" spans="1:41">
      <c r="A437" s="44">
        <v>409</v>
      </c>
      <c r="B437" s="47" t="s">
        <v>1753</v>
      </c>
      <c r="C437" s="48" t="s">
        <v>1754</v>
      </c>
      <c r="D437" s="52" t="s">
        <v>73</v>
      </c>
      <c r="E437" s="52" t="s">
        <v>1750</v>
      </c>
      <c r="F437" s="55" t="s">
        <v>1755</v>
      </c>
      <c r="G437" s="51">
        <v>3</v>
      </c>
      <c r="H437" s="52" t="s">
        <v>1756</v>
      </c>
      <c r="I437" s="54">
        <v>334000</v>
      </c>
      <c r="J437" s="54">
        <v>0</v>
      </c>
      <c r="K437" s="54">
        <v>22000</v>
      </c>
      <c r="L437" s="54">
        <v>0</v>
      </c>
      <c r="M437" s="54">
        <v>0</v>
      </c>
      <c r="N437" s="54">
        <v>0</v>
      </c>
      <c r="O437" s="54">
        <v>0</v>
      </c>
      <c r="P437" s="54">
        <v>0</v>
      </c>
      <c r="Q437" s="54">
        <v>0</v>
      </c>
      <c r="R437" s="54">
        <v>0</v>
      </c>
      <c r="S437" s="54">
        <v>0</v>
      </c>
      <c r="T437" s="54">
        <v>0</v>
      </c>
      <c r="U437" s="54">
        <v>1397</v>
      </c>
      <c r="V437" s="54">
        <v>0</v>
      </c>
      <c r="W437" s="54">
        <v>0</v>
      </c>
      <c r="X437" s="54">
        <v>0</v>
      </c>
      <c r="Y437" s="54">
        <v>0</v>
      </c>
      <c r="Z437" s="54">
        <v>0</v>
      </c>
      <c r="AA437" s="54">
        <v>0</v>
      </c>
      <c r="AB437" s="54">
        <v>0</v>
      </c>
      <c r="AC437" s="54">
        <v>0</v>
      </c>
      <c r="AD437" s="54">
        <v>0</v>
      </c>
      <c r="AE437" s="54">
        <v>0</v>
      </c>
      <c r="AF437" s="54">
        <v>0</v>
      </c>
      <c r="AG437" s="54">
        <v>0</v>
      </c>
      <c r="AH437" s="54">
        <v>0</v>
      </c>
      <c r="AI437" s="54">
        <v>0</v>
      </c>
      <c r="AJ437" s="54">
        <v>0</v>
      </c>
      <c r="AK437" s="54">
        <v>0</v>
      </c>
      <c r="AL437" s="54">
        <v>0</v>
      </c>
      <c r="AM437" s="54" t="str">
        <f>I437-J437-K437-L437-M437-N437-O437-P437-Q437-R437-S437-T437-U437-V437-W437-X437-Y437-Z437-AA437-AB437-AC437-AD437-AE437-AF437-AG437+AH437-AI437+AJ437+AK437-AL437</f>
        <v>0</v>
      </c>
      <c r="AN437" s="54"/>
      <c r="AO437" s="27"/>
    </row>
    <row r="438" spans="1:41">
      <c r="A438" s="44">
        <v>410</v>
      </c>
      <c r="B438" s="47" t="s">
        <v>1757</v>
      </c>
      <c r="C438" s="48" t="s">
        <v>1758</v>
      </c>
      <c r="D438" s="52" t="s">
        <v>73</v>
      </c>
      <c r="E438" s="52" t="s">
        <v>1750</v>
      </c>
      <c r="F438" s="55" t="s">
        <v>1759</v>
      </c>
      <c r="G438" s="51">
        <v>6</v>
      </c>
      <c r="H438" s="52" t="s">
        <v>1760</v>
      </c>
      <c r="I438" s="54">
        <v>1707000</v>
      </c>
      <c r="J438" s="54">
        <v>0</v>
      </c>
      <c r="K438" s="54">
        <v>31000</v>
      </c>
      <c r="L438" s="54">
        <v>0</v>
      </c>
      <c r="M438" s="54">
        <v>0</v>
      </c>
      <c r="N438" s="54">
        <v>0</v>
      </c>
      <c r="O438" s="54">
        <v>0</v>
      </c>
      <c r="P438" s="54">
        <v>0</v>
      </c>
      <c r="Q438" s="54">
        <v>0</v>
      </c>
      <c r="R438" s="54">
        <v>0</v>
      </c>
      <c r="S438" s="54">
        <v>0</v>
      </c>
      <c r="T438" s="54">
        <v>0</v>
      </c>
      <c r="U438" s="54">
        <v>3189</v>
      </c>
      <c r="V438" s="54">
        <v>0</v>
      </c>
      <c r="W438" s="54">
        <v>0</v>
      </c>
      <c r="X438" s="54">
        <v>0</v>
      </c>
      <c r="Y438" s="54">
        <v>0</v>
      </c>
      <c r="Z438" s="54">
        <v>0</v>
      </c>
      <c r="AA438" s="54">
        <v>0</v>
      </c>
      <c r="AB438" s="54">
        <v>0</v>
      </c>
      <c r="AC438" s="54">
        <v>0</v>
      </c>
      <c r="AD438" s="54">
        <v>0</v>
      </c>
      <c r="AE438" s="54">
        <v>0</v>
      </c>
      <c r="AF438" s="54">
        <v>0</v>
      </c>
      <c r="AG438" s="54">
        <v>0</v>
      </c>
      <c r="AH438" s="54">
        <v>0</v>
      </c>
      <c r="AI438" s="54">
        <v>0</v>
      </c>
      <c r="AJ438" s="54">
        <v>0</v>
      </c>
      <c r="AK438" s="54">
        <v>0</v>
      </c>
      <c r="AL438" s="54">
        <v>0</v>
      </c>
      <c r="AM438" s="54" t="str">
        <f>I438-J438-K438-L438-M438-N438-O438-P438-Q438-R438-S438-T438-U438-V438-W438-X438-Y438-Z438-AA438-AB438-AC438-AD438-AE438-AF438-AG438+AH438-AI438+AJ438+AK438-AL438</f>
        <v>0</v>
      </c>
      <c r="AN438" s="54"/>
      <c r="AO438" s="27"/>
    </row>
    <row r="439" spans="1:41">
      <c r="A439" s="44">
        <v>411</v>
      </c>
      <c r="B439" s="47" t="s">
        <v>1761</v>
      </c>
      <c r="C439" s="48" t="s">
        <v>1762</v>
      </c>
      <c r="D439" s="52" t="s">
        <v>73</v>
      </c>
      <c r="E439" s="52" t="s">
        <v>1750</v>
      </c>
      <c r="F439" s="55" t="s">
        <v>1763</v>
      </c>
      <c r="G439" s="51">
        <v>9</v>
      </c>
      <c r="H439" s="52" t="s">
        <v>1764</v>
      </c>
      <c r="I439" s="54">
        <v>803000</v>
      </c>
      <c r="J439" s="54">
        <v>0</v>
      </c>
      <c r="K439" s="54">
        <v>40000</v>
      </c>
      <c r="L439" s="54">
        <v>0</v>
      </c>
      <c r="M439" s="54">
        <v>0</v>
      </c>
      <c r="N439" s="54">
        <v>0</v>
      </c>
      <c r="O439" s="54">
        <v>0</v>
      </c>
      <c r="P439" s="54">
        <v>0</v>
      </c>
      <c r="Q439" s="54">
        <v>0</v>
      </c>
      <c r="R439" s="54">
        <v>0</v>
      </c>
      <c r="S439" s="54">
        <v>0</v>
      </c>
      <c r="T439" s="54">
        <v>0</v>
      </c>
      <c r="U439" s="54">
        <v>4116</v>
      </c>
      <c r="V439" s="54">
        <v>0</v>
      </c>
      <c r="W439" s="54">
        <v>0</v>
      </c>
      <c r="X439" s="54">
        <v>0</v>
      </c>
      <c r="Y439" s="54">
        <v>0</v>
      </c>
      <c r="Z439" s="54">
        <v>0</v>
      </c>
      <c r="AA439" s="54">
        <v>0</v>
      </c>
      <c r="AB439" s="54">
        <v>0</v>
      </c>
      <c r="AC439" s="54">
        <v>0</v>
      </c>
      <c r="AD439" s="54">
        <v>0</v>
      </c>
      <c r="AE439" s="54">
        <v>0</v>
      </c>
      <c r="AF439" s="54">
        <v>0</v>
      </c>
      <c r="AG439" s="54">
        <v>0</v>
      </c>
      <c r="AH439" s="54">
        <v>0</v>
      </c>
      <c r="AI439" s="54">
        <v>0</v>
      </c>
      <c r="AJ439" s="54">
        <v>0</v>
      </c>
      <c r="AK439" s="54">
        <v>0</v>
      </c>
      <c r="AL439" s="54">
        <v>0</v>
      </c>
      <c r="AM439" s="54" t="str">
        <f>I439-J439-K439-L439-M439-N439-O439-P439-Q439-R439-S439-T439-U439-V439-W439-X439-Y439-Z439-AA439-AB439-AC439-AD439-AE439-AF439-AG439+AH439-AI439+AJ439+AK439-AL439</f>
        <v>0</v>
      </c>
      <c r="AN439" s="54"/>
      <c r="AO439" s="27"/>
    </row>
    <row r="440" spans="1:41">
      <c r="A440" s="44">
        <v>412</v>
      </c>
      <c r="B440" s="47" t="s">
        <v>1765</v>
      </c>
      <c r="C440" s="48" t="s">
        <v>1766</v>
      </c>
      <c r="D440" s="52" t="s">
        <v>73</v>
      </c>
      <c r="E440" s="52" t="s">
        <v>1767</v>
      </c>
      <c r="F440" s="55" t="s">
        <v>1768</v>
      </c>
      <c r="G440" s="51">
        <v>5</v>
      </c>
      <c r="H440" s="52" t="s">
        <v>1769</v>
      </c>
      <c r="I440" s="54">
        <v>0</v>
      </c>
      <c r="J440" s="54">
        <v>0</v>
      </c>
      <c r="K440" s="54">
        <v>27000</v>
      </c>
      <c r="L440" s="54">
        <v>0</v>
      </c>
      <c r="M440" s="54">
        <v>0</v>
      </c>
      <c r="N440" s="54">
        <v>0</v>
      </c>
      <c r="O440" s="54">
        <v>0</v>
      </c>
      <c r="P440" s="54">
        <v>0</v>
      </c>
      <c r="Q440" s="54">
        <v>0</v>
      </c>
      <c r="R440" s="54">
        <v>0</v>
      </c>
      <c r="S440" s="54">
        <v>0</v>
      </c>
      <c r="T440" s="54">
        <v>0</v>
      </c>
      <c r="U440" s="54">
        <v>2778</v>
      </c>
      <c r="V440" s="54">
        <v>0</v>
      </c>
      <c r="W440" s="54">
        <v>0</v>
      </c>
      <c r="X440" s="54">
        <v>0</v>
      </c>
      <c r="Y440" s="54">
        <v>13500</v>
      </c>
      <c r="Z440" s="54">
        <v>0</v>
      </c>
      <c r="AA440" s="54">
        <v>0</v>
      </c>
      <c r="AB440" s="54">
        <v>0</v>
      </c>
      <c r="AC440" s="54">
        <v>0</v>
      </c>
      <c r="AD440" s="54">
        <v>0</v>
      </c>
      <c r="AE440" s="54">
        <v>0</v>
      </c>
      <c r="AF440" s="54">
        <v>0</v>
      </c>
      <c r="AG440" s="54">
        <v>0</v>
      </c>
      <c r="AH440" s="54">
        <v>0</v>
      </c>
      <c r="AI440" s="54">
        <v>0</v>
      </c>
      <c r="AJ440" s="54">
        <v>0</v>
      </c>
      <c r="AK440" s="54">
        <v>0</v>
      </c>
      <c r="AL440" s="54">
        <v>0</v>
      </c>
      <c r="AM440" s="54" t="str">
        <f>I440-J440-K440-L440-M440-N440-O440-P440-Q440-R440-S440-T440-U440-V440-W440-X440-Y440-Z440-AA440-AB440-AC440-AD440-AE440-AF440-AG440+AH440-AI440+AJ440+AK440-AL440</f>
        <v>0</v>
      </c>
      <c r="AN440" s="54"/>
      <c r="AO440" s="27"/>
    </row>
    <row r="441" spans="1:41">
      <c r="A441" s="44">
        <v>413</v>
      </c>
      <c r="B441" s="47" t="s">
        <v>1770</v>
      </c>
      <c r="C441" s="48" t="s">
        <v>1771</v>
      </c>
      <c r="D441" s="52" t="s">
        <v>62</v>
      </c>
      <c r="E441" s="52" t="s">
        <v>1767</v>
      </c>
      <c r="F441" s="55" t="s">
        <v>1772</v>
      </c>
      <c r="G441" s="51">
        <v>3</v>
      </c>
      <c r="H441" s="52" t="s">
        <v>1773</v>
      </c>
      <c r="I441" s="54">
        <v>0</v>
      </c>
      <c r="J441" s="54">
        <v>0</v>
      </c>
      <c r="K441" s="54">
        <v>22000</v>
      </c>
      <c r="L441" s="54">
        <v>0</v>
      </c>
      <c r="M441" s="54">
        <v>0</v>
      </c>
      <c r="N441" s="54">
        <v>0</v>
      </c>
      <c r="O441" s="54">
        <v>0</v>
      </c>
      <c r="P441" s="54">
        <v>0</v>
      </c>
      <c r="Q441" s="54">
        <v>0</v>
      </c>
      <c r="R441" s="54">
        <v>0</v>
      </c>
      <c r="S441" s="54">
        <v>0</v>
      </c>
      <c r="T441" s="54">
        <v>0</v>
      </c>
      <c r="U441" s="54">
        <v>2263</v>
      </c>
      <c r="V441" s="54">
        <v>0</v>
      </c>
      <c r="W441" s="54">
        <v>0</v>
      </c>
      <c r="X441" s="54">
        <v>0</v>
      </c>
      <c r="Y441" s="54">
        <v>11000</v>
      </c>
      <c r="Z441" s="54">
        <v>0</v>
      </c>
      <c r="AA441" s="54">
        <v>0</v>
      </c>
      <c r="AB441" s="54">
        <v>0</v>
      </c>
      <c r="AC441" s="54">
        <v>0</v>
      </c>
      <c r="AD441" s="54">
        <v>0</v>
      </c>
      <c r="AE441" s="54">
        <v>0</v>
      </c>
      <c r="AF441" s="54">
        <v>0</v>
      </c>
      <c r="AG441" s="54">
        <v>0</v>
      </c>
      <c r="AH441" s="54">
        <v>0</v>
      </c>
      <c r="AI441" s="54">
        <v>0</v>
      </c>
      <c r="AJ441" s="54">
        <v>0</v>
      </c>
      <c r="AK441" s="54">
        <v>0</v>
      </c>
      <c r="AL441" s="54">
        <v>0</v>
      </c>
      <c r="AM441" s="54" t="str">
        <f>I441-J441-K441-L441-M441-N441-O441-P441-Q441-R441-S441-T441-U441-V441-W441-X441-Y441-Z441-AA441-AB441-AC441-AD441-AE441-AF441-AG441+AH441-AI441+AJ441+AK441-AL441</f>
        <v>0</v>
      </c>
      <c r="AN441" s="54"/>
      <c r="AO441" s="27"/>
    </row>
    <row r="442" spans="1:41">
      <c r="A442" s="44">
        <v>414</v>
      </c>
      <c r="B442" s="47" t="s">
        <v>1774</v>
      </c>
      <c r="C442" s="48" t="s">
        <v>1775</v>
      </c>
      <c r="D442" s="52" t="s">
        <v>73</v>
      </c>
      <c r="E442" s="52" t="s">
        <v>1767</v>
      </c>
      <c r="F442" s="55" t="s">
        <v>1776</v>
      </c>
      <c r="G442" s="51">
        <v>2</v>
      </c>
      <c r="H442" s="52" t="s">
        <v>1777</v>
      </c>
      <c r="I442" s="54">
        <v>0</v>
      </c>
      <c r="J442" s="54">
        <v>0</v>
      </c>
      <c r="K442" s="54">
        <v>22000</v>
      </c>
      <c r="L442" s="54">
        <v>0</v>
      </c>
      <c r="M442" s="54">
        <v>0</v>
      </c>
      <c r="N442" s="54">
        <v>0</v>
      </c>
      <c r="O442" s="54">
        <v>0</v>
      </c>
      <c r="P442" s="54">
        <v>0</v>
      </c>
      <c r="Q442" s="54">
        <v>0</v>
      </c>
      <c r="R442" s="54">
        <v>0</v>
      </c>
      <c r="S442" s="54">
        <v>0</v>
      </c>
      <c r="T442" s="54">
        <v>0</v>
      </c>
      <c r="U442" s="54">
        <v>2263</v>
      </c>
      <c r="V442" s="54">
        <v>0</v>
      </c>
      <c r="W442" s="54">
        <v>0</v>
      </c>
      <c r="X442" s="54">
        <v>0</v>
      </c>
      <c r="Y442" s="54">
        <v>0</v>
      </c>
      <c r="Z442" s="54">
        <v>0</v>
      </c>
      <c r="AA442" s="54">
        <v>0</v>
      </c>
      <c r="AB442" s="54">
        <v>0</v>
      </c>
      <c r="AC442" s="54">
        <v>0</v>
      </c>
      <c r="AD442" s="54">
        <v>0</v>
      </c>
      <c r="AE442" s="54">
        <v>0</v>
      </c>
      <c r="AF442" s="54">
        <v>0</v>
      </c>
      <c r="AG442" s="54">
        <v>0</v>
      </c>
      <c r="AH442" s="54">
        <v>0</v>
      </c>
      <c r="AI442" s="54">
        <v>0</v>
      </c>
      <c r="AJ442" s="54">
        <v>0</v>
      </c>
      <c r="AK442" s="54">
        <v>0</v>
      </c>
      <c r="AL442" s="54">
        <v>0</v>
      </c>
      <c r="AM442" s="54" t="str">
        <f>I442-J442-K442-L442-M442-N442-O442-P442-Q442-R442-S442-T442-U442-V442-W442-X442-Y442-Z442-AA442-AB442-AC442-AD442-AE442-AF442-AG442+AH442-AI442+AJ442+AK442-AL442</f>
        <v>0</v>
      </c>
      <c r="AN442" s="54"/>
      <c r="AO442" s="27"/>
    </row>
    <row r="443" spans="1:41">
      <c r="A443" s="44">
        <v>415</v>
      </c>
      <c r="B443" s="47" t="s">
        <v>1778</v>
      </c>
      <c r="C443" s="48" t="s">
        <v>1779</v>
      </c>
      <c r="D443" s="52" t="s">
        <v>73</v>
      </c>
      <c r="E443" s="52" t="s">
        <v>1780</v>
      </c>
      <c r="F443" s="55" t="s">
        <v>1781</v>
      </c>
      <c r="G443" s="51">
        <v>3</v>
      </c>
      <c r="H443" s="52" t="s">
        <v>1782</v>
      </c>
      <c r="I443" s="54">
        <v>0</v>
      </c>
      <c r="J443" s="54">
        <v>0</v>
      </c>
      <c r="K443" s="54">
        <v>22000</v>
      </c>
      <c r="L443" s="54">
        <v>0</v>
      </c>
      <c r="M443" s="54">
        <v>0</v>
      </c>
      <c r="N443" s="54">
        <v>0</v>
      </c>
      <c r="O443" s="54">
        <v>0</v>
      </c>
      <c r="P443" s="54">
        <v>0</v>
      </c>
      <c r="Q443" s="54">
        <v>0</v>
      </c>
      <c r="R443" s="54">
        <v>0</v>
      </c>
      <c r="S443" s="54">
        <v>0</v>
      </c>
      <c r="T443" s="54">
        <v>0</v>
      </c>
      <c r="U443" s="54">
        <v>2263</v>
      </c>
      <c r="V443" s="54">
        <v>0</v>
      </c>
      <c r="W443" s="54">
        <v>0</v>
      </c>
      <c r="X443" s="54">
        <v>0</v>
      </c>
      <c r="Y443" s="54">
        <v>11000</v>
      </c>
      <c r="Z443" s="54">
        <v>0</v>
      </c>
      <c r="AA443" s="54">
        <v>0</v>
      </c>
      <c r="AB443" s="54">
        <v>0</v>
      </c>
      <c r="AC443" s="54">
        <v>0</v>
      </c>
      <c r="AD443" s="54">
        <v>0</v>
      </c>
      <c r="AE443" s="54">
        <v>0</v>
      </c>
      <c r="AF443" s="54">
        <v>0</v>
      </c>
      <c r="AG443" s="54">
        <v>0</v>
      </c>
      <c r="AH443" s="54">
        <v>0</v>
      </c>
      <c r="AI443" s="54">
        <v>0</v>
      </c>
      <c r="AJ443" s="54">
        <v>0</v>
      </c>
      <c r="AK443" s="54">
        <v>0</v>
      </c>
      <c r="AL443" s="54">
        <v>0</v>
      </c>
      <c r="AM443" s="54" t="str">
        <f>I443-J443-K443-L443-M443-N443-O443-P443-Q443-R443-S443-T443-U443-V443-W443-X443-Y443-Z443-AA443-AB443-AC443-AD443-AE443-AF443-AG443+AH443-AI443+AJ443+AK443-AL443</f>
        <v>0</v>
      </c>
      <c r="AN443" s="54"/>
      <c r="AO443" s="27"/>
    </row>
    <row r="444" spans="1:41">
      <c r="A444" s="44">
        <v>416</v>
      </c>
      <c r="B444" s="47" t="s">
        <v>1783</v>
      </c>
      <c r="C444" s="48" t="s">
        <v>1784</v>
      </c>
      <c r="D444" s="52" t="s">
        <v>73</v>
      </c>
      <c r="E444" s="52" t="s">
        <v>1780</v>
      </c>
      <c r="F444" s="55" t="s">
        <v>1785</v>
      </c>
      <c r="G444" s="51">
        <v>3</v>
      </c>
      <c r="H444" s="52" t="s">
        <v>1786</v>
      </c>
      <c r="I444" s="54">
        <v>0</v>
      </c>
      <c r="J444" s="54">
        <v>0</v>
      </c>
      <c r="K444" s="54">
        <v>22000</v>
      </c>
      <c r="L444" s="54">
        <v>0</v>
      </c>
      <c r="M444" s="54">
        <v>0</v>
      </c>
      <c r="N444" s="54">
        <v>0</v>
      </c>
      <c r="O444" s="54">
        <v>0</v>
      </c>
      <c r="P444" s="54">
        <v>0</v>
      </c>
      <c r="Q444" s="54">
        <v>0</v>
      </c>
      <c r="R444" s="54">
        <v>0</v>
      </c>
      <c r="S444" s="54">
        <v>0</v>
      </c>
      <c r="T444" s="54">
        <v>0</v>
      </c>
      <c r="U444" s="54">
        <v>2263</v>
      </c>
      <c r="V444" s="54">
        <v>0</v>
      </c>
      <c r="W444" s="54">
        <v>0</v>
      </c>
      <c r="X444" s="54">
        <v>0</v>
      </c>
      <c r="Y444" s="54">
        <v>0</v>
      </c>
      <c r="Z444" s="54">
        <v>0</v>
      </c>
      <c r="AA444" s="54">
        <v>0</v>
      </c>
      <c r="AB444" s="54">
        <v>0</v>
      </c>
      <c r="AC444" s="54">
        <v>0</v>
      </c>
      <c r="AD444" s="54">
        <v>0</v>
      </c>
      <c r="AE444" s="54">
        <v>0</v>
      </c>
      <c r="AF444" s="54">
        <v>0</v>
      </c>
      <c r="AG444" s="54">
        <v>0</v>
      </c>
      <c r="AH444" s="54">
        <v>0</v>
      </c>
      <c r="AI444" s="54">
        <v>0</v>
      </c>
      <c r="AJ444" s="54">
        <v>0</v>
      </c>
      <c r="AK444" s="54">
        <v>0</v>
      </c>
      <c r="AL444" s="54">
        <v>0</v>
      </c>
      <c r="AM444" s="54" t="str">
        <f>I444-J444-K444-L444-M444-N444-O444-P444-Q444-R444-S444-T444-U444-V444-W444-X444-Y444-Z444-AA444-AB444-AC444-AD444-AE444-AF444-AG444+AH444-AI444+AJ444+AK444-AL444</f>
        <v>0</v>
      </c>
      <c r="AN444" s="54"/>
      <c r="AO444" s="27"/>
    </row>
    <row r="445" spans="1:41">
      <c r="A445" s="44">
        <v>417</v>
      </c>
      <c r="B445" s="47" t="s">
        <v>1787</v>
      </c>
      <c r="C445" s="48" t="s">
        <v>1788</v>
      </c>
      <c r="D445" s="52" t="s">
        <v>73</v>
      </c>
      <c r="E445" s="52" t="s">
        <v>1780</v>
      </c>
      <c r="F445" s="55" t="s">
        <v>1789</v>
      </c>
      <c r="G445" s="51">
        <v>3</v>
      </c>
      <c r="H445" s="52" t="s">
        <v>1790</v>
      </c>
      <c r="I445" s="54">
        <v>0</v>
      </c>
      <c r="J445" s="54">
        <v>0</v>
      </c>
      <c r="K445" s="54">
        <v>22000</v>
      </c>
      <c r="L445" s="54">
        <v>0</v>
      </c>
      <c r="M445" s="54">
        <v>0</v>
      </c>
      <c r="N445" s="54">
        <v>0</v>
      </c>
      <c r="O445" s="54">
        <v>0</v>
      </c>
      <c r="P445" s="54">
        <v>0</v>
      </c>
      <c r="Q445" s="54">
        <v>0</v>
      </c>
      <c r="R445" s="54">
        <v>0</v>
      </c>
      <c r="S445" s="54">
        <v>0</v>
      </c>
      <c r="T445" s="54">
        <v>0</v>
      </c>
      <c r="U445" s="54">
        <v>2263</v>
      </c>
      <c r="V445" s="54">
        <v>0</v>
      </c>
      <c r="W445" s="54">
        <v>0</v>
      </c>
      <c r="X445" s="54">
        <v>0</v>
      </c>
      <c r="Y445" s="54">
        <v>11000</v>
      </c>
      <c r="Z445" s="54">
        <v>0</v>
      </c>
      <c r="AA445" s="54">
        <v>0</v>
      </c>
      <c r="AB445" s="54">
        <v>0</v>
      </c>
      <c r="AC445" s="54">
        <v>0</v>
      </c>
      <c r="AD445" s="54">
        <v>0</v>
      </c>
      <c r="AE445" s="54">
        <v>0</v>
      </c>
      <c r="AF445" s="54">
        <v>0</v>
      </c>
      <c r="AG445" s="54">
        <v>0</v>
      </c>
      <c r="AH445" s="54">
        <v>0</v>
      </c>
      <c r="AI445" s="54">
        <v>0</v>
      </c>
      <c r="AJ445" s="54">
        <v>0</v>
      </c>
      <c r="AK445" s="54">
        <v>0</v>
      </c>
      <c r="AL445" s="54">
        <v>0</v>
      </c>
      <c r="AM445" s="54" t="str">
        <f>I445-J445-K445-L445-M445-N445-O445-P445-Q445-R445-S445-T445-U445-V445-W445-X445-Y445-Z445-AA445-AB445-AC445-AD445-AE445-AF445-AG445+AH445-AI445+AJ445+AK445-AL445</f>
        <v>0</v>
      </c>
      <c r="AN445" s="54"/>
      <c r="AO445" s="27"/>
    </row>
    <row r="446" spans="1:41">
      <c r="A446" s="44">
        <v>418</v>
      </c>
      <c r="B446" s="47" t="s">
        <v>1791</v>
      </c>
      <c r="C446" s="48" t="s">
        <v>1792</v>
      </c>
      <c r="D446" s="52" t="s">
        <v>73</v>
      </c>
      <c r="E446" s="52" t="s">
        <v>1780</v>
      </c>
      <c r="F446" s="55" t="s">
        <v>1793</v>
      </c>
      <c r="G446" s="51">
        <v>3</v>
      </c>
      <c r="H446" s="52" t="s">
        <v>1794</v>
      </c>
      <c r="I446" s="54">
        <v>0</v>
      </c>
      <c r="J446" s="54">
        <v>0</v>
      </c>
      <c r="K446" s="54">
        <v>22000</v>
      </c>
      <c r="L446" s="54">
        <v>0</v>
      </c>
      <c r="M446" s="54">
        <v>0</v>
      </c>
      <c r="N446" s="54">
        <v>0</v>
      </c>
      <c r="O446" s="54">
        <v>0</v>
      </c>
      <c r="P446" s="54">
        <v>0</v>
      </c>
      <c r="Q446" s="54">
        <v>0</v>
      </c>
      <c r="R446" s="54">
        <v>0</v>
      </c>
      <c r="S446" s="54">
        <v>0</v>
      </c>
      <c r="T446" s="54">
        <v>0</v>
      </c>
      <c r="U446" s="54">
        <v>2263</v>
      </c>
      <c r="V446" s="54">
        <v>0</v>
      </c>
      <c r="W446" s="54">
        <v>0</v>
      </c>
      <c r="X446" s="54">
        <v>0</v>
      </c>
      <c r="Y446" s="54">
        <v>0</v>
      </c>
      <c r="Z446" s="54">
        <v>0</v>
      </c>
      <c r="AA446" s="54">
        <v>0</v>
      </c>
      <c r="AB446" s="54">
        <v>0</v>
      </c>
      <c r="AC446" s="54">
        <v>0</v>
      </c>
      <c r="AD446" s="54">
        <v>0</v>
      </c>
      <c r="AE446" s="54">
        <v>0</v>
      </c>
      <c r="AF446" s="54">
        <v>0</v>
      </c>
      <c r="AG446" s="54">
        <v>0</v>
      </c>
      <c r="AH446" s="54">
        <v>0</v>
      </c>
      <c r="AI446" s="54">
        <v>0</v>
      </c>
      <c r="AJ446" s="54">
        <v>0</v>
      </c>
      <c r="AK446" s="54">
        <v>0</v>
      </c>
      <c r="AL446" s="54">
        <v>0</v>
      </c>
      <c r="AM446" s="54" t="str">
        <f>I446-J446-K446-L446-M446-N446-O446-P446-Q446-R446-S446-T446-U446-V446-W446-X446-Y446-Z446-AA446-AB446-AC446-AD446-AE446-AF446-AG446+AH446-AI446+AJ446+AK446-AL446</f>
        <v>0</v>
      </c>
      <c r="AN446" s="54"/>
      <c r="AO446" s="27"/>
    </row>
    <row r="447" spans="1:41">
      <c r="A447" s="44">
        <v>419</v>
      </c>
      <c r="B447" s="47" t="s">
        <v>1795</v>
      </c>
      <c r="C447" s="48" t="s">
        <v>1796</v>
      </c>
      <c r="D447" s="52" t="s">
        <v>73</v>
      </c>
      <c r="E447" s="52" t="s">
        <v>1780</v>
      </c>
      <c r="F447" s="55" t="s">
        <v>998</v>
      </c>
      <c r="G447" s="51">
        <v>3</v>
      </c>
      <c r="H447" s="52" t="s">
        <v>1797</v>
      </c>
      <c r="I447" s="54">
        <v>0</v>
      </c>
      <c r="J447" s="54">
        <v>0</v>
      </c>
      <c r="K447" s="54">
        <v>22000</v>
      </c>
      <c r="L447" s="54">
        <v>0</v>
      </c>
      <c r="M447" s="54">
        <v>0</v>
      </c>
      <c r="N447" s="54">
        <v>0</v>
      </c>
      <c r="O447" s="54">
        <v>0</v>
      </c>
      <c r="P447" s="54">
        <v>0</v>
      </c>
      <c r="Q447" s="54">
        <v>0</v>
      </c>
      <c r="R447" s="54">
        <v>0</v>
      </c>
      <c r="S447" s="54">
        <v>0</v>
      </c>
      <c r="T447" s="54">
        <v>0</v>
      </c>
      <c r="U447" s="54">
        <v>2263</v>
      </c>
      <c r="V447" s="54">
        <v>0</v>
      </c>
      <c r="W447" s="54">
        <v>0</v>
      </c>
      <c r="X447" s="54">
        <v>0</v>
      </c>
      <c r="Y447" s="54">
        <v>5000</v>
      </c>
      <c r="Z447" s="54">
        <v>0</v>
      </c>
      <c r="AA447" s="54">
        <v>0</v>
      </c>
      <c r="AB447" s="54">
        <v>0</v>
      </c>
      <c r="AC447" s="54">
        <v>0</v>
      </c>
      <c r="AD447" s="54">
        <v>0</v>
      </c>
      <c r="AE447" s="54">
        <v>0</v>
      </c>
      <c r="AF447" s="54">
        <v>0</v>
      </c>
      <c r="AG447" s="54">
        <v>0</v>
      </c>
      <c r="AH447" s="54">
        <v>0</v>
      </c>
      <c r="AI447" s="54">
        <v>0</v>
      </c>
      <c r="AJ447" s="54">
        <v>0</v>
      </c>
      <c r="AK447" s="54">
        <v>0</v>
      </c>
      <c r="AL447" s="54">
        <v>0</v>
      </c>
      <c r="AM447" s="54" t="str">
        <f>I447-J447-K447-L447-M447-N447-O447-P447-Q447-R447-S447-T447-U447-V447-W447-X447-Y447-Z447-AA447-AB447-AC447-AD447-AE447-AF447-AG447+AH447-AI447+AJ447+AK447-AL447</f>
        <v>0</v>
      </c>
      <c r="AN447" s="54"/>
      <c r="AO447" s="27"/>
    </row>
    <row r="448" spans="1:41">
      <c r="A448" s="44">
        <v>420</v>
      </c>
      <c r="B448" s="47" t="s">
        <v>1798</v>
      </c>
      <c r="C448" s="48" t="s">
        <v>1799</v>
      </c>
      <c r="D448" s="52" t="s">
        <v>62</v>
      </c>
      <c r="E448" s="52" t="s">
        <v>1800</v>
      </c>
      <c r="F448" s="55" t="s">
        <v>1801</v>
      </c>
      <c r="G448" s="51">
        <v>3</v>
      </c>
      <c r="H448" s="52" t="s">
        <v>1802</v>
      </c>
      <c r="I448" s="54">
        <v>0</v>
      </c>
      <c r="J448" s="54">
        <v>0</v>
      </c>
      <c r="K448" s="54">
        <v>22000</v>
      </c>
      <c r="L448" s="54">
        <v>0</v>
      </c>
      <c r="M448" s="54">
        <v>0</v>
      </c>
      <c r="N448" s="54">
        <v>0</v>
      </c>
      <c r="O448" s="54">
        <v>0</v>
      </c>
      <c r="P448" s="54">
        <v>0</v>
      </c>
      <c r="Q448" s="54">
        <v>0</v>
      </c>
      <c r="R448" s="54">
        <v>0</v>
      </c>
      <c r="S448" s="54">
        <v>0</v>
      </c>
      <c r="T448" s="54">
        <v>0</v>
      </c>
      <c r="U448" s="54">
        <v>2263</v>
      </c>
      <c r="V448" s="54">
        <v>0</v>
      </c>
      <c r="W448" s="54">
        <v>0</v>
      </c>
      <c r="X448" s="54">
        <v>0</v>
      </c>
      <c r="Y448" s="54">
        <v>5000</v>
      </c>
      <c r="Z448" s="54">
        <v>0</v>
      </c>
      <c r="AA448" s="54">
        <v>0</v>
      </c>
      <c r="AB448" s="54">
        <v>0</v>
      </c>
      <c r="AC448" s="54">
        <v>0</v>
      </c>
      <c r="AD448" s="54">
        <v>0</v>
      </c>
      <c r="AE448" s="54">
        <v>0</v>
      </c>
      <c r="AF448" s="54">
        <v>0</v>
      </c>
      <c r="AG448" s="54">
        <v>0</v>
      </c>
      <c r="AH448" s="54">
        <v>0</v>
      </c>
      <c r="AI448" s="54">
        <v>0</v>
      </c>
      <c r="AJ448" s="54">
        <v>0</v>
      </c>
      <c r="AK448" s="54">
        <v>0</v>
      </c>
      <c r="AL448" s="54">
        <v>0</v>
      </c>
      <c r="AM448" s="54" t="str">
        <f>I448-J448-K448-L448-M448-N448-O448-P448-Q448-R448-S448-T448-U448-V448-W448-X448-Y448-Z448-AA448-AB448-AC448-AD448-AE448-AF448-AG448+AH448-AI448+AJ448+AK448-AL448</f>
        <v>0</v>
      </c>
      <c r="AN448" s="54"/>
      <c r="AO448" s="27"/>
    </row>
    <row r="449" spans="1:41">
      <c r="A449" s="44">
        <v>421</v>
      </c>
      <c r="B449" s="47" t="s">
        <v>1803</v>
      </c>
      <c r="C449" s="48" t="s">
        <v>1804</v>
      </c>
      <c r="D449" s="52" t="s">
        <v>62</v>
      </c>
      <c r="E449" s="52" t="s">
        <v>1800</v>
      </c>
      <c r="F449" s="55" t="s">
        <v>1805</v>
      </c>
      <c r="G449" s="51">
        <v>4</v>
      </c>
      <c r="H449" s="52" t="s">
        <v>1806</v>
      </c>
      <c r="I449" s="54">
        <v>0</v>
      </c>
      <c r="J449" s="54">
        <v>0</v>
      </c>
      <c r="K449" s="54">
        <v>25000</v>
      </c>
      <c r="L449" s="54">
        <v>0</v>
      </c>
      <c r="M449" s="54">
        <v>0</v>
      </c>
      <c r="N449" s="54">
        <v>0</v>
      </c>
      <c r="O449" s="54">
        <v>0</v>
      </c>
      <c r="P449" s="54">
        <v>0</v>
      </c>
      <c r="Q449" s="54">
        <v>0</v>
      </c>
      <c r="R449" s="54">
        <v>0</v>
      </c>
      <c r="S449" s="54">
        <v>0</v>
      </c>
      <c r="T449" s="54">
        <v>0</v>
      </c>
      <c r="U449" s="54">
        <v>2572</v>
      </c>
      <c r="V449" s="54">
        <v>0</v>
      </c>
      <c r="W449" s="54">
        <v>0</v>
      </c>
      <c r="X449" s="54">
        <v>0</v>
      </c>
      <c r="Y449" s="54">
        <v>5000</v>
      </c>
      <c r="Z449" s="54">
        <v>0</v>
      </c>
      <c r="AA449" s="54">
        <v>0</v>
      </c>
      <c r="AB449" s="54">
        <v>0</v>
      </c>
      <c r="AC449" s="54">
        <v>0</v>
      </c>
      <c r="AD449" s="54">
        <v>0</v>
      </c>
      <c r="AE449" s="54">
        <v>0</v>
      </c>
      <c r="AF449" s="54">
        <v>0</v>
      </c>
      <c r="AG449" s="54">
        <v>0</v>
      </c>
      <c r="AH449" s="54">
        <v>0</v>
      </c>
      <c r="AI449" s="54">
        <v>0</v>
      </c>
      <c r="AJ449" s="54">
        <v>0</v>
      </c>
      <c r="AK449" s="54">
        <v>0</v>
      </c>
      <c r="AL449" s="54">
        <v>0</v>
      </c>
      <c r="AM449" s="54" t="str">
        <f>I449-J449-K449-L449-M449-N449-O449-P449-Q449-R449-S449-T449-U449-V449-W449-X449-Y449-Z449-AA449-AB449-AC449-AD449-AE449-AF449-AG449+AH449-AI449+AJ449+AK449-AL449</f>
        <v>0</v>
      </c>
      <c r="AN449" s="54"/>
      <c r="AO449" s="27"/>
    </row>
    <row r="450" spans="1:41">
      <c r="A450" s="44">
        <v>422</v>
      </c>
      <c r="B450" s="47" t="s">
        <v>1807</v>
      </c>
      <c r="C450" s="48" t="s">
        <v>1808</v>
      </c>
      <c r="D450" s="52" t="s">
        <v>62</v>
      </c>
      <c r="E450" s="52" t="s">
        <v>1800</v>
      </c>
      <c r="F450" s="55" t="s">
        <v>1809</v>
      </c>
      <c r="G450" s="51">
        <v>4</v>
      </c>
      <c r="H450" s="52" t="s">
        <v>1810</v>
      </c>
      <c r="I450" s="54">
        <v>0</v>
      </c>
      <c r="J450" s="54">
        <v>0</v>
      </c>
      <c r="K450" s="54">
        <v>25000</v>
      </c>
      <c r="L450" s="54">
        <v>0</v>
      </c>
      <c r="M450" s="54">
        <v>0</v>
      </c>
      <c r="N450" s="54">
        <v>0</v>
      </c>
      <c r="O450" s="54">
        <v>0</v>
      </c>
      <c r="P450" s="54">
        <v>0</v>
      </c>
      <c r="Q450" s="54">
        <v>0</v>
      </c>
      <c r="R450" s="54">
        <v>0</v>
      </c>
      <c r="S450" s="54">
        <v>0</v>
      </c>
      <c r="T450" s="54">
        <v>0</v>
      </c>
      <c r="U450" s="54">
        <v>2572</v>
      </c>
      <c r="V450" s="54">
        <v>0</v>
      </c>
      <c r="W450" s="54">
        <v>0</v>
      </c>
      <c r="X450" s="54">
        <v>0</v>
      </c>
      <c r="Y450" s="54">
        <v>5000</v>
      </c>
      <c r="Z450" s="54">
        <v>0</v>
      </c>
      <c r="AA450" s="54">
        <v>0</v>
      </c>
      <c r="AB450" s="54">
        <v>0</v>
      </c>
      <c r="AC450" s="54">
        <v>0</v>
      </c>
      <c r="AD450" s="54">
        <v>0</v>
      </c>
      <c r="AE450" s="54">
        <v>0</v>
      </c>
      <c r="AF450" s="54">
        <v>0</v>
      </c>
      <c r="AG450" s="54">
        <v>0</v>
      </c>
      <c r="AH450" s="54">
        <v>0</v>
      </c>
      <c r="AI450" s="54">
        <v>0</v>
      </c>
      <c r="AJ450" s="54">
        <v>0</v>
      </c>
      <c r="AK450" s="54">
        <v>0</v>
      </c>
      <c r="AL450" s="54">
        <v>0</v>
      </c>
      <c r="AM450" s="54" t="str">
        <f>I450-J450-K450-L450-M450-N450-O450-P450-Q450-R450-S450-T450-U450-V450-W450-X450-Y450-Z450-AA450-AB450-AC450-AD450-AE450-AF450-AG450+AH450-AI450+AJ450+AK450-AL450</f>
        <v>0</v>
      </c>
      <c r="AN450" s="54"/>
      <c r="AO450" s="27"/>
    </row>
    <row r="451" spans="1:41">
      <c r="A451" s="44">
        <v>423</v>
      </c>
      <c r="B451" s="47" t="s">
        <v>1811</v>
      </c>
      <c r="C451" s="48" t="s">
        <v>1812</v>
      </c>
      <c r="D451" s="52" t="s">
        <v>62</v>
      </c>
      <c r="E451" s="52" t="s">
        <v>1800</v>
      </c>
      <c r="F451" s="55" t="s">
        <v>1813</v>
      </c>
      <c r="G451" s="51">
        <v>2</v>
      </c>
      <c r="H451" s="52" t="s">
        <v>1814</v>
      </c>
      <c r="I451" s="54">
        <v>0</v>
      </c>
      <c r="J451" s="54">
        <v>0</v>
      </c>
      <c r="K451" s="54">
        <v>22000</v>
      </c>
      <c r="L451" s="54">
        <v>0</v>
      </c>
      <c r="M451" s="54">
        <v>0</v>
      </c>
      <c r="N451" s="54">
        <v>0</v>
      </c>
      <c r="O451" s="54">
        <v>0</v>
      </c>
      <c r="P451" s="54">
        <v>0</v>
      </c>
      <c r="Q451" s="54">
        <v>0</v>
      </c>
      <c r="R451" s="54">
        <v>0</v>
      </c>
      <c r="S451" s="54">
        <v>0</v>
      </c>
      <c r="T451" s="54">
        <v>0</v>
      </c>
      <c r="U451" s="54">
        <v>2263</v>
      </c>
      <c r="V451" s="54">
        <v>0</v>
      </c>
      <c r="W451" s="54">
        <v>0</v>
      </c>
      <c r="X451" s="54">
        <v>0</v>
      </c>
      <c r="Y451" s="54">
        <v>5000</v>
      </c>
      <c r="Z451" s="54">
        <v>0</v>
      </c>
      <c r="AA451" s="54">
        <v>0</v>
      </c>
      <c r="AB451" s="54">
        <v>0</v>
      </c>
      <c r="AC451" s="54">
        <v>0</v>
      </c>
      <c r="AD451" s="54">
        <v>0</v>
      </c>
      <c r="AE451" s="54">
        <v>0</v>
      </c>
      <c r="AF451" s="54">
        <v>0</v>
      </c>
      <c r="AG451" s="54">
        <v>0</v>
      </c>
      <c r="AH451" s="54">
        <v>0</v>
      </c>
      <c r="AI451" s="54">
        <v>0</v>
      </c>
      <c r="AJ451" s="54">
        <v>0</v>
      </c>
      <c r="AK451" s="54">
        <v>0</v>
      </c>
      <c r="AL451" s="54">
        <v>0</v>
      </c>
      <c r="AM451" s="54" t="str">
        <f>I451-J451-K451-L451-M451-N451-O451-P451-Q451-R451-S451-T451-U451-V451-W451-X451-Y451-Z451-AA451-AB451-AC451-AD451-AE451-AF451-AG451+AH451-AI451+AJ451+AK451-AL451</f>
        <v>0</v>
      </c>
      <c r="AN451" s="54"/>
      <c r="AO451" s="27"/>
    </row>
    <row r="452" spans="1:41">
      <c r="A452" s="44">
        <v>424</v>
      </c>
      <c r="B452" s="47" t="s">
        <v>1815</v>
      </c>
      <c r="C452" s="48" t="s">
        <v>1816</v>
      </c>
      <c r="D452" s="52" t="s">
        <v>73</v>
      </c>
      <c r="E452" s="52" t="s">
        <v>1800</v>
      </c>
      <c r="F452" s="55" t="s">
        <v>1817</v>
      </c>
      <c r="G452" s="51">
        <v>5</v>
      </c>
      <c r="H452" s="52" t="s">
        <v>1818</v>
      </c>
      <c r="I452" s="54">
        <v>565000</v>
      </c>
      <c r="J452" s="54">
        <v>0</v>
      </c>
      <c r="K452" s="54">
        <v>27000</v>
      </c>
      <c r="L452" s="54">
        <v>0</v>
      </c>
      <c r="M452" s="54">
        <v>0</v>
      </c>
      <c r="N452" s="54">
        <v>0</v>
      </c>
      <c r="O452" s="54">
        <v>0</v>
      </c>
      <c r="P452" s="54">
        <v>0</v>
      </c>
      <c r="Q452" s="54">
        <v>0</v>
      </c>
      <c r="R452" s="54">
        <v>0</v>
      </c>
      <c r="S452" s="54">
        <v>0</v>
      </c>
      <c r="T452" s="54">
        <v>0</v>
      </c>
      <c r="U452" s="54">
        <v>2778</v>
      </c>
      <c r="V452" s="54">
        <v>0</v>
      </c>
      <c r="W452" s="54">
        <v>0</v>
      </c>
      <c r="X452" s="54">
        <v>0</v>
      </c>
      <c r="Y452" s="54">
        <v>0</v>
      </c>
      <c r="Z452" s="54">
        <v>0</v>
      </c>
      <c r="AA452" s="54">
        <v>0</v>
      </c>
      <c r="AB452" s="54">
        <v>0</v>
      </c>
      <c r="AC452" s="54">
        <v>0</v>
      </c>
      <c r="AD452" s="54">
        <v>0</v>
      </c>
      <c r="AE452" s="54">
        <v>0</v>
      </c>
      <c r="AF452" s="54">
        <v>0</v>
      </c>
      <c r="AG452" s="54">
        <v>0</v>
      </c>
      <c r="AH452" s="54">
        <v>0</v>
      </c>
      <c r="AI452" s="54">
        <v>0</v>
      </c>
      <c r="AJ452" s="54">
        <v>0</v>
      </c>
      <c r="AK452" s="54">
        <v>0</v>
      </c>
      <c r="AL452" s="54">
        <v>0</v>
      </c>
      <c r="AM452" s="54" t="str">
        <f>I452-J452-K452-L452-M452-N452-O452-P452-Q452-R452-S452-T452-U452-V452-W452-X452-Y452-Z452-AA452-AB452-AC452-AD452-AE452-AF452-AG452+AH452-AI452+AJ452+AK452-AL452</f>
        <v>0</v>
      </c>
      <c r="AN452" s="54"/>
      <c r="AO452" s="27"/>
    </row>
    <row r="453" spans="1:41">
      <c r="A453" s="44">
        <v>425</v>
      </c>
      <c r="B453" s="47" t="s">
        <v>1819</v>
      </c>
      <c r="C453" s="48" t="s">
        <v>1820</v>
      </c>
      <c r="D453" s="52" t="s">
        <v>73</v>
      </c>
      <c r="E453" s="52" t="s">
        <v>1821</v>
      </c>
      <c r="F453" s="55" t="s">
        <v>1822</v>
      </c>
      <c r="G453" s="51">
        <v>3.9</v>
      </c>
      <c r="H453" s="52" t="s">
        <v>1823</v>
      </c>
      <c r="I453" s="54">
        <v>725000</v>
      </c>
      <c r="J453" s="54">
        <v>0</v>
      </c>
      <c r="K453" s="54">
        <v>25000</v>
      </c>
      <c r="L453" s="54">
        <v>0</v>
      </c>
      <c r="M453" s="54">
        <v>0</v>
      </c>
      <c r="N453" s="54">
        <v>0</v>
      </c>
      <c r="O453" s="54">
        <v>0</v>
      </c>
      <c r="P453" s="54">
        <v>0</v>
      </c>
      <c r="Q453" s="54">
        <v>0</v>
      </c>
      <c r="R453" s="54">
        <v>0</v>
      </c>
      <c r="S453" s="54">
        <v>0</v>
      </c>
      <c r="T453" s="54">
        <v>0</v>
      </c>
      <c r="U453" s="54">
        <v>2572</v>
      </c>
      <c r="V453" s="54">
        <v>0</v>
      </c>
      <c r="W453" s="54">
        <v>0</v>
      </c>
      <c r="X453" s="54">
        <v>0</v>
      </c>
      <c r="Y453" s="54">
        <v>0</v>
      </c>
      <c r="Z453" s="54">
        <v>0</v>
      </c>
      <c r="AA453" s="54">
        <v>0</v>
      </c>
      <c r="AB453" s="54">
        <v>0</v>
      </c>
      <c r="AC453" s="54">
        <v>0</v>
      </c>
      <c r="AD453" s="54">
        <v>0</v>
      </c>
      <c r="AE453" s="54">
        <v>0</v>
      </c>
      <c r="AF453" s="54">
        <v>0</v>
      </c>
      <c r="AG453" s="54">
        <v>0</v>
      </c>
      <c r="AH453" s="54">
        <v>0</v>
      </c>
      <c r="AI453" s="54">
        <v>0</v>
      </c>
      <c r="AJ453" s="54">
        <v>0</v>
      </c>
      <c r="AK453" s="54">
        <v>0</v>
      </c>
      <c r="AL453" s="54">
        <v>0</v>
      </c>
      <c r="AM453" s="54" t="str">
        <f>I453-J453-K453-L453-M453-N453-O453-P453-Q453-R453-S453-T453-U453-V453-W453-X453-Y453-Z453-AA453-AB453-AC453-AD453-AE453-AF453-AG453+AH453-AI453+AJ453+AK453-AL453</f>
        <v>0</v>
      </c>
      <c r="AN453" s="54"/>
      <c r="AO453" s="27"/>
    </row>
    <row r="454" spans="1:41">
      <c r="A454" s="44">
        <v>426</v>
      </c>
      <c r="B454" s="47" t="s">
        <v>1824</v>
      </c>
      <c r="C454" s="48" t="s">
        <v>1825</v>
      </c>
      <c r="D454" s="52" t="s">
        <v>62</v>
      </c>
      <c r="E454" s="52" t="s">
        <v>1821</v>
      </c>
      <c r="F454" s="55" t="s">
        <v>1826</v>
      </c>
      <c r="G454" s="51">
        <v>4</v>
      </c>
      <c r="H454" s="52" t="s">
        <v>1827</v>
      </c>
      <c r="I454" s="54">
        <v>0</v>
      </c>
      <c r="J454" s="54">
        <v>0</v>
      </c>
      <c r="K454" s="54">
        <v>25000</v>
      </c>
      <c r="L454" s="54">
        <v>0</v>
      </c>
      <c r="M454" s="54">
        <v>0</v>
      </c>
      <c r="N454" s="54">
        <v>0</v>
      </c>
      <c r="O454" s="54">
        <v>0</v>
      </c>
      <c r="P454" s="54">
        <v>0</v>
      </c>
      <c r="Q454" s="54">
        <v>0</v>
      </c>
      <c r="R454" s="54">
        <v>0</v>
      </c>
      <c r="S454" s="54">
        <v>0</v>
      </c>
      <c r="T454" s="54">
        <v>0</v>
      </c>
      <c r="U454" s="54">
        <v>2572</v>
      </c>
      <c r="V454" s="54">
        <v>0</v>
      </c>
      <c r="W454" s="54">
        <v>0</v>
      </c>
      <c r="X454" s="54">
        <v>0</v>
      </c>
      <c r="Y454" s="54">
        <v>5000</v>
      </c>
      <c r="Z454" s="54">
        <v>0</v>
      </c>
      <c r="AA454" s="54">
        <v>0</v>
      </c>
      <c r="AB454" s="54">
        <v>0</v>
      </c>
      <c r="AC454" s="54">
        <v>0</v>
      </c>
      <c r="AD454" s="54">
        <v>0</v>
      </c>
      <c r="AE454" s="54">
        <v>0</v>
      </c>
      <c r="AF454" s="54">
        <v>0</v>
      </c>
      <c r="AG454" s="54">
        <v>0</v>
      </c>
      <c r="AH454" s="54">
        <v>0</v>
      </c>
      <c r="AI454" s="54">
        <v>0</v>
      </c>
      <c r="AJ454" s="54">
        <v>0</v>
      </c>
      <c r="AK454" s="54">
        <v>0</v>
      </c>
      <c r="AL454" s="54">
        <v>0</v>
      </c>
      <c r="AM454" s="54" t="str">
        <f>I454-J454-K454-L454-M454-N454-O454-P454-Q454-R454-S454-T454-U454-V454-W454-X454-Y454-Z454-AA454-AB454-AC454-AD454-AE454-AF454-AG454+AH454-AI454+AJ454+AK454-AL454</f>
        <v>0</v>
      </c>
      <c r="AN454" s="54"/>
      <c r="AO454" s="27"/>
    </row>
    <row r="455" spans="1:41">
      <c r="A455" s="44">
        <v>427</v>
      </c>
      <c r="B455" s="47" t="s">
        <v>1828</v>
      </c>
      <c r="C455" s="48" t="s">
        <v>1829</v>
      </c>
      <c r="D455" s="52" t="s">
        <v>62</v>
      </c>
      <c r="E455" s="52" t="s">
        <v>1830</v>
      </c>
      <c r="F455" s="55" t="s">
        <v>844</v>
      </c>
      <c r="G455" s="51">
        <v>5</v>
      </c>
      <c r="H455" s="52" t="s">
        <v>1831</v>
      </c>
      <c r="I455" s="54">
        <v>0</v>
      </c>
      <c r="J455" s="54">
        <v>0</v>
      </c>
      <c r="K455" s="54">
        <v>27000</v>
      </c>
      <c r="L455" s="54">
        <v>0</v>
      </c>
      <c r="M455" s="54">
        <v>0</v>
      </c>
      <c r="N455" s="54">
        <v>0</v>
      </c>
      <c r="O455" s="54">
        <v>0</v>
      </c>
      <c r="P455" s="54">
        <v>0</v>
      </c>
      <c r="Q455" s="54">
        <v>0</v>
      </c>
      <c r="R455" s="54">
        <v>0</v>
      </c>
      <c r="S455" s="54">
        <v>0</v>
      </c>
      <c r="T455" s="54">
        <v>0</v>
      </c>
      <c r="U455" s="54">
        <v>2778</v>
      </c>
      <c r="V455" s="54">
        <v>0</v>
      </c>
      <c r="W455" s="54">
        <v>0</v>
      </c>
      <c r="X455" s="54">
        <v>0</v>
      </c>
      <c r="Y455" s="54">
        <v>5000</v>
      </c>
      <c r="Z455" s="54">
        <v>0</v>
      </c>
      <c r="AA455" s="54">
        <v>0</v>
      </c>
      <c r="AB455" s="54">
        <v>0</v>
      </c>
      <c r="AC455" s="54">
        <v>0</v>
      </c>
      <c r="AD455" s="54">
        <v>0</v>
      </c>
      <c r="AE455" s="54">
        <v>0</v>
      </c>
      <c r="AF455" s="54">
        <v>0</v>
      </c>
      <c r="AG455" s="54">
        <v>0</v>
      </c>
      <c r="AH455" s="54">
        <v>0</v>
      </c>
      <c r="AI455" s="54">
        <v>0</v>
      </c>
      <c r="AJ455" s="54">
        <v>0</v>
      </c>
      <c r="AK455" s="54">
        <v>0</v>
      </c>
      <c r="AL455" s="54">
        <v>0</v>
      </c>
      <c r="AM455" s="54" t="str">
        <f>I455-J455-K455-L455-M455-N455-O455-P455-Q455-R455-S455-T455-U455-V455-W455-X455-Y455-Z455-AA455-AB455-AC455-AD455-AE455-AF455-AG455+AH455-AI455+AJ455+AK455-AL455</f>
        <v>0</v>
      </c>
      <c r="AN455" s="54"/>
      <c r="AO455" s="27"/>
    </row>
    <row r="456" spans="1:41">
      <c r="A456" s="44">
        <v>428</v>
      </c>
      <c r="B456" s="47" t="s">
        <v>1832</v>
      </c>
      <c r="C456" s="48" t="s">
        <v>1833</v>
      </c>
      <c r="D456" s="52" t="s">
        <v>73</v>
      </c>
      <c r="E456" s="52" t="s">
        <v>1830</v>
      </c>
      <c r="F456" s="55" t="s">
        <v>1834</v>
      </c>
      <c r="G456" s="51">
        <v>7</v>
      </c>
      <c r="H456" s="52" t="s">
        <v>1835</v>
      </c>
      <c r="I456" s="54">
        <v>609000</v>
      </c>
      <c r="J456" s="54">
        <v>0</v>
      </c>
      <c r="K456" s="54">
        <v>35000</v>
      </c>
      <c r="L456" s="54">
        <v>0</v>
      </c>
      <c r="M456" s="54">
        <v>0</v>
      </c>
      <c r="N456" s="54">
        <v>0</v>
      </c>
      <c r="O456" s="54">
        <v>0</v>
      </c>
      <c r="P456" s="54">
        <v>0</v>
      </c>
      <c r="Q456" s="54">
        <v>0</v>
      </c>
      <c r="R456" s="54">
        <v>0</v>
      </c>
      <c r="S456" s="54">
        <v>0</v>
      </c>
      <c r="T456" s="54">
        <v>0</v>
      </c>
      <c r="U456" s="54">
        <v>3601</v>
      </c>
      <c r="V456" s="54">
        <v>0</v>
      </c>
      <c r="W456" s="54">
        <v>0</v>
      </c>
      <c r="X456" s="54">
        <v>0</v>
      </c>
      <c r="Y456" s="54">
        <v>0</v>
      </c>
      <c r="Z456" s="54">
        <v>0</v>
      </c>
      <c r="AA456" s="54">
        <v>0</v>
      </c>
      <c r="AB456" s="54">
        <v>0</v>
      </c>
      <c r="AC456" s="54">
        <v>0</v>
      </c>
      <c r="AD456" s="54">
        <v>0</v>
      </c>
      <c r="AE456" s="54">
        <v>0</v>
      </c>
      <c r="AF456" s="54">
        <v>0</v>
      </c>
      <c r="AG456" s="54">
        <v>0</v>
      </c>
      <c r="AH456" s="54">
        <v>0</v>
      </c>
      <c r="AI456" s="54">
        <v>0</v>
      </c>
      <c r="AJ456" s="54">
        <v>0</v>
      </c>
      <c r="AK456" s="54">
        <v>0</v>
      </c>
      <c r="AL456" s="54">
        <v>0</v>
      </c>
      <c r="AM456" s="54" t="str">
        <f>I456-J456-K456-L456-M456-N456-O456-P456-Q456-R456-S456-T456-U456-V456-W456-X456-Y456-Z456-AA456-AB456-AC456-AD456-AE456-AF456-AG456+AH456-AI456+AJ456+AK456-AL456</f>
        <v>0</v>
      </c>
      <c r="AN456" s="54"/>
      <c r="AO456" s="27"/>
    </row>
    <row r="457" spans="1:41">
      <c r="A457" s="44">
        <v>429</v>
      </c>
      <c r="B457" s="47" t="s">
        <v>1836</v>
      </c>
      <c r="C457" s="48" t="s">
        <v>1837</v>
      </c>
      <c r="D457" s="52" t="s">
        <v>62</v>
      </c>
      <c r="E457" s="52" t="s">
        <v>1838</v>
      </c>
      <c r="F457" s="55" t="s">
        <v>1839</v>
      </c>
      <c r="G457" s="51">
        <v>2</v>
      </c>
      <c r="H457" s="52" t="s">
        <v>1840</v>
      </c>
      <c r="I457" s="54">
        <v>0</v>
      </c>
      <c r="J457" s="54">
        <v>0</v>
      </c>
      <c r="K457" s="54">
        <v>22000</v>
      </c>
      <c r="L457" s="54">
        <v>0</v>
      </c>
      <c r="M457" s="54">
        <v>0</v>
      </c>
      <c r="N457" s="54">
        <v>0</v>
      </c>
      <c r="O457" s="54">
        <v>0</v>
      </c>
      <c r="P457" s="54">
        <v>0</v>
      </c>
      <c r="Q457" s="54">
        <v>0</v>
      </c>
      <c r="R457" s="54">
        <v>0</v>
      </c>
      <c r="S457" s="54">
        <v>0</v>
      </c>
      <c r="T457" s="54">
        <v>0</v>
      </c>
      <c r="U457" s="54">
        <v>2263</v>
      </c>
      <c r="V457" s="54">
        <v>0</v>
      </c>
      <c r="W457" s="54">
        <v>0</v>
      </c>
      <c r="X457" s="54">
        <v>0</v>
      </c>
      <c r="Y457" s="54">
        <v>5000</v>
      </c>
      <c r="Z457" s="54">
        <v>0</v>
      </c>
      <c r="AA457" s="54">
        <v>0</v>
      </c>
      <c r="AB457" s="54">
        <v>0</v>
      </c>
      <c r="AC457" s="54">
        <v>0</v>
      </c>
      <c r="AD457" s="54">
        <v>0</v>
      </c>
      <c r="AE457" s="54">
        <v>0</v>
      </c>
      <c r="AF457" s="54">
        <v>0</v>
      </c>
      <c r="AG457" s="54">
        <v>0</v>
      </c>
      <c r="AH457" s="54">
        <v>0</v>
      </c>
      <c r="AI457" s="54">
        <v>0</v>
      </c>
      <c r="AJ457" s="54">
        <v>0</v>
      </c>
      <c r="AK457" s="54">
        <v>0</v>
      </c>
      <c r="AL457" s="54">
        <v>0</v>
      </c>
      <c r="AM457" s="54" t="str">
        <f>I457-J457-K457-L457-M457-N457-O457-P457-Q457-R457-S457-T457-U457-V457-W457-X457-Y457-Z457-AA457-AB457-AC457-AD457-AE457-AF457-AG457+AH457-AI457+AJ457+AK457-AL457</f>
        <v>0</v>
      </c>
      <c r="AN457" s="54"/>
      <c r="AO457" s="27"/>
    </row>
    <row r="458" spans="1:41">
      <c r="A458" s="44">
        <v>430</v>
      </c>
      <c r="B458" s="47" t="s">
        <v>1841</v>
      </c>
      <c r="C458" s="48" t="s">
        <v>1842</v>
      </c>
      <c r="D458" s="52" t="s">
        <v>73</v>
      </c>
      <c r="E458" s="52" t="s">
        <v>1843</v>
      </c>
      <c r="F458" s="55" t="s">
        <v>1493</v>
      </c>
      <c r="G458" s="51">
        <v>4</v>
      </c>
      <c r="H458" s="52" t="s">
        <v>1844</v>
      </c>
      <c r="I458" s="54">
        <v>1040000</v>
      </c>
      <c r="J458" s="54">
        <v>0</v>
      </c>
      <c r="K458" s="54">
        <v>25000</v>
      </c>
      <c r="L458" s="54">
        <v>0</v>
      </c>
      <c r="M458" s="54">
        <v>0</v>
      </c>
      <c r="N458" s="54">
        <v>0</v>
      </c>
      <c r="O458" s="54">
        <v>0</v>
      </c>
      <c r="P458" s="54">
        <v>0</v>
      </c>
      <c r="Q458" s="54">
        <v>0</v>
      </c>
      <c r="R458" s="54">
        <v>0</v>
      </c>
      <c r="S458" s="54">
        <v>0</v>
      </c>
      <c r="T458" s="54">
        <v>0</v>
      </c>
      <c r="U458" s="54">
        <v>2572</v>
      </c>
      <c r="V458" s="54">
        <v>0</v>
      </c>
      <c r="W458" s="54">
        <v>0</v>
      </c>
      <c r="X458" s="54">
        <v>0</v>
      </c>
      <c r="Y458" s="54">
        <v>0</v>
      </c>
      <c r="Z458" s="54">
        <v>0</v>
      </c>
      <c r="AA458" s="54">
        <v>0</v>
      </c>
      <c r="AB458" s="54">
        <v>0</v>
      </c>
      <c r="AC458" s="54">
        <v>0</v>
      </c>
      <c r="AD458" s="54">
        <v>0</v>
      </c>
      <c r="AE458" s="54">
        <v>0</v>
      </c>
      <c r="AF458" s="54">
        <v>0</v>
      </c>
      <c r="AG458" s="54">
        <v>0</v>
      </c>
      <c r="AH458" s="54">
        <v>0</v>
      </c>
      <c r="AI458" s="54">
        <v>0</v>
      </c>
      <c r="AJ458" s="54">
        <v>0</v>
      </c>
      <c r="AK458" s="54">
        <v>0</v>
      </c>
      <c r="AL458" s="54">
        <v>0</v>
      </c>
      <c r="AM458" s="54" t="str">
        <f>I458-J458-K458-L458-M458-N458-O458-P458-Q458-R458-S458-T458-U458-V458-W458-X458-Y458-Z458-AA458-AB458-AC458-AD458-AE458-AF458-AG458+AH458-AI458+AJ458+AK458-AL458</f>
        <v>0</v>
      </c>
      <c r="AN458" s="54"/>
      <c r="AO458" s="27"/>
    </row>
    <row r="459" spans="1:41">
      <c r="A459" s="44">
        <v>431</v>
      </c>
      <c r="B459" s="47" t="s">
        <v>1845</v>
      </c>
      <c r="C459" s="48" t="s">
        <v>1846</v>
      </c>
      <c r="D459" s="52" t="s">
        <v>73</v>
      </c>
      <c r="E459" s="52" t="s">
        <v>1843</v>
      </c>
      <c r="F459" s="55" t="s">
        <v>1271</v>
      </c>
      <c r="G459" s="51">
        <v>4</v>
      </c>
      <c r="H459" s="52" t="s">
        <v>1847</v>
      </c>
      <c r="I459" s="54">
        <v>593000</v>
      </c>
      <c r="J459" s="54">
        <v>0</v>
      </c>
      <c r="K459" s="54">
        <v>25000</v>
      </c>
      <c r="L459" s="54">
        <v>0</v>
      </c>
      <c r="M459" s="54">
        <v>0</v>
      </c>
      <c r="N459" s="54">
        <v>0</v>
      </c>
      <c r="O459" s="54">
        <v>0</v>
      </c>
      <c r="P459" s="54">
        <v>0</v>
      </c>
      <c r="Q459" s="54">
        <v>0</v>
      </c>
      <c r="R459" s="54">
        <v>0</v>
      </c>
      <c r="S459" s="54">
        <v>0</v>
      </c>
      <c r="T459" s="54">
        <v>0</v>
      </c>
      <c r="U459" s="54">
        <v>2572</v>
      </c>
      <c r="V459" s="54">
        <v>0</v>
      </c>
      <c r="W459" s="54">
        <v>0</v>
      </c>
      <c r="X459" s="54">
        <v>0</v>
      </c>
      <c r="Y459" s="54">
        <v>0</v>
      </c>
      <c r="Z459" s="54">
        <v>0</v>
      </c>
      <c r="AA459" s="54">
        <v>0</v>
      </c>
      <c r="AB459" s="54">
        <v>0</v>
      </c>
      <c r="AC459" s="54">
        <v>0</v>
      </c>
      <c r="AD459" s="54">
        <v>0</v>
      </c>
      <c r="AE459" s="54">
        <v>0</v>
      </c>
      <c r="AF459" s="54">
        <v>0</v>
      </c>
      <c r="AG459" s="54">
        <v>0</v>
      </c>
      <c r="AH459" s="54">
        <v>0</v>
      </c>
      <c r="AI459" s="54">
        <v>0</v>
      </c>
      <c r="AJ459" s="54">
        <v>0</v>
      </c>
      <c r="AK459" s="54">
        <v>0</v>
      </c>
      <c r="AL459" s="54">
        <v>0</v>
      </c>
      <c r="AM459" s="54" t="str">
        <f>I459-J459-K459-L459-M459-N459-O459-P459-Q459-R459-S459-T459-U459-V459-W459-X459-Y459-Z459-AA459-AB459-AC459-AD459-AE459-AF459-AG459+AH459-AI459+AJ459+AK459-AL459</f>
        <v>0</v>
      </c>
      <c r="AN459" s="54"/>
      <c r="AO459" s="27"/>
    </row>
    <row r="460" spans="1:41">
      <c r="A460" s="44">
        <v>432</v>
      </c>
      <c r="B460" s="47" t="s">
        <v>1848</v>
      </c>
      <c r="C460" s="48" t="s">
        <v>1849</v>
      </c>
      <c r="D460" s="52" t="s">
        <v>73</v>
      </c>
      <c r="E460" s="52" t="s">
        <v>1843</v>
      </c>
      <c r="F460" s="55" t="s">
        <v>1850</v>
      </c>
      <c r="G460" s="51">
        <v>6</v>
      </c>
      <c r="H460" s="52" t="s">
        <v>1851</v>
      </c>
      <c r="I460" s="54">
        <v>985000</v>
      </c>
      <c r="J460" s="54">
        <v>0</v>
      </c>
      <c r="K460" s="54">
        <v>31000</v>
      </c>
      <c r="L460" s="54">
        <v>0</v>
      </c>
      <c r="M460" s="54">
        <v>0</v>
      </c>
      <c r="N460" s="54">
        <v>0</v>
      </c>
      <c r="O460" s="54">
        <v>0</v>
      </c>
      <c r="P460" s="54">
        <v>0</v>
      </c>
      <c r="Q460" s="54">
        <v>0</v>
      </c>
      <c r="R460" s="54">
        <v>0</v>
      </c>
      <c r="S460" s="54">
        <v>0</v>
      </c>
      <c r="T460" s="54">
        <v>0</v>
      </c>
      <c r="U460" s="54">
        <v>3189</v>
      </c>
      <c r="V460" s="54">
        <v>0</v>
      </c>
      <c r="W460" s="54">
        <v>0</v>
      </c>
      <c r="X460" s="54">
        <v>0</v>
      </c>
      <c r="Y460" s="54">
        <v>0</v>
      </c>
      <c r="Z460" s="54">
        <v>0</v>
      </c>
      <c r="AA460" s="54">
        <v>0</v>
      </c>
      <c r="AB460" s="54">
        <v>0</v>
      </c>
      <c r="AC460" s="54">
        <v>0</v>
      </c>
      <c r="AD460" s="54">
        <v>0</v>
      </c>
      <c r="AE460" s="54">
        <v>0</v>
      </c>
      <c r="AF460" s="54">
        <v>0</v>
      </c>
      <c r="AG460" s="54">
        <v>0</v>
      </c>
      <c r="AH460" s="54">
        <v>0</v>
      </c>
      <c r="AI460" s="54">
        <v>0</v>
      </c>
      <c r="AJ460" s="54">
        <v>0</v>
      </c>
      <c r="AK460" s="54">
        <v>0</v>
      </c>
      <c r="AL460" s="54">
        <v>0</v>
      </c>
      <c r="AM460" s="54" t="str">
        <f>I460-J460-K460-L460-M460-N460-O460-P460-Q460-R460-S460-T460-U460-V460-W460-X460-Y460-Z460-AA460-AB460-AC460-AD460-AE460-AF460-AG460+AH460-AI460+AJ460+AK460-AL460</f>
        <v>0</v>
      </c>
      <c r="AN460" s="54"/>
      <c r="AO460" s="27"/>
    </row>
    <row r="461" spans="1:41">
      <c r="A461" s="44">
        <v>433</v>
      </c>
      <c r="B461" s="47" t="s">
        <v>1852</v>
      </c>
      <c r="C461" s="48" t="s">
        <v>1853</v>
      </c>
      <c r="D461" s="52" t="s">
        <v>73</v>
      </c>
      <c r="E461" s="52" t="s">
        <v>1843</v>
      </c>
      <c r="F461" s="55" t="s">
        <v>1854</v>
      </c>
      <c r="G461" s="51">
        <v>2</v>
      </c>
      <c r="H461" s="52" t="s">
        <v>1855</v>
      </c>
      <c r="I461" s="54">
        <v>434000</v>
      </c>
      <c r="J461" s="54">
        <v>0</v>
      </c>
      <c r="K461" s="54">
        <v>22000</v>
      </c>
      <c r="L461" s="54">
        <v>0</v>
      </c>
      <c r="M461" s="54">
        <v>0</v>
      </c>
      <c r="N461" s="54">
        <v>0</v>
      </c>
      <c r="O461" s="54">
        <v>0</v>
      </c>
      <c r="P461" s="54">
        <v>0</v>
      </c>
      <c r="Q461" s="54">
        <v>0</v>
      </c>
      <c r="R461" s="54">
        <v>0</v>
      </c>
      <c r="S461" s="54">
        <v>0</v>
      </c>
      <c r="T461" s="54">
        <v>0</v>
      </c>
      <c r="U461" s="54">
        <v>2263</v>
      </c>
      <c r="V461" s="54">
        <v>0</v>
      </c>
      <c r="W461" s="54">
        <v>0</v>
      </c>
      <c r="X461" s="54">
        <v>0</v>
      </c>
      <c r="Y461" s="54">
        <v>0</v>
      </c>
      <c r="Z461" s="54">
        <v>0</v>
      </c>
      <c r="AA461" s="54">
        <v>0</v>
      </c>
      <c r="AB461" s="54">
        <v>0</v>
      </c>
      <c r="AC461" s="54">
        <v>0</v>
      </c>
      <c r="AD461" s="54">
        <v>0</v>
      </c>
      <c r="AE461" s="54">
        <v>0</v>
      </c>
      <c r="AF461" s="54">
        <v>0</v>
      </c>
      <c r="AG461" s="54">
        <v>0</v>
      </c>
      <c r="AH461" s="54">
        <v>0</v>
      </c>
      <c r="AI461" s="54">
        <v>0</v>
      </c>
      <c r="AJ461" s="54">
        <v>0</v>
      </c>
      <c r="AK461" s="54">
        <v>0</v>
      </c>
      <c r="AL461" s="54">
        <v>0</v>
      </c>
      <c r="AM461" s="54" t="str">
        <f>I461-J461-K461-L461-M461-N461-O461-P461-Q461-R461-S461-T461-U461-V461-W461-X461-Y461-Z461-AA461-AB461-AC461-AD461-AE461-AF461-AG461+AH461-AI461+AJ461+AK461-AL461</f>
        <v>0</v>
      </c>
      <c r="AN461" s="54"/>
      <c r="AO461" s="27"/>
    </row>
    <row r="462" spans="1:41">
      <c r="A462" s="44">
        <v>434</v>
      </c>
      <c r="B462" s="47" t="s">
        <v>1856</v>
      </c>
      <c r="C462" s="48" t="s">
        <v>1857</v>
      </c>
      <c r="D462" s="52" t="s">
        <v>73</v>
      </c>
      <c r="E462" s="52" t="s">
        <v>1843</v>
      </c>
      <c r="F462" s="55" t="s">
        <v>1858</v>
      </c>
      <c r="G462" s="51">
        <v>16</v>
      </c>
      <c r="H462" s="52" t="s">
        <v>1859</v>
      </c>
      <c r="I462" s="54">
        <v>1988000</v>
      </c>
      <c r="J462" s="54">
        <v>0</v>
      </c>
      <c r="K462" s="54">
        <v>64000</v>
      </c>
      <c r="L462" s="54">
        <v>0</v>
      </c>
      <c r="M462" s="54">
        <v>0</v>
      </c>
      <c r="N462" s="54">
        <v>0</v>
      </c>
      <c r="O462" s="54">
        <v>0</v>
      </c>
      <c r="P462" s="54">
        <v>0</v>
      </c>
      <c r="Q462" s="54">
        <v>0</v>
      </c>
      <c r="R462" s="54">
        <v>0</v>
      </c>
      <c r="S462" s="54">
        <v>0</v>
      </c>
      <c r="T462" s="54">
        <v>0</v>
      </c>
      <c r="U462" s="54">
        <v>6585</v>
      </c>
      <c r="V462" s="54">
        <v>0</v>
      </c>
      <c r="W462" s="54">
        <v>0</v>
      </c>
      <c r="X462" s="54">
        <v>0</v>
      </c>
      <c r="Y462" s="54">
        <v>0</v>
      </c>
      <c r="Z462" s="54">
        <v>0</v>
      </c>
      <c r="AA462" s="54">
        <v>0</v>
      </c>
      <c r="AB462" s="54">
        <v>0</v>
      </c>
      <c r="AC462" s="54">
        <v>0</v>
      </c>
      <c r="AD462" s="54">
        <v>0</v>
      </c>
      <c r="AE462" s="54">
        <v>0</v>
      </c>
      <c r="AF462" s="54">
        <v>0</v>
      </c>
      <c r="AG462" s="54">
        <v>0</v>
      </c>
      <c r="AH462" s="54">
        <v>0</v>
      </c>
      <c r="AI462" s="54">
        <v>0</v>
      </c>
      <c r="AJ462" s="54">
        <v>0</v>
      </c>
      <c r="AK462" s="54">
        <v>0</v>
      </c>
      <c r="AL462" s="54">
        <v>0</v>
      </c>
      <c r="AM462" s="54" t="str">
        <f>I462-J462-K462-L462-M462-N462-O462-P462-Q462-R462-S462-T462-U462-V462-W462-X462-Y462-Z462-AA462-AB462-AC462-AD462-AE462-AF462-AG462+AH462-AI462+AJ462+AK462-AL462</f>
        <v>0</v>
      </c>
      <c r="AN462" s="54"/>
      <c r="AO462" s="27"/>
    </row>
    <row r="463" spans="1:41">
      <c r="A463" s="44">
        <v>435</v>
      </c>
      <c r="B463" s="47" t="s">
        <v>1860</v>
      </c>
      <c r="C463" s="48" t="s">
        <v>1861</v>
      </c>
      <c r="D463" s="52" t="s">
        <v>73</v>
      </c>
      <c r="E463" s="52" t="s">
        <v>1843</v>
      </c>
      <c r="F463" s="55" t="s">
        <v>1862</v>
      </c>
      <c r="G463" s="51">
        <v>3</v>
      </c>
      <c r="H463" s="52" t="s">
        <v>1863</v>
      </c>
      <c r="I463" s="54">
        <v>315000</v>
      </c>
      <c r="J463" s="54">
        <v>0</v>
      </c>
      <c r="K463" s="54">
        <v>22000</v>
      </c>
      <c r="L463" s="54">
        <v>0</v>
      </c>
      <c r="M463" s="54">
        <v>0</v>
      </c>
      <c r="N463" s="54">
        <v>0</v>
      </c>
      <c r="O463" s="54">
        <v>0</v>
      </c>
      <c r="P463" s="54">
        <v>0</v>
      </c>
      <c r="Q463" s="54">
        <v>0</v>
      </c>
      <c r="R463" s="54">
        <v>0</v>
      </c>
      <c r="S463" s="54">
        <v>0</v>
      </c>
      <c r="T463" s="54">
        <v>0</v>
      </c>
      <c r="U463" s="54">
        <v>2263</v>
      </c>
      <c r="V463" s="54">
        <v>0</v>
      </c>
      <c r="W463" s="54">
        <v>0</v>
      </c>
      <c r="X463" s="54">
        <v>0</v>
      </c>
      <c r="Y463" s="54">
        <v>0</v>
      </c>
      <c r="Z463" s="54">
        <v>0</v>
      </c>
      <c r="AA463" s="54">
        <v>0</v>
      </c>
      <c r="AB463" s="54">
        <v>0</v>
      </c>
      <c r="AC463" s="54">
        <v>0</v>
      </c>
      <c r="AD463" s="54">
        <v>0</v>
      </c>
      <c r="AE463" s="54">
        <v>0</v>
      </c>
      <c r="AF463" s="54">
        <v>0</v>
      </c>
      <c r="AG463" s="54">
        <v>0</v>
      </c>
      <c r="AH463" s="54">
        <v>0</v>
      </c>
      <c r="AI463" s="54">
        <v>0</v>
      </c>
      <c r="AJ463" s="54">
        <v>0</v>
      </c>
      <c r="AK463" s="54">
        <v>0</v>
      </c>
      <c r="AL463" s="54">
        <v>0</v>
      </c>
      <c r="AM463" s="54" t="str">
        <f>I463-J463-K463-L463-M463-N463-O463-P463-Q463-R463-S463-T463-U463-V463-W463-X463-Y463-Z463-AA463-AB463-AC463-AD463-AE463-AF463-AG463+AH463-AI463+AJ463+AK463-AL463</f>
        <v>0</v>
      </c>
      <c r="AN463" s="54"/>
      <c r="AO463" s="27"/>
    </row>
    <row r="464" spans="1:41">
      <c r="A464" s="44">
        <v>436</v>
      </c>
      <c r="B464" s="47" t="s">
        <v>1864</v>
      </c>
      <c r="C464" s="48" t="s">
        <v>1865</v>
      </c>
      <c r="D464" s="52" t="s">
        <v>73</v>
      </c>
      <c r="E464" s="52" t="s">
        <v>1843</v>
      </c>
      <c r="F464" s="55" t="s">
        <v>311</v>
      </c>
      <c r="G464" s="51">
        <v>3</v>
      </c>
      <c r="H464" s="52" t="s">
        <v>1866</v>
      </c>
      <c r="I464" s="54">
        <v>960000</v>
      </c>
      <c r="J464" s="54">
        <v>0</v>
      </c>
      <c r="K464" s="54">
        <v>22000</v>
      </c>
      <c r="L464" s="54">
        <v>0</v>
      </c>
      <c r="M464" s="54">
        <v>0</v>
      </c>
      <c r="N464" s="54">
        <v>0</v>
      </c>
      <c r="O464" s="54">
        <v>0</v>
      </c>
      <c r="P464" s="54">
        <v>0</v>
      </c>
      <c r="Q464" s="54">
        <v>0</v>
      </c>
      <c r="R464" s="54">
        <v>0</v>
      </c>
      <c r="S464" s="54">
        <v>0</v>
      </c>
      <c r="T464" s="54">
        <v>0</v>
      </c>
      <c r="U464" s="54">
        <v>2263</v>
      </c>
      <c r="V464" s="54">
        <v>0</v>
      </c>
      <c r="W464" s="54">
        <v>0</v>
      </c>
      <c r="X464" s="54">
        <v>0</v>
      </c>
      <c r="Y464" s="54">
        <v>0</v>
      </c>
      <c r="Z464" s="54">
        <v>0</v>
      </c>
      <c r="AA464" s="54">
        <v>0</v>
      </c>
      <c r="AB464" s="54">
        <v>0</v>
      </c>
      <c r="AC464" s="54">
        <v>0</v>
      </c>
      <c r="AD464" s="54">
        <v>0</v>
      </c>
      <c r="AE464" s="54">
        <v>0</v>
      </c>
      <c r="AF464" s="54">
        <v>0</v>
      </c>
      <c r="AG464" s="54">
        <v>0</v>
      </c>
      <c r="AH464" s="54">
        <v>0</v>
      </c>
      <c r="AI464" s="54">
        <v>0</v>
      </c>
      <c r="AJ464" s="54">
        <v>0</v>
      </c>
      <c r="AK464" s="54">
        <v>0</v>
      </c>
      <c r="AL464" s="54">
        <v>0</v>
      </c>
      <c r="AM464" s="54" t="str">
        <f>I464-J464-K464-L464-M464-N464-O464-P464-Q464-R464-S464-T464-U464-V464-W464-X464-Y464-Z464-AA464-AB464-AC464-AD464-AE464-AF464-AG464+AH464-AI464+AJ464+AK464-AL464</f>
        <v>0</v>
      </c>
      <c r="AN464" s="54"/>
      <c r="AO464" s="27"/>
    </row>
    <row r="465" spans="1:41">
      <c r="A465" s="44">
        <v>437</v>
      </c>
      <c r="B465" s="47" t="s">
        <v>1867</v>
      </c>
      <c r="C465" s="48" t="s">
        <v>1868</v>
      </c>
      <c r="D465" s="52" t="s">
        <v>73</v>
      </c>
      <c r="E465" s="52" t="s">
        <v>1843</v>
      </c>
      <c r="F465" s="55" t="s">
        <v>1869</v>
      </c>
      <c r="G465" s="51">
        <v>7.8</v>
      </c>
      <c r="H465" s="52" t="s">
        <v>1870</v>
      </c>
      <c r="I465" s="54">
        <v>934000</v>
      </c>
      <c r="J465" s="54">
        <v>0</v>
      </c>
      <c r="K465" s="54">
        <v>39000</v>
      </c>
      <c r="L465" s="54">
        <v>0</v>
      </c>
      <c r="M465" s="54">
        <v>0</v>
      </c>
      <c r="N465" s="54">
        <v>0</v>
      </c>
      <c r="O465" s="54">
        <v>0</v>
      </c>
      <c r="P465" s="54">
        <v>0</v>
      </c>
      <c r="Q465" s="54">
        <v>0</v>
      </c>
      <c r="R465" s="54">
        <v>0</v>
      </c>
      <c r="S465" s="54">
        <v>0</v>
      </c>
      <c r="T465" s="54">
        <v>0</v>
      </c>
      <c r="U465" s="54">
        <v>4013</v>
      </c>
      <c r="V465" s="54">
        <v>0</v>
      </c>
      <c r="W465" s="54">
        <v>0</v>
      </c>
      <c r="X465" s="54">
        <v>0</v>
      </c>
      <c r="Y465" s="54">
        <v>0</v>
      </c>
      <c r="Z465" s="54">
        <v>0</v>
      </c>
      <c r="AA465" s="54">
        <v>0</v>
      </c>
      <c r="AB465" s="54">
        <v>0</v>
      </c>
      <c r="AC465" s="54">
        <v>0</v>
      </c>
      <c r="AD465" s="54">
        <v>0</v>
      </c>
      <c r="AE465" s="54">
        <v>0</v>
      </c>
      <c r="AF465" s="54">
        <v>0</v>
      </c>
      <c r="AG465" s="54">
        <v>0</v>
      </c>
      <c r="AH465" s="54">
        <v>0</v>
      </c>
      <c r="AI465" s="54">
        <v>0</v>
      </c>
      <c r="AJ465" s="54">
        <v>0</v>
      </c>
      <c r="AK465" s="54">
        <v>0</v>
      </c>
      <c r="AL465" s="54">
        <v>0</v>
      </c>
      <c r="AM465" s="54" t="str">
        <f>I465-J465-K465-L465-M465-N465-O465-P465-Q465-R465-S465-T465-U465-V465-W465-X465-Y465-Z465-AA465-AB465-AC465-AD465-AE465-AF465-AG465+AH465-AI465+AJ465+AK465-AL465</f>
        <v>0</v>
      </c>
      <c r="AN465" s="54"/>
      <c r="AO465" s="27"/>
    </row>
    <row r="466" spans="1:41">
      <c r="A466" s="44">
        <v>438</v>
      </c>
      <c r="B466" s="47" t="s">
        <v>1871</v>
      </c>
      <c r="C466" s="48" t="s">
        <v>1872</v>
      </c>
      <c r="D466" s="52" t="s">
        <v>73</v>
      </c>
      <c r="E466" s="52" t="s">
        <v>1843</v>
      </c>
      <c r="F466" s="55" t="s">
        <v>1873</v>
      </c>
      <c r="G466" s="51">
        <v>5.8</v>
      </c>
      <c r="H466" s="52" t="s">
        <v>1874</v>
      </c>
      <c r="I466" s="54">
        <v>634000</v>
      </c>
      <c r="J466" s="54">
        <v>0</v>
      </c>
      <c r="K466" s="54">
        <v>31000</v>
      </c>
      <c r="L466" s="54">
        <v>0</v>
      </c>
      <c r="M466" s="54">
        <v>0</v>
      </c>
      <c r="N466" s="54">
        <v>0</v>
      </c>
      <c r="O466" s="54">
        <v>0</v>
      </c>
      <c r="P466" s="54">
        <v>0</v>
      </c>
      <c r="Q466" s="54">
        <v>0</v>
      </c>
      <c r="R466" s="54">
        <v>0</v>
      </c>
      <c r="S466" s="54">
        <v>0</v>
      </c>
      <c r="T466" s="54">
        <v>0</v>
      </c>
      <c r="U466" s="54">
        <v>3189</v>
      </c>
      <c r="V466" s="54">
        <v>0</v>
      </c>
      <c r="W466" s="54">
        <v>0</v>
      </c>
      <c r="X466" s="54">
        <v>0</v>
      </c>
      <c r="Y466" s="54">
        <v>0</v>
      </c>
      <c r="Z466" s="54">
        <v>0</v>
      </c>
      <c r="AA466" s="54">
        <v>0</v>
      </c>
      <c r="AB466" s="54">
        <v>0</v>
      </c>
      <c r="AC466" s="54">
        <v>0</v>
      </c>
      <c r="AD466" s="54">
        <v>0</v>
      </c>
      <c r="AE466" s="54">
        <v>0</v>
      </c>
      <c r="AF466" s="54">
        <v>0</v>
      </c>
      <c r="AG466" s="54">
        <v>0</v>
      </c>
      <c r="AH466" s="54">
        <v>0</v>
      </c>
      <c r="AI466" s="54">
        <v>0</v>
      </c>
      <c r="AJ466" s="54">
        <v>0</v>
      </c>
      <c r="AK466" s="54">
        <v>0</v>
      </c>
      <c r="AL466" s="54">
        <v>0</v>
      </c>
      <c r="AM466" s="54" t="str">
        <f>I466-J466-K466-L466-M466-N466-O466-P466-Q466-R466-S466-T466-U466-V466-W466-X466-Y466-Z466-AA466-AB466-AC466-AD466-AE466-AF466-AG466+AH466-AI466+AJ466+AK466-AL466</f>
        <v>0</v>
      </c>
      <c r="AN466" s="54"/>
      <c r="AO466" s="27"/>
    </row>
    <row r="467" spans="1:41">
      <c r="A467" s="44">
        <v>439</v>
      </c>
      <c r="B467" s="47" t="s">
        <v>1875</v>
      </c>
      <c r="C467" s="48" t="s">
        <v>1876</v>
      </c>
      <c r="D467" s="52" t="s">
        <v>73</v>
      </c>
      <c r="E467" s="52" t="s">
        <v>1843</v>
      </c>
      <c r="F467" s="55" t="s">
        <v>1877</v>
      </c>
      <c r="G467" s="51">
        <v>3</v>
      </c>
      <c r="H467" s="52" t="s">
        <v>1878</v>
      </c>
      <c r="I467" s="54">
        <v>315000</v>
      </c>
      <c r="J467" s="54">
        <v>0</v>
      </c>
      <c r="K467" s="54">
        <v>22000</v>
      </c>
      <c r="L467" s="54">
        <v>0</v>
      </c>
      <c r="M467" s="54">
        <v>0</v>
      </c>
      <c r="N467" s="54">
        <v>0</v>
      </c>
      <c r="O467" s="54">
        <v>0</v>
      </c>
      <c r="P467" s="54">
        <v>0</v>
      </c>
      <c r="Q467" s="54">
        <v>0</v>
      </c>
      <c r="R467" s="54">
        <v>0</v>
      </c>
      <c r="S467" s="54">
        <v>0</v>
      </c>
      <c r="T467" s="54">
        <v>0</v>
      </c>
      <c r="U467" s="54">
        <v>2263</v>
      </c>
      <c r="V467" s="54">
        <v>0</v>
      </c>
      <c r="W467" s="54">
        <v>0</v>
      </c>
      <c r="X467" s="54">
        <v>0</v>
      </c>
      <c r="Y467" s="54">
        <v>0</v>
      </c>
      <c r="Z467" s="54">
        <v>0</v>
      </c>
      <c r="AA467" s="54">
        <v>0</v>
      </c>
      <c r="AB467" s="54">
        <v>0</v>
      </c>
      <c r="AC467" s="54">
        <v>0</v>
      </c>
      <c r="AD467" s="54">
        <v>0</v>
      </c>
      <c r="AE467" s="54">
        <v>0</v>
      </c>
      <c r="AF467" s="54">
        <v>0</v>
      </c>
      <c r="AG467" s="54">
        <v>0</v>
      </c>
      <c r="AH467" s="54">
        <v>0</v>
      </c>
      <c r="AI467" s="54">
        <v>0</v>
      </c>
      <c r="AJ467" s="54">
        <v>0</v>
      </c>
      <c r="AK467" s="54">
        <v>0</v>
      </c>
      <c r="AL467" s="54">
        <v>0</v>
      </c>
      <c r="AM467" s="54" t="str">
        <f>I467-J467-K467-L467-M467-N467-O467-P467-Q467-R467-S467-T467-U467-V467-W467-X467-Y467-Z467-AA467-AB467-AC467-AD467-AE467-AF467-AG467+AH467-AI467+AJ467+AK467-AL467</f>
        <v>0</v>
      </c>
      <c r="AN467" s="54"/>
      <c r="AO467" s="27"/>
    </row>
    <row r="468" spans="1:41">
      <c r="A468" s="44">
        <v>440</v>
      </c>
      <c r="B468" s="47" t="s">
        <v>1879</v>
      </c>
      <c r="C468" s="48" t="s">
        <v>1880</v>
      </c>
      <c r="D468" s="52" t="s">
        <v>73</v>
      </c>
      <c r="E468" s="52" t="s">
        <v>1843</v>
      </c>
      <c r="F468" s="55" t="s">
        <v>1881</v>
      </c>
      <c r="G468" s="51">
        <v>3</v>
      </c>
      <c r="H468" s="52" t="s">
        <v>1882</v>
      </c>
      <c r="I468" s="54">
        <v>960000</v>
      </c>
      <c r="J468" s="54">
        <v>0</v>
      </c>
      <c r="K468" s="54">
        <v>22000</v>
      </c>
      <c r="L468" s="54">
        <v>0</v>
      </c>
      <c r="M468" s="54">
        <v>0</v>
      </c>
      <c r="N468" s="54">
        <v>0</v>
      </c>
      <c r="O468" s="54">
        <v>0</v>
      </c>
      <c r="P468" s="54">
        <v>0</v>
      </c>
      <c r="Q468" s="54">
        <v>0</v>
      </c>
      <c r="R468" s="54">
        <v>0</v>
      </c>
      <c r="S468" s="54">
        <v>0</v>
      </c>
      <c r="T468" s="54">
        <v>0</v>
      </c>
      <c r="U468" s="54">
        <v>2263</v>
      </c>
      <c r="V468" s="54">
        <v>0</v>
      </c>
      <c r="W468" s="54">
        <v>0</v>
      </c>
      <c r="X468" s="54">
        <v>0</v>
      </c>
      <c r="Y468" s="54">
        <v>0</v>
      </c>
      <c r="Z468" s="54">
        <v>0</v>
      </c>
      <c r="AA468" s="54">
        <v>0</v>
      </c>
      <c r="AB468" s="54">
        <v>0</v>
      </c>
      <c r="AC468" s="54">
        <v>0</v>
      </c>
      <c r="AD468" s="54">
        <v>0</v>
      </c>
      <c r="AE468" s="54">
        <v>0</v>
      </c>
      <c r="AF468" s="54">
        <v>0</v>
      </c>
      <c r="AG468" s="54">
        <v>0</v>
      </c>
      <c r="AH468" s="54">
        <v>0</v>
      </c>
      <c r="AI468" s="54">
        <v>0</v>
      </c>
      <c r="AJ468" s="54">
        <v>0</v>
      </c>
      <c r="AK468" s="54">
        <v>0</v>
      </c>
      <c r="AL468" s="54">
        <v>0</v>
      </c>
      <c r="AM468" s="54" t="str">
        <f>I468-J468-K468-L468-M468-N468-O468-P468-Q468-R468-S468-T468-U468-V468-W468-X468-Y468-Z468-AA468-AB468-AC468-AD468-AE468-AF468-AG468+AH468-AI468+AJ468+AK468-AL468</f>
        <v>0</v>
      </c>
      <c r="AN468" s="54"/>
      <c r="AO468" s="27"/>
    </row>
    <row r="469" spans="1:41">
      <c r="A469" s="44">
        <v>441</v>
      </c>
      <c r="B469" s="47" t="s">
        <v>1883</v>
      </c>
      <c r="C469" s="48" t="s">
        <v>1884</v>
      </c>
      <c r="D469" s="52" t="s">
        <v>73</v>
      </c>
      <c r="E469" s="52" t="s">
        <v>1843</v>
      </c>
      <c r="F469" s="55" t="s">
        <v>1885</v>
      </c>
      <c r="G469" s="51">
        <v>3</v>
      </c>
      <c r="H469" s="52" t="s">
        <v>1886</v>
      </c>
      <c r="I469" s="54">
        <v>394000</v>
      </c>
      <c r="J469" s="54">
        <v>0</v>
      </c>
      <c r="K469" s="54">
        <v>22000</v>
      </c>
      <c r="L469" s="54">
        <v>0</v>
      </c>
      <c r="M469" s="54">
        <v>0</v>
      </c>
      <c r="N469" s="54">
        <v>0</v>
      </c>
      <c r="O469" s="54">
        <v>0</v>
      </c>
      <c r="P469" s="54">
        <v>0</v>
      </c>
      <c r="Q469" s="54">
        <v>0</v>
      </c>
      <c r="R469" s="54">
        <v>0</v>
      </c>
      <c r="S469" s="54">
        <v>0</v>
      </c>
      <c r="T469" s="54">
        <v>0</v>
      </c>
      <c r="U469" s="54">
        <v>2263</v>
      </c>
      <c r="V469" s="54">
        <v>0</v>
      </c>
      <c r="W469" s="54">
        <v>0</v>
      </c>
      <c r="X469" s="54">
        <v>0</v>
      </c>
      <c r="Y469" s="54">
        <v>0</v>
      </c>
      <c r="Z469" s="54">
        <v>0</v>
      </c>
      <c r="AA469" s="54">
        <v>0</v>
      </c>
      <c r="AB469" s="54">
        <v>0</v>
      </c>
      <c r="AC469" s="54">
        <v>0</v>
      </c>
      <c r="AD469" s="54">
        <v>0</v>
      </c>
      <c r="AE469" s="54">
        <v>0</v>
      </c>
      <c r="AF469" s="54">
        <v>0</v>
      </c>
      <c r="AG469" s="54">
        <v>0</v>
      </c>
      <c r="AH469" s="54">
        <v>0</v>
      </c>
      <c r="AI469" s="54">
        <v>0</v>
      </c>
      <c r="AJ469" s="54">
        <v>0</v>
      </c>
      <c r="AK469" s="54">
        <v>0</v>
      </c>
      <c r="AL469" s="54">
        <v>0</v>
      </c>
      <c r="AM469" s="54" t="str">
        <f>I469-J469-K469-L469-M469-N469-O469-P469-Q469-R469-S469-T469-U469-V469-W469-X469-Y469-Z469-AA469-AB469-AC469-AD469-AE469-AF469-AG469+AH469-AI469+AJ469+AK469-AL469</f>
        <v>0</v>
      </c>
      <c r="AN469" s="54"/>
      <c r="AO469" s="27"/>
    </row>
    <row r="470" spans="1:41">
      <c r="A470" s="44">
        <v>442</v>
      </c>
      <c r="B470" s="47" t="s">
        <v>1887</v>
      </c>
      <c r="C470" s="48" t="s">
        <v>1888</v>
      </c>
      <c r="D470" s="52" t="s">
        <v>73</v>
      </c>
      <c r="E470" s="52" t="s">
        <v>1843</v>
      </c>
      <c r="F470" s="55" t="s">
        <v>1889</v>
      </c>
      <c r="G470" s="51">
        <v>5.8</v>
      </c>
      <c r="H470" s="52" t="s">
        <v>1890</v>
      </c>
      <c r="I470" s="54">
        <v>634000</v>
      </c>
      <c r="J470" s="54">
        <v>0</v>
      </c>
      <c r="K470" s="54">
        <v>31000</v>
      </c>
      <c r="L470" s="54">
        <v>0</v>
      </c>
      <c r="M470" s="54">
        <v>0</v>
      </c>
      <c r="N470" s="54">
        <v>0</v>
      </c>
      <c r="O470" s="54">
        <v>0</v>
      </c>
      <c r="P470" s="54">
        <v>0</v>
      </c>
      <c r="Q470" s="54">
        <v>0</v>
      </c>
      <c r="R470" s="54">
        <v>0</v>
      </c>
      <c r="S470" s="54">
        <v>0</v>
      </c>
      <c r="T470" s="54">
        <v>0</v>
      </c>
      <c r="U470" s="54">
        <v>3189</v>
      </c>
      <c r="V470" s="54">
        <v>0</v>
      </c>
      <c r="W470" s="54">
        <v>0</v>
      </c>
      <c r="X470" s="54">
        <v>0</v>
      </c>
      <c r="Y470" s="54">
        <v>0</v>
      </c>
      <c r="Z470" s="54">
        <v>0</v>
      </c>
      <c r="AA470" s="54">
        <v>0</v>
      </c>
      <c r="AB470" s="54">
        <v>0</v>
      </c>
      <c r="AC470" s="54">
        <v>0</v>
      </c>
      <c r="AD470" s="54">
        <v>0</v>
      </c>
      <c r="AE470" s="54">
        <v>0</v>
      </c>
      <c r="AF470" s="54">
        <v>0</v>
      </c>
      <c r="AG470" s="54">
        <v>0</v>
      </c>
      <c r="AH470" s="54">
        <v>0</v>
      </c>
      <c r="AI470" s="54">
        <v>0</v>
      </c>
      <c r="AJ470" s="54">
        <v>0</v>
      </c>
      <c r="AK470" s="54">
        <v>0</v>
      </c>
      <c r="AL470" s="54">
        <v>0</v>
      </c>
      <c r="AM470" s="54" t="str">
        <f>I470-J470-K470-L470-M470-N470-O470-P470-Q470-R470-S470-T470-U470-V470-W470-X470-Y470-Z470-AA470-AB470-AC470-AD470-AE470-AF470-AG470+AH470-AI470+AJ470+AK470-AL470</f>
        <v>0</v>
      </c>
      <c r="AN470" s="54"/>
      <c r="AO470" s="27"/>
    </row>
    <row r="471" spans="1:41">
      <c r="A471" s="44">
        <v>443</v>
      </c>
      <c r="B471" s="47" t="s">
        <v>1891</v>
      </c>
      <c r="C471" s="48" t="s">
        <v>1892</v>
      </c>
      <c r="D471" s="52" t="s">
        <v>73</v>
      </c>
      <c r="E471" s="52" t="s">
        <v>1843</v>
      </c>
      <c r="F471" s="55" t="s">
        <v>1893</v>
      </c>
      <c r="G471" s="51">
        <v>2</v>
      </c>
      <c r="H471" s="52" t="s">
        <v>1894</v>
      </c>
      <c r="I471" s="54">
        <v>334000</v>
      </c>
      <c r="J471" s="54">
        <v>0</v>
      </c>
      <c r="K471" s="54">
        <v>22000</v>
      </c>
      <c r="L471" s="54">
        <v>0</v>
      </c>
      <c r="M471" s="54">
        <v>0</v>
      </c>
      <c r="N471" s="54">
        <v>0</v>
      </c>
      <c r="O471" s="54">
        <v>0</v>
      </c>
      <c r="P471" s="54">
        <v>0</v>
      </c>
      <c r="Q471" s="54">
        <v>0</v>
      </c>
      <c r="R471" s="54">
        <v>0</v>
      </c>
      <c r="S471" s="54">
        <v>0</v>
      </c>
      <c r="T471" s="54">
        <v>0</v>
      </c>
      <c r="U471" s="54">
        <v>2263</v>
      </c>
      <c r="V471" s="54">
        <v>0</v>
      </c>
      <c r="W471" s="54">
        <v>0</v>
      </c>
      <c r="X471" s="54">
        <v>0</v>
      </c>
      <c r="Y471" s="54">
        <v>0</v>
      </c>
      <c r="Z471" s="54">
        <v>0</v>
      </c>
      <c r="AA471" s="54">
        <v>0</v>
      </c>
      <c r="AB471" s="54">
        <v>0</v>
      </c>
      <c r="AC471" s="54">
        <v>0</v>
      </c>
      <c r="AD471" s="54">
        <v>0</v>
      </c>
      <c r="AE471" s="54">
        <v>0</v>
      </c>
      <c r="AF471" s="54">
        <v>0</v>
      </c>
      <c r="AG471" s="54">
        <v>0</v>
      </c>
      <c r="AH471" s="54">
        <v>0</v>
      </c>
      <c r="AI471" s="54">
        <v>0</v>
      </c>
      <c r="AJ471" s="54">
        <v>0</v>
      </c>
      <c r="AK471" s="54">
        <v>0</v>
      </c>
      <c r="AL471" s="54">
        <v>0</v>
      </c>
      <c r="AM471" s="54" t="str">
        <f>I471-J471-K471-L471-M471-N471-O471-P471-Q471-R471-S471-T471-U471-V471-W471-X471-Y471-Z471-AA471-AB471-AC471-AD471-AE471-AF471-AG471+AH471-AI471+AJ471+AK471-AL471</f>
        <v>0</v>
      </c>
      <c r="AN471" s="54"/>
      <c r="AO471" s="27"/>
    </row>
    <row r="472" spans="1:41">
      <c r="A472" s="44">
        <v>444</v>
      </c>
      <c r="B472" s="47" t="s">
        <v>1895</v>
      </c>
      <c r="C472" s="48" t="s">
        <v>1896</v>
      </c>
      <c r="D472" s="52" t="s">
        <v>62</v>
      </c>
      <c r="E472" s="52" t="s">
        <v>1897</v>
      </c>
      <c r="F472" s="55" t="s">
        <v>1898</v>
      </c>
      <c r="G472" s="51">
        <v>3</v>
      </c>
      <c r="H472" s="52" t="s">
        <v>1899</v>
      </c>
      <c r="I472" s="54">
        <v>0</v>
      </c>
      <c r="J472" s="54">
        <v>0</v>
      </c>
      <c r="K472" s="54">
        <v>22000</v>
      </c>
      <c r="L472" s="54">
        <v>0</v>
      </c>
      <c r="M472" s="54">
        <v>0</v>
      </c>
      <c r="N472" s="54">
        <v>0</v>
      </c>
      <c r="O472" s="54">
        <v>0</v>
      </c>
      <c r="P472" s="54">
        <v>0</v>
      </c>
      <c r="Q472" s="54">
        <v>0</v>
      </c>
      <c r="R472" s="54">
        <v>0</v>
      </c>
      <c r="S472" s="54">
        <v>0</v>
      </c>
      <c r="T472" s="54">
        <v>0</v>
      </c>
      <c r="U472" s="54">
        <v>2263</v>
      </c>
      <c r="V472" s="54">
        <v>0</v>
      </c>
      <c r="W472" s="54">
        <v>0</v>
      </c>
      <c r="X472" s="54">
        <v>0</v>
      </c>
      <c r="Y472" s="54">
        <v>11000</v>
      </c>
      <c r="Z472" s="54">
        <v>0</v>
      </c>
      <c r="AA472" s="54">
        <v>0</v>
      </c>
      <c r="AB472" s="54">
        <v>0</v>
      </c>
      <c r="AC472" s="54">
        <v>0</v>
      </c>
      <c r="AD472" s="54">
        <v>0</v>
      </c>
      <c r="AE472" s="54">
        <v>0</v>
      </c>
      <c r="AF472" s="54">
        <v>0</v>
      </c>
      <c r="AG472" s="54">
        <v>0</v>
      </c>
      <c r="AH472" s="54">
        <v>0</v>
      </c>
      <c r="AI472" s="54">
        <v>0</v>
      </c>
      <c r="AJ472" s="54">
        <v>0</v>
      </c>
      <c r="AK472" s="54">
        <v>0</v>
      </c>
      <c r="AL472" s="54">
        <v>0</v>
      </c>
      <c r="AM472" s="54" t="str">
        <f>I472-J472-K472-L472-M472-N472-O472-P472-Q472-R472-S472-T472-U472-V472-W472-X472-Y472-Z472-AA472-AB472-AC472-AD472-AE472-AF472-AG472+AH472-AI472+AJ472+AK472-AL472</f>
        <v>0</v>
      </c>
      <c r="AN472" s="54"/>
      <c r="AO472" s="27"/>
    </row>
    <row r="473" spans="1:41">
      <c r="A473" s="44">
        <v>445</v>
      </c>
      <c r="B473" s="47" t="s">
        <v>1900</v>
      </c>
      <c r="C473" s="48" t="s">
        <v>1901</v>
      </c>
      <c r="D473" s="52" t="s">
        <v>73</v>
      </c>
      <c r="E473" s="52" t="s">
        <v>1902</v>
      </c>
      <c r="F473" s="55" t="s">
        <v>1903</v>
      </c>
      <c r="G473" s="51">
        <v>3</v>
      </c>
      <c r="H473" s="52" t="s">
        <v>1904</v>
      </c>
      <c r="I473" s="54">
        <v>0</v>
      </c>
      <c r="J473" s="54">
        <v>0</v>
      </c>
      <c r="K473" s="54">
        <v>22000</v>
      </c>
      <c r="L473" s="54">
        <v>0</v>
      </c>
      <c r="M473" s="54">
        <v>0</v>
      </c>
      <c r="N473" s="54">
        <v>0</v>
      </c>
      <c r="O473" s="54">
        <v>0</v>
      </c>
      <c r="P473" s="54">
        <v>0</v>
      </c>
      <c r="Q473" s="54">
        <v>0</v>
      </c>
      <c r="R473" s="54">
        <v>0</v>
      </c>
      <c r="S473" s="54">
        <v>0</v>
      </c>
      <c r="T473" s="54">
        <v>0</v>
      </c>
      <c r="U473" s="54">
        <v>2263</v>
      </c>
      <c r="V473" s="54">
        <v>0</v>
      </c>
      <c r="W473" s="54">
        <v>0</v>
      </c>
      <c r="X473" s="54">
        <v>0</v>
      </c>
      <c r="Y473" s="54">
        <v>11000</v>
      </c>
      <c r="Z473" s="54">
        <v>0</v>
      </c>
      <c r="AA473" s="54">
        <v>0</v>
      </c>
      <c r="AB473" s="54">
        <v>0</v>
      </c>
      <c r="AC473" s="54">
        <v>0</v>
      </c>
      <c r="AD473" s="54">
        <v>0</v>
      </c>
      <c r="AE473" s="54">
        <v>0</v>
      </c>
      <c r="AF473" s="54">
        <v>0</v>
      </c>
      <c r="AG473" s="54">
        <v>0</v>
      </c>
      <c r="AH473" s="54">
        <v>0</v>
      </c>
      <c r="AI473" s="54">
        <v>0</v>
      </c>
      <c r="AJ473" s="54">
        <v>0</v>
      </c>
      <c r="AK473" s="54">
        <v>0</v>
      </c>
      <c r="AL473" s="54">
        <v>0</v>
      </c>
      <c r="AM473" s="54" t="str">
        <f>I473-J473-K473-L473-M473-N473-O473-P473-Q473-R473-S473-T473-U473-V473-W473-X473-Y473-Z473-AA473-AB473-AC473-AD473-AE473-AF473-AG473+AH473-AI473+AJ473+AK473-AL473</f>
        <v>0</v>
      </c>
      <c r="AN473" s="54"/>
      <c r="AO473" s="27"/>
    </row>
    <row r="474" spans="1:41">
      <c r="A474" s="44">
        <v>446</v>
      </c>
      <c r="B474" s="47" t="s">
        <v>1905</v>
      </c>
      <c r="C474" s="48" t="s">
        <v>1906</v>
      </c>
      <c r="D474" s="52" t="s">
        <v>73</v>
      </c>
      <c r="E474" s="52" t="s">
        <v>1907</v>
      </c>
      <c r="F474" s="55" t="s">
        <v>1151</v>
      </c>
      <c r="G474" s="51">
        <v>4</v>
      </c>
      <c r="H474" s="52" t="s">
        <v>1908</v>
      </c>
      <c r="I474" s="54">
        <v>0</v>
      </c>
      <c r="J474" s="54">
        <v>0</v>
      </c>
      <c r="K474" s="54">
        <v>25000</v>
      </c>
      <c r="L474" s="54">
        <v>0</v>
      </c>
      <c r="M474" s="54">
        <v>0</v>
      </c>
      <c r="N474" s="54">
        <v>0</v>
      </c>
      <c r="O474" s="54">
        <v>0</v>
      </c>
      <c r="P474" s="54">
        <v>0</v>
      </c>
      <c r="Q474" s="54">
        <v>0</v>
      </c>
      <c r="R474" s="54">
        <v>0</v>
      </c>
      <c r="S474" s="54">
        <v>0</v>
      </c>
      <c r="T474" s="54">
        <v>0</v>
      </c>
      <c r="U474" s="54">
        <v>2572</v>
      </c>
      <c r="V474" s="54">
        <v>0</v>
      </c>
      <c r="W474" s="54">
        <v>0</v>
      </c>
      <c r="X474" s="54">
        <v>0</v>
      </c>
      <c r="Y474" s="54">
        <v>12500</v>
      </c>
      <c r="Z474" s="54">
        <v>0</v>
      </c>
      <c r="AA474" s="54">
        <v>0</v>
      </c>
      <c r="AB474" s="54">
        <v>0</v>
      </c>
      <c r="AC474" s="54">
        <v>0</v>
      </c>
      <c r="AD474" s="54">
        <v>0</v>
      </c>
      <c r="AE474" s="54">
        <v>0</v>
      </c>
      <c r="AF474" s="54">
        <v>0</v>
      </c>
      <c r="AG474" s="54">
        <v>0</v>
      </c>
      <c r="AH474" s="54">
        <v>0</v>
      </c>
      <c r="AI474" s="54">
        <v>0</v>
      </c>
      <c r="AJ474" s="54">
        <v>0</v>
      </c>
      <c r="AK474" s="54">
        <v>0</v>
      </c>
      <c r="AL474" s="54">
        <v>0</v>
      </c>
      <c r="AM474" s="54" t="str">
        <f>I474-J474-K474-L474-M474-N474-O474-P474-Q474-R474-S474-T474-U474-V474-W474-X474-Y474-Z474-AA474-AB474-AC474-AD474-AE474-AF474-AG474+AH474-AI474+AJ474+AK474-AL474</f>
        <v>0</v>
      </c>
      <c r="AN474" s="54"/>
      <c r="AO474" s="27"/>
    </row>
    <row r="475" spans="1:41">
      <c r="A475" s="44">
        <v>447</v>
      </c>
      <c r="B475" s="47" t="s">
        <v>1909</v>
      </c>
      <c r="C475" s="48" t="s">
        <v>1910</v>
      </c>
      <c r="D475" s="52" t="s">
        <v>73</v>
      </c>
      <c r="E475" s="52" t="s">
        <v>1907</v>
      </c>
      <c r="F475" s="55" t="s">
        <v>1911</v>
      </c>
      <c r="G475" s="51">
        <v>2</v>
      </c>
      <c r="H475" s="52" t="s">
        <v>1912</v>
      </c>
      <c r="I475" s="54">
        <v>0</v>
      </c>
      <c r="J475" s="54">
        <v>0</v>
      </c>
      <c r="K475" s="54">
        <v>22000</v>
      </c>
      <c r="L475" s="54">
        <v>0</v>
      </c>
      <c r="M475" s="54">
        <v>0</v>
      </c>
      <c r="N475" s="54">
        <v>0</v>
      </c>
      <c r="O475" s="54">
        <v>0</v>
      </c>
      <c r="P475" s="54">
        <v>0</v>
      </c>
      <c r="Q475" s="54">
        <v>0</v>
      </c>
      <c r="R475" s="54">
        <v>0</v>
      </c>
      <c r="S475" s="54">
        <v>0</v>
      </c>
      <c r="T475" s="54">
        <v>0</v>
      </c>
      <c r="U475" s="54">
        <v>2263</v>
      </c>
      <c r="V475" s="54">
        <v>0</v>
      </c>
      <c r="W475" s="54">
        <v>0</v>
      </c>
      <c r="X475" s="54">
        <v>0</v>
      </c>
      <c r="Y475" s="54">
        <v>0</v>
      </c>
      <c r="Z475" s="54">
        <v>0</v>
      </c>
      <c r="AA475" s="54">
        <v>0</v>
      </c>
      <c r="AB475" s="54">
        <v>0</v>
      </c>
      <c r="AC475" s="54">
        <v>0</v>
      </c>
      <c r="AD475" s="54">
        <v>0</v>
      </c>
      <c r="AE475" s="54">
        <v>0</v>
      </c>
      <c r="AF475" s="54">
        <v>0</v>
      </c>
      <c r="AG475" s="54">
        <v>0</v>
      </c>
      <c r="AH475" s="54">
        <v>0</v>
      </c>
      <c r="AI475" s="54">
        <v>0</v>
      </c>
      <c r="AJ475" s="54">
        <v>0</v>
      </c>
      <c r="AK475" s="54">
        <v>0</v>
      </c>
      <c r="AL475" s="54">
        <v>0</v>
      </c>
      <c r="AM475" s="54" t="str">
        <f>I475-J475-K475-L475-M475-N475-O475-P475-Q475-R475-S475-T475-U475-V475-W475-X475-Y475-Z475-AA475-AB475-AC475-AD475-AE475-AF475-AG475+AH475-AI475+AJ475+AK475-AL475</f>
        <v>0</v>
      </c>
      <c r="AN475" s="54"/>
      <c r="AO475" s="27"/>
    </row>
    <row r="476" spans="1:41">
      <c r="A476" s="44">
        <v>448</v>
      </c>
      <c r="B476" s="47" t="s">
        <v>1913</v>
      </c>
      <c r="C476" s="48" t="s">
        <v>1914</v>
      </c>
      <c r="D476" s="52" t="s">
        <v>62</v>
      </c>
      <c r="E476" s="52" t="s">
        <v>1907</v>
      </c>
      <c r="F476" s="55" t="s">
        <v>1915</v>
      </c>
      <c r="G476" s="51">
        <v>2</v>
      </c>
      <c r="H476" s="52" t="s">
        <v>1916</v>
      </c>
      <c r="I476" s="54">
        <v>0</v>
      </c>
      <c r="J476" s="54">
        <v>0</v>
      </c>
      <c r="K476" s="54">
        <v>22000</v>
      </c>
      <c r="L476" s="54">
        <v>0</v>
      </c>
      <c r="M476" s="54">
        <v>0</v>
      </c>
      <c r="N476" s="54">
        <v>0</v>
      </c>
      <c r="O476" s="54">
        <v>0</v>
      </c>
      <c r="P476" s="54">
        <v>0</v>
      </c>
      <c r="Q476" s="54">
        <v>0</v>
      </c>
      <c r="R476" s="54">
        <v>0</v>
      </c>
      <c r="S476" s="54">
        <v>0</v>
      </c>
      <c r="T476" s="54">
        <v>0</v>
      </c>
      <c r="U476" s="54">
        <v>2263</v>
      </c>
      <c r="V476" s="54">
        <v>0</v>
      </c>
      <c r="W476" s="54">
        <v>0</v>
      </c>
      <c r="X476" s="54">
        <v>0</v>
      </c>
      <c r="Y476" s="54">
        <v>5000</v>
      </c>
      <c r="Z476" s="54">
        <v>0</v>
      </c>
      <c r="AA476" s="54">
        <v>0</v>
      </c>
      <c r="AB476" s="54">
        <v>0</v>
      </c>
      <c r="AC476" s="54">
        <v>0</v>
      </c>
      <c r="AD476" s="54">
        <v>0</v>
      </c>
      <c r="AE476" s="54">
        <v>0</v>
      </c>
      <c r="AF476" s="54">
        <v>0</v>
      </c>
      <c r="AG476" s="54">
        <v>0</v>
      </c>
      <c r="AH476" s="54">
        <v>0</v>
      </c>
      <c r="AI476" s="54">
        <v>0</v>
      </c>
      <c r="AJ476" s="54">
        <v>0</v>
      </c>
      <c r="AK476" s="54">
        <v>0</v>
      </c>
      <c r="AL476" s="54">
        <v>0</v>
      </c>
      <c r="AM476" s="54" t="str">
        <f>I476-J476-K476-L476-M476-N476-O476-P476-Q476-R476-S476-T476-U476-V476-W476-X476-Y476-Z476-AA476-AB476-AC476-AD476-AE476-AF476-AG476+AH476-AI476+AJ476+AK476-AL476</f>
        <v>0</v>
      </c>
      <c r="AN476" s="54"/>
      <c r="AO476" s="27"/>
    </row>
    <row r="477" spans="1:41">
      <c r="A477" s="44">
        <v>449</v>
      </c>
      <c r="B477" s="47" t="s">
        <v>1917</v>
      </c>
      <c r="C477" s="48" t="s">
        <v>1918</v>
      </c>
      <c r="D477" s="52" t="s">
        <v>73</v>
      </c>
      <c r="E477" s="52" t="s">
        <v>1907</v>
      </c>
      <c r="F477" s="55" t="s">
        <v>1919</v>
      </c>
      <c r="G477" s="51">
        <v>3</v>
      </c>
      <c r="H477" s="52" t="s">
        <v>1920</v>
      </c>
      <c r="I477" s="54">
        <v>0</v>
      </c>
      <c r="J477" s="54">
        <v>0</v>
      </c>
      <c r="K477" s="54">
        <v>22000</v>
      </c>
      <c r="L477" s="54">
        <v>0</v>
      </c>
      <c r="M477" s="54">
        <v>0</v>
      </c>
      <c r="N477" s="54">
        <v>0</v>
      </c>
      <c r="O477" s="54">
        <v>0</v>
      </c>
      <c r="P477" s="54">
        <v>0</v>
      </c>
      <c r="Q477" s="54">
        <v>0</v>
      </c>
      <c r="R477" s="54">
        <v>0</v>
      </c>
      <c r="S477" s="54">
        <v>0</v>
      </c>
      <c r="T477" s="54">
        <v>0</v>
      </c>
      <c r="U477" s="54">
        <v>2263</v>
      </c>
      <c r="V477" s="54">
        <v>0</v>
      </c>
      <c r="W477" s="54">
        <v>0</v>
      </c>
      <c r="X477" s="54">
        <v>0</v>
      </c>
      <c r="Y477" s="54">
        <v>11000</v>
      </c>
      <c r="Z477" s="54">
        <v>0</v>
      </c>
      <c r="AA477" s="54">
        <v>0</v>
      </c>
      <c r="AB477" s="54">
        <v>0</v>
      </c>
      <c r="AC477" s="54">
        <v>0</v>
      </c>
      <c r="AD477" s="54">
        <v>0</v>
      </c>
      <c r="AE477" s="54">
        <v>0</v>
      </c>
      <c r="AF477" s="54">
        <v>0</v>
      </c>
      <c r="AG477" s="54">
        <v>0</v>
      </c>
      <c r="AH477" s="54">
        <v>0</v>
      </c>
      <c r="AI477" s="54">
        <v>0</v>
      </c>
      <c r="AJ477" s="54">
        <v>0</v>
      </c>
      <c r="AK477" s="54">
        <v>0</v>
      </c>
      <c r="AL477" s="54">
        <v>0</v>
      </c>
      <c r="AM477" s="54" t="str">
        <f>I477-J477-K477-L477-M477-N477-O477-P477-Q477-R477-S477-T477-U477-V477-W477-X477-Y477-Z477-AA477-AB477-AC477-AD477-AE477-AF477-AG477+AH477-AI477+AJ477+AK477-AL477</f>
        <v>0</v>
      </c>
      <c r="AN477" s="54"/>
      <c r="AO477" s="27"/>
    </row>
    <row r="478" spans="1:41">
      <c r="A478" s="44">
        <v>450</v>
      </c>
      <c r="B478" s="47" t="s">
        <v>1921</v>
      </c>
      <c r="C478" s="48" t="s">
        <v>1922</v>
      </c>
      <c r="D478" s="52" t="s">
        <v>73</v>
      </c>
      <c r="E478" s="52" t="s">
        <v>1907</v>
      </c>
      <c r="F478" s="55" t="s">
        <v>1923</v>
      </c>
      <c r="G478" s="51">
        <v>3</v>
      </c>
      <c r="H478" s="52" t="s">
        <v>1924</v>
      </c>
      <c r="I478" s="54">
        <v>0</v>
      </c>
      <c r="J478" s="54">
        <v>0</v>
      </c>
      <c r="K478" s="54">
        <v>22000</v>
      </c>
      <c r="L478" s="54">
        <v>0</v>
      </c>
      <c r="M478" s="54">
        <v>0</v>
      </c>
      <c r="N478" s="54">
        <v>0</v>
      </c>
      <c r="O478" s="54">
        <v>0</v>
      </c>
      <c r="P478" s="54">
        <v>0</v>
      </c>
      <c r="Q478" s="54">
        <v>0</v>
      </c>
      <c r="R478" s="54">
        <v>0</v>
      </c>
      <c r="S478" s="54">
        <v>0</v>
      </c>
      <c r="T478" s="54">
        <v>0</v>
      </c>
      <c r="U478" s="54">
        <v>2263</v>
      </c>
      <c r="V478" s="54">
        <v>0</v>
      </c>
      <c r="W478" s="54">
        <v>0</v>
      </c>
      <c r="X478" s="54">
        <v>0</v>
      </c>
      <c r="Y478" s="54">
        <v>11000</v>
      </c>
      <c r="Z478" s="54">
        <v>0</v>
      </c>
      <c r="AA478" s="54">
        <v>0</v>
      </c>
      <c r="AB478" s="54">
        <v>0</v>
      </c>
      <c r="AC478" s="54">
        <v>0</v>
      </c>
      <c r="AD478" s="54">
        <v>0</v>
      </c>
      <c r="AE478" s="54">
        <v>0</v>
      </c>
      <c r="AF478" s="54">
        <v>0</v>
      </c>
      <c r="AG478" s="54">
        <v>0</v>
      </c>
      <c r="AH478" s="54">
        <v>0</v>
      </c>
      <c r="AI478" s="54">
        <v>0</v>
      </c>
      <c r="AJ478" s="54">
        <v>0</v>
      </c>
      <c r="AK478" s="54">
        <v>0</v>
      </c>
      <c r="AL478" s="54">
        <v>0</v>
      </c>
      <c r="AM478" s="54" t="str">
        <f>I478-J478-K478-L478-M478-N478-O478-P478-Q478-R478-S478-T478-U478-V478-W478-X478-Y478-Z478-AA478-AB478-AC478-AD478-AE478-AF478-AG478+AH478-AI478+AJ478+AK478-AL478</f>
        <v>0</v>
      </c>
      <c r="AN478" s="54"/>
      <c r="AO478" s="27"/>
    </row>
    <row r="479" spans="1:41">
      <c r="A479" s="44">
        <v>451</v>
      </c>
      <c r="B479" s="47" t="s">
        <v>1925</v>
      </c>
      <c r="C479" s="48" t="s">
        <v>1926</v>
      </c>
      <c r="D479" s="52" t="s">
        <v>73</v>
      </c>
      <c r="E479" s="52" t="s">
        <v>1907</v>
      </c>
      <c r="F479" s="55" t="s">
        <v>1927</v>
      </c>
      <c r="G479" s="51">
        <v>3</v>
      </c>
      <c r="H479" s="52" t="s">
        <v>1928</v>
      </c>
      <c r="I479" s="54">
        <v>0</v>
      </c>
      <c r="J479" s="54">
        <v>0</v>
      </c>
      <c r="K479" s="54">
        <v>22000</v>
      </c>
      <c r="L479" s="54">
        <v>0</v>
      </c>
      <c r="M479" s="54">
        <v>0</v>
      </c>
      <c r="N479" s="54">
        <v>0</v>
      </c>
      <c r="O479" s="54">
        <v>0</v>
      </c>
      <c r="P479" s="54">
        <v>0</v>
      </c>
      <c r="Q479" s="54">
        <v>0</v>
      </c>
      <c r="R479" s="54">
        <v>0</v>
      </c>
      <c r="S479" s="54">
        <v>0</v>
      </c>
      <c r="T479" s="54">
        <v>0</v>
      </c>
      <c r="U479" s="54">
        <v>2263</v>
      </c>
      <c r="V479" s="54">
        <v>0</v>
      </c>
      <c r="W479" s="54">
        <v>0</v>
      </c>
      <c r="X479" s="54">
        <v>0</v>
      </c>
      <c r="Y479" s="54">
        <v>11000</v>
      </c>
      <c r="Z479" s="54">
        <v>0</v>
      </c>
      <c r="AA479" s="54">
        <v>0</v>
      </c>
      <c r="AB479" s="54">
        <v>0</v>
      </c>
      <c r="AC479" s="54">
        <v>0</v>
      </c>
      <c r="AD479" s="54">
        <v>0</v>
      </c>
      <c r="AE479" s="54">
        <v>0</v>
      </c>
      <c r="AF479" s="54">
        <v>0</v>
      </c>
      <c r="AG479" s="54">
        <v>0</v>
      </c>
      <c r="AH479" s="54">
        <v>0</v>
      </c>
      <c r="AI479" s="54">
        <v>0</v>
      </c>
      <c r="AJ479" s="54">
        <v>0</v>
      </c>
      <c r="AK479" s="54">
        <v>0</v>
      </c>
      <c r="AL479" s="54">
        <v>0</v>
      </c>
      <c r="AM479" s="54" t="str">
        <f>I479-J479-K479-L479-M479-N479-O479-P479-Q479-R479-S479-T479-U479-V479-W479-X479-Y479-Z479-AA479-AB479-AC479-AD479-AE479-AF479-AG479+AH479-AI479+AJ479+AK479-AL479</f>
        <v>0</v>
      </c>
      <c r="AN479" s="54"/>
      <c r="AO479" s="27"/>
    </row>
    <row r="480" spans="1:41">
      <c r="A480" s="44">
        <v>452</v>
      </c>
      <c r="B480" s="47" t="s">
        <v>1929</v>
      </c>
      <c r="C480" s="48" t="s">
        <v>1930</v>
      </c>
      <c r="D480" s="52" t="s">
        <v>73</v>
      </c>
      <c r="E480" s="52" t="s">
        <v>1907</v>
      </c>
      <c r="F480" s="55" t="s">
        <v>1931</v>
      </c>
      <c r="G480" s="51">
        <v>3</v>
      </c>
      <c r="H480" s="52" t="s">
        <v>1932</v>
      </c>
      <c r="I480" s="54">
        <v>0</v>
      </c>
      <c r="J480" s="54">
        <v>0</v>
      </c>
      <c r="K480" s="54">
        <v>22000</v>
      </c>
      <c r="L480" s="54">
        <v>0</v>
      </c>
      <c r="M480" s="54">
        <v>0</v>
      </c>
      <c r="N480" s="54">
        <v>0</v>
      </c>
      <c r="O480" s="54">
        <v>0</v>
      </c>
      <c r="P480" s="54">
        <v>0</v>
      </c>
      <c r="Q480" s="54">
        <v>0</v>
      </c>
      <c r="R480" s="54">
        <v>0</v>
      </c>
      <c r="S480" s="54">
        <v>0</v>
      </c>
      <c r="T480" s="54">
        <v>0</v>
      </c>
      <c r="U480" s="54">
        <v>2263</v>
      </c>
      <c r="V480" s="54">
        <v>0</v>
      </c>
      <c r="W480" s="54">
        <v>0</v>
      </c>
      <c r="X480" s="54">
        <v>0</v>
      </c>
      <c r="Y480" s="54">
        <v>11000</v>
      </c>
      <c r="Z480" s="54">
        <v>0</v>
      </c>
      <c r="AA480" s="54">
        <v>0</v>
      </c>
      <c r="AB480" s="54">
        <v>0</v>
      </c>
      <c r="AC480" s="54">
        <v>0</v>
      </c>
      <c r="AD480" s="54">
        <v>0</v>
      </c>
      <c r="AE480" s="54">
        <v>0</v>
      </c>
      <c r="AF480" s="54">
        <v>0</v>
      </c>
      <c r="AG480" s="54">
        <v>0</v>
      </c>
      <c r="AH480" s="54">
        <v>0</v>
      </c>
      <c r="AI480" s="54">
        <v>0</v>
      </c>
      <c r="AJ480" s="54">
        <v>0</v>
      </c>
      <c r="AK480" s="54">
        <v>0</v>
      </c>
      <c r="AL480" s="54">
        <v>0</v>
      </c>
      <c r="AM480" s="54" t="str">
        <f>I480-J480-K480-L480-M480-N480-O480-P480-Q480-R480-S480-T480-U480-V480-W480-X480-Y480-Z480-AA480-AB480-AC480-AD480-AE480-AF480-AG480+AH480-AI480+AJ480+AK480-AL480</f>
        <v>0</v>
      </c>
      <c r="AN480" s="54"/>
      <c r="AO480" s="27"/>
    </row>
    <row r="481" spans="1:41">
      <c r="A481" s="44">
        <v>453</v>
      </c>
      <c r="B481" s="47" t="s">
        <v>1933</v>
      </c>
      <c r="C481" s="48" t="s">
        <v>1934</v>
      </c>
      <c r="D481" s="52" t="s">
        <v>73</v>
      </c>
      <c r="E481" s="52" t="s">
        <v>1907</v>
      </c>
      <c r="F481" s="55" t="s">
        <v>1935</v>
      </c>
      <c r="G481" s="51">
        <v>2</v>
      </c>
      <c r="H481" s="52" t="s">
        <v>1936</v>
      </c>
      <c r="I481" s="54">
        <v>0</v>
      </c>
      <c r="J481" s="54">
        <v>0</v>
      </c>
      <c r="K481" s="54">
        <v>22000</v>
      </c>
      <c r="L481" s="54">
        <v>0</v>
      </c>
      <c r="M481" s="54">
        <v>0</v>
      </c>
      <c r="N481" s="54">
        <v>0</v>
      </c>
      <c r="O481" s="54">
        <v>0</v>
      </c>
      <c r="P481" s="54">
        <v>0</v>
      </c>
      <c r="Q481" s="54">
        <v>0</v>
      </c>
      <c r="R481" s="54">
        <v>0</v>
      </c>
      <c r="S481" s="54">
        <v>0</v>
      </c>
      <c r="T481" s="54">
        <v>0</v>
      </c>
      <c r="U481" s="54">
        <v>2263</v>
      </c>
      <c r="V481" s="54">
        <v>0</v>
      </c>
      <c r="W481" s="54">
        <v>0</v>
      </c>
      <c r="X481" s="54">
        <v>0</v>
      </c>
      <c r="Y481" s="54">
        <v>11000</v>
      </c>
      <c r="Z481" s="54">
        <v>0</v>
      </c>
      <c r="AA481" s="54">
        <v>0</v>
      </c>
      <c r="AB481" s="54">
        <v>0</v>
      </c>
      <c r="AC481" s="54">
        <v>0</v>
      </c>
      <c r="AD481" s="54">
        <v>0</v>
      </c>
      <c r="AE481" s="54">
        <v>0</v>
      </c>
      <c r="AF481" s="54">
        <v>0</v>
      </c>
      <c r="AG481" s="54">
        <v>0</v>
      </c>
      <c r="AH481" s="54">
        <v>0</v>
      </c>
      <c r="AI481" s="54">
        <v>0</v>
      </c>
      <c r="AJ481" s="54">
        <v>0</v>
      </c>
      <c r="AK481" s="54">
        <v>0</v>
      </c>
      <c r="AL481" s="54">
        <v>0</v>
      </c>
      <c r="AM481" s="54" t="str">
        <f>I481-J481-K481-L481-M481-N481-O481-P481-Q481-R481-S481-T481-U481-V481-W481-X481-Y481-Z481-AA481-AB481-AC481-AD481-AE481-AF481-AG481+AH481-AI481+AJ481+AK481-AL481</f>
        <v>0</v>
      </c>
      <c r="AN481" s="54"/>
      <c r="AO481" s="27"/>
    </row>
    <row r="482" spans="1:41">
      <c r="A482" s="44">
        <v>454</v>
      </c>
      <c r="B482" s="47" t="s">
        <v>1937</v>
      </c>
      <c r="C482" s="48" t="s">
        <v>1938</v>
      </c>
      <c r="D482" s="52" t="s">
        <v>73</v>
      </c>
      <c r="E482" s="52" t="s">
        <v>1907</v>
      </c>
      <c r="F482" s="55" t="s">
        <v>1939</v>
      </c>
      <c r="G482" s="51">
        <v>2</v>
      </c>
      <c r="H482" s="52" t="s">
        <v>1940</v>
      </c>
      <c r="I482" s="54">
        <v>0</v>
      </c>
      <c r="J482" s="54">
        <v>0</v>
      </c>
      <c r="K482" s="54">
        <v>22000</v>
      </c>
      <c r="L482" s="54">
        <v>0</v>
      </c>
      <c r="M482" s="54">
        <v>0</v>
      </c>
      <c r="N482" s="54">
        <v>0</v>
      </c>
      <c r="O482" s="54">
        <v>0</v>
      </c>
      <c r="P482" s="54">
        <v>0</v>
      </c>
      <c r="Q482" s="54">
        <v>0</v>
      </c>
      <c r="R482" s="54">
        <v>0</v>
      </c>
      <c r="S482" s="54">
        <v>0</v>
      </c>
      <c r="T482" s="54">
        <v>0</v>
      </c>
      <c r="U482" s="54">
        <v>2263</v>
      </c>
      <c r="V482" s="54">
        <v>0</v>
      </c>
      <c r="W482" s="54">
        <v>0</v>
      </c>
      <c r="X482" s="54">
        <v>0</v>
      </c>
      <c r="Y482" s="54">
        <v>11000</v>
      </c>
      <c r="Z482" s="54">
        <v>0</v>
      </c>
      <c r="AA482" s="54">
        <v>0</v>
      </c>
      <c r="AB482" s="54">
        <v>0</v>
      </c>
      <c r="AC482" s="54">
        <v>0</v>
      </c>
      <c r="AD482" s="54">
        <v>0</v>
      </c>
      <c r="AE482" s="54">
        <v>0</v>
      </c>
      <c r="AF482" s="54">
        <v>0</v>
      </c>
      <c r="AG482" s="54">
        <v>0</v>
      </c>
      <c r="AH482" s="54">
        <v>0</v>
      </c>
      <c r="AI482" s="54">
        <v>0</v>
      </c>
      <c r="AJ482" s="54">
        <v>0</v>
      </c>
      <c r="AK482" s="54">
        <v>0</v>
      </c>
      <c r="AL482" s="54">
        <v>0</v>
      </c>
      <c r="AM482" s="54" t="str">
        <f>I482-J482-K482-L482-M482-N482-O482-P482-Q482-R482-S482-T482-U482-V482-W482-X482-Y482-Z482-AA482-AB482-AC482-AD482-AE482-AF482-AG482+AH482-AI482+AJ482+AK482-AL482</f>
        <v>0</v>
      </c>
      <c r="AN482" s="54"/>
      <c r="AO482" s="27"/>
    </row>
    <row r="483" spans="1:41">
      <c r="A483" s="44">
        <v>455</v>
      </c>
      <c r="B483" s="47" t="s">
        <v>1941</v>
      </c>
      <c r="C483" s="48" t="s">
        <v>1942</v>
      </c>
      <c r="D483" s="52" t="s">
        <v>73</v>
      </c>
      <c r="E483" s="52" t="s">
        <v>1907</v>
      </c>
      <c r="F483" s="55" t="s">
        <v>1943</v>
      </c>
      <c r="G483" s="51">
        <v>3</v>
      </c>
      <c r="H483" s="52" t="s">
        <v>1944</v>
      </c>
      <c r="I483" s="54">
        <v>0</v>
      </c>
      <c r="J483" s="54">
        <v>0</v>
      </c>
      <c r="K483" s="54">
        <v>22000</v>
      </c>
      <c r="L483" s="54">
        <v>0</v>
      </c>
      <c r="M483" s="54">
        <v>0</v>
      </c>
      <c r="N483" s="54">
        <v>0</v>
      </c>
      <c r="O483" s="54">
        <v>0</v>
      </c>
      <c r="P483" s="54">
        <v>0</v>
      </c>
      <c r="Q483" s="54">
        <v>0</v>
      </c>
      <c r="R483" s="54">
        <v>0</v>
      </c>
      <c r="S483" s="54">
        <v>0</v>
      </c>
      <c r="T483" s="54">
        <v>0</v>
      </c>
      <c r="U483" s="54">
        <v>2263</v>
      </c>
      <c r="V483" s="54">
        <v>0</v>
      </c>
      <c r="W483" s="54">
        <v>0</v>
      </c>
      <c r="X483" s="54">
        <v>0</v>
      </c>
      <c r="Y483" s="54">
        <v>11000</v>
      </c>
      <c r="Z483" s="54">
        <v>0</v>
      </c>
      <c r="AA483" s="54">
        <v>0</v>
      </c>
      <c r="AB483" s="54">
        <v>0</v>
      </c>
      <c r="AC483" s="54">
        <v>0</v>
      </c>
      <c r="AD483" s="54">
        <v>0</v>
      </c>
      <c r="AE483" s="54">
        <v>0</v>
      </c>
      <c r="AF483" s="54">
        <v>0</v>
      </c>
      <c r="AG483" s="54">
        <v>0</v>
      </c>
      <c r="AH483" s="54">
        <v>0</v>
      </c>
      <c r="AI483" s="54">
        <v>0</v>
      </c>
      <c r="AJ483" s="54">
        <v>0</v>
      </c>
      <c r="AK483" s="54">
        <v>0</v>
      </c>
      <c r="AL483" s="54">
        <v>0</v>
      </c>
      <c r="AM483" s="54" t="str">
        <f>I483-J483-K483-L483-M483-N483-O483-P483-Q483-R483-S483-T483-U483-V483-W483-X483-Y483-Z483-AA483-AB483-AC483-AD483-AE483-AF483-AG483+AH483-AI483+AJ483+AK483-AL483</f>
        <v>0</v>
      </c>
      <c r="AN483" s="54"/>
      <c r="AO483" s="27"/>
    </row>
    <row r="484" spans="1:41">
      <c r="A484" s="44">
        <v>456</v>
      </c>
      <c r="B484" s="47" t="s">
        <v>1945</v>
      </c>
      <c r="C484" s="48" t="s">
        <v>1946</v>
      </c>
      <c r="D484" s="52" t="s">
        <v>73</v>
      </c>
      <c r="E484" s="52" t="s">
        <v>1907</v>
      </c>
      <c r="F484" s="55" t="s">
        <v>1947</v>
      </c>
      <c r="G484" s="51">
        <v>3</v>
      </c>
      <c r="H484" s="52" t="s">
        <v>1948</v>
      </c>
      <c r="I484" s="54">
        <v>0</v>
      </c>
      <c r="J484" s="54">
        <v>0</v>
      </c>
      <c r="K484" s="54">
        <v>22000</v>
      </c>
      <c r="L484" s="54">
        <v>0</v>
      </c>
      <c r="M484" s="54">
        <v>0</v>
      </c>
      <c r="N484" s="54">
        <v>0</v>
      </c>
      <c r="O484" s="54">
        <v>0</v>
      </c>
      <c r="P484" s="54">
        <v>0</v>
      </c>
      <c r="Q484" s="54">
        <v>0</v>
      </c>
      <c r="R484" s="54">
        <v>0</v>
      </c>
      <c r="S484" s="54">
        <v>0</v>
      </c>
      <c r="T484" s="54">
        <v>0</v>
      </c>
      <c r="U484" s="54">
        <v>2263</v>
      </c>
      <c r="V484" s="54">
        <v>0</v>
      </c>
      <c r="W484" s="54">
        <v>0</v>
      </c>
      <c r="X484" s="54">
        <v>0</v>
      </c>
      <c r="Y484" s="54">
        <v>0</v>
      </c>
      <c r="Z484" s="54">
        <v>0</v>
      </c>
      <c r="AA484" s="54">
        <v>0</v>
      </c>
      <c r="AB484" s="54">
        <v>0</v>
      </c>
      <c r="AC484" s="54">
        <v>0</v>
      </c>
      <c r="AD484" s="54">
        <v>0</v>
      </c>
      <c r="AE484" s="54">
        <v>0</v>
      </c>
      <c r="AF484" s="54">
        <v>0</v>
      </c>
      <c r="AG484" s="54">
        <v>0</v>
      </c>
      <c r="AH484" s="54">
        <v>0</v>
      </c>
      <c r="AI484" s="54">
        <v>0</v>
      </c>
      <c r="AJ484" s="54">
        <v>0</v>
      </c>
      <c r="AK484" s="54">
        <v>0</v>
      </c>
      <c r="AL484" s="54">
        <v>0</v>
      </c>
      <c r="AM484" s="54" t="str">
        <f>I484-J484-K484-L484-M484-N484-O484-P484-Q484-R484-S484-T484-U484-V484-W484-X484-Y484-Z484-AA484-AB484-AC484-AD484-AE484-AF484-AG484+AH484-AI484+AJ484+AK484-AL484</f>
        <v>0</v>
      </c>
      <c r="AN484" s="54"/>
      <c r="AO484" s="27"/>
    </row>
    <row r="485" spans="1:41">
      <c r="A485" s="44">
        <v>457</v>
      </c>
      <c r="B485" s="47" t="s">
        <v>1949</v>
      </c>
      <c r="C485" s="48" t="s">
        <v>1950</v>
      </c>
      <c r="D485" s="52" t="s">
        <v>73</v>
      </c>
      <c r="E485" s="52" t="s">
        <v>1907</v>
      </c>
      <c r="F485" s="55" t="s">
        <v>1951</v>
      </c>
      <c r="G485" s="51">
        <v>3</v>
      </c>
      <c r="H485" s="52" t="s">
        <v>1952</v>
      </c>
      <c r="I485" s="54">
        <v>0</v>
      </c>
      <c r="J485" s="54">
        <v>0</v>
      </c>
      <c r="K485" s="54">
        <v>22000</v>
      </c>
      <c r="L485" s="54">
        <v>0</v>
      </c>
      <c r="M485" s="54">
        <v>0</v>
      </c>
      <c r="N485" s="54">
        <v>0</v>
      </c>
      <c r="O485" s="54">
        <v>0</v>
      </c>
      <c r="P485" s="54">
        <v>0</v>
      </c>
      <c r="Q485" s="54">
        <v>0</v>
      </c>
      <c r="R485" s="54">
        <v>0</v>
      </c>
      <c r="S485" s="54">
        <v>0</v>
      </c>
      <c r="T485" s="54">
        <v>0</v>
      </c>
      <c r="U485" s="54">
        <v>2263</v>
      </c>
      <c r="V485" s="54">
        <v>0</v>
      </c>
      <c r="W485" s="54">
        <v>0</v>
      </c>
      <c r="X485" s="54">
        <v>0</v>
      </c>
      <c r="Y485" s="54">
        <v>11000</v>
      </c>
      <c r="Z485" s="54">
        <v>0</v>
      </c>
      <c r="AA485" s="54">
        <v>0</v>
      </c>
      <c r="AB485" s="54">
        <v>0</v>
      </c>
      <c r="AC485" s="54">
        <v>0</v>
      </c>
      <c r="AD485" s="54">
        <v>0</v>
      </c>
      <c r="AE485" s="54">
        <v>0</v>
      </c>
      <c r="AF485" s="54">
        <v>0</v>
      </c>
      <c r="AG485" s="54">
        <v>0</v>
      </c>
      <c r="AH485" s="54">
        <v>0</v>
      </c>
      <c r="AI485" s="54">
        <v>0</v>
      </c>
      <c r="AJ485" s="54">
        <v>0</v>
      </c>
      <c r="AK485" s="54">
        <v>0</v>
      </c>
      <c r="AL485" s="54">
        <v>0</v>
      </c>
      <c r="AM485" s="54" t="str">
        <f>I485-J485-K485-L485-M485-N485-O485-P485-Q485-R485-S485-T485-U485-V485-W485-X485-Y485-Z485-AA485-AB485-AC485-AD485-AE485-AF485-AG485+AH485-AI485+AJ485+AK485-AL485</f>
        <v>0</v>
      </c>
      <c r="AN485" s="54"/>
      <c r="AO485" s="27"/>
    </row>
    <row r="486" spans="1:41">
      <c r="A486" s="44">
        <v>458</v>
      </c>
      <c r="B486" s="47" t="s">
        <v>1953</v>
      </c>
      <c r="C486" s="48" t="s">
        <v>1954</v>
      </c>
      <c r="D486" s="52" t="s">
        <v>73</v>
      </c>
      <c r="E486" s="52" t="s">
        <v>1907</v>
      </c>
      <c r="F486" s="55" t="s">
        <v>1955</v>
      </c>
      <c r="G486" s="51">
        <v>4</v>
      </c>
      <c r="H486" s="52" t="s">
        <v>1956</v>
      </c>
      <c r="I486" s="54">
        <v>0</v>
      </c>
      <c r="J486" s="54">
        <v>0</v>
      </c>
      <c r="K486" s="54">
        <v>25000</v>
      </c>
      <c r="L486" s="54">
        <v>0</v>
      </c>
      <c r="M486" s="54">
        <v>0</v>
      </c>
      <c r="N486" s="54">
        <v>0</v>
      </c>
      <c r="O486" s="54">
        <v>0</v>
      </c>
      <c r="P486" s="54">
        <v>0</v>
      </c>
      <c r="Q486" s="54">
        <v>0</v>
      </c>
      <c r="R486" s="54">
        <v>0</v>
      </c>
      <c r="S486" s="54">
        <v>0</v>
      </c>
      <c r="T486" s="54">
        <v>0</v>
      </c>
      <c r="U486" s="54">
        <v>2572</v>
      </c>
      <c r="V486" s="54">
        <v>0</v>
      </c>
      <c r="W486" s="54">
        <v>0</v>
      </c>
      <c r="X486" s="54">
        <v>0</v>
      </c>
      <c r="Y486" s="54">
        <v>12500</v>
      </c>
      <c r="Z486" s="54">
        <v>0</v>
      </c>
      <c r="AA486" s="54">
        <v>0</v>
      </c>
      <c r="AB486" s="54">
        <v>0</v>
      </c>
      <c r="AC486" s="54">
        <v>0</v>
      </c>
      <c r="AD486" s="54">
        <v>0</v>
      </c>
      <c r="AE486" s="54">
        <v>0</v>
      </c>
      <c r="AF486" s="54">
        <v>0</v>
      </c>
      <c r="AG486" s="54">
        <v>0</v>
      </c>
      <c r="AH486" s="54">
        <v>0</v>
      </c>
      <c r="AI486" s="54">
        <v>0</v>
      </c>
      <c r="AJ486" s="54">
        <v>0</v>
      </c>
      <c r="AK486" s="54">
        <v>0</v>
      </c>
      <c r="AL486" s="54">
        <v>0</v>
      </c>
      <c r="AM486" s="54" t="str">
        <f>I486-J486-K486-L486-M486-N486-O486-P486-Q486-R486-S486-T486-U486-V486-W486-X486-Y486-Z486-AA486-AB486-AC486-AD486-AE486-AF486-AG486+AH486-AI486+AJ486+AK486-AL486</f>
        <v>0</v>
      </c>
      <c r="AN486" s="54"/>
      <c r="AO486" s="27"/>
    </row>
    <row r="487" spans="1:41">
      <c r="A487" s="44">
        <v>459</v>
      </c>
      <c r="B487" s="47" t="s">
        <v>1957</v>
      </c>
      <c r="C487" s="48" t="s">
        <v>1958</v>
      </c>
      <c r="D487" s="52" t="s">
        <v>73</v>
      </c>
      <c r="E487" s="52" t="s">
        <v>1907</v>
      </c>
      <c r="F487" s="55" t="s">
        <v>1959</v>
      </c>
      <c r="G487" s="51">
        <v>5</v>
      </c>
      <c r="H487" s="52" t="s">
        <v>1960</v>
      </c>
      <c r="I487" s="54">
        <v>0</v>
      </c>
      <c r="J487" s="54">
        <v>0</v>
      </c>
      <c r="K487" s="54">
        <v>27000</v>
      </c>
      <c r="L487" s="54">
        <v>0</v>
      </c>
      <c r="M487" s="54">
        <v>0</v>
      </c>
      <c r="N487" s="54">
        <v>0</v>
      </c>
      <c r="O487" s="54">
        <v>0</v>
      </c>
      <c r="P487" s="54">
        <v>0</v>
      </c>
      <c r="Q487" s="54">
        <v>0</v>
      </c>
      <c r="R487" s="54">
        <v>0</v>
      </c>
      <c r="S487" s="54">
        <v>0</v>
      </c>
      <c r="T487" s="54">
        <v>0</v>
      </c>
      <c r="U487" s="54">
        <v>2778</v>
      </c>
      <c r="V487" s="54">
        <v>0</v>
      </c>
      <c r="W487" s="54">
        <v>0</v>
      </c>
      <c r="X487" s="54">
        <v>0</v>
      </c>
      <c r="Y487" s="54">
        <v>13500</v>
      </c>
      <c r="Z487" s="54">
        <v>0</v>
      </c>
      <c r="AA487" s="54">
        <v>0</v>
      </c>
      <c r="AB487" s="54">
        <v>0</v>
      </c>
      <c r="AC487" s="54">
        <v>0</v>
      </c>
      <c r="AD487" s="54">
        <v>0</v>
      </c>
      <c r="AE487" s="54">
        <v>0</v>
      </c>
      <c r="AF487" s="54">
        <v>0</v>
      </c>
      <c r="AG487" s="54">
        <v>0</v>
      </c>
      <c r="AH487" s="54">
        <v>0</v>
      </c>
      <c r="AI487" s="54">
        <v>0</v>
      </c>
      <c r="AJ487" s="54">
        <v>0</v>
      </c>
      <c r="AK487" s="54">
        <v>0</v>
      </c>
      <c r="AL487" s="54">
        <v>0</v>
      </c>
      <c r="AM487" s="54" t="str">
        <f>I487-J487-K487-L487-M487-N487-O487-P487-Q487-R487-S487-T487-U487-V487-W487-X487-Y487-Z487-AA487-AB487-AC487-AD487-AE487-AF487-AG487+AH487-AI487+AJ487+AK487-AL487</f>
        <v>0</v>
      </c>
      <c r="AN487" s="54"/>
      <c r="AO487" s="27"/>
    </row>
    <row r="488" spans="1:41">
      <c r="A488" s="44">
        <v>460</v>
      </c>
      <c r="B488" s="47" t="s">
        <v>1961</v>
      </c>
      <c r="C488" s="48" t="s">
        <v>1962</v>
      </c>
      <c r="D488" s="52" t="s">
        <v>73</v>
      </c>
      <c r="E488" s="52" t="s">
        <v>1907</v>
      </c>
      <c r="F488" s="55" t="s">
        <v>1963</v>
      </c>
      <c r="G488" s="51">
        <v>3</v>
      </c>
      <c r="H488" s="52" t="s">
        <v>1964</v>
      </c>
      <c r="I488" s="54">
        <v>0</v>
      </c>
      <c r="J488" s="54">
        <v>0</v>
      </c>
      <c r="K488" s="54">
        <v>22000</v>
      </c>
      <c r="L488" s="54">
        <v>0</v>
      </c>
      <c r="M488" s="54">
        <v>0</v>
      </c>
      <c r="N488" s="54">
        <v>0</v>
      </c>
      <c r="O488" s="54">
        <v>0</v>
      </c>
      <c r="P488" s="54">
        <v>0</v>
      </c>
      <c r="Q488" s="54">
        <v>0</v>
      </c>
      <c r="R488" s="54">
        <v>0</v>
      </c>
      <c r="S488" s="54">
        <v>0</v>
      </c>
      <c r="T488" s="54">
        <v>0</v>
      </c>
      <c r="U488" s="54">
        <v>2263</v>
      </c>
      <c r="V488" s="54">
        <v>0</v>
      </c>
      <c r="W488" s="54">
        <v>0</v>
      </c>
      <c r="X488" s="54">
        <v>0</v>
      </c>
      <c r="Y488" s="54">
        <v>5000</v>
      </c>
      <c r="Z488" s="54">
        <v>0</v>
      </c>
      <c r="AA488" s="54">
        <v>0</v>
      </c>
      <c r="AB488" s="54">
        <v>0</v>
      </c>
      <c r="AC488" s="54">
        <v>0</v>
      </c>
      <c r="AD488" s="54">
        <v>0</v>
      </c>
      <c r="AE488" s="54">
        <v>0</v>
      </c>
      <c r="AF488" s="54">
        <v>0</v>
      </c>
      <c r="AG488" s="54">
        <v>0</v>
      </c>
      <c r="AH488" s="54">
        <v>0</v>
      </c>
      <c r="AI488" s="54">
        <v>0</v>
      </c>
      <c r="AJ488" s="54">
        <v>0</v>
      </c>
      <c r="AK488" s="54">
        <v>0</v>
      </c>
      <c r="AL488" s="54">
        <v>0</v>
      </c>
      <c r="AM488" s="54" t="str">
        <f>I488-J488-K488-L488-M488-N488-O488-P488-Q488-R488-S488-T488-U488-V488-W488-X488-Y488-Z488-AA488-AB488-AC488-AD488-AE488-AF488-AG488+AH488-AI488+AJ488+AK488-AL488</f>
        <v>0</v>
      </c>
      <c r="AN488" s="54"/>
      <c r="AO488" s="27"/>
    </row>
    <row r="489" spans="1:41">
      <c r="A489" s="44">
        <v>461</v>
      </c>
      <c r="B489" s="47" t="s">
        <v>1965</v>
      </c>
      <c r="C489" s="48" t="s">
        <v>1966</v>
      </c>
      <c r="D489" s="52" t="s">
        <v>73</v>
      </c>
      <c r="E489" s="52" t="s">
        <v>1907</v>
      </c>
      <c r="F489" s="55" t="s">
        <v>1967</v>
      </c>
      <c r="G489" s="51">
        <v>3</v>
      </c>
      <c r="H489" s="52" t="s">
        <v>1968</v>
      </c>
      <c r="I489" s="54">
        <v>0</v>
      </c>
      <c r="J489" s="54">
        <v>0</v>
      </c>
      <c r="K489" s="54">
        <v>22000</v>
      </c>
      <c r="L489" s="54">
        <v>0</v>
      </c>
      <c r="M489" s="54">
        <v>0</v>
      </c>
      <c r="N489" s="54">
        <v>0</v>
      </c>
      <c r="O489" s="54">
        <v>0</v>
      </c>
      <c r="P489" s="54">
        <v>0</v>
      </c>
      <c r="Q489" s="54">
        <v>0</v>
      </c>
      <c r="R489" s="54">
        <v>0</v>
      </c>
      <c r="S489" s="54">
        <v>0</v>
      </c>
      <c r="T489" s="54">
        <v>0</v>
      </c>
      <c r="U489" s="54">
        <v>2263</v>
      </c>
      <c r="V489" s="54">
        <v>0</v>
      </c>
      <c r="W489" s="54">
        <v>0</v>
      </c>
      <c r="X489" s="54">
        <v>0</v>
      </c>
      <c r="Y489" s="54">
        <v>11000</v>
      </c>
      <c r="Z489" s="54">
        <v>0</v>
      </c>
      <c r="AA489" s="54">
        <v>0</v>
      </c>
      <c r="AB489" s="54">
        <v>0</v>
      </c>
      <c r="AC489" s="54">
        <v>0</v>
      </c>
      <c r="AD489" s="54">
        <v>0</v>
      </c>
      <c r="AE489" s="54">
        <v>0</v>
      </c>
      <c r="AF489" s="54">
        <v>0</v>
      </c>
      <c r="AG489" s="54">
        <v>0</v>
      </c>
      <c r="AH489" s="54">
        <v>0</v>
      </c>
      <c r="AI489" s="54">
        <v>0</v>
      </c>
      <c r="AJ489" s="54">
        <v>0</v>
      </c>
      <c r="AK489" s="54">
        <v>0</v>
      </c>
      <c r="AL489" s="54">
        <v>0</v>
      </c>
      <c r="AM489" s="54" t="str">
        <f>I489-J489-K489-L489-M489-N489-O489-P489-Q489-R489-S489-T489-U489-V489-W489-X489-Y489-Z489-AA489-AB489-AC489-AD489-AE489-AF489-AG489+AH489-AI489+AJ489+AK489-AL489</f>
        <v>0</v>
      </c>
      <c r="AN489" s="54"/>
      <c r="AO489" s="27"/>
    </row>
    <row r="490" spans="1:41">
      <c r="A490" s="44">
        <v>462</v>
      </c>
      <c r="B490" s="47" t="s">
        <v>1969</v>
      </c>
      <c r="C490" s="48" t="s">
        <v>1970</v>
      </c>
      <c r="D490" s="52" t="s">
        <v>73</v>
      </c>
      <c r="E490" s="52" t="s">
        <v>1907</v>
      </c>
      <c r="F490" s="55" t="s">
        <v>1363</v>
      </c>
      <c r="G490" s="51">
        <v>2</v>
      </c>
      <c r="H490" s="52" t="s">
        <v>1971</v>
      </c>
      <c r="I490" s="54">
        <v>0</v>
      </c>
      <c r="J490" s="54">
        <v>0</v>
      </c>
      <c r="K490" s="54">
        <v>22000</v>
      </c>
      <c r="L490" s="54">
        <v>0</v>
      </c>
      <c r="M490" s="54">
        <v>0</v>
      </c>
      <c r="N490" s="54">
        <v>0</v>
      </c>
      <c r="O490" s="54">
        <v>0</v>
      </c>
      <c r="P490" s="54">
        <v>0</v>
      </c>
      <c r="Q490" s="54">
        <v>0</v>
      </c>
      <c r="R490" s="54">
        <v>0</v>
      </c>
      <c r="S490" s="54">
        <v>0</v>
      </c>
      <c r="T490" s="54">
        <v>0</v>
      </c>
      <c r="U490" s="54">
        <v>2263</v>
      </c>
      <c r="V490" s="54">
        <v>0</v>
      </c>
      <c r="W490" s="54">
        <v>0</v>
      </c>
      <c r="X490" s="54">
        <v>0</v>
      </c>
      <c r="Y490" s="54">
        <v>11000</v>
      </c>
      <c r="Z490" s="54">
        <v>0</v>
      </c>
      <c r="AA490" s="54">
        <v>0</v>
      </c>
      <c r="AB490" s="54">
        <v>0</v>
      </c>
      <c r="AC490" s="54">
        <v>0</v>
      </c>
      <c r="AD490" s="54">
        <v>0</v>
      </c>
      <c r="AE490" s="54">
        <v>0</v>
      </c>
      <c r="AF490" s="54">
        <v>0</v>
      </c>
      <c r="AG490" s="54">
        <v>0</v>
      </c>
      <c r="AH490" s="54">
        <v>0</v>
      </c>
      <c r="AI490" s="54">
        <v>0</v>
      </c>
      <c r="AJ490" s="54">
        <v>0</v>
      </c>
      <c r="AK490" s="54">
        <v>0</v>
      </c>
      <c r="AL490" s="54">
        <v>0</v>
      </c>
      <c r="AM490" s="54" t="str">
        <f>I490-J490-K490-L490-M490-N490-O490-P490-Q490-R490-S490-T490-U490-V490-W490-X490-Y490-Z490-AA490-AB490-AC490-AD490-AE490-AF490-AG490+AH490-AI490+AJ490+AK490-AL490</f>
        <v>0</v>
      </c>
      <c r="AN490" s="54"/>
      <c r="AO490" s="27"/>
    </row>
    <row r="491" spans="1:41">
      <c r="A491" s="44">
        <v>463</v>
      </c>
      <c r="B491" s="47" t="s">
        <v>1972</v>
      </c>
      <c r="C491" s="48" t="s">
        <v>1973</v>
      </c>
      <c r="D491" s="52" t="s">
        <v>73</v>
      </c>
      <c r="E491" s="52" t="s">
        <v>1907</v>
      </c>
      <c r="F491" s="55" t="s">
        <v>1974</v>
      </c>
      <c r="G491" s="51">
        <v>3</v>
      </c>
      <c r="H491" s="52" t="s">
        <v>1975</v>
      </c>
      <c r="I491" s="54">
        <v>0</v>
      </c>
      <c r="J491" s="54">
        <v>0</v>
      </c>
      <c r="K491" s="54">
        <v>22000</v>
      </c>
      <c r="L491" s="54">
        <v>0</v>
      </c>
      <c r="M491" s="54">
        <v>0</v>
      </c>
      <c r="N491" s="54">
        <v>0</v>
      </c>
      <c r="O491" s="54">
        <v>0</v>
      </c>
      <c r="P491" s="54">
        <v>0</v>
      </c>
      <c r="Q491" s="54">
        <v>0</v>
      </c>
      <c r="R491" s="54">
        <v>0</v>
      </c>
      <c r="S491" s="54">
        <v>0</v>
      </c>
      <c r="T491" s="54">
        <v>0</v>
      </c>
      <c r="U491" s="54">
        <v>2263</v>
      </c>
      <c r="V491" s="54">
        <v>0</v>
      </c>
      <c r="W491" s="54">
        <v>0</v>
      </c>
      <c r="X491" s="54">
        <v>0</v>
      </c>
      <c r="Y491" s="54">
        <v>11000</v>
      </c>
      <c r="Z491" s="54">
        <v>0</v>
      </c>
      <c r="AA491" s="54">
        <v>0</v>
      </c>
      <c r="AB491" s="54">
        <v>0</v>
      </c>
      <c r="AC491" s="54">
        <v>0</v>
      </c>
      <c r="AD491" s="54">
        <v>0</v>
      </c>
      <c r="AE491" s="54">
        <v>0</v>
      </c>
      <c r="AF491" s="54">
        <v>0</v>
      </c>
      <c r="AG491" s="54">
        <v>0</v>
      </c>
      <c r="AH491" s="54">
        <v>0</v>
      </c>
      <c r="AI491" s="54">
        <v>0</v>
      </c>
      <c r="AJ491" s="54">
        <v>0</v>
      </c>
      <c r="AK491" s="54">
        <v>0</v>
      </c>
      <c r="AL491" s="54">
        <v>0</v>
      </c>
      <c r="AM491" s="54" t="str">
        <f>I491-J491-K491-L491-M491-N491-O491-P491-Q491-R491-S491-T491-U491-V491-W491-X491-Y491-Z491-AA491-AB491-AC491-AD491-AE491-AF491-AG491+AH491-AI491+AJ491+AK491-AL491</f>
        <v>0</v>
      </c>
      <c r="AN491" s="54"/>
      <c r="AO491" s="27"/>
    </row>
    <row r="492" spans="1:41">
      <c r="A492" s="44">
        <v>464</v>
      </c>
      <c r="B492" s="47" t="s">
        <v>1976</v>
      </c>
      <c r="C492" s="48" t="s">
        <v>1977</v>
      </c>
      <c r="D492" s="52" t="s">
        <v>73</v>
      </c>
      <c r="E492" s="52" t="s">
        <v>1907</v>
      </c>
      <c r="F492" s="55" t="s">
        <v>1978</v>
      </c>
      <c r="G492" s="51">
        <v>4</v>
      </c>
      <c r="H492" s="52" t="s">
        <v>1979</v>
      </c>
      <c r="I492" s="54">
        <v>0</v>
      </c>
      <c r="J492" s="54">
        <v>0</v>
      </c>
      <c r="K492" s="54">
        <v>25000</v>
      </c>
      <c r="L492" s="54">
        <v>0</v>
      </c>
      <c r="M492" s="54">
        <v>0</v>
      </c>
      <c r="N492" s="54">
        <v>0</v>
      </c>
      <c r="O492" s="54">
        <v>0</v>
      </c>
      <c r="P492" s="54">
        <v>0</v>
      </c>
      <c r="Q492" s="54">
        <v>0</v>
      </c>
      <c r="R492" s="54">
        <v>0</v>
      </c>
      <c r="S492" s="54">
        <v>0</v>
      </c>
      <c r="T492" s="54">
        <v>0</v>
      </c>
      <c r="U492" s="54">
        <v>2572</v>
      </c>
      <c r="V492" s="54">
        <v>0</v>
      </c>
      <c r="W492" s="54">
        <v>0</v>
      </c>
      <c r="X492" s="54">
        <v>0</v>
      </c>
      <c r="Y492" s="54">
        <v>5000</v>
      </c>
      <c r="Z492" s="54">
        <v>0</v>
      </c>
      <c r="AA492" s="54">
        <v>0</v>
      </c>
      <c r="AB492" s="54">
        <v>0</v>
      </c>
      <c r="AC492" s="54">
        <v>0</v>
      </c>
      <c r="AD492" s="54">
        <v>0</v>
      </c>
      <c r="AE492" s="54">
        <v>0</v>
      </c>
      <c r="AF492" s="54">
        <v>0</v>
      </c>
      <c r="AG492" s="54">
        <v>0</v>
      </c>
      <c r="AH492" s="54">
        <v>0</v>
      </c>
      <c r="AI492" s="54">
        <v>0</v>
      </c>
      <c r="AJ492" s="54">
        <v>0</v>
      </c>
      <c r="AK492" s="54">
        <v>0</v>
      </c>
      <c r="AL492" s="54">
        <v>0</v>
      </c>
      <c r="AM492" s="54" t="str">
        <f>I492-J492-K492-L492-M492-N492-O492-P492-Q492-R492-S492-T492-U492-V492-W492-X492-Y492-Z492-AA492-AB492-AC492-AD492-AE492-AF492-AG492+AH492-AI492+AJ492+AK492-AL492</f>
        <v>0</v>
      </c>
      <c r="AN492" s="54"/>
      <c r="AO492" s="27"/>
    </row>
    <row r="493" spans="1:41">
      <c r="A493" s="44">
        <v>465</v>
      </c>
      <c r="B493" s="47" t="s">
        <v>1980</v>
      </c>
      <c r="C493" s="48" t="s">
        <v>1981</v>
      </c>
      <c r="D493" s="52" t="s">
        <v>73</v>
      </c>
      <c r="E493" s="52" t="s">
        <v>1982</v>
      </c>
      <c r="F493" s="55" t="s">
        <v>1186</v>
      </c>
      <c r="G493" s="51">
        <v>3</v>
      </c>
      <c r="H493" s="52" t="s">
        <v>1983</v>
      </c>
      <c r="I493" s="54">
        <v>0</v>
      </c>
      <c r="J493" s="54">
        <v>0</v>
      </c>
      <c r="K493" s="54">
        <v>22000</v>
      </c>
      <c r="L493" s="54">
        <v>0</v>
      </c>
      <c r="M493" s="54">
        <v>0</v>
      </c>
      <c r="N493" s="54">
        <v>0</v>
      </c>
      <c r="O493" s="54">
        <v>0</v>
      </c>
      <c r="P493" s="54">
        <v>0</v>
      </c>
      <c r="Q493" s="54">
        <v>0</v>
      </c>
      <c r="R493" s="54">
        <v>0</v>
      </c>
      <c r="S493" s="54">
        <v>0</v>
      </c>
      <c r="T493" s="54">
        <v>0</v>
      </c>
      <c r="U493" s="54">
        <v>2263</v>
      </c>
      <c r="V493" s="54">
        <v>0</v>
      </c>
      <c r="W493" s="54">
        <v>0</v>
      </c>
      <c r="X493" s="54">
        <v>0</v>
      </c>
      <c r="Y493" s="54">
        <v>11000</v>
      </c>
      <c r="Z493" s="54">
        <v>0</v>
      </c>
      <c r="AA493" s="54">
        <v>0</v>
      </c>
      <c r="AB493" s="54">
        <v>0</v>
      </c>
      <c r="AC493" s="54">
        <v>0</v>
      </c>
      <c r="AD493" s="54">
        <v>0</v>
      </c>
      <c r="AE493" s="54">
        <v>0</v>
      </c>
      <c r="AF493" s="54">
        <v>0</v>
      </c>
      <c r="AG493" s="54">
        <v>0</v>
      </c>
      <c r="AH493" s="54">
        <v>0</v>
      </c>
      <c r="AI493" s="54">
        <v>0</v>
      </c>
      <c r="AJ493" s="54">
        <v>0</v>
      </c>
      <c r="AK493" s="54">
        <v>0</v>
      </c>
      <c r="AL493" s="54">
        <v>0</v>
      </c>
      <c r="AM493" s="54" t="str">
        <f>I493-J493-K493-L493-M493-N493-O493-P493-Q493-R493-S493-T493-U493-V493-W493-X493-Y493-Z493-AA493-AB493-AC493-AD493-AE493-AF493-AG493+AH493-AI493+AJ493+AK493-AL493</f>
        <v>0</v>
      </c>
      <c r="AN493" s="54"/>
      <c r="AO493" s="27"/>
    </row>
    <row r="494" spans="1:41">
      <c r="A494" s="44">
        <v>466</v>
      </c>
      <c r="B494" s="47" t="s">
        <v>1984</v>
      </c>
      <c r="C494" s="48" t="s">
        <v>1985</v>
      </c>
      <c r="D494" s="52" t="s">
        <v>73</v>
      </c>
      <c r="E494" s="52" t="s">
        <v>1982</v>
      </c>
      <c r="F494" s="55" t="s">
        <v>1986</v>
      </c>
      <c r="G494" s="51">
        <v>3</v>
      </c>
      <c r="H494" s="52" t="s">
        <v>1987</v>
      </c>
      <c r="I494" s="54">
        <v>0</v>
      </c>
      <c r="J494" s="54">
        <v>0</v>
      </c>
      <c r="K494" s="54">
        <v>22000</v>
      </c>
      <c r="L494" s="54">
        <v>0</v>
      </c>
      <c r="M494" s="54">
        <v>0</v>
      </c>
      <c r="N494" s="54">
        <v>0</v>
      </c>
      <c r="O494" s="54">
        <v>0</v>
      </c>
      <c r="P494" s="54">
        <v>0</v>
      </c>
      <c r="Q494" s="54">
        <v>0</v>
      </c>
      <c r="R494" s="54">
        <v>0</v>
      </c>
      <c r="S494" s="54">
        <v>0</v>
      </c>
      <c r="T494" s="54">
        <v>0</v>
      </c>
      <c r="U494" s="54">
        <v>2263</v>
      </c>
      <c r="V494" s="54">
        <v>0</v>
      </c>
      <c r="W494" s="54">
        <v>0</v>
      </c>
      <c r="X494" s="54">
        <v>0</v>
      </c>
      <c r="Y494" s="54">
        <v>5000</v>
      </c>
      <c r="Z494" s="54">
        <v>0</v>
      </c>
      <c r="AA494" s="54">
        <v>0</v>
      </c>
      <c r="AB494" s="54">
        <v>0</v>
      </c>
      <c r="AC494" s="54">
        <v>0</v>
      </c>
      <c r="AD494" s="54">
        <v>0</v>
      </c>
      <c r="AE494" s="54">
        <v>0</v>
      </c>
      <c r="AF494" s="54">
        <v>0</v>
      </c>
      <c r="AG494" s="54">
        <v>0</v>
      </c>
      <c r="AH494" s="54">
        <v>0</v>
      </c>
      <c r="AI494" s="54">
        <v>0</v>
      </c>
      <c r="AJ494" s="54">
        <v>0</v>
      </c>
      <c r="AK494" s="54">
        <v>0</v>
      </c>
      <c r="AL494" s="54">
        <v>0</v>
      </c>
      <c r="AM494" s="54" t="str">
        <f>I494-J494-K494-L494-M494-N494-O494-P494-Q494-R494-S494-T494-U494-V494-W494-X494-Y494-Z494-AA494-AB494-AC494-AD494-AE494-AF494-AG494+AH494-AI494+AJ494+AK494-AL494</f>
        <v>0</v>
      </c>
      <c r="AN494" s="54"/>
      <c r="AO494" s="27"/>
    </row>
    <row r="495" spans="1:41">
      <c r="A495" s="44">
        <v>467</v>
      </c>
      <c r="B495" s="47" t="s">
        <v>1988</v>
      </c>
      <c r="C495" s="48" t="s">
        <v>1989</v>
      </c>
      <c r="D495" s="52" t="s">
        <v>73</v>
      </c>
      <c r="E495" s="52" t="s">
        <v>1982</v>
      </c>
      <c r="F495" s="55" t="s">
        <v>703</v>
      </c>
      <c r="G495" s="51">
        <v>3</v>
      </c>
      <c r="H495" s="52" t="s">
        <v>1990</v>
      </c>
      <c r="I495" s="54">
        <v>0</v>
      </c>
      <c r="J495" s="54">
        <v>0</v>
      </c>
      <c r="K495" s="54">
        <v>22000</v>
      </c>
      <c r="L495" s="54">
        <v>0</v>
      </c>
      <c r="M495" s="54">
        <v>0</v>
      </c>
      <c r="N495" s="54">
        <v>0</v>
      </c>
      <c r="O495" s="54">
        <v>0</v>
      </c>
      <c r="P495" s="54">
        <v>0</v>
      </c>
      <c r="Q495" s="54">
        <v>0</v>
      </c>
      <c r="R495" s="54">
        <v>0</v>
      </c>
      <c r="S495" s="54">
        <v>0</v>
      </c>
      <c r="T495" s="54">
        <v>0</v>
      </c>
      <c r="U495" s="54">
        <v>1397</v>
      </c>
      <c r="V495" s="54">
        <v>0</v>
      </c>
      <c r="W495" s="54">
        <v>0</v>
      </c>
      <c r="X495" s="54">
        <v>0</v>
      </c>
      <c r="Y495" s="54">
        <v>5000</v>
      </c>
      <c r="Z495" s="54">
        <v>0</v>
      </c>
      <c r="AA495" s="54">
        <v>0</v>
      </c>
      <c r="AB495" s="54">
        <v>0</v>
      </c>
      <c r="AC495" s="54">
        <v>0</v>
      </c>
      <c r="AD495" s="54">
        <v>0</v>
      </c>
      <c r="AE495" s="54">
        <v>0</v>
      </c>
      <c r="AF495" s="54">
        <v>0</v>
      </c>
      <c r="AG495" s="54">
        <v>0</v>
      </c>
      <c r="AH495" s="54">
        <v>0</v>
      </c>
      <c r="AI495" s="54">
        <v>0</v>
      </c>
      <c r="AJ495" s="54">
        <v>0</v>
      </c>
      <c r="AK495" s="54">
        <v>0</v>
      </c>
      <c r="AL495" s="54">
        <v>0</v>
      </c>
      <c r="AM495" s="54" t="str">
        <f>I495-J495-K495-L495-M495-N495-O495-P495-Q495-R495-S495-T495-U495-V495-W495-X495-Y495-Z495-AA495-AB495-AC495-AD495-AE495-AF495-AG495+AH495-AI495+AJ495+AK495-AL495</f>
        <v>0</v>
      </c>
      <c r="AN495" s="54"/>
      <c r="AO495" s="27"/>
    </row>
    <row r="496" spans="1:41">
      <c r="A496" s="44">
        <v>468</v>
      </c>
      <c r="B496" s="47" t="s">
        <v>1991</v>
      </c>
      <c r="C496" s="48" t="s">
        <v>1992</v>
      </c>
      <c r="D496" s="52" t="s">
        <v>73</v>
      </c>
      <c r="E496" s="52" t="s">
        <v>1982</v>
      </c>
      <c r="F496" s="55" t="s">
        <v>1993</v>
      </c>
      <c r="G496" s="51">
        <v>4</v>
      </c>
      <c r="H496" s="52" t="s">
        <v>1994</v>
      </c>
      <c r="I496" s="54">
        <v>0</v>
      </c>
      <c r="J496" s="54">
        <v>0</v>
      </c>
      <c r="K496" s="54">
        <v>25000</v>
      </c>
      <c r="L496" s="54">
        <v>0</v>
      </c>
      <c r="M496" s="54">
        <v>0</v>
      </c>
      <c r="N496" s="54">
        <v>0</v>
      </c>
      <c r="O496" s="54">
        <v>0</v>
      </c>
      <c r="P496" s="54">
        <v>0</v>
      </c>
      <c r="Q496" s="54">
        <v>0</v>
      </c>
      <c r="R496" s="54">
        <v>0</v>
      </c>
      <c r="S496" s="54">
        <v>0</v>
      </c>
      <c r="T496" s="54">
        <v>0</v>
      </c>
      <c r="U496" s="54">
        <v>2572</v>
      </c>
      <c r="V496" s="54">
        <v>0</v>
      </c>
      <c r="W496" s="54">
        <v>0</v>
      </c>
      <c r="X496" s="54">
        <v>0</v>
      </c>
      <c r="Y496" s="54">
        <v>12500</v>
      </c>
      <c r="Z496" s="54">
        <v>0</v>
      </c>
      <c r="AA496" s="54">
        <v>0</v>
      </c>
      <c r="AB496" s="54">
        <v>0</v>
      </c>
      <c r="AC496" s="54">
        <v>0</v>
      </c>
      <c r="AD496" s="54">
        <v>0</v>
      </c>
      <c r="AE496" s="54">
        <v>0</v>
      </c>
      <c r="AF496" s="54">
        <v>0</v>
      </c>
      <c r="AG496" s="54">
        <v>0</v>
      </c>
      <c r="AH496" s="54">
        <v>0</v>
      </c>
      <c r="AI496" s="54">
        <v>0</v>
      </c>
      <c r="AJ496" s="54">
        <v>0</v>
      </c>
      <c r="AK496" s="54">
        <v>0</v>
      </c>
      <c r="AL496" s="54">
        <v>0</v>
      </c>
      <c r="AM496" s="54" t="str">
        <f>I496-J496-K496-L496-M496-N496-O496-P496-Q496-R496-S496-T496-U496-V496-W496-X496-Y496-Z496-AA496-AB496-AC496-AD496-AE496-AF496-AG496+AH496-AI496+AJ496+AK496-AL496</f>
        <v>0</v>
      </c>
      <c r="AN496" s="54"/>
      <c r="AO496" s="27"/>
    </row>
    <row r="497" spans="1:41">
      <c r="A497" s="44">
        <v>469</v>
      </c>
      <c r="B497" s="47" t="s">
        <v>1995</v>
      </c>
      <c r="C497" s="48" t="s">
        <v>1996</v>
      </c>
      <c r="D497" s="52" t="s">
        <v>73</v>
      </c>
      <c r="E497" s="52" t="s">
        <v>1997</v>
      </c>
      <c r="F497" s="55" t="s">
        <v>1998</v>
      </c>
      <c r="G497" s="51">
        <v>2</v>
      </c>
      <c r="H497" s="52" t="s">
        <v>1999</v>
      </c>
      <c r="I497" s="54">
        <v>384000</v>
      </c>
      <c r="J497" s="54">
        <v>0</v>
      </c>
      <c r="K497" s="54">
        <v>22000</v>
      </c>
      <c r="L497" s="54">
        <v>0</v>
      </c>
      <c r="M497" s="54">
        <v>0</v>
      </c>
      <c r="N497" s="54">
        <v>0</v>
      </c>
      <c r="O497" s="54">
        <v>0</v>
      </c>
      <c r="P497" s="54">
        <v>0</v>
      </c>
      <c r="Q497" s="54">
        <v>0</v>
      </c>
      <c r="R497" s="54">
        <v>0</v>
      </c>
      <c r="S497" s="54">
        <v>0</v>
      </c>
      <c r="T497" s="54">
        <v>0</v>
      </c>
      <c r="U497" s="54">
        <v>2263</v>
      </c>
      <c r="V497" s="54">
        <v>0</v>
      </c>
      <c r="W497" s="54">
        <v>0</v>
      </c>
      <c r="X497" s="54">
        <v>0</v>
      </c>
      <c r="Y497" s="54">
        <v>0</v>
      </c>
      <c r="Z497" s="54">
        <v>0</v>
      </c>
      <c r="AA497" s="54">
        <v>0</v>
      </c>
      <c r="AB497" s="54">
        <v>0</v>
      </c>
      <c r="AC497" s="54">
        <v>0</v>
      </c>
      <c r="AD497" s="54">
        <v>0</v>
      </c>
      <c r="AE497" s="54">
        <v>0</v>
      </c>
      <c r="AF497" s="54">
        <v>0</v>
      </c>
      <c r="AG497" s="54">
        <v>0</v>
      </c>
      <c r="AH497" s="54">
        <v>0</v>
      </c>
      <c r="AI497" s="54">
        <v>0</v>
      </c>
      <c r="AJ497" s="54">
        <v>0</v>
      </c>
      <c r="AK497" s="54">
        <v>0</v>
      </c>
      <c r="AL497" s="54">
        <v>0</v>
      </c>
      <c r="AM497" s="54" t="str">
        <f>I497-J497-K497-L497-M497-N497-O497-P497-Q497-R497-S497-T497-U497-V497-W497-X497-Y497-Z497-AA497-AB497-AC497-AD497-AE497-AF497-AG497+AH497-AI497+AJ497+AK497-AL497</f>
        <v>0</v>
      </c>
      <c r="AN497" s="54"/>
      <c r="AO497" s="27"/>
    </row>
    <row r="498" spans="1:41">
      <c r="A498" s="44">
        <v>470</v>
      </c>
      <c r="B498" s="47" t="s">
        <v>2000</v>
      </c>
      <c r="C498" s="48" t="s">
        <v>2001</v>
      </c>
      <c r="D498" s="52" t="s">
        <v>62</v>
      </c>
      <c r="E498" s="52" t="s">
        <v>1997</v>
      </c>
      <c r="F498" s="55" t="s">
        <v>2002</v>
      </c>
      <c r="G498" s="51">
        <v>5</v>
      </c>
      <c r="H498" s="52" t="s">
        <v>2003</v>
      </c>
      <c r="I498" s="54">
        <v>0</v>
      </c>
      <c r="J498" s="54">
        <v>0</v>
      </c>
      <c r="K498" s="54">
        <v>27000</v>
      </c>
      <c r="L498" s="54">
        <v>0</v>
      </c>
      <c r="M498" s="54">
        <v>0</v>
      </c>
      <c r="N498" s="54">
        <v>0</v>
      </c>
      <c r="O498" s="54">
        <v>0</v>
      </c>
      <c r="P498" s="54">
        <v>0</v>
      </c>
      <c r="Q498" s="54">
        <v>0</v>
      </c>
      <c r="R498" s="54">
        <v>0</v>
      </c>
      <c r="S498" s="54">
        <v>0</v>
      </c>
      <c r="T498" s="54">
        <v>0</v>
      </c>
      <c r="U498" s="54">
        <v>2778</v>
      </c>
      <c r="V498" s="54">
        <v>0</v>
      </c>
      <c r="W498" s="54">
        <v>0</v>
      </c>
      <c r="X498" s="54">
        <v>0</v>
      </c>
      <c r="Y498" s="54">
        <v>13500</v>
      </c>
      <c r="Z498" s="54">
        <v>0</v>
      </c>
      <c r="AA498" s="54">
        <v>0</v>
      </c>
      <c r="AB498" s="54">
        <v>0</v>
      </c>
      <c r="AC498" s="54">
        <v>0</v>
      </c>
      <c r="AD498" s="54">
        <v>0</v>
      </c>
      <c r="AE498" s="54">
        <v>0</v>
      </c>
      <c r="AF498" s="54">
        <v>0</v>
      </c>
      <c r="AG498" s="54">
        <v>0</v>
      </c>
      <c r="AH498" s="54">
        <v>0</v>
      </c>
      <c r="AI498" s="54">
        <v>0</v>
      </c>
      <c r="AJ498" s="54">
        <v>0</v>
      </c>
      <c r="AK498" s="54">
        <v>0</v>
      </c>
      <c r="AL498" s="54">
        <v>0</v>
      </c>
      <c r="AM498" s="54" t="str">
        <f>I498-J498-K498-L498-M498-N498-O498-P498-Q498-R498-S498-T498-U498-V498-W498-X498-Y498-Z498-AA498-AB498-AC498-AD498-AE498-AF498-AG498+AH498-AI498+AJ498+AK498-AL498</f>
        <v>0</v>
      </c>
      <c r="AN498" s="54"/>
      <c r="AO498" s="27"/>
    </row>
    <row r="499" spans="1:41">
      <c r="A499" s="44">
        <v>471</v>
      </c>
      <c r="B499" s="47" t="s">
        <v>2004</v>
      </c>
      <c r="C499" s="48" t="s">
        <v>2005</v>
      </c>
      <c r="D499" s="52" t="s">
        <v>73</v>
      </c>
      <c r="E499" s="52" t="s">
        <v>1997</v>
      </c>
      <c r="F499" s="55" t="s">
        <v>2006</v>
      </c>
      <c r="G499" s="51">
        <v>3</v>
      </c>
      <c r="H499" s="52" t="s">
        <v>2007</v>
      </c>
      <c r="I499" s="54">
        <v>354000</v>
      </c>
      <c r="J499" s="54">
        <v>0</v>
      </c>
      <c r="K499" s="54">
        <v>22000</v>
      </c>
      <c r="L499" s="54">
        <v>0</v>
      </c>
      <c r="M499" s="54">
        <v>0</v>
      </c>
      <c r="N499" s="54">
        <v>0</v>
      </c>
      <c r="O499" s="54">
        <v>0</v>
      </c>
      <c r="P499" s="54">
        <v>0</v>
      </c>
      <c r="Q499" s="54">
        <v>0</v>
      </c>
      <c r="R499" s="54">
        <v>0</v>
      </c>
      <c r="S499" s="54">
        <v>0</v>
      </c>
      <c r="T499" s="54">
        <v>0</v>
      </c>
      <c r="U499" s="54">
        <v>2263</v>
      </c>
      <c r="V499" s="54">
        <v>0</v>
      </c>
      <c r="W499" s="54">
        <v>0</v>
      </c>
      <c r="X499" s="54">
        <v>0</v>
      </c>
      <c r="Y499" s="54">
        <v>0</v>
      </c>
      <c r="Z499" s="54">
        <v>0</v>
      </c>
      <c r="AA499" s="54">
        <v>0</v>
      </c>
      <c r="AB499" s="54">
        <v>0</v>
      </c>
      <c r="AC499" s="54">
        <v>0</v>
      </c>
      <c r="AD499" s="54">
        <v>0</v>
      </c>
      <c r="AE499" s="54">
        <v>0</v>
      </c>
      <c r="AF499" s="54">
        <v>0</v>
      </c>
      <c r="AG499" s="54">
        <v>0</v>
      </c>
      <c r="AH499" s="54">
        <v>0</v>
      </c>
      <c r="AI499" s="54">
        <v>0</v>
      </c>
      <c r="AJ499" s="54">
        <v>0</v>
      </c>
      <c r="AK499" s="54">
        <v>0</v>
      </c>
      <c r="AL499" s="54">
        <v>0</v>
      </c>
      <c r="AM499" s="54" t="str">
        <f>I499-J499-K499-L499-M499-N499-O499-P499-Q499-R499-S499-T499-U499-V499-W499-X499-Y499-Z499-AA499-AB499-AC499-AD499-AE499-AF499-AG499+AH499-AI499+AJ499+AK499-AL499</f>
        <v>0</v>
      </c>
      <c r="AN499" s="54"/>
      <c r="AO499" s="27"/>
    </row>
    <row r="500" spans="1:41">
      <c r="A500" s="44">
        <v>472</v>
      </c>
      <c r="B500" s="47" t="s">
        <v>2008</v>
      </c>
      <c r="C500" s="48" t="s">
        <v>2009</v>
      </c>
      <c r="D500" s="52" t="s">
        <v>62</v>
      </c>
      <c r="E500" s="52" t="s">
        <v>1997</v>
      </c>
      <c r="F500" s="55" t="s">
        <v>2010</v>
      </c>
      <c r="G500" s="51">
        <v>2</v>
      </c>
      <c r="H500" s="52" t="s">
        <v>2011</v>
      </c>
      <c r="I500" s="54">
        <v>0</v>
      </c>
      <c r="J500" s="54">
        <v>0</v>
      </c>
      <c r="K500" s="54">
        <v>22000</v>
      </c>
      <c r="L500" s="54">
        <v>0</v>
      </c>
      <c r="M500" s="54">
        <v>0</v>
      </c>
      <c r="N500" s="54">
        <v>0</v>
      </c>
      <c r="O500" s="54">
        <v>0</v>
      </c>
      <c r="P500" s="54">
        <v>0</v>
      </c>
      <c r="Q500" s="54">
        <v>0</v>
      </c>
      <c r="R500" s="54">
        <v>0</v>
      </c>
      <c r="S500" s="54">
        <v>0</v>
      </c>
      <c r="T500" s="54">
        <v>0</v>
      </c>
      <c r="U500" s="54">
        <v>2263</v>
      </c>
      <c r="V500" s="54">
        <v>0</v>
      </c>
      <c r="W500" s="54">
        <v>0</v>
      </c>
      <c r="X500" s="54">
        <v>0</v>
      </c>
      <c r="Y500" s="54">
        <v>11000</v>
      </c>
      <c r="Z500" s="54">
        <v>0</v>
      </c>
      <c r="AA500" s="54">
        <v>0</v>
      </c>
      <c r="AB500" s="54">
        <v>0</v>
      </c>
      <c r="AC500" s="54">
        <v>0</v>
      </c>
      <c r="AD500" s="54">
        <v>0</v>
      </c>
      <c r="AE500" s="54">
        <v>0</v>
      </c>
      <c r="AF500" s="54">
        <v>0</v>
      </c>
      <c r="AG500" s="54">
        <v>0</v>
      </c>
      <c r="AH500" s="54">
        <v>0</v>
      </c>
      <c r="AI500" s="54">
        <v>0</v>
      </c>
      <c r="AJ500" s="54">
        <v>0</v>
      </c>
      <c r="AK500" s="54">
        <v>0</v>
      </c>
      <c r="AL500" s="54">
        <v>0</v>
      </c>
      <c r="AM500" s="54" t="str">
        <f>I500-J500-K500-L500-M500-N500-O500-P500-Q500-R500-S500-T500-U500-V500-W500-X500-Y500-Z500-AA500-AB500-AC500-AD500-AE500-AF500-AG500+AH500-AI500+AJ500+AK500-AL500</f>
        <v>0</v>
      </c>
      <c r="AN500" s="54"/>
      <c r="AO500" s="27"/>
    </row>
    <row r="501" spans="1:41">
      <c r="A501" s="44">
        <v>473</v>
      </c>
      <c r="B501" s="47" t="s">
        <v>2012</v>
      </c>
      <c r="C501" s="48" t="s">
        <v>2013</v>
      </c>
      <c r="D501" s="52" t="s">
        <v>73</v>
      </c>
      <c r="E501" s="52" t="s">
        <v>1997</v>
      </c>
      <c r="F501" s="55" t="s">
        <v>2014</v>
      </c>
      <c r="G501" s="51">
        <v>3</v>
      </c>
      <c r="H501" s="52" t="s">
        <v>2015</v>
      </c>
      <c r="I501" s="54">
        <v>420000</v>
      </c>
      <c r="J501" s="54">
        <v>0</v>
      </c>
      <c r="K501" s="54">
        <v>22000</v>
      </c>
      <c r="L501" s="54">
        <v>0</v>
      </c>
      <c r="M501" s="54">
        <v>0</v>
      </c>
      <c r="N501" s="54">
        <v>0</v>
      </c>
      <c r="O501" s="54">
        <v>0</v>
      </c>
      <c r="P501" s="54">
        <v>0</v>
      </c>
      <c r="Q501" s="54">
        <v>0</v>
      </c>
      <c r="R501" s="54">
        <v>0</v>
      </c>
      <c r="S501" s="54">
        <v>0</v>
      </c>
      <c r="T501" s="54">
        <v>0</v>
      </c>
      <c r="U501" s="54">
        <v>2263</v>
      </c>
      <c r="V501" s="54">
        <v>0</v>
      </c>
      <c r="W501" s="54">
        <v>0</v>
      </c>
      <c r="X501" s="54">
        <v>0</v>
      </c>
      <c r="Y501" s="54">
        <v>0</v>
      </c>
      <c r="Z501" s="54">
        <v>0</v>
      </c>
      <c r="AA501" s="54">
        <v>0</v>
      </c>
      <c r="AB501" s="54">
        <v>0</v>
      </c>
      <c r="AC501" s="54">
        <v>0</v>
      </c>
      <c r="AD501" s="54">
        <v>0</v>
      </c>
      <c r="AE501" s="54">
        <v>0</v>
      </c>
      <c r="AF501" s="54">
        <v>0</v>
      </c>
      <c r="AG501" s="54">
        <v>0</v>
      </c>
      <c r="AH501" s="54">
        <v>0</v>
      </c>
      <c r="AI501" s="54">
        <v>0</v>
      </c>
      <c r="AJ501" s="54">
        <v>0</v>
      </c>
      <c r="AK501" s="54">
        <v>0</v>
      </c>
      <c r="AL501" s="54">
        <v>0</v>
      </c>
      <c r="AM501" s="54" t="str">
        <f>I501-J501-K501-L501-M501-N501-O501-P501-Q501-R501-S501-T501-U501-V501-W501-X501-Y501-Z501-AA501-AB501-AC501-AD501-AE501-AF501-AG501+AH501-AI501+AJ501+AK501-AL501</f>
        <v>0</v>
      </c>
      <c r="AN501" s="54"/>
      <c r="AO501" s="27"/>
    </row>
    <row r="502" spans="1:41">
      <c r="A502" s="44">
        <v>474</v>
      </c>
      <c r="B502" s="47" t="s">
        <v>2016</v>
      </c>
      <c r="C502" s="48" t="s">
        <v>2017</v>
      </c>
      <c r="D502" s="52" t="s">
        <v>73</v>
      </c>
      <c r="E502" s="52" t="s">
        <v>1997</v>
      </c>
      <c r="F502" s="55" t="s">
        <v>699</v>
      </c>
      <c r="G502" s="51">
        <v>7</v>
      </c>
      <c r="H502" s="52" t="s">
        <v>2018</v>
      </c>
      <c r="I502" s="54">
        <v>1837000</v>
      </c>
      <c r="J502" s="54">
        <v>0</v>
      </c>
      <c r="K502" s="54">
        <v>35000</v>
      </c>
      <c r="L502" s="54">
        <v>0</v>
      </c>
      <c r="M502" s="54">
        <v>0</v>
      </c>
      <c r="N502" s="54">
        <v>0</v>
      </c>
      <c r="O502" s="54">
        <v>0</v>
      </c>
      <c r="P502" s="54">
        <v>0</v>
      </c>
      <c r="Q502" s="54">
        <v>0</v>
      </c>
      <c r="R502" s="54">
        <v>0</v>
      </c>
      <c r="S502" s="54">
        <v>0</v>
      </c>
      <c r="T502" s="54">
        <v>0</v>
      </c>
      <c r="U502" s="54">
        <v>3601</v>
      </c>
      <c r="V502" s="54">
        <v>0</v>
      </c>
      <c r="W502" s="54">
        <v>0</v>
      </c>
      <c r="X502" s="54">
        <v>0</v>
      </c>
      <c r="Y502" s="54">
        <v>0</v>
      </c>
      <c r="Z502" s="54">
        <v>0</v>
      </c>
      <c r="AA502" s="54">
        <v>0</v>
      </c>
      <c r="AB502" s="54">
        <v>0</v>
      </c>
      <c r="AC502" s="54">
        <v>0</v>
      </c>
      <c r="AD502" s="54">
        <v>0</v>
      </c>
      <c r="AE502" s="54">
        <v>0</v>
      </c>
      <c r="AF502" s="54">
        <v>0</v>
      </c>
      <c r="AG502" s="54">
        <v>0</v>
      </c>
      <c r="AH502" s="54">
        <v>0</v>
      </c>
      <c r="AI502" s="54">
        <v>0</v>
      </c>
      <c r="AJ502" s="54">
        <v>0</v>
      </c>
      <c r="AK502" s="54">
        <v>0</v>
      </c>
      <c r="AL502" s="54">
        <v>0</v>
      </c>
      <c r="AM502" s="54" t="str">
        <f>I502-J502-K502-L502-M502-N502-O502-P502-Q502-R502-S502-T502-U502-V502-W502-X502-Y502-Z502-AA502-AB502-AC502-AD502-AE502-AF502-AG502+AH502-AI502+AJ502+AK502-AL502</f>
        <v>0</v>
      </c>
      <c r="AN502" s="54"/>
      <c r="AO502" s="27"/>
    </row>
    <row r="503" spans="1:41">
      <c r="A503" s="44">
        <v>475</v>
      </c>
      <c r="B503" s="47" t="s">
        <v>2019</v>
      </c>
      <c r="C503" s="48" t="s">
        <v>2020</v>
      </c>
      <c r="D503" s="52" t="s">
        <v>73</v>
      </c>
      <c r="E503" s="52" t="s">
        <v>1997</v>
      </c>
      <c r="F503" s="55" t="s">
        <v>2021</v>
      </c>
      <c r="G503" s="51">
        <v>2</v>
      </c>
      <c r="H503" s="52" t="s">
        <v>2022</v>
      </c>
      <c r="I503" s="54">
        <v>654000</v>
      </c>
      <c r="J503" s="54">
        <v>0</v>
      </c>
      <c r="K503" s="54">
        <v>22000</v>
      </c>
      <c r="L503" s="54">
        <v>0</v>
      </c>
      <c r="M503" s="54">
        <v>0</v>
      </c>
      <c r="N503" s="54">
        <v>0</v>
      </c>
      <c r="O503" s="54">
        <v>0</v>
      </c>
      <c r="P503" s="54">
        <v>0</v>
      </c>
      <c r="Q503" s="54">
        <v>0</v>
      </c>
      <c r="R503" s="54">
        <v>0</v>
      </c>
      <c r="S503" s="54">
        <v>0</v>
      </c>
      <c r="T503" s="54">
        <v>0</v>
      </c>
      <c r="U503" s="54">
        <v>2263</v>
      </c>
      <c r="V503" s="54">
        <v>0</v>
      </c>
      <c r="W503" s="54">
        <v>0</v>
      </c>
      <c r="X503" s="54">
        <v>0</v>
      </c>
      <c r="Y503" s="54">
        <v>0</v>
      </c>
      <c r="Z503" s="54">
        <v>0</v>
      </c>
      <c r="AA503" s="54">
        <v>0</v>
      </c>
      <c r="AB503" s="54">
        <v>0</v>
      </c>
      <c r="AC503" s="54">
        <v>0</v>
      </c>
      <c r="AD503" s="54">
        <v>0</v>
      </c>
      <c r="AE503" s="54">
        <v>0</v>
      </c>
      <c r="AF503" s="54">
        <v>0</v>
      </c>
      <c r="AG503" s="54">
        <v>0</v>
      </c>
      <c r="AH503" s="54">
        <v>0</v>
      </c>
      <c r="AI503" s="54">
        <v>0</v>
      </c>
      <c r="AJ503" s="54">
        <v>0</v>
      </c>
      <c r="AK503" s="54">
        <v>0</v>
      </c>
      <c r="AL503" s="54">
        <v>0</v>
      </c>
      <c r="AM503" s="54" t="str">
        <f>I503-J503-K503-L503-M503-N503-O503-P503-Q503-R503-S503-T503-U503-V503-W503-X503-Y503-Z503-AA503-AB503-AC503-AD503-AE503-AF503-AG503+AH503-AI503+AJ503+AK503-AL503</f>
        <v>0</v>
      </c>
      <c r="AN503" s="54"/>
      <c r="AO503" s="27"/>
    </row>
    <row r="504" spans="1:41">
      <c r="A504" s="44">
        <v>476</v>
      </c>
      <c r="B504" s="47" t="s">
        <v>2023</v>
      </c>
      <c r="C504" s="48" t="s">
        <v>2024</v>
      </c>
      <c r="D504" s="52" t="s">
        <v>73</v>
      </c>
      <c r="E504" s="52" t="s">
        <v>1997</v>
      </c>
      <c r="F504" s="55" t="s">
        <v>2025</v>
      </c>
      <c r="G504" s="51">
        <v>2</v>
      </c>
      <c r="H504" s="52" t="s">
        <v>2026</v>
      </c>
      <c r="I504" s="54">
        <v>408500</v>
      </c>
      <c r="J504" s="54">
        <v>0</v>
      </c>
      <c r="K504" s="54">
        <v>22000</v>
      </c>
      <c r="L504" s="54">
        <v>0</v>
      </c>
      <c r="M504" s="54">
        <v>0</v>
      </c>
      <c r="N504" s="54">
        <v>0</v>
      </c>
      <c r="O504" s="54">
        <v>0</v>
      </c>
      <c r="P504" s="54">
        <v>0</v>
      </c>
      <c r="Q504" s="54">
        <v>0</v>
      </c>
      <c r="R504" s="54">
        <v>0</v>
      </c>
      <c r="S504" s="54">
        <v>0</v>
      </c>
      <c r="T504" s="54">
        <v>0</v>
      </c>
      <c r="U504" s="54">
        <v>2263</v>
      </c>
      <c r="V504" s="54">
        <v>0</v>
      </c>
      <c r="W504" s="54">
        <v>0</v>
      </c>
      <c r="X504" s="54">
        <v>0</v>
      </c>
      <c r="Y504" s="54">
        <v>0</v>
      </c>
      <c r="Z504" s="54">
        <v>0</v>
      </c>
      <c r="AA504" s="54">
        <v>0</v>
      </c>
      <c r="AB504" s="54">
        <v>0</v>
      </c>
      <c r="AC504" s="54">
        <v>0</v>
      </c>
      <c r="AD504" s="54">
        <v>0</v>
      </c>
      <c r="AE504" s="54">
        <v>0</v>
      </c>
      <c r="AF504" s="54">
        <v>0</v>
      </c>
      <c r="AG504" s="54">
        <v>0</v>
      </c>
      <c r="AH504" s="54">
        <v>0</v>
      </c>
      <c r="AI504" s="54">
        <v>0</v>
      </c>
      <c r="AJ504" s="54">
        <v>0</v>
      </c>
      <c r="AK504" s="54">
        <v>0</v>
      </c>
      <c r="AL504" s="54">
        <v>0</v>
      </c>
      <c r="AM504" s="54" t="str">
        <f>I504-J504-K504-L504-M504-N504-O504-P504-Q504-R504-S504-T504-U504-V504-W504-X504-Y504-Z504-AA504-AB504-AC504-AD504-AE504-AF504-AG504+AH504-AI504+AJ504+AK504-AL504</f>
        <v>0</v>
      </c>
      <c r="AN504" s="54"/>
      <c r="AO504" s="27"/>
    </row>
    <row r="505" spans="1:41">
      <c r="A505" s="44">
        <v>477</v>
      </c>
      <c r="B505" s="47" t="s">
        <v>2027</v>
      </c>
      <c r="C505" s="48" t="s">
        <v>2028</v>
      </c>
      <c r="D505" s="52" t="s">
        <v>62</v>
      </c>
      <c r="E505" s="52" t="s">
        <v>1997</v>
      </c>
      <c r="F505" s="55" t="s">
        <v>2029</v>
      </c>
      <c r="G505" s="51">
        <v>2</v>
      </c>
      <c r="H505" s="52" t="s">
        <v>2030</v>
      </c>
      <c r="I505" s="54">
        <v>0</v>
      </c>
      <c r="J505" s="54">
        <v>0</v>
      </c>
      <c r="K505" s="54">
        <v>22000</v>
      </c>
      <c r="L505" s="54">
        <v>0</v>
      </c>
      <c r="M505" s="54">
        <v>0</v>
      </c>
      <c r="N505" s="54">
        <v>0</v>
      </c>
      <c r="O505" s="54">
        <v>0</v>
      </c>
      <c r="P505" s="54">
        <v>0</v>
      </c>
      <c r="Q505" s="54">
        <v>0</v>
      </c>
      <c r="R505" s="54">
        <v>0</v>
      </c>
      <c r="S505" s="54">
        <v>0</v>
      </c>
      <c r="T505" s="54">
        <v>0</v>
      </c>
      <c r="U505" s="54">
        <v>2263</v>
      </c>
      <c r="V505" s="54">
        <v>0</v>
      </c>
      <c r="W505" s="54">
        <v>0</v>
      </c>
      <c r="X505" s="54">
        <v>0</v>
      </c>
      <c r="Y505" s="54">
        <v>11000</v>
      </c>
      <c r="Z505" s="54">
        <v>0</v>
      </c>
      <c r="AA505" s="54">
        <v>0</v>
      </c>
      <c r="AB505" s="54">
        <v>0</v>
      </c>
      <c r="AC505" s="54">
        <v>0</v>
      </c>
      <c r="AD505" s="54">
        <v>0</v>
      </c>
      <c r="AE505" s="54">
        <v>0</v>
      </c>
      <c r="AF505" s="54">
        <v>0</v>
      </c>
      <c r="AG505" s="54">
        <v>0</v>
      </c>
      <c r="AH505" s="54">
        <v>0</v>
      </c>
      <c r="AI505" s="54">
        <v>0</v>
      </c>
      <c r="AJ505" s="54">
        <v>0</v>
      </c>
      <c r="AK505" s="54">
        <v>0</v>
      </c>
      <c r="AL505" s="54">
        <v>0</v>
      </c>
      <c r="AM505" s="54" t="str">
        <f>I505-J505-K505-L505-M505-N505-O505-P505-Q505-R505-S505-T505-U505-V505-W505-X505-Y505-Z505-AA505-AB505-AC505-AD505-AE505-AF505-AG505+AH505-AI505+AJ505+AK505-AL505</f>
        <v>0</v>
      </c>
      <c r="AN505" s="54"/>
      <c r="AO505" s="27"/>
    </row>
    <row r="506" spans="1:41">
      <c r="A506" s="44">
        <v>478</v>
      </c>
      <c r="B506" s="47" t="s">
        <v>2031</v>
      </c>
      <c r="C506" s="48" t="s">
        <v>2032</v>
      </c>
      <c r="D506" s="52" t="s">
        <v>73</v>
      </c>
      <c r="E506" s="52" t="s">
        <v>1997</v>
      </c>
      <c r="F506" s="55" t="s">
        <v>485</v>
      </c>
      <c r="G506" s="51">
        <v>2</v>
      </c>
      <c r="H506" s="52" t="s">
        <v>2033</v>
      </c>
      <c r="I506" s="54">
        <v>450000</v>
      </c>
      <c r="J506" s="54">
        <v>0</v>
      </c>
      <c r="K506" s="54">
        <v>22000</v>
      </c>
      <c r="L506" s="54">
        <v>0</v>
      </c>
      <c r="M506" s="54">
        <v>0</v>
      </c>
      <c r="N506" s="54">
        <v>0</v>
      </c>
      <c r="O506" s="54">
        <v>0</v>
      </c>
      <c r="P506" s="54">
        <v>0</v>
      </c>
      <c r="Q506" s="54">
        <v>0</v>
      </c>
      <c r="R506" s="54">
        <v>0</v>
      </c>
      <c r="S506" s="54">
        <v>0</v>
      </c>
      <c r="T506" s="54">
        <v>0</v>
      </c>
      <c r="U506" s="54">
        <v>2263</v>
      </c>
      <c r="V506" s="54">
        <v>0</v>
      </c>
      <c r="W506" s="54">
        <v>0</v>
      </c>
      <c r="X506" s="54">
        <v>0</v>
      </c>
      <c r="Y506" s="54">
        <v>0</v>
      </c>
      <c r="Z506" s="54">
        <v>0</v>
      </c>
      <c r="AA506" s="54">
        <v>0</v>
      </c>
      <c r="AB506" s="54">
        <v>0</v>
      </c>
      <c r="AC506" s="54">
        <v>0</v>
      </c>
      <c r="AD506" s="54">
        <v>0</v>
      </c>
      <c r="AE506" s="54">
        <v>0</v>
      </c>
      <c r="AF506" s="54">
        <v>0</v>
      </c>
      <c r="AG506" s="54">
        <v>0</v>
      </c>
      <c r="AH506" s="54">
        <v>0</v>
      </c>
      <c r="AI506" s="54">
        <v>0</v>
      </c>
      <c r="AJ506" s="54">
        <v>0</v>
      </c>
      <c r="AK506" s="54">
        <v>0</v>
      </c>
      <c r="AL506" s="54">
        <v>0</v>
      </c>
      <c r="AM506" s="54" t="str">
        <f>I506-J506-K506-L506-M506-N506-O506-P506-Q506-R506-S506-T506-U506-V506-W506-X506-Y506-Z506-AA506-AB506-AC506-AD506-AE506-AF506-AG506+AH506-AI506+AJ506+AK506-AL506</f>
        <v>0</v>
      </c>
      <c r="AN506" s="54"/>
      <c r="AO506" s="27"/>
    </row>
    <row r="507" spans="1:41">
      <c r="A507" s="44">
        <v>479</v>
      </c>
      <c r="B507" s="47" t="s">
        <v>2034</v>
      </c>
      <c r="C507" s="48" t="s">
        <v>2035</v>
      </c>
      <c r="D507" s="52" t="s">
        <v>73</v>
      </c>
      <c r="E507" s="52" t="s">
        <v>1997</v>
      </c>
      <c r="F507" s="55" t="s">
        <v>1100</v>
      </c>
      <c r="G507" s="51">
        <v>3</v>
      </c>
      <c r="H507" s="52" t="s">
        <v>2036</v>
      </c>
      <c r="I507" s="54">
        <v>320000</v>
      </c>
      <c r="J507" s="54">
        <v>0</v>
      </c>
      <c r="K507" s="54">
        <v>22000</v>
      </c>
      <c r="L507" s="54">
        <v>0</v>
      </c>
      <c r="M507" s="54">
        <v>0</v>
      </c>
      <c r="N507" s="54">
        <v>0</v>
      </c>
      <c r="O507" s="54">
        <v>0</v>
      </c>
      <c r="P507" s="54">
        <v>0</v>
      </c>
      <c r="Q507" s="54">
        <v>0</v>
      </c>
      <c r="R507" s="54">
        <v>0</v>
      </c>
      <c r="S507" s="54">
        <v>0</v>
      </c>
      <c r="T507" s="54">
        <v>0</v>
      </c>
      <c r="U507" s="54">
        <v>2263</v>
      </c>
      <c r="V507" s="54">
        <v>0</v>
      </c>
      <c r="W507" s="54">
        <v>0</v>
      </c>
      <c r="X507" s="54">
        <v>0</v>
      </c>
      <c r="Y507" s="54">
        <v>0</v>
      </c>
      <c r="Z507" s="54">
        <v>0</v>
      </c>
      <c r="AA507" s="54">
        <v>0</v>
      </c>
      <c r="AB507" s="54">
        <v>0</v>
      </c>
      <c r="AC507" s="54">
        <v>0</v>
      </c>
      <c r="AD507" s="54">
        <v>0</v>
      </c>
      <c r="AE507" s="54">
        <v>0</v>
      </c>
      <c r="AF507" s="54">
        <v>0</v>
      </c>
      <c r="AG507" s="54">
        <v>0</v>
      </c>
      <c r="AH507" s="54">
        <v>0</v>
      </c>
      <c r="AI507" s="54">
        <v>0</v>
      </c>
      <c r="AJ507" s="54">
        <v>0</v>
      </c>
      <c r="AK507" s="54">
        <v>0</v>
      </c>
      <c r="AL507" s="54">
        <v>0</v>
      </c>
      <c r="AM507" s="54" t="str">
        <f>I507-J507-K507-L507-M507-N507-O507-P507-Q507-R507-S507-T507-U507-V507-W507-X507-Y507-Z507-AA507-AB507-AC507-AD507-AE507-AF507-AG507+AH507-AI507+AJ507+AK507-AL507</f>
        <v>0</v>
      </c>
      <c r="AN507" s="54"/>
      <c r="AO507" s="27"/>
    </row>
    <row r="508" spans="1:41">
      <c r="A508" s="44">
        <v>480</v>
      </c>
      <c r="B508" s="47" t="s">
        <v>2037</v>
      </c>
      <c r="C508" s="48" t="s">
        <v>2038</v>
      </c>
      <c r="D508" s="52" t="s">
        <v>73</v>
      </c>
      <c r="E508" s="52" t="s">
        <v>1997</v>
      </c>
      <c r="F508" s="55" t="s">
        <v>2039</v>
      </c>
      <c r="G508" s="51">
        <v>3</v>
      </c>
      <c r="H508" s="52" t="s">
        <v>2040</v>
      </c>
      <c r="I508" s="54">
        <v>540000</v>
      </c>
      <c r="J508" s="54">
        <v>0</v>
      </c>
      <c r="K508" s="54">
        <v>22000</v>
      </c>
      <c r="L508" s="54">
        <v>0</v>
      </c>
      <c r="M508" s="54">
        <v>0</v>
      </c>
      <c r="N508" s="54">
        <v>0</v>
      </c>
      <c r="O508" s="54">
        <v>0</v>
      </c>
      <c r="P508" s="54">
        <v>0</v>
      </c>
      <c r="Q508" s="54">
        <v>0</v>
      </c>
      <c r="R508" s="54">
        <v>0</v>
      </c>
      <c r="S508" s="54">
        <v>0</v>
      </c>
      <c r="T508" s="54">
        <v>0</v>
      </c>
      <c r="U508" s="54">
        <v>2263</v>
      </c>
      <c r="V508" s="54">
        <v>0</v>
      </c>
      <c r="W508" s="54">
        <v>0</v>
      </c>
      <c r="X508" s="54">
        <v>0</v>
      </c>
      <c r="Y508" s="54">
        <v>0</v>
      </c>
      <c r="Z508" s="54">
        <v>0</v>
      </c>
      <c r="AA508" s="54">
        <v>0</v>
      </c>
      <c r="AB508" s="54">
        <v>0</v>
      </c>
      <c r="AC508" s="54">
        <v>0</v>
      </c>
      <c r="AD508" s="54">
        <v>0</v>
      </c>
      <c r="AE508" s="54">
        <v>0</v>
      </c>
      <c r="AF508" s="54">
        <v>0</v>
      </c>
      <c r="AG508" s="54">
        <v>0</v>
      </c>
      <c r="AH508" s="54">
        <v>0</v>
      </c>
      <c r="AI508" s="54">
        <v>0</v>
      </c>
      <c r="AJ508" s="54">
        <v>0</v>
      </c>
      <c r="AK508" s="54">
        <v>0</v>
      </c>
      <c r="AL508" s="54">
        <v>0</v>
      </c>
      <c r="AM508" s="54" t="str">
        <f>I508-J508-K508-L508-M508-N508-O508-P508-Q508-R508-S508-T508-U508-V508-W508-X508-Y508-Z508-AA508-AB508-AC508-AD508-AE508-AF508-AG508+AH508-AI508+AJ508+AK508-AL508</f>
        <v>0</v>
      </c>
      <c r="AN508" s="54"/>
      <c r="AO508" s="27"/>
    </row>
    <row r="509" spans="1:41">
      <c r="A509" s="44">
        <v>481</v>
      </c>
      <c r="B509" s="47" t="s">
        <v>2041</v>
      </c>
      <c r="C509" s="48" t="s">
        <v>2042</v>
      </c>
      <c r="D509" s="52" t="s">
        <v>73</v>
      </c>
      <c r="E509" s="52" t="s">
        <v>1997</v>
      </c>
      <c r="F509" s="55" t="s">
        <v>2043</v>
      </c>
      <c r="G509" s="51">
        <v>3</v>
      </c>
      <c r="H509" s="52" t="s">
        <v>2044</v>
      </c>
      <c r="I509" s="54">
        <v>784000</v>
      </c>
      <c r="J509" s="54">
        <v>0</v>
      </c>
      <c r="K509" s="54">
        <v>22000</v>
      </c>
      <c r="L509" s="54">
        <v>0</v>
      </c>
      <c r="M509" s="54">
        <v>0</v>
      </c>
      <c r="N509" s="54">
        <v>0</v>
      </c>
      <c r="O509" s="54">
        <v>0</v>
      </c>
      <c r="P509" s="54">
        <v>0</v>
      </c>
      <c r="Q509" s="54">
        <v>0</v>
      </c>
      <c r="R509" s="54">
        <v>0</v>
      </c>
      <c r="S509" s="54">
        <v>0</v>
      </c>
      <c r="T509" s="54">
        <v>0</v>
      </c>
      <c r="U509" s="54">
        <v>2263</v>
      </c>
      <c r="V509" s="54">
        <v>0</v>
      </c>
      <c r="W509" s="54">
        <v>0</v>
      </c>
      <c r="X509" s="54">
        <v>0</v>
      </c>
      <c r="Y509" s="54">
        <v>0</v>
      </c>
      <c r="Z509" s="54">
        <v>0</v>
      </c>
      <c r="AA509" s="54">
        <v>0</v>
      </c>
      <c r="AB509" s="54">
        <v>0</v>
      </c>
      <c r="AC509" s="54">
        <v>0</v>
      </c>
      <c r="AD509" s="54">
        <v>0</v>
      </c>
      <c r="AE509" s="54">
        <v>0</v>
      </c>
      <c r="AF509" s="54">
        <v>0</v>
      </c>
      <c r="AG509" s="54">
        <v>0</v>
      </c>
      <c r="AH509" s="54">
        <v>0</v>
      </c>
      <c r="AI509" s="54">
        <v>0</v>
      </c>
      <c r="AJ509" s="54">
        <v>0</v>
      </c>
      <c r="AK509" s="54">
        <v>0</v>
      </c>
      <c r="AL509" s="54">
        <v>0</v>
      </c>
      <c r="AM509" s="54" t="str">
        <f>I509-J509-K509-L509-M509-N509-O509-P509-Q509-R509-S509-T509-U509-V509-W509-X509-Y509-Z509-AA509-AB509-AC509-AD509-AE509-AF509-AG509+AH509-AI509+AJ509+AK509-AL509</f>
        <v>0</v>
      </c>
      <c r="AN509" s="54"/>
      <c r="AO509" s="27"/>
    </row>
    <row r="510" spans="1:41">
      <c r="A510" s="44">
        <v>482</v>
      </c>
      <c r="B510" s="47" t="s">
        <v>2045</v>
      </c>
      <c r="C510" s="48" t="s">
        <v>2046</v>
      </c>
      <c r="D510" s="52" t="s">
        <v>73</v>
      </c>
      <c r="E510" s="52" t="s">
        <v>1997</v>
      </c>
      <c r="F510" s="55" t="s">
        <v>2047</v>
      </c>
      <c r="G510" s="51">
        <v>5</v>
      </c>
      <c r="H510" s="52" t="s">
        <v>2048</v>
      </c>
      <c r="I510" s="54">
        <v>585000</v>
      </c>
      <c r="J510" s="54">
        <v>0</v>
      </c>
      <c r="K510" s="54">
        <v>27000</v>
      </c>
      <c r="L510" s="54">
        <v>0</v>
      </c>
      <c r="M510" s="54">
        <v>0</v>
      </c>
      <c r="N510" s="54">
        <v>0</v>
      </c>
      <c r="O510" s="54">
        <v>0</v>
      </c>
      <c r="P510" s="54">
        <v>0</v>
      </c>
      <c r="Q510" s="54">
        <v>0</v>
      </c>
      <c r="R510" s="54">
        <v>0</v>
      </c>
      <c r="S510" s="54">
        <v>0</v>
      </c>
      <c r="T510" s="54">
        <v>0</v>
      </c>
      <c r="U510" s="54">
        <v>2778</v>
      </c>
      <c r="V510" s="54">
        <v>0</v>
      </c>
      <c r="W510" s="54">
        <v>0</v>
      </c>
      <c r="X510" s="54">
        <v>0</v>
      </c>
      <c r="Y510" s="54">
        <v>0</v>
      </c>
      <c r="Z510" s="54">
        <v>0</v>
      </c>
      <c r="AA510" s="54">
        <v>0</v>
      </c>
      <c r="AB510" s="54">
        <v>0</v>
      </c>
      <c r="AC510" s="54">
        <v>0</v>
      </c>
      <c r="AD510" s="54">
        <v>0</v>
      </c>
      <c r="AE510" s="54">
        <v>0</v>
      </c>
      <c r="AF510" s="54">
        <v>0</v>
      </c>
      <c r="AG510" s="54">
        <v>0</v>
      </c>
      <c r="AH510" s="54">
        <v>0</v>
      </c>
      <c r="AI510" s="54">
        <v>0</v>
      </c>
      <c r="AJ510" s="54">
        <v>0</v>
      </c>
      <c r="AK510" s="54">
        <v>0</v>
      </c>
      <c r="AL510" s="54">
        <v>0</v>
      </c>
      <c r="AM510" s="54" t="str">
        <f>I510-J510-K510-L510-M510-N510-O510-P510-Q510-R510-S510-T510-U510-V510-W510-X510-Y510-Z510-AA510-AB510-AC510-AD510-AE510-AF510-AG510+AH510-AI510+AJ510+AK510-AL510</f>
        <v>0</v>
      </c>
      <c r="AN510" s="54"/>
      <c r="AO510" s="27"/>
    </row>
    <row r="511" spans="1:41">
      <c r="A511" s="44">
        <v>483</v>
      </c>
      <c r="B511" s="47" t="s">
        <v>2049</v>
      </c>
      <c r="C511" s="48" t="s">
        <v>2050</v>
      </c>
      <c r="D511" s="52" t="s">
        <v>73</v>
      </c>
      <c r="E511" s="52" t="s">
        <v>1997</v>
      </c>
      <c r="F511" s="55" t="s">
        <v>1720</v>
      </c>
      <c r="G511" s="51">
        <v>5</v>
      </c>
      <c r="H511" s="52" t="s">
        <v>2051</v>
      </c>
      <c r="I511" s="54">
        <v>884000</v>
      </c>
      <c r="J511" s="54">
        <v>0</v>
      </c>
      <c r="K511" s="54">
        <v>27000</v>
      </c>
      <c r="L511" s="54">
        <v>0</v>
      </c>
      <c r="M511" s="54">
        <v>0</v>
      </c>
      <c r="N511" s="54">
        <v>0</v>
      </c>
      <c r="O511" s="54">
        <v>0</v>
      </c>
      <c r="P511" s="54">
        <v>0</v>
      </c>
      <c r="Q511" s="54">
        <v>0</v>
      </c>
      <c r="R511" s="54">
        <v>0</v>
      </c>
      <c r="S511" s="54">
        <v>0</v>
      </c>
      <c r="T511" s="54">
        <v>0</v>
      </c>
      <c r="U511" s="54">
        <v>2778</v>
      </c>
      <c r="V511" s="54">
        <v>0</v>
      </c>
      <c r="W511" s="54">
        <v>0</v>
      </c>
      <c r="X511" s="54">
        <v>0</v>
      </c>
      <c r="Y511" s="54">
        <v>0</v>
      </c>
      <c r="Z511" s="54">
        <v>0</v>
      </c>
      <c r="AA511" s="54">
        <v>0</v>
      </c>
      <c r="AB511" s="54">
        <v>0</v>
      </c>
      <c r="AC511" s="54">
        <v>0</v>
      </c>
      <c r="AD511" s="54">
        <v>0</v>
      </c>
      <c r="AE511" s="54">
        <v>0</v>
      </c>
      <c r="AF511" s="54">
        <v>0</v>
      </c>
      <c r="AG511" s="54">
        <v>0</v>
      </c>
      <c r="AH511" s="54">
        <v>0</v>
      </c>
      <c r="AI511" s="54">
        <v>0</v>
      </c>
      <c r="AJ511" s="54">
        <v>0</v>
      </c>
      <c r="AK511" s="54">
        <v>0</v>
      </c>
      <c r="AL511" s="54">
        <v>0</v>
      </c>
      <c r="AM511" s="54" t="str">
        <f>I511-J511-K511-L511-M511-N511-O511-P511-Q511-R511-S511-T511-U511-V511-W511-X511-Y511-Z511-AA511-AB511-AC511-AD511-AE511-AF511-AG511+AH511-AI511+AJ511+AK511-AL511</f>
        <v>0</v>
      </c>
      <c r="AN511" s="54"/>
      <c r="AO511" s="27"/>
    </row>
    <row r="512" spans="1:41">
      <c r="A512" s="44">
        <v>484</v>
      </c>
      <c r="B512" s="47" t="s">
        <v>2052</v>
      </c>
      <c r="C512" s="48" t="s">
        <v>2053</v>
      </c>
      <c r="D512" s="52" t="s">
        <v>73</v>
      </c>
      <c r="E512" s="52" t="s">
        <v>1997</v>
      </c>
      <c r="F512" s="55" t="s">
        <v>2054</v>
      </c>
      <c r="G512" s="51">
        <v>2</v>
      </c>
      <c r="H512" s="52" t="s">
        <v>2055</v>
      </c>
      <c r="I512" s="54">
        <v>675000</v>
      </c>
      <c r="J512" s="54">
        <v>0</v>
      </c>
      <c r="K512" s="54">
        <v>22000</v>
      </c>
      <c r="L512" s="54">
        <v>0</v>
      </c>
      <c r="M512" s="54">
        <v>0</v>
      </c>
      <c r="N512" s="54">
        <v>0</v>
      </c>
      <c r="O512" s="54">
        <v>0</v>
      </c>
      <c r="P512" s="54">
        <v>0</v>
      </c>
      <c r="Q512" s="54">
        <v>0</v>
      </c>
      <c r="R512" s="54">
        <v>0</v>
      </c>
      <c r="S512" s="54">
        <v>0</v>
      </c>
      <c r="T512" s="54">
        <v>0</v>
      </c>
      <c r="U512" s="54">
        <v>2263</v>
      </c>
      <c r="V512" s="54">
        <v>0</v>
      </c>
      <c r="W512" s="54">
        <v>0</v>
      </c>
      <c r="X512" s="54">
        <v>0</v>
      </c>
      <c r="Y512" s="54">
        <v>0</v>
      </c>
      <c r="Z512" s="54">
        <v>0</v>
      </c>
      <c r="AA512" s="54">
        <v>0</v>
      </c>
      <c r="AB512" s="54">
        <v>0</v>
      </c>
      <c r="AC512" s="54">
        <v>0</v>
      </c>
      <c r="AD512" s="54">
        <v>0</v>
      </c>
      <c r="AE512" s="54">
        <v>0</v>
      </c>
      <c r="AF512" s="54">
        <v>0</v>
      </c>
      <c r="AG512" s="54">
        <v>0</v>
      </c>
      <c r="AH512" s="54">
        <v>0</v>
      </c>
      <c r="AI512" s="54">
        <v>0</v>
      </c>
      <c r="AJ512" s="54">
        <v>0</v>
      </c>
      <c r="AK512" s="54">
        <v>0</v>
      </c>
      <c r="AL512" s="54">
        <v>0</v>
      </c>
      <c r="AM512" s="54" t="str">
        <f>I512-J512-K512-L512-M512-N512-O512-P512-Q512-R512-S512-T512-U512-V512-W512-X512-Y512-Z512-AA512-AB512-AC512-AD512-AE512-AF512-AG512+AH512-AI512+AJ512+AK512-AL512</f>
        <v>0</v>
      </c>
      <c r="AN512" s="54"/>
      <c r="AO512" s="27"/>
    </row>
    <row r="513" spans="1:41">
      <c r="A513" s="44">
        <v>485</v>
      </c>
      <c r="B513" s="47" t="s">
        <v>2056</v>
      </c>
      <c r="C513" s="48" t="s">
        <v>2057</v>
      </c>
      <c r="D513" s="52" t="s">
        <v>73</v>
      </c>
      <c r="E513" s="52" t="s">
        <v>1997</v>
      </c>
      <c r="F513" s="55" t="s">
        <v>2058</v>
      </c>
      <c r="G513" s="51">
        <v>2</v>
      </c>
      <c r="H513" s="52" t="s">
        <v>2059</v>
      </c>
      <c r="I513" s="54">
        <v>294000</v>
      </c>
      <c r="J513" s="54">
        <v>0</v>
      </c>
      <c r="K513" s="54">
        <v>22000</v>
      </c>
      <c r="L513" s="54">
        <v>0</v>
      </c>
      <c r="M513" s="54">
        <v>0</v>
      </c>
      <c r="N513" s="54">
        <v>0</v>
      </c>
      <c r="O513" s="54">
        <v>0</v>
      </c>
      <c r="P513" s="54">
        <v>0</v>
      </c>
      <c r="Q513" s="54">
        <v>0</v>
      </c>
      <c r="R513" s="54">
        <v>0</v>
      </c>
      <c r="S513" s="54">
        <v>0</v>
      </c>
      <c r="T513" s="54">
        <v>0</v>
      </c>
      <c r="U513" s="54">
        <v>2263</v>
      </c>
      <c r="V513" s="54">
        <v>0</v>
      </c>
      <c r="W513" s="54">
        <v>0</v>
      </c>
      <c r="X513" s="54">
        <v>0</v>
      </c>
      <c r="Y513" s="54">
        <v>0</v>
      </c>
      <c r="Z513" s="54">
        <v>0</v>
      </c>
      <c r="AA513" s="54">
        <v>0</v>
      </c>
      <c r="AB513" s="54">
        <v>0</v>
      </c>
      <c r="AC513" s="54">
        <v>0</v>
      </c>
      <c r="AD513" s="54">
        <v>0</v>
      </c>
      <c r="AE513" s="54">
        <v>0</v>
      </c>
      <c r="AF513" s="54">
        <v>0</v>
      </c>
      <c r="AG513" s="54">
        <v>0</v>
      </c>
      <c r="AH513" s="54">
        <v>0</v>
      </c>
      <c r="AI513" s="54">
        <v>0</v>
      </c>
      <c r="AJ513" s="54">
        <v>0</v>
      </c>
      <c r="AK513" s="54">
        <v>0</v>
      </c>
      <c r="AL513" s="54">
        <v>0</v>
      </c>
      <c r="AM513" s="54" t="str">
        <f>I513-J513-K513-L513-M513-N513-O513-P513-Q513-R513-S513-T513-U513-V513-W513-X513-Y513-Z513-AA513-AB513-AC513-AD513-AE513-AF513-AG513+AH513-AI513+AJ513+AK513-AL513</f>
        <v>0</v>
      </c>
      <c r="AN513" s="54"/>
      <c r="AO513" s="27"/>
    </row>
    <row r="514" spans="1:41">
      <c r="A514" s="44">
        <v>486</v>
      </c>
      <c r="B514" s="47" t="s">
        <v>2060</v>
      </c>
      <c r="C514" s="48" t="s">
        <v>2061</v>
      </c>
      <c r="D514" s="52" t="s">
        <v>73</v>
      </c>
      <c r="E514" s="52" t="s">
        <v>1997</v>
      </c>
      <c r="F514" s="55" t="s">
        <v>2062</v>
      </c>
      <c r="G514" s="51">
        <v>5</v>
      </c>
      <c r="H514" s="52" t="s">
        <v>2063</v>
      </c>
      <c r="I514" s="54">
        <v>1719000</v>
      </c>
      <c r="J514" s="54">
        <v>0</v>
      </c>
      <c r="K514" s="54">
        <v>27000</v>
      </c>
      <c r="L514" s="54">
        <v>0</v>
      </c>
      <c r="M514" s="54">
        <v>0</v>
      </c>
      <c r="N514" s="54">
        <v>0</v>
      </c>
      <c r="O514" s="54">
        <v>0</v>
      </c>
      <c r="P514" s="54">
        <v>0</v>
      </c>
      <c r="Q514" s="54">
        <v>0</v>
      </c>
      <c r="R514" s="54">
        <v>0</v>
      </c>
      <c r="S514" s="54">
        <v>0</v>
      </c>
      <c r="T514" s="54">
        <v>0</v>
      </c>
      <c r="U514" s="54">
        <v>2778</v>
      </c>
      <c r="V514" s="54">
        <v>0</v>
      </c>
      <c r="W514" s="54">
        <v>0</v>
      </c>
      <c r="X514" s="54">
        <v>0</v>
      </c>
      <c r="Y514" s="54">
        <v>0</v>
      </c>
      <c r="Z514" s="54">
        <v>0</v>
      </c>
      <c r="AA514" s="54">
        <v>0</v>
      </c>
      <c r="AB514" s="54">
        <v>0</v>
      </c>
      <c r="AC514" s="54">
        <v>0</v>
      </c>
      <c r="AD514" s="54">
        <v>0</v>
      </c>
      <c r="AE514" s="54">
        <v>0</v>
      </c>
      <c r="AF514" s="54">
        <v>0</v>
      </c>
      <c r="AG514" s="54">
        <v>0</v>
      </c>
      <c r="AH514" s="54">
        <v>0</v>
      </c>
      <c r="AI514" s="54">
        <v>0</v>
      </c>
      <c r="AJ514" s="54">
        <v>0</v>
      </c>
      <c r="AK514" s="54">
        <v>0</v>
      </c>
      <c r="AL514" s="54">
        <v>0</v>
      </c>
      <c r="AM514" s="54" t="str">
        <f>I514-J514-K514-L514-M514-N514-O514-P514-Q514-R514-S514-T514-U514-V514-W514-X514-Y514-Z514-AA514-AB514-AC514-AD514-AE514-AF514-AG514+AH514-AI514+AJ514+AK514-AL514</f>
        <v>0</v>
      </c>
      <c r="AN514" s="54"/>
      <c r="AO514" s="27"/>
    </row>
    <row r="515" spans="1:41">
      <c r="A515" s="44">
        <v>487</v>
      </c>
      <c r="B515" s="47" t="s">
        <v>2064</v>
      </c>
      <c r="C515" s="48" t="s">
        <v>2065</v>
      </c>
      <c r="D515" s="52" t="s">
        <v>73</v>
      </c>
      <c r="E515" s="52" t="s">
        <v>1997</v>
      </c>
      <c r="F515" s="55" t="s">
        <v>2066</v>
      </c>
      <c r="G515" s="51">
        <v>2</v>
      </c>
      <c r="H515" s="52" t="s">
        <v>2067</v>
      </c>
      <c r="I515" s="54">
        <v>184000</v>
      </c>
      <c r="J515" s="54">
        <v>0</v>
      </c>
      <c r="K515" s="54">
        <v>22000</v>
      </c>
      <c r="L515" s="54">
        <v>0</v>
      </c>
      <c r="M515" s="54">
        <v>0</v>
      </c>
      <c r="N515" s="54">
        <v>0</v>
      </c>
      <c r="O515" s="54">
        <v>0</v>
      </c>
      <c r="P515" s="54">
        <v>0</v>
      </c>
      <c r="Q515" s="54">
        <v>0</v>
      </c>
      <c r="R515" s="54">
        <v>0</v>
      </c>
      <c r="S515" s="54">
        <v>0</v>
      </c>
      <c r="T515" s="54">
        <v>0</v>
      </c>
      <c r="U515" s="54">
        <v>2263</v>
      </c>
      <c r="V515" s="54">
        <v>0</v>
      </c>
      <c r="W515" s="54">
        <v>0</v>
      </c>
      <c r="X515" s="54">
        <v>0</v>
      </c>
      <c r="Y515" s="54">
        <v>0</v>
      </c>
      <c r="Z515" s="54">
        <v>0</v>
      </c>
      <c r="AA515" s="54">
        <v>0</v>
      </c>
      <c r="AB515" s="54">
        <v>0</v>
      </c>
      <c r="AC515" s="54">
        <v>0</v>
      </c>
      <c r="AD515" s="54">
        <v>0</v>
      </c>
      <c r="AE515" s="54">
        <v>0</v>
      </c>
      <c r="AF515" s="54">
        <v>0</v>
      </c>
      <c r="AG515" s="54">
        <v>0</v>
      </c>
      <c r="AH515" s="54">
        <v>0</v>
      </c>
      <c r="AI515" s="54">
        <v>0</v>
      </c>
      <c r="AJ515" s="54">
        <v>0</v>
      </c>
      <c r="AK515" s="54">
        <v>0</v>
      </c>
      <c r="AL515" s="54">
        <v>0</v>
      </c>
      <c r="AM515" s="54" t="str">
        <f>I515-J515-K515-L515-M515-N515-O515-P515-Q515-R515-S515-T515-U515-V515-W515-X515-Y515-Z515-AA515-AB515-AC515-AD515-AE515-AF515-AG515+AH515-AI515+AJ515+AK515-AL515</f>
        <v>0</v>
      </c>
      <c r="AN515" s="54"/>
      <c r="AO515" s="27"/>
    </row>
    <row r="516" spans="1:41">
      <c r="A516" s="44">
        <v>488</v>
      </c>
      <c r="B516" s="47" t="s">
        <v>2068</v>
      </c>
      <c r="C516" s="48" t="s">
        <v>2069</v>
      </c>
      <c r="D516" s="52" t="s">
        <v>73</v>
      </c>
      <c r="E516" s="52" t="s">
        <v>1997</v>
      </c>
      <c r="F516" s="55" t="s">
        <v>2070</v>
      </c>
      <c r="G516" s="51">
        <v>2</v>
      </c>
      <c r="H516" s="52" t="s">
        <v>2071</v>
      </c>
      <c r="I516" s="54">
        <v>534000</v>
      </c>
      <c r="J516" s="54">
        <v>0</v>
      </c>
      <c r="K516" s="54">
        <v>22000</v>
      </c>
      <c r="L516" s="54">
        <v>0</v>
      </c>
      <c r="M516" s="54">
        <v>0</v>
      </c>
      <c r="N516" s="54">
        <v>0</v>
      </c>
      <c r="O516" s="54">
        <v>0</v>
      </c>
      <c r="P516" s="54">
        <v>0</v>
      </c>
      <c r="Q516" s="54">
        <v>0</v>
      </c>
      <c r="R516" s="54">
        <v>0</v>
      </c>
      <c r="S516" s="54">
        <v>0</v>
      </c>
      <c r="T516" s="54">
        <v>0</v>
      </c>
      <c r="U516" s="54">
        <v>2263</v>
      </c>
      <c r="V516" s="54">
        <v>0</v>
      </c>
      <c r="W516" s="54">
        <v>0</v>
      </c>
      <c r="X516" s="54">
        <v>0</v>
      </c>
      <c r="Y516" s="54">
        <v>0</v>
      </c>
      <c r="Z516" s="54">
        <v>0</v>
      </c>
      <c r="AA516" s="54">
        <v>0</v>
      </c>
      <c r="AB516" s="54">
        <v>0</v>
      </c>
      <c r="AC516" s="54">
        <v>0</v>
      </c>
      <c r="AD516" s="54">
        <v>0</v>
      </c>
      <c r="AE516" s="54">
        <v>0</v>
      </c>
      <c r="AF516" s="54">
        <v>0</v>
      </c>
      <c r="AG516" s="54">
        <v>0</v>
      </c>
      <c r="AH516" s="54">
        <v>0</v>
      </c>
      <c r="AI516" s="54">
        <v>0</v>
      </c>
      <c r="AJ516" s="54">
        <v>0</v>
      </c>
      <c r="AK516" s="54">
        <v>0</v>
      </c>
      <c r="AL516" s="54">
        <v>0</v>
      </c>
      <c r="AM516" s="54" t="str">
        <f>I516-J516-K516-L516-M516-N516-O516-P516-Q516-R516-S516-T516-U516-V516-W516-X516-Y516-Z516-AA516-AB516-AC516-AD516-AE516-AF516-AG516+AH516-AI516+AJ516+AK516-AL516</f>
        <v>0</v>
      </c>
      <c r="AN516" s="54"/>
      <c r="AO516" s="27"/>
    </row>
    <row r="517" spans="1:41">
      <c r="A517" s="44">
        <v>489</v>
      </c>
      <c r="B517" s="47" t="s">
        <v>2072</v>
      </c>
      <c r="C517" s="48" t="s">
        <v>2073</v>
      </c>
      <c r="D517" s="52" t="s">
        <v>73</v>
      </c>
      <c r="E517" s="52" t="s">
        <v>1997</v>
      </c>
      <c r="F517" s="55" t="s">
        <v>2074</v>
      </c>
      <c r="G517" s="51">
        <v>2</v>
      </c>
      <c r="H517" s="52" t="s">
        <v>2075</v>
      </c>
      <c r="I517" s="54">
        <v>374000</v>
      </c>
      <c r="J517" s="54">
        <v>0</v>
      </c>
      <c r="K517" s="54">
        <v>22000</v>
      </c>
      <c r="L517" s="54">
        <v>0</v>
      </c>
      <c r="M517" s="54">
        <v>0</v>
      </c>
      <c r="N517" s="54">
        <v>0</v>
      </c>
      <c r="O517" s="54">
        <v>0</v>
      </c>
      <c r="P517" s="54">
        <v>0</v>
      </c>
      <c r="Q517" s="54">
        <v>0</v>
      </c>
      <c r="R517" s="54">
        <v>0</v>
      </c>
      <c r="S517" s="54">
        <v>0</v>
      </c>
      <c r="T517" s="54">
        <v>0</v>
      </c>
      <c r="U517" s="54">
        <v>2263</v>
      </c>
      <c r="V517" s="54">
        <v>0</v>
      </c>
      <c r="W517" s="54">
        <v>0</v>
      </c>
      <c r="X517" s="54">
        <v>0</v>
      </c>
      <c r="Y517" s="54">
        <v>0</v>
      </c>
      <c r="Z517" s="54">
        <v>0</v>
      </c>
      <c r="AA517" s="54">
        <v>0</v>
      </c>
      <c r="AB517" s="54">
        <v>0</v>
      </c>
      <c r="AC517" s="54">
        <v>0</v>
      </c>
      <c r="AD517" s="54">
        <v>0</v>
      </c>
      <c r="AE517" s="54">
        <v>0</v>
      </c>
      <c r="AF517" s="54">
        <v>0</v>
      </c>
      <c r="AG517" s="54">
        <v>0</v>
      </c>
      <c r="AH517" s="54">
        <v>0</v>
      </c>
      <c r="AI517" s="54">
        <v>0</v>
      </c>
      <c r="AJ517" s="54">
        <v>0</v>
      </c>
      <c r="AK517" s="54">
        <v>0</v>
      </c>
      <c r="AL517" s="54">
        <v>0</v>
      </c>
      <c r="AM517" s="54" t="str">
        <f>I517-J517-K517-L517-M517-N517-O517-P517-Q517-R517-S517-T517-U517-V517-W517-X517-Y517-Z517-AA517-AB517-AC517-AD517-AE517-AF517-AG517+AH517-AI517+AJ517+AK517-AL517</f>
        <v>0</v>
      </c>
      <c r="AN517" s="54"/>
      <c r="AO517" s="27"/>
    </row>
    <row r="518" spans="1:41">
      <c r="A518" s="44">
        <v>490</v>
      </c>
      <c r="B518" s="47" t="s">
        <v>2076</v>
      </c>
      <c r="C518" s="48" t="s">
        <v>2077</v>
      </c>
      <c r="D518" s="52" t="s">
        <v>73</v>
      </c>
      <c r="E518" s="52" t="s">
        <v>1997</v>
      </c>
      <c r="F518" s="55" t="s">
        <v>2078</v>
      </c>
      <c r="G518" s="51">
        <v>9.2</v>
      </c>
      <c r="H518" s="52" t="s">
        <v>2079</v>
      </c>
      <c r="I518" s="54">
        <v>1620000</v>
      </c>
      <c r="J518" s="54">
        <v>0</v>
      </c>
      <c r="K518" s="54">
        <v>49000</v>
      </c>
      <c r="L518" s="54">
        <v>0</v>
      </c>
      <c r="M518" s="54">
        <v>0</v>
      </c>
      <c r="N518" s="54">
        <v>0</v>
      </c>
      <c r="O518" s="54">
        <v>0</v>
      </c>
      <c r="P518" s="54">
        <v>0</v>
      </c>
      <c r="Q518" s="54">
        <v>0</v>
      </c>
      <c r="R518" s="54">
        <v>0</v>
      </c>
      <c r="S518" s="54">
        <v>0</v>
      </c>
      <c r="T518" s="54">
        <v>0</v>
      </c>
      <c r="U518" s="54">
        <v>3111</v>
      </c>
      <c r="V518" s="54">
        <v>0</v>
      </c>
      <c r="W518" s="54">
        <v>0</v>
      </c>
      <c r="X518" s="54">
        <v>0</v>
      </c>
      <c r="Y518" s="54">
        <v>0</v>
      </c>
      <c r="Z518" s="54">
        <v>0</v>
      </c>
      <c r="AA518" s="54">
        <v>0</v>
      </c>
      <c r="AB518" s="54">
        <v>0</v>
      </c>
      <c r="AC518" s="54">
        <v>0</v>
      </c>
      <c r="AD518" s="54">
        <v>0</v>
      </c>
      <c r="AE518" s="54">
        <v>0</v>
      </c>
      <c r="AF518" s="54">
        <v>0</v>
      </c>
      <c r="AG518" s="54">
        <v>0</v>
      </c>
      <c r="AH518" s="54">
        <v>0</v>
      </c>
      <c r="AI518" s="54">
        <v>0</v>
      </c>
      <c r="AJ518" s="54">
        <v>0</v>
      </c>
      <c r="AK518" s="54">
        <v>0</v>
      </c>
      <c r="AL518" s="54">
        <v>0</v>
      </c>
      <c r="AM518" s="54" t="str">
        <f>I518-J518-K518-L518-M518-N518-O518-P518-Q518-R518-S518-T518-U518-V518-W518-X518-Y518-Z518-AA518-AB518-AC518-AD518-AE518-AF518-AG518+AH518-AI518+AJ518+AK518-AL518</f>
        <v>0</v>
      </c>
      <c r="AN518" s="54"/>
      <c r="AO518" s="27"/>
    </row>
    <row r="519" spans="1:41">
      <c r="A519" s="44">
        <v>491</v>
      </c>
      <c r="B519" s="47" t="s">
        <v>2080</v>
      </c>
      <c r="C519" s="48" t="s">
        <v>2081</v>
      </c>
      <c r="D519" s="52" t="s">
        <v>62</v>
      </c>
      <c r="E519" s="52" t="s">
        <v>1997</v>
      </c>
      <c r="F519" s="55" t="s">
        <v>2082</v>
      </c>
      <c r="G519" s="51">
        <v>3</v>
      </c>
      <c r="H519" s="52" t="s">
        <v>2083</v>
      </c>
      <c r="I519" s="54">
        <v>0</v>
      </c>
      <c r="J519" s="54">
        <v>0</v>
      </c>
      <c r="K519" s="54">
        <v>22000</v>
      </c>
      <c r="L519" s="54">
        <v>0</v>
      </c>
      <c r="M519" s="54">
        <v>0</v>
      </c>
      <c r="N519" s="54">
        <v>0</v>
      </c>
      <c r="O519" s="54">
        <v>0</v>
      </c>
      <c r="P519" s="54">
        <v>0</v>
      </c>
      <c r="Q519" s="54">
        <v>0</v>
      </c>
      <c r="R519" s="54">
        <v>0</v>
      </c>
      <c r="S519" s="54">
        <v>0</v>
      </c>
      <c r="T519" s="54">
        <v>0</v>
      </c>
      <c r="U519" s="54">
        <v>2263</v>
      </c>
      <c r="V519" s="54">
        <v>0</v>
      </c>
      <c r="W519" s="54">
        <v>0</v>
      </c>
      <c r="X519" s="54">
        <v>0</v>
      </c>
      <c r="Y519" s="54">
        <v>11000</v>
      </c>
      <c r="Z519" s="54">
        <v>0</v>
      </c>
      <c r="AA519" s="54">
        <v>0</v>
      </c>
      <c r="AB519" s="54">
        <v>0</v>
      </c>
      <c r="AC519" s="54">
        <v>0</v>
      </c>
      <c r="AD519" s="54">
        <v>0</v>
      </c>
      <c r="AE519" s="54">
        <v>0</v>
      </c>
      <c r="AF519" s="54">
        <v>0</v>
      </c>
      <c r="AG519" s="54">
        <v>0</v>
      </c>
      <c r="AH519" s="54">
        <v>0</v>
      </c>
      <c r="AI519" s="54">
        <v>0</v>
      </c>
      <c r="AJ519" s="54">
        <v>0</v>
      </c>
      <c r="AK519" s="54">
        <v>0</v>
      </c>
      <c r="AL519" s="54">
        <v>0</v>
      </c>
      <c r="AM519" s="54" t="str">
        <f>I519-J519-K519-L519-M519-N519-O519-P519-Q519-R519-S519-T519-U519-V519-W519-X519-Y519-Z519-AA519-AB519-AC519-AD519-AE519-AF519-AG519+AH519-AI519+AJ519+AK519-AL519</f>
        <v>0</v>
      </c>
      <c r="AN519" s="54"/>
      <c r="AO519" s="27"/>
    </row>
    <row r="520" spans="1:41">
      <c r="A520" s="44">
        <v>492</v>
      </c>
      <c r="B520" s="47" t="s">
        <v>2084</v>
      </c>
      <c r="C520" s="48" t="s">
        <v>2085</v>
      </c>
      <c r="D520" s="52" t="s">
        <v>73</v>
      </c>
      <c r="E520" s="52" t="s">
        <v>1997</v>
      </c>
      <c r="F520" s="55" t="s">
        <v>1903</v>
      </c>
      <c r="G520" s="51">
        <v>3</v>
      </c>
      <c r="H520" s="52" t="s">
        <v>2086</v>
      </c>
      <c r="I520" s="54">
        <v>354000</v>
      </c>
      <c r="J520" s="54">
        <v>0</v>
      </c>
      <c r="K520" s="54">
        <v>22000</v>
      </c>
      <c r="L520" s="54">
        <v>0</v>
      </c>
      <c r="M520" s="54">
        <v>0</v>
      </c>
      <c r="N520" s="54">
        <v>0</v>
      </c>
      <c r="O520" s="54">
        <v>0</v>
      </c>
      <c r="P520" s="54">
        <v>0</v>
      </c>
      <c r="Q520" s="54">
        <v>0</v>
      </c>
      <c r="R520" s="54">
        <v>0</v>
      </c>
      <c r="S520" s="54">
        <v>0</v>
      </c>
      <c r="T520" s="54">
        <v>0</v>
      </c>
      <c r="U520" s="54">
        <v>2263</v>
      </c>
      <c r="V520" s="54">
        <v>0</v>
      </c>
      <c r="W520" s="54">
        <v>0</v>
      </c>
      <c r="X520" s="54">
        <v>0</v>
      </c>
      <c r="Y520" s="54">
        <v>0</v>
      </c>
      <c r="Z520" s="54">
        <v>0</v>
      </c>
      <c r="AA520" s="54">
        <v>0</v>
      </c>
      <c r="AB520" s="54">
        <v>0</v>
      </c>
      <c r="AC520" s="54">
        <v>0</v>
      </c>
      <c r="AD520" s="54">
        <v>0</v>
      </c>
      <c r="AE520" s="54">
        <v>0</v>
      </c>
      <c r="AF520" s="54">
        <v>0</v>
      </c>
      <c r="AG520" s="54">
        <v>0</v>
      </c>
      <c r="AH520" s="54">
        <v>0</v>
      </c>
      <c r="AI520" s="54">
        <v>0</v>
      </c>
      <c r="AJ520" s="54">
        <v>0</v>
      </c>
      <c r="AK520" s="54">
        <v>0</v>
      </c>
      <c r="AL520" s="54">
        <v>0</v>
      </c>
      <c r="AM520" s="54" t="str">
        <f>I520-J520-K520-L520-M520-N520-O520-P520-Q520-R520-S520-T520-U520-V520-W520-X520-Y520-Z520-AA520-AB520-AC520-AD520-AE520-AF520-AG520+AH520-AI520+AJ520+AK520-AL520</f>
        <v>0</v>
      </c>
      <c r="AN520" s="54"/>
      <c r="AO520" s="27"/>
    </row>
    <row r="521" spans="1:41">
      <c r="A521" s="44">
        <v>493</v>
      </c>
      <c r="B521" s="47" t="s">
        <v>2087</v>
      </c>
      <c r="C521" s="48" t="s">
        <v>2088</v>
      </c>
      <c r="D521" s="52" t="s">
        <v>73</v>
      </c>
      <c r="E521" s="52" t="s">
        <v>1997</v>
      </c>
      <c r="F521" s="55" t="s">
        <v>2089</v>
      </c>
      <c r="G521" s="51">
        <v>2</v>
      </c>
      <c r="H521" s="52" t="s">
        <v>2090</v>
      </c>
      <c r="I521" s="54">
        <v>260000</v>
      </c>
      <c r="J521" s="54">
        <v>0</v>
      </c>
      <c r="K521" s="54">
        <v>22000</v>
      </c>
      <c r="L521" s="54">
        <v>0</v>
      </c>
      <c r="M521" s="54">
        <v>0</v>
      </c>
      <c r="N521" s="54">
        <v>0</v>
      </c>
      <c r="O521" s="54">
        <v>0</v>
      </c>
      <c r="P521" s="54">
        <v>0</v>
      </c>
      <c r="Q521" s="54">
        <v>0</v>
      </c>
      <c r="R521" s="54">
        <v>0</v>
      </c>
      <c r="S521" s="54">
        <v>0</v>
      </c>
      <c r="T521" s="54">
        <v>0</v>
      </c>
      <c r="U521" s="54">
        <v>2263</v>
      </c>
      <c r="V521" s="54">
        <v>0</v>
      </c>
      <c r="W521" s="54">
        <v>0</v>
      </c>
      <c r="X521" s="54">
        <v>0</v>
      </c>
      <c r="Y521" s="54">
        <v>0</v>
      </c>
      <c r="Z521" s="54">
        <v>0</v>
      </c>
      <c r="AA521" s="54">
        <v>0</v>
      </c>
      <c r="AB521" s="54">
        <v>0</v>
      </c>
      <c r="AC521" s="54">
        <v>0</v>
      </c>
      <c r="AD521" s="54">
        <v>0</v>
      </c>
      <c r="AE521" s="54">
        <v>0</v>
      </c>
      <c r="AF521" s="54">
        <v>0</v>
      </c>
      <c r="AG521" s="54">
        <v>0</v>
      </c>
      <c r="AH521" s="54">
        <v>0</v>
      </c>
      <c r="AI521" s="54">
        <v>0</v>
      </c>
      <c r="AJ521" s="54">
        <v>0</v>
      </c>
      <c r="AK521" s="54">
        <v>0</v>
      </c>
      <c r="AL521" s="54">
        <v>0</v>
      </c>
      <c r="AM521" s="54" t="str">
        <f>I521-J521-K521-L521-M521-N521-O521-P521-Q521-R521-S521-T521-U521-V521-W521-X521-Y521-Z521-AA521-AB521-AC521-AD521-AE521-AF521-AG521+AH521-AI521+AJ521+AK521-AL521</f>
        <v>0</v>
      </c>
      <c r="AN521" s="54"/>
      <c r="AO521" s="27"/>
    </row>
    <row r="522" spans="1:41">
      <c r="A522" s="44">
        <v>494</v>
      </c>
      <c r="B522" s="47" t="s">
        <v>2091</v>
      </c>
      <c r="C522" s="48" t="s">
        <v>2092</v>
      </c>
      <c r="D522" s="52" t="s">
        <v>73</v>
      </c>
      <c r="E522" s="52" t="s">
        <v>1997</v>
      </c>
      <c r="F522" s="55" t="s">
        <v>2093</v>
      </c>
      <c r="G522" s="51">
        <v>2</v>
      </c>
      <c r="H522" s="52" t="s">
        <v>2094</v>
      </c>
      <c r="I522" s="54">
        <v>264000</v>
      </c>
      <c r="J522" s="54">
        <v>0</v>
      </c>
      <c r="K522" s="54">
        <v>22000</v>
      </c>
      <c r="L522" s="54">
        <v>0</v>
      </c>
      <c r="M522" s="54">
        <v>0</v>
      </c>
      <c r="N522" s="54">
        <v>0</v>
      </c>
      <c r="O522" s="54">
        <v>0</v>
      </c>
      <c r="P522" s="54">
        <v>0</v>
      </c>
      <c r="Q522" s="54">
        <v>0</v>
      </c>
      <c r="R522" s="54">
        <v>0</v>
      </c>
      <c r="S522" s="54">
        <v>0</v>
      </c>
      <c r="T522" s="54">
        <v>0</v>
      </c>
      <c r="U522" s="54">
        <v>2263</v>
      </c>
      <c r="V522" s="54">
        <v>0</v>
      </c>
      <c r="W522" s="54">
        <v>0</v>
      </c>
      <c r="X522" s="54">
        <v>0</v>
      </c>
      <c r="Y522" s="54">
        <v>0</v>
      </c>
      <c r="Z522" s="54">
        <v>0</v>
      </c>
      <c r="AA522" s="54">
        <v>0</v>
      </c>
      <c r="AB522" s="54">
        <v>0</v>
      </c>
      <c r="AC522" s="54">
        <v>0</v>
      </c>
      <c r="AD522" s="54">
        <v>0</v>
      </c>
      <c r="AE522" s="54">
        <v>0</v>
      </c>
      <c r="AF522" s="54">
        <v>0</v>
      </c>
      <c r="AG522" s="54">
        <v>0</v>
      </c>
      <c r="AH522" s="54">
        <v>0</v>
      </c>
      <c r="AI522" s="54">
        <v>0</v>
      </c>
      <c r="AJ522" s="54">
        <v>0</v>
      </c>
      <c r="AK522" s="54">
        <v>0</v>
      </c>
      <c r="AL522" s="54">
        <v>0</v>
      </c>
      <c r="AM522" s="54" t="str">
        <f>I522-J522-K522-L522-M522-N522-O522-P522-Q522-R522-S522-T522-U522-V522-W522-X522-Y522-Z522-AA522-AB522-AC522-AD522-AE522-AF522-AG522+AH522-AI522+AJ522+AK522-AL522</f>
        <v>0</v>
      </c>
      <c r="AN522" s="54"/>
      <c r="AO522" s="27"/>
    </row>
    <row r="523" spans="1:41">
      <c r="A523" s="44">
        <v>495</v>
      </c>
      <c r="B523" s="47" t="s">
        <v>2095</v>
      </c>
      <c r="C523" s="48" t="s">
        <v>2096</v>
      </c>
      <c r="D523" s="52" t="s">
        <v>73</v>
      </c>
      <c r="E523" s="52" t="s">
        <v>1997</v>
      </c>
      <c r="F523" s="55" t="s">
        <v>2097</v>
      </c>
      <c r="G523" s="51">
        <v>6</v>
      </c>
      <c r="H523" s="52" t="s">
        <v>2098</v>
      </c>
      <c r="I523" s="54">
        <v>364000</v>
      </c>
      <c r="J523" s="54">
        <v>0</v>
      </c>
      <c r="K523" s="54">
        <v>31000</v>
      </c>
      <c r="L523" s="54">
        <v>0</v>
      </c>
      <c r="M523" s="54">
        <v>0</v>
      </c>
      <c r="N523" s="54">
        <v>0</v>
      </c>
      <c r="O523" s="54">
        <v>0</v>
      </c>
      <c r="P523" s="54">
        <v>0</v>
      </c>
      <c r="Q523" s="54">
        <v>0</v>
      </c>
      <c r="R523" s="54">
        <v>0</v>
      </c>
      <c r="S523" s="54">
        <v>0</v>
      </c>
      <c r="T523" s="54">
        <v>0</v>
      </c>
      <c r="U523" s="54">
        <v>3189</v>
      </c>
      <c r="V523" s="54">
        <v>0</v>
      </c>
      <c r="W523" s="54">
        <v>0</v>
      </c>
      <c r="X523" s="54">
        <v>0</v>
      </c>
      <c r="Y523" s="54">
        <v>0</v>
      </c>
      <c r="Z523" s="54">
        <v>0</v>
      </c>
      <c r="AA523" s="54">
        <v>0</v>
      </c>
      <c r="AB523" s="54">
        <v>0</v>
      </c>
      <c r="AC523" s="54">
        <v>0</v>
      </c>
      <c r="AD523" s="54">
        <v>0</v>
      </c>
      <c r="AE523" s="54">
        <v>0</v>
      </c>
      <c r="AF523" s="54">
        <v>0</v>
      </c>
      <c r="AG523" s="54">
        <v>0</v>
      </c>
      <c r="AH523" s="54">
        <v>0</v>
      </c>
      <c r="AI523" s="54">
        <v>0</v>
      </c>
      <c r="AJ523" s="54">
        <v>0</v>
      </c>
      <c r="AK523" s="54">
        <v>0</v>
      </c>
      <c r="AL523" s="54">
        <v>0</v>
      </c>
      <c r="AM523" s="54" t="str">
        <f>I523-J523-K523-L523-M523-N523-O523-P523-Q523-R523-S523-T523-U523-V523-W523-X523-Y523-Z523-AA523-AB523-AC523-AD523-AE523-AF523-AG523+AH523-AI523+AJ523+AK523-AL523</f>
        <v>0</v>
      </c>
      <c r="AN523" s="54"/>
      <c r="AO523" s="27"/>
    </row>
    <row r="524" spans="1:41">
      <c r="A524" s="44">
        <v>496</v>
      </c>
      <c r="B524" s="47" t="s">
        <v>2099</v>
      </c>
      <c r="C524" s="48" t="s">
        <v>2100</v>
      </c>
      <c r="D524" s="52" t="s">
        <v>73</v>
      </c>
      <c r="E524" s="52" t="s">
        <v>1997</v>
      </c>
      <c r="F524" s="55" t="s">
        <v>2101</v>
      </c>
      <c r="G524" s="51">
        <v>2</v>
      </c>
      <c r="H524" s="52" t="s">
        <v>2102</v>
      </c>
      <c r="I524" s="54">
        <v>285000</v>
      </c>
      <c r="J524" s="54">
        <v>0</v>
      </c>
      <c r="K524" s="54">
        <v>22000</v>
      </c>
      <c r="L524" s="54">
        <v>0</v>
      </c>
      <c r="M524" s="54">
        <v>0</v>
      </c>
      <c r="N524" s="54">
        <v>0</v>
      </c>
      <c r="O524" s="54">
        <v>0</v>
      </c>
      <c r="P524" s="54">
        <v>0</v>
      </c>
      <c r="Q524" s="54">
        <v>0</v>
      </c>
      <c r="R524" s="54">
        <v>0</v>
      </c>
      <c r="S524" s="54">
        <v>0</v>
      </c>
      <c r="T524" s="54">
        <v>0</v>
      </c>
      <c r="U524" s="54">
        <v>1397</v>
      </c>
      <c r="V524" s="54">
        <v>0</v>
      </c>
      <c r="W524" s="54">
        <v>0</v>
      </c>
      <c r="X524" s="54">
        <v>0</v>
      </c>
      <c r="Y524" s="54">
        <v>0</v>
      </c>
      <c r="Z524" s="54">
        <v>0</v>
      </c>
      <c r="AA524" s="54">
        <v>0</v>
      </c>
      <c r="AB524" s="54">
        <v>0</v>
      </c>
      <c r="AC524" s="54">
        <v>0</v>
      </c>
      <c r="AD524" s="54">
        <v>0</v>
      </c>
      <c r="AE524" s="54">
        <v>0</v>
      </c>
      <c r="AF524" s="54">
        <v>0</v>
      </c>
      <c r="AG524" s="54">
        <v>0</v>
      </c>
      <c r="AH524" s="54">
        <v>0</v>
      </c>
      <c r="AI524" s="54">
        <v>0</v>
      </c>
      <c r="AJ524" s="54">
        <v>0</v>
      </c>
      <c r="AK524" s="54">
        <v>0</v>
      </c>
      <c r="AL524" s="54">
        <v>0</v>
      </c>
      <c r="AM524" s="54" t="str">
        <f>I524-J524-K524-L524-M524-N524-O524-P524-Q524-R524-S524-T524-U524-V524-W524-X524-Y524-Z524-AA524-AB524-AC524-AD524-AE524-AF524-AG524+AH524-AI524+AJ524+AK524-AL524</f>
        <v>0</v>
      </c>
      <c r="AN524" s="54"/>
      <c r="AO524" s="27"/>
    </row>
    <row r="525" spans="1:41">
      <c r="A525" s="44">
        <v>497</v>
      </c>
      <c r="B525" s="47" t="s">
        <v>2103</v>
      </c>
      <c r="C525" s="48" t="s">
        <v>2104</v>
      </c>
      <c r="D525" s="52" t="s">
        <v>73</v>
      </c>
      <c r="E525" s="52" t="s">
        <v>1997</v>
      </c>
      <c r="F525" s="55" t="s">
        <v>2105</v>
      </c>
      <c r="G525" s="51">
        <v>6</v>
      </c>
      <c r="H525" s="52" t="s">
        <v>2106</v>
      </c>
      <c r="I525" s="54">
        <v>934000</v>
      </c>
      <c r="J525" s="54">
        <v>0</v>
      </c>
      <c r="K525" s="54">
        <v>31000</v>
      </c>
      <c r="L525" s="54">
        <v>0</v>
      </c>
      <c r="M525" s="54">
        <v>0</v>
      </c>
      <c r="N525" s="54">
        <v>0</v>
      </c>
      <c r="O525" s="54">
        <v>0</v>
      </c>
      <c r="P525" s="54">
        <v>0</v>
      </c>
      <c r="Q525" s="54">
        <v>0</v>
      </c>
      <c r="R525" s="54">
        <v>0</v>
      </c>
      <c r="S525" s="54">
        <v>0</v>
      </c>
      <c r="T525" s="54">
        <v>0</v>
      </c>
      <c r="U525" s="54">
        <v>3189</v>
      </c>
      <c r="V525" s="54">
        <v>0</v>
      </c>
      <c r="W525" s="54">
        <v>0</v>
      </c>
      <c r="X525" s="54">
        <v>0</v>
      </c>
      <c r="Y525" s="54">
        <v>0</v>
      </c>
      <c r="Z525" s="54">
        <v>0</v>
      </c>
      <c r="AA525" s="54">
        <v>0</v>
      </c>
      <c r="AB525" s="54">
        <v>0</v>
      </c>
      <c r="AC525" s="54">
        <v>0</v>
      </c>
      <c r="AD525" s="54">
        <v>0</v>
      </c>
      <c r="AE525" s="54">
        <v>0</v>
      </c>
      <c r="AF525" s="54">
        <v>0</v>
      </c>
      <c r="AG525" s="54">
        <v>0</v>
      </c>
      <c r="AH525" s="54">
        <v>0</v>
      </c>
      <c r="AI525" s="54">
        <v>0</v>
      </c>
      <c r="AJ525" s="54">
        <v>0</v>
      </c>
      <c r="AK525" s="54">
        <v>0</v>
      </c>
      <c r="AL525" s="54">
        <v>0</v>
      </c>
      <c r="AM525" s="54" t="str">
        <f>I525-J525-K525-L525-M525-N525-O525-P525-Q525-R525-S525-T525-U525-V525-W525-X525-Y525-Z525-AA525-AB525-AC525-AD525-AE525-AF525-AG525+AH525-AI525+AJ525+AK525-AL525</f>
        <v>0</v>
      </c>
      <c r="AN525" s="54"/>
      <c r="AO525" s="27"/>
    </row>
    <row r="526" spans="1:41">
      <c r="A526" s="44">
        <v>498</v>
      </c>
      <c r="B526" s="47" t="s">
        <v>2107</v>
      </c>
      <c r="C526" s="48" t="s">
        <v>2108</v>
      </c>
      <c r="D526" s="52" t="s">
        <v>73</v>
      </c>
      <c r="E526" s="52" t="s">
        <v>1997</v>
      </c>
      <c r="F526" s="55" t="s">
        <v>742</v>
      </c>
      <c r="G526" s="51">
        <v>7</v>
      </c>
      <c r="H526" s="52" t="s">
        <v>2109</v>
      </c>
      <c r="I526" s="54">
        <v>1439000</v>
      </c>
      <c r="J526" s="54">
        <v>0</v>
      </c>
      <c r="K526" s="54">
        <v>35000</v>
      </c>
      <c r="L526" s="54">
        <v>0</v>
      </c>
      <c r="M526" s="54">
        <v>0</v>
      </c>
      <c r="N526" s="54">
        <v>0</v>
      </c>
      <c r="O526" s="54">
        <v>0</v>
      </c>
      <c r="P526" s="54">
        <v>0</v>
      </c>
      <c r="Q526" s="54">
        <v>0</v>
      </c>
      <c r="R526" s="54">
        <v>0</v>
      </c>
      <c r="S526" s="54">
        <v>0</v>
      </c>
      <c r="T526" s="54">
        <v>0</v>
      </c>
      <c r="U526" s="54">
        <v>3601</v>
      </c>
      <c r="V526" s="54">
        <v>0</v>
      </c>
      <c r="W526" s="54">
        <v>0</v>
      </c>
      <c r="X526" s="54">
        <v>0</v>
      </c>
      <c r="Y526" s="54">
        <v>0</v>
      </c>
      <c r="Z526" s="54">
        <v>0</v>
      </c>
      <c r="AA526" s="54">
        <v>0</v>
      </c>
      <c r="AB526" s="54">
        <v>0</v>
      </c>
      <c r="AC526" s="54">
        <v>0</v>
      </c>
      <c r="AD526" s="54">
        <v>0</v>
      </c>
      <c r="AE526" s="54">
        <v>0</v>
      </c>
      <c r="AF526" s="54">
        <v>0</v>
      </c>
      <c r="AG526" s="54">
        <v>0</v>
      </c>
      <c r="AH526" s="54">
        <v>0</v>
      </c>
      <c r="AI526" s="54">
        <v>0</v>
      </c>
      <c r="AJ526" s="54">
        <v>0</v>
      </c>
      <c r="AK526" s="54">
        <v>0</v>
      </c>
      <c r="AL526" s="54">
        <v>0</v>
      </c>
      <c r="AM526" s="54" t="str">
        <f>I526-J526-K526-L526-M526-N526-O526-P526-Q526-R526-S526-T526-U526-V526-W526-X526-Y526-Z526-AA526-AB526-AC526-AD526-AE526-AF526-AG526+AH526-AI526+AJ526+AK526-AL526</f>
        <v>0</v>
      </c>
      <c r="AN526" s="54"/>
      <c r="AO526" s="27"/>
    </row>
    <row r="527" spans="1:41">
      <c r="A527" s="44">
        <v>499</v>
      </c>
      <c r="B527" s="47" t="s">
        <v>2110</v>
      </c>
      <c r="C527" s="48" t="s">
        <v>2111</v>
      </c>
      <c r="D527" s="52" t="s">
        <v>62</v>
      </c>
      <c r="E527" s="52" t="s">
        <v>1997</v>
      </c>
      <c r="F527" s="55" t="s">
        <v>2112</v>
      </c>
      <c r="G527" s="51">
        <v>7</v>
      </c>
      <c r="H527" s="52" t="s">
        <v>2113</v>
      </c>
      <c r="I527" s="54">
        <v>0</v>
      </c>
      <c r="J527" s="54">
        <v>0</v>
      </c>
      <c r="K527" s="54">
        <v>35000</v>
      </c>
      <c r="L527" s="54">
        <v>0</v>
      </c>
      <c r="M527" s="54">
        <v>0</v>
      </c>
      <c r="N527" s="54">
        <v>0</v>
      </c>
      <c r="O527" s="54">
        <v>0</v>
      </c>
      <c r="P527" s="54">
        <v>0</v>
      </c>
      <c r="Q527" s="54">
        <v>0</v>
      </c>
      <c r="R527" s="54">
        <v>0</v>
      </c>
      <c r="S527" s="54">
        <v>0</v>
      </c>
      <c r="T527" s="54">
        <v>0</v>
      </c>
      <c r="U527" s="54">
        <v>3601</v>
      </c>
      <c r="V527" s="54">
        <v>0</v>
      </c>
      <c r="W527" s="54">
        <v>0</v>
      </c>
      <c r="X527" s="54">
        <v>0</v>
      </c>
      <c r="Y527" s="54">
        <v>17500</v>
      </c>
      <c r="Z527" s="54">
        <v>0</v>
      </c>
      <c r="AA527" s="54">
        <v>0</v>
      </c>
      <c r="AB527" s="54">
        <v>0</v>
      </c>
      <c r="AC527" s="54">
        <v>0</v>
      </c>
      <c r="AD527" s="54">
        <v>0</v>
      </c>
      <c r="AE527" s="54">
        <v>0</v>
      </c>
      <c r="AF527" s="54">
        <v>0</v>
      </c>
      <c r="AG527" s="54">
        <v>0</v>
      </c>
      <c r="AH527" s="54">
        <v>0</v>
      </c>
      <c r="AI527" s="54">
        <v>0</v>
      </c>
      <c r="AJ527" s="54">
        <v>0</v>
      </c>
      <c r="AK527" s="54">
        <v>0</v>
      </c>
      <c r="AL527" s="54">
        <v>0</v>
      </c>
      <c r="AM527" s="54" t="str">
        <f>I527-J527-K527-L527-M527-N527-O527-P527-Q527-R527-S527-T527-U527-V527-W527-X527-Y527-Z527-AA527-AB527-AC527-AD527-AE527-AF527-AG527+AH527-AI527+AJ527+AK527-AL527</f>
        <v>0</v>
      </c>
      <c r="AN527" s="54"/>
      <c r="AO527" s="27"/>
    </row>
    <row r="528" spans="1:41">
      <c r="A528" s="44">
        <v>500</v>
      </c>
      <c r="B528" s="47" t="s">
        <v>2114</v>
      </c>
      <c r="C528" s="48" t="s">
        <v>2115</v>
      </c>
      <c r="D528" s="52" t="s">
        <v>73</v>
      </c>
      <c r="E528" s="52" t="s">
        <v>1997</v>
      </c>
      <c r="F528" s="55" t="s">
        <v>2116</v>
      </c>
      <c r="G528" s="51">
        <v>2</v>
      </c>
      <c r="H528" s="52" t="s">
        <v>2117</v>
      </c>
      <c r="I528" s="54">
        <v>335000</v>
      </c>
      <c r="J528" s="54">
        <v>0</v>
      </c>
      <c r="K528" s="54">
        <v>22000</v>
      </c>
      <c r="L528" s="54">
        <v>0</v>
      </c>
      <c r="M528" s="54">
        <v>0</v>
      </c>
      <c r="N528" s="54">
        <v>0</v>
      </c>
      <c r="O528" s="54">
        <v>0</v>
      </c>
      <c r="P528" s="54">
        <v>0</v>
      </c>
      <c r="Q528" s="54">
        <v>0</v>
      </c>
      <c r="R528" s="54">
        <v>0</v>
      </c>
      <c r="S528" s="54">
        <v>0</v>
      </c>
      <c r="T528" s="54">
        <v>0</v>
      </c>
      <c r="U528" s="54">
        <v>2263</v>
      </c>
      <c r="V528" s="54">
        <v>0</v>
      </c>
      <c r="W528" s="54">
        <v>0</v>
      </c>
      <c r="X528" s="54">
        <v>0</v>
      </c>
      <c r="Y528" s="54">
        <v>0</v>
      </c>
      <c r="Z528" s="54">
        <v>0</v>
      </c>
      <c r="AA528" s="54">
        <v>0</v>
      </c>
      <c r="AB528" s="54">
        <v>0</v>
      </c>
      <c r="AC528" s="54">
        <v>0</v>
      </c>
      <c r="AD528" s="54">
        <v>0</v>
      </c>
      <c r="AE528" s="54">
        <v>0</v>
      </c>
      <c r="AF528" s="54">
        <v>0</v>
      </c>
      <c r="AG528" s="54">
        <v>0</v>
      </c>
      <c r="AH528" s="54">
        <v>0</v>
      </c>
      <c r="AI528" s="54">
        <v>0</v>
      </c>
      <c r="AJ528" s="54">
        <v>0</v>
      </c>
      <c r="AK528" s="54">
        <v>0</v>
      </c>
      <c r="AL528" s="54">
        <v>0</v>
      </c>
      <c r="AM528" s="54" t="str">
        <f>I528-J528-K528-L528-M528-N528-O528-P528-Q528-R528-S528-T528-U528-V528-W528-X528-Y528-Z528-AA528-AB528-AC528-AD528-AE528-AF528-AG528+AH528-AI528+AJ528+AK528-AL528</f>
        <v>0</v>
      </c>
      <c r="AN528" s="54"/>
      <c r="AO528" s="27"/>
    </row>
    <row r="529" spans="1:41">
      <c r="A529" s="44">
        <v>501</v>
      </c>
      <c r="B529" s="47" t="s">
        <v>2118</v>
      </c>
      <c r="C529" s="48" t="s">
        <v>2119</v>
      </c>
      <c r="D529" s="52" t="s">
        <v>73</v>
      </c>
      <c r="E529" s="52" t="s">
        <v>1997</v>
      </c>
      <c r="F529" s="55" t="s">
        <v>2120</v>
      </c>
      <c r="G529" s="51">
        <v>7</v>
      </c>
      <c r="H529" s="52" t="s">
        <v>2121</v>
      </c>
      <c r="I529" s="54">
        <v>1365000</v>
      </c>
      <c r="J529" s="54">
        <v>0</v>
      </c>
      <c r="K529" s="54">
        <v>35000</v>
      </c>
      <c r="L529" s="54">
        <v>0</v>
      </c>
      <c r="M529" s="54">
        <v>0</v>
      </c>
      <c r="N529" s="54">
        <v>0</v>
      </c>
      <c r="O529" s="54">
        <v>0</v>
      </c>
      <c r="P529" s="54">
        <v>0</v>
      </c>
      <c r="Q529" s="54">
        <v>0</v>
      </c>
      <c r="R529" s="54">
        <v>0</v>
      </c>
      <c r="S529" s="54">
        <v>0</v>
      </c>
      <c r="T529" s="54">
        <v>0</v>
      </c>
      <c r="U529" s="54">
        <v>2222</v>
      </c>
      <c r="V529" s="54">
        <v>0</v>
      </c>
      <c r="W529" s="54">
        <v>0</v>
      </c>
      <c r="X529" s="54">
        <v>0</v>
      </c>
      <c r="Y529" s="54">
        <v>0</v>
      </c>
      <c r="Z529" s="54">
        <v>10000</v>
      </c>
      <c r="AA529" s="54">
        <v>0</v>
      </c>
      <c r="AB529" s="54">
        <v>0</v>
      </c>
      <c r="AC529" s="54">
        <v>0</v>
      </c>
      <c r="AD529" s="54">
        <v>0</v>
      </c>
      <c r="AE529" s="54">
        <v>0</v>
      </c>
      <c r="AF529" s="54">
        <v>0</v>
      </c>
      <c r="AG529" s="54">
        <v>0</v>
      </c>
      <c r="AH529" s="54">
        <v>0</v>
      </c>
      <c r="AI529" s="54">
        <v>0</v>
      </c>
      <c r="AJ529" s="54">
        <v>0</v>
      </c>
      <c r="AK529" s="54">
        <v>0</v>
      </c>
      <c r="AL529" s="54">
        <v>0</v>
      </c>
      <c r="AM529" s="54" t="str">
        <f>I529-J529-K529-L529-M529-N529-O529-P529-Q529-R529-S529-T529-U529-V529-W529-X529-Y529-Z529-AA529-AB529-AC529-AD529-AE529-AF529-AG529+AH529-AI529+AJ529+AK529-AL529</f>
        <v>0</v>
      </c>
      <c r="AN529" s="54"/>
      <c r="AO529" s="27"/>
    </row>
    <row r="530" spans="1:41">
      <c r="A530" s="44">
        <v>502</v>
      </c>
      <c r="B530" s="47" t="s">
        <v>2122</v>
      </c>
      <c r="C530" s="48" t="s">
        <v>2123</v>
      </c>
      <c r="D530" s="52" t="s">
        <v>62</v>
      </c>
      <c r="E530" s="52" t="s">
        <v>1997</v>
      </c>
      <c r="F530" s="55" t="s">
        <v>2124</v>
      </c>
      <c r="G530" s="51">
        <v>8</v>
      </c>
      <c r="H530" s="52" t="s">
        <v>2125</v>
      </c>
      <c r="I530" s="54">
        <v>0</v>
      </c>
      <c r="J530" s="54">
        <v>0</v>
      </c>
      <c r="K530" s="54">
        <v>39000</v>
      </c>
      <c r="L530" s="54">
        <v>0</v>
      </c>
      <c r="M530" s="54">
        <v>0</v>
      </c>
      <c r="N530" s="54">
        <v>0</v>
      </c>
      <c r="O530" s="54">
        <v>0</v>
      </c>
      <c r="P530" s="54">
        <v>0</v>
      </c>
      <c r="Q530" s="54">
        <v>0</v>
      </c>
      <c r="R530" s="54">
        <v>0</v>
      </c>
      <c r="S530" s="54">
        <v>0</v>
      </c>
      <c r="T530" s="54">
        <v>0</v>
      </c>
      <c r="U530" s="54">
        <v>4013</v>
      </c>
      <c r="V530" s="54">
        <v>0</v>
      </c>
      <c r="W530" s="54">
        <v>0</v>
      </c>
      <c r="X530" s="54">
        <v>0</v>
      </c>
      <c r="Y530" s="54">
        <v>19500</v>
      </c>
      <c r="Z530" s="54">
        <v>0</v>
      </c>
      <c r="AA530" s="54">
        <v>0</v>
      </c>
      <c r="AB530" s="54">
        <v>0</v>
      </c>
      <c r="AC530" s="54">
        <v>0</v>
      </c>
      <c r="AD530" s="54">
        <v>0</v>
      </c>
      <c r="AE530" s="54">
        <v>0</v>
      </c>
      <c r="AF530" s="54">
        <v>0</v>
      </c>
      <c r="AG530" s="54">
        <v>0</v>
      </c>
      <c r="AH530" s="54">
        <v>0</v>
      </c>
      <c r="AI530" s="54">
        <v>0</v>
      </c>
      <c r="AJ530" s="54">
        <v>0</v>
      </c>
      <c r="AK530" s="54">
        <v>0</v>
      </c>
      <c r="AL530" s="54">
        <v>0</v>
      </c>
      <c r="AM530" s="54" t="str">
        <f>I530-J530-K530-L530-M530-N530-O530-P530-Q530-R530-S530-T530-U530-V530-W530-X530-Y530-Z530-AA530-AB530-AC530-AD530-AE530-AF530-AG530+AH530-AI530+AJ530+AK530-AL530</f>
        <v>0</v>
      </c>
      <c r="AN530" s="54"/>
      <c r="AO530" s="27"/>
    </row>
    <row r="531" spans="1:41">
      <c r="A531" s="44">
        <v>503</v>
      </c>
      <c r="B531" s="47" t="s">
        <v>2126</v>
      </c>
      <c r="C531" s="48" t="s">
        <v>2127</v>
      </c>
      <c r="D531" s="52" t="s">
        <v>73</v>
      </c>
      <c r="E531" s="52" t="s">
        <v>1997</v>
      </c>
      <c r="F531" s="55" t="s">
        <v>2128</v>
      </c>
      <c r="G531" s="51">
        <v>8</v>
      </c>
      <c r="H531" s="52" t="s">
        <v>2129</v>
      </c>
      <c r="I531" s="54">
        <v>2250000</v>
      </c>
      <c r="J531" s="54">
        <v>0</v>
      </c>
      <c r="K531" s="54">
        <v>39000</v>
      </c>
      <c r="L531" s="54">
        <v>0</v>
      </c>
      <c r="M531" s="54">
        <v>0</v>
      </c>
      <c r="N531" s="54">
        <v>0</v>
      </c>
      <c r="O531" s="54">
        <v>0</v>
      </c>
      <c r="P531" s="54">
        <v>0</v>
      </c>
      <c r="Q531" s="54">
        <v>0</v>
      </c>
      <c r="R531" s="54">
        <v>0</v>
      </c>
      <c r="S531" s="54">
        <v>0</v>
      </c>
      <c r="T531" s="54">
        <v>0</v>
      </c>
      <c r="U531" s="54">
        <v>4013</v>
      </c>
      <c r="V531" s="54">
        <v>0</v>
      </c>
      <c r="W531" s="54">
        <v>0</v>
      </c>
      <c r="X531" s="54">
        <v>0</v>
      </c>
      <c r="Y531" s="54">
        <v>0</v>
      </c>
      <c r="Z531" s="54">
        <v>0</v>
      </c>
      <c r="AA531" s="54">
        <v>0</v>
      </c>
      <c r="AB531" s="54">
        <v>0</v>
      </c>
      <c r="AC531" s="54">
        <v>0</v>
      </c>
      <c r="AD531" s="54">
        <v>10000</v>
      </c>
      <c r="AE531" s="54">
        <v>0</v>
      </c>
      <c r="AF531" s="54">
        <v>0</v>
      </c>
      <c r="AG531" s="54">
        <v>0</v>
      </c>
      <c r="AH531" s="54">
        <v>0</v>
      </c>
      <c r="AI531" s="54">
        <v>0</v>
      </c>
      <c r="AJ531" s="54">
        <v>0</v>
      </c>
      <c r="AK531" s="54">
        <v>0</v>
      </c>
      <c r="AL531" s="54">
        <v>0</v>
      </c>
      <c r="AM531" s="54" t="str">
        <f>I531-J531-K531-L531-M531-N531-O531-P531-Q531-R531-S531-T531-U531-V531-W531-X531-Y531-Z531-AA531-AB531-AC531-AD531-AE531-AF531-AG531+AH531-AI531+AJ531+AK531-AL531</f>
        <v>0</v>
      </c>
      <c r="AN531" s="54"/>
      <c r="AO531" s="27"/>
    </row>
    <row r="532" spans="1:41">
      <c r="A532" s="44">
        <v>504</v>
      </c>
      <c r="B532" s="47" t="s">
        <v>2130</v>
      </c>
      <c r="C532" s="48" t="s">
        <v>2131</v>
      </c>
      <c r="D532" s="52" t="s">
        <v>73</v>
      </c>
      <c r="E532" s="52" t="s">
        <v>1997</v>
      </c>
      <c r="F532" s="55" t="s">
        <v>1414</v>
      </c>
      <c r="G532" s="51">
        <v>2</v>
      </c>
      <c r="H532" s="52" t="s">
        <v>2132</v>
      </c>
      <c r="I532" s="54">
        <v>310000</v>
      </c>
      <c r="J532" s="54">
        <v>0</v>
      </c>
      <c r="K532" s="54">
        <v>22000</v>
      </c>
      <c r="L532" s="54">
        <v>0</v>
      </c>
      <c r="M532" s="54">
        <v>0</v>
      </c>
      <c r="N532" s="54">
        <v>0</v>
      </c>
      <c r="O532" s="54">
        <v>0</v>
      </c>
      <c r="P532" s="54">
        <v>0</v>
      </c>
      <c r="Q532" s="54">
        <v>0</v>
      </c>
      <c r="R532" s="54">
        <v>0</v>
      </c>
      <c r="S532" s="54">
        <v>0</v>
      </c>
      <c r="T532" s="54">
        <v>0</v>
      </c>
      <c r="U532" s="54">
        <v>2263</v>
      </c>
      <c r="V532" s="54">
        <v>0</v>
      </c>
      <c r="W532" s="54">
        <v>0</v>
      </c>
      <c r="X532" s="54">
        <v>0</v>
      </c>
      <c r="Y532" s="54">
        <v>0</v>
      </c>
      <c r="Z532" s="54">
        <v>0</v>
      </c>
      <c r="AA532" s="54">
        <v>0</v>
      </c>
      <c r="AB532" s="54">
        <v>0</v>
      </c>
      <c r="AC532" s="54">
        <v>0</v>
      </c>
      <c r="AD532" s="54">
        <v>0</v>
      </c>
      <c r="AE532" s="54">
        <v>0</v>
      </c>
      <c r="AF532" s="54">
        <v>0</v>
      </c>
      <c r="AG532" s="54">
        <v>0</v>
      </c>
      <c r="AH532" s="54">
        <v>0</v>
      </c>
      <c r="AI532" s="54">
        <v>0</v>
      </c>
      <c r="AJ532" s="54">
        <v>0</v>
      </c>
      <c r="AK532" s="54">
        <v>0</v>
      </c>
      <c r="AL532" s="54">
        <v>0</v>
      </c>
      <c r="AM532" s="54" t="str">
        <f>I532-J532-K532-L532-M532-N532-O532-P532-Q532-R532-S532-T532-U532-V532-W532-X532-Y532-Z532-AA532-AB532-AC532-AD532-AE532-AF532-AG532+AH532-AI532+AJ532+AK532-AL532</f>
        <v>0</v>
      </c>
      <c r="AN532" s="54"/>
      <c r="AO532" s="27"/>
    </row>
    <row r="533" spans="1:41">
      <c r="A533" s="44">
        <v>505</v>
      </c>
      <c r="B533" s="47" t="s">
        <v>2133</v>
      </c>
      <c r="C533" s="48" t="s">
        <v>2134</v>
      </c>
      <c r="D533" s="52" t="s">
        <v>73</v>
      </c>
      <c r="E533" s="52" t="s">
        <v>1997</v>
      </c>
      <c r="F533" s="55" t="s">
        <v>2128</v>
      </c>
      <c r="G533" s="51">
        <v>3</v>
      </c>
      <c r="H533" s="52" t="s">
        <v>2135</v>
      </c>
      <c r="I533" s="54">
        <v>560000</v>
      </c>
      <c r="J533" s="54">
        <v>0</v>
      </c>
      <c r="K533" s="54">
        <v>22000</v>
      </c>
      <c r="L533" s="54">
        <v>0</v>
      </c>
      <c r="M533" s="54">
        <v>0</v>
      </c>
      <c r="N533" s="54">
        <v>0</v>
      </c>
      <c r="O533" s="54">
        <v>0</v>
      </c>
      <c r="P533" s="54">
        <v>0</v>
      </c>
      <c r="Q533" s="54">
        <v>0</v>
      </c>
      <c r="R533" s="54">
        <v>0</v>
      </c>
      <c r="S533" s="54">
        <v>0</v>
      </c>
      <c r="T533" s="54">
        <v>0</v>
      </c>
      <c r="U533" s="54">
        <v>2263</v>
      </c>
      <c r="V533" s="54">
        <v>0</v>
      </c>
      <c r="W533" s="54">
        <v>0</v>
      </c>
      <c r="X533" s="54">
        <v>0</v>
      </c>
      <c r="Y533" s="54">
        <v>0</v>
      </c>
      <c r="Z533" s="54">
        <v>0</v>
      </c>
      <c r="AA533" s="54">
        <v>0</v>
      </c>
      <c r="AB533" s="54">
        <v>0</v>
      </c>
      <c r="AC533" s="54">
        <v>0</v>
      </c>
      <c r="AD533" s="54">
        <v>0</v>
      </c>
      <c r="AE533" s="54">
        <v>0</v>
      </c>
      <c r="AF533" s="54">
        <v>0</v>
      </c>
      <c r="AG533" s="54">
        <v>0</v>
      </c>
      <c r="AH533" s="54">
        <v>0</v>
      </c>
      <c r="AI533" s="54">
        <v>0</v>
      </c>
      <c r="AJ533" s="54">
        <v>0</v>
      </c>
      <c r="AK533" s="54">
        <v>0</v>
      </c>
      <c r="AL533" s="54">
        <v>0</v>
      </c>
      <c r="AM533" s="54" t="str">
        <f>I533-J533-K533-L533-M533-N533-O533-P533-Q533-R533-S533-T533-U533-V533-W533-X533-Y533-Z533-AA533-AB533-AC533-AD533-AE533-AF533-AG533+AH533-AI533+AJ533+AK533-AL533</f>
        <v>0</v>
      </c>
      <c r="AN533" s="54"/>
      <c r="AO533" s="27"/>
    </row>
    <row r="534" spans="1:41">
      <c r="A534" s="44">
        <v>506</v>
      </c>
      <c r="B534" s="47" t="s">
        <v>2136</v>
      </c>
      <c r="C534" s="48" t="s">
        <v>2137</v>
      </c>
      <c r="D534" s="52" t="s">
        <v>73</v>
      </c>
      <c r="E534" s="52" t="s">
        <v>2138</v>
      </c>
      <c r="F534" s="55" t="s">
        <v>2139</v>
      </c>
      <c r="G534" s="51">
        <v>8</v>
      </c>
      <c r="H534" s="52" t="s">
        <v>2140</v>
      </c>
      <c r="I534" s="54">
        <v>1405000</v>
      </c>
      <c r="J534" s="54">
        <v>0</v>
      </c>
      <c r="K534" s="54">
        <v>39000</v>
      </c>
      <c r="L534" s="54">
        <v>0</v>
      </c>
      <c r="M534" s="54">
        <v>0</v>
      </c>
      <c r="N534" s="54">
        <v>0</v>
      </c>
      <c r="O534" s="54">
        <v>0</v>
      </c>
      <c r="P534" s="54">
        <v>0</v>
      </c>
      <c r="Q534" s="54">
        <v>0</v>
      </c>
      <c r="R534" s="54">
        <v>0</v>
      </c>
      <c r="S534" s="54">
        <v>0</v>
      </c>
      <c r="T534" s="54">
        <v>0</v>
      </c>
      <c r="U534" s="54">
        <v>4013</v>
      </c>
      <c r="V534" s="54">
        <v>0</v>
      </c>
      <c r="W534" s="54">
        <v>0</v>
      </c>
      <c r="X534" s="54">
        <v>0</v>
      </c>
      <c r="Y534" s="54">
        <v>0</v>
      </c>
      <c r="Z534" s="54">
        <v>0</v>
      </c>
      <c r="AA534" s="54">
        <v>0</v>
      </c>
      <c r="AB534" s="54">
        <v>0</v>
      </c>
      <c r="AC534" s="54">
        <v>0</v>
      </c>
      <c r="AD534" s="54">
        <v>0</v>
      </c>
      <c r="AE534" s="54">
        <v>0</v>
      </c>
      <c r="AF534" s="54">
        <v>0</v>
      </c>
      <c r="AG534" s="54">
        <v>0</v>
      </c>
      <c r="AH534" s="54">
        <v>0</v>
      </c>
      <c r="AI534" s="54">
        <v>0</v>
      </c>
      <c r="AJ534" s="54">
        <v>0</v>
      </c>
      <c r="AK534" s="54">
        <v>0</v>
      </c>
      <c r="AL534" s="54">
        <v>0</v>
      </c>
      <c r="AM534" s="54" t="str">
        <f>I534-J534-K534-L534-M534-N534-O534-P534-Q534-R534-S534-T534-U534-V534-W534-X534-Y534-Z534-AA534-AB534-AC534-AD534-AE534-AF534-AG534+AH534-AI534+AJ534+AK534-AL534</f>
        <v>0</v>
      </c>
      <c r="AN534" s="54"/>
      <c r="AO534" s="27"/>
    </row>
    <row r="535" spans="1:41">
      <c r="A535" s="44">
        <v>507</v>
      </c>
      <c r="B535" s="47" t="s">
        <v>2141</v>
      </c>
      <c r="C535" s="48" t="s">
        <v>2142</v>
      </c>
      <c r="D535" s="52" t="s">
        <v>73</v>
      </c>
      <c r="E535" s="52" t="s">
        <v>2138</v>
      </c>
      <c r="F535" s="55" t="s">
        <v>306</v>
      </c>
      <c r="G535" s="51">
        <v>9.7</v>
      </c>
      <c r="H535" s="52" t="s">
        <v>2143</v>
      </c>
      <c r="I535" s="54">
        <v>365000</v>
      </c>
      <c r="J535" s="54">
        <v>0</v>
      </c>
      <c r="K535" s="54">
        <v>49000</v>
      </c>
      <c r="L535" s="54">
        <v>0</v>
      </c>
      <c r="M535" s="54">
        <v>0</v>
      </c>
      <c r="N535" s="54">
        <v>0</v>
      </c>
      <c r="O535" s="54">
        <v>0</v>
      </c>
      <c r="P535" s="54">
        <v>0</v>
      </c>
      <c r="Q535" s="54">
        <v>0</v>
      </c>
      <c r="R535" s="54">
        <v>0</v>
      </c>
      <c r="S535" s="54">
        <v>0</v>
      </c>
      <c r="T535" s="54">
        <v>0</v>
      </c>
      <c r="U535" s="54">
        <v>3111</v>
      </c>
      <c r="V535" s="54">
        <v>0</v>
      </c>
      <c r="W535" s="54">
        <v>0</v>
      </c>
      <c r="X535" s="54">
        <v>0</v>
      </c>
      <c r="Y535" s="54">
        <v>0</v>
      </c>
      <c r="Z535" s="54">
        <v>0</v>
      </c>
      <c r="AA535" s="54">
        <v>0</v>
      </c>
      <c r="AB535" s="54">
        <v>0</v>
      </c>
      <c r="AC535" s="54">
        <v>0</v>
      </c>
      <c r="AD535" s="54">
        <v>0</v>
      </c>
      <c r="AE535" s="54">
        <v>0</v>
      </c>
      <c r="AF535" s="54">
        <v>0</v>
      </c>
      <c r="AG535" s="54">
        <v>0</v>
      </c>
      <c r="AH535" s="54">
        <v>0</v>
      </c>
      <c r="AI535" s="54">
        <v>0</v>
      </c>
      <c r="AJ535" s="54">
        <v>0</v>
      </c>
      <c r="AK535" s="54">
        <v>0</v>
      </c>
      <c r="AL535" s="54">
        <v>0</v>
      </c>
      <c r="AM535" s="54" t="str">
        <f>I535-J535-K535-L535-M535-N535-O535-P535-Q535-R535-S535-T535-U535-V535-W535-X535-Y535-Z535-AA535-AB535-AC535-AD535-AE535-AF535-AG535+AH535-AI535+AJ535+AK535-AL535</f>
        <v>0</v>
      </c>
      <c r="AN535" s="54"/>
      <c r="AO535" s="27"/>
    </row>
    <row r="536" spans="1:41">
      <c r="A536" s="44">
        <v>508</v>
      </c>
      <c r="B536" s="47" t="s">
        <v>2144</v>
      </c>
      <c r="C536" s="48" t="s">
        <v>2145</v>
      </c>
      <c r="D536" s="52" t="s">
        <v>73</v>
      </c>
      <c r="E536" s="52" t="s">
        <v>2138</v>
      </c>
      <c r="F536" s="55" t="s">
        <v>2146</v>
      </c>
      <c r="G536" s="51">
        <v>3</v>
      </c>
      <c r="H536" s="52" t="s">
        <v>2147</v>
      </c>
      <c r="I536" s="54">
        <v>560000</v>
      </c>
      <c r="J536" s="54">
        <v>0</v>
      </c>
      <c r="K536" s="54">
        <v>22000</v>
      </c>
      <c r="L536" s="54">
        <v>0</v>
      </c>
      <c r="M536" s="54">
        <v>0</v>
      </c>
      <c r="N536" s="54">
        <v>0</v>
      </c>
      <c r="O536" s="54">
        <v>0</v>
      </c>
      <c r="P536" s="54">
        <v>0</v>
      </c>
      <c r="Q536" s="54">
        <v>0</v>
      </c>
      <c r="R536" s="54">
        <v>0</v>
      </c>
      <c r="S536" s="54">
        <v>0</v>
      </c>
      <c r="T536" s="54">
        <v>0</v>
      </c>
      <c r="U536" s="54">
        <v>2263</v>
      </c>
      <c r="V536" s="54">
        <v>0</v>
      </c>
      <c r="W536" s="54">
        <v>0</v>
      </c>
      <c r="X536" s="54">
        <v>0</v>
      </c>
      <c r="Y536" s="54">
        <v>0</v>
      </c>
      <c r="Z536" s="54">
        <v>0</v>
      </c>
      <c r="AA536" s="54">
        <v>0</v>
      </c>
      <c r="AB536" s="54">
        <v>0</v>
      </c>
      <c r="AC536" s="54">
        <v>0</v>
      </c>
      <c r="AD536" s="54">
        <v>0</v>
      </c>
      <c r="AE536" s="54">
        <v>0</v>
      </c>
      <c r="AF536" s="54">
        <v>0</v>
      </c>
      <c r="AG536" s="54">
        <v>0</v>
      </c>
      <c r="AH536" s="54">
        <v>0</v>
      </c>
      <c r="AI536" s="54">
        <v>0</v>
      </c>
      <c r="AJ536" s="54">
        <v>0</v>
      </c>
      <c r="AK536" s="54">
        <v>0</v>
      </c>
      <c r="AL536" s="54">
        <v>0</v>
      </c>
      <c r="AM536" s="54" t="str">
        <f>I536-J536-K536-L536-M536-N536-O536-P536-Q536-R536-S536-T536-U536-V536-W536-X536-Y536-Z536-AA536-AB536-AC536-AD536-AE536-AF536-AG536+AH536-AI536+AJ536+AK536-AL536</f>
        <v>0</v>
      </c>
      <c r="AN536" s="54"/>
      <c r="AO536" s="27"/>
    </row>
    <row r="537" spans="1:41">
      <c r="A537" s="44">
        <v>509</v>
      </c>
      <c r="B537" s="47" t="s">
        <v>2148</v>
      </c>
      <c r="C537" s="48" t="s">
        <v>2149</v>
      </c>
      <c r="D537" s="52" t="s">
        <v>73</v>
      </c>
      <c r="E537" s="52" t="s">
        <v>2138</v>
      </c>
      <c r="F537" s="55" t="s">
        <v>2150</v>
      </c>
      <c r="G537" s="51">
        <v>5</v>
      </c>
      <c r="H537" s="52" t="s">
        <v>2151</v>
      </c>
      <c r="I537" s="54">
        <v>544000</v>
      </c>
      <c r="J537" s="54">
        <v>0</v>
      </c>
      <c r="K537" s="54">
        <v>27000</v>
      </c>
      <c r="L537" s="54">
        <v>0</v>
      </c>
      <c r="M537" s="54">
        <v>0</v>
      </c>
      <c r="N537" s="54">
        <v>0</v>
      </c>
      <c r="O537" s="54">
        <v>0</v>
      </c>
      <c r="P537" s="54">
        <v>0</v>
      </c>
      <c r="Q537" s="54">
        <v>0</v>
      </c>
      <c r="R537" s="54">
        <v>0</v>
      </c>
      <c r="S537" s="54">
        <v>0</v>
      </c>
      <c r="T537" s="54">
        <v>0</v>
      </c>
      <c r="U537" s="54">
        <v>2778</v>
      </c>
      <c r="V537" s="54">
        <v>0</v>
      </c>
      <c r="W537" s="54">
        <v>0</v>
      </c>
      <c r="X537" s="54">
        <v>0</v>
      </c>
      <c r="Y537" s="54">
        <v>0</v>
      </c>
      <c r="Z537" s="54">
        <v>0</v>
      </c>
      <c r="AA537" s="54">
        <v>0</v>
      </c>
      <c r="AB537" s="54">
        <v>0</v>
      </c>
      <c r="AC537" s="54">
        <v>0</v>
      </c>
      <c r="AD537" s="54">
        <v>0</v>
      </c>
      <c r="AE537" s="54">
        <v>0</v>
      </c>
      <c r="AF537" s="54">
        <v>0</v>
      </c>
      <c r="AG537" s="54">
        <v>0</v>
      </c>
      <c r="AH537" s="54">
        <v>0</v>
      </c>
      <c r="AI537" s="54">
        <v>0</v>
      </c>
      <c r="AJ537" s="54">
        <v>0</v>
      </c>
      <c r="AK537" s="54">
        <v>0</v>
      </c>
      <c r="AL537" s="54">
        <v>0</v>
      </c>
      <c r="AM537" s="54" t="str">
        <f>I537-J537-K537-L537-M537-N537-O537-P537-Q537-R537-S537-T537-U537-V537-W537-X537-Y537-Z537-AA537-AB537-AC537-AD537-AE537-AF537-AG537+AH537-AI537+AJ537+AK537-AL537</f>
        <v>0</v>
      </c>
      <c r="AN537" s="54"/>
      <c r="AO537" s="27"/>
    </row>
    <row r="538" spans="1:41">
      <c r="A538" s="44">
        <v>510</v>
      </c>
      <c r="B538" s="47" t="s">
        <v>2152</v>
      </c>
      <c r="C538" s="48" t="s">
        <v>2153</v>
      </c>
      <c r="D538" s="52" t="s">
        <v>73</v>
      </c>
      <c r="E538" s="52" t="s">
        <v>2138</v>
      </c>
      <c r="F538" s="55" t="s">
        <v>2154</v>
      </c>
      <c r="G538" s="51">
        <v>6</v>
      </c>
      <c r="H538" s="52" t="s">
        <v>2155</v>
      </c>
      <c r="I538" s="54">
        <v>1050000</v>
      </c>
      <c r="J538" s="54">
        <v>0</v>
      </c>
      <c r="K538" s="54">
        <v>31000</v>
      </c>
      <c r="L538" s="54">
        <v>0</v>
      </c>
      <c r="M538" s="54">
        <v>0</v>
      </c>
      <c r="N538" s="54">
        <v>0</v>
      </c>
      <c r="O538" s="54">
        <v>0</v>
      </c>
      <c r="P538" s="54">
        <v>0</v>
      </c>
      <c r="Q538" s="54">
        <v>0</v>
      </c>
      <c r="R538" s="54">
        <v>0</v>
      </c>
      <c r="S538" s="54">
        <v>0</v>
      </c>
      <c r="T538" s="54">
        <v>0</v>
      </c>
      <c r="U538" s="54">
        <v>3189</v>
      </c>
      <c r="V538" s="54">
        <v>0</v>
      </c>
      <c r="W538" s="54">
        <v>0</v>
      </c>
      <c r="X538" s="54">
        <v>0</v>
      </c>
      <c r="Y538" s="54">
        <v>0</v>
      </c>
      <c r="Z538" s="54">
        <v>0</v>
      </c>
      <c r="AA538" s="54">
        <v>0</v>
      </c>
      <c r="AB538" s="54">
        <v>0</v>
      </c>
      <c r="AC538" s="54">
        <v>0</v>
      </c>
      <c r="AD538" s="54">
        <v>0</v>
      </c>
      <c r="AE538" s="54">
        <v>0</v>
      </c>
      <c r="AF538" s="54">
        <v>0</v>
      </c>
      <c r="AG538" s="54">
        <v>0</v>
      </c>
      <c r="AH538" s="54">
        <v>0</v>
      </c>
      <c r="AI538" s="54">
        <v>0</v>
      </c>
      <c r="AJ538" s="54">
        <v>0</v>
      </c>
      <c r="AK538" s="54">
        <v>0</v>
      </c>
      <c r="AL538" s="54">
        <v>0</v>
      </c>
      <c r="AM538" s="54" t="str">
        <f>I538-J538-K538-L538-M538-N538-O538-P538-Q538-R538-S538-T538-U538-V538-W538-X538-Y538-Z538-AA538-AB538-AC538-AD538-AE538-AF538-AG538+AH538-AI538+AJ538+AK538-AL538</f>
        <v>0</v>
      </c>
      <c r="AN538" s="54"/>
      <c r="AO538" s="27"/>
    </row>
    <row r="539" spans="1:41">
      <c r="A539" s="44">
        <v>511</v>
      </c>
      <c r="B539" s="47" t="s">
        <v>2156</v>
      </c>
      <c r="C539" s="48" t="s">
        <v>2157</v>
      </c>
      <c r="D539" s="52" t="s">
        <v>73</v>
      </c>
      <c r="E539" s="52" t="s">
        <v>2138</v>
      </c>
      <c r="F539" s="55" t="s">
        <v>2158</v>
      </c>
      <c r="G539" s="51">
        <v>8.8</v>
      </c>
      <c r="H539" s="52" t="s">
        <v>2159</v>
      </c>
      <c r="I539" s="54">
        <v>1024000</v>
      </c>
      <c r="J539" s="54">
        <v>0</v>
      </c>
      <c r="K539" s="54">
        <v>44000</v>
      </c>
      <c r="L539" s="54">
        <v>0</v>
      </c>
      <c r="M539" s="54">
        <v>0</v>
      </c>
      <c r="N539" s="54">
        <v>0</v>
      </c>
      <c r="O539" s="54">
        <v>0</v>
      </c>
      <c r="P539" s="54">
        <v>0</v>
      </c>
      <c r="Q539" s="54">
        <v>0</v>
      </c>
      <c r="R539" s="54">
        <v>0</v>
      </c>
      <c r="S539" s="54">
        <v>0</v>
      </c>
      <c r="T539" s="54">
        <v>0</v>
      </c>
      <c r="U539" s="54">
        <v>4527</v>
      </c>
      <c r="V539" s="54">
        <v>0</v>
      </c>
      <c r="W539" s="54">
        <v>0</v>
      </c>
      <c r="X539" s="54">
        <v>0</v>
      </c>
      <c r="Y539" s="54">
        <v>0</v>
      </c>
      <c r="Z539" s="54">
        <v>0</v>
      </c>
      <c r="AA539" s="54">
        <v>0</v>
      </c>
      <c r="AB539" s="54">
        <v>0</v>
      </c>
      <c r="AC539" s="54">
        <v>0</v>
      </c>
      <c r="AD539" s="54">
        <v>0</v>
      </c>
      <c r="AE539" s="54">
        <v>0</v>
      </c>
      <c r="AF539" s="54">
        <v>0</v>
      </c>
      <c r="AG539" s="54">
        <v>0</v>
      </c>
      <c r="AH539" s="54">
        <v>0</v>
      </c>
      <c r="AI539" s="54">
        <v>0</v>
      </c>
      <c r="AJ539" s="54">
        <v>0</v>
      </c>
      <c r="AK539" s="54">
        <v>0</v>
      </c>
      <c r="AL539" s="54">
        <v>0</v>
      </c>
      <c r="AM539" s="54" t="str">
        <f>I539-J539-K539-L539-M539-N539-O539-P539-Q539-R539-S539-T539-U539-V539-W539-X539-Y539-Z539-AA539-AB539-AC539-AD539-AE539-AF539-AG539+AH539-AI539+AJ539+AK539-AL539</f>
        <v>0</v>
      </c>
      <c r="AN539" s="54"/>
      <c r="AO539" s="27"/>
    </row>
    <row r="540" spans="1:41">
      <c r="A540" s="44">
        <v>512</v>
      </c>
      <c r="B540" s="47" t="s">
        <v>2160</v>
      </c>
      <c r="C540" s="48" t="s">
        <v>2161</v>
      </c>
      <c r="D540" s="52" t="s">
        <v>73</v>
      </c>
      <c r="E540" s="52" t="s">
        <v>2138</v>
      </c>
      <c r="F540" s="55" t="s">
        <v>2162</v>
      </c>
      <c r="G540" s="51">
        <v>4</v>
      </c>
      <c r="H540" s="52" t="s">
        <v>2163</v>
      </c>
      <c r="I540" s="54">
        <v>499000</v>
      </c>
      <c r="J540" s="54">
        <v>0</v>
      </c>
      <c r="K540" s="54">
        <v>25000</v>
      </c>
      <c r="L540" s="54">
        <v>0</v>
      </c>
      <c r="M540" s="54">
        <v>0</v>
      </c>
      <c r="N540" s="54">
        <v>0</v>
      </c>
      <c r="O540" s="54">
        <v>0</v>
      </c>
      <c r="P540" s="54">
        <v>0</v>
      </c>
      <c r="Q540" s="54">
        <v>0</v>
      </c>
      <c r="R540" s="54">
        <v>0</v>
      </c>
      <c r="S540" s="54">
        <v>0</v>
      </c>
      <c r="T540" s="54">
        <v>0</v>
      </c>
      <c r="U540" s="54">
        <v>2572</v>
      </c>
      <c r="V540" s="54">
        <v>0</v>
      </c>
      <c r="W540" s="54">
        <v>0</v>
      </c>
      <c r="X540" s="54">
        <v>0</v>
      </c>
      <c r="Y540" s="54">
        <v>0</v>
      </c>
      <c r="Z540" s="54">
        <v>0</v>
      </c>
      <c r="AA540" s="54">
        <v>0</v>
      </c>
      <c r="AB540" s="54">
        <v>0</v>
      </c>
      <c r="AC540" s="54">
        <v>0</v>
      </c>
      <c r="AD540" s="54">
        <v>0</v>
      </c>
      <c r="AE540" s="54">
        <v>0</v>
      </c>
      <c r="AF540" s="54">
        <v>0</v>
      </c>
      <c r="AG540" s="54">
        <v>0</v>
      </c>
      <c r="AH540" s="54">
        <v>0</v>
      </c>
      <c r="AI540" s="54">
        <v>0</v>
      </c>
      <c r="AJ540" s="54">
        <v>0</v>
      </c>
      <c r="AK540" s="54">
        <v>0</v>
      </c>
      <c r="AL540" s="54">
        <v>0</v>
      </c>
      <c r="AM540" s="54" t="str">
        <f>I540-J540-K540-L540-M540-N540-O540-P540-Q540-R540-S540-T540-U540-V540-W540-X540-Y540-Z540-AA540-AB540-AC540-AD540-AE540-AF540-AG540+AH540-AI540+AJ540+AK540-AL540</f>
        <v>0</v>
      </c>
      <c r="AN540" s="54"/>
      <c r="AO540" s="27"/>
    </row>
    <row r="541" spans="1:41">
      <c r="A541" s="44">
        <v>513</v>
      </c>
      <c r="B541" s="47" t="s">
        <v>2164</v>
      </c>
      <c r="C541" s="48" t="s">
        <v>2165</v>
      </c>
      <c r="D541" s="52" t="s">
        <v>73</v>
      </c>
      <c r="E541" s="52" t="s">
        <v>2138</v>
      </c>
      <c r="F541" s="55" t="s">
        <v>2166</v>
      </c>
      <c r="G541" s="51">
        <v>3</v>
      </c>
      <c r="H541" s="52" t="s">
        <v>2167</v>
      </c>
      <c r="I541" s="54">
        <v>560000</v>
      </c>
      <c r="J541" s="54">
        <v>0</v>
      </c>
      <c r="K541" s="54">
        <v>22000</v>
      </c>
      <c r="L541" s="54">
        <v>0</v>
      </c>
      <c r="M541" s="54">
        <v>0</v>
      </c>
      <c r="N541" s="54">
        <v>0</v>
      </c>
      <c r="O541" s="54">
        <v>0</v>
      </c>
      <c r="P541" s="54">
        <v>0</v>
      </c>
      <c r="Q541" s="54">
        <v>0</v>
      </c>
      <c r="R541" s="54">
        <v>0</v>
      </c>
      <c r="S541" s="54">
        <v>0</v>
      </c>
      <c r="T541" s="54">
        <v>0</v>
      </c>
      <c r="U541" s="54">
        <v>2263</v>
      </c>
      <c r="V541" s="54">
        <v>0</v>
      </c>
      <c r="W541" s="54">
        <v>0</v>
      </c>
      <c r="X541" s="54">
        <v>0</v>
      </c>
      <c r="Y541" s="54">
        <v>0</v>
      </c>
      <c r="Z541" s="54">
        <v>0</v>
      </c>
      <c r="AA541" s="54">
        <v>0</v>
      </c>
      <c r="AB541" s="54">
        <v>0</v>
      </c>
      <c r="AC541" s="54">
        <v>0</v>
      </c>
      <c r="AD541" s="54">
        <v>0</v>
      </c>
      <c r="AE541" s="54">
        <v>0</v>
      </c>
      <c r="AF541" s="54">
        <v>0</v>
      </c>
      <c r="AG541" s="54">
        <v>0</v>
      </c>
      <c r="AH541" s="54">
        <v>0</v>
      </c>
      <c r="AI541" s="54">
        <v>0</v>
      </c>
      <c r="AJ541" s="54">
        <v>0</v>
      </c>
      <c r="AK541" s="54">
        <v>0</v>
      </c>
      <c r="AL541" s="54">
        <v>0</v>
      </c>
      <c r="AM541" s="54" t="str">
        <f>I541-J541-K541-L541-M541-N541-O541-P541-Q541-R541-S541-T541-U541-V541-W541-X541-Y541-Z541-AA541-AB541-AC541-AD541-AE541-AF541-AG541+AH541-AI541+AJ541+AK541-AL541</f>
        <v>0</v>
      </c>
      <c r="AN541" s="54"/>
      <c r="AO541" s="27"/>
    </row>
    <row r="542" spans="1:41">
      <c r="A542" s="44">
        <v>514</v>
      </c>
      <c r="B542" s="47" t="s">
        <v>2168</v>
      </c>
      <c r="C542" s="48" t="s">
        <v>2169</v>
      </c>
      <c r="D542" s="52" t="s">
        <v>73</v>
      </c>
      <c r="E542" s="52" t="s">
        <v>2138</v>
      </c>
      <c r="F542" s="55" t="s">
        <v>2170</v>
      </c>
      <c r="G542" s="51">
        <v>2</v>
      </c>
      <c r="H542" s="52" t="s">
        <v>2171</v>
      </c>
      <c r="I542" s="54">
        <v>264000</v>
      </c>
      <c r="J542" s="54">
        <v>0</v>
      </c>
      <c r="K542" s="54">
        <v>22000</v>
      </c>
      <c r="L542" s="54">
        <v>0</v>
      </c>
      <c r="M542" s="54">
        <v>0</v>
      </c>
      <c r="N542" s="54">
        <v>0</v>
      </c>
      <c r="O542" s="54">
        <v>0</v>
      </c>
      <c r="P542" s="54">
        <v>0</v>
      </c>
      <c r="Q542" s="54">
        <v>0</v>
      </c>
      <c r="R542" s="54">
        <v>0</v>
      </c>
      <c r="S542" s="54">
        <v>0</v>
      </c>
      <c r="T542" s="54">
        <v>0</v>
      </c>
      <c r="U542" s="54">
        <v>2263</v>
      </c>
      <c r="V542" s="54">
        <v>0</v>
      </c>
      <c r="W542" s="54">
        <v>0</v>
      </c>
      <c r="X542" s="54">
        <v>0</v>
      </c>
      <c r="Y542" s="54">
        <v>0</v>
      </c>
      <c r="Z542" s="54">
        <v>0</v>
      </c>
      <c r="AA542" s="54">
        <v>0</v>
      </c>
      <c r="AB542" s="54">
        <v>0</v>
      </c>
      <c r="AC542" s="54">
        <v>0</v>
      </c>
      <c r="AD542" s="54">
        <v>0</v>
      </c>
      <c r="AE542" s="54">
        <v>0</v>
      </c>
      <c r="AF542" s="54">
        <v>0</v>
      </c>
      <c r="AG542" s="54">
        <v>0</v>
      </c>
      <c r="AH542" s="54">
        <v>0</v>
      </c>
      <c r="AI542" s="54">
        <v>0</v>
      </c>
      <c r="AJ542" s="54">
        <v>0</v>
      </c>
      <c r="AK542" s="54">
        <v>0</v>
      </c>
      <c r="AL542" s="54">
        <v>0</v>
      </c>
      <c r="AM542" s="54" t="str">
        <f>I542-J542-K542-L542-M542-N542-O542-P542-Q542-R542-S542-T542-U542-V542-W542-X542-Y542-Z542-AA542-AB542-AC542-AD542-AE542-AF542-AG542+AH542-AI542+AJ542+AK542-AL542</f>
        <v>0</v>
      </c>
      <c r="AN542" s="54"/>
      <c r="AO542" s="27"/>
    </row>
    <row r="543" spans="1:41">
      <c r="A543" s="44">
        <v>515</v>
      </c>
      <c r="B543" s="47" t="s">
        <v>2172</v>
      </c>
      <c r="C543" s="48" t="s">
        <v>2173</v>
      </c>
      <c r="D543" s="52" t="s">
        <v>73</v>
      </c>
      <c r="E543" s="52" t="s">
        <v>2138</v>
      </c>
      <c r="F543" s="55" t="s">
        <v>2174</v>
      </c>
      <c r="G543" s="51">
        <v>3</v>
      </c>
      <c r="H543" s="52" t="s">
        <v>2175</v>
      </c>
      <c r="I543" s="54">
        <v>334000</v>
      </c>
      <c r="J543" s="54">
        <v>0</v>
      </c>
      <c r="K543" s="54">
        <v>22000</v>
      </c>
      <c r="L543" s="54">
        <v>0</v>
      </c>
      <c r="M543" s="54">
        <v>0</v>
      </c>
      <c r="N543" s="54">
        <v>0</v>
      </c>
      <c r="O543" s="54">
        <v>0</v>
      </c>
      <c r="P543" s="54">
        <v>0</v>
      </c>
      <c r="Q543" s="54">
        <v>0</v>
      </c>
      <c r="R543" s="54">
        <v>0</v>
      </c>
      <c r="S543" s="54">
        <v>0</v>
      </c>
      <c r="T543" s="54">
        <v>0</v>
      </c>
      <c r="U543" s="54">
        <v>2263</v>
      </c>
      <c r="V543" s="54">
        <v>0</v>
      </c>
      <c r="W543" s="54">
        <v>0</v>
      </c>
      <c r="X543" s="54">
        <v>0</v>
      </c>
      <c r="Y543" s="54">
        <v>0</v>
      </c>
      <c r="Z543" s="54">
        <v>0</v>
      </c>
      <c r="AA543" s="54">
        <v>0</v>
      </c>
      <c r="AB543" s="54">
        <v>0</v>
      </c>
      <c r="AC543" s="54">
        <v>0</v>
      </c>
      <c r="AD543" s="54">
        <v>0</v>
      </c>
      <c r="AE543" s="54">
        <v>0</v>
      </c>
      <c r="AF543" s="54">
        <v>0</v>
      </c>
      <c r="AG543" s="54">
        <v>0</v>
      </c>
      <c r="AH543" s="54">
        <v>0</v>
      </c>
      <c r="AI543" s="54">
        <v>0</v>
      </c>
      <c r="AJ543" s="54">
        <v>0</v>
      </c>
      <c r="AK543" s="54">
        <v>0</v>
      </c>
      <c r="AL543" s="54">
        <v>0</v>
      </c>
      <c r="AM543" s="54" t="str">
        <f>I543-J543-K543-L543-M543-N543-O543-P543-Q543-R543-S543-T543-U543-V543-W543-X543-Y543-Z543-AA543-AB543-AC543-AD543-AE543-AF543-AG543+AH543-AI543+AJ543+AK543-AL543</f>
        <v>0</v>
      </c>
      <c r="AN543" s="54"/>
      <c r="AO543" s="27"/>
    </row>
    <row r="544" spans="1:41">
      <c r="A544" s="44">
        <v>516</v>
      </c>
      <c r="B544" s="47" t="s">
        <v>2176</v>
      </c>
      <c r="C544" s="48" t="s">
        <v>2177</v>
      </c>
      <c r="D544" s="52" t="s">
        <v>73</v>
      </c>
      <c r="E544" s="52" t="s">
        <v>2138</v>
      </c>
      <c r="F544" s="55" t="s">
        <v>2178</v>
      </c>
      <c r="G544" s="51">
        <v>3</v>
      </c>
      <c r="H544" s="52" t="s">
        <v>2179</v>
      </c>
      <c r="I544" s="54">
        <v>334000</v>
      </c>
      <c r="J544" s="54">
        <v>0</v>
      </c>
      <c r="K544" s="54">
        <v>22000</v>
      </c>
      <c r="L544" s="54">
        <v>0</v>
      </c>
      <c r="M544" s="54">
        <v>0</v>
      </c>
      <c r="N544" s="54">
        <v>0</v>
      </c>
      <c r="O544" s="54">
        <v>0</v>
      </c>
      <c r="P544" s="54">
        <v>0</v>
      </c>
      <c r="Q544" s="54">
        <v>0</v>
      </c>
      <c r="R544" s="54">
        <v>0</v>
      </c>
      <c r="S544" s="54">
        <v>0</v>
      </c>
      <c r="T544" s="54">
        <v>0</v>
      </c>
      <c r="U544" s="54">
        <v>2263</v>
      </c>
      <c r="V544" s="54">
        <v>0</v>
      </c>
      <c r="W544" s="54">
        <v>0</v>
      </c>
      <c r="X544" s="54">
        <v>0</v>
      </c>
      <c r="Y544" s="54">
        <v>0</v>
      </c>
      <c r="Z544" s="54">
        <v>0</v>
      </c>
      <c r="AA544" s="54">
        <v>0</v>
      </c>
      <c r="AB544" s="54">
        <v>0</v>
      </c>
      <c r="AC544" s="54">
        <v>0</v>
      </c>
      <c r="AD544" s="54">
        <v>0</v>
      </c>
      <c r="AE544" s="54">
        <v>0</v>
      </c>
      <c r="AF544" s="54">
        <v>0</v>
      </c>
      <c r="AG544" s="54">
        <v>0</v>
      </c>
      <c r="AH544" s="54">
        <v>0</v>
      </c>
      <c r="AI544" s="54">
        <v>0</v>
      </c>
      <c r="AJ544" s="54">
        <v>0</v>
      </c>
      <c r="AK544" s="54">
        <v>0</v>
      </c>
      <c r="AL544" s="54">
        <v>0</v>
      </c>
      <c r="AM544" s="54" t="str">
        <f>I544-J544-K544-L544-M544-N544-O544-P544-Q544-R544-S544-T544-U544-V544-W544-X544-Y544-Z544-AA544-AB544-AC544-AD544-AE544-AF544-AG544+AH544-AI544+AJ544+AK544-AL544</f>
        <v>0</v>
      </c>
      <c r="AN544" s="54"/>
      <c r="AO544" s="27"/>
    </row>
    <row r="545" spans="1:41">
      <c r="A545" s="44">
        <v>517</v>
      </c>
      <c r="B545" s="47" t="s">
        <v>2180</v>
      </c>
      <c r="C545" s="48" t="s">
        <v>2181</v>
      </c>
      <c r="D545" s="52" t="s">
        <v>73</v>
      </c>
      <c r="E545" s="52" t="s">
        <v>2138</v>
      </c>
      <c r="F545" s="55" t="s">
        <v>2182</v>
      </c>
      <c r="G545" s="51">
        <v>6</v>
      </c>
      <c r="H545" s="52" t="s">
        <v>2183</v>
      </c>
      <c r="I545" s="54">
        <v>605000</v>
      </c>
      <c r="J545" s="54">
        <v>0</v>
      </c>
      <c r="K545" s="54">
        <v>31000</v>
      </c>
      <c r="L545" s="54">
        <v>0</v>
      </c>
      <c r="M545" s="54">
        <v>0</v>
      </c>
      <c r="N545" s="54">
        <v>0</v>
      </c>
      <c r="O545" s="54">
        <v>0</v>
      </c>
      <c r="P545" s="54">
        <v>0</v>
      </c>
      <c r="Q545" s="54">
        <v>0</v>
      </c>
      <c r="R545" s="54">
        <v>0</v>
      </c>
      <c r="S545" s="54">
        <v>0</v>
      </c>
      <c r="T545" s="54">
        <v>0</v>
      </c>
      <c r="U545" s="54">
        <v>3189</v>
      </c>
      <c r="V545" s="54">
        <v>0</v>
      </c>
      <c r="W545" s="54">
        <v>0</v>
      </c>
      <c r="X545" s="54">
        <v>0</v>
      </c>
      <c r="Y545" s="54">
        <v>0</v>
      </c>
      <c r="Z545" s="54">
        <v>0</v>
      </c>
      <c r="AA545" s="54">
        <v>0</v>
      </c>
      <c r="AB545" s="54">
        <v>0</v>
      </c>
      <c r="AC545" s="54">
        <v>0</v>
      </c>
      <c r="AD545" s="54">
        <v>0</v>
      </c>
      <c r="AE545" s="54">
        <v>0</v>
      </c>
      <c r="AF545" s="54">
        <v>0</v>
      </c>
      <c r="AG545" s="54">
        <v>0</v>
      </c>
      <c r="AH545" s="54">
        <v>0</v>
      </c>
      <c r="AI545" s="54">
        <v>0</v>
      </c>
      <c r="AJ545" s="54">
        <v>0</v>
      </c>
      <c r="AK545" s="54">
        <v>0</v>
      </c>
      <c r="AL545" s="54">
        <v>0</v>
      </c>
      <c r="AM545" s="54" t="str">
        <f>I545-J545-K545-L545-M545-N545-O545-P545-Q545-R545-S545-T545-U545-V545-W545-X545-Y545-Z545-AA545-AB545-AC545-AD545-AE545-AF545-AG545+AH545-AI545+AJ545+AK545-AL545</f>
        <v>0</v>
      </c>
      <c r="AN545" s="54"/>
      <c r="AO545" s="27"/>
    </row>
    <row r="546" spans="1:41">
      <c r="A546" s="44">
        <v>518</v>
      </c>
      <c r="B546" s="47" t="s">
        <v>2184</v>
      </c>
      <c r="C546" s="48" t="s">
        <v>2185</v>
      </c>
      <c r="D546" s="52" t="s">
        <v>73</v>
      </c>
      <c r="E546" s="52" t="s">
        <v>2138</v>
      </c>
      <c r="F546" s="55" t="s">
        <v>376</v>
      </c>
      <c r="G546" s="51">
        <v>2</v>
      </c>
      <c r="H546" s="52" t="s">
        <v>2186</v>
      </c>
      <c r="I546" s="54">
        <v>335000</v>
      </c>
      <c r="J546" s="54">
        <v>0</v>
      </c>
      <c r="K546" s="54">
        <v>22000</v>
      </c>
      <c r="L546" s="54">
        <v>0</v>
      </c>
      <c r="M546" s="54">
        <v>0</v>
      </c>
      <c r="N546" s="54">
        <v>0</v>
      </c>
      <c r="O546" s="54">
        <v>0</v>
      </c>
      <c r="P546" s="54">
        <v>0</v>
      </c>
      <c r="Q546" s="54">
        <v>0</v>
      </c>
      <c r="R546" s="54">
        <v>0</v>
      </c>
      <c r="S546" s="54">
        <v>0</v>
      </c>
      <c r="T546" s="54">
        <v>0</v>
      </c>
      <c r="U546" s="54">
        <v>2263</v>
      </c>
      <c r="V546" s="54">
        <v>0</v>
      </c>
      <c r="W546" s="54">
        <v>0</v>
      </c>
      <c r="X546" s="54">
        <v>0</v>
      </c>
      <c r="Y546" s="54">
        <v>0</v>
      </c>
      <c r="Z546" s="54">
        <v>0</v>
      </c>
      <c r="AA546" s="54">
        <v>0</v>
      </c>
      <c r="AB546" s="54">
        <v>0</v>
      </c>
      <c r="AC546" s="54">
        <v>0</v>
      </c>
      <c r="AD546" s="54">
        <v>0</v>
      </c>
      <c r="AE546" s="54">
        <v>0</v>
      </c>
      <c r="AF546" s="54">
        <v>0</v>
      </c>
      <c r="AG546" s="54">
        <v>0</v>
      </c>
      <c r="AH546" s="54">
        <v>0</v>
      </c>
      <c r="AI546" s="54">
        <v>0</v>
      </c>
      <c r="AJ546" s="54">
        <v>0</v>
      </c>
      <c r="AK546" s="54">
        <v>0</v>
      </c>
      <c r="AL546" s="54">
        <v>0</v>
      </c>
      <c r="AM546" s="54" t="str">
        <f>I546-J546-K546-L546-M546-N546-O546-P546-Q546-R546-S546-T546-U546-V546-W546-X546-Y546-Z546-AA546-AB546-AC546-AD546-AE546-AF546-AG546+AH546-AI546+AJ546+AK546-AL546</f>
        <v>0</v>
      </c>
      <c r="AN546" s="54"/>
      <c r="AO546" s="27"/>
    </row>
    <row r="547" spans="1:41">
      <c r="A547" s="44">
        <v>519</v>
      </c>
      <c r="B547" s="47" t="s">
        <v>2187</v>
      </c>
      <c r="C547" s="48" t="s">
        <v>2188</v>
      </c>
      <c r="D547" s="52" t="s">
        <v>73</v>
      </c>
      <c r="E547" s="52" t="s">
        <v>2138</v>
      </c>
      <c r="F547" s="55" t="s">
        <v>2189</v>
      </c>
      <c r="G547" s="51">
        <v>2</v>
      </c>
      <c r="H547" s="52" t="s">
        <v>2190</v>
      </c>
      <c r="I547" s="54">
        <v>424000</v>
      </c>
      <c r="J547" s="54">
        <v>0</v>
      </c>
      <c r="K547" s="54">
        <v>22000</v>
      </c>
      <c r="L547" s="54">
        <v>0</v>
      </c>
      <c r="M547" s="54">
        <v>0</v>
      </c>
      <c r="N547" s="54">
        <v>0</v>
      </c>
      <c r="O547" s="54">
        <v>0</v>
      </c>
      <c r="P547" s="54">
        <v>0</v>
      </c>
      <c r="Q547" s="54">
        <v>0</v>
      </c>
      <c r="R547" s="54">
        <v>0</v>
      </c>
      <c r="S547" s="54">
        <v>0</v>
      </c>
      <c r="T547" s="54">
        <v>0</v>
      </c>
      <c r="U547" s="54">
        <v>2263</v>
      </c>
      <c r="V547" s="54">
        <v>0</v>
      </c>
      <c r="W547" s="54">
        <v>0</v>
      </c>
      <c r="X547" s="54">
        <v>0</v>
      </c>
      <c r="Y547" s="54">
        <v>0</v>
      </c>
      <c r="Z547" s="54">
        <v>0</v>
      </c>
      <c r="AA547" s="54">
        <v>0</v>
      </c>
      <c r="AB547" s="54">
        <v>0</v>
      </c>
      <c r="AC547" s="54">
        <v>0</v>
      </c>
      <c r="AD547" s="54">
        <v>0</v>
      </c>
      <c r="AE547" s="54">
        <v>0</v>
      </c>
      <c r="AF547" s="54">
        <v>0</v>
      </c>
      <c r="AG547" s="54">
        <v>0</v>
      </c>
      <c r="AH547" s="54">
        <v>0</v>
      </c>
      <c r="AI547" s="54">
        <v>0</v>
      </c>
      <c r="AJ547" s="54">
        <v>0</v>
      </c>
      <c r="AK547" s="54">
        <v>0</v>
      </c>
      <c r="AL547" s="54">
        <v>0</v>
      </c>
      <c r="AM547" s="54" t="str">
        <f>I547-J547-K547-L547-M547-N547-O547-P547-Q547-R547-S547-T547-U547-V547-W547-X547-Y547-Z547-AA547-AB547-AC547-AD547-AE547-AF547-AG547+AH547-AI547+AJ547+AK547-AL547</f>
        <v>0</v>
      </c>
      <c r="AN547" s="54"/>
      <c r="AO547" s="27"/>
    </row>
    <row r="548" spans="1:41">
      <c r="A548" s="44">
        <v>520</v>
      </c>
      <c r="B548" s="47" t="s">
        <v>2191</v>
      </c>
      <c r="C548" s="48" t="s">
        <v>2192</v>
      </c>
      <c r="D548" s="52" t="s">
        <v>73</v>
      </c>
      <c r="E548" s="52" t="s">
        <v>2138</v>
      </c>
      <c r="F548" s="55" t="s">
        <v>2193</v>
      </c>
      <c r="G548" s="51">
        <v>2</v>
      </c>
      <c r="H548" s="52" t="s">
        <v>2194</v>
      </c>
      <c r="I548" s="54">
        <v>254000</v>
      </c>
      <c r="J548" s="54">
        <v>0</v>
      </c>
      <c r="K548" s="54">
        <v>22000</v>
      </c>
      <c r="L548" s="54">
        <v>0</v>
      </c>
      <c r="M548" s="54">
        <v>0</v>
      </c>
      <c r="N548" s="54">
        <v>0</v>
      </c>
      <c r="O548" s="54">
        <v>0</v>
      </c>
      <c r="P548" s="54">
        <v>0</v>
      </c>
      <c r="Q548" s="54">
        <v>0</v>
      </c>
      <c r="R548" s="54">
        <v>0</v>
      </c>
      <c r="S548" s="54">
        <v>0</v>
      </c>
      <c r="T548" s="54">
        <v>0</v>
      </c>
      <c r="U548" s="54">
        <v>2263</v>
      </c>
      <c r="V548" s="54">
        <v>0</v>
      </c>
      <c r="W548" s="54">
        <v>0</v>
      </c>
      <c r="X548" s="54">
        <v>0</v>
      </c>
      <c r="Y548" s="54">
        <v>0</v>
      </c>
      <c r="Z548" s="54">
        <v>0</v>
      </c>
      <c r="AA548" s="54">
        <v>0</v>
      </c>
      <c r="AB548" s="54">
        <v>0</v>
      </c>
      <c r="AC548" s="54">
        <v>0</v>
      </c>
      <c r="AD548" s="54">
        <v>0</v>
      </c>
      <c r="AE548" s="54">
        <v>0</v>
      </c>
      <c r="AF548" s="54">
        <v>0</v>
      </c>
      <c r="AG548" s="54">
        <v>0</v>
      </c>
      <c r="AH548" s="54">
        <v>0</v>
      </c>
      <c r="AI548" s="54">
        <v>0</v>
      </c>
      <c r="AJ548" s="54">
        <v>0</v>
      </c>
      <c r="AK548" s="54">
        <v>0</v>
      </c>
      <c r="AL548" s="54">
        <v>0</v>
      </c>
      <c r="AM548" s="54" t="str">
        <f>I548-J548-K548-L548-M548-N548-O548-P548-Q548-R548-S548-T548-U548-V548-W548-X548-Y548-Z548-AA548-AB548-AC548-AD548-AE548-AF548-AG548+AH548-AI548+AJ548+AK548-AL548</f>
        <v>0</v>
      </c>
      <c r="AN548" s="54"/>
      <c r="AO548" s="27"/>
    </row>
    <row r="549" spans="1:41">
      <c r="A549" s="44">
        <v>521</v>
      </c>
      <c r="B549" s="47" t="s">
        <v>2195</v>
      </c>
      <c r="C549" s="48" t="s">
        <v>2196</v>
      </c>
      <c r="D549" s="52" t="s">
        <v>62</v>
      </c>
      <c r="E549" s="52" t="s">
        <v>2138</v>
      </c>
      <c r="F549" s="55" t="s">
        <v>2197</v>
      </c>
      <c r="G549" s="51">
        <v>9</v>
      </c>
      <c r="H549" s="52" t="s">
        <v>2198</v>
      </c>
      <c r="I549" s="54">
        <v>0</v>
      </c>
      <c r="J549" s="54">
        <v>0</v>
      </c>
      <c r="K549" s="54">
        <v>40000</v>
      </c>
      <c r="L549" s="54">
        <v>0</v>
      </c>
      <c r="M549" s="54">
        <v>0</v>
      </c>
      <c r="N549" s="54">
        <v>0</v>
      </c>
      <c r="O549" s="54">
        <v>0</v>
      </c>
      <c r="P549" s="54">
        <v>0</v>
      </c>
      <c r="Q549" s="54">
        <v>0</v>
      </c>
      <c r="R549" s="54">
        <v>0</v>
      </c>
      <c r="S549" s="54">
        <v>0</v>
      </c>
      <c r="T549" s="54">
        <v>0</v>
      </c>
      <c r="U549" s="54">
        <v>4116</v>
      </c>
      <c r="V549" s="54">
        <v>0</v>
      </c>
      <c r="W549" s="54">
        <v>0</v>
      </c>
      <c r="X549" s="54">
        <v>0</v>
      </c>
      <c r="Y549" s="54">
        <v>20000</v>
      </c>
      <c r="Z549" s="54">
        <v>0</v>
      </c>
      <c r="AA549" s="54">
        <v>0</v>
      </c>
      <c r="AB549" s="54">
        <v>0</v>
      </c>
      <c r="AC549" s="54">
        <v>0</v>
      </c>
      <c r="AD549" s="54">
        <v>0</v>
      </c>
      <c r="AE549" s="54">
        <v>0</v>
      </c>
      <c r="AF549" s="54">
        <v>0</v>
      </c>
      <c r="AG549" s="54">
        <v>0</v>
      </c>
      <c r="AH549" s="54">
        <v>0</v>
      </c>
      <c r="AI549" s="54">
        <v>0</v>
      </c>
      <c r="AJ549" s="54">
        <v>0</v>
      </c>
      <c r="AK549" s="54">
        <v>0</v>
      </c>
      <c r="AL549" s="54">
        <v>0</v>
      </c>
      <c r="AM549" s="54" t="str">
        <f>I549-J549-K549-L549-M549-N549-O549-P549-Q549-R549-S549-T549-U549-V549-W549-X549-Y549-Z549-AA549-AB549-AC549-AD549-AE549-AF549-AG549+AH549-AI549+AJ549+AK549-AL549</f>
        <v>0</v>
      </c>
      <c r="AN549" s="54"/>
      <c r="AO549" s="27"/>
    </row>
    <row r="550" spans="1:41">
      <c r="A550" s="44">
        <v>522</v>
      </c>
      <c r="B550" s="47" t="s">
        <v>2199</v>
      </c>
      <c r="C550" s="48" t="s">
        <v>2200</v>
      </c>
      <c r="D550" s="52" t="s">
        <v>73</v>
      </c>
      <c r="E550" s="52" t="s">
        <v>2201</v>
      </c>
      <c r="F550" s="55" t="s">
        <v>2202</v>
      </c>
      <c r="G550" s="51">
        <v>14</v>
      </c>
      <c r="H550" s="52" t="s">
        <v>2203</v>
      </c>
      <c r="I550" s="54">
        <v>2548000</v>
      </c>
      <c r="J550" s="54">
        <v>0</v>
      </c>
      <c r="K550" s="54">
        <v>69000</v>
      </c>
      <c r="L550" s="54">
        <v>0</v>
      </c>
      <c r="M550" s="54">
        <v>0</v>
      </c>
      <c r="N550" s="54">
        <v>0</v>
      </c>
      <c r="O550" s="54">
        <v>0</v>
      </c>
      <c r="P550" s="54">
        <v>0</v>
      </c>
      <c r="Q550" s="54">
        <v>0</v>
      </c>
      <c r="R550" s="54">
        <v>0</v>
      </c>
      <c r="S550" s="54">
        <v>0</v>
      </c>
      <c r="T550" s="54">
        <v>0</v>
      </c>
      <c r="U550" s="54">
        <v>7100</v>
      </c>
      <c r="V550" s="54">
        <v>0</v>
      </c>
      <c r="W550" s="54">
        <v>0</v>
      </c>
      <c r="X550" s="54">
        <v>0</v>
      </c>
      <c r="Y550" s="54">
        <v>0</v>
      </c>
      <c r="Z550" s="54">
        <v>0</v>
      </c>
      <c r="AA550" s="54">
        <v>0</v>
      </c>
      <c r="AB550" s="54">
        <v>0</v>
      </c>
      <c r="AC550" s="54">
        <v>0</v>
      </c>
      <c r="AD550" s="54">
        <v>0</v>
      </c>
      <c r="AE550" s="54">
        <v>0</v>
      </c>
      <c r="AF550" s="54">
        <v>0</v>
      </c>
      <c r="AG550" s="54">
        <v>0</v>
      </c>
      <c r="AH550" s="54">
        <v>0</v>
      </c>
      <c r="AI550" s="54">
        <v>0</v>
      </c>
      <c r="AJ550" s="54">
        <v>0</v>
      </c>
      <c r="AK550" s="54">
        <v>0</v>
      </c>
      <c r="AL550" s="54">
        <v>0</v>
      </c>
      <c r="AM550" s="54" t="str">
        <f>I550-J550-K550-L550-M550-N550-O550-P550-Q550-R550-S550-T550-U550-V550-W550-X550-Y550-Z550-AA550-AB550-AC550-AD550-AE550-AF550-AG550+AH550-AI550+AJ550+AK550-AL550</f>
        <v>0</v>
      </c>
      <c r="AN550" s="54"/>
      <c r="AO550" s="27"/>
    </row>
    <row r="551" spans="1:41">
      <c r="A551" s="44">
        <v>523</v>
      </c>
      <c r="B551" s="47" t="s">
        <v>2204</v>
      </c>
      <c r="C551" s="48" t="s">
        <v>2205</v>
      </c>
      <c r="D551" s="52" t="s">
        <v>73</v>
      </c>
      <c r="E551" s="52" t="s">
        <v>2201</v>
      </c>
      <c r="F551" s="55" t="s">
        <v>2206</v>
      </c>
      <c r="G551" s="51">
        <v>6</v>
      </c>
      <c r="H551" s="52" t="s">
        <v>2207</v>
      </c>
      <c r="I551" s="54">
        <v>1060000</v>
      </c>
      <c r="J551" s="54">
        <v>0</v>
      </c>
      <c r="K551" s="54">
        <v>31000</v>
      </c>
      <c r="L551" s="54">
        <v>0</v>
      </c>
      <c r="M551" s="54">
        <v>0</v>
      </c>
      <c r="N551" s="54">
        <v>0</v>
      </c>
      <c r="O551" s="54">
        <v>0</v>
      </c>
      <c r="P551" s="54">
        <v>0</v>
      </c>
      <c r="Q551" s="54">
        <v>0</v>
      </c>
      <c r="R551" s="54">
        <v>0</v>
      </c>
      <c r="S551" s="54">
        <v>0</v>
      </c>
      <c r="T551" s="54">
        <v>0</v>
      </c>
      <c r="U551" s="54">
        <v>3189</v>
      </c>
      <c r="V551" s="54">
        <v>0</v>
      </c>
      <c r="W551" s="54">
        <v>0</v>
      </c>
      <c r="X551" s="54">
        <v>0</v>
      </c>
      <c r="Y551" s="54">
        <v>0</v>
      </c>
      <c r="Z551" s="54">
        <v>0</v>
      </c>
      <c r="AA551" s="54">
        <v>0</v>
      </c>
      <c r="AB551" s="54">
        <v>0</v>
      </c>
      <c r="AC551" s="54">
        <v>0</v>
      </c>
      <c r="AD551" s="54">
        <v>0</v>
      </c>
      <c r="AE551" s="54">
        <v>0</v>
      </c>
      <c r="AF551" s="54">
        <v>0</v>
      </c>
      <c r="AG551" s="54">
        <v>0</v>
      </c>
      <c r="AH551" s="54">
        <v>0</v>
      </c>
      <c r="AI551" s="54">
        <v>0</v>
      </c>
      <c r="AJ551" s="54">
        <v>0</v>
      </c>
      <c r="AK551" s="54">
        <v>0</v>
      </c>
      <c r="AL551" s="54">
        <v>0</v>
      </c>
      <c r="AM551" s="54" t="str">
        <f>I551-J551-K551-L551-M551-N551-O551-P551-Q551-R551-S551-T551-U551-V551-W551-X551-Y551-Z551-AA551-AB551-AC551-AD551-AE551-AF551-AG551+AH551-AI551+AJ551+AK551-AL551</f>
        <v>0</v>
      </c>
      <c r="AN551" s="54"/>
      <c r="AO551" s="27"/>
    </row>
    <row r="552" spans="1:41">
      <c r="A552" s="44">
        <v>524</v>
      </c>
      <c r="B552" s="47" t="s">
        <v>2208</v>
      </c>
      <c r="C552" s="48" t="s">
        <v>2209</v>
      </c>
      <c r="D552" s="52" t="s">
        <v>73</v>
      </c>
      <c r="E552" s="52" t="s">
        <v>2201</v>
      </c>
      <c r="F552" s="55" t="s">
        <v>2210</v>
      </c>
      <c r="G552" s="51">
        <v>9.8</v>
      </c>
      <c r="H552" s="52" t="s">
        <v>2211</v>
      </c>
      <c r="I552" s="54">
        <v>1509000</v>
      </c>
      <c r="J552" s="54">
        <v>0</v>
      </c>
      <c r="K552" s="54">
        <v>49000</v>
      </c>
      <c r="L552" s="54">
        <v>0</v>
      </c>
      <c r="M552" s="54">
        <v>0</v>
      </c>
      <c r="N552" s="54">
        <v>0</v>
      </c>
      <c r="O552" s="54">
        <v>0</v>
      </c>
      <c r="P552" s="54">
        <v>0</v>
      </c>
      <c r="Q552" s="54">
        <v>0</v>
      </c>
      <c r="R552" s="54">
        <v>0</v>
      </c>
      <c r="S552" s="54">
        <v>0</v>
      </c>
      <c r="T552" s="54">
        <v>0</v>
      </c>
      <c r="U552" s="54">
        <v>5042</v>
      </c>
      <c r="V552" s="54">
        <v>0</v>
      </c>
      <c r="W552" s="54">
        <v>0</v>
      </c>
      <c r="X552" s="54">
        <v>0</v>
      </c>
      <c r="Y552" s="54">
        <v>0</v>
      </c>
      <c r="Z552" s="54">
        <v>0</v>
      </c>
      <c r="AA552" s="54">
        <v>0</v>
      </c>
      <c r="AB552" s="54">
        <v>0</v>
      </c>
      <c r="AC552" s="54">
        <v>0</v>
      </c>
      <c r="AD552" s="54">
        <v>0</v>
      </c>
      <c r="AE552" s="54">
        <v>0</v>
      </c>
      <c r="AF552" s="54">
        <v>0</v>
      </c>
      <c r="AG552" s="54">
        <v>0</v>
      </c>
      <c r="AH552" s="54">
        <v>0</v>
      </c>
      <c r="AI552" s="54">
        <v>0</v>
      </c>
      <c r="AJ552" s="54">
        <v>0</v>
      </c>
      <c r="AK552" s="54">
        <v>0</v>
      </c>
      <c r="AL552" s="54">
        <v>0</v>
      </c>
      <c r="AM552" s="54" t="str">
        <f>I552-J552-K552-L552-M552-N552-O552-P552-Q552-R552-S552-T552-U552-V552-W552-X552-Y552-Z552-AA552-AB552-AC552-AD552-AE552-AF552-AG552+AH552-AI552+AJ552+AK552-AL552</f>
        <v>0</v>
      </c>
      <c r="AN552" s="54"/>
      <c r="AO552" s="27"/>
    </row>
    <row r="553" spans="1:41">
      <c r="A553" s="44">
        <v>525</v>
      </c>
      <c r="B553" s="47" t="s">
        <v>2212</v>
      </c>
      <c r="C553" s="48" t="s">
        <v>2213</v>
      </c>
      <c r="D553" s="52" t="s">
        <v>62</v>
      </c>
      <c r="E553" s="52" t="s">
        <v>2201</v>
      </c>
      <c r="F553" s="55" t="s">
        <v>2214</v>
      </c>
      <c r="G553" s="51">
        <v>4</v>
      </c>
      <c r="H553" s="52" t="s">
        <v>2215</v>
      </c>
      <c r="I553" s="54">
        <v>0</v>
      </c>
      <c r="J553" s="54">
        <v>0</v>
      </c>
      <c r="K553" s="54">
        <v>25000</v>
      </c>
      <c r="L553" s="54">
        <v>0</v>
      </c>
      <c r="M553" s="54">
        <v>0</v>
      </c>
      <c r="N553" s="54">
        <v>0</v>
      </c>
      <c r="O553" s="54">
        <v>0</v>
      </c>
      <c r="P553" s="54">
        <v>0</v>
      </c>
      <c r="Q553" s="54">
        <v>0</v>
      </c>
      <c r="R553" s="54">
        <v>0</v>
      </c>
      <c r="S553" s="54">
        <v>0</v>
      </c>
      <c r="T553" s="54">
        <v>0</v>
      </c>
      <c r="U553" s="54">
        <v>2572</v>
      </c>
      <c r="V553" s="54">
        <v>0</v>
      </c>
      <c r="W553" s="54">
        <v>0</v>
      </c>
      <c r="X553" s="54">
        <v>0</v>
      </c>
      <c r="Y553" s="54">
        <v>12500</v>
      </c>
      <c r="Z553" s="54">
        <v>0</v>
      </c>
      <c r="AA553" s="54">
        <v>0</v>
      </c>
      <c r="AB553" s="54">
        <v>0</v>
      </c>
      <c r="AC553" s="54">
        <v>0</v>
      </c>
      <c r="AD553" s="54">
        <v>0</v>
      </c>
      <c r="AE553" s="54">
        <v>0</v>
      </c>
      <c r="AF553" s="54">
        <v>0</v>
      </c>
      <c r="AG553" s="54">
        <v>0</v>
      </c>
      <c r="AH553" s="54">
        <v>0</v>
      </c>
      <c r="AI553" s="54">
        <v>0</v>
      </c>
      <c r="AJ553" s="54">
        <v>0</v>
      </c>
      <c r="AK553" s="54">
        <v>0</v>
      </c>
      <c r="AL553" s="54">
        <v>0</v>
      </c>
      <c r="AM553" s="54" t="str">
        <f>I553-J553-K553-L553-M553-N553-O553-P553-Q553-R553-S553-T553-U553-V553-W553-X553-Y553-Z553-AA553-AB553-AC553-AD553-AE553-AF553-AG553+AH553-AI553+AJ553+AK553-AL553</f>
        <v>0</v>
      </c>
      <c r="AN553" s="54"/>
      <c r="AO553" s="27"/>
    </row>
    <row r="554" spans="1:41">
      <c r="A554" s="44">
        <v>526</v>
      </c>
      <c r="B554" s="47" t="s">
        <v>2216</v>
      </c>
      <c r="C554" s="48" t="s">
        <v>2217</v>
      </c>
      <c r="D554" s="52" t="s">
        <v>73</v>
      </c>
      <c r="E554" s="52" t="s">
        <v>2218</v>
      </c>
      <c r="F554" s="55" t="s">
        <v>1084</v>
      </c>
      <c r="G554" s="51">
        <v>10.7</v>
      </c>
      <c r="H554" s="52" t="s">
        <v>2219</v>
      </c>
      <c r="I554" s="54">
        <v>2260000</v>
      </c>
      <c r="J554" s="54">
        <v>0</v>
      </c>
      <c r="K554" s="54">
        <v>54000</v>
      </c>
      <c r="L554" s="54">
        <v>0</v>
      </c>
      <c r="M554" s="54">
        <v>0</v>
      </c>
      <c r="N554" s="54">
        <v>0</v>
      </c>
      <c r="O554" s="54">
        <v>0</v>
      </c>
      <c r="P554" s="54">
        <v>0</v>
      </c>
      <c r="Q554" s="54">
        <v>0</v>
      </c>
      <c r="R554" s="54">
        <v>0</v>
      </c>
      <c r="S554" s="54">
        <v>0</v>
      </c>
      <c r="T554" s="54">
        <v>0</v>
      </c>
      <c r="U554" s="54">
        <v>3429</v>
      </c>
      <c r="V554" s="54">
        <v>0</v>
      </c>
      <c r="W554" s="54">
        <v>0</v>
      </c>
      <c r="X554" s="54">
        <v>0</v>
      </c>
      <c r="Y554" s="54">
        <v>0</v>
      </c>
      <c r="Z554" s="54">
        <v>0</v>
      </c>
      <c r="AA554" s="54">
        <v>0</v>
      </c>
      <c r="AB554" s="54">
        <v>0</v>
      </c>
      <c r="AC554" s="54">
        <v>0</v>
      </c>
      <c r="AD554" s="54">
        <v>0</v>
      </c>
      <c r="AE554" s="54">
        <v>0</v>
      </c>
      <c r="AF554" s="54">
        <v>0</v>
      </c>
      <c r="AG554" s="54">
        <v>0</v>
      </c>
      <c r="AH554" s="54">
        <v>0</v>
      </c>
      <c r="AI554" s="54">
        <v>0</v>
      </c>
      <c r="AJ554" s="54">
        <v>0</v>
      </c>
      <c r="AK554" s="54">
        <v>0</v>
      </c>
      <c r="AL554" s="54">
        <v>0</v>
      </c>
      <c r="AM554" s="54" t="str">
        <f>I554-J554-K554-L554-M554-N554-O554-P554-Q554-R554-S554-T554-U554-V554-W554-X554-Y554-Z554-AA554-AB554-AC554-AD554-AE554-AF554-AG554+AH554-AI554+AJ554+AK554-AL554</f>
        <v>0</v>
      </c>
      <c r="AN554" s="54"/>
      <c r="AO554" s="27"/>
    </row>
    <row r="555" spans="1:41">
      <c r="A555" s="44">
        <v>527</v>
      </c>
      <c r="B555" s="47" t="s">
        <v>2220</v>
      </c>
      <c r="C555" s="48" t="s">
        <v>2221</v>
      </c>
      <c r="D555" s="52" t="s">
        <v>73</v>
      </c>
      <c r="E555" s="52" t="s">
        <v>2218</v>
      </c>
      <c r="F555" s="55" t="s">
        <v>1084</v>
      </c>
      <c r="G555" s="51">
        <v>15</v>
      </c>
      <c r="H555" s="52" t="s">
        <v>2219</v>
      </c>
      <c r="I555" s="54">
        <v>1920000</v>
      </c>
      <c r="J555" s="54">
        <v>0</v>
      </c>
      <c r="K555" s="54">
        <v>74000</v>
      </c>
      <c r="L555" s="54">
        <v>0</v>
      </c>
      <c r="M555" s="54">
        <v>0</v>
      </c>
      <c r="N555" s="54">
        <v>0</v>
      </c>
      <c r="O555" s="54">
        <v>0</v>
      </c>
      <c r="P555" s="54">
        <v>0</v>
      </c>
      <c r="Q555" s="54">
        <v>0</v>
      </c>
      <c r="R555" s="54">
        <v>0</v>
      </c>
      <c r="S555" s="54">
        <v>0</v>
      </c>
      <c r="T555" s="54">
        <v>0</v>
      </c>
      <c r="U555" s="54">
        <v>7614</v>
      </c>
      <c r="V555" s="54">
        <v>0</v>
      </c>
      <c r="W555" s="54">
        <v>0</v>
      </c>
      <c r="X555" s="54">
        <v>0</v>
      </c>
      <c r="Y555" s="54">
        <v>0</v>
      </c>
      <c r="Z555" s="54">
        <v>0</v>
      </c>
      <c r="AA555" s="54">
        <v>0</v>
      </c>
      <c r="AB555" s="54">
        <v>0</v>
      </c>
      <c r="AC555" s="54">
        <v>0</v>
      </c>
      <c r="AD555" s="54">
        <v>0</v>
      </c>
      <c r="AE555" s="54">
        <v>0</v>
      </c>
      <c r="AF555" s="54">
        <v>0</v>
      </c>
      <c r="AG555" s="54">
        <v>0</v>
      </c>
      <c r="AH555" s="54">
        <v>0</v>
      </c>
      <c r="AI555" s="54">
        <v>0</v>
      </c>
      <c r="AJ555" s="54">
        <v>0</v>
      </c>
      <c r="AK555" s="54">
        <v>0</v>
      </c>
      <c r="AL555" s="54">
        <v>0</v>
      </c>
      <c r="AM555" s="54" t="str">
        <f>I555-J555-K555-L555-M555-N555-O555-P555-Q555-R555-S555-T555-U555-V555-W555-X555-Y555-Z555-AA555-AB555-AC555-AD555-AE555-AF555-AG555+AH555-AI555+AJ555+AK555-AL555</f>
        <v>0</v>
      </c>
      <c r="AN555" s="54"/>
      <c r="AO555" s="27"/>
    </row>
    <row r="556" spans="1:41">
      <c r="A556" s="44">
        <v>528</v>
      </c>
      <c r="B556" s="47" t="s">
        <v>2222</v>
      </c>
      <c r="C556" s="48" t="s">
        <v>2223</v>
      </c>
      <c r="D556" s="52" t="s">
        <v>73</v>
      </c>
      <c r="E556" s="52" t="s">
        <v>2224</v>
      </c>
      <c r="F556" s="55" t="s">
        <v>2225</v>
      </c>
      <c r="G556" s="51">
        <v>0.1</v>
      </c>
      <c r="H556" s="52" t="s">
        <v>2226</v>
      </c>
      <c r="I556" s="54">
        <v>332000</v>
      </c>
      <c r="J556" s="54">
        <v>0</v>
      </c>
      <c r="K556" s="54">
        <v>22000</v>
      </c>
      <c r="L556" s="54">
        <v>0</v>
      </c>
      <c r="M556" s="54">
        <v>0</v>
      </c>
      <c r="N556" s="54">
        <v>0</v>
      </c>
      <c r="O556" s="54">
        <v>0</v>
      </c>
      <c r="P556" s="54">
        <v>0</v>
      </c>
      <c r="Q556" s="54">
        <v>0</v>
      </c>
      <c r="R556" s="54">
        <v>0</v>
      </c>
      <c r="S556" s="54">
        <v>0</v>
      </c>
      <c r="T556" s="54">
        <v>0</v>
      </c>
      <c r="U556" s="54">
        <v>2263</v>
      </c>
      <c r="V556" s="54">
        <v>0</v>
      </c>
      <c r="W556" s="54">
        <v>0</v>
      </c>
      <c r="X556" s="54">
        <v>0</v>
      </c>
      <c r="Y556" s="54">
        <v>0</v>
      </c>
      <c r="Z556" s="54">
        <v>0</v>
      </c>
      <c r="AA556" s="54">
        <v>0</v>
      </c>
      <c r="AB556" s="54">
        <v>0</v>
      </c>
      <c r="AC556" s="54">
        <v>0</v>
      </c>
      <c r="AD556" s="54">
        <v>0</v>
      </c>
      <c r="AE556" s="54">
        <v>0</v>
      </c>
      <c r="AF556" s="54">
        <v>0</v>
      </c>
      <c r="AG556" s="54">
        <v>0</v>
      </c>
      <c r="AH556" s="54">
        <v>0</v>
      </c>
      <c r="AI556" s="54">
        <v>0</v>
      </c>
      <c r="AJ556" s="54">
        <v>0</v>
      </c>
      <c r="AK556" s="54">
        <v>0</v>
      </c>
      <c r="AL556" s="54">
        <v>0</v>
      </c>
      <c r="AM556" s="54" t="str">
        <f>I556-J556-K556-L556-M556-N556-O556-P556-Q556-R556-S556-T556-U556-V556-W556-X556-Y556-Z556-AA556-AB556-AC556-AD556-AE556-AF556-AG556+AH556-AI556+AJ556+AK556-AL556</f>
        <v>0</v>
      </c>
      <c r="AN556" s="54"/>
      <c r="AO556" s="27"/>
    </row>
    <row r="557" spans="1:41">
      <c r="A557" s="44">
        <v>529</v>
      </c>
      <c r="B557" s="47" t="s">
        <v>2227</v>
      </c>
      <c r="C557" s="48" t="s">
        <v>2228</v>
      </c>
      <c r="D557" s="52" t="s">
        <v>73</v>
      </c>
      <c r="E557" s="52" t="s">
        <v>2224</v>
      </c>
      <c r="F557" s="55" t="s">
        <v>2229</v>
      </c>
      <c r="G557" s="51">
        <v>5.2</v>
      </c>
      <c r="H557" s="52" t="s">
        <v>2230</v>
      </c>
      <c r="I557" s="54">
        <v>805000</v>
      </c>
      <c r="J557" s="54">
        <v>0</v>
      </c>
      <c r="K557" s="54">
        <v>31000</v>
      </c>
      <c r="L557" s="54">
        <v>0</v>
      </c>
      <c r="M557" s="54">
        <v>0</v>
      </c>
      <c r="N557" s="54">
        <v>0</v>
      </c>
      <c r="O557" s="54">
        <v>0</v>
      </c>
      <c r="P557" s="54">
        <v>0</v>
      </c>
      <c r="Q557" s="54">
        <v>0</v>
      </c>
      <c r="R557" s="54">
        <v>0</v>
      </c>
      <c r="S557" s="54">
        <v>0</v>
      </c>
      <c r="T557" s="54">
        <v>0</v>
      </c>
      <c r="U557" s="54">
        <v>3189</v>
      </c>
      <c r="V557" s="54">
        <v>0</v>
      </c>
      <c r="W557" s="54">
        <v>0</v>
      </c>
      <c r="X557" s="54">
        <v>0</v>
      </c>
      <c r="Y557" s="54">
        <v>0</v>
      </c>
      <c r="Z557" s="54">
        <v>0</v>
      </c>
      <c r="AA557" s="54">
        <v>0</v>
      </c>
      <c r="AB557" s="54">
        <v>0</v>
      </c>
      <c r="AC557" s="54">
        <v>0</v>
      </c>
      <c r="AD557" s="54">
        <v>0</v>
      </c>
      <c r="AE557" s="54">
        <v>0</v>
      </c>
      <c r="AF557" s="54">
        <v>0</v>
      </c>
      <c r="AG557" s="54">
        <v>0</v>
      </c>
      <c r="AH557" s="54">
        <v>0</v>
      </c>
      <c r="AI557" s="54">
        <v>0</v>
      </c>
      <c r="AJ557" s="54">
        <v>0</v>
      </c>
      <c r="AK557" s="54">
        <v>0</v>
      </c>
      <c r="AL557" s="54">
        <v>0</v>
      </c>
      <c r="AM557" s="54" t="str">
        <f>I557-J557-K557-L557-M557-N557-O557-P557-Q557-R557-S557-T557-U557-V557-W557-X557-Y557-Z557-AA557-AB557-AC557-AD557-AE557-AF557-AG557+AH557-AI557+AJ557+AK557-AL557</f>
        <v>0</v>
      </c>
      <c r="AN557" s="54"/>
      <c r="AO557" s="27"/>
    </row>
    <row r="558" spans="1:41">
      <c r="A558" s="44">
        <v>530</v>
      </c>
      <c r="B558" s="47" t="s">
        <v>2231</v>
      </c>
      <c r="C558" s="48" t="s">
        <v>2232</v>
      </c>
      <c r="D558" s="52" t="s">
        <v>73</v>
      </c>
      <c r="E558" s="52" t="s">
        <v>2224</v>
      </c>
      <c r="F558" s="55" t="s">
        <v>2233</v>
      </c>
      <c r="G558" s="51">
        <v>3</v>
      </c>
      <c r="H558" s="52" t="s">
        <v>2234</v>
      </c>
      <c r="I558" s="54">
        <v>884000</v>
      </c>
      <c r="J558" s="54">
        <v>0</v>
      </c>
      <c r="K558" s="54">
        <v>22000</v>
      </c>
      <c r="L558" s="54">
        <v>0</v>
      </c>
      <c r="M558" s="54">
        <v>0</v>
      </c>
      <c r="N558" s="54">
        <v>0</v>
      </c>
      <c r="O558" s="54">
        <v>0</v>
      </c>
      <c r="P558" s="54">
        <v>0</v>
      </c>
      <c r="Q558" s="54">
        <v>0</v>
      </c>
      <c r="R558" s="54">
        <v>0</v>
      </c>
      <c r="S558" s="54">
        <v>0</v>
      </c>
      <c r="T558" s="54">
        <v>0</v>
      </c>
      <c r="U558" s="54">
        <v>2263</v>
      </c>
      <c r="V558" s="54">
        <v>0</v>
      </c>
      <c r="W558" s="54">
        <v>0</v>
      </c>
      <c r="X558" s="54">
        <v>0</v>
      </c>
      <c r="Y558" s="54">
        <v>0</v>
      </c>
      <c r="Z558" s="54">
        <v>0</v>
      </c>
      <c r="AA558" s="54">
        <v>0</v>
      </c>
      <c r="AB558" s="54">
        <v>0</v>
      </c>
      <c r="AC558" s="54">
        <v>0</v>
      </c>
      <c r="AD558" s="54">
        <v>0</v>
      </c>
      <c r="AE558" s="54">
        <v>0</v>
      </c>
      <c r="AF558" s="54">
        <v>0</v>
      </c>
      <c r="AG558" s="54">
        <v>0</v>
      </c>
      <c r="AH558" s="54">
        <v>0</v>
      </c>
      <c r="AI558" s="54">
        <v>0</v>
      </c>
      <c r="AJ558" s="54">
        <v>0</v>
      </c>
      <c r="AK558" s="54">
        <v>0</v>
      </c>
      <c r="AL558" s="54">
        <v>0</v>
      </c>
      <c r="AM558" s="54" t="str">
        <f>I558-J558-K558-L558-M558-N558-O558-P558-Q558-R558-S558-T558-U558-V558-W558-X558-Y558-Z558-AA558-AB558-AC558-AD558-AE558-AF558-AG558+AH558-AI558+AJ558+AK558-AL558</f>
        <v>0</v>
      </c>
      <c r="AN558" s="54"/>
      <c r="AO558" s="27"/>
    </row>
    <row r="559" spans="1:41">
      <c r="A559" s="44">
        <v>531</v>
      </c>
      <c r="B559" s="47" t="s">
        <v>2235</v>
      </c>
      <c r="C559" s="48" t="s">
        <v>2236</v>
      </c>
      <c r="D559" s="52" t="s">
        <v>73</v>
      </c>
      <c r="E559" s="52" t="s">
        <v>2224</v>
      </c>
      <c r="F559" s="55" t="s">
        <v>2237</v>
      </c>
      <c r="G559" s="51">
        <v>4</v>
      </c>
      <c r="H559" s="52" t="s">
        <v>2238</v>
      </c>
      <c r="I559" s="54">
        <v>434000</v>
      </c>
      <c r="J559" s="54">
        <v>0</v>
      </c>
      <c r="K559" s="54">
        <v>25000</v>
      </c>
      <c r="L559" s="54">
        <v>0</v>
      </c>
      <c r="M559" s="54">
        <v>0</v>
      </c>
      <c r="N559" s="54">
        <v>0</v>
      </c>
      <c r="O559" s="54">
        <v>0</v>
      </c>
      <c r="P559" s="54">
        <v>0</v>
      </c>
      <c r="Q559" s="54">
        <v>0</v>
      </c>
      <c r="R559" s="54">
        <v>0</v>
      </c>
      <c r="S559" s="54">
        <v>0</v>
      </c>
      <c r="T559" s="54">
        <v>0</v>
      </c>
      <c r="U559" s="54">
        <v>2572</v>
      </c>
      <c r="V559" s="54">
        <v>0</v>
      </c>
      <c r="W559" s="54">
        <v>0</v>
      </c>
      <c r="X559" s="54">
        <v>0</v>
      </c>
      <c r="Y559" s="54">
        <v>0</v>
      </c>
      <c r="Z559" s="54">
        <v>0</v>
      </c>
      <c r="AA559" s="54">
        <v>0</v>
      </c>
      <c r="AB559" s="54">
        <v>0</v>
      </c>
      <c r="AC559" s="54">
        <v>0</v>
      </c>
      <c r="AD559" s="54">
        <v>0</v>
      </c>
      <c r="AE559" s="54">
        <v>0</v>
      </c>
      <c r="AF559" s="54">
        <v>0</v>
      </c>
      <c r="AG559" s="54">
        <v>0</v>
      </c>
      <c r="AH559" s="54">
        <v>0</v>
      </c>
      <c r="AI559" s="54">
        <v>0</v>
      </c>
      <c r="AJ559" s="54">
        <v>0</v>
      </c>
      <c r="AK559" s="54">
        <v>0</v>
      </c>
      <c r="AL559" s="54">
        <v>0</v>
      </c>
      <c r="AM559" s="54" t="str">
        <f>I559-J559-K559-L559-M559-N559-O559-P559-Q559-R559-S559-T559-U559-V559-W559-X559-Y559-Z559-AA559-AB559-AC559-AD559-AE559-AF559-AG559+AH559-AI559+AJ559+AK559-AL559</f>
        <v>0</v>
      </c>
      <c r="AN559" s="54"/>
      <c r="AO559" s="27"/>
    </row>
    <row r="560" spans="1:41">
      <c r="A560" s="44">
        <v>532</v>
      </c>
      <c r="B560" s="47" t="s">
        <v>2239</v>
      </c>
      <c r="C560" s="48" t="s">
        <v>2240</v>
      </c>
      <c r="D560" s="52" t="s">
        <v>62</v>
      </c>
      <c r="E560" s="52" t="s">
        <v>2224</v>
      </c>
      <c r="F560" s="55" t="s">
        <v>2241</v>
      </c>
      <c r="G560" s="51">
        <v>10</v>
      </c>
      <c r="H560" s="52" t="s">
        <v>2242</v>
      </c>
      <c r="I560" s="54">
        <v>0</v>
      </c>
      <c r="J560" s="54">
        <v>0</v>
      </c>
      <c r="K560" s="54">
        <v>40000</v>
      </c>
      <c r="L560" s="54">
        <v>0</v>
      </c>
      <c r="M560" s="54">
        <v>0</v>
      </c>
      <c r="N560" s="54">
        <v>0</v>
      </c>
      <c r="O560" s="54">
        <v>0</v>
      </c>
      <c r="P560" s="54">
        <v>0</v>
      </c>
      <c r="Q560" s="54">
        <v>0</v>
      </c>
      <c r="R560" s="54">
        <v>0</v>
      </c>
      <c r="S560" s="54">
        <v>0</v>
      </c>
      <c r="T560" s="54">
        <v>0</v>
      </c>
      <c r="U560" s="54">
        <v>4116</v>
      </c>
      <c r="V560" s="54">
        <v>0</v>
      </c>
      <c r="W560" s="54">
        <v>0</v>
      </c>
      <c r="X560" s="54">
        <v>0</v>
      </c>
      <c r="Y560" s="54">
        <v>5000</v>
      </c>
      <c r="Z560" s="54">
        <v>0</v>
      </c>
      <c r="AA560" s="54">
        <v>0</v>
      </c>
      <c r="AB560" s="54">
        <v>0</v>
      </c>
      <c r="AC560" s="54">
        <v>0</v>
      </c>
      <c r="AD560" s="54">
        <v>0</v>
      </c>
      <c r="AE560" s="54">
        <v>0</v>
      </c>
      <c r="AF560" s="54">
        <v>0</v>
      </c>
      <c r="AG560" s="54">
        <v>0</v>
      </c>
      <c r="AH560" s="54">
        <v>0</v>
      </c>
      <c r="AI560" s="54">
        <v>0</v>
      </c>
      <c r="AJ560" s="54">
        <v>0</v>
      </c>
      <c r="AK560" s="54">
        <v>0</v>
      </c>
      <c r="AL560" s="54">
        <v>0</v>
      </c>
      <c r="AM560" s="54" t="str">
        <f>I560-J560-K560-L560-M560-N560-O560-P560-Q560-R560-S560-T560-U560-V560-W560-X560-Y560-Z560-AA560-AB560-AC560-AD560-AE560-AF560-AG560+AH560-AI560+AJ560+AK560-AL560</f>
        <v>0</v>
      </c>
      <c r="AN560" s="54"/>
      <c r="AO560" s="27"/>
    </row>
    <row r="561" spans="1:41">
      <c r="A561" s="44">
        <v>533</v>
      </c>
      <c r="B561" s="47" t="s">
        <v>2243</v>
      </c>
      <c r="C561" s="48" t="s">
        <v>2244</v>
      </c>
      <c r="D561" s="52" t="s">
        <v>73</v>
      </c>
      <c r="E561" s="52" t="s">
        <v>2224</v>
      </c>
      <c r="F561" s="55" t="s">
        <v>1611</v>
      </c>
      <c r="G561" s="51">
        <v>6</v>
      </c>
      <c r="H561" s="52" t="s">
        <v>2245</v>
      </c>
      <c r="I561" s="54">
        <v>350000</v>
      </c>
      <c r="J561" s="54">
        <v>0</v>
      </c>
      <c r="K561" s="54">
        <v>31000</v>
      </c>
      <c r="L561" s="54">
        <v>0</v>
      </c>
      <c r="M561" s="54">
        <v>0</v>
      </c>
      <c r="N561" s="54">
        <v>0</v>
      </c>
      <c r="O561" s="54">
        <v>0</v>
      </c>
      <c r="P561" s="54">
        <v>0</v>
      </c>
      <c r="Q561" s="54">
        <v>0</v>
      </c>
      <c r="R561" s="54">
        <v>0</v>
      </c>
      <c r="S561" s="54">
        <v>0</v>
      </c>
      <c r="T561" s="54">
        <v>0</v>
      </c>
      <c r="U561" s="54">
        <v>3189</v>
      </c>
      <c r="V561" s="54">
        <v>0</v>
      </c>
      <c r="W561" s="54">
        <v>0</v>
      </c>
      <c r="X561" s="54">
        <v>0</v>
      </c>
      <c r="Y561" s="54">
        <v>0</v>
      </c>
      <c r="Z561" s="54">
        <v>0</v>
      </c>
      <c r="AA561" s="54">
        <v>0</v>
      </c>
      <c r="AB561" s="54">
        <v>0</v>
      </c>
      <c r="AC561" s="54">
        <v>0</v>
      </c>
      <c r="AD561" s="54">
        <v>0</v>
      </c>
      <c r="AE561" s="54">
        <v>0</v>
      </c>
      <c r="AF561" s="54">
        <v>0</v>
      </c>
      <c r="AG561" s="54">
        <v>0</v>
      </c>
      <c r="AH561" s="54">
        <v>0</v>
      </c>
      <c r="AI561" s="54">
        <v>0</v>
      </c>
      <c r="AJ561" s="54">
        <v>0</v>
      </c>
      <c r="AK561" s="54">
        <v>0</v>
      </c>
      <c r="AL561" s="54">
        <v>0</v>
      </c>
      <c r="AM561" s="54" t="str">
        <f>I561-J561-K561-L561-M561-N561-O561-P561-Q561-R561-S561-T561-U561-V561-W561-X561-Y561-Z561-AA561-AB561-AC561-AD561-AE561-AF561-AG561+AH561-AI561+AJ561+AK561-AL561</f>
        <v>0</v>
      </c>
      <c r="AN561" s="54"/>
      <c r="AO561" s="27"/>
    </row>
    <row r="562" spans="1:41">
      <c r="A562" s="44">
        <v>534</v>
      </c>
      <c r="B562" s="47" t="s">
        <v>2246</v>
      </c>
      <c r="C562" s="48" t="s">
        <v>2247</v>
      </c>
      <c r="D562" s="52" t="s">
        <v>73</v>
      </c>
      <c r="E562" s="52" t="s">
        <v>2224</v>
      </c>
      <c r="F562" s="55" t="s">
        <v>1448</v>
      </c>
      <c r="G562" s="51">
        <v>3</v>
      </c>
      <c r="H562" s="52" t="s">
        <v>2248</v>
      </c>
      <c r="I562" s="54">
        <v>934000</v>
      </c>
      <c r="J562" s="54">
        <v>0</v>
      </c>
      <c r="K562" s="54">
        <v>22000</v>
      </c>
      <c r="L562" s="54">
        <v>0</v>
      </c>
      <c r="M562" s="54">
        <v>0</v>
      </c>
      <c r="N562" s="54">
        <v>0</v>
      </c>
      <c r="O562" s="54">
        <v>0</v>
      </c>
      <c r="P562" s="54">
        <v>0</v>
      </c>
      <c r="Q562" s="54">
        <v>0</v>
      </c>
      <c r="R562" s="54">
        <v>0</v>
      </c>
      <c r="S562" s="54">
        <v>0</v>
      </c>
      <c r="T562" s="54">
        <v>0</v>
      </c>
      <c r="U562" s="54">
        <v>2263</v>
      </c>
      <c r="V562" s="54">
        <v>0</v>
      </c>
      <c r="W562" s="54">
        <v>0</v>
      </c>
      <c r="X562" s="54">
        <v>0</v>
      </c>
      <c r="Y562" s="54">
        <v>0</v>
      </c>
      <c r="Z562" s="54">
        <v>0</v>
      </c>
      <c r="AA562" s="54">
        <v>0</v>
      </c>
      <c r="AB562" s="54">
        <v>0</v>
      </c>
      <c r="AC562" s="54">
        <v>0</v>
      </c>
      <c r="AD562" s="54">
        <v>0</v>
      </c>
      <c r="AE562" s="54">
        <v>0</v>
      </c>
      <c r="AF562" s="54">
        <v>0</v>
      </c>
      <c r="AG562" s="54">
        <v>0</v>
      </c>
      <c r="AH562" s="54">
        <v>0</v>
      </c>
      <c r="AI562" s="54">
        <v>0</v>
      </c>
      <c r="AJ562" s="54">
        <v>0</v>
      </c>
      <c r="AK562" s="54">
        <v>0</v>
      </c>
      <c r="AL562" s="54">
        <v>0</v>
      </c>
      <c r="AM562" s="54" t="str">
        <f>I562-J562-K562-L562-M562-N562-O562-P562-Q562-R562-S562-T562-U562-V562-W562-X562-Y562-Z562-AA562-AB562-AC562-AD562-AE562-AF562-AG562+AH562-AI562+AJ562+AK562-AL562</f>
        <v>0</v>
      </c>
      <c r="AN562" s="54"/>
      <c r="AO562" s="27"/>
    </row>
    <row r="563" spans="1:41">
      <c r="A563" s="44">
        <v>535</v>
      </c>
      <c r="B563" s="47" t="s">
        <v>2249</v>
      </c>
      <c r="C563" s="48" t="s">
        <v>2250</v>
      </c>
      <c r="D563" s="52" t="s">
        <v>73</v>
      </c>
      <c r="E563" s="52" t="s">
        <v>2224</v>
      </c>
      <c r="F563" s="55" t="s">
        <v>2251</v>
      </c>
      <c r="G563" s="51">
        <v>6</v>
      </c>
      <c r="H563" s="52" t="s">
        <v>2252</v>
      </c>
      <c r="I563" s="54">
        <v>170000</v>
      </c>
      <c r="J563" s="54">
        <v>0</v>
      </c>
      <c r="K563" s="54">
        <v>31000</v>
      </c>
      <c r="L563" s="54">
        <v>0</v>
      </c>
      <c r="M563" s="54">
        <v>0</v>
      </c>
      <c r="N563" s="54">
        <v>0</v>
      </c>
      <c r="O563" s="54">
        <v>0</v>
      </c>
      <c r="P563" s="54">
        <v>0</v>
      </c>
      <c r="Q563" s="54">
        <v>0</v>
      </c>
      <c r="R563" s="54">
        <v>0</v>
      </c>
      <c r="S563" s="54">
        <v>0</v>
      </c>
      <c r="T563" s="54">
        <v>0</v>
      </c>
      <c r="U563" s="54">
        <v>3189</v>
      </c>
      <c r="V563" s="54">
        <v>0</v>
      </c>
      <c r="W563" s="54">
        <v>0</v>
      </c>
      <c r="X563" s="54">
        <v>0</v>
      </c>
      <c r="Y563" s="54">
        <v>0</v>
      </c>
      <c r="Z563" s="54">
        <v>0</v>
      </c>
      <c r="AA563" s="54">
        <v>0</v>
      </c>
      <c r="AB563" s="54">
        <v>0</v>
      </c>
      <c r="AC563" s="54">
        <v>0</v>
      </c>
      <c r="AD563" s="54">
        <v>0</v>
      </c>
      <c r="AE563" s="54">
        <v>0</v>
      </c>
      <c r="AF563" s="54">
        <v>0</v>
      </c>
      <c r="AG563" s="54">
        <v>0</v>
      </c>
      <c r="AH563" s="54">
        <v>0</v>
      </c>
      <c r="AI563" s="54">
        <v>0</v>
      </c>
      <c r="AJ563" s="54">
        <v>0</v>
      </c>
      <c r="AK563" s="54">
        <v>0</v>
      </c>
      <c r="AL563" s="54">
        <v>0</v>
      </c>
      <c r="AM563" s="54" t="str">
        <f>I563-J563-K563-L563-M563-N563-O563-P563-Q563-R563-S563-T563-U563-V563-W563-X563-Y563-Z563-AA563-AB563-AC563-AD563-AE563-AF563-AG563+AH563-AI563+AJ563+AK563-AL563</f>
        <v>0</v>
      </c>
      <c r="AN563" s="54"/>
      <c r="AO563" s="27"/>
    </row>
    <row r="564" spans="1:41">
      <c r="A564" s="44">
        <v>536</v>
      </c>
      <c r="B564" s="47" t="s">
        <v>2253</v>
      </c>
      <c r="C564" s="48" t="s">
        <v>2254</v>
      </c>
      <c r="D564" s="52" t="s">
        <v>73</v>
      </c>
      <c r="E564" s="52" t="s">
        <v>2224</v>
      </c>
      <c r="F564" s="55" t="s">
        <v>2255</v>
      </c>
      <c r="G564" s="51">
        <v>3</v>
      </c>
      <c r="H564" s="52" t="s">
        <v>2256</v>
      </c>
      <c r="I564" s="54">
        <v>30000</v>
      </c>
      <c r="J564" s="54">
        <v>0</v>
      </c>
      <c r="K564" s="54">
        <v>22000</v>
      </c>
      <c r="L564" s="54">
        <v>0</v>
      </c>
      <c r="M564" s="54">
        <v>0</v>
      </c>
      <c r="N564" s="54">
        <v>0</v>
      </c>
      <c r="O564" s="54">
        <v>0</v>
      </c>
      <c r="P564" s="54">
        <v>0</v>
      </c>
      <c r="Q564" s="54">
        <v>0</v>
      </c>
      <c r="R564" s="54">
        <v>0</v>
      </c>
      <c r="S564" s="54">
        <v>0</v>
      </c>
      <c r="T564" s="54">
        <v>0</v>
      </c>
      <c r="U564" s="54">
        <v>2263</v>
      </c>
      <c r="V564" s="54">
        <v>0</v>
      </c>
      <c r="W564" s="54">
        <v>0</v>
      </c>
      <c r="X564" s="54">
        <v>0</v>
      </c>
      <c r="Y564" s="54">
        <v>11000</v>
      </c>
      <c r="Z564" s="54">
        <v>0</v>
      </c>
      <c r="AA564" s="54">
        <v>0</v>
      </c>
      <c r="AB564" s="54">
        <v>0</v>
      </c>
      <c r="AC564" s="54">
        <v>0</v>
      </c>
      <c r="AD564" s="54">
        <v>0</v>
      </c>
      <c r="AE564" s="54">
        <v>0</v>
      </c>
      <c r="AF564" s="54">
        <v>0</v>
      </c>
      <c r="AG564" s="54">
        <v>0</v>
      </c>
      <c r="AH564" s="54">
        <v>0</v>
      </c>
      <c r="AI564" s="54">
        <v>0</v>
      </c>
      <c r="AJ564" s="54">
        <v>0</v>
      </c>
      <c r="AK564" s="54">
        <v>0</v>
      </c>
      <c r="AL564" s="54">
        <v>0</v>
      </c>
      <c r="AM564" s="54" t="str">
        <f>I564-J564-K564-L564-M564-N564-O564-P564-Q564-R564-S564-T564-U564-V564-W564-X564-Y564-Z564-AA564-AB564-AC564-AD564-AE564-AF564-AG564+AH564-AI564+AJ564+AK564-AL564</f>
        <v>0</v>
      </c>
      <c r="AN564" s="54"/>
      <c r="AO564" s="27"/>
    </row>
    <row r="565" spans="1:41">
      <c r="A565" s="44">
        <v>537</v>
      </c>
      <c r="B565" s="47" t="s">
        <v>2257</v>
      </c>
      <c r="C565" s="48" t="s">
        <v>2258</v>
      </c>
      <c r="D565" s="52" t="s">
        <v>73</v>
      </c>
      <c r="E565" s="52" t="s">
        <v>2224</v>
      </c>
      <c r="F565" s="55" t="s">
        <v>2259</v>
      </c>
      <c r="G565" s="51">
        <v>2</v>
      </c>
      <c r="H565" s="52" t="s">
        <v>2260</v>
      </c>
      <c r="I565" s="54">
        <v>424000</v>
      </c>
      <c r="J565" s="54">
        <v>0</v>
      </c>
      <c r="K565" s="54">
        <v>22000</v>
      </c>
      <c r="L565" s="54">
        <v>0</v>
      </c>
      <c r="M565" s="54">
        <v>0</v>
      </c>
      <c r="N565" s="54">
        <v>0</v>
      </c>
      <c r="O565" s="54">
        <v>0</v>
      </c>
      <c r="P565" s="54">
        <v>0</v>
      </c>
      <c r="Q565" s="54">
        <v>0</v>
      </c>
      <c r="R565" s="54">
        <v>0</v>
      </c>
      <c r="S565" s="54">
        <v>0</v>
      </c>
      <c r="T565" s="54">
        <v>0</v>
      </c>
      <c r="U565" s="54">
        <v>2263</v>
      </c>
      <c r="V565" s="54">
        <v>0</v>
      </c>
      <c r="W565" s="54">
        <v>0</v>
      </c>
      <c r="X565" s="54">
        <v>0</v>
      </c>
      <c r="Y565" s="54">
        <v>0</v>
      </c>
      <c r="Z565" s="54">
        <v>0</v>
      </c>
      <c r="AA565" s="54">
        <v>0</v>
      </c>
      <c r="AB565" s="54">
        <v>0</v>
      </c>
      <c r="AC565" s="54">
        <v>0</v>
      </c>
      <c r="AD565" s="54">
        <v>0</v>
      </c>
      <c r="AE565" s="54">
        <v>0</v>
      </c>
      <c r="AF565" s="54">
        <v>0</v>
      </c>
      <c r="AG565" s="54">
        <v>0</v>
      </c>
      <c r="AH565" s="54">
        <v>0</v>
      </c>
      <c r="AI565" s="54">
        <v>0</v>
      </c>
      <c r="AJ565" s="54">
        <v>0</v>
      </c>
      <c r="AK565" s="54">
        <v>0</v>
      </c>
      <c r="AL565" s="54">
        <v>0</v>
      </c>
      <c r="AM565" s="54" t="str">
        <f>I565-J565-K565-L565-M565-N565-O565-P565-Q565-R565-S565-T565-U565-V565-W565-X565-Y565-Z565-AA565-AB565-AC565-AD565-AE565-AF565-AG565+AH565-AI565+AJ565+AK565-AL565</f>
        <v>0</v>
      </c>
      <c r="AN565" s="54"/>
      <c r="AO565" s="27"/>
    </row>
    <row r="566" spans="1:41">
      <c r="A566" s="44">
        <v>538</v>
      </c>
      <c r="B566" s="47" t="s">
        <v>2261</v>
      </c>
      <c r="C566" s="48" t="s">
        <v>2262</v>
      </c>
      <c r="D566" s="52" t="s">
        <v>73</v>
      </c>
      <c r="E566" s="52" t="s">
        <v>2224</v>
      </c>
      <c r="F566" s="55" t="s">
        <v>2263</v>
      </c>
      <c r="G566" s="51">
        <v>9</v>
      </c>
      <c r="H566" s="52" t="s">
        <v>2264</v>
      </c>
      <c r="I566" s="54">
        <v>1479000</v>
      </c>
      <c r="J566" s="54">
        <v>0</v>
      </c>
      <c r="K566" s="54">
        <v>44000</v>
      </c>
      <c r="L566" s="54">
        <v>0</v>
      </c>
      <c r="M566" s="54">
        <v>0</v>
      </c>
      <c r="N566" s="54">
        <v>0</v>
      </c>
      <c r="O566" s="54">
        <v>0</v>
      </c>
      <c r="P566" s="54">
        <v>0</v>
      </c>
      <c r="Q566" s="54">
        <v>0</v>
      </c>
      <c r="R566" s="54">
        <v>0</v>
      </c>
      <c r="S566" s="54">
        <v>0</v>
      </c>
      <c r="T566" s="54">
        <v>0</v>
      </c>
      <c r="U566" s="54">
        <v>4527</v>
      </c>
      <c r="V566" s="54">
        <v>0</v>
      </c>
      <c r="W566" s="54">
        <v>0</v>
      </c>
      <c r="X566" s="54">
        <v>0</v>
      </c>
      <c r="Y566" s="54">
        <v>0</v>
      </c>
      <c r="Z566" s="54">
        <v>0</v>
      </c>
      <c r="AA566" s="54">
        <v>0</v>
      </c>
      <c r="AB566" s="54">
        <v>0</v>
      </c>
      <c r="AC566" s="54">
        <v>0</v>
      </c>
      <c r="AD566" s="54">
        <v>0</v>
      </c>
      <c r="AE566" s="54">
        <v>0</v>
      </c>
      <c r="AF566" s="54">
        <v>0</v>
      </c>
      <c r="AG566" s="54">
        <v>0</v>
      </c>
      <c r="AH566" s="54">
        <v>0</v>
      </c>
      <c r="AI566" s="54">
        <v>0</v>
      </c>
      <c r="AJ566" s="54">
        <v>0</v>
      </c>
      <c r="AK566" s="54">
        <v>0</v>
      </c>
      <c r="AL566" s="54">
        <v>0</v>
      </c>
      <c r="AM566" s="54" t="str">
        <f>I566-J566-K566-L566-M566-N566-O566-P566-Q566-R566-S566-T566-U566-V566-W566-X566-Y566-Z566-AA566-AB566-AC566-AD566-AE566-AF566-AG566+AH566-AI566+AJ566+AK566-AL566</f>
        <v>0</v>
      </c>
      <c r="AN566" s="54"/>
      <c r="AO566" s="27"/>
    </row>
    <row r="567" spans="1:41">
      <c r="A567" s="44">
        <v>539</v>
      </c>
      <c r="B567" s="47" t="s">
        <v>2265</v>
      </c>
      <c r="C567" s="48" t="s">
        <v>2266</v>
      </c>
      <c r="D567" s="52" t="s">
        <v>73</v>
      </c>
      <c r="E567" s="52" t="s">
        <v>2224</v>
      </c>
      <c r="F567" s="55" t="s">
        <v>2267</v>
      </c>
      <c r="G567" s="51">
        <v>2</v>
      </c>
      <c r="H567" s="52" t="s">
        <v>2268</v>
      </c>
      <c r="I567" s="54">
        <v>435000</v>
      </c>
      <c r="J567" s="54">
        <v>0</v>
      </c>
      <c r="K567" s="54">
        <v>22000</v>
      </c>
      <c r="L567" s="54">
        <v>0</v>
      </c>
      <c r="M567" s="54">
        <v>0</v>
      </c>
      <c r="N567" s="54">
        <v>0</v>
      </c>
      <c r="O567" s="54">
        <v>0</v>
      </c>
      <c r="P567" s="54">
        <v>0</v>
      </c>
      <c r="Q567" s="54">
        <v>0</v>
      </c>
      <c r="R567" s="54">
        <v>0</v>
      </c>
      <c r="S567" s="54">
        <v>0</v>
      </c>
      <c r="T567" s="54">
        <v>0</v>
      </c>
      <c r="U567" s="54">
        <v>2263</v>
      </c>
      <c r="V567" s="54">
        <v>0</v>
      </c>
      <c r="W567" s="54">
        <v>0</v>
      </c>
      <c r="X567" s="54">
        <v>0</v>
      </c>
      <c r="Y567" s="54">
        <v>0</v>
      </c>
      <c r="Z567" s="54">
        <v>0</v>
      </c>
      <c r="AA567" s="54">
        <v>0</v>
      </c>
      <c r="AB567" s="54">
        <v>0</v>
      </c>
      <c r="AC567" s="54">
        <v>0</v>
      </c>
      <c r="AD567" s="54">
        <v>0</v>
      </c>
      <c r="AE567" s="54">
        <v>0</v>
      </c>
      <c r="AF567" s="54">
        <v>0</v>
      </c>
      <c r="AG567" s="54">
        <v>0</v>
      </c>
      <c r="AH567" s="54">
        <v>0</v>
      </c>
      <c r="AI567" s="54">
        <v>0</v>
      </c>
      <c r="AJ567" s="54">
        <v>0</v>
      </c>
      <c r="AK567" s="54">
        <v>0</v>
      </c>
      <c r="AL567" s="54">
        <v>0</v>
      </c>
      <c r="AM567" s="54" t="str">
        <f>I567-J567-K567-L567-M567-N567-O567-P567-Q567-R567-S567-T567-U567-V567-W567-X567-Y567-Z567-AA567-AB567-AC567-AD567-AE567-AF567-AG567+AH567-AI567+AJ567+AK567-AL567</f>
        <v>0</v>
      </c>
      <c r="AN567" s="54"/>
      <c r="AO567" s="27"/>
    </row>
    <row r="568" spans="1:41">
      <c r="A568" s="44">
        <v>540</v>
      </c>
      <c r="B568" s="47" t="s">
        <v>2269</v>
      </c>
      <c r="C568" s="48" t="s">
        <v>2270</v>
      </c>
      <c r="D568" s="52" t="s">
        <v>73</v>
      </c>
      <c r="E568" s="52" t="s">
        <v>2224</v>
      </c>
      <c r="F568" s="55" t="s">
        <v>2271</v>
      </c>
      <c r="G568" s="51">
        <v>6</v>
      </c>
      <c r="H568" s="52" t="s">
        <v>2272</v>
      </c>
      <c r="I568" s="54">
        <v>304000</v>
      </c>
      <c r="J568" s="54">
        <v>0</v>
      </c>
      <c r="K568" s="54">
        <v>31000</v>
      </c>
      <c r="L568" s="54">
        <v>0</v>
      </c>
      <c r="M568" s="54">
        <v>0</v>
      </c>
      <c r="N568" s="54">
        <v>0</v>
      </c>
      <c r="O568" s="54">
        <v>0</v>
      </c>
      <c r="P568" s="54">
        <v>0</v>
      </c>
      <c r="Q568" s="54">
        <v>0</v>
      </c>
      <c r="R568" s="54">
        <v>0</v>
      </c>
      <c r="S568" s="54">
        <v>0</v>
      </c>
      <c r="T568" s="54">
        <v>0</v>
      </c>
      <c r="U568" s="54">
        <v>3189</v>
      </c>
      <c r="V568" s="54">
        <v>0</v>
      </c>
      <c r="W568" s="54">
        <v>0</v>
      </c>
      <c r="X568" s="54">
        <v>0</v>
      </c>
      <c r="Y568" s="54">
        <v>0</v>
      </c>
      <c r="Z568" s="54">
        <v>0</v>
      </c>
      <c r="AA568" s="54">
        <v>0</v>
      </c>
      <c r="AB568" s="54">
        <v>0</v>
      </c>
      <c r="AC568" s="54">
        <v>0</v>
      </c>
      <c r="AD568" s="54">
        <v>0</v>
      </c>
      <c r="AE568" s="54">
        <v>0</v>
      </c>
      <c r="AF568" s="54">
        <v>0</v>
      </c>
      <c r="AG568" s="54">
        <v>0</v>
      </c>
      <c r="AH568" s="54">
        <v>0</v>
      </c>
      <c r="AI568" s="54">
        <v>0</v>
      </c>
      <c r="AJ568" s="54">
        <v>0</v>
      </c>
      <c r="AK568" s="54">
        <v>0</v>
      </c>
      <c r="AL568" s="54">
        <v>0</v>
      </c>
      <c r="AM568" s="54" t="str">
        <f>I568-J568-K568-L568-M568-N568-O568-P568-Q568-R568-S568-T568-U568-V568-W568-X568-Y568-Z568-AA568-AB568-AC568-AD568-AE568-AF568-AG568+AH568-AI568+AJ568+AK568-AL568</f>
        <v>0</v>
      </c>
      <c r="AN568" s="54"/>
      <c r="AO568" s="27"/>
    </row>
    <row r="569" spans="1:41">
      <c r="A569" s="44">
        <v>541</v>
      </c>
      <c r="B569" s="47" t="s">
        <v>2273</v>
      </c>
      <c r="C569" s="48" t="s">
        <v>2274</v>
      </c>
      <c r="D569" s="52" t="s">
        <v>73</v>
      </c>
      <c r="E569" s="52" t="s">
        <v>2275</v>
      </c>
      <c r="F569" s="55" t="s">
        <v>2276</v>
      </c>
      <c r="G569" s="51">
        <v>2</v>
      </c>
      <c r="H569" s="52" t="s">
        <v>2277</v>
      </c>
      <c r="I569" s="54">
        <v>434000</v>
      </c>
      <c r="J569" s="54">
        <v>0</v>
      </c>
      <c r="K569" s="54">
        <v>22000</v>
      </c>
      <c r="L569" s="54">
        <v>0</v>
      </c>
      <c r="M569" s="54">
        <v>0</v>
      </c>
      <c r="N569" s="54">
        <v>0</v>
      </c>
      <c r="O569" s="54">
        <v>0</v>
      </c>
      <c r="P569" s="54">
        <v>0</v>
      </c>
      <c r="Q569" s="54">
        <v>0</v>
      </c>
      <c r="R569" s="54">
        <v>0</v>
      </c>
      <c r="S569" s="54">
        <v>0</v>
      </c>
      <c r="T569" s="54">
        <v>0</v>
      </c>
      <c r="U569" s="54">
        <v>1397</v>
      </c>
      <c r="V569" s="54">
        <v>0</v>
      </c>
      <c r="W569" s="54">
        <v>0</v>
      </c>
      <c r="X569" s="54">
        <v>0</v>
      </c>
      <c r="Y569" s="54">
        <v>0</v>
      </c>
      <c r="Z569" s="54">
        <v>0</v>
      </c>
      <c r="AA569" s="54">
        <v>0</v>
      </c>
      <c r="AB569" s="54">
        <v>0</v>
      </c>
      <c r="AC569" s="54">
        <v>0</v>
      </c>
      <c r="AD569" s="54">
        <v>0</v>
      </c>
      <c r="AE569" s="54">
        <v>0</v>
      </c>
      <c r="AF569" s="54">
        <v>0</v>
      </c>
      <c r="AG569" s="54">
        <v>0</v>
      </c>
      <c r="AH569" s="54">
        <v>0</v>
      </c>
      <c r="AI569" s="54">
        <v>0</v>
      </c>
      <c r="AJ569" s="54">
        <v>0</v>
      </c>
      <c r="AK569" s="54">
        <v>0</v>
      </c>
      <c r="AL569" s="54">
        <v>0</v>
      </c>
      <c r="AM569" s="54" t="str">
        <f>I569-J569-K569-L569-M569-N569-O569-P569-Q569-R569-S569-T569-U569-V569-W569-X569-Y569-Z569-AA569-AB569-AC569-AD569-AE569-AF569-AG569+AH569-AI569+AJ569+AK569-AL569</f>
        <v>0</v>
      </c>
      <c r="AN569" s="54"/>
      <c r="AO569" s="27"/>
    </row>
    <row r="570" spans="1:41">
      <c r="A570" s="44">
        <v>542</v>
      </c>
      <c r="B570" s="47" t="s">
        <v>2278</v>
      </c>
      <c r="C570" s="48" t="s">
        <v>2279</v>
      </c>
      <c r="D570" s="52" t="s">
        <v>62</v>
      </c>
      <c r="E570" s="52" t="s">
        <v>2275</v>
      </c>
      <c r="F570" s="55" t="s">
        <v>2280</v>
      </c>
      <c r="G570" s="51">
        <v>3</v>
      </c>
      <c r="H570" s="52" t="s">
        <v>2281</v>
      </c>
      <c r="I570" s="54">
        <v>0</v>
      </c>
      <c r="J570" s="54">
        <v>0</v>
      </c>
      <c r="K570" s="54">
        <v>22000</v>
      </c>
      <c r="L570" s="54">
        <v>0</v>
      </c>
      <c r="M570" s="54">
        <v>0</v>
      </c>
      <c r="N570" s="54">
        <v>0</v>
      </c>
      <c r="O570" s="54">
        <v>0</v>
      </c>
      <c r="P570" s="54">
        <v>0</v>
      </c>
      <c r="Q570" s="54">
        <v>0</v>
      </c>
      <c r="R570" s="54">
        <v>0</v>
      </c>
      <c r="S570" s="54">
        <v>0</v>
      </c>
      <c r="T570" s="54">
        <v>0</v>
      </c>
      <c r="U570" s="54">
        <v>1397</v>
      </c>
      <c r="V570" s="54">
        <v>0</v>
      </c>
      <c r="W570" s="54">
        <v>0</v>
      </c>
      <c r="X570" s="54">
        <v>0</v>
      </c>
      <c r="Y570" s="54">
        <v>11000</v>
      </c>
      <c r="Z570" s="54">
        <v>0</v>
      </c>
      <c r="AA570" s="54">
        <v>0</v>
      </c>
      <c r="AB570" s="54">
        <v>0</v>
      </c>
      <c r="AC570" s="54">
        <v>0</v>
      </c>
      <c r="AD570" s="54">
        <v>0</v>
      </c>
      <c r="AE570" s="54">
        <v>0</v>
      </c>
      <c r="AF570" s="54">
        <v>0</v>
      </c>
      <c r="AG570" s="54">
        <v>0</v>
      </c>
      <c r="AH570" s="54">
        <v>0</v>
      </c>
      <c r="AI570" s="54">
        <v>0</v>
      </c>
      <c r="AJ570" s="54">
        <v>0</v>
      </c>
      <c r="AK570" s="54">
        <v>0</v>
      </c>
      <c r="AL570" s="54">
        <v>0</v>
      </c>
      <c r="AM570" s="54" t="str">
        <f>I570-J570-K570-L570-M570-N570-O570-P570-Q570-R570-S570-T570-U570-V570-W570-X570-Y570-Z570-AA570-AB570-AC570-AD570-AE570-AF570-AG570+AH570-AI570+AJ570+AK570-AL570</f>
        <v>0</v>
      </c>
      <c r="AN570" s="54"/>
      <c r="AO570" s="27"/>
    </row>
    <row r="571" spans="1:41">
      <c r="A571" s="44">
        <v>543</v>
      </c>
      <c r="B571" s="47" t="s">
        <v>2282</v>
      </c>
      <c r="C571" s="48" t="s">
        <v>2283</v>
      </c>
      <c r="D571" s="52" t="s">
        <v>62</v>
      </c>
      <c r="E571" s="52" t="s">
        <v>2275</v>
      </c>
      <c r="F571" s="55" t="s">
        <v>2280</v>
      </c>
      <c r="G571" s="51">
        <v>9</v>
      </c>
      <c r="H571" s="52" t="s">
        <v>2284</v>
      </c>
      <c r="I571" s="54">
        <v>0</v>
      </c>
      <c r="J571" s="54">
        <v>0</v>
      </c>
      <c r="K571" s="54">
        <v>44000</v>
      </c>
      <c r="L571" s="54">
        <v>0</v>
      </c>
      <c r="M571" s="54">
        <v>0</v>
      </c>
      <c r="N571" s="54">
        <v>0</v>
      </c>
      <c r="O571" s="54">
        <v>0</v>
      </c>
      <c r="P571" s="54">
        <v>0</v>
      </c>
      <c r="Q571" s="54">
        <v>0</v>
      </c>
      <c r="R571" s="54">
        <v>0</v>
      </c>
      <c r="S571" s="54">
        <v>0</v>
      </c>
      <c r="T571" s="54">
        <v>0</v>
      </c>
      <c r="U571" s="54">
        <v>4527</v>
      </c>
      <c r="V571" s="54">
        <v>0</v>
      </c>
      <c r="W571" s="54">
        <v>0</v>
      </c>
      <c r="X571" s="54">
        <v>0</v>
      </c>
      <c r="Y571" s="54">
        <v>22000</v>
      </c>
      <c r="Z571" s="54">
        <v>0</v>
      </c>
      <c r="AA571" s="54">
        <v>0</v>
      </c>
      <c r="AB571" s="54">
        <v>0</v>
      </c>
      <c r="AC571" s="54">
        <v>0</v>
      </c>
      <c r="AD571" s="54">
        <v>0</v>
      </c>
      <c r="AE571" s="54">
        <v>0</v>
      </c>
      <c r="AF571" s="54">
        <v>0</v>
      </c>
      <c r="AG571" s="54">
        <v>0</v>
      </c>
      <c r="AH571" s="54">
        <v>0</v>
      </c>
      <c r="AI571" s="54">
        <v>0</v>
      </c>
      <c r="AJ571" s="54">
        <v>0</v>
      </c>
      <c r="AK571" s="54">
        <v>0</v>
      </c>
      <c r="AL571" s="54">
        <v>0</v>
      </c>
      <c r="AM571" s="54" t="str">
        <f>I571-J571-K571-L571-M571-N571-O571-P571-Q571-R571-S571-T571-U571-V571-W571-X571-Y571-Z571-AA571-AB571-AC571-AD571-AE571-AF571-AG571+AH571-AI571+AJ571+AK571-AL571</f>
        <v>0</v>
      </c>
      <c r="AN571" s="54"/>
      <c r="AO571" s="27"/>
    </row>
    <row r="572" spans="1:41">
      <c r="A572" s="44">
        <v>544</v>
      </c>
      <c r="B572" s="47" t="s">
        <v>2285</v>
      </c>
      <c r="C572" s="48" t="s">
        <v>2286</v>
      </c>
      <c r="D572" s="52" t="s">
        <v>73</v>
      </c>
      <c r="E572" s="52" t="s">
        <v>2275</v>
      </c>
      <c r="F572" s="55" t="s">
        <v>245</v>
      </c>
      <c r="G572" s="51">
        <v>3</v>
      </c>
      <c r="H572" s="52" t="s">
        <v>2287</v>
      </c>
      <c r="I572" s="54">
        <v>910000</v>
      </c>
      <c r="J572" s="54">
        <v>0</v>
      </c>
      <c r="K572" s="54">
        <v>22000</v>
      </c>
      <c r="L572" s="54">
        <v>0</v>
      </c>
      <c r="M572" s="54">
        <v>0</v>
      </c>
      <c r="N572" s="54">
        <v>0</v>
      </c>
      <c r="O572" s="54">
        <v>0</v>
      </c>
      <c r="P572" s="54">
        <v>0</v>
      </c>
      <c r="Q572" s="54">
        <v>0</v>
      </c>
      <c r="R572" s="54">
        <v>0</v>
      </c>
      <c r="S572" s="54">
        <v>0</v>
      </c>
      <c r="T572" s="54">
        <v>0</v>
      </c>
      <c r="U572" s="54">
        <v>2263</v>
      </c>
      <c r="V572" s="54">
        <v>0</v>
      </c>
      <c r="W572" s="54">
        <v>0</v>
      </c>
      <c r="X572" s="54">
        <v>0</v>
      </c>
      <c r="Y572" s="54">
        <v>0</v>
      </c>
      <c r="Z572" s="54">
        <v>0</v>
      </c>
      <c r="AA572" s="54">
        <v>0</v>
      </c>
      <c r="AB572" s="54">
        <v>0</v>
      </c>
      <c r="AC572" s="54">
        <v>0</v>
      </c>
      <c r="AD572" s="54">
        <v>0</v>
      </c>
      <c r="AE572" s="54">
        <v>0</v>
      </c>
      <c r="AF572" s="54">
        <v>0</v>
      </c>
      <c r="AG572" s="54">
        <v>0</v>
      </c>
      <c r="AH572" s="54">
        <v>0</v>
      </c>
      <c r="AI572" s="54">
        <v>0</v>
      </c>
      <c r="AJ572" s="54">
        <v>0</v>
      </c>
      <c r="AK572" s="54">
        <v>0</v>
      </c>
      <c r="AL572" s="54">
        <v>0</v>
      </c>
      <c r="AM572" s="54" t="str">
        <f>I572-J572-K572-L572-M572-N572-O572-P572-Q572-R572-S572-T572-U572-V572-W572-X572-Y572-Z572-AA572-AB572-AC572-AD572-AE572-AF572-AG572+AH572-AI572+AJ572+AK572-AL572</f>
        <v>0</v>
      </c>
      <c r="AN572" s="54"/>
      <c r="AO572" s="27"/>
    </row>
    <row r="573" spans="1:41">
      <c r="A573" s="44">
        <v>545</v>
      </c>
      <c r="B573" s="47" t="s">
        <v>2288</v>
      </c>
      <c r="C573" s="48" t="s">
        <v>2289</v>
      </c>
      <c r="D573" s="52" t="s">
        <v>73</v>
      </c>
      <c r="E573" s="52" t="s">
        <v>2275</v>
      </c>
      <c r="F573" s="55" t="s">
        <v>2290</v>
      </c>
      <c r="G573" s="51">
        <v>3</v>
      </c>
      <c r="H573" s="52" t="s">
        <v>2291</v>
      </c>
      <c r="I573" s="54">
        <v>334000</v>
      </c>
      <c r="J573" s="54">
        <v>0</v>
      </c>
      <c r="K573" s="54">
        <v>22000</v>
      </c>
      <c r="L573" s="54">
        <v>0</v>
      </c>
      <c r="M573" s="54">
        <v>0</v>
      </c>
      <c r="N573" s="54">
        <v>0</v>
      </c>
      <c r="O573" s="54">
        <v>0</v>
      </c>
      <c r="P573" s="54">
        <v>0</v>
      </c>
      <c r="Q573" s="54">
        <v>0</v>
      </c>
      <c r="R573" s="54">
        <v>0</v>
      </c>
      <c r="S573" s="54">
        <v>0</v>
      </c>
      <c r="T573" s="54">
        <v>0</v>
      </c>
      <c r="U573" s="54">
        <v>2263</v>
      </c>
      <c r="V573" s="54">
        <v>0</v>
      </c>
      <c r="W573" s="54">
        <v>0</v>
      </c>
      <c r="X573" s="54">
        <v>0</v>
      </c>
      <c r="Y573" s="54">
        <v>0</v>
      </c>
      <c r="Z573" s="54">
        <v>0</v>
      </c>
      <c r="AA573" s="54">
        <v>0</v>
      </c>
      <c r="AB573" s="54">
        <v>0</v>
      </c>
      <c r="AC573" s="54">
        <v>0</v>
      </c>
      <c r="AD573" s="54">
        <v>0</v>
      </c>
      <c r="AE573" s="54">
        <v>0</v>
      </c>
      <c r="AF573" s="54">
        <v>0</v>
      </c>
      <c r="AG573" s="54">
        <v>0</v>
      </c>
      <c r="AH573" s="54">
        <v>0</v>
      </c>
      <c r="AI573" s="54">
        <v>0</v>
      </c>
      <c r="AJ573" s="54">
        <v>0</v>
      </c>
      <c r="AK573" s="54">
        <v>0</v>
      </c>
      <c r="AL573" s="54">
        <v>0</v>
      </c>
      <c r="AM573" s="54" t="str">
        <f>I573-J573-K573-L573-M573-N573-O573-P573-Q573-R573-S573-T573-U573-V573-W573-X573-Y573-Z573-AA573-AB573-AC573-AD573-AE573-AF573-AG573+AH573-AI573+AJ573+AK573-AL573</f>
        <v>0</v>
      </c>
      <c r="AN573" s="54"/>
      <c r="AO573" s="27"/>
    </row>
    <row r="574" spans="1:41">
      <c r="A574" s="44">
        <v>546</v>
      </c>
      <c r="B574" s="47" t="s">
        <v>2292</v>
      </c>
      <c r="C574" s="48" t="s">
        <v>2293</v>
      </c>
      <c r="D574" s="52" t="s">
        <v>62</v>
      </c>
      <c r="E574" s="52" t="s">
        <v>2275</v>
      </c>
      <c r="F574" s="55" t="s">
        <v>2294</v>
      </c>
      <c r="G574" s="51">
        <v>7</v>
      </c>
      <c r="H574" s="52" t="s">
        <v>2295</v>
      </c>
      <c r="I574" s="54">
        <v>0</v>
      </c>
      <c r="J574" s="54">
        <v>0</v>
      </c>
      <c r="K574" s="54">
        <v>35000</v>
      </c>
      <c r="L574" s="54">
        <v>0</v>
      </c>
      <c r="M574" s="54">
        <v>0</v>
      </c>
      <c r="N574" s="54">
        <v>0</v>
      </c>
      <c r="O574" s="54">
        <v>0</v>
      </c>
      <c r="P574" s="54">
        <v>0</v>
      </c>
      <c r="Q574" s="54">
        <v>0</v>
      </c>
      <c r="R574" s="54">
        <v>0</v>
      </c>
      <c r="S574" s="54">
        <v>0</v>
      </c>
      <c r="T574" s="54">
        <v>0</v>
      </c>
      <c r="U574" s="54">
        <v>3601</v>
      </c>
      <c r="V574" s="54">
        <v>0</v>
      </c>
      <c r="W574" s="54">
        <v>0</v>
      </c>
      <c r="X574" s="54">
        <v>0</v>
      </c>
      <c r="Y574" s="54">
        <v>5000</v>
      </c>
      <c r="Z574" s="54">
        <v>0</v>
      </c>
      <c r="AA574" s="54">
        <v>0</v>
      </c>
      <c r="AB574" s="54">
        <v>0</v>
      </c>
      <c r="AC574" s="54">
        <v>0</v>
      </c>
      <c r="AD574" s="54">
        <v>0</v>
      </c>
      <c r="AE574" s="54">
        <v>0</v>
      </c>
      <c r="AF574" s="54">
        <v>0</v>
      </c>
      <c r="AG574" s="54">
        <v>0</v>
      </c>
      <c r="AH574" s="54">
        <v>0</v>
      </c>
      <c r="AI574" s="54">
        <v>0</v>
      </c>
      <c r="AJ574" s="54">
        <v>0</v>
      </c>
      <c r="AK574" s="54">
        <v>0</v>
      </c>
      <c r="AL574" s="54">
        <v>0</v>
      </c>
      <c r="AM574" s="54" t="str">
        <f>I574-J574-K574-L574-M574-N574-O574-P574-Q574-R574-S574-T574-U574-V574-W574-X574-Y574-Z574-AA574-AB574-AC574-AD574-AE574-AF574-AG574+AH574-AI574+AJ574+AK574-AL574</f>
        <v>0</v>
      </c>
      <c r="AN574" s="54"/>
      <c r="AO574" s="27"/>
    </row>
    <row r="575" spans="1:41">
      <c r="A575" s="44">
        <v>547</v>
      </c>
      <c r="B575" s="47" t="s">
        <v>2296</v>
      </c>
      <c r="C575" s="48" t="s">
        <v>2297</v>
      </c>
      <c r="D575" s="52" t="s">
        <v>73</v>
      </c>
      <c r="E575" s="52" t="s">
        <v>2275</v>
      </c>
      <c r="F575" s="55" t="s">
        <v>2298</v>
      </c>
      <c r="G575" s="51">
        <v>7</v>
      </c>
      <c r="H575" s="52" t="s">
        <v>2295</v>
      </c>
      <c r="I575" s="54">
        <v>1690000</v>
      </c>
      <c r="J575" s="54">
        <v>0</v>
      </c>
      <c r="K575" s="54">
        <v>35000</v>
      </c>
      <c r="L575" s="54">
        <v>0</v>
      </c>
      <c r="M575" s="54">
        <v>0</v>
      </c>
      <c r="N575" s="54">
        <v>0</v>
      </c>
      <c r="O575" s="54">
        <v>0</v>
      </c>
      <c r="P575" s="54">
        <v>0</v>
      </c>
      <c r="Q575" s="54">
        <v>0</v>
      </c>
      <c r="R575" s="54">
        <v>0</v>
      </c>
      <c r="S575" s="54">
        <v>0</v>
      </c>
      <c r="T575" s="54">
        <v>0</v>
      </c>
      <c r="U575" s="54">
        <v>3601</v>
      </c>
      <c r="V575" s="54">
        <v>0</v>
      </c>
      <c r="W575" s="54">
        <v>0</v>
      </c>
      <c r="X575" s="54">
        <v>0</v>
      </c>
      <c r="Y575" s="54">
        <v>0</v>
      </c>
      <c r="Z575" s="54">
        <v>0</v>
      </c>
      <c r="AA575" s="54">
        <v>0</v>
      </c>
      <c r="AB575" s="54">
        <v>0</v>
      </c>
      <c r="AC575" s="54">
        <v>0</v>
      </c>
      <c r="AD575" s="54">
        <v>0</v>
      </c>
      <c r="AE575" s="54">
        <v>0</v>
      </c>
      <c r="AF575" s="54">
        <v>0</v>
      </c>
      <c r="AG575" s="54">
        <v>0</v>
      </c>
      <c r="AH575" s="54">
        <v>0</v>
      </c>
      <c r="AI575" s="54">
        <v>0</v>
      </c>
      <c r="AJ575" s="54">
        <v>0</v>
      </c>
      <c r="AK575" s="54">
        <v>0</v>
      </c>
      <c r="AL575" s="54">
        <v>0</v>
      </c>
      <c r="AM575" s="54" t="str">
        <f>I575-J575-K575-L575-M575-N575-O575-P575-Q575-R575-S575-T575-U575-V575-W575-X575-Y575-Z575-AA575-AB575-AC575-AD575-AE575-AF575-AG575+AH575-AI575+AJ575+AK575-AL575</f>
        <v>0</v>
      </c>
      <c r="AN575" s="54"/>
      <c r="AO575" s="27"/>
    </row>
    <row r="576" spans="1:41">
      <c r="A576" s="44">
        <v>548</v>
      </c>
      <c r="B576" s="47" t="s">
        <v>2299</v>
      </c>
      <c r="C576" s="48" t="s">
        <v>2300</v>
      </c>
      <c r="D576" s="52" t="s">
        <v>73</v>
      </c>
      <c r="E576" s="52" t="s">
        <v>2275</v>
      </c>
      <c r="F576" s="55" t="s">
        <v>2301</v>
      </c>
      <c r="G576" s="51">
        <v>9</v>
      </c>
      <c r="H576" s="52" t="s">
        <v>2302</v>
      </c>
      <c r="I576" s="54">
        <v>932000</v>
      </c>
      <c r="J576" s="54">
        <v>0</v>
      </c>
      <c r="K576" s="54">
        <v>44000</v>
      </c>
      <c r="L576" s="54">
        <v>0</v>
      </c>
      <c r="M576" s="54">
        <v>0</v>
      </c>
      <c r="N576" s="54">
        <v>0</v>
      </c>
      <c r="O576" s="54">
        <v>0</v>
      </c>
      <c r="P576" s="54">
        <v>0</v>
      </c>
      <c r="Q576" s="54">
        <v>0</v>
      </c>
      <c r="R576" s="54">
        <v>0</v>
      </c>
      <c r="S576" s="54">
        <v>0</v>
      </c>
      <c r="T576" s="54">
        <v>0</v>
      </c>
      <c r="U576" s="54">
        <v>4527</v>
      </c>
      <c r="V576" s="54">
        <v>0</v>
      </c>
      <c r="W576" s="54">
        <v>0</v>
      </c>
      <c r="X576" s="54">
        <v>0</v>
      </c>
      <c r="Y576" s="54">
        <v>0</v>
      </c>
      <c r="Z576" s="54">
        <v>0</v>
      </c>
      <c r="AA576" s="54">
        <v>0</v>
      </c>
      <c r="AB576" s="54">
        <v>0</v>
      </c>
      <c r="AC576" s="54">
        <v>0</v>
      </c>
      <c r="AD576" s="54">
        <v>0</v>
      </c>
      <c r="AE576" s="54">
        <v>0</v>
      </c>
      <c r="AF576" s="54">
        <v>0</v>
      </c>
      <c r="AG576" s="54">
        <v>0</v>
      </c>
      <c r="AH576" s="54">
        <v>0</v>
      </c>
      <c r="AI576" s="54">
        <v>0</v>
      </c>
      <c r="AJ576" s="54">
        <v>0</v>
      </c>
      <c r="AK576" s="54">
        <v>0</v>
      </c>
      <c r="AL576" s="54">
        <v>0</v>
      </c>
      <c r="AM576" s="54" t="str">
        <f>I576-J576-K576-L576-M576-N576-O576-P576-Q576-R576-S576-T576-U576-V576-W576-X576-Y576-Z576-AA576-AB576-AC576-AD576-AE576-AF576-AG576+AH576-AI576+AJ576+AK576-AL576</f>
        <v>0</v>
      </c>
      <c r="AN576" s="54"/>
      <c r="AO576" s="27"/>
    </row>
    <row r="577" spans="1:41">
      <c r="A577" s="44">
        <v>549</v>
      </c>
      <c r="B577" s="47" t="s">
        <v>2303</v>
      </c>
      <c r="C577" s="48" t="s">
        <v>2304</v>
      </c>
      <c r="D577" s="52" t="s">
        <v>73</v>
      </c>
      <c r="E577" s="52" t="s">
        <v>2275</v>
      </c>
      <c r="F577" s="55" t="s">
        <v>1967</v>
      </c>
      <c r="G577" s="51">
        <v>3</v>
      </c>
      <c r="H577" s="52" t="s">
        <v>2305</v>
      </c>
      <c r="I577" s="54">
        <v>834000</v>
      </c>
      <c r="J577" s="54">
        <v>0</v>
      </c>
      <c r="K577" s="54">
        <v>22000</v>
      </c>
      <c r="L577" s="54">
        <v>0</v>
      </c>
      <c r="M577" s="54">
        <v>0</v>
      </c>
      <c r="N577" s="54">
        <v>0</v>
      </c>
      <c r="O577" s="54">
        <v>0</v>
      </c>
      <c r="P577" s="54">
        <v>0</v>
      </c>
      <c r="Q577" s="54">
        <v>0</v>
      </c>
      <c r="R577" s="54">
        <v>0</v>
      </c>
      <c r="S577" s="54">
        <v>0</v>
      </c>
      <c r="T577" s="54">
        <v>0</v>
      </c>
      <c r="U577" s="54">
        <v>2263</v>
      </c>
      <c r="V577" s="54">
        <v>0</v>
      </c>
      <c r="W577" s="54">
        <v>0</v>
      </c>
      <c r="X577" s="54">
        <v>0</v>
      </c>
      <c r="Y577" s="54">
        <v>0</v>
      </c>
      <c r="Z577" s="54">
        <v>0</v>
      </c>
      <c r="AA577" s="54">
        <v>0</v>
      </c>
      <c r="AB577" s="54">
        <v>0</v>
      </c>
      <c r="AC577" s="54">
        <v>0</v>
      </c>
      <c r="AD577" s="54">
        <v>0</v>
      </c>
      <c r="AE577" s="54">
        <v>0</v>
      </c>
      <c r="AF577" s="54">
        <v>0</v>
      </c>
      <c r="AG577" s="54">
        <v>0</v>
      </c>
      <c r="AH577" s="54">
        <v>0</v>
      </c>
      <c r="AI577" s="54">
        <v>0</v>
      </c>
      <c r="AJ577" s="54">
        <v>0</v>
      </c>
      <c r="AK577" s="54">
        <v>0</v>
      </c>
      <c r="AL577" s="54">
        <v>0</v>
      </c>
      <c r="AM577" s="54" t="str">
        <f>I577-J577-K577-L577-M577-N577-O577-P577-Q577-R577-S577-T577-U577-V577-W577-X577-Y577-Z577-AA577-AB577-AC577-AD577-AE577-AF577-AG577+AH577-AI577+AJ577+AK577-AL577</f>
        <v>0</v>
      </c>
      <c r="AN577" s="54"/>
      <c r="AO577" s="27"/>
    </row>
    <row r="578" spans="1:41">
      <c r="A578" s="44">
        <v>550</v>
      </c>
      <c r="B578" s="47" t="s">
        <v>2306</v>
      </c>
      <c r="C578" s="48" t="s">
        <v>2307</v>
      </c>
      <c r="D578" s="52" t="s">
        <v>73</v>
      </c>
      <c r="E578" s="52" t="s">
        <v>2275</v>
      </c>
      <c r="F578" s="55" t="s">
        <v>2308</v>
      </c>
      <c r="G578" s="51">
        <v>5.8</v>
      </c>
      <c r="H578" s="52" t="s">
        <v>2309</v>
      </c>
      <c r="I578" s="54">
        <v>634000</v>
      </c>
      <c r="J578" s="54">
        <v>0</v>
      </c>
      <c r="K578" s="54">
        <v>31000</v>
      </c>
      <c r="L578" s="54">
        <v>0</v>
      </c>
      <c r="M578" s="54">
        <v>0</v>
      </c>
      <c r="N578" s="54">
        <v>0</v>
      </c>
      <c r="O578" s="54">
        <v>0</v>
      </c>
      <c r="P578" s="54">
        <v>0</v>
      </c>
      <c r="Q578" s="54">
        <v>0</v>
      </c>
      <c r="R578" s="54">
        <v>0</v>
      </c>
      <c r="S578" s="54">
        <v>0</v>
      </c>
      <c r="T578" s="54">
        <v>0</v>
      </c>
      <c r="U578" s="54">
        <v>3189</v>
      </c>
      <c r="V578" s="54">
        <v>0</v>
      </c>
      <c r="W578" s="54">
        <v>0</v>
      </c>
      <c r="X578" s="54">
        <v>0</v>
      </c>
      <c r="Y578" s="54">
        <v>0</v>
      </c>
      <c r="Z578" s="54">
        <v>0</v>
      </c>
      <c r="AA578" s="54">
        <v>0</v>
      </c>
      <c r="AB578" s="54">
        <v>0</v>
      </c>
      <c r="AC578" s="54">
        <v>0</v>
      </c>
      <c r="AD578" s="54">
        <v>0</v>
      </c>
      <c r="AE578" s="54">
        <v>0</v>
      </c>
      <c r="AF578" s="54">
        <v>0</v>
      </c>
      <c r="AG578" s="54">
        <v>0</v>
      </c>
      <c r="AH578" s="54">
        <v>0</v>
      </c>
      <c r="AI578" s="54">
        <v>0</v>
      </c>
      <c r="AJ578" s="54">
        <v>0</v>
      </c>
      <c r="AK578" s="54">
        <v>0</v>
      </c>
      <c r="AL578" s="54">
        <v>0</v>
      </c>
      <c r="AM578" s="54" t="str">
        <f>I578-J578-K578-L578-M578-N578-O578-P578-Q578-R578-S578-T578-U578-V578-W578-X578-Y578-Z578-AA578-AB578-AC578-AD578-AE578-AF578-AG578+AH578-AI578+AJ578+AK578-AL578</f>
        <v>0</v>
      </c>
      <c r="AN578" s="54"/>
      <c r="AO578" s="27"/>
    </row>
    <row r="579" spans="1:41">
      <c r="A579" s="44">
        <v>551</v>
      </c>
      <c r="B579" s="47" t="s">
        <v>2310</v>
      </c>
      <c r="C579" s="48" t="s">
        <v>2311</v>
      </c>
      <c r="D579" s="52" t="s">
        <v>73</v>
      </c>
      <c r="E579" s="52" t="s">
        <v>2275</v>
      </c>
      <c r="F579" s="55" t="s">
        <v>2259</v>
      </c>
      <c r="G579" s="51">
        <v>6</v>
      </c>
      <c r="H579" s="52" t="s">
        <v>2312</v>
      </c>
      <c r="I579" s="54">
        <v>753000</v>
      </c>
      <c r="J579" s="54">
        <v>0</v>
      </c>
      <c r="K579" s="54">
        <v>31000</v>
      </c>
      <c r="L579" s="54">
        <v>0</v>
      </c>
      <c r="M579" s="54">
        <v>0</v>
      </c>
      <c r="N579" s="54">
        <v>0</v>
      </c>
      <c r="O579" s="54">
        <v>0</v>
      </c>
      <c r="P579" s="54">
        <v>0</v>
      </c>
      <c r="Q579" s="54">
        <v>0</v>
      </c>
      <c r="R579" s="54">
        <v>0</v>
      </c>
      <c r="S579" s="54">
        <v>0</v>
      </c>
      <c r="T579" s="54">
        <v>0</v>
      </c>
      <c r="U579" s="54">
        <v>3189</v>
      </c>
      <c r="V579" s="54">
        <v>0</v>
      </c>
      <c r="W579" s="54">
        <v>0</v>
      </c>
      <c r="X579" s="54">
        <v>0</v>
      </c>
      <c r="Y579" s="54">
        <v>0</v>
      </c>
      <c r="Z579" s="54">
        <v>0</v>
      </c>
      <c r="AA579" s="54">
        <v>0</v>
      </c>
      <c r="AB579" s="54">
        <v>0</v>
      </c>
      <c r="AC579" s="54">
        <v>0</v>
      </c>
      <c r="AD579" s="54">
        <v>0</v>
      </c>
      <c r="AE579" s="54">
        <v>0</v>
      </c>
      <c r="AF579" s="54">
        <v>0</v>
      </c>
      <c r="AG579" s="54">
        <v>0</v>
      </c>
      <c r="AH579" s="54">
        <v>0</v>
      </c>
      <c r="AI579" s="54">
        <v>0</v>
      </c>
      <c r="AJ579" s="54">
        <v>0</v>
      </c>
      <c r="AK579" s="54">
        <v>0</v>
      </c>
      <c r="AL579" s="54">
        <v>0</v>
      </c>
      <c r="AM579" s="54" t="str">
        <f>I579-J579-K579-L579-M579-N579-O579-P579-Q579-R579-S579-T579-U579-V579-W579-X579-Y579-Z579-AA579-AB579-AC579-AD579-AE579-AF579-AG579+AH579-AI579+AJ579+AK579-AL579</f>
        <v>0</v>
      </c>
      <c r="AN579" s="54"/>
      <c r="AO579" s="27"/>
    </row>
    <row r="580" spans="1:41">
      <c r="A580" s="44">
        <v>552</v>
      </c>
      <c r="B580" s="47" t="s">
        <v>2313</v>
      </c>
      <c r="C580" s="48" t="s">
        <v>2314</v>
      </c>
      <c r="D580" s="52" t="s">
        <v>73</v>
      </c>
      <c r="E580" s="52" t="s">
        <v>2275</v>
      </c>
      <c r="F580" s="55" t="s">
        <v>1809</v>
      </c>
      <c r="G580" s="51">
        <v>7.8</v>
      </c>
      <c r="H580" s="52" t="s">
        <v>2315</v>
      </c>
      <c r="I580" s="54">
        <v>803000</v>
      </c>
      <c r="J580" s="54">
        <v>0</v>
      </c>
      <c r="K580" s="54">
        <v>39000</v>
      </c>
      <c r="L580" s="54">
        <v>0</v>
      </c>
      <c r="M580" s="54">
        <v>0</v>
      </c>
      <c r="N580" s="54">
        <v>0</v>
      </c>
      <c r="O580" s="54">
        <v>0</v>
      </c>
      <c r="P580" s="54">
        <v>0</v>
      </c>
      <c r="Q580" s="54">
        <v>0</v>
      </c>
      <c r="R580" s="54">
        <v>0</v>
      </c>
      <c r="S580" s="54">
        <v>0</v>
      </c>
      <c r="T580" s="54">
        <v>0</v>
      </c>
      <c r="U580" s="54">
        <v>4013</v>
      </c>
      <c r="V580" s="54">
        <v>0</v>
      </c>
      <c r="W580" s="54">
        <v>0</v>
      </c>
      <c r="X580" s="54">
        <v>0</v>
      </c>
      <c r="Y580" s="54">
        <v>0</v>
      </c>
      <c r="Z580" s="54">
        <v>0</v>
      </c>
      <c r="AA580" s="54">
        <v>0</v>
      </c>
      <c r="AB580" s="54">
        <v>0</v>
      </c>
      <c r="AC580" s="54">
        <v>0</v>
      </c>
      <c r="AD580" s="54">
        <v>0</v>
      </c>
      <c r="AE580" s="54">
        <v>0</v>
      </c>
      <c r="AF580" s="54">
        <v>0</v>
      </c>
      <c r="AG580" s="54">
        <v>0</v>
      </c>
      <c r="AH580" s="54">
        <v>0</v>
      </c>
      <c r="AI580" s="54">
        <v>0</v>
      </c>
      <c r="AJ580" s="54">
        <v>0</v>
      </c>
      <c r="AK580" s="54">
        <v>0</v>
      </c>
      <c r="AL580" s="54">
        <v>0</v>
      </c>
      <c r="AM580" s="54" t="str">
        <f>I580-J580-K580-L580-M580-N580-O580-P580-Q580-R580-S580-T580-U580-V580-W580-X580-Y580-Z580-AA580-AB580-AC580-AD580-AE580-AF580-AG580+AH580-AI580+AJ580+AK580-AL580</f>
        <v>0</v>
      </c>
      <c r="AN580" s="54"/>
      <c r="AO580" s="27"/>
    </row>
    <row r="581" spans="1:41">
      <c r="A581" s="44">
        <v>553</v>
      </c>
      <c r="B581" s="47" t="s">
        <v>2316</v>
      </c>
      <c r="C581" s="48" t="s">
        <v>2317</v>
      </c>
      <c r="D581" s="52" t="s">
        <v>73</v>
      </c>
      <c r="E581" s="52" t="s">
        <v>2318</v>
      </c>
      <c r="F581" s="55" t="s">
        <v>2319</v>
      </c>
      <c r="G581" s="51">
        <v>5.8</v>
      </c>
      <c r="H581" s="52" t="s">
        <v>2320</v>
      </c>
      <c r="I581" s="54">
        <v>634000</v>
      </c>
      <c r="J581" s="54">
        <v>0</v>
      </c>
      <c r="K581" s="54">
        <v>31000</v>
      </c>
      <c r="L581" s="54">
        <v>0</v>
      </c>
      <c r="M581" s="54">
        <v>0</v>
      </c>
      <c r="N581" s="54">
        <v>0</v>
      </c>
      <c r="O581" s="54">
        <v>0</v>
      </c>
      <c r="P581" s="54">
        <v>0</v>
      </c>
      <c r="Q581" s="54">
        <v>0</v>
      </c>
      <c r="R581" s="54">
        <v>0</v>
      </c>
      <c r="S581" s="54">
        <v>0</v>
      </c>
      <c r="T581" s="54">
        <v>0</v>
      </c>
      <c r="U581" s="54">
        <v>3189</v>
      </c>
      <c r="V581" s="54">
        <v>0</v>
      </c>
      <c r="W581" s="54">
        <v>0</v>
      </c>
      <c r="X581" s="54">
        <v>0</v>
      </c>
      <c r="Y581" s="54">
        <v>0</v>
      </c>
      <c r="Z581" s="54">
        <v>0</v>
      </c>
      <c r="AA581" s="54">
        <v>0</v>
      </c>
      <c r="AB581" s="54">
        <v>0</v>
      </c>
      <c r="AC581" s="54">
        <v>0</v>
      </c>
      <c r="AD581" s="54">
        <v>0</v>
      </c>
      <c r="AE581" s="54">
        <v>0</v>
      </c>
      <c r="AF581" s="54">
        <v>0</v>
      </c>
      <c r="AG581" s="54">
        <v>0</v>
      </c>
      <c r="AH581" s="54">
        <v>0</v>
      </c>
      <c r="AI581" s="54">
        <v>0</v>
      </c>
      <c r="AJ581" s="54">
        <v>0</v>
      </c>
      <c r="AK581" s="54">
        <v>0</v>
      </c>
      <c r="AL581" s="54">
        <v>0</v>
      </c>
      <c r="AM581" s="54" t="str">
        <f>I581-J581-K581-L581-M581-N581-O581-P581-Q581-R581-S581-T581-U581-V581-W581-X581-Y581-Z581-AA581-AB581-AC581-AD581-AE581-AF581-AG581+AH581-AI581+AJ581+AK581-AL581</f>
        <v>0</v>
      </c>
      <c r="AN581" s="54"/>
      <c r="AO581" s="27"/>
    </row>
    <row r="582" spans="1:41">
      <c r="A582" s="44">
        <v>554</v>
      </c>
      <c r="B582" s="47" t="s">
        <v>2321</v>
      </c>
      <c r="C582" s="48" t="s">
        <v>2322</v>
      </c>
      <c r="D582" s="52" t="s">
        <v>73</v>
      </c>
      <c r="E582" s="52" t="s">
        <v>2323</v>
      </c>
      <c r="F582" s="55" t="s">
        <v>2324</v>
      </c>
      <c r="G582" s="51">
        <v>6</v>
      </c>
      <c r="H582" s="52" t="s">
        <v>2325</v>
      </c>
      <c r="I582" s="54">
        <v>1405000</v>
      </c>
      <c r="J582" s="54">
        <v>0</v>
      </c>
      <c r="K582" s="54">
        <v>31000</v>
      </c>
      <c r="L582" s="54">
        <v>0</v>
      </c>
      <c r="M582" s="54">
        <v>0</v>
      </c>
      <c r="N582" s="54">
        <v>0</v>
      </c>
      <c r="O582" s="54">
        <v>0</v>
      </c>
      <c r="P582" s="54">
        <v>0</v>
      </c>
      <c r="Q582" s="54">
        <v>0</v>
      </c>
      <c r="R582" s="54">
        <v>0</v>
      </c>
      <c r="S582" s="54">
        <v>0</v>
      </c>
      <c r="T582" s="54">
        <v>0</v>
      </c>
      <c r="U582" s="54">
        <v>3189</v>
      </c>
      <c r="V582" s="54">
        <v>0</v>
      </c>
      <c r="W582" s="54">
        <v>0</v>
      </c>
      <c r="X582" s="54">
        <v>0</v>
      </c>
      <c r="Y582" s="54">
        <v>0</v>
      </c>
      <c r="Z582" s="54">
        <v>0</v>
      </c>
      <c r="AA582" s="54">
        <v>0</v>
      </c>
      <c r="AB582" s="54">
        <v>0</v>
      </c>
      <c r="AC582" s="54">
        <v>0</v>
      </c>
      <c r="AD582" s="54">
        <v>0</v>
      </c>
      <c r="AE582" s="54">
        <v>0</v>
      </c>
      <c r="AF582" s="54">
        <v>0</v>
      </c>
      <c r="AG582" s="54">
        <v>0</v>
      </c>
      <c r="AH582" s="54">
        <v>0</v>
      </c>
      <c r="AI582" s="54">
        <v>0</v>
      </c>
      <c r="AJ582" s="54">
        <v>0</v>
      </c>
      <c r="AK582" s="54">
        <v>0</v>
      </c>
      <c r="AL582" s="54">
        <v>0</v>
      </c>
      <c r="AM582" s="54" t="str">
        <f>I582-J582-K582-L582-M582-N582-O582-P582-Q582-R582-S582-T582-U582-V582-W582-X582-Y582-Z582-AA582-AB582-AC582-AD582-AE582-AF582-AG582+AH582-AI582+AJ582+AK582-AL582</f>
        <v>0</v>
      </c>
      <c r="AN582" s="54"/>
      <c r="AO582" s="27"/>
    </row>
    <row r="583" spans="1:41">
      <c r="A583" s="44">
        <v>555</v>
      </c>
      <c r="B583" s="47" t="s">
        <v>2326</v>
      </c>
      <c r="C583" s="48" t="s">
        <v>2327</v>
      </c>
      <c r="D583" s="52" t="s">
        <v>73</v>
      </c>
      <c r="E583" s="52" t="s">
        <v>2323</v>
      </c>
      <c r="F583" s="55" t="s">
        <v>2324</v>
      </c>
      <c r="G583" s="51">
        <v>2</v>
      </c>
      <c r="H583" s="52" t="s">
        <v>2328</v>
      </c>
      <c r="I583" s="54">
        <v>154000</v>
      </c>
      <c r="J583" s="54">
        <v>0</v>
      </c>
      <c r="K583" s="54">
        <v>22000</v>
      </c>
      <c r="L583" s="54">
        <v>0</v>
      </c>
      <c r="M583" s="54">
        <v>0</v>
      </c>
      <c r="N583" s="54">
        <v>0</v>
      </c>
      <c r="O583" s="54">
        <v>0</v>
      </c>
      <c r="P583" s="54">
        <v>0</v>
      </c>
      <c r="Q583" s="54">
        <v>0</v>
      </c>
      <c r="R583" s="54">
        <v>0</v>
      </c>
      <c r="S583" s="54">
        <v>0</v>
      </c>
      <c r="T583" s="54">
        <v>0</v>
      </c>
      <c r="U583" s="54">
        <v>2263</v>
      </c>
      <c r="V583" s="54">
        <v>0</v>
      </c>
      <c r="W583" s="54">
        <v>0</v>
      </c>
      <c r="X583" s="54">
        <v>0</v>
      </c>
      <c r="Y583" s="54">
        <v>0</v>
      </c>
      <c r="Z583" s="54">
        <v>0</v>
      </c>
      <c r="AA583" s="54">
        <v>0</v>
      </c>
      <c r="AB583" s="54">
        <v>0</v>
      </c>
      <c r="AC583" s="54">
        <v>0</v>
      </c>
      <c r="AD583" s="54">
        <v>0</v>
      </c>
      <c r="AE583" s="54">
        <v>0</v>
      </c>
      <c r="AF583" s="54">
        <v>0</v>
      </c>
      <c r="AG583" s="54">
        <v>0</v>
      </c>
      <c r="AH583" s="54">
        <v>0</v>
      </c>
      <c r="AI583" s="54">
        <v>0</v>
      </c>
      <c r="AJ583" s="54">
        <v>0</v>
      </c>
      <c r="AK583" s="54">
        <v>0</v>
      </c>
      <c r="AL583" s="54">
        <v>0</v>
      </c>
      <c r="AM583" s="54" t="str">
        <f>I583-J583-K583-L583-M583-N583-O583-P583-Q583-R583-S583-T583-U583-V583-W583-X583-Y583-Z583-AA583-AB583-AC583-AD583-AE583-AF583-AG583+AH583-AI583+AJ583+AK583-AL583</f>
        <v>0</v>
      </c>
      <c r="AN583" s="54"/>
      <c r="AO583" s="27"/>
    </row>
    <row r="584" spans="1:41">
      <c r="A584" s="44">
        <v>556</v>
      </c>
      <c r="B584" s="47" t="s">
        <v>2329</v>
      </c>
      <c r="C584" s="48" t="s">
        <v>2330</v>
      </c>
      <c r="D584" s="52" t="s">
        <v>73</v>
      </c>
      <c r="E584" s="52" t="s">
        <v>2323</v>
      </c>
      <c r="F584" s="55" t="s">
        <v>2331</v>
      </c>
      <c r="G584" s="51">
        <v>2</v>
      </c>
      <c r="H584" s="52" t="s">
        <v>2332</v>
      </c>
      <c r="I584" s="54">
        <v>235000</v>
      </c>
      <c r="J584" s="54">
        <v>0</v>
      </c>
      <c r="K584" s="54">
        <v>22000</v>
      </c>
      <c r="L584" s="54">
        <v>0</v>
      </c>
      <c r="M584" s="54">
        <v>0</v>
      </c>
      <c r="N584" s="54">
        <v>0</v>
      </c>
      <c r="O584" s="54">
        <v>0</v>
      </c>
      <c r="P584" s="54">
        <v>0</v>
      </c>
      <c r="Q584" s="54">
        <v>0</v>
      </c>
      <c r="R584" s="54">
        <v>0</v>
      </c>
      <c r="S584" s="54">
        <v>0</v>
      </c>
      <c r="T584" s="54">
        <v>0</v>
      </c>
      <c r="U584" s="54">
        <v>2263</v>
      </c>
      <c r="V584" s="54">
        <v>0</v>
      </c>
      <c r="W584" s="54">
        <v>0</v>
      </c>
      <c r="X584" s="54">
        <v>0</v>
      </c>
      <c r="Y584" s="54">
        <v>0</v>
      </c>
      <c r="Z584" s="54">
        <v>0</v>
      </c>
      <c r="AA584" s="54">
        <v>0</v>
      </c>
      <c r="AB584" s="54">
        <v>0</v>
      </c>
      <c r="AC584" s="54">
        <v>0</v>
      </c>
      <c r="AD584" s="54">
        <v>0</v>
      </c>
      <c r="AE584" s="54">
        <v>0</v>
      </c>
      <c r="AF584" s="54">
        <v>0</v>
      </c>
      <c r="AG584" s="54">
        <v>0</v>
      </c>
      <c r="AH584" s="54">
        <v>0</v>
      </c>
      <c r="AI584" s="54">
        <v>0</v>
      </c>
      <c r="AJ584" s="54">
        <v>0</v>
      </c>
      <c r="AK584" s="54">
        <v>0</v>
      </c>
      <c r="AL584" s="54">
        <v>0</v>
      </c>
      <c r="AM584" s="54" t="str">
        <f>I584-J584-K584-L584-M584-N584-O584-P584-Q584-R584-S584-T584-U584-V584-W584-X584-Y584-Z584-AA584-AB584-AC584-AD584-AE584-AF584-AG584+AH584-AI584+AJ584+AK584-AL584</f>
        <v>0</v>
      </c>
      <c r="AN584" s="54"/>
      <c r="AO584" s="27"/>
    </row>
    <row r="585" spans="1:41">
      <c r="A585" s="44">
        <v>557</v>
      </c>
      <c r="B585" s="47" t="s">
        <v>2333</v>
      </c>
      <c r="C585" s="48" t="s">
        <v>2334</v>
      </c>
      <c r="D585" s="52" t="s">
        <v>73</v>
      </c>
      <c r="E585" s="52" t="s">
        <v>2323</v>
      </c>
      <c r="F585" s="55" t="s">
        <v>2335</v>
      </c>
      <c r="G585" s="51">
        <v>2</v>
      </c>
      <c r="H585" s="52" t="s">
        <v>2336</v>
      </c>
      <c r="I585" s="54">
        <v>264000</v>
      </c>
      <c r="J585" s="54">
        <v>0</v>
      </c>
      <c r="K585" s="54">
        <v>22000</v>
      </c>
      <c r="L585" s="54">
        <v>0</v>
      </c>
      <c r="M585" s="54">
        <v>0</v>
      </c>
      <c r="N585" s="54">
        <v>0</v>
      </c>
      <c r="O585" s="54">
        <v>0</v>
      </c>
      <c r="P585" s="54">
        <v>0</v>
      </c>
      <c r="Q585" s="54">
        <v>0</v>
      </c>
      <c r="R585" s="54">
        <v>0</v>
      </c>
      <c r="S585" s="54">
        <v>0</v>
      </c>
      <c r="T585" s="54">
        <v>0</v>
      </c>
      <c r="U585" s="54">
        <v>2263</v>
      </c>
      <c r="V585" s="54">
        <v>0</v>
      </c>
      <c r="W585" s="54">
        <v>0</v>
      </c>
      <c r="X585" s="54">
        <v>0</v>
      </c>
      <c r="Y585" s="54">
        <v>0</v>
      </c>
      <c r="Z585" s="54">
        <v>0</v>
      </c>
      <c r="AA585" s="54">
        <v>0</v>
      </c>
      <c r="AB585" s="54">
        <v>0</v>
      </c>
      <c r="AC585" s="54">
        <v>0</v>
      </c>
      <c r="AD585" s="54">
        <v>0</v>
      </c>
      <c r="AE585" s="54">
        <v>0</v>
      </c>
      <c r="AF585" s="54">
        <v>0</v>
      </c>
      <c r="AG585" s="54">
        <v>0</v>
      </c>
      <c r="AH585" s="54">
        <v>0</v>
      </c>
      <c r="AI585" s="54">
        <v>0</v>
      </c>
      <c r="AJ585" s="54">
        <v>0</v>
      </c>
      <c r="AK585" s="54">
        <v>0</v>
      </c>
      <c r="AL585" s="54">
        <v>0</v>
      </c>
      <c r="AM585" s="54" t="str">
        <f>I585-J585-K585-L585-M585-N585-O585-P585-Q585-R585-S585-T585-U585-V585-W585-X585-Y585-Z585-AA585-AB585-AC585-AD585-AE585-AF585-AG585+AH585-AI585+AJ585+AK585-AL585</f>
        <v>0</v>
      </c>
      <c r="AN585" s="54"/>
      <c r="AO585" s="27"/>
    </row>
    <row r="586" spans="1:41">
      <c r="A586" s="44">
        <v>558</v>
      </c>
      <c r="B586" s="47" t="s">
        <v>2337</v>
      </c>
      <c r="C586" s="48" t="s">
        <v>2338</v>
      </c>
      <c r="D586" s="52" t="s">
        <v>73</v>
      </c>
      <c r="E586" s="52" t="s">
        <v>2323</v>
      </c>
      <c r="F586" s="55" t="s">
        <v>800</v>
      </c>
      <c r="G586" s="51">
        <v>2</v>
      </c>
      <c r="H586" s="52" t="s">
        <v>2339</v>
      </c>
      <c r="I586" s="54">
        <v>335000</v>
      </c>
      <c r="J586" s="54">
        <v>0</v>
      </c>
      <c r="K586" s="54">
        <v>22000</v>
      </c>
      <c r="L586" s="54">
        <v>0</v>
      </c>
      <c r="M586" s="54">
        <v>0</v>
      </c>
      <c r="N586" s="54">
        <v>0</v>
      </c>
      <c r="O586" s="54">
        <v>0</v>
      </c>
      <c r="P586" s="54">
        <v>0</v>
      </c>
      <c r="Q586" s="54">
        <v>0</v>
      </c>
      <c r="R586" s="54">
        <v>0</v>
      </c>
      <c r="S586" s="54">
        <v>0</v>
      </c>
      <c r="T586" s="54">
        <v>0</v>
      </c>
      <c r="U586" s="54">
        <v>2263</v>
      </c>
      <c r="V586" s="54">
        <v>0</v>
      </c>
      <c r="W586" s="54">
        <v>0</v>
      </c>
      <c r="X586" s="54">
        <v>0</v>
      </c>
      <c r="Y586" s="54">
        <v>0</v>
      </c>
      <c r="Z586" s="54">
        <v>0</v>
      </c>
      <c r="AA586" s="54">
        <v>0</v>
      </c>
      <c r="AB586" s="54">
        <v>0</v>
      </c>
      <c r="AC586" s="54">
        <v>0</v>
      </c>
      <c r="AD586" s="54">
        <v>0</v>
      </c>
      <c r="AE586" s="54">
        <v>0</v>
      </c>
      <c r="AF586" s="54">
        <v>0</v>
      </c>
      <c r="AG586" s="54">
        <v>0</v>
      </c>
      <c r="AH586" s="54">
        <v>0</v>
      </c>
      <c r="AI586" s="54">
        <v>0</v>
      </c>
      <c r="AJ586" s="54">
        <v>0</v>
      </c>
      <c r="AK586" s="54">
        <v>0</v>
      </c>
      <c r="AL586" s="54">
        <v>0</v>
      </c>
      <c r="AM586" s="54" t="str">
        <f>I586-J586-K586-L586-M586-N586-O586-P586-Q586-R586-S586-T586-U586-V586-W586-X586-Y586-Z586-AA586-AB586-AC586-AD586-AE586-AF586-AG586+AH586-AI586+AJ586+AK586-AL586</f>
        <v>0</v>
      </c>
      <c r="AN586" s="54"/>
      <c r="AO586" s="27"/>
    </row>
    <row r="587" spans="1:41">
      <c r="A587" s="44">
        <v>559</v>
      </c>
      <c r="B587" s="47" t="s">
        <v>2340</v>
      </c>
      <c r="C587" s="48" t="s">
        <v>2341</v>
      </c>
      <c r="D587" s="52" t="s">
        <v>73</v>
      </c>
      <c r="E587" s="52" t="s">
        <v>2323</v>
      </c>
      <c r="F587" s="55" t="s">
        <v>2342</v>
      </c>
      <c r="G587" s="51">
        <v>5</v>
      </c>
      <c r="H587" s="52" t="s">
        <v>2343</v>
      </c>
      <c r="I587" s="54">
        <v>1474000</v>
      </c>
      <c r="J587" s="54">
        <v>0</v>
      </c>
      <c r="K587" s="54">
        <v>27000</v>
      </c>
      <c r="L587" s="54">
        <v>0</v>
      </c>
      <c r="M587" s="54">
        <v>0</v>
      </c>
      <c r="N587" s="54">
        <v>0</v>
      </c>
      <c r="O587" s="54">
        <v>0</v>
      </c>
      <c r="P587" s="54">
        <v>0</v>
      </c>
      <c r="Q587" s="54">
        <v>0</v>
      </c>
      <c r="R587" s="54">
        <v>0</v>
      </c>
      <c r="S587" s="54">
        <v>0</v>
      </c>
      <c r="T587" s="54">
        <v>0</v>
      </c>
      <c r="U587" s="54">
        <v>2778</v>
      </c>
      <c r="V587" s="54">
        <v>0</v>
      </c>
      <c r="W587" s="54">
        <v>0</v>
      </c>
      <c r="X587" s="54">
        <v>0</v>
      </c>
      <c r="Y587" s="54">
        <v>0</v>
      </c>
      <c r="Z587" s="54">
        <v>0</v>
      </c>
      <c r="AA587" s="54">
        <v>0</v>
      </c>
      <c r="AB587" s="54">
        <v>0</v>
      </c>
      <c r="AC587" s="54">
        <v>0</v>
      </c>
      <c r="AD587" s="54">
        <v>0</v>
      </c>
      <c r="AE587" s="54">
        <v>0</v>
      </c>
      <c r="AF587" s="54">
        <v>0</v>
      </c>
      <c r="AG587" s="54">
        <v>0</v>
      </c>
      <c r="AH587" s="54">
        <v>0</v>
      </c>
      <c r="AI587" s="54">
        <v>0</v>
      </c>
      <c r="AJ587" s="54">
        <v>0</v>
      </c>
      <c r="AK587" s="54">
        <v>0</v>
      </c>
      <c r="AL587" s="54">
        <v>0</v>
      </c>
      <c r="AM587" s="54" t="str">
        <f>I587-J587-K587-L587-M587-N587-O587-P587-Q587-R587-S587-T587-U587-V587-W587-X587-Y587-Z587-AA587-AB587-AC587-AD587-AE587-AF587-AG587+AH587-AI587+AJ587+AK587-AL587</f>
        <v>0</v>
      </c>
      <c r="AN587" s="54"/>
      <c r="AO587" s="27"/>
    </row>
    <row r="588" spans="1:41">
      <c r="A588" s="44">
        <v>560</v>
      </c>
      <c r="B588" s="47" t="s">
        <v>2344</v>
      </c>
      <c r="C588" s="48" t="s">
        <v>2345</v>
      </c>
      <c r="D588" s="52" t="s">
        <v>62</v>
      </c>
      <c r="E588" s="52" t="s">
        <v>2323</v>
      </c>
      <c r="F588" s="55" t="s">
        <v>2346</v>
      </c>
      <c r="G588" s="51">
        <v>2</v>
      </c>
      <c r="H588" s="52" t="s">
        <v>2347</v>
      </c>
      <c r="I588" s="54">
        <v>0</v>
      </c>
      <c r="J588" s="54">
        <v>0</v>
      </c>
      <c r="K588" s="54">
        <v>22000</v>
      </c>
      <c r="L588" s="54">
        <v>0</v>
      </c>
      <c r="M588" s="54">
        <v>0</v>
      </c>
      <c r="N588" s="54">
        <v>0</v>
      </c>
      <c r="O588" s="54">
        <v>0</v>
      </c>
      <c r="P588" s="54">
        <v>0</v>
      </c>
      <c r="Q588" s="54">
        <v>0</v>
      </c>
      <c r="R588" s="54">
        <v>0</v>
      </c>
      <c r="S588" s="54">
        <v>0</v>
      </c>
      <c r="T588" s="54">
        <v>0</v>
      </c>
      <c r="U588" s="54">
        <v>2263</v>
      </c>
      <c r="V588" s="54">
        <v>0</v>
      </c>
      <c r="W588" s="54">
        <v>0</v>
      </c>
      <c r="X588" s="54">
        <v>0</v>
      </c>
      <c r="Y588" s="54">
        <v>11000</v>
      </c>
      <c r="Z588" s="54">
        <v>0</v>
      </c>
      <c r="AA588" s="54">
        <v>0</v>
      </c>
      <c r="AB588" s="54">
        <v>0</v>
      </c>
      <c r="AC588" s="54">
        <v>0</v>
      </c>
      <c r="AD588" s="54">
        <v>0</v>
      </c>
      <c r="AE588" s="54">
        <v>0</v>
      </c>
      <c r="AF588" s="54">
        <v>0</v>
      </c>
      <c r="AG588" s="54">
        <v>0</v>
      </c>
      <c r="AH588" s="54">
        <v>0</v>
      </c>
      <c r="AI588" s="54">
        <v>0</v>
      </c>
      <c r="AJ588" s="54">
        <v>0</v>
      </c>
      <c r="AK588" s="54">
        <v>0</v>
      </c>
      <c r="AL588" s="54">
        <v>0</v>
      </c>
      <c r="AM588" s="54" t="str">
        <f>I588-J588-K588-L588-M588-N588-O588-P588-Q588-R588-S588-T588-U588-V588-W588-X588-Y588-Z588-AA588-AB588-AC588-AD588-AE588-AF588-AG588+AH588-AI588+AJ588+AK588-AL588</f>
        <v>0</v>
      </c>
      <c r="AN588" s="54"/>
      <c r="AO588" s="27"/>
    </row>
    <row r="589" spans="1:41">
      <c r="A589" s="44">
        <v>561</v>
      </c>
      <c r="B589" s="47" t="s">
        <v>2348</v>
      </c>
      <c r="C589" s="48" t="s">
        <v>2349</v>
      </c>
      <c r="D589" s="52" t="s">
        <v>62</v>
      </c>
      <c r="E589" s="52" t="s">
        <v>2323</v>
      </c>
      <c r="F589" s="55" t="s">
        <v>2350</v>
      </c>
      <c r="G589" s="51">
        <v>4</v>
      </c>
      <c r="H589" s="52" t="s">
        <v>2351</v>
      </c>
      <c r="I589" s="54">
        <v>0</v>
      </c>
      <c r="J589" s="54">
        <v>0</v>
      </c>
      <c r="K589" s="54">
        <v>25000</v>
      </c>
      <c r="L589" s="54">
        <v>0</v>
      </c>
      <c r="M589" s="54">
        <v>0</v>
      </c>
      <c r="N589" s="54">
        <v>0</v>
      </c>
      <c r="O589" s="54">
        <v>0</v>
      </c>
      <c r="P589" s="54">
        <v>0</v>
      </c>
      <c r="Q589" s="54">
        <v>0</v>
      </c>
      <c r="R589" s="54">
        <v>0</v>
      </c>
      <c r="S589" s="54">
        <v>0</v>
      </c>
      <c r="T589" s="54">
        <v>0</v>
      </c>
      <c r="U589" s="54">
        <v>2572</v>
      </c>
      <c r="V589" s="54">
        <v>0</v>
      </c>
      <c r="W589" s="54">
        <v>0</v>
      </c>
      <c r="X589" s="54">
        <v>0</v>
      </c>
      <c r="Y589" s="54">
        <v>12500</v>
      </c>
      <c r="Z589" s="54">
        <v>0</v>
      </c>
      <c r="AA589" s="54">
        <v>0</v>
      </c>
      <c r="AB589" s="54">
        <v>0</v>
      </c>
      <c r="AC589" s="54">
        <v>0</v>
      </c>
      <c r="AD589" s="54">
        <v>0</v>
      </c>
      <c r="AE589" s="54">
        <v>0</v>
      </c>
      <c r="AF589" s="54">
        <v>0</v>
      </c>
      <c r="AG589" s="54">
        <v>0</v>
      </c>
      <c r="AH589" s="54">
        <v>0</v>
      </c>
      <c r="AI589" s="54">
        <v>0</v>
      </c>
      <c r="AJ589" s="54">
        <v>0</v>
      </c>
      <c r="AK589" s="54">
        <v>0</v>
      </c>
      <c r="AL589" s="54">
        <v>0</v>
      </c>
      <c r="AM589" s="54" t="str">
        <f>I589-J589-K589-L589-M589-N589-O589-P589-Q589-R589-S589-T589-U589-V589-W589-X589-Y589-Z589-AA589-AB589-AC589-AD589-AE589-AF589-AG589+AH589-AI589+AJ589+AK589-AL589</f>
        <v>0</v>
      </c>
      <c r="AN589" s="54"/>
      <c r="AO589" s="27"/>
    </row>
    <row r="590" spans="1:41">
      <c r="A590" s="44">
        <v>562</v>
      </c>
      <c r="B590" s="47" t="s">
        <v>2352</v>
      </c>
      <c r="C590" s="48" t="s">
        <v>2353</v>
      </c>
      <c r="D590" s="52" t="s">
        <v>73</v>
      </c>
      <c r="E590" s="52" t="s">
        <v>2323</v>
      </c>
      <c r="F590" s="55" t="s">
        <v>2354</v>
      </c>
      <c r="G590" s="51">
        <v>2</v>
      </c>
      <c r="H590" s="52" t="s">
        <v>2355</v>
      </c>
      <c r="I590" s="54">
        <v>377000</v>
      </c>
      <c r="J590" s="54">
        <v>0</v>
      </c>
      <c r="K590" s="54">
        <v>22000</v>
      </c>
      <c r="L590" s="54">
        <v>0</v>
      </c>
      <c r="M590" s="54">
        <v>0</v>
      </c>
      <c r="N590" s="54">
        <v>0</v>
      </c>
      <c r="O590" s="54">
        <v>0</v>
      </c>
      <c r="P590" s="54">
        <v>0</v>
      </c>
      <c r="Q590" s="54">
        <v>0</v>
      </c>
      <c r="R590" s="54">
        <v>0</v>
      </c>
      <c r="S590" s="54">
        <v>0</v>
      </c>
      <c r="T590" s="54">
        <v>0</v>
      </c>
      <c r="U590" s="54">
        <v>1397</v>
      </c>
      <c r="V590" s="54">
        <v>0</v>
      </c>
      <c r="W590" s="54">
        <v>0</v>
      </c>
      <c r="X590" s="54">
        <v>0</v>
      </c>
      <c r="Y590" s="54">
        <v>0</v>
      </c>
      <c r="Z590" s="54">
        <v>0</v>
      </c>
      <c r="AA590" s="54">
        <v>0</v>
      </c>
      <c r="AB590" s="54">
        <v>0</v>
      </c>
      <c r="AC590" s="54">
        <v>0</v>
      </c>
      <c r="AD590" s="54">
        <v>0</v>
      </c>
      <c r="AE590" s="54">
        <v>0</v>
      </c>
      <c r="AF590" s="54">
        <v>0</v>
      </c>
      <c r="AG590" s="54">
        <v>0</v>
      </c>
      <c r="AH590" s="54">
        <v>0</v>
      </c>
      <c r="AI590" s="54">
        <v>0</v>
      </c>
      <c r="AJ590" s="54">
        <v>0</v>
      </c>
      <c r="AK590" s="54">
        <v>0</v>
      </c>
      <c r="AL590" s="54">
        <v>0</v>
      </c>
      <c r="AM590" s="54" t="str">
        <f>I590-J590-K590-L590-M590-N590-O590-P590-Q590-R590-S590-T590-U590-V590-W590-X590-Y590-Z590-AA590-AB590-AC590-AD590-AE590-AF590-AG590+AH590-AI590+AJ590+AK590-AL590</f>
        <v>0</v>
      </c>
      <c r="AN590" s="54"/>
      <c r="AO590" s="27"/>
    </row>
    <row r="591" spans="1:41">
      <c r="A591" s="44">
        <v>563</v>
      </c>
      <c r="B591" s="47" t="s">
        <v>2356</v>
      </c>
      <c r="C591" s="48" t="s">
        <v>2357</v>
      </c>
      <c r="D591" s="52" t="s">
        <v>73</v>
      </c>
      <c r="E591" s="52" t="s">
        <v>2323</v>
      </c>
      <c r="F591" s="55" t="s">
        <v>759</v>
      </c>
      <c r="G591" s="51">
        <v>4</v>
      </c>
      <c r="H591" s="52" t="s">
        <v>2358</v>
      </c>
      <c r="I591" s="54">
        <v>633000</v>
      </c>
      <c r="J591" s="54">
        <v>0</v>
      </c>
      <c r="K591" s="54">
        <v>25000</v>
      </c>
      <c r="L591" s="54">
        <v>0</v>
      </c>
      <c r="M591" s="54">
        <v>0</v>
      </c>
      <c r="N591" s="54">
        <v>0</v>
      </c>
      <c r="O591" s="54">
        <v>0</v>
      </c>
      <c r="P591" s="54">
        <v>0</v>
      </c>
      <c r="Q591" s="54">
        <v>0</v>
      </c>
      <c r="R591" s="54">
        <v>0</v>
      </c>
      <c r="S591" s="54">
        <v>0</v>
      </c>
      <c r="T591" s="54">
        <v>0</v>
      </c>
      <c r="U591" s="54">
        <v>2572</v>
      </c>
      <c r="V591" s="54">
        <v>0</v>
      </c>
      <c r="W591" s="54">
        <v>0</v>
      </c>
      <c r="X591" s="54">
        <v>0</v>
      </c>
      <c r="Y591" s="54">
        <v>0</v>
      </c>
      <c r="Z591" s="54">
        <v>0</v>
      </c>
      <c r="AA591" s="54">
        <v>0</v>
      </c>
      <c r="AB591" s="54">
        <v>0</v>
      </c>
      <c r="AC591" s="54">
        <v>0</v>
      </c>
      <c r="AD591" s="54">
        <v>0</v>
      </c>
      <c r="AE591" s="54">
        <v>0</v>
      </c>
      <c r="AF591" s="54">
        <v>0</v>
      </c>
      <c r="AG591" s="54">
        <v>0</v>
      </c>
      <c r="AH591" s="54">
        <v>0</v>
      </c>
      <c r="AI591" s="54">
        <v>0</v>
      </c>
      <c r="AJ591" s="54">
        <v>0</v>
      </c>
      <c r="AK591" s="54">
        <v>0</v>
      </c>
      <c r="AL591" s="54">
        <v>0</v>
      </c>
      <c r="AM591" s="54" t="str">
        <f>I591-J591-K591-L591-M591-N591-O591-P591-Q591-R591-S591-T591-U591-V591-W591-X591-Y591-Z591-AA591-AB591-AC591-AD591-AE591-AF591-AG591+AH591-AI591+AJ591+AK591-AL591</f>
        <v>0</v>
      </c>
      <c r="AN591" s="54"/>
      <c r="AO591" s="27"/>
    </row>
    <row r="592" spans="1:41">
      <c r="A592" s="44">
        <v>564</v>
      </c>
      <c r="B592" s="47" t="s">
        <v>2359</v>
      </c>
      <c r="C592" s="48" t="s">
        <v>2360</v>
      </c>
      <c r="D592" s="52" t="s">
        <v>73</v>
      </c>
      <c r="E592" s="52" t="s">
        <v>2323</v>
      </c>
      <c r="F592" s="55" t="s">
        <v>595</v>
      </c>
      <c r="G592" s="51">
        <v>2</v>
      </c>
      <c r="H592" s="52" t="s">
        <v>2361</v>
      </c>
      <c r="I592" s="54">
        <v>325000</v>
      </c>
      <c r="J592" s="54">
        <v>0</v>
      </c>
      <c r="K592" s="54">
        <v>22000</v>
      </c>
      <c r="L592" s="54">
        <v>0</v>
      </c>
      <c r="M592" s="54">
        <v>0</v>
      </c>
      <c r="N592" s="54">
        <v>0</v>
      </c>
      <c r="O592" s="54">
        <v>0</v>
      </c>
      <c r="P592" s="54">
        <v>0</v>
      </c>
      <c r="Q592" s="54">
        <v>0</v>
      </c>
      <c r="R592" s="54">
        <v>0</v>
      </c>
      <c r="S592" s="54">
        <v>0</v>
      </c>
      <c r="T592" s="54">
        <v>0</v>
      </c>
      <c r="U592" s="54">
        <v>2263</v>
      </c>
      <c r="V592" s="54">
        <v>0</v>
      </c>
      <c r="W592" s="54">
        <v>0</v>
      </c>
      <c r="X592" s="54">
        <v>0</v>
      </c>
      <c r="Y592" s="54">
        <v>0</v>
      </c>
      <c r="Z592" s="54">
        <v>0</v>
      </c>
      <c r="AA592" s="54">
        <v>0</v>
      </c>
      <c r="AB592" s="54">
        <v>0</v>
      </c>
      <c r="AC592" s="54">
        <v>0</v>
      </c>
      <c r="AD592" s="54">
        <v>0</v>
      </c>
      <c r="AE592" s="54">
        <v>0</v>
      </c>
      <c r="AF592" s="54">
        <v>0</v>
      </c>
      <c r="AG592" s="54">
        <v>0</v>
      </c>
      <c r="AH592" s="54">
        <v>0</v>
      </c>
      <c r="AI592" s="54">
        <v>0</v>
      </c>
      <c r="AJ592" s="54">
        <v>0</v>
      </c>
      <c r="AK592" s="54">
        <v>0</v>
      </c>
      <c r="AL592" s="54">
        <v>0</v>
      </c>
      <c r="AM592" s="54" t="str">
        <f>I592-J592-K592-L592-M592-N592-O592-P592-Q592-R592-S592-T592-U592-V592-W592-X592-Y592-Z592-AA592-AB592-AC592-AD592-AE592-AF592-AG592+AH592-AI592+AJ592+AK592-AL592</f>
        <v>0</v>
      </c>
      <c r="AN592" s="54"/>
      <c r="AO592" s="27"/>
    </row>
    <row r="593" spans="1:41">
      <c r="A593" s="44">
        <v>565</v>
      </c>
      <c r="B593" s="47" t="s">
        <v>2362</v>
      </c>
      <c r="C593" s="48" t="s">
        <v>2363</v>
      </c>
      <c r="D593" s="52" t="s">
        <v>73</v>
      </c>
      <c r="E593" s="52" t="s">
        <v>2323</v>
      </c>
      <c r="F593" s="55" t="s">
        <v>2364</v>
      </c>
      <c r="G593" s="51">
        <v>2</v>
      </c>
      <c r="H593" s="52" t="s">
        <v>2365</v>
      </c>
      <c r="I593" s="54">
        <v>334000</v>
      </c>
      <c r="J593" s="54">
        <v>0</v>
      </c>
      <c r="K593" s="54">
        <v>22000</v>
      </c>
      <c r="L593" s="54">
        <v>0</v>
      </c>
      <c r="M593" s="54">
        <v>0</v>
      </c>
      <c r="N593" s="54">
        <v>0</v>
      </c>
      <c r="O593" s="54">
        <v>0</v>
      </c>
      <c r="P593" s="54">
        <v>0</v>
      </c>
      <c r="Q593" s="54">
        <v>0</v>
      </c>
      <c r="R593" s="54">
        <v>0</v>
      </c>
      <c r="S593" s="54">
        <v>0</v>
      </c>
      <c r="T593" s="54">
        <v>0</v>
      </c>
      <c r="U593" s="54">
        <v>2263</v>
      </c>
      <c r="V593" s="54">
        <v>0</v>
      </c>
      <c r="W593" s="54">
        <v>0</v>
      </c>
      <c r="X593" s="54">
        <v>0</v>
      </c>
      <c r="Y593" s="54">
        <v>0</v>
      </c>
      <c r="Z593" s="54">
        <v>0</v>
      </c>
      <c r="AA593" s="54">
        <v>0</v>
      </c>
      <c r="AB593" s="54">
        <v>0</v>
      </c>
      <c r="AC593" s="54">
        <v>0</v>
      </c>
      <c r="AD593" s="54">
        <v>0</v>
      </c>
      <c r="AE593" s="54">
        <v>0</v>
      </c>
      <c r="AF593" s="54">
        <v>0</v>
      </c>
      <c r="AG593" s="54">
        <v>0</v>
      </c>
      <c r="AH593" s="54">
        <v>0</v>
      </c>
      <c r="AI593" s="54">
        <v>0</v>
      </c>
      <c r="AJ593" s="54">
        <v>0</v>
      </c>
      <c r="AK593" s="54">
        <v>0</v>
      </c>
      <c r="AL593" s="54">
        <v>0</v>
      </c>
      <c r="AM593" s="54" t="str">
        <f>I593-J593-K593-L593-M593-N593-O593-P593-Q593-R593-S593-T593-U593-V593-W593-X593-Y593-Z593-AA593-AB593-AC593-AD593-AE593-AF593-AG593+AH593-AI593+AJ593+AK593-AL593</f>
        <v>0</v>
      </c>
      <c r="AN593" s="54"/>
      <c r="AO593" s="27"/>
    </row>
    <row r="594" spans="1:41">
      <c r="A594" s="44">
        <v>566</v>
      </c>
      <c r="B594" s="47" t="s">
        <v>2366</v>
      </c>
      <c r="C594" s="48" t="s">
        <v>2367</v>
      </c>
      <c r="D594" s="52" t="s">
        <v>73</v>
      </c>
      <c r="E594" s="52" t="s">
        <v>2323</v>
      </c>
      <c r="F594" s="55" t="s">
        <v>2368</v>
      </c>
      <c r="G594" s="51">
        <v>4</v>
      </c>
      <c r="H594" s="52" t="s">
        <v>2369</v>
      </c>
      <c r="I594" s="54">
        <v>333000</v>
      </c>
      <c r="J594" s="54">
        <v>0</v>
      </c>
      <c r="K594" s="54">
        <v>25000</v>
      </c>
      <c r="L594" s="54">
        <v>0</v>
      </c>
      <c r="M594" s="54">
        <v>0</v>
      </c>
      <c r="N594" s="54">
        <v>0</v>
      </c>
      <c r="O594" s="54">
        <v>0</v>
      </c>
      <c r="P594" s="54">
        <v>0</v>
      </c>
      <c r="Q594" s="54">
        <v>0</v>
      </c>
      <c r="R594" s="54">
        <v>0</v>
      </c>
      <c r="S594" s="54">
        <v>0</v>
      </c>
      <c r="T594" s="54">
        <v>0</v>
      </c>
      <c r="U594" s="54">
        <v>2572</v>
      </c>
      <c r="V594" s="54">
        <v>0</v>
      </c>
      <c r="W594" s="54">
        <v>0</v>
      </c>
      <c r="X594" s="54">
        <v>0</v>
      </c>
      <c r="Y594" s="54">
        <v>0</v>
      </c>
      <c r="Z594" s="54">
        <v>0</v>
      </c>
      <c r="AA594" s="54">
        <v>0</v>
      </c>
      <c r="AB594" s="54">
        <v>0</v>
      </c>
      <c r="AC594" s="54">
        <v>0</v>
      </c>
      <c r="AD594" s="54">
        <v>0</v>
      </c>
      <c r="AE594" s="54">
        <v>0</v>
      </c>
      <c r="AF594" s="54">
        <v>0</v>
      </c>
      <c r="AG594" s="54">
        <v>0</v>
      </c>
      <c r="AH594" s="54">
        <v>0</v>
      </c>
      <c r="AI594" s="54">
        <v>0</v>
      </c>
      <c r="AJ594" s="54">
        <v>0</v>
      </c>
      <c r="AK594" s="54">
        <v>0</v>
      </c>
      <c r="AL594" s="54">
        <v>0</v>
      </c>
      <c r="AM594" s="54" t="str">
        <f>I594-J594-K594-L594-M594-N594-O594-P594-Q594-R594-S594-T594-U594-V594-W594-X594-Y594-Z594-AA594-AB594-AC594-AD594-AE594-AF594-AG594+AH594-AI594+AJ594+AK594-AL594</f>
        <v>0</v>
      </c>
      <c r="AN594" s="54"/>
      <c r="AO594" s="27"/>
    </row>
    <row r="595" spans="1:41">
      <c r="A595" s="44">
        <v>567</v>
      </c>
      <c r="B595" s="47" t="s">
        <v>2370</v>
      </c>
      <c r="C595" s="48" t="s">
        <v>2371</v>
      </c>
      <c r="D595" s="52" t="s">
        <v>73</v>
      </c>
      <c r="E595" s="52" t="s">
        <v>2323</v>
      </c>
      <c r="F595" s="55" t="s">
        <v>2372</v>
      </c>
      <c r="G595" s="51">
        <v>3</v>
      </c>
      <c r="H595" s="52" t="s">
        <v>2373</v>
      </c>
      <c r="I595" s="54">
        <v>734000</v>
      </c>
      <c r="J595" s="54">
        <v>0</v>
      </c>
      <c r="K595" s="54">
        <v>22000</v>
      </c>
      <c r="L595" s="54">
        <v>0</v>
      </c>
      <c r="M595" s="54">
        <v>0</v>
      </c>
      <c r="N595" s="54">
        <v>0</v>
      </c>
      <c r="O595" s="54">
        <v>0</v>
      </c>
      <c r="P595" s="54">
        <v>0</v>
      </c>
      <c r="Q595" s="54">
        <v>0</v>
      </c>
      <c r="R595" s="54">
        <v>0</v>
      </c>
      <c r="S595" s="54">
        <v>0</v>
      </c>
      <c r="T595" s="54">
        <v>0</v>
      </c>
      <c r="U595" s="54">
        <v>2263</v>
      </c>
      <c r="V595" s="54">
        <v>0</v>
      </c>
      <c r="W595" s="54">
        <v>0</v>
      </c>
      <c r="X595" s="54">
        <v>0</v>
      </c>
      <c r="Y595" s="54">
        <v>0</v>
      </c>
      <c r="Z595" s="54">
        <v>0</v>
      </c>
      <c r="AA595" s="54">
        <v>0</v>
      </c>
      <c r="AB595" s="54">
        <v>0</v>
      </c>
      <c r="AC595" s="54">
        <v>0</v>
      </c>
      <c r="AD595" s="54">
        <v>0</v>
      </c>
      <c r="AE595" s="54">
        <v>0</v>
      </c>
      <c r="AF595" s="54">
        <v>0</v>
      </c>
      <c r="AG595" s="54">
        <v>0</v>
      </c>
      <c r="AH595" s="54">
        <v>0</v>
      </c>
      <c r="AI595" s="54">
        <v>0</v>
      </c>
      <c r="AJ595" s="54">
        <v>0</v>
      </c>
      <c r="AK595" s="54">
        <v>0</v>
      </c>
      <c r="AL595" s="54">
        <v>0</v>
      </c>
      <c r="AM595" s="54" t="str">
        <f>I595-J595-K595-L595-M595-N595-O595-P595-Q595-R595-S595-T595-U595-V595-W595-X595-Y595-Z595-AA595-AB595-AC595-AD595-AE595-AF595-AG595+AH595-AI595+AJ595+AK595-AL595</f>
        <v>0</v>
      </c>
      <c r="AN595" s="54"/>
      <c r="AO595" s="27"/>
    </row>
    <row r="596" spans="1:41">
      <c r="A596" s="44">
        <v>568</v>
      </c>
      <c r="B596" s="47" t="s">
        <v>2374</v>
      </c>
      <c r="C596" s="48" t="s">
        <v>2375</v>
      </c>
      <c r="D596" s="52" t="s">
        <v>73</v>
      </c>
      <c r="E596" s="52" t="s">
        <v>2323</v>
      </c>
      <c r="F596" s="55" t="s">
        <v>2376</v>
      </c>
      <c r="G596" s="51">
        <v>13</v>
      </c>
      <c r="H596" s="52" t="s">
        <v>2377</v>
      </c>
      <c r="I596" s="54">
        <v>1023000</v>
      </c>
      <c r="J596" s="54">
        <v>0</v>
      </c>
      <c r="K596" s="54">
        <v>52000</v>
      </c>
      <c r="L596" s="54">
        <v>0</v>
      </c>
      <c r="M596" s="54">
        <v>0</v>
      </c>
      <c r="N596" s="54">
        <v>0</v>
      </c>
      <c r="O596" s="54">
        <v>0</v>
      </c>
      <c r="P596" s="54">
        <v>0</v>
      </c>
      <c r="Q596" s="54">
        <v>0</v>
      </c>
      <c r="R596" s="54">
        <v>0</v>
      </c>
      <c r="S596" s="54">
        <v>0</v>
      </c>
      <c r="T596" s="54">
        <v>0</v>
      </c>
      <c r="U596" s="54">
        <v>5350</v>
      </c>
      <c r="V596" s="54">
        <v>0</v>
      </c>
      <c r="W596" s="54">
        <v>0</v>
      </c>
      <c r="X596" s="54">
        <v>0</v>
      </c>
      <c r="Y596" s="54">
        <v>0</v>
      </c>
      <c r="Z596" s="54">
        <v>0</v>
      </c>
      <c r="AA596" s="54">
        <v>0</v>
      </c>
      <c r="AB596" s="54">
        <v>0</v>
      </c>
      <c r="AC596" s="54">
        <v>0</v>
      </c>
      <c r="AD596" s="54">
        <v>0</v>
      </c>
      <c r="AE596" s="54">
        <v>0</v>
      </c>
      <c r="AF596" s="54">
        <v>0</v>
      </c>
      <c r="AG596" s="54">
        <v>0</v>
      </c>
      <c r="AH596" s="54">
        <v>0</v>
      </c>
      <c r="AI596" s="54">
        <v>0</v>
      </c>
      <c r="AJ596" s="54">
        <v>0</v>
      </c>
      <c r="AK596" s="54">
        <v>0</v>
      </c>
      <c r="AL596" s="54">
        <v>0</v>
      </c>
      <c r="AM596" s="54" t="str">
        <f>I596-J596-K596-L596-M596-N596-O596-P596-Q596-R596-S596-T596-U596-V596-W596-X596-Y596-Z596-AA596-AB596-AC596-AD596-AE596-AF596-AG596+AH596-AI596+AJ596+AK596-AL596</f>
        <v>0</v>
      </c>
      <c r="AN596" s="54"/>
      <c r="AO596" s="27"/>
    </row>
    <row r="597" spans="1:41">
      <c r="A597" s="44">
        <v>569</v>
      </c>
      <c r="B597" s="47" t="s">
        <v>2378</v>
      </c>
      <c r="C597" s="48" t="s">
        <v>2379</v>
      </c>
      <c r="D597" s="52" t="s">
        <v>73</v>
      </c>
      <c r="E597" s="52" t="s">
        <v>2323</v>
      </c>
      <c r="F597" s="55" t="s">
        <v>1505</v>
      </c>
      <c r="G597" s="51">
        <v>3</v>
      </c>
      <c r="H597" s="52" t="s">
        <v>2380</v>
      </c>
      <c r="I597" s="54">
        <v>334000</v>
      </c>
      <c r="J597" s="54">
        <v>0</v>
      </c>
      <c r="K597" s="54">
        <v>22000</v>
      </c>
      <c r="L597" s="54">
        <v>0</v>
      </c>
      <c r="M597" s="54">
        <v>0</v>
      </c>
      <c r="N597" s="54">
        <v>0</v>
      </c>
      <c r="O597" s="54">
        <v>0</v>
      </c>
      <c r="P597" s="54">
        <v>0</v>
      </c>
      <c r="Q597" s="54">
        <v>0</v>
      </c>
      <c r="R597" s="54">
        <v>0</v>
      </c>
      <c r="S597" s="54">
        <v>0</v>
      </c>
      <c r="T597" s="54">
        <v>0</v>
      </c>
      <c r="U597" s="54">
        <v>2263</v>
      </c>
      <c r="V597" s="54">
        <v>0</v>
      </c>
      <c r="W597" s="54">
        <v>0</v>
      </c>
      <c r="X597" s="54">
        <v>0</v>
      </c>
      <c r="Y597" s="54">
        <v>0</v>
      </c>
      <c r="Z597" s="54">
        <v>0</v>
      </c>
      <c r="AA597" s="54">
        <v>0</v>
      </c>
      <c r="AB597" s="54">
        <v>0</v>
      </c>
      <c r="AC597" s="54">
        <v>0</v>
      </c>
      <c r="AD597" s="54">
        <v>0</v>
      </c>
      <c r="AE597" s="54">
        <v>0</v>
      </c>
      <c r="AF597" s="54">
        <v>0</v>
      </c>
      <c r="AG597" s="54">
        <v>0</v>
      </c>
      <c r="AH597" s="54">
        <v>0</v>
      </c>
      <c r="AI597" s="54">
        <v>0</v>
      </c>
      <c r="AJ597" s="54">
        <v>0</v>
      </c>
      <c r="AK597" s="54">
        <v>0</v>
      </c>
      <c r="AL597" s="54">
        <v>0</v>
      </c>
      <c r="AM597" s="54" t="str">
        <f>I597-J597-K597-L597-M597-N597-O597-P597-Q597-R597-S597-T597-U597-V597-W597-X597-Y597-Z597-AA597-AB597-AC597-AD597-AE597-AF597-AG597+AH597-AI597+AJ597+AK597-AL597</f>
        <v>0</v>
      </c>
      <c r="AN597" s="54"/>
      <c r="AO597" s="27"/>
    </row>
    <row r="598" spans="1:41">
      <c r="A598" s="44">
        <v>570</v>
      </c>
      <c r="B598" s="47" t="s">
        <v>2381</v>
      </c>
      <c r="C598" s="48" t="s">
        <v>2382</v>
      </c>
      <c r="D598" s="52" t="s">
        <v>62</v>
      </c>
      <c r="E598" s="52" t="s">
        <v>2323</v>
      </c>
      <c r="F598" s="55" t="s">
        <v>2383</v>
      </c>
      <c r="G598" s="51">
        <v>2</v>
      </c>
      <c r="H598" s="52" t="s">
        <v>2384</v>
      </c>
      <c r="I598" s="54">
        <v>0</v>
      </c>
      <c r="J598" s="54">
        <v>0</v>
      </c>
      <c r="K598" s="54">
        <v>22000</v>
      </c>
      <c r="L598" s="54">
        <v>0</v>
      </c>
      <c r="M598" s="54">
        <v>0</v>
      </c>
      <c r="N598" s="54">
        <v>0</v>
      </c>
      <c r="O598" s="54">
        <v>0</v>
      </c>
      <c r="P598" s="54">
        <v>0</v>
      </c>
      <c r="Q598" s="54">
        <v>0</v>
      </c>
      <c r="R598" s="54">
        <v>0</v>
      </c>
      <c r="S598" s="54">
        <v>0</v>
      </c>
      <c r="T598" s="54">
        <v>0</v>
      </c>
      <c r="U598" s="54">
        <v>2263</v>
      </c>
      <c r="V598" s="54">
        <v>0</v>
      </c>
      <c r="W598" s="54">
        <v>0</v>
      </c>
      <c r="X598" s="54">
        <v>0</v>
      </c>
      <c r="Y598" s="54">
        <v>11000</v>
      </c>
      <c r="Z598" s="54">
        <v>0</v>
      </c>
      <c r="AA598" s="54">
        <v>0</v>
      </c>
      <c r="AB598" s="54">
        <v>0</v>
      </c>
      <c r="AC598" s="54">
        <v>0</v>
      </c>
      <c r="AD598" s="54">
        <v>0</v>
      </c>
      <c r="AE598" s="54">
        <v>0</v>
      </c>
      <c r="AF598" s="54">
        <v>0</v>
      </c>
      <c r="AG598" s="54">
        <v>0</v>
      </c>
      <c r="AH598" s="54">
        <v>0</v>
      </c>
      <c r="AI598" s="54">
        <v>0</v>
      </c>
      <c r="AJ598" s="54">
        <v>0</v>
      </c>
      <c r="AK598" s="54">
        <v>0</v>
      </c>
      <c r="AL598" s="54">
        <v>0</v>
      </c>
      <c r="AM598" s="54" t="str">
        <f>I598-J598-K598-L598-M598-N598-O598-P598-Q598-R598-S598-T598-U598-V598-W598-X598-Y598-Z598-AA598-AB598-AC598-AD598-AE598-AF598-AG598+AH598-AI598+AJ598+AK598-AL598</f>
        <v>0</v>
      </c>
      <c r="AN598" s="54"/>
      <c r="AO598" s="27"/>
    </row>
    <row r="599" spans="1:41">
      <c r="A599" s="44">
        <v>571</v>
      </c>
      <c r="B599" s="47" t="s">
        <v>2385</v>
      </c>
      <c r="C599" s="48" t="s">
        <v>2386</v>
      </c>
      <c r="D599" s="52" t="s">
        <v>73</v>
      </c>
      <c r="E599" s="52" t="s">
        <v>2323</v>
      </c>
      <c r="F599" s="55" t="s">
        <v>1062</v>
      </c>
      <c r="G599" s="51">
        <v>3</v>
      </c>
      <c r="H599" s="52" t="s">
        <v>2387</v>
      </c>
      <c r="I599" s="54">
        <v>560000</v>
      </c>
      <c r="J599" s="54">
        <v>0</v>
      </c>
      <c r="K599" s="54">
        <v>22000</v>
      </c>
      <c r="L599" s="54">
        <v>0</v>
      </c>
      <c r="M599" s="54">
        <v>0</v>
      </c>
      <c r="N599" s="54">
        <v>0</v>
      </c>
      <c r="O599" s="54">
        <v>0</v>
      </c>
      <c r="P599" s="54">
        <v>0</v>
      </c>
      <c r="Q599" s="54">
        <v>0</v>
      </c>
      <c r="R599" s="54">
        <v>0</v>
      </c>
      <c r="S599" s="54">
        <v>0</v>
      </c>
      <c r="T599" s="54">
        <v>0</v>
      </c>
      <c r="U599" s="54">
        <v>2263</v>
      </c>
      <c r="V599" s="54">
        <v>0</v>
      </c>
      <c r="W599" s="54">
        <v>0</v>
      </c>
      <c r="X599" s="54">
        <v>0</v>
      </c>
      <c r="Y599" s="54">
        <v>0</v>
      </c>
      <c r="Z599" s="54">
        <v>0</v>
      </c>
      <c r="AA599" s="54">
        <v>0</v>
      </c>
      <c r="AB599" s="54">
        <v>0</v>
      </c>
      <c r="AC599" s="54">
        <v>0</v>
      </c>
      <c r="AD599" s="54">
        <v>0</v>
      </c>
      <c r="AE599" s="54">
        <v>0</v>
      </c>
      <c r="AF599" s="54">
        <v>0</v>
      </c>
      <c r="AG599" s="54">
        <v>0</v>
      </c>
      <c r="AH599" s="54">
        <v>0</v>
      </c>
      <c r="AI599" s="54">
        <v>0</v>
      </c>
      <c r="AJ599" s="54">
        <v>0</v>
      </c>
      <c r="AK599" s="54">
        <v>0</v>
      </c>
      <c r="AL599" s="54">
        <v>0</v>
      </c>
      <c r="AM599" s="54" t="str">
        <f>I599-J599-K599-L599-M599-N599-O599-P599-Q599-R599-S599-T599-U599-V599-W599-X599-Y599-Z599-AA599-AB599-AC599-AD599-AE599-AF599-AG599+AH599-AI599+AJ599+AK599-AL599</f>
        <v>0</v>
      </c>
      <c r="AN599" s="54"/>
      <c r="AO599" s="27"/>
    </row>
    <row r="600" spans="1:41">
      <c r="A600" s="44">
        <v>572</v>
      </c>
      <c r="B600" s="47" t="s">
        <v>2388</v>
      </c>
      <c r="C600" s="48" t="s">
        <v>2389</v>
      </c>
      <c r="D600" s="52" t="s">
        <v>73</v>
      </c>
      <c r="E600" s="52" t="s">
        <v>2323</v>
      </c>
      <c r="F600" s="55" t="s">
        <v>2390</v>
      </c>
      <c r="G600" s="51">
        <v>5.8</v>
      </c>
      <c r="H600" s="52" t="s">
        <v>2391</v>
      </c>
      <c r="I600" s="54">
        <v>0</v>
      </c>
      <c r="J600" s="54">
        <v>0</v>
      </c>
      <c r="K600" s="54">
        <v>31000</v>
      </c>
      <c r="L600" s="54">
        <v>0</v>
      </c>
      <c r="M600" s="54">
        <v>0</v>
      </c>
      <c r="N600" s="54">
        <v>0</v>
      </c>
      <c r="O600" s="54">
        <v>0</v>
      </c>
      <c r="P600" s="54">
        <v>0</v>
      </c>
      <c r="Q600" s="54">
        <v>0</v>
      </c>
      <c r="R600" s="54">
        <v>0</v>
      </c>
      <c r="S600" s="54">
        <v>0</v>
      </c>
      <c r="T600" s="54">
        <v>0</v>
      </c>
      <c r="U600" s="54">
        <v>1968</v>
      </c>
      <c r="V600" s="54">
        <v>0</v>
      </c>
      <c r="W600" s="54">
        <v>0</v>
      </c>
      <c r="X600" s="54">
        <v>0</v>
      </c>
      <c r="Y600" s="54">
        <v>0</v>
      </c>
      <c r="Z600" s="54">
        <v>0</v>
      </c>
      <c r="AA600" s="54">
        <v>0</v>
      </c>
      <c r="AB600" s="54">
        <v>0</v>
      </c>
      <c r="AC600" s="54">
        <v>0</v>
      </c>
      <c r="AD600" s="54">
        <v>0</v>
      </c>
      <c r="AE600" s="54">
        <v>0</v>
      </c>
      <c r="AF600" s="54">
        <v>0</v>
      </c>
      <c r="AG600" s="54">
        <v>0</v>
      </c>
      <c r="AH600" s="54">
        <v>0</v>
      </c>
      <c r="AI600" s="54">
        <v>0</v>
      </c>
      <c r="AJ600" s="54">
        <v>0</v>
      </c>
      <c r="AK600" s="54">
        <v>0</v>
      </c>
      <c r="AL600" s="54">
        <v>0</v>
      </c>
      <c r="AM600" s="54" t="str">
        <f>I600-J600-K600-L600-M600-N600-O600-P600-Q600-R600-S600-T600-U600-V600-W600-X600-Y600-Z600-AA600-AB600-AC600-AD600-AE600-AF600-AG600+AH600-AI600+AJ600+AK600-AL600</f>
        <v>0</v>
      </c>
      <c r="AN600" s="54"/>
      <c r="AO600" s="27"/>
    </row>
    <row r="601" spans="1:41">
      <c r="A601" s="44">
        <v>573</v>
      </c>
      <c r="B601" s="47" t="s">
        <v>2392</v>
      </c>
      <c r="C601" s="48" t="s">
        <v>2393</v>
      </c>
      <c r="D601" s="52" t="s">
        <v>73</v>
      </c>
      <c r="E601" s="52" t="s">
        <v>2323</v>
      </c>
      <c r="F601" s="55" t="s">
        <v>2394</v>
      </c>
      <c r="G601" s="51">
        <v>3</v>
      </c>
      <c r="H601" s="52" t="s">
        <v>2395</v>
      </c>
      <c r="I601" s="54">
        <v>560000</v>
      </c>
      <c r="J601" s="54">
        <v>0</v>
      </c>
      <c r="K601" s="54">
        <v>22000</v>
      </c>
      <c r="L601" s="54">
        <v>0</v>
      </c>
      <c r="M601" s="54">
        <v>0</v>
      </c>
      <c r="N601" s="54">
        <v>0</v>
      </c>
      <c r="O601" s="54">
        <v>0</v>
      </c>
      <c r="P601" s="54">
        <v>0</v>
      </c>
      <c r="Q601" s="54">
        <v>0</v>
      </c>
      <c r="R601" s="54">
        <v>0</v>
      </c>
      <c r="S601" s="54">
        <v>0</v>
      </c>
      <c r="T601" s="54">
        <v>0</v>
      </c>
      <c r="U601" s="54">
        <v>2263</v>
      </c>
      <c r="V601" s="54">
        <v>0</v>
      </c>
      <c r="W601" s="54">
        <v>0</v>
      </c>
      <c r="X601" s="54">
        <v>0</v>
      </c>
      <c r="Y601" s="54">
        <v>0</v>
      </c>
      <c r="Z601" s="54">
        <v>0</v>
      </c>
      <c r="AA601" s="54">
        <v>0</v>
      </c>
      <c r="AB601" s="54">
        <v>0</v>
      </c>
      <c r="AC601" s="54">
        <v>0</v>
      </c>
      <c r="AD601" s="54">
        <v>0</v>
      </c>
      <c r="AE601" s="54">
        <v>0</v>
      </c>
      <c r="AF601" s="54">
        <v>0</v>
      </c>
      <c r="AG601" s="54">
        <v>0</v>
      </c>
      <c r="AH601" s="54">
        <v>0</v>
      </c>
      <c r="AI601" s="54">
        <v>0</v>
      </c>
      <c r="AJ601" s="54">
        <v>0</v>
      </c>
      <c r="AK601" s="54">
        <v>0</v>
      </c>
      <c r="AL601" s="54">
        <v>0</v>
      </c>
      <c r="AM601" s="54" t="str">
        <f>I601-J601-K601-L601-M601-N601-O601-P601-Q601-R601-S601-T601-U601-V601-W601-X601-Y601-Z601-AA601-AB601-AC601-AD601-AE601-AF601-AG601+AH601-AI601+AJ601+AK601-AL601</f>
        <v>0</v>
      </c>
      <c r="AN601" s="54"/>
      <c r="AO601" s="27"/>
    </row>
    <row r="602" spans="1:41">
      <c r="A602" s="44">
        <v>574</v>
      </c>
      <c r="B602" s="47" t="s">
        <v>2396</v>
      </c>
      <c r="C602" s="48" t="s">
        <v>2397</v>
      </c>
      <c r="D602" s="52" t="s">
        <v>73</v>
      </c>
      <c r="E602" s="52" t="s">
        <v>2323</v>
      </c>
      <c r="F602" s="55" t="s">
        <v>2398</v>
      </c>
      <c r="G602" s="51">
        <v>2</v>
      </c>
      <c r="H602" s="52" t="s">
        <v>2399</v>
      </c>
      <c r="I602" s="54">
        <v>264000</v>
      </c>
      <c r="J602" s="54">
        <v>0</v>
      </c>
      <c r="K602" s="54">
        <v>22000</v>
      </c>
      <c r="L602" s="54">
        <v>0</v>
      </c>
      <c r="M602" s="54">
        <v>0</v>
      </c>
      <c r="N602" s="54">
        <v>0</v>
      </c>
      <c r="O602" s="54">
        <v>0</v>
      </c>
      <c r="P602" s="54">
        <v>0</v>
      </c>
      <c r="Q602" s="54">
        <v>0</v>
      </c>
      <c r="R602" s="54">
        <v>0</v>
      </c>
      <c r="S602" s="54">
        <v>0</v>
      </c>
      <c r="T602" s="54">
        <v>0</v>
      </c>
      <c r="U602" s="54">
        <v>2263</v>
      </c>
      <c r="V602" s="54">
        <v>0</v>
      </c>
      <c r="W602" s="54">
        <v>0</v>
      </c>
      <c r="X602" s="54">
        <v>0</v>
      </c>
      <c r="Y602" s="54">
        <v>0</v>
      </c>
      <c r="Z602" s="54">
        <v>0</v>
      </c>
      <c r="AA602" s="54">
        <v>0</v>
      </c>
      <c r="AB602" s="54">
        <v>0</v>
      </c>
      <c r="AC602" s="54">
        <v>0</v>
      </c>
      <c r="AD602" s="54">
        <v>0</v>
      </c>
      <c r="AE602" s="54">
        <v>0</v>
      </c>
      <c r="AF602" s="54">
        <v>0</v>
      </c>
      <c r="AG602" s="54">
        <v>0</v>
      </c>
      <c r="AH602" s="54">
        <v>0</v>
      </c>
      <c r="AI602" s="54">
        <v>0</v>
      </c>
      <c r="AJ602" s="54">
        <v>0</v>
      </c>
      <c r="AK602" s="54">
        <v>0</v>
      </c>
      <c r="AL602" s="54">
        <v>0</v>
      </c>
      <c r="AM602" s="54" t="str">
        <f>I602-J602-K602-L602-M602-N602-O602-P602-Q602-R602-S602-T602-U602-V602-W602-X602-Y602-Z602-AA602-AB602-AC602-AD602-AE602-AF602-AG602+AH602-AI602+AJ602+AK602-AL602</f>
        <v>0</v>
      </c>
      <c r="AN602" s="54"/>
      <c r="AO602" s="27"/>
    </row>
    <row r="603" spans="1:41">
      <c r="A603" s="44">
        <v>575</v>
      </c>
      <c r="B603" s="47" t="s">
        <v>2400</v>
      </c>
      <c r="C603" s="48" t="s">
        <v>2401</v>
      </c>
      <c r="D603" s="52" t="s">
        <v>73</v>
      </c>
      <c r="E603" s="52" t="s">
        <v>2323</v>
      </c>
      <c r="F603" s="55" t="s">
        <v>1331</v>
      </c>
      <c r="G603" s="51">
        <v>2.9</v>
      </c>
      <c r="H603" s="52" t="s">
        <v>2402</v>
      </c>
      <c r="I603" s="54">
        <v>0</v>
      </c>
      <c r="J603" s="54">
        <v>0</v>
      </c>
      <c r="K603" s="54">
        <v>22000</v>
      </c>
      <c r="L603" s="54">
        <v>0</v>
      </c>
      <c r="M603" s="54">
        <v>0</v>
      </c>
      <c r="N603" s="54">
        <v>0</v>
      </c>
      <c r="O603" s="54">
        <v>0</v>
      </c>
      <c r="P603" s="54">
        <v>0</v>
      </c>
      <c r="Q603" s="54">
        <v>0</v>
      </c>
      <c r="R603" s="54">
        <v>0</v>
      </c>
      <c r="S603" s="54">
        <v>0</v>
      </c>
      <c r="T603" s="54">
        <v>0</v>
      </c>
      <c r="U603" s="54">
        <v>1397</v>
      </c>
      <c r="V603" s="54">
        <v>0</v>
      </c>
      <c r="W603" s="54">
        <v>0</v>
      </c>
      <c r="X603" s="54">
        <v>0</v>
      </c>
      <c r="Y603" s="54">
        <v>0</v>
      </c>
      <c r="Z603" s="54">
        <v>0</v>
      </c>
      <c r="AA603" s="54">
        <v>0</v>
      </c>
      <c r="AB603" s="54">
        <v>0</v>
      </c>
      <c r="AC603" s="54">
        <v>0</v>
      </c>
      <c r="AD603" s="54">
        <v>0</v>
      </c>
      <c r="AE603" s="54">
        <v>0</v>
      </c>
      <c r="AF603" s="54">
        <v>0</v>
      </c>
      <c r="AG603" s="54">
        <v>0</v>
      </c>
      <c r="AH603" s="54">
        <v>0</v>
      </c>
      <c r="AI603" s="54">
        <v>0</v>
      </c>
      <c r="AJ603" s="54">
        <v>0</v>
      </c>
      <c r="AK603" s="54">
        <v>0</v>
      </c>
      <c r="AL603" s="54">
        <v>0</v>
      </c>
      <c r="AM603" s="54" t="str">
        <f>I603-J603-K603-L603-M603-N603-O603-P603-Q603-R603-S603-T603-U603-V603-W603-X603-Y603-Z603-AA603-AB603-AC603-AD603-AE603-AF603-AG603+AH603-AI603+AJ603+AK603-AL603</f>
        <v>0</v>
      </c>
      <c r="AN603" s="54"/>
      <c r="AO603" s="27"/>
    </row>
    <row r="604" spans="1:41">
      <c r="A604" s="44">
        <v>576</v>
      </c>
      <c r="B604" s="47" t="s">
        <v>2403</v>
      </c>
      <c r="C604" s="48" t="s">
        <v>2404</v>
      </c>
      <c r="D604" s="52" t="s">
        <v>73</v>
      </c>
      <c r="E604" s="52" t="s">
        <v>2405</v>
      </c>
      <c r="F604" s="55" t="s">
        <v>2406</v>
      </c>
      <c r="G604" s="51">
        <v>4</v>
      </c>
      <c r="H604" s="52" t="s">
        <v>2407</v>
      </c>
      <c r="I604" s="54">
        <v>694000</v>
      </c>
      <c r="J604" s="54">
        <v>0</v>
      </c>
      <c r="K604" s="54">
        <v>25000</v>
      </c>
      <c r="L604" s="54">
        <v>0</v>
      </c>
      <c r="M604" s="54">
        <v>0</v>
      </c>
      <c r="N604" s="54">
        <v>0</v>
      </c>
      <c r="O604" s="54">
        <v>0</v>
      </c>
      <c r="P604" s="54">
        <v>0</v>
      </c>
      <c r="Q604" s="54">
        <v>0</v>
      </c>
      <c r="R604" s="54">
        <v>0</v>
      </c>
      <c r="S604" s="54">
        <v>0</v>
      </c>
      <c r="T604" s="54">
        <v>0</v>
      </c>
      <c r="U604" s="54">
        <v>2572</v>
      </c>
      <c r="V604" s="54">
        <v>0</v>
      </c>
      <c r="W604" s="54">
        <v>0</v>
      </c>
      <c r="X604" s="54">
        <v>0</v>
      </c>
      <c r="Y604" s="54">
        <v>0</v>
      </c>
      <c r="Z604" s="54">
        <v>0</v>
      </c>
      <c r="AA604" s="54">
        <v>0</v>
      </c>
      <c r="AB604" s="54">
        <v>0</v>
      </c>
      <c r="AC604" s="54">
        <v>0</v>
      </c>
      <c r="AD604" s="54">
        <v>0</v>
      </c>
      <c r="AE604" s="54">
        <v>0</v>
      </c>
      <c r="AF604" s="54">
        <v>0</v>
      </c>
      <c r="AG604" s="54">
        <v>0</v>
      </c>
      <c r="AH604" s="54">
        <v>0</v>
      </c>
      <c r="AI604" s="54">
        <v>0</v>
      </c>
      <c r="AJ604" s="54">
        <v>0</v>
      </c>
      <c r="AK604" s="54">
        <v>0</v>
      </c>
      <c r="AL604" s="54">
        <v>0</v>
      </c>
      <c r="AM604" s="54" t="str">
        <f>I604-J604-K604-L604-M604-N604-O604-P604-Q604-R604-S604-T604-U604-V604-W604-X604-Y604-Z604-AA604-AB604-AC604-AD604-AE604-AF604-AG604+AH604-AI604+AJ604+AK604-AL604</f>
        <v>0</v>
      </c>
      <c r="AN604" s="54"/>
      <c r="AO604" s="27"/>
    </row>
    <row r="605" spans="1:41">
      <c r="A605" s="44">
        <v>577</v>
      </c>
      <c r="B605" s="47" t="s">
        <v>2408</v>
      </c>
      <c r="C605" s="48" t="s">
        <v>2409</v>
      </c>
      <c r="D605" s="52" t="s">
        <v>62</v>
      </c>
      <c r="E605" s="52" t="s">
        <v>2405</v>
      </c>
      <c r="F605" s="55" t="s">
        <v>2410</v>
      </c>
      <c r="G605" s="51">
        <v>3</v>
      </c>
      <c r="H605" s="52" t="s">
        <v>2411</v>
      </c>
      <c r="I605" s="54">
        <v>0</v>
      </c>
      <c r="J605" s="54">
        <v>0</v>
      </c>
      <c r="K605" s="54">
        <v>22000</v>
      </c>
      <c r="L605" s="54">
        <v>0</v>
      </c>
      <c r="M605" s="54">
        <v>0</v>
      </c>
      <c r="N605" s="54">
        <v>0</v>
      </c>
      <c r="O605" s="54">
        <v>0</v>
      </c>
      <c r="P605" s="54">
        <v>0</v>
      </c>
      <c r="Q605" s="54">
        <v>0</v>
      </c>
      <c r="R605" s="54">
        <v>0</v>
      </c>
      <c r="S605" s="54">
        <v>0</v>
      </c>
      <c r="T605" s="54">
        <v>0</v>
      </c>
      <c r="U605" s="54">
        <v>2263</v>
      </c>
      <c r="V605" s="54">
        <v>0</v>
      </c>
      <c r="W605" s="54">
        <v>0</v>
      </c>
      <c r="X605" s="54">
        <v>0</v>
      </c>
      <c r="Y605" s="54">
        <v>11000</v>
      </c>
      <c r="Z605" s="54">
        <v>0</v>
      </c>
      <c r="AA605" s="54">
        <v>0</v>
      </c>
      <c r="AB605" s="54">
        <v>0</v>
      </c>
      <c r="AC605" s="54">
        <v>0</v>
      </c>
      <c r="AD605" s="54">
        <v>0</v>
      </c>
      <c r="AE605" s="54">
        <v>0</v>
      </c>
      <c r="AF605" s="54">
        <v>0</v>
      </c>
      <c r="AG605" s="54">
        <v>0</v>
      </c>
      <c r="AH605" s="54">
        <v>0</v>
      </c>
      <c r="AI605" s="54">
        <v>0</v>
      </c>
      <c r="AJ605" s="54">
        <v>0</v>
      </c>
      <c r="AK605" s="54">
        <v>0</v>
      </c>
      <c r="AL605" s="54">
        <v>0</v>
      </c>
      <c r="AM605" s="54" t="str">
        <f>I605-J605-K605-L605-M605-N605-O605-P605-Q605-R605-S605-T605-U605-V605-W605-X605-Y605-Z605-AA605-AB605-AC605-AD605-AE605-AF605-AG605+AH605-AI605+AJ605+AK605-AL605</f>
        <v>0</v>
      </c>
      <c r="AN605" s="54"/>
      <c r="AO605" s="27"/>
    </row>
    <row r="606" spans="1:41">
      <c r="A606" s="44">
        <v>578</v>
      </c>
      <c r="B606" s="47" t="s">
        <v>2412</v>
      </c>
      <c r="C606" s="48" t="s">
        <v>2413</v>
      </c>
      <c r="D606" s="52" t="s">
        <v>73</v>
      </c>
      <c r="E606" s="52" t="s">
        <v>2414</v>
      </c>
      <c r="F606" s="55" t="s">
        <v>605</v>
      </c>
      <c r="G606" s="51">
        <v>2</v>
      </c>
      <c r="H606" s="52" t="s">
        <v>2415</v>
      </c>
      <c r="I606" s="54">
        <v>334000</v>
      </c>
      <c r="J606" s="54">
        <v>0</v>
      </c>
      <c r="K606" s="54">
        <v>22000</v>
      </c>
      <c r="L606" s="54">
        <v>0</v>
      </c>
      <c r="M606" s="54">
        <v>0</v>
      </c>
      <c r="N606" s="54">
        <v>0</v>
      </c>
      <c r="O606" s="54">
        <v>0</v>
      </c>
      <c r="P606" s="54">
        <v>0</v>
      </c>
      <c r="Q606" s="54">
        <v>0</v>
      </c>
      <c r="R606" s="54">
        <v>0</v>
      </c>
      <c r="S606" s="54">
        <v>0</v>
      </c>
      <c r="T606" s="54">
        <v>0</v>
      </c>
      <c r="U606" s="54">
        <v>2263</v>
      </c>
      <c r="V606" s="54">
        <v>0</v>
      </c>
      <c r="W606" s="54">
        <v>0</v>
      </c>
      <c r="X606" s="54">
        <v>0</v>
      </c>
      <c r="Y606" s="54">
        <v>0</v>
      </c>
      <c r="Z606" s="54">
        <v>0</v>
      </c>
      <c r="AA606" s="54">
        <v>0</v>
      </c>
      <c r="AB606" s="54">
        <v>0</v>
      </c>
      <c r="AC606" s="54">
        <v>0</v>
      </c>
      <c r="AD606" s="54">
        <v>0</v>
      </c>
      <c r="AE606" s="54">
        <v>0</v>
      </c>
      <c r="AF606" s="54">
        <v>0</v>
      </c>
      <c r="AG606" s="54">
        <v>0</v>
      </c>
      <c r="AH606" s="54">
        <v>0</v>
      </c>
      <c r="AI606" s="54">
        <v>0</v>
      </c>
      <c r="AJ606" s="54">
        <v>0</v>
      </c>
      <c r="AK606" s="54">
        <v>0</v>
      </c>
      <c r="AL606" s="54">
        <v>0</v>
      </c>
      <c r="AM606" s="54" t="str">
        <f>I606-J606-K606-L606-M606-N606-O606-P606-Q606-R606-S606-T606-U606-V606-W606-X606-Y606-Z606-AA606-AB606-AC606-AD606-AE606-AF606-AG606+AH606-AI606+AJ606+AK606-AL606</f>
        <v>0</v>
      </c>
      <c r="AN606" s="54"/>
      <c r="AO606" s="27"/>
    </row>
    <row r="607" spans="1:41">
      <c r="A607" s="44">
        <v>579</v>
      </c>
      <c r="B607" s="47" t="s">
        <v>2416</v>
      </c>
      <c r="C607" s="48" t="s">
        <v>2417</v>
      </c>
      <c r="D607" s="52" t="s">
        <v>73</v>
      </c>
      <c r="E607" s="52" t="s">
        <v>2414</v>
      </c>
      <c r="F607" s="55" t="s">
        <v>2418</v>
      </c>
      <c r="G607" s="51">
        <v>2</v>
      </c>
      <c r="H607" s="52" t="s">
        <v>2419</v>
      </c>
      <c r="I607" s="54">
        <v>264000</v>
      </c>
      <c r="J607" s="54">
        <v>0</v>
      </c>
      <c r="K607" s="54">
        <v>22000</v>
      </c>
      <c r="L607" s="54">
        <v>0</v>
      </c>
      <c r="M607" s="54">
        <v>0</v>
      </c>
      <c r="N607" s="54">
        <v>0</v>
      </c>
      <c r="O607" s="54">
        <v>0</v>
      </c>
      <c r="P607" s="54">
        <v>0</v>
      </c>
      <c r="Q607" s="54">
        <v>0</v>
      </c>
      <c r="R607" s="54">
        <v>0</v>
      </c>
      <c r="S607" s="54">
        <v>0</v>
      </c>
      <c r="T607" s="54">
        <v>0</v>
      </c>
      <c r="U607" s="54">
        <v>2263</v>
      </c>
      <c r="V607" s="54">
        <v>0</v>
      </c>
      <c r="W607" s="54">
        <v>0</v>
      </c>
      <c r="X607" s="54">
        <v>0</v>
      </c>
      <c r="Y607" s="54">
        <v>0</v>
      </c>
      <c r="Z607" s="54">
        <v>0</v>
      </c>
      <c r="AA607" s="54">
        <v>0</v>
      </c>
      <c r="AB607" s="54">
        <v>0</v>
      </c>
      <c r="AC607" s="54">
        <v>0</v>
      </c>
      <c r="AD607" s="54">
        <v>0</v>
      </c>
      <c r="AE607" s="54">
        <v>0</v>
      </c>
      <c r="AF607" s="54">
        <v>0</v>
      </c>
      <c r="AG607" s="54">
        <v>0</v>
      </c>
      <c r="AH607" s="54">
        <v>0</v>
      </c>
      <c r="AI607" s="54">
        <v>0</v>
      </c>
      <c r="AJ607" s="54">
        <v>0</v>
      </c>
      <c r="AK607" s="54">
        <v>0</v>
      </c>
      <c r="AL607" s="54">
        <v>0</v>
      </c>
      <c r="AM607" s="54" t="str">
        <f>I607-J607-K607-L607-M607-N607-O607-P607-Q607-R607-S607-T607-U607-V607-W607-X607-Y607-Z607-AA607-AB607-AC607-AD607-AE607-AF607-AG607+AH607-AI607+AJ607+AK607-AL607</f>
        <v>0</v>
      </c>
      <c r="AN607" s="54"/>
      <c r="AO607" s="27"/>
    </row>
    <row r="608" spans="1:41">
      <c r="A608" s="44">
        <v>580</v>
      </c>
      <c r="B608" s="47" t="s">
        <v>2420</v>
      </c>
      <c r="C608" s="48" t="s">
        <v>2421</v>
      </c>
      <c r="D608" s="52" t="s">
        <v>73</v>
      </c>
      <c r="E608" s="52" t="s">
        <v>2422</v>
      </c>
      <c r="F608" s="55" t="s">
        <v>2423</v>
      </c>
      <c r="G608" s="51">
        <v>2</v>
      </c>
      <c r="H608" s="52" t="s">
        <v>2424</v>
      </c>
      <c r="I608" s="54">
        <v>0</v>
      </c>
      <c r="J608" s="54">
        <v>0</v>
      </c>
      <c r="K608" s="54">
        <v>22000</v>
      </c>
      <c r="L608" s="54">
        <v>0</v>
      </c>
      <c r="M608" s="54">
        <v>0</v>
      </c>
      <c r="N608" s="54">
        <v>0</v>
      </c>
      <c r="O608" s="54">
        <v>0</v>
      </c>
      <c r="P608" s="54">
        <v>0</v>
      </c>
      <c r="Q608" s="54">
        <v>0</v>
      </c>
      <c r="R608" s="54">
        <v>0</v>
      </c>
      <c r="S608" s="54">
        <v>0</v>
      </c>
      <c r="T608" s="54">
        <v>0</v>
      </c>
      <c r="U608" s="54">
        <v>2263</v>
      </c>
      <c r="V608" s="54">
        <v>0</v>
      </c>
      <c r="W608" s="54">
        <v>0</v>
      </c>
      <c r="X608" s="54">
        <v>0</v>
      </c>
      <c r="Y608" s="54">
        <v>0</v>
      </c>
      <c r="Z608" s="54">
        <v>0</v>
      </c>
      <c r="AA608" s="54">
        <v>0</v>
      </c>
      <c r="AB608" s="54">
        <v>0</v>
      </c>
      <c r="AC608" s="54">
        <v>0</v>
      </c>
      <c r="AD608" s="54">
        <v>0</v>
      </c>
      <c r="AE608" s="54">
        <v>0</v>
      </c>
      <c r="AF608" s="54">
        <v>0</v>
      </c>
      <c r="AG608" s="54">
        <v>0</v>
      </c>
      <c r="AH608" s="54">
        <v>0</v>
      </c>
      <c r="AI608" s="54">
        <v>0</v>
      </c>
      <c r="AJ608" s="54">
        <v>0</v>
      </c>
      <c r="AK608" s="54">
        <v>0</v>
      </c>
      <c r="AL608" s="54">
        <v>0</v>
      </c>
      <c r="AM608" s="54" t="str">
        <f>I608-J608-K608-L608-M608-N608-O608-P608-Q608-R608-S608-T608-U608-V608-W608-X608-Y608-Z608-AA608-AB608-AC608-AD608-AE608-AF608-AG608+AH608-AI608+AJ608+AK608-AL608</f>
        <v>0</v>
      </c>
      <c r="AN608" s="54"/>
      <c r="AO608" s="27"/>
    </row>
    <row r="609" spans="1:41">
      <c r="A609" s="44">
        <v>581</v>
      </c>
      <c r="B609" s="47" t="s">
        <v>2425</v>
      </c>
      <c r="C609" s="48" t="s">
        <v>2426</v>
      </c>
      <c r="D609" s="52" t="s">
        <v>73</v>
      </c>
      <c r="E609" s="52" t="s">
        <v>2422</v>
      </c>
      <c r="F609" s="55" t="s">
        <v>2427</v>
      </c>
      <c r="G609" s="51">
        <v>1</v>
      </c>
      <c r="H609" s="52" t="s">
        <v>2428</v>
      </c>
      <c r="I609" s="54">
        <v>0</v>
      </c>
      <c r="J609" s="54">
        <v>0</v>
      </c>
      <c r="K609" s="54">
        <v>22000</v>
      </c>
      <c r="L609" s="54">
        <v>0</v>
      </c>
      <c r="M609" s="54">
        <v>0</v>
      </c>
      <c r="N609" s="54">
        <v>0</v>
      </c>
      <c r="O609" s="54">
        <v>0</v>
      </c>
      <c r="P609" s="54">
        <v>0</v>
      </c>
      <c r="Q609" s="54">
        <v>0</v>
      </c>
      <c r="R609" s="54">
        <v>0</v>
      </c>
      <c r="S609" s="54">
        <v>0</v>
      </c>
      <c r="T609" s="54">
        <v>0</v>
      </c>
      <c r="U609" s="54">
        <v>2263</v>
      </c>
      <c r="V609" s="54">
        <v>0</v>
      </c>
      <c r="W609" s="54">
        <v>0</v>
      </c>
      <c r="X609" s="54">
        <v>0</v>
      </c>
      <c r="Y609" s="54">
        <v>0</v>
      </c>
      <c r="Z609" s="54">
        <v>0</v>
      </c>
      <c r="AA609" s="54">
        <v>0</v>
      </c>
      <c r="AB609" s="54">
        <v>0</v>
      </c>
      <c r="AC609" s="54">
        <v>0</v>
      </c>
      <c r="AD609" s="54">
        <v>0</v>
      </c>
      <c r="AE609" s="54">
        <v>0</v>
      </c>
      <c r="AF609" s="54">
        <v>0</v>
      </c>
      <c r="AG609" s="54">
        <v>0</v>
      </c>
      <c r="AH609" s="54">
        <v>0</v>
      </c>
      <c r="AI609" s="54">
        <v>0</v>
      </c>
      <c r="AJ609" s="54">
        <v>0</v>
      </c>
      <c r="AK609" s="54">
        <v>0</v>
      </c>
      <c r="AL609" s="54">
        <v>0</v>
      </c>
      <c r="AM609" s="54" t="str">
        <f>I609-J609-K609-L609-M609-N609-O609-P609-Q609-R609-S609-T609-U609-V609-W609-X609-Y609-Z609-AA609-AB609-AC609-AD609-AE609-AF609-AG609+AH609-AI609+AJ609+AK609-AL609</f>
        <v>0</v>
      </c>
      <c r="AN609" s="54"/>
      <c r="AO609" s="27"/>
    </row>
    <row r="610" spans="1:41">
      <c r="A610" s="44">
        <v>582</v>
      </c>
      <c r="B610" s="47" t="s">
        <v>2429</v>
      </c>
      <c r="C610" s="48" t="s">
        <v>2430</v>
      </c>
      <c r="D610" s="52" t="s">
        <v>73</v>
      </c>
      <c r="E610" s="52" t="s">
        <v>2422</v>
      </c>
      <c r="F610" s="55" t="s">
        <v>2431</v>
      </c>
      <c r="G610" s="51">
        <v>1</v>
      </c>
      <c r="H610" s="52" t="s">
        <v>2432</v>
      </c>
      <c r="I610" s="54">
        <v>0</v>
      </c>
      <c r="J610" s="54">
        <v>0</v>
      </c>
      <c r="K610" s="54">
        <v>22000</v>
      </c>
      <c r="L610" s="54">
        <v>0</v>
      </c>
      <c r="M610" s="54">
        <v>0</v>
      </c>
      <c r="N610" s="54">
        <v>0</v>
      </c>
      <c r="O610" s="54">
        <v>0</v>
      </c>
      <c r="P610" s="54">
        <v>0</v>
      </c>
      <c r="Q610" s="54">
        <v>0</v>
      </c>
      <c r="R610" s="54">
        <v>0</v>
      </c>
      <c r="S610" s="54">
        <v>0</v>
      </c>
      <c r="T610" s="54">
        <v>0</v>
      </c>
      <c r="U610" s="54">
        <v>2263</v>
      </c>
      <c r="V610" s="54">
        <v>0</v>
      </c>
      <c r="W610" s="54">
        <v>0</v>
      </c>
      <c r="X610" s="54">
        <v>0</v>
      </c>
      <c r="Y610" s="54">
        <v>0</v>
      </c>
      <c r="Z610" s="54">
        <v>0</v>
      </c>
      <c r="AA610" s="54">
        <v>0</v>
      </c>
      <c r="AB610" s="54">
        <v>0</v>
      </c>
      <c r="AC610" s="54">
        <v>0</v>
      </c>
      <c r="AD610" s="54">
        <v>0</v>
      </c>
      <c r="AE610" s="54">
        <v>0</v>
      </c>
      <c r="AF610" s="54">
        <v>0</v>
      </c>
      <c r="AG610" s="54">
        <v>0</v>
      </c>
      <c r="AH610" s="54">
        <v>0</v>
      </c>
      <c r="AI610" s="54">
        <v>0</v>
      </c>
      <c r="AJ610" s="54">
        <v>0</v>
      </c>
      <c r="AK610" s="54">
        <v>0</v>
      </c>
      <c r="AL610" s="54">
        <v>0</v>
      </c>
      <c r="AM610" s="54" t="str">
        <f>I610-J610-K610-L610-M610-N610-O610-P610-Q610-R610-S610-T610-U610-V610-W610-X610-Y610-Z610-AA610-AB610-AC610-AD610-AE610-AF610-AG610+AH610-AI610+AJ610+AK610-AL610</f>
        <v>0</v>
      </c>
      <c r="AN610" s="54"/>
      <c r="AO610" s="27"/>
    </row>
    <row r="611" spans="1:41">
      <c r="A611" s="44">
        <v>583</v>
      </c>
      <c r="B611" s="47" t="s">
        <v>2433</v>
      </c>
      <c r="C611" s="48" t="s">
        <v>2434</v>
      </c>
      <c r="D611" s="52" t="s">
        <v>73</v>
      </c>
      <c r="E611" s="52" t="s">
        <v>2422</v>
      </c>
      <c r="F611" s="55" t="s">
        <v>2435</v>
      </c>
      <c r="G611" s="51">
        <v>2</v>
      </c>
      <c r="H611" s="52" t="s">
        <v>2436</v>
      </c>
      <c r="I611" s="54">
        <v>0</v>
      </c>
      <c r="J611" s="54">
        <v>0</v>
      </c>
      <c r="K611" s="54">
        <v>22000</v>
      </c>
      <c r="L611" s="54">
        <v>0</v>
      </c>
      <c r="M611" s="54">
        <v>0</v>
      </c>
      <c r="N611" s="54">
        <v>0</v>
      </c>
      <c r="O611" s="54">
        <v>0</v>
      </c>
      <c r="P611" s="54">
        <v>0</v>
      </c>
      <c r="Q611" s="54">
        <v>0</v>
      </c>
      <c r="R611" s="54">
        <v>0</v>
      </c>
      <c r="S611" s="54">
        <v>0</v>
      </c>
      <c r="T611" s="54">
        <v>0</v>
      </c>
      <c r="U611" s="54">
        <v>2263</v>
      </c>
      <c r="V611" s="54">
        <v>0</v>
      </c>
      <c r="W611" s="54">
        <v>0</v>
      </c>
      <c r="X611" s="54">
        <v>0</v>
      </c>
      <c r="Y611" s="54">
        <v>0</v>
      </c>
      <c r="Z611" s="54">
        <v>0</v>
      </c>
      <c r="AA611" s="54">
        <v>0</v>
      </c>
      <c r="AB611" s="54">
        <v>0</v>
      </c>
      <c r="AC611" s="54">
        <v>0</v>
      </c>
      <c r="AD611" s="54">
        <v>0</v>
      </c>
      <c r="AE611" s="54">
        <v>0</v>
      </c>
      <c r="AF611" s="54">
        <v>0</v>
      </c>
      <c r="AG611" s="54">
        <v>0</v>
      </c>
      <c r="AH611" s="54">
        <v>0</v>
      </c>
      <c r="AI611" s="54">
        <v>0</v>
      </c>
      <c r="AJ611" s="54">
        <v>0</v>
      </c>
      <c r="AK611" s="54">
        <v>0</v>
      </c>
      <c r="AL611" s="54">
        <v>0</v>
      </c>
      <c r="AM611" s="54" t="str">
        <f>I611-J611-K611-L611-M611-N611-O611-P611-Q611-R611-S611-T611-U611-V611-W611-X611-Y611-Z611-AA611-AB611-AC611-AD611-AE611-AF611-AG611+AH611-AI611+AJ611+AK611-AL611</f>
        <v>0</v>
      </c>
      <c r="AN611" s="54"/>
      <c r="AO611" s="27"/>
    </row>
    <row r="612" spans="1:41">
      <c r="A612" s="44">
        <v>584</v>
      </c>
      <c r="B612" s="47" t="s">
        <v>2437</v>
      </c>
      <c r="C612" s="48" t="s">
        <v>2438</v>
      </c>
      <c r="D612" s="52" t="s">
        <v>73</v>
      </c>
      <c r="E612" s="52" t="s">
        <v>2422</v>
      </c>
      <c r="F612" s="55" t="s">
        <v>2439</v>
      </c>
      <c r="G612" s="51">
        <v>2</v>
      </c>
      <c r="H612" s="52" t="s">
        <v>2440</v>
      </c>
      <c r="I612" s="54">
        <v>0</v>
      </c>
      <c r="J612" s="54">
        <v>0</v>
      </c>
      <c r="K612" s="54">
        <v>22000</v>
      </c>
      <c r="L612" s="54">
        <v>0</v>
      </c>
      <c r="M612" s="54">
        <v>0</v>
      </c>
      <c r="N612" s="54">
        <v>0</v>
      </c>
      <c r="O612" s="54">
        <v>0</v>
      </c>
      <c r="P612" s="54">
        <v>0</v>
      </c>
      <c r="Q612" s="54">
        <v>0</v>
      </c>
      <c r="R612" s="54">
        <v>0</v>
      </c>
      <c r="S612" s="54">
        <v>0</v>
      </c>
      <c r="T612" s="54">
        <v>0</v>
      </c>
      <c r="U612" s="54">
        <v>2263</v>
      </c>
      <c r="V612" s="54">
        <v>0</v>
      </c>
      <c r="W612" s="54">
        <v>0</v>
      </c>
      <c r="X612" s="54">
        <v>0</v>
      </c>
      <c r="Y612" s="54">
        <v>0</v>
      </c>
      <c r="Z612" s="54">
        <v>0</v>
      </c>
      <c r="AA612" s="54">
        <v>0</v>
      </c>
      <c r="AB612" s="54">
        <v>0</v>
      </c>
      <c r="AC612" s="54">
        <v>0</v>
      </c>
      <c r="AD612" s="54">
        <v>0</v>
      </c>
      <c r="AE612" s="54">
        <v>0</v>
      </c>
      <c r="AF612" s="54">
        <v>0</v>
      </c>
      <c r="AG612" s="54">
        <v>0</v>
      </c>
      <c r="AH612" s="54">
        <v>0</v>
      </c>
      <c r="AI612" s="54">
        <v>0</v>
      </c>
      <c r="AJ612" s="54">
        <v>0</v>
      </c>
      <c r="AK612" s="54">
        <v>0</v>
      </c>
      <c r="AL612" s="54">
        <v>0</v>
      </c>
      <c r="AM612" s="54" t="str">
        <f>I612-J612-K612-L612-M612-N612-O612-P612-Q612-R612-S612-T612-U612-V612-W612-X612-Y612-Z612-AA612-AB612-AC612-AD612-AE612-AF612-AG612+AH612-AI612+AJ612+AK612-AL612</f>
        <v>0</v>
      </c>
      <c r="AN612" s="54"/>
      <c r="AO612" s="27"/>
    </row>
    <row r="613" spans="1:41">
      <c r="A613" s="44">
        <v>585</v>
      </c>
      <c r="B613" s="47" t="s">
        <v>2441</v>
      </c>
      <c r="C613" s="48" t="s">
        <v>2442</v>
      </c>
      <c r="D613" s="52" t="s">
        <v>73</v>
      </c>
      <c r="E613" s="52" t="s">
        <v>2422</v>
      </c>
      <c r="F613" s="55" t="s">
        <v>2443</v>
      </c>
      <c r="G613" s="51">
        <v>2</v>
      </c>
      <c r="H613" s="52" t="s">
        <v>2444</v>
      </c>
      <c r="I613" s="54">
        <v>0</v>
      </c>
      <c r="J613" s="54">
        <v>0</v>
      </c>
      <c r="K613" s="54">
        <v>22000</v>
      </c>
      <c r="L613" s="54">
        <v>0</v>
      </c>
      <c r="M613" s="54">
        <v>0</v>
      </c>
      <c r="N613" s="54">
        <v>0</v>
      </c>
      <c r="O613" s="54">
        <v>0</v>
      </c>
      <c r="P613" s="54">
        <v>0</v>
      </c>
      <c r="Q613" s="54">
        <v>0</v>
      </c>
      <c r="R613" s="54">
        <v>0</v>
      </c>
      <c r="S613" s="54">
        <v>0</v>
      </c>
      <c r="T613" s="54">
        <v>0</v>
      </c>
      <c r="U613" s="54">
        <v>2263</v>
      </c>
      <c r="V613" s="54">
        <v>0</v>
      </c>
      <c r="W613" s="54">
        <v>0</v>
      </c>
      <c r="X613" s="54">
        <v>0</v>
      </c>
      <c r="Y613" s="54">
        <v>0</v>
      </c>
      <c r="Z613" s="54">
        <v>0</v>
      </c>
      <c r="AA613" s="54">
        <v>0</v>
      </c>
      <c r="AB613" s="54">
        <v>0</v>
      </c>
      <c r="AC613" s="54">
        <v>0</v>
      </c>
      <c r="AD613" s="54">
        <v>0</v>
      </c>
      <c r="AE613" s="54">
        <v>0</v>
      </c>
      <c r="AF613" s="54">
        <v>0</v>
      </c>
      <c r="AG613" s="54">
        <v>0</v>
      </c>
      <c r="AH613" s="54">
        <v>0</v>
      </c>
      <c r="AI613" s="54">
        <v>0</v>
      </c>
      <c r="AJ613" s="54">
        <v>0</v>
      </c>
      <c r="AK613" s="54">
        <v>0</v>
      </c>
      <c r="AL613" s="54">
        <v>0</v>
      </c>
      <c r="AM613" s="54" t="str">
        <f>I613-J613-K613-L613-M613-N613-O613-P613-Q613-R613-S613-T613-U613-V613-W613-X613-Y613-Z613-AA613-AB613-AC613-AD613-AE613-AF613-AG613+AH613-AI613+AJ613+AK613-AL613</f>
        <v>0</v>
      </c>
      <c r="AN613" s="54"/>
      <c r="AO613" s="27"/>
    </row>
    <row r="614" spans="1:41">
      <c r="A614" s="44">
        <v>586</v>
      </c>
      <c r="B614" s="47" t="s">
        <v>2445</v>
      </c>
      <c r="C614" s="48" t="s">
        <v>2446</v>
      </c>
      <c r="D614" s="52" t="s">
        <v>73</v>
      </c>
      <c r="E614" s="52" t="s">
        <v>2422</v>
      </c>
      <c r="F614" s="55" t="s">
        <v>2447</v>
      </c>
      <c r="G614" s="51">
        <v>2</v>
      </c>
      <c r="H614" s="52" t="s">
        <v>2448</v>
      </c>
      <c r="I614" s="54">
        <v>0</v>
      </c>
      <c r="J614" s="54">
        <v>0</v>
      </c>
      <c r="K614" s="54">
        <v>22000</v>
      </c>
      <c r="L614" s="54">
        <v>0</v>
      </c>
      <c r="M614" s="54">
        <v>0</v>
      </c>
      <c r="N614" s="54">
        <v>0</v>
      </c>
      <c r="O614" s="54">
        <v>0</v>
      </c>
      <c r="P614" s="54">
        <v>0</v>
      </c>
      <c r="Q614" s="54">
        <v>0</v>
      </c>
      <c r="R614" s="54">
        <v>0</v>
      </c>
      <c r="S614" s="54">
        <v>0</v>
      </c>
      <c r="T614" s="54">
        <v>0</v>
      </c>
      <c r="U614" s="54">
        <v>2263</v>
      </c>
      <c r="V614" s="54">
        <v>0</v>
      </c>
      <c r="W614" s="54">
        <v>0</v>
      </c>
      <c r="X614" s="54">
        <v>0</v>
      </c>
      <c r="Y614" s="54">
        <v>0</v>
      </c>
      <c r="Z614" s="54">
        <v>0</v>
      </c>
      <c r="AA614" s="54">
        <v>0</v>
      </c>
      <c r="AB614" s="54">
        <v>0</v>
      </c>
      <c r="AC614" s="54">
        <v>0</v>
      </c>
      <c r="AD614" s="54">
        <v>0</v>
      </c>
      <c r="AE614" s="54">
        <v>0</v>
      </c>
      <c r="AF614" s="54">
        <v>0</v>
      </c>
      <c r="AG614" s="54">
        <v>0</v>
      </c>
      <c r="AH614" s="54">
        <v>0</v>
      </c>
      <c r="AI614" s="54">
        <v>0</v>
      </c>
      <c r="AJ614" s="54">
        <v>0</v>
      </c>
      <c r="AK614" s="54">
        <v>0</v>
      </c>
      <c r="AL614" s="54">
        <v>0</v>
      </c>
      <c r="AM614" s="54" t="str">
        <f>I614-J614-K614-L614-M614-N614-O614-P614-Q614-R614-S614-T614-U614-V614-W614-X614-Y614-Z614-AA614-AB614-AC614-AD614-AE614-AF614-AG614+AH614-AI614+AJ614+AK614-AL614</f>
        <v>0</v>
      </c>
      <c r="AN614" s="54"/>
      <c r="AO614" s="27"/>
    </row>
    <row r="615" spans="1:41">
      <c r="A615" s="44">
        <v>587</v>
      </c>
      <c r="B615" s="47" t="s">
        <v>2449</v>
      </c>
      <c r="C615" s="48" t="s">
        <v>2450</v>
      </c>
      <c r="D615" s="52" t="s">
        <v>73</v>
      </c>
      <c r="E615" s="52" t="s">
        <v>2422</v>
      </c>
      <c r="F615" s="55" t="s">
        <v>2451</v>
      </c>
      <c r="G615" s="51">
        <v>2</v>
      </c>
      <c r="H615" s="52" t="s">
        <v>2452</v>
      </c>
      <c r="I615" s="54">
        <v>0</v>
      </c>
      <c r="J615" s="54">
        <v>0</v>
      </c>
      <c r="K615" s="54">
        <v>22000</v>
      </c>
      <c r="L615" s="54">
        <v>0</v>
      </c>
      <c r="M615" s="54">
        <v>0</v>
      </c>
      <c r="N615" s="54">
        <v>0</v>
      </c>
      <c r="O615" s="54">
        <v>0</v>
      </c>
      <c r="P615" s="54">
        <v>0</v>
      </c>
      <c r="Q615" s="54">
        <v>0</v>
      </c>
      <c r="R615" s="54">
        <v>0</v>
      </c>
      <c r="S615" s="54">
        <v>0</v>
      </c>
      <c r="T615" s="54">
        <v>0</v>
      </c>
      <c r="U615" s="54">
        <v>2263</v>
      </c>
      <c r="V615" s="54">
        <v>0</v>
      </c>
      <c r="W615" s="54">
        <v>0</v>
      </c>
      <c r="X615" s="54">
        <v>0</v>
      </c>
      <c r="Y615" s="54">
        <v>0</v>
      </c>
      <c r="Z615" s="54">
        <v>0</v>
      </c>
      <c r="AA615" s="54">
        <v>0</v>
      </c>
      <c r="AB615" s="54">
        <v>0</v>
      </c>
      <c r="AC615" s="54">
        <v>0</v>
      </c>
      <c r="AD615" s="54">
        <v>0</v>
      </c>
      <c r="AE615" s="54">
        <v>0</v>
      </c>
      <c r="AF615" s="54">
        <v>0</v>
      </c>
      <c r="AG615" s="54">
        <v>0</v>
      </c>
      <c r="AH615" s="54">
        <v>0</v>
      </c>
      <c r="AI615" s="54">
        <v>0</v>
      </c>
      <c r="AJ615" s="54">
        <v>0</v>
      </c>
      <c r="AK615" s="54">
        <v>0</v>
      </c>
      <c r="AL615" s="54">
        <v>0</v>
      </c>
      <c r="AM615" s="54" t="str">
        <f>I615-J615-K615-L615-M615-N615-O615-P615-Q615-R615-S615-T615-U615-V615-W615-X615-Y615-Z615-AA615-AB615-AC615-AD615-AE615-AF615-AG615+AH615-AI615+AJ615+AK615-AL615</f>
        <v>0</v>
      </c>
      <c r="AN615" s="54"/>
      <c r="AO615" s="27"/>
    </row>
    <row r="616" spans="1:41">
      <c r="A616" s="44">
        <v>588</v>
      </c>
      <c r="B616" s="47" t="s">
        <v>2453</v>
      </c>
      <c r="C616" s="48" t="s">
        <v>2454</v>
      </c>
      <c r="D616" s="52" t="s">
        <v>73</v>
      </c>
      <c r="E616" s="52" t="s">
        <v>2422</v>
      </c>
      <c r="F616" s="55" t="s">
        <v>1460</v>
      </c>
      <c r="G616" s="51">
        <v>1</v>
      </c>
      <c r="H616" s="52" t="s">
        <v>2455</v>
      </c>
      <c r="I616" s="54">
        <v>0</v>
      </c>
      <c r="J616" s="54">
        <v>0</v>
      </c>
      <c r="K616" s="54">
        <v>22000</v>
      </c>
      <c r="L616" s="54">
        <v>0</v>
      </c>
      <c r="M616" s="54">
        <v>0</v>
      </c>
      <c r="N616" s="54">
        <v>0</v>
      </c>
      <c r="O616" s="54">
        <v>0</v>
      </c>
      <c r="P616" s="54">
        <v>0</v>
      </c>
      <c r="Q616" s="54">
        <v>0</v>
      </c>
      <c r="R616" s="54">
        <v>0</v>
      </c>
      <c r="S616" s="54">
        <v>0</v>
      </c>
      <c r="T616" s="54">
        <v>0</v>
      </c>
      <c r="U616" s="54">
        <v>2263</v>
      </c>
      <c r="V616" s="54">
        <v>0</v>
      </c>
      <c r="W616" s="54">
        <v>0</v>
      </c>
      <c r="X616" s="54">
        <v>0</v>
      </c>
      <c r="Y616" s="54">
        <v>0</v>
      </c>
      <c r="Z616" s="54">
        <v>0</v>
      </c>
      <c r="AA616" s="54">
        <v>0</v>
      </c>
      <c r="AB616" s="54">
        <v>0</v>
      </c>
      <c r="AC616" s="54">
        <v>0</v>
      </c>
      <c r="AD616" s="54">
        <v>0</v>
      </c>
      <c r="AE616" s="54">
        <v>0</v>
      </c>
      <c r="AF616" s="54">
        <v>0</v>
      </c>
      <c r="AG616" s="54">
        <v>0</v>
      </c>
      <c r="AH616" s="54">
        <v>0</v>
      </c>
      <c r="AI616" s="54">
        <v>0</v>
      </c>
      <c r="AJ616" s="54">
        <v>0</v>
      </c>
      <c r="AK616" s="54">
        <v>0</v>
      </c>
      <c r="AL616" s="54">
        <v>0</v>
      </c>
      <c r="AM616" s="54" t="str">
        <f>I616-J616-K616-L616-M616-N616-O616-P616-Q616-R616-S616-T616-U616-V616-W616-X616-Y616-Z616-AA616-AB616-AC616-AD616-AE616-AF616-AG616+AH616-AI616+AJ616+AK616-AL616</f>
        <v>0</v>
      </c>
      <c r="AN616" s="54"/>
      <c r="AO616" s="27"/>
    </row>
    <row r="617" spans="1:41">
      <c r="A617" s="44">
        <v>589</v>
      </c>
      <c r="B617" s="47" t="s">
        <v>2456</v>
      </c>
      <c r="C617" s="48" t="s">
        <v>2457</v>
      </c>
      <c r="D617" s="52" t="s">
        <v>73</v>
      </c>
      <c r="E617" s="52" t="s">
        <v>2422</v>
      </c>
      <c r="F617" s="55" t="s">
        <v>2458</v>
      </c>
      <c r="G617" s="51">
        <v>5</v>
      </c>
      <c r="H617" s="52" t="s">
        <v>2459</v>
      </c>
      <c r="I617" s="54">
        <v>0</v>
      </c>
      <c r="J617" s="54">
        <v>0</v>
      </c>
      <c r="K617" s="54">
        <v>27000</v>
      </c>
      <c r="L617" s="54">
        <v>0</v>
      </c>
      <c r="M617" s="54">
        <v>0</v>
      </c>
      <c r="N617" s="54">
        <v>0</v>
      </c>
      <c r="O617" s="54">
        <v>0</v>
      </c>
      <c r="P617" s="54">
        <v>0</v>
      </c>
      <c r="Q617" s="54">
        <v>0</v>
      </c>
      <c r="R617" s="54">
        <v>0</v>
      </c>
      <c r="S617" s="54">
        <v>0</v>
      </c>
      <c r="T617" s="54">
        <v>0</v>
      </c>
      <c r="U617" s="54">
        <v>2778</v>
      </c>
      <c r="V617" s="54">
        <v>0</v>
      </c>
      <c r="W617" s="54">
        <v>0</v>
      </c>
      <c r="X617" s="54">
        <v>0</v>
      </c>
      <c r="Y617" s="54">
        <v>13500</v>
      </c>
      <c r="Z617" s="54">
        <v>0</v>
      </c>
      <c r="AA617" s="54">
        <v>0</v>
      </c>
      <c r="AB617" s="54">
        <v>0</v>
      </c>
      <c r="AC617" s="54">
        <v>0</v>
      </c>
      <c r="AD617" s="54">
        <v>0</v>
      </c>
      <c r="AE617" s="54">
        <v>0</v>
      </c>
      <c r="AF617" s="54">
        <v>0</v>
      </c>
      <c r="AG617" s="54">
        <v>0</v>
      </c>
      <c r="AH617" s="54">
        <v>0</v>
      </c>
      <c r="AI617" s="54">
        <v>0</v>
      </c>
      <c r="AJ617" s="54">
        <v>0</v>
      </c>
      <c r="AK617" s="54">
        <v>0</v>
      </c>
      <c r="AL617" s="54">
        <v>0</v>
      </c>
      <c r="AM617" s="54" t="str">
        <f>I617-J617-K617-L617-M617-N617-O617-P617-Q617-R617-S617-T617-U617-V617-W617-X617-Y617-Z617-AA617-AB617-AC617-AD617-AE617-AF617-AG617+AH617-AI617+AJ617+AK617-AL617</f>
        <v>0</v>
      </c>
      <c r="AN617" s="54"/>
      <c r="AO617" s="27"/>
    </row>
    <row r="618" spans="1:41">
      <c r="A618" s="44">
        <v>590</v>
      </c>
      <c r="B618" s="47" t="s">
        <v>2460</v>
      </c>
      <c r="C618" s="48" t="s">
        <v>2461</v>
      </c>
      <c r="D618" s="52" t="s">
        <v>73</v>
      </c>
      <c r="E618" s="52" t="s">
        <v>2422</v>
      </c>
      <c r="F618" s="55" t="s">
        <v>2462</v>
      </c>
      <c r="G618" s="51">
        <v>3</v>
      </c>
      <c r="H618" s="52" t="s">
        <v>2463</v>
      </c>
      <c r="I618" s="54">
        <v>0</v>
      </c>
      <c r="J618" s="54">
        <v>0</v>
      </c>
      <c r="K618" s="54">
        <v>22000</v>
      </c>
      <c r="L618" s="54">
        <v>0</v>
      </c>
      <c r="M618" s="54">
        <v>0</v>
      </c>
      <c r="N618" s="54">
        <v>0</v>
      </c>
      <c r="O618" s="54">
        <v>0</v>
      </c>
      <c r="P618" s="54">
        <v>0</v>
      </c>
      <c r="Q618" s="54">
        <v>0</v>
      </c>
      <c r="R618" s="54">
        <v>0</v>
      </c>
      <c r="S618" s="54">
        <v>0</v>
      </c>
      <c r="T618" s="54">
        <v>0</v>
      </c>
      <c r="U618" s="54">
        <v>2263</v>
      </c>
      <c r="V618" s="54">
        <v>0</v>
      </c>
      <c r="W618" s="54">
        <v>0</v>
      </c>
      <c r="X618" s="54">
        <v>0</v>
      </c>
      <c r="Y618" s="54">
        <v>11000</v>
      </c>
      <c r="Z618" s="54">
        <v>0</v>
      </c>
      <c r="AA618" s="54">
        <v>0</v>
      </c>
      <c r="AB618" s="54">
        <v>0</v>
      </c>
      <c r="AC618" s="54">
        <v>0</v>
      </c>
      <c r="AD618" s="54">
        <v>0</v>
      </c>
      <c r="AE618" s="54">
        <v>0</v>
      </c>
      <c r="AF618" s="54">
        <v>0</v>
      </c>
      <c r="AG618" s="54">
        <v>0</v>
      </c>
      <c r="AH618" s="54">
        <v>0</v>
      </c>
      <c r="AI618" s="54">
        <v>0</v>
      </c>
      <c r="AJ618" s="54">
        <v>0</v>
      </c>
      <c r="AK618" s="54">
        <v>0</v>
      </c>
      <c r="AL618" s="54">
        <v>0</v>
      </c>
      <c r="AM618" s="54" t="str">
        <f>I618-J618-K618-L618-M618-N618-O618-P618-Q618-R618-S618-T618-U618-V618-W618-X618-Y618-Z618-AA618-AB618-AC618-AD618-AE618-AF618-AG618+AH618-AI618+AJ618+AK618-AL618</f>
        <v>0</v>
      </c>
      <c r="AN618" s="54"/>
      <c r="AO618" s="27"/>
    </row>
    <row r="619" spans="1:41">
      <c r="A619" s="44">
        <v>591</v>
      </c>
      <c r="B619" s="47" t="s">
        <v>2464</v>
      </c>
      <c r="C619" s="48" t="s">
        <v>2465</v>
      </c>
      <c r="D619" s="52" t="s">
        <v>73</v>
      </c>
      <c r="E619" s="52" t="s">
        <v>2422</v>
      </c>
      <c r="F619" s="55" t="s">
        <v>2466</v>
      </c>
      <c r="G619" s="51">
        <v>8</v>
      </c>
      <c r="H619" s="52" t="s">
        <v>2467</v>
      </c>
      <c r="I619" s="54">
        <v>0</v>
      </c>
      <c r="J619" s="54">
        <v>0</v>
      </c>
      <c r="K619" s="54">
        <v>39000</v>
      </c>
      <c r="L619" s="54">
        <v>0</v>
      </c>
      <c r="M619" s="54">
        <v>0</v>
      </c>
      <c r="N619" s="54">
        <v>0</v>
      </c>
      <c r="O619" s="54">
        <v>0</v>
      </c>
      <c r="P619" s="54">
        <v>0</v>
      </c>
      <c r="Q619" s="54">
        <v>0</v>
      </c>
      <c r="R619" s="54">
        <v>0</v>
      </c>
      <c r="S619" s="54">
        <v>0</v>
      </c>
      <c r="T619" s="54">
        <v>0</v>
      </c>
      <c r="U619" s="54">
        <v>4013</v>
      </c>
      <c r="V619" s="54">
        <v>0</v>
      </c>
      <c r="W619" s="54">
        <v>0</v>
      </c>
      <c r="X619" s="54">
        <v>0</v>
      </c>
      <c r="Y619" s="54">
        <v>19500</v>
      </c>
      <c r="Z619" s="54">
        <v>0</v>
      </c>
      <c r="AA619" s="54">
        <v>0</v>
      </c>
      <c r="AB619" s="54">
        <v>0</v>
      </c>
      <c r="AC619" s="54">
        <v>0</v>
      </c>
      <c r="AD619" s="54">
        <v>0</v>
      </c>
      <c r="AE619" s="54">
        <v>0</v>
      </c>
      <c r="AF619" s="54">
        <v>0</v>
      </c>
      <c r="AG619" s="54">
        <v>0</v>
      </c>
      <c r="AH619" s="54">
        <v>0</v>
      </c>
      <c r="AI619" s="54">
        <v>0</v>
      </c>
      <c r="AJ619" s="54">
        <v>0</v>
      </c>
      <c r="AK619" s="54">
        <v>0</v>
      </c>
      <c r="AL619" s="54">
        <v>0</v>
      </c>
      <c r="AM619" s="54" t="str">
        <f>I619-J619-K619-L619-M619-N619-O619-P619-Q619-R619-S619-T619-U619-V619-W619-X619-Y619-Z619-AA619-AB619-AC619-AD619-AE619-AF619-AG619+AH619-AI619+AJ619+AK619-AL619</f>
        <v>0</v>
      </c>
      <c r="AN619" s="54"/>
      <c r="AO619" s="27"/>
    </row>
    <row r="620" spans="1:41">
      <c r="A620" s="44">
        <v>592</v>
      </c>
      <c r="B620" s="47" t="s">
        <v>2468</v>
      </c>
      <c r="C620" s="48" t="s">
        <v>2469</v>
      </c>
      <c r="D620" s="52" t="s">
        <v>73</v>
      </c>
      <c r="E620" s="52" t="s">
        <v>2470</v>
      </c>
      <c r="F620" s="55" t="s">
        <v>2471</v>
      </c>
      <c r="G620" s="51">
        <v>5</v>
      </c>
      <c r="H620" s="52" t="s">
        <v>2472</v>
      </c>
      <c r="I620" s="54">
        <v>0</v>
      </c>
      <c r="J620" s="54">
        <v>0</v>
      </c>
      <c r="K620" s="54">
        <v>27000</v>
      </c>
      <c r="L620" s="54">
        <v>0</v>
      </c>
      <c r="M620" s="54">
        <v>0</v>
      </c>
      <c r="N620" s="54">
        <v>0</v>
      </c>
      <c r="O620" s="54">
        <v>0</v>
      </c>
      <c r="P620" s="54">
        <v>0</v>
      </c>
      <c r="Q620" s="54">
        <v>0</v>
      </c>
      <c r="R620" s="54">
        <v>0</v>
      </c>
      <c r="S620" s="54">
        <v>0</v>
      </c>
      <c r="T620" s="54">
        <v>0</v>
      </c>
      <c r="U620" s="54">
        <v>2778</v>
      </c>
      <c r="V620" s="54">
        <v>0</v>
      </c>
      <c r="W620" s="54">
        <v>0</v>
      </c>
      <c r="X620" s="54">
        <v>0</v>
      </c>
      <c r="Y620" s="54">
        <v>13500</v>
      </c>
      <c r="Z620" s="54">
        <v>0</v>
      </c>
      <c r="AA620" s="54">
        <v>0</v>
      </c>
      <c r="AB620" s="54">
        <v>0</v>
      </c>
      <c r="AC620" s="54">
        <v>0</v>
      </c>
      <c r="AD620" s="54">
        <v>0</v>
      </c>
      <c r="AE620" s="54">
        <v>0</v>
      </c>
      <c r="AF620" s="54">
        <v>0</v>
      </c>
      <c r="AG620" s="54">
        <v>0</v>
      </c>
      <c r="AH620" s="54">
        <v>0</v>
      </c>
      <c r="AI620" s="54">
        <v>0</v>
      </c>
      <c r="AJ620" s="54">
        <v>0</v>
      </c>
      <c r="AK620" s="54">
        <v>0</v>
      </c>
      <c r="AL620" s="54">
        <v>0</v>
      </c>
      <c r="AM620" s="54" t="str">
        <f>I620-J620-K620-L620-M620-N620-O620-P620-Q620-R620-S620-T620-U620-V620-W620-X620-Y620-Z620-AA620-AB620-AC620-AD620-AE620-AF620-AG620+AH620-AI620+AJ620+AK620-AL620</f>
        <v>0</v>
      </c>
      <c r="AN620" s="54"/>
      <c r="AO620" s="27"/>
    </row>
    <row r="621" spans="1:41">
      <c r="A621" s="44">
        <v>593</v>
      </c>
      <c r="B621" s="47" t="s">
        <v>2473</v>
      </c>
      <c r="C621" s="48" t="s">
        <v>2474</v>
      </c>
      <c r="D621" s="52" t="s">
        <v>73</v>
      </c>
      <c r="E621" s="52" t="s">
        <v>2470</v>
      </c>
      <c r="F621" s="55" t="s">
        <v>2475</v>
      </c>
      <c r="G621" s="51">
        <v>3</v>
      </c>
      <c r="H621" s="52" t="s">
        <v>2476</v>
      </c>
      <c r="I621" s="54">
        <v>0</v>
      </c>
      <c r="J621" s="54">
        <v>0</v>
      </c>
      <c r="K621" s="54">
        <v>22000</v>
      </c>
      <c r="L621" s="54">
        <v>0</v>
      </c>
      <c r="M621" s="54">
        <v>0</v>
      </c>
      <c r="N621" s="54">
        <v>0</v>
      </c>
      <c r="O621" s="54">
        <v>0</v>
      </c>
      <c r="P621" s="54">
        <v>0</v>
      </c>
      <c r="Q621" s="54">
        <v>0</v>
      </c>
      <c r="R621" s="54">
        <v>0</v>
      </c>
      <c r="S621" s="54">
        <v>0</v>
      </c>
      <c r="T621" s="54">
        <v>0</v>
      </c>
      <c r="U621" s="54">
        <v>2263</v>
      </c>
      <c r="V621" s="54">
        <v>0</v>
      </c>
      <c r="W621" s="54">
        <v>0</v>
      </c>
      <c r="X621" s="54">
        <v>0</v>
      </c>
      <c r="Y621" s="54">
        <v>11000</v>
      </c>
      <c r="Z621" s="54">
        <v>0</v>
      </c>
      <c r="AA621" s="54">
        <v>0</v>
      </c>
      <c r="AB621" s="54">
        <v>0</v>
      </c>
      <c r="AC621" s="54">
        <v>0</v>
      </c>
      <c r="AD621" s="54">
        <v>0</v>
      </c>
      <c r="AE621" s="54">
        <v>0</v>
      </c>
      <c r="AF621" s="54">
        <v>0</v>
      </c>
      <c r="AG621" s="54">
        <v>0</v>
      </c>
      <c r="AH621" s="54">
        <v>0</v>
      </c>
      <c r="AI621" s="54">
        <v>0</v>
      </c>
      <c r="AJ621" s="54">
        <v>0</v>
      </c>
      <c r="AK621" s="54">
        <v>0</v>
      </c>
      <c r="AL621" s="54">
        <v>0</v>
      </c>
      <c r="AM621" s="54" t="str">
        <f>I621-J621-K621-L621-M621-N621-O621-P621-Q621-R621-S621-T621-U621-V621-W621-X621-Y621-Z621-AA621-AB621-AC621-AD621-AE621-AF621-AG621+AH621-AI621+AJ621+AK621-AL621</f>
        <v>0</v>
      </c>
      <c r="AN621" s="54"/>
      <c r="AO621" s="27"/>
    </row>
    <row r="622" spans="1:41">
      <c r="A622" s="44">
        <v>594</v>
      </c>
      <c r="B622" s="47" t="s">
        <v>2477</v>
      </c>
      <c r="C622" s="48" t="s">
        <v>2478</v>
      </c>
      <c r="D622" s="52" t="s">
        <v>73</v>
      </c>
      <c r="E622" s="52" t="s">
        <v>2470</v>
      </c>
      <c r="F622" s="55" t="s">
        <v>2479</v>
      </c>
      <c r="G622" s="51">
        <v>3</v>
      </c>
      <c r="H622" s="52" t="s">
        <v>2480</v>
      </c>
      <c r="I622" s="54">
        <v>0</v>
      </c>
      <c r="J622" s="54">
        <v>0</v>
      </c>
      <c r="K622" s="54">
        <v>22000</v>
      </c>
      <c r="L622" s="54">
        <v>0</v>
      </c>
      <c r="M622" s="54">
        <v>0</v>
      </c>
      <c r="N622" s="54">
        <v>0</v>
      </c>
      <c r="O622" s="54">
        <v>0</v>
      </c>
      <c r="P622" s="54">
        <v>0</v>
      </c>
      <c r="Q622" s="54">
        <v>0</v>
      </c>
      <c r="R622" s="54">
        <v>0</v>
      </c>
      <c r="S622" s="54">
        <v>0</v>
      </c>
      <c r="T622" s="54">
        <v>0</v>
      </c>
      <c r="U622" s="54">
        <v>2263</v>
      </c>
      <c r="V622" s="54">
        <v>0</v>
      </c>
      <c r="W622" s="54">
        <v>0</v>
      </c>
      <c r="X622" s="54">
        <v>0</v>
      </c>
      <c r="Y622" s="54">
        <v>11000</v>
      </c>
      <c r="Z622" s="54">
        <v>0</v>
      </c>
      <c r="AA622" s="54">
        <v>0</v>
      </c>
      <c r="AB622" s="54">
        <v>0</v>
      </c>
      <c r="AC622" s="54">
        <v>0</v>
      </c>
      <c r="AD622" s="54">
        <v>0</v>
      </c>
      <c r="AE622" s="54">
        <v>0</v>
      </c>
      <c r="AF622" s="54">
        <v>0</v>
      </c>
      <c r="AG622" s="54">
        <v>0</v>
      </c>
      <c r="AH622" s="54">
        <v>0</v>
      </c>
      <c r="AI622" s="54">
        <v>0</v>
      </c>
      <c r="AJ622" s="54">
        <v>0</v>
      </c>
      <c r="AK622" s="54">
        <v>0</v>
      </c>
      <c r="AL622" s="54">
        <v>0</v>
      </c>
      <c r="AM622" s="54" t="str">
        <f>I622-J622-K622-L622-M622-N622-O622-P622-Q622-R622-S622-T622-U622-V622-W622-X622-Y622-Z622-AA622-AB622-AC622-AD622-AE622-AF622-AG622+AH622-AI622+AJ622+AK622-AL622</f>
        <v>0</v>
      </c>
      <c r="AN622" s="54"/>
      <c r="AO622" s="27"/>
    </row>
    <row r="623" spans="1:41">
      <c r="A623" s="44">
        <v>595</v>
      </c>
      <c r="B623" s="47" t="s">
        <v>2481</v>
      </c>
      <c r="C623" s="48" t="s">
        <v>2482</v>
      </c>
      <c r="D623" s="52" t="s">
        <v>73</v>
      </c>
      <c r="E623" s="52" t="s">
        <v>2470</v>
      </c>
      <c r="F623" s="55" t="s">
        <v>2483</v>
      </c>
      <c r="G623" s="51">
        <v>5</v>
      </c>
      <c r="H623" s="52" t="s">
        <v>2484</v>
      </c>
      <c r="I623" s="54">
        <v>0</v>
      </c>
      <c r="J623" s="54">
        <v>0</v>
      </c>
      <c r="K623" s="54">
        <v>27000</v>
      </c>
      <c r="L623" s="54">
        <v>0</v>
      </c>
      <c r="M623" s="54">
        <v>0</v>
      </c>
      <c r="N623" s="54">
        <v>0</v>
      </c>
      <c r="O623" s="54">
        <v>0</v>
      </c>
      <c r="P623" s="54">
        <v>0</v>
      </c>
      <c r="Q623" s="54">
        <v>0</v>
      </c>
      <c r="R623" s="54">
        <v>0</v>
      </c>
      <c r="S623" s="54">
        <v>0</v>
      </c>
      <c r="T623" s="54">
        <v>0</v>
      </c>
      <c r="U623" s="54">
        <v>2778</v>
      </c>
      <c r="V623" s="54">
        <v>0</v>
      </c>
      <c r="W623" s="54">
        <v>0</v>
      </c>
      <c r="X623" s="54">
        <v>0</v>
      </c>
      <c r="Y623" s="54">
        <v>13500</v>
      </c>
      <c r="Z623" s="54">
        <v>0</v>
      </c>
      <c r="AA623" s="54">
        <v>0</v>
      </c>
      <c r="AB623" s="54">
        <v>0</v>
      </c>
      <c r="AC623" s="54">
        <v>0</v>
      </c>
      <c r="AD623" s="54">
        <v>0</v>
      </c>
      <c r="AE623" s="54">
        <v>0</v>
      </c>
      <c r="AF623" s="54">
        <v>0</v>
      </c>
      <c r="AG623" s="54">
        <v>0</v>
      </c>
      <c r="AH623" s="54">
        <v>0</v>
      </c>
      <c r="AI623" s="54">
        <v>0</v>
      </c>
      <c r="AJ623" s="54">
        <v>0</v>
      </c>
      <c r="AK623" s="54">
        <v>0</v>
      </c>
      <c r="AL623" s="54">
        <v>0</v>
      </c>
      <c r="AM623" s="54" t="str">
        <f>I623-J623-K623-L623-M623-N623-O623-P623-Q623-R623-S623-T623-U623-V623-W623-X623-Y623-Z623-AA623-AB623-AC623-AD623-AE623-AF623-AG623+AH623-AI623+AJ623+AK623-AL623</f>
        <v>0</v>
      </c>
      <c r="AN623" s="54"/>
      <c r="AO623" s="27"/>
    </row>
    <row r="624" spans="1:41">
      <c r="A624" s="44">
        <v>596</v>
      </c>
      <c r="B624" s="47" t="s">
        <v>2485</v>
      </c>
      <c r="C624" s="48"/>
      <c r="D624" s="52" t="s">
        <v>73</v>
      </c>
      <c r="E624" s="52" t="s">
        <v>2486</v>
      </c>
      <c r="F624" s="55" t="s">
        <v>2487</v>
      </c>
      <c r="G624" s="51">
        <v>2</v>
      </c>
      <c r="H624" s="52" t="s">
        <v>2488</v>
      </c>
      <c r="I624" s="54">
        <v>0</v>
      </c>
      <c r="J624" s="54">
        <v>0</v>
      </c>
      <c r="K624" s="54">
        <v>22000</v>
      </c>
      <c r="L624" s="54">
        <v>0</v>
      </c>
      <c r="M624" s="54">
        <v>0</v>
      </c>
      <c r="N624" s="54">
        <v>0</v>
      </c>
      <c r="O624" s="54">
        <v>0</v>
      </c>
      <c r="P624" s="54">
        <v>0</v>
      </c>
      <c r="Q624" s="54">
        <v>0</v>
      </c>
      <c r="R624" s="54">
        <v>0</v>
      </c>
      <c r="S624" s="54">
        <v>0</v>
      </c>
      <c r="T624" s="54">
        <v>0</v>
      </c>
      <c r="U624" s="54">
        <v>2263</v>
      </c>
      <c r="V624" s="54">
        <v>0</v>
      </c>
      <c r="W624" s="54">
        <v>0</v>
      </c>
      <c r="X624" s="54">
        <v>0</v>
      </c>
      <c r="Y624" s="54">
        <v>11000</v>
      </c>
      <c r="Z624" s="54">
        <v>0</v>
      </c>
      <c r="AA624" s="54">
        <v>0</v>
      </c>
      <c r="AB624" s="54">
        <v>0</v>
      </c>
      <c r="AC624" s="54">
        <v>0</v>
      </c>
      <c r="AD624" s="54">
        <v>0</v>
      </c>
      <c r="AE624" s="54">
        <v>0</v>
      </c>
      <c r="AF624" s="54">
        <v>0</v>
      </c>
      <c r="AG624" s="54">
        <v>0</v>
      </c>
      <c r="AH624" s="54">
        <v>0</v>
      </c>
      <c r="AI624" s="54">
        <v>0</v>
      </c>
      <c r="AJ624" s="54">
        <v>0</v>
      </c>
      <c r="AK624" s="54">
        <v>0</v>
      </c>
      <c r="AL624" s="54">
        <v>0</v>
      </c>
      <c r="AM624" s="54" t="str">
        <f>I624-J624-K624-L624-M624-N624-O624-P624-Q624-R624-S624-T624-U624-V624-W624-X624-Y624-Z624-AA624-AB624-AC624-AD624-AE624-AF624-AG624+AH624-AI624+AJ624+AK624-AL624</f>
        <v>0</v>
      </c>
      <c r="AN624" s="54"/>
      <c r="AO624" s="27"/>
    </row>
    <row r="625" spans="1:41">
      <c r="A625" s="44">
        <v>597</v>
      </c>
      <c r="B625" s="47" t="s">
        <v>2489</v>
      </c>
      <c r="C625" s="48" t="s">
        <v>2490</v>
      </c>
      <c r="D625" s="52" t="s">
        <v>73</v>
      </c>
      <c r="E625" s="52" t="s">
        <v>2491</v>
      </c>
      <c r="F625" s="55" t="s">
        <v>848</v>
      </c>
      <c r="G625" s="51">
        <v>3</v>
      </c>
      <c r="H625" s="52" t="s">
        <v>2492</v>
      </c>
      <c r="I625" s="54">
        <v>0</v>
      </c>
      <c r="J625" s="54">
        <v>0</v>
      </c>
      <c r="K625" s="54">
        <v>22000</v>
      </c>
      <c r="L625" s="54">
        <v>0</v>
      </c>
      <c r="M625" s="54">
        <v>0</v>
      </c>
      <c r="N625" s="54">
        <v>0</v>
      </c>
      <c r="O625" s="54">
        <v>0</v>
      </c>
      <c r="P625" s="54">
        <v>0</v>
      </c>
      <c r="Q625" s="54">
        <v>0</v>
      </c>
      <c r="R625" s="54">
        <v>0</v>
      </c>
      <c r="S625" s="54">
        <v>0</v>
      </c>
      <c r="T625" s="54">
        <v>0</v>
      </c>
      <c r="U625" s="54">
        <v>2263</v>
      </c>
      <c r="V625" s="54">
        <v>0</v>
      </c>
      <c r="W625" s="54">
        <v>0</v>
      </c>
      <c r="X625" s="54">
        <v>0</v>
      </c>
      <c r="Y625" s="54">
        <v>0</v>
      </c>
      <c r="Z625" s="54">
        <v>0</v>
      </c>
      <c r="AA625" s="54">
        <v>0</v>
      </c>
      <c r="AB625" s="54">
        <v>0</v>
      </c>
      <c r="AC625" s="54">
        <v>0</v>
      </c>
      <c r="AD625" s="54">
        <v>0</v>
      </c>
      <c r="AE625" s="54">
        <v>0</v>
      </c>
      <c r="AF625" s="54">
        <v>0</v>
      </c>
      <c r="AG625" s="54">
        <v>0</v>
      </c>
      <c r="AH625" s="54">
        <v>0</v>
      </c>
      <c r="AI625" s="54">
        <v>0</v>
      </c>
      <c r="AJ625" s="54">
        <v>0</v>
      </c>
      <c r="AK625" s="54">
        <v>0</v>
      </c>
      <c r="AL625" s="54">
        <v>0</v>
      </c>
      <c r="AM625" s="54" t="str">
        <f>I625-J625-K625-L625-M625-N625-O625-P625-Q625-R625-S625-T625-U625-V625-W625-X625-Y625-Z625-AA625-AB625-AC625-AD625-AE625-AF625-AG625+AH625-AI625+AJ625+AK625-AL625</f>
        <v>0</v>
      </c>
      <c r="AN625" s="54"/>
      <c r="AO625" s="27"/>
    </row>
    <row r="626" spans="1:41">
      <c r="A626" s="44">
        <v>598</v>
      </c>
      <c r="B626" s="47" t="s">
        <v>2493</v>
      </c>
      <c r="C626" s="48" t="s">
        <v>2494</v>
      </c>
      <c r="D626" s="52" t="s">
        <v>62</v>
      </c>
      <c r="E626" s="52" t="s">
        <v>2495</v>
      </c>
      <c r="F626" s="55" t="s">
        <v>2496</v>
      </c>
      <c r="G626" s="51">
        <v>8</v>
      </c>
      <c r="H626" s="52" t="s">
        <v>2497</v>
      </c>
      <c r="I626" s="54">
        <v>0</v>
      </c>
      <c r="J626" s="54">
        <v>0</v>
      </c>
      <c r="K626" s="54">
        <v>39000</v>
      </c>
      <c r="L626" s="54">
        <v>0</v>
      </c>
      <c r="M626" s="54">
        <v>0</v>
      </c>
      <c r="N626" s="54">
        <v>0</v>
      </c>
      <c r="O626" s="54">
        <v>0</v>
      </c>
      <c r="P626" s="54">
        <v>0</v>
      </c>
      <c r="Q626" s="54">
        <v>0</v>
      </c>
      <c r="R626" s="54">
        <v>0</v>
      </c>
      <c r="S626" s="54">
        <v>0</v>
      </c>
      <c r="T626" s="54">
        <v>0</v>
      </c>
      <c r="U626" s="54">
        <v>4013</v>
      </c>
      <c r="V626" s="54">
        <v>0</v>
      </c>
      <c r="W626" s="54">
        <v>0</v>
      </c>
      <c r="X626" s="54">
        <v>0</v>
      </c>
      <c r="Y626" s="54">
        <v>19500</v>
      </c>
      <c r="Z626" s="54">
        <v>0</v>
      </c>
      <c r="AA626" s="54">
        <v>0</v>
      </c>
      <c r="AB626" s="54">
        <v>0</v>
      </c>
      <c r="AC626" s="54">
        <v>0</v>
      </c>
      <c r="AD626" s="54">
        <v>0</v>
      </c>
      <c r="AE626" s="54">
        <v>0</v>
      </c>
      <c r="AF626" s="54">
        <v>0</v>
      </c>
      <c r="AG626" s="54">
        <v>0</v>
      </c>
      <c r="AH626" s="54">
        <v>0</v>
      </c>
      <c r="AI626" s="54">
        <v>0</v>
      </c>
      <c r="AJ626" s="54">
        <v>0</v>
      </c>
      <c r="AK626" s="54">
        <v>0</v>
      </c>
      <c r="AL626" s="54">
        <v>0</v>
      </c>
      <c r="AM626" s="54" t="str">
        <f>I626-J626-K626-L626-M626-N626-O626-P626-Q626-R626-S626-T626-U626-V626-W626-X626-Y626-Z626-AA626-AB626-AC626-AD626-AE626-AF626-AG626+AH626-AI626+AJ626+AK626-AL626</f>
        <v>0</v>
      </c>
      <c r="AN626" s="54"/>
      <c r="AO626" s="27"/>
    </row>
    <row r="627" spans="1:41">
      <c r="A627" s="44">
        <v>599</v>
      </c>
      <c r="B627" s="47" t="s">
        <v>2498</v>
      </c>
      <c r="C627" s="48" t="s">
        <v>2499</v>
      </c>
      <c r="D627" s="52" t="s">
        <v>73</v>
      </c>
      <c r="E627" s="52" t="s">
        <v>2500</v>
      </c>
      <c r="F627" s="55" t="s">
        <v>2501</v>
      </c>
      <c r="G627" s="51">
        <v>5</v>
      </c>
      <c r="H627" s="52" t="s">
        <v>2502</v>
      </c>
      <c r="I627" s="54">
        <v>0</v>
      </c>
      <c r="J627" s="54">
        <v>0</v>
      </c>
      <c r="K627" s="54">
        <v>27000</v>
      </c>
      <c r="L627" s="54">
        <v>0</v>
      </c>
      <c r="M627" s="54">
        <v>0</v>
      </c>
      <c r="N627" s="54">
        <v>0</v>
      </c>
      <c r="O627" s="54">
        <v>0</v>
      </c>
      <c r="P627" s="54">
        <v>0</v>
      </c>
      <c r="Q627" s="54">
        <v>0</v>
      </c>
      <c r="R627" s="54">
        <v>0</v>
      </c>
      <c r="S627" s="54">
        <v>0</v>
      </c>
      <c r="T627" s="54">
        <v>0</v>
      </c>
      <c r="U627" s="54">
        <v>2778</v>
      </c>
      <c r="V627" s="54">
        <v>0</v>
      </c>
      <c r="W627" s="54">
        <v>0</v>
      </c>
      <c r="X627" s="54">
        <v>0</v>
      </c>
      <c r="Y627" s="54">
        <v>0</v>
      </c>
      <c r="Z627" s="54">
        <v>0</v>
      </c>
      <c r="AA627" s="54">
        <v>0</v>
      </c>
      <c r="AB627" s="54">
        <v>0</v>
      </c>
      <c r="AC627" s="54">
        <v>0</v>
      </c>
      <c r="AD627" s="54">
        <v>0</v>
      </c>
      <c r="AE627" s="54">
        <v>0</v>
      </c>
      <c r="AF627" s="54">
        <v>0</v>
      </c>
      <c r="AG627" s="54">
        <v>0</v>
      </c>
      <c r="AH627" s="54">
        <v>0</v>
      </c>
      <c r="AI627" s="54">
        <v>0</v>
      </c>
      <c r="AJ627" s="54">
        <v>0</v>
      </c>
      <c r="AK627" s="54">
        <v>0</v>
      </c>
      <c r="AL627" s="54">
        <v>0</v>
      </c>
      <c r="AM627" s="54" t="str">
        <f>I627-J627-K627-L627-M627-N627-O627-P627-Q627-R627-S627-T627-U627-V627-W627-X627-Y627-Z627-AA627-AB627-AC627-AD627-AE627-AF627-AG627+AH627-AI627+AJ627+AK627-AL627</f>
        <v>0</v>
      </c>
      <c r="AN627" s="54"/>
      <c r="AO627" s="27"/>
    </row>
    <row r="628" spans="1:41">
      <c r="A628" s="44">
        <v>600</v>
      </c>
      <c r="B628" s="47" t="s">
        <v>2503</v>
      </c>
      <c r="C628" s="48" t="s">
        <v>2504</v>
      </c>
      <c r="D628" s="52" t="s">
        <v>73</v>
      </c>
      <c r="E628" s="52" t="s">
        <v>2500</v>
      </c>
      <c r="F628" s="55" t="s">
        <v>1935</v>
      </c>
      <c r="G628" s="51">
        <v>3</v>
      </c>
      <c r="H628" s="52" t="s">
        <v>2505</v>
      </c>
      <c r="I628" s="54">
        <v>0</v>
      </c>
      <c r="J628" s="54">
        <v>0</v>
      </c>
      <c r="K628" s="54">
        <v>22000</v>
      </c>
      <c r="L628" s="54">
        <v>0</v>
      </c>
      <c r="M628" s="54">
        <v>0</v>
      </c>
      <c r="N628" s="54">
        <v>0</v>
      </c>
      <c r="O628" s="54">
        <v>0</v>
      </c>
      <c r="P628" s="54">
        <v>0</v>
      </c>
      <c r="Q628" s="54">
        <v>0</v>
      </c>
      <c r="R628" s="54">
        <v>0</v>
      </c>
      <c r="S628" s="54">
        <v>0</v>
      </c>
      <c r="T628" s="54">
        <v>0</v>
      </c>
      <c r="U628" s="54">
        <v>2263</v>
      </c>
      <c r="V628" s="54">
        <v>0</v>
      </c>
      <c r="W628" s="54">
        <v>0</v>
      </c>
      <c r="X628" s="54">
        <v>0</v>
      </c>
      <c r="Y628" s="54">
        <v>11000</v>
      </c>
      <c r="Z628" s="54">
        <v>0</v>
      </c>
      <c r="AA628" s="54">
        <v>0</v>
      </c>
      <c r="AB628" s="54">
        <v>0</v>
      </c>
      <c r="AC628" s="54">
        <v>0</v>
      </c>
      <c r="AD628" s="54">
        <v>0</v>
      </c>
      <c r="AE628" s="54">
        <v>0</v>
      </c>
      <c r="AF628" s="54">
        <v>0</v>
      </c>
      <c r="AG628" s="54">
        <v>0</v>
      </c>
      <c r="AH628" s="54">
        <v>0</v>
      </c>
      <c r="AI628" s="54">
        <v>0</v>
      </c>
      <c r="AJ628" s="54">
        <v>0</v>
      </c>
      <c r="AK628" s="54">
        <v>0</v>
      </c>
      <c r="AL628" s="54">
        <v>0</v>
      </c>
      <c r="AM628" s="54" t="str">
        <f>I628-J628-K628-L628-M628-N628-O628-P628-Q628-R628-S628-T628-U628-V628-W628-X628-Y628-Z628-AA628-AB628-AC628-AD628-AE628-AF628-AG628+AH628-AI628+AJ628+AK628-AL628</f>
        <v>0</v>
      </c>
      <c r="AN628" s="54"/>
      <c r="AO628" s="27"/>
    </row>
    <row r="629" spans="1:41">
      <c r="A629" s="44">
        <v>601</v>
      </c>
      <c r="B629" s="47" t="s">
        <v>2506</v>
      </c>
      <c r="C629" s="48" t="s">
        <v>2507</v>
      </c>
      <c r="D629" s="52" t="s">
        <v>73</v>
      </c>
      <c r="E629" s="52" t="s">
        <v>2508</v>
      </c>
      <c r="F629" s="55" t="s">
        <v>2509</v>
      </c>
      <c r="G629" s="51">
        <v>3</v>
      </c>
      <c r="H629" s="52" t="s">
        <v>2510</v>
      </c>
      <c r="I629" s="54">
        <v>0</v>
      </c>
      <c r="J629" s="54">
        <v>0</v>
      </c>
      <c r="K629" s="54">
        <v>22000</v>
      </c>
      <c r="L629" s="54">
        <v>0</v>
      </c>
      <c r="M629" s="54">
        <v>0</v>
      </c>
      <c r="N629" s="54">
        <v>0</v>
      </c>
      <c r="O629" s="54">
        <v>0</v>
      </c>
      <c r="P629" s="54">
        <v>0</v>
      </c>
      <c r="Q629" s="54">
        <v>0</v>
      </c>
      <c r="R629" s="54">
        <v>0</v>
      </c>
      <c r="S629" s="54">
        <v>0</v>
      </c>
      <c r="T629" s="54">
        <v>0</v>
      </c>
      <c r="U629" s="54">
        <v>2263</v>
      </c>
      <c r="V629" s="54">
        <v>0</v>
      </c>
      <c r="W629" s="54">
        <v>0</v>
      </c>
      <c r="X629" s="54">
        <v>0</v>
      </c>
      <c r="Y629" s="54">
        <v>11000</v>
      </c>
      <c r="Z629" s="54">
        <v>0</v>
      </c>
      <c r="AA629" s="54">
        <v>0</v>
      </c>
      <c r="AB629" s="54">
        <v>0</v>
      </c>
      <c r="AC629" s="54">
        <v>0</v>
      </c>
      <c r="AD629" s="54">
        <v>0</v>
      </c>
      <c r="AE629" s="54">
        <v>0</v>
      </c>
      <c r="AF629" s="54">
        <v>0</v>
      </c>
      <c r="AG629" s="54">
        <v>0</v>
      </c>
      <c r="AH629" s="54">
        <v>0</v>
      </c>
      <c r="AI629" s="54">
        <v>0</v>
      </c>
      <c r="AJ629" s="54">
        <v>0</v>
      </c>
      <c r="AK629" s="54">
        <v>0</v>
      </c>
      <c r="AL629" s="54">
        <v>0</v>
      </c>
      <c r="AM629" s="54" t="str">
        <f>I629-J629-K629-L629-M629-N629-O629-P629-Q629-R629-S629-T629-U629-V629-W629-X629-Y629-Z629-AA629-AB629-AC629-AD629-AE629-AF629-AG629+AH629-AI629+AJ629+AK629-AL629</f>
        <v>0</v>
      </c>
      <c r="AN629" s="54"/>
      <c r="AO629" s="27"/>
    </row>
    <row r="630" spans="1:41">
      <c r="A630" s="44">
        <v>602</v>
      </c>
      <c r="B630" s="47" t="s">
        <v>2511</v>
      </c>
      <c r="C630" s="48" t="s">
        <v>2512</v>
      </c>
      <c r="D630" s="52" t="s">
        <v>73</v>
      </c>
      <c r="E630" s="52" t="s">
        <v>2508</v>
      </c>
      <c r="F630" s="55" t="s">
        <v>2513</v>
      </c>
      <c r="G630" s="51">
        <v>3</v>
      </c>
      <c r="H630" s="52" t="s">
        <v>2514</v>
      </c>
      <c r="I630" s="54">
        <v>0</v>
      </c>
      <c r="J630" s="54">
        <v>0</v>
      </c>
      <c r="K630" s="54">
        <v>22000</v>
      </c>
      <c r="L630" s="54">
        <v>0</v>
      </c>
      <c r="M630" s="54">
        <v>0</v>
      </c>
      <c r="N630" s="54">
        <v>0</v>
      </c>
      <c r="O630" s="54">
        <v>0</v>
      </c>
      <c r="P630" s="54">
        <v>0</v>
      </c>
      <c r="Q630" s="54">
        <v>0</v>
      </c>
      <c r="R630" s="54">
        <v>0</v>
      </c>
      <c r="S630" s="54">
        <v>0</v>
      </c>
      <c r="T630" s="54">
        <v>0</v>
      </c>
      <c r="U630" s="54">
        <v>2263</v>
      </c>
      <c r="V630" s="54">
        <v>0</v>
      </c>
      <c r="W630" s="54">
        <v>0</v>
      </c>
      <c r="X630" s="54">
        <v>0</v>
      </c>
      <c r="Y630" s="54">
        <v>11000</v>
      </c>
      <c r="Z630" s="54">
        <v>0</v>
      </c>
      <c r="AA630" s="54">
        <v>0</v>
      </c>
      <c r="AB630" s="54">
        <v>0</v>
      </c>
      <c r="AC630" s="54">
        <v>0</v>
      </c>
      <c r="AD630" s="54">
        <v>0</v>
      </c>
      <c r="AE630" s="54">
        <v>0</v>
      </c>
      <c r="AF630" s="54">
        <v>0</v>
      </c>
      <c r="AG630" s="54">
        <v>0</v>
      </c>
      <c r="AH630" s="54">
        <v>0</v>
      </c>
      <c r="AI630" s="54">
        <v>0</v>
      </c>
      <c r="AJ630" s="54">
        <v>0</v>
      </c>
      <c r="AK630" s="54">
        <v>0</v>
      </c>
      <c r="AL630" s="54">
        <v>0</v>
      </c>
      <c r="AM630" s="54" t="str">
        <f>I630-J630-K630-L630-M630-N630-O630-P630-Q630-R630-S630-T630-U630-V630-W630-X630-Y630-Z630-AA630-AB630-AC630-AD630-AE630-AF630-AG630+AH630-AI630+AJ630+AK630-AL630</f>
        <v>0</v>
      </c>
      <c r="AN630" s="54"/>
      <c r="AO630" s="27"/>
    </row>
    <row r="631" spans="1:41">
      <c r="A631" s="44">
        <v>603</v>
      </c>
      <c r="B631" s="47" t="s">
        <v>2515</v>
      </c>
      <c r="C631" s="48" t="s">
        <v>2516</v>
      </c>
      <c r="D631" s="52" t="s">
        <v>73</v>
      </c>
      <c r="E631" s="52" t="s">
        <v>2508</v>
      </c>
      <c r="F631" s="55" t="s">
        <v>2517</v>
      </c>
      <c r="G631" s="51">
        <v>3</v>
      </c>
      <c r="H631" s="52" t="s">
        <v>2518</v>
      </c>
      <c r="I631" s="54">
        <v>0</v>
      </c>
      <c r="J631" s="54">
        <v>0</v>
      </c>
      <c r="K631" s="54">
        <v>22000</v>
      </c>
      <c r="L631" s="54">
        <v>0</v>
      </c>
      <c r="M631" s="54">
        <v>0</v>
      </c>
      <c r="N631" s="54">
        <v>0</v>
      </c>
      <c r="O631" s="54">
        <v>0</v>
      </c>
      <c r="P631" s="54">
        <v>0</v>
      </c>
      <c r="Q631" s="54">
        <v>0</v>
      </c>
      <c r="R631" s="54">
        <v>0</v>
      </c>
      <c r="S631" s="54">
        <v>0</v>
      </c>
      <c r="T631" s="54">
        <v>0</v>
      </c>
      <c r="U631" s="54">
        <v>2263</v>
      </c>
      <c r="V631" s="54">
        <v>0</v>
      </c>
      <c r="W631" s="54">
        <v>0</v>
      </c>
      <c r="X631" s="54">
        <v>0</v>
      </c>
      <c r="Y631" s="54">
        <v>11000</v>
      </c>
      <c r="Z631" s="54">
        <v>0</v>
      </c>
      <c r="AA631" s="54">
        <v>0</v>
      </c>
      <c r="AB631" s="54">
        <v>0</v>
      </c>
      <c r="AC631" s="54">
        <v>0</v>
      </c>
      <c r="AD631" s="54">
        <v>0</v>
      </c>
      <c r="AE631" s="54">
        <v>0</v>
      </c>
      <c r="AF631" s="54">
        <v>0</v>
      </c>
      <c r="AG631" s="54">
        <v>0</v>
      </c>
      <c r="AH631" s="54">
        <v>0</v>
      </c>
      <c r="AI631" s="54">
        <v>0</v>
      </c>
      <c r="AJ631" s="54">
        <v>0</v>
      </c>
      <c r="AK631" s="54">
        <v>0</v>
      </c>
      <c r="AL631" s="54">
        <v>0</v>
      </c>
      <c r="AM631" s="54" t="str">
        <f>I631-J631-K631-L631-M631-N631-O631-P631-Q631-R631-S631-T631-U631-V631-W631-X631-Y631-Z631-AA631-AB631-AC631-AD631-AE631-AF631-AG631+AH631-AI631+AJ631+AK631-AL631</f>
        <v>0</v>
      </c>
      <c r="AN631" s="54"/>
      <c r="AO631" s="27"/>
    </row>
    <row r="632" spans="1:41">
      <c r="A632" s="44">
        <v>604</v>
      </c>
      <c r="B632" s="47" t="s">
        <v>2519</v>
      </c>
      <c r="C632" s="48" t="s">
        <v>2520</v>
      </c>
      <c r="D632" s="52" t="s">
        <v>73</v>
      </c>
      <c r="E632" s="52" t="s">
        <v>2508</v>
      </c>
      <c r="F632" s="55" t="s">
        <v>2521</v>
      </c>
      <c r="G632" s="51">
        <v>5</v>
      </c>
      <c r="H632" s="52" t="s">
        <v>2522</v>
      </c>
      <c r="I632" s="54">
        <v>0</v>
      </c>
      <c r="J632" s="54">
        <v>0</v>
      </c>
      <c r="K632" s="54">
        <v>27000</v>
      </c>
      <c r="L632" s="54">
        <v>0</v>
      </c>
      <c r="M632" s="54">
        <v>0</v>
      </c>
      <c r="N632" s="54">
        <v>0</v>
      </c>
      <c r="O632" s="54">
        <v>0</v>
      </c>
      <c r="P632" s="54">
        <v>0</v>
      </c>
      <c r="Q632" s="54">
        <v>0</v>
      </c>
      <c r="R632" s="54">
        <v>0</v>
      </c>
      <c r="S632" s="54">
        <v>0</v>
      </c>
      <c r="T632" s="54">
        <v>0</v>
      </c>
      <c r="U632" s="54">
        <v>2778</v>
      </c>
      <c r="V632" s="54">
        <v>0</v>
      </c>
      <c r="W632" s="54">
        <v>0</v>
      </c>
      <c r="X632" s="54">
        <v>0</v>
      </c>
      <c r="Y632" s="54">
        <v>13500</v>
      </c>
      <c r="Z632" s="54">
        <v>0</v>
      </c>
      <c r="AA632" s="54">
        <v>0</v>
      </c>
      <c r="AB632" s="54">
        <v>0</v>
      </c>
      <c r="AC632" s="54">
        <v>0</v>
      </c>
      <c r="AD632" s="54">
        <v>0</v>
      </c>
      <c r="AE632" s="54">
        <v>0</v>
      </c>
      <c r="AF632" s="54">
        <v>0</v>
      </c>
      <c r="AG632" s="54">
        <v>0</v>
      </c>
      <c r="AH632" s="54">
        <v>0</v>
      </c>
      <c r="AI632" s="54">
        <v>0</v>
      </c>
      <c r="AJ632" s="54">
        <v>0</v>
      </c>
      <c r="AK632" s="54">
        <v>0</v>
      </c>
      <c r="AL632" s="54">
        <v>0</v>
      </c>
      <c r="AM632" s="54" t="str">
        <f>I632-J632-K632-L632-M632-N632-O632-P632-Q632-R632-S632-T632-U632-V632-W632-X632-Y632-Z632-AA632-AB632-AC632-AD632-AE632-AF632-AG632+AH632-AI632+AJ632+AK632-AL632</f>
        <v>0</v>
      </c>
      <c r="AN632" s="54"/>
      <c r="AO632" s="27"/>
    </row>
    <row r="633" spans="1:41">
      <c r="A633" s="44">
        <v>605</v>
      </c>
      <c r="B633" s="47" t="s">
        <v>2523</v>
      </c>
      <c r="C633" s="48" t="s">
        <v>2524</v>
      </c>
      <c r="D633" s="52" t="s">
        <v>73</v>
      </c>
      <c r="E633" s="52" t="s">
        <v>2525</v>
      </c>
      <c r="F633" s="55" t="s">
        <v>2526</v>
      </c>
      <c r="G633" s="51">
        <v>10</v>
      </c>
      <c r="H633" s="52" t="s">
        <v>2527</v>
      </c>
      <c r="I633" s="54">
        <v>0</v>
      </c>
      <c r="J633" s="54">
        <v>0</v>
      </c>
      <c r="K633" s="54">
        <v>49000</v>
      </c>
      <c r="L633" s="54">
        <v>0</v>
      </c>
      <c r="M633" s="54">
        <v>0</v>
      </c>
      <c r="N633" s="54">
        <v>0</v>
      </c>
      <c r="O633" s="54">
        <v>0</v>
      </c>
      <c r="P633" s="54">
        <v>0</v>
      </c>
      <c r="Q633" s="54">
        <v>0</v>
      </c>
      <c r="R633" s="54">
        <v>0</v>
      </c>
      <c r="S633" s="54">
        <v>0</v>
      </c>
      <c r="T633" s="54">
        <v>0</v>
      </c>
      <c r="U633" s="54">
        <v>5042</v>
      </c>
      <c r="V633" s="54">
        <v>0</v>
      </c>
      <c r="W633" s="54">
        <v>0</v>
      </c>
      <c r="X633" s="54">
        <v>0</v>
      </c>
      <c r="Y633" s="54">
        <v>0</v>
      </c>
      <c r="Z633" s="54">
        <v>0</v>
      </c>
      <c r="AA633" s="54">
        <v>0</v>
      </c>
      <c r="AB633" s="54">
        <v>0</v>
      </c>
      <c r="AC633" s="54">
        <v>0</v>
      </c>
      <c r="AD633" s="54">
        <v>0</v>
      </c>
      <c r="AE633" s="54">
        <v>0</v>
      </c>
      <c r="AF633" s="54">
        <v>0</v>
      </c>
      <c r="AG633" s="54">
        <v>0</v>
      </c>
      <c r="AH633" s="54">
        <v>0</v>
      </c>
      <c r="AI633" s="54">
        <v>0</v>
      </c>
      <c r="AJ633" s="54">
        <v>0</v>
      </c>
      <c r="AK633" s="54">
        <v>0</v>
      </c>
      <c r="AL633" s="54">
        <v>0</v>
      </c>
      <c r="AM633" s="54" t="str">
        <f>I633-J633-K633-L633-M633-N633-O633-P633-Q633-R633-S633-T633-U633-V633-W633-X633-Y633-Z633-AA633-AB633-AC633-AD633-AE633-AF633-AG633+AH633-AI633+AJ633+AK633-AL633</f>
        <v>0</v>
      </c>
      <c r="AN633" s="54"/>
      <c r="AO633" s="27"/>
    </row>
    <row r="634" spans="1:41">
      <c r="A634" s="44">
        <v>606</v>
      </c>
      <c r="B634" s="47" t="s">
        <v>2528</v>
      </c>
      <c r="C634" s="48" t="s">
        <v>2529</v>
      </c>
      <c r="D634" s="52" t="s">
        <v>73</v>
      </c>
      <c r="E634" s="52" t="s">
        <v>2530</v>
      </c>
      <c r="F634" s="55" t="s">
        <v>2531</v>
      </c>
      <c r="G634" s="51">
        <v>10.7</v>
      </c>
      <c r="H634" s="52" t="s">
        <v>124</v>
      </c>
      <c r="I634" s="54">
        <v>0</v>
      </c>
      <c r="J634" s="54">
        <v>0</v>
      </c>
      <c r="K634" s="54">
        <v>54000</v>
      </c>
      <c r="L634" s="54">
        <v>0</v>
      </c>
      <c r="M634" s="54">
        <v>0</v>
      </c>
      <c r="N634" s="54">
        <v>0</v>
      </c>
      <c r="O634" s="54">
        <v>0</v>
      </c>
      <c r="P634" s="54">
        <v>0</v>
      </c>
      <c r="Q634" s="54">
        <v>0</v>
      </c>
      <c r="R634" s="54">
        <v>0</v>
      </c>
      <c r="S634" s="54">
        <v>0</v>
      </c>
      <c r="T634" s="54">
        <v>0</v>
      </c>
      <c r="U634" s="54">
        <v>5556</v>
      </c>
      <c r="V634" s="54">
        <v>0</v>
      </c>
      <c r="W634" s="54">
        <v>0</v>
      </c>
      <c r="X634" s="54">
        <v>0</v>
      </c>
      <c r="Y634" s="54">
        <v>0</v>
      </c>
      <c r="Z634" s="54">
        <v>0</v>
      </c>
      <c r="AA634" s="54">
        <v>0</v>
      </c>
      <c r="AB634" s="54">
        <v>0</v>
      </c>
      <c r="AC634" s="54">
        <v>0</v>
      </c>
      <c r="AD634" s="54">
        <v>0</v>
      </c>
      <c r="AE634" s="54">
        <v>0</v>
      </c>
      <c r="AF634" s="54">
        <v>0</v>
      </c>
      <c r="AG634" s="54">
        <v>0</v>
      </c>
      <c r="AH634" s="54">
        <v>0</v>
      </c>
      <c r="AI634" s="54">
        <v>0</v>
      </c>
      <c r="AJ634" s="54">
        <v>0</v>
      </c>
      <c r="AK634" s="54">
        <v>0</v>
      </c>
      <c r="AL634" s="54">
        <v>0</v>
      </c>
      <c r="AM634" s="54" t="str">
        <f>I634-J634-K634-L634-M634-N634-O634-P634-Q634-R634-S634-T634-U634-V634-W634-X634-Y634-Z634-AA634-AB634-AC634-AD634-AE634-AF634-AG634+AH634-AI634+AJ634+AK634-AL634</f>
        <v>0</v>
      </c>
      <c r="AN634" s="54"/>
      <c r="AO634" s="27"/>
    </row>
    <row r="635" spans="1:41">
      <c r="A635" s="44">
        <v>607</v>
      </c>
      <c r="B635" s="47" t="s">
        <v>2532</v>
      </c>
      <c r="C635" s="48"/>
      <c r="D635" s="52" t="s">
        <v>73</v>
      </c>
      <c r="E635" s="52" t="s">
        <v>2533</v>
      </c>
      <c r="F635" s="55" t="s">
        <v>2534</v>
      </c>
      <c r="G635" s="51">
        <v>5</v>
      </c>
      <c r="H635" s="52" t="s">
        <v>2535</v>
      </c>
      <c r="I635" s="54">
        <v>0</v>
      </c>
      <c r="J635" s="54">
        <v>0</v>
      </c>
      <c r="K635" s="54">
        <v>27000</v>
      </c>
      <c r="L635" s="54">
        <v>0</v>
      </c>
      <c r="M635" s="54">
        <v>0</v>
      </c>
      <c r="N635" s="54">
        <v>0</v>
      </c>
      <c r="O635" s="54">
        <v>0</v>
      </c>
      <c r="P635" s="54">
        <v>0</v>
      </c>
      <c r="Q635" s="54">
        <v>0</v>
      </c>
      <c r="R635" s="54">
        <v>0</v>
      </c>
      <c r="S635" s="54">
        <v>0</v>
      </c>
      <c r="T635" s="54">
        <v>0</v>
      </c>
      <c r="U635" s="54">
        <v>2778</v>
      </c>
      <c r="V635" s="54">
        <v>0</v>
      </c>
      <c r="W635" s="54">
        <v>0</v>
      </c>
      <c r="X635" s="54">
        <v>0</v>
      </c>
      <c r="Y635" s="54">
        <v>0</v>
      </c>
      <c r="Z635" s="54">
        <v>0</v>
      </c>
      <c r="AA635" s="54">
        <v>0</v>
      </c>
      <c r="AB635" s="54">
        <v>0</v>
      </c>
      <c r="AC635" s="54">
        <v>0</v>
      </c>
      <c r="AD635" s="54">
        <v>0</v>
      </c>
      <c r="AE635" s="54">
        <v>0</v>
      </c>
      <c r="AF635" s="54">
        <v>0</v>
      </c>
      <c r="AG635" s="54">
        <v>0</v>
      </c>
      <c r="AH635" s="54">
        <v>0</v>
      </c>
      <c r="AI635" s="54">
        <v>0</v>
      </c>
      <c r="AJ635" s="54">
        <v>0</v>
      </c>
      <c r="AK635" s="54">
        <v>0</v>
      </c>
      <c r="AL635" s="54">
        <v>0</v>
      </c>
      <c r="AM635" s="54" t="str">
        <f>I635-J635-K635-L635-M635-N635-O635-P635-Q635-R635-S635-T635-U635-V635-W635-X635-Y635-Z635-AA635-AB635-AC635-AD635-AE635-AF635-AG635+AH635-AI635+AJ635+AK635-AL635</f>
        <v>0</v>
      </c>
      <c r="AN635" s="54"/>
      <c r="AO635" s="27"/>
    </row>
    <row r="636" spans="1:41">
      <c r="A636" s="44">
        <v>608</v>
      </c>
      <c r="B636" s="47" t="s">
        <v>2536</v>
      </c>
      <c r="C636" s="48" t="s">
        <v>2537</v>
      </c>
      <c r="D636" s="52" t="s">
        <v>73</v>
      </c>
      <c r="E636" s="52" t="s">
        <v>2538</v>
      </c>
      <c r="F636" s="55" t="s">
        <v>1167</v>
      </c>
      <c r="G636" s="51">
        <v>0.1</v>
      </c>
      <c r="H636" s="52" t="s">
        <v>2539</v>
      </c>
      <c r="I636" s="54">
        <v>0</v>
      </c>
      <c r="J636" s="54">
        <v>0</v>
      </c>
      <c r="K636" s="54">
        <v>22000</v>
      </c>
      <c r="L636" s="54">
        <v>0</v>
      </c>
      <c r="M636" s="54">
        <v>0</v>
      </c>
      <c r="N636" s="54">
        <v>0</v>
      </c>
      <c r="O636" s="54">
        <v>0</v>
      </c>
      <c r="P636" s="54">
        <v>0</v>
      </c>
      <c r="Q636" s="54">
        <v>0</v>
      </c>
      <c r="R636" s="54">
        <v>0</v>
      </c>
      <c r="S636" s="54">
        <v>0</v>
      </c>
      <c r="T636" s="54">
        <v>0</v>
      </c>
      <c r="U636" s="54">
        <v>2263</v>
      </c>
      <c r="V636" s="54">
        <v>0</v>
      </c>
      <c r="W636" s="54">
        <v>0</v>
      </c>
      <c r="X636" s="54">
        <v>0</v>
      </c>
      <c r="Y636" s="54">
        <v>11000</v>
      </c>
      <c r="Z636" s="54">
        <v>0</v>
      </c>
      <c r="AA636" s="54">
        <v>0</v>
      </c>
      <c r="AB636" s="54">
        <v>0</v>
      </c>
      <c r="AC636" s="54">
        <v>0</v>
      </c>
      <c r="AD636" s="54">
        <v>0</v>
      </c>
      <c r="AE636" s="54">
        <v>0</v>
      </c>
      <c r="AF636" s="54">
        <v>0</v>
      </c>
      <c r="AG636" s="54">
        <v>0</v>
      </c>
      <c r="AH636" s="54">
        <v>0</v>
      </c>
      <c r="AI636" s="54">
        <v>0</v>
      </c>
      <c r="AJ636" s="54">
        <v>0</v>
      </c>
      <c r="AK636" s="54">
        <v>0</v>
      </c>
      <c r="AL636" s="54">
        <v>0</v>
      </c>
      <c r="AM636" s="54" t="str">
        <f>I636-J636-K636-L636-M636-N636-O636-P636-Q636-R636-S636-T636-U636-V636-W636-X636-Y636-Z636-AA636-AB636-AC636-AD636-AE636-AF636-AG636+AH636-AI636+AJ636+AK636-AL636</f>
        <v>0</v>
      </c>
      <c r="AN636" s="54"/>
      <c r="AO636" s="27"/>
    </row>
    <row r="637" spans="1:41">
      <c r="A637" s="44">
        <v>609</v>
      </c>
      <c r="B637" s="47" t="s">
        <v>2540</v>
      </c>
      <c r="C637" s="48" t="s">
        <v>2541</v>
      </c>
      <c r="D637" s="52" t="s">
        <v>73</v>
      </c>
      <c r="E637" s="52" t="s">
        <v>2542</v>
      </c>
      <c r="F637" s="55" t="s">
        <v>2543</v>
      </c>
      <c r="G637" s="51">
        <v>0.1</v>
      </c>
      <c r="H637" s="52" t="s">
        <v>2544</v>
      </c>
      <c r="I637" s="54">
        <v>0</v>
      </c>
      <c r="J637" s="54">
        <v>0</v>
      </c>
      <c r="K637" s="54">
        <v>22000</v>
      </c>
      <c r="L637" s="54">
        <v>0</v>
      </c>
      <c r="M637" s="54">
        <v>0</v>
      </c>
      <c r="N637" s="54">
        <v>0</v>
      </c>
      <c r="O637" s="54">
        <v>0</v>
      </c>
      <c r="P637" s="54">
        <v>0</v>
      </c>
      <c r="Q637" s="54">
        <v>0</v>
      </c>
      <c r="R637" s="54">
        <v>0</v>
      </c>
      <c r="S637" s="54">
        <v>0</v>
      </c>
      <c r="T637" s="54">
        <v>0</v>
      </c>
      <c r="U637" s="54">
        <v>2263</v>
      </c>
      <c r="V637" s="54">
        <v>0</v>
      </c>
      <c r="W637" s="54">
        <v>0</v>
      </c>
      <c r="X637" s="54">
        <v>0</v>
      </c>
      <c r="Y637" s="54">
        <v>5000</v>
      </c>
      <c r="Z637" s="54">
        <v>0</v>
      </c>
      <c r="AA637" s="54">
        <v>0</v>
      </c>
      <c r="AB637" s="54">
        <v>0</v>
      </c>
      <c r="AC637" s="54">
        <v>0</v>
      </c>
      <c r="AD637" s="54">
        <v>0</v>
      </c>
      <c r="AE637" s="54">
        <v>0</v>
      </c>
      <c r="AF637" s="54">
        <v>0</v>
      </c>
      <c r="AG637" s="54">
        <v>0</v>
      </c>
      <c r="AH637" s="54">
        <v>0</v>
      </c>
      <c r="AI637" s="54">
        <v>0</v>
      </c>
      <c r="AJ637" s="54">
        <v>0</v>
      </c>
      <c r="AK637" s="54">
        <v>0</v>
      </c>
      <c r="AL637" s="54">
        <v>0</v>
      </c>
      <c r="AM637" s="54" t="str">
        <f>I637-J637-K637-L637-M637-N637-O637-P637-Q637-R637-S637-T637-U637-V637-W637-X637-Y637-Z637-AA637-AB637-AC637-AD637-AE637-AF637-AG637+AH637-AI637+AJ637+AK637-AL637</f>
        <v>0</v>
      </c>
      <c r="AN637" s="54"/>
      <c r="AO637" s="27"/>
    </row>
    <row r="638" spans="1:41">
      <c r="A638" s="44">
        <v>610</v>
      </c>
      <c r="B638" s="47" t="s">
        <v>2545</v>
      </c>
      <c r="C638" s="48" t="s">
        <v>2546</v>
      </c>
      <c r="D638" s="52" t="s">
        <v>62</v>
      </c>
      <c r="E638" s="52" t="s">
        <v>2547</v>
      </c>
      <c r="F638" s="55" t="s">
        <v>2548</v>
      </c>
      <c r="G638" s="51">
        <v>6</v>
      </c>
      <c r="H638" s="52" t="s">
        <v>2549</v>
      </c>
      <c r="I638" s="54">
        <v>0</v>
      </c>
      <c r="J638" s="54">
        <v>0</v>
      </c>
      <c r="K638" s="54">
        <v>31000</v>
      </c>
      <c r="L638" s="54">
        <v>0</v>
      </c>
      <c r="M638" s="54">
        <v>0</v>
      </c>
      <c r="N638" s="54">
        <v>0</v>
      </c>
      <c r="O638" s="54">
        <v>0</v>
      </c>
      <c r="P638" s="54">
        <v>0</v>
      </c>
      <c r="Q638" s="54">
        <v>0</v>
      </c>
      <c r="R638" s="54">
        <v>0</v>
      </c>
      <c r="S638" s="54">
        <v>0</v>
      </c>
      <c r="T638" s="54">
        <v>0</v>
      </c>
      <c r="U638" s="54">
        <v>1968</v>
      </c>
      <c r="V638" s="54">
        <v>0</v>
      </c>
      <c r="W638" s="54">
        <v>0</v>
      </c>
      <c r="X638" s="54">
        <v>0</v>
      </c>
      <c r="Y638" s="54">
        <v>5000</v>
      </c>
      <c r="Z638" s="54">
        <v>0</v>
      </c>
      <c r="AA638" s="54">
        <v>0</v>
      </c>
      <c r="AB638" s="54">
        <v>0</v>
      </c>
      <c r="AC638" s="54">
        <v>0</v>
      </c>
      <c r="AD638" s="54">
        <v>0</v>
      </c>
      <c r="AE638" s="54">
        <v>0</v>
      </c>
      <c r="AF638" s="54">
        <v>0</v>
      </c>
      <c r="AG638" s="54">
        <v>0</v>
      </c>
      <c r="AH638" s="54">
        <v>0</v>
      </c>
      <c r="AI638" s="54">
        <v>0</v>
      </c>
      <c r="AJ638" s="54">
        <v>0</v>
      </c>
      <c r="AK638" s="54">
        <v>0</v>
      </c>
      <c r="AL638" s="54">
        <v>0</v>
      </c>
      <c r="AM638" s="54" t="str">
        <f>I638-J638-K638-L638-M638-N638-O638-P638-Q638-R638-S638-T638-U638-V638-W638-X638-Y638-Z638-AA638-AB638-AC638-AD638-AE638-AF638-AG638+AH638-AI638+AJ638+AK638-AL638</f>
        <v>0</v>
      </c>
      <c r="AN638" s="54"/>
      <c r="AO638" s="27"/>
    </row>
    <row r="639" spans="1:41">
      <c r="A639" s="44">
        <v>611</v>
      </c>
      <c r="B639" s="47" t="s">
        <v>2550</v>
      </c>
      <c r="C639" s="48" t="s">
        <v>2551</v>
      </c>
      <c r="D639" s="52" t="s">
        <v>73</v>
      </c>
      <c r="E639" s="52" t="s">
        <v>2547</v>
      </c>
      <c r="F639" s="55" t="s">
        <v>2552</v>
      </c>
      <c r="G639" s="51">
        <v>2</v>
      </c>
      <c r="H639" s="52" t="s">
        <v>2553</v>
      </c>
      <c r="I639" s="54">
        <v>425000</v>
      </c>
      <c r="J639" s="54">
        <v>0</v>
      </c>
      <c r="K639" s="54">
        <v>22000</v>
      </c>
      <c r="L639" s="54">
        <v>0</v>
      </c>
      <c r="M639" s="54">
        <v>0</v>
      </c>
      <c r="N639" s="54">
        <v>0</v>
      </c>
      <c r="O639" s="54">
        <v>0</v>
      </c>
      <c r="P639" s="54">
        <v>0</v>
      </c>
      <c r="Q639" s="54">
        <v>0</v>
      </c>
      <c r="R639" s="54">
        <v>0</v>
      </c>
      <c r="S639" s="54">
        <v>0</v>
      </c>
      <c r="T639" s="54">
        <v>0</v>
      </c>
      <c r="U639" s="54">
        <v>1397</v>
      </c>
      <c r="V639" s="54">
        <v>0</v>
      </c>
      <c r="W639" s="54">
        <v>0</v>
      </c>
      <c r="X639" s="54">
        <v>0</v>
      </c>
      <c r="Y639" s="54">
        <v>0</v>
      </c>
      <c r="Z639" s="54">
        <v>0</v>
      </c>
      <c r="AA639" s="54">
        <v>0</v>
      </c>
      <c r="AB639" s="54">
        <v>0</v>
      </c>
      <c r="AC639" s="54">
        <v>0</v>
      </c>
      <c r="AD639" s="54">
        <v>0</v>
      </c>
      <c r="AE639" s="54">
        <v>0</v>
      </c>
      <c r="AF639" s="54">
        <v>0</v>
      </c>
      <c r="AG639" s="54">
        <v>0</v>
      </c>
      <c r="AH639" s="54">
        <v>0</v>
      </c>
      <c r="AI639" s="54">
        <v>0</v>
      </c>
      <c r="AJ639" s="54">
        <v>0</v>
      </c>
      <c r="AK639" s="54">
        <v>0</v>
      </c>
      <c r="AL639" s="54">
        <v>0</v>
      </c>
      <c r="AM639" s="54" t="str">
        <f>I639-J639-K639-L639-M639-N639-O639-P639-Q639-R639-S639-T639-U639-V639-W639-X639-Y639-Z639-AA639-AB639-AC639-AD639-AE639-AF639-AG639+AH639-AI639+AJ639+AK639-AL639</f>
        <v>0</v>
      </c>
      <c r="AN639" s="54"/>
      <c r="AO639" s="27"/>
    </row>
    <row r="640" spans="1:41">
      <c r="A640" s="44">
        <v>612</v>
      </c>
      <c r="B640" s="47" t="s">
        <v>2554</v>
      </c>
      <c r="C640" s="48" t="s">
        <v>2555</v>
      </c>
      <c r="D640" s="52" t="s">
        <v>73</v>
      </c>
      <c r="E640" s="52" t="s">
        <v>2547</v>
      </c>
      <c r="F640" s="55" t="s">
        <v>1943</v>
      </c>
      <c r="G640" s="51">
        <v>7</v>
      </c>
      <c r="H640" s="52" t="s">
        <v>2556</v>
      </c>
      <c r="I640" s="54">
        <v>1876000</v>
      </c>
      <c r="J640" s="54">
        <v>0</v>
      </c>
      <c r="K640" s="54">
        <v>35000</v>
      </c>
      <c r="L640" s="54">
        <v>0</v>
      </c>
      <c r="M640" s="54">
        <v>0</v>
      </c>
      <c r="N640" s="54">
        <v>0</v>
      </c>
      <c r="O640" s="54">
        <v>0</v>
      </c>
      <c r="P640" s="54">
        <v>0</v>
      </c>
      <c r="Q640" s="54">
        <v>0</v>
      </c>
      <c r="R640" s="54">
        <v>0</v>
      </c>
      <c r="S640" s="54">
        <v>0</v>
      </c>
      <c r="T640" s="54">
        <v>0</v>
      </c>
      <c r="U640" s="54">
        <v>2222</v>
      </c>
      <c r="V640" s="54">
        <v>0</v>
      </c>
      <c r="W640" s="54">
        <v>0</v>
      </c>
      <c r="X640" s="54">
        <v>0</v>
      </c>
      <c r="Y640" s="54">
        <v>0</v>
      </c>
      <c r="Z640" s="54">
        <v>0</v>
      </c>
      <c r="AA640" s="54">
        <v>0</v>
      </c>
      <c r="AB640" s="54">
        <v>0</v>
      </c>
      <c r="AC640" s="54">
        <v>0</v>
      </c>
      <c r="AD640" s="54">
        <v>0</v>
      </c>
      <c r="AE640" s="54">
        <v>0</v>
      </c>
      <c r="AF640" s="54">
        <v>0</v>
      </c>
      <c r="AG640" s="54">
        <v>0</v>
      </c>
      <c r="AH640" s="54">
        <v>0</v>
      </c>
      <c r="AI640" s="54">
        <v>0</v>
      </c>
      <c r="AJ640" s="54">
        <v>0</v>
      </c>
      <c r="AK640" s="54">
        <v>0</v>
      </c>
      <c r="AL640" s="54">
        <v>0</v>
      </c>
      <c r="AM640" s="54" t="str">
        <f>I640-J640-K640-L640-M640-N640-O640-P640-Q640-R640-S640-T640-U640-V640-W640-X640-Y640-Z640-AA640-AB640-AC640-AD640-AE640-AF640-AG640+AH640-AI640+AJ640+AK640-AL640</f>
        <v>0</v>
      </c>
      <c r="AN640" s="54"/>
      <c r="AO640" s="27"/>
    </row>
    <row r="641" spans="1:41">
      <c r="A641" s="44">
        <v>613</v>
      </c>
      <c r="B641" s="47" t="s">
        <v>2557</v>
      </c>
      <c r="C641" s="48" t="s">
        <v>2558</v>
      </c>
      <c r="D641" s="52" t="s">
        <v>62</v>
      </c>
      <c r="E641" s="52" t="s">
        <v>2547</v>
      </c>
      <c r="F641" s="55" t="s">
        <v>2559</v>
      </c>
      <c r="G641" s="51">
        <v>6</v>
      </c>
      <c r="H641" s="52" t="s">
        <v>2560</v>
      </c>
      <c r="I641" s="54">
        <v>0</v>
      </c>
      <c r="J641" s="54">
        <v>0</v>
      </c>
      <c r="K641" s="54">
        <v>31000</v>
      </c>
      <c r="L641" s="54">
        <v>0</v>
      </c>
      <c r="M641" s="54">
        <v>0</v>
      </c>
      <c r="N641" s="54">
        <v>0</v>
      </c>
      <c r="O641" s="54">
        <v>0</v>
      </c>
      <c r="P641" s="54">
        <v>0</v>
      </c>
      <c r="Q641" s="54">
        <v>0</v>
      </c>
      <c r="R641" s="54">
        <v>0</v>
      </c>
      <c r="S641" s="54">
        <v>0</v>
      </c>
      <c r="T641" s="54">
        <v>0</v>
      </c>
      <c r="U641" s="54">
        <v>1968</v>
      </c>
      <c r="V641" s="54">
        <v>0</v>
      </c>
      <c r="W641" s="54">
        <v>0</v>
      </c>
      <c r="X641" s="54">
        <v>0</v>
      </c>
      <c r="Y641" s="54">
        <v>5000</v>
      </c>
      <c r="Z641" s="54">
        <v>0</v>
      </c>
      <c r="AA641" s="54">
        <v>0</v>
      </c>
      <c r="AB641" s="54">
        <v>0</v>
      </c>
      <c r="AC641" s="54">
        <v>0</v>
      </c>
      <c r="AD641" s="54">
        <v>0</v>
      </c>
      <c r="AE641" s="54">
        <v>0</v>
      </c>
      <c r="AF641" s="54">
        <v>0</v>
      </c>
      <c r="AG641" s="54">
        <v>0</v>
      </c>
      <c r="AH641" s="54">
        <v>0</v>
      </c>
      <c r="AI641" s="54">
        <v>0</v>
      </c>
      <c r="AJ641" s="54">
        <v>0</v>
      </c>
      <c r="AK641" s="54">
        <v>0</v>
      </c>
      <c r="AL641" s="54">
        <v>0</v>
      </c>
      <c r="AM641" s="54" t="str">
        <f>I641-J641-K641-L641-M641-N641-O641-P641-Q641-R641-S641-T641-U641-V641-W641-X641-Y641-Z641-AA641-AB641-AC641-AD641-AE641-AF641-AG641+AH641-AI641+AJ641+AK641-AL641</f>
        <v>0</v>
      </c>
      <c r="AN641" s="54"/>
      <c r="AO641" s="27"/>
    </row>
    <row r="642" spans="1:41">
      <c r="A642" s="44">
        <v>614</v>
      </c>
      <c r="B642" s="47" t="s">
        <v>2561</v>
      </c>
      <c r="C642" s="48" t="s">
        <v>2562</v>
      </c>
      <c r="D642" s="52" t="s">
        <v>62</v>
      </c>
      <c r="E642" s="52" t="s">
        <v>2547</v>
      </c>
      <c r="F642" s="55" t="s">
        <v>2563</v>
      </c>
      <c r="G642" s="51">
        <v>2</v>
      </c>
      <c r="H642" s="52" t="s">
        <v>2564</v>
      </c>
      <c r="I642" s="54">
        <v>0</v>
      </c>
      <c r="J642" s="54">
        <v>0</v>
      </c>
      <c r="K642" s="54">
        <v>22000</v>
      </c>
      <c r="L642" s="54">
        <v>0</v>
      </c>
      <c r="M642" s="54">
        <v>0</v>
      </c>
      <c r="N642" s="54">
        <v>0</v>
      </c>
      <c r="O642" s="54">
        <v>0</v>
      </c>
      <c r="P642" s="54">
        <v>0</v>
      </c>
      <c r="Q642" s="54">
        <v>0</v>
      </c>
      <c r="R642" s="54">
        <v>0</v>
      </c>
      <c r="S642" s="54">
        <v>0</v>
      </c>
      <c r="T642" s="54">
        <v>0</v>
      </c>
      <c r="U642" s="54">
        <v>1397</v>
      </c>
      <c r="V642" s="54">
        <v>0</v>
      </c>
      <c r="W642" s="54">
        <v>0</v>
      </c>
      <c r="X642" s="54">
        <v>0</v>
      </c>
      <c r="Y642" s="54">
        <v>5000</v>
      </c>
      <c r="Z642" s="54">
        <v>0</v>
      </c>
      <c r="AA642" s="54">
        <v>0</v>
      </c>
      <c r="AB642" s="54">
        <v>0</v>
      </c>
      <c r="AC642" s="54">
        <v>0</v>
      </c>
      <c r="AD642" s="54">
        <v>0</v>
      </c>
      <c r="AE642" s="54">
        <v>0</v>
      </c>
      <c r="AF642" s="54">
        <v>0</v>
      </c>
      <c r="AG642" s="54">
        <v>0</v>
      </c>
      <c r="AH642" s="54">
        <v>0</v>
      </c>
      <c r="AI642" s="54">
        <v>0</v>
      </c>
      <c r="AJ642" s="54">
        <v>0</v>
      </c>
      <c r="AK642" s="54">
        <v>0</v>
      </c>
      <c r="AL642" s="54">
        <v>0</v>
      </c>
      <c r="AM642" s="54" t="str">
        <f>I642-J642-K642-L642-M642-N642-O642-P642-Q642-R642-S642-T642-U642-V642-W642-X642-Y642-Z642-AA642-AB642-AC642-AD642-AE642-AF642-AG642+AH642-AI642+AJ642+AK642-AL642</f>
        <v>0</v>
      </c>
      <c r="AN642" s="54"/>
      <c r="AO642" s="27"/>
    </row>
    <row r="643" spans="1:41">
      <c r="A643" s="44">
        <v>615</v>
      </c>
      <c r="B643" s="47" t="s">
        <v>2565</v>
      </c>
      <c r="C643" s="48" t="s">
        <v>2566</v>
      </c>
      <c r="D643" s="52" t="s">
        <v>73</v>
      </c>
      <c r="E643" s="52" t="s">
        <v>2547</v>
      </c>
      <c r="F643" s="55" t="s">
        <v>233</v>
      </c>
      <c r="G643" s="51">
        <v>4</v>
      </c>
      <c r="H643" s="52" t="s">
        <v>2567</v>
      </c>
      <c r="I643" s="54">
        <v>1860000</v>
      </c>
      <c r="J643" s="54">
        <v>0</v>
      </c>
      <c r="K643" s="54">
        <v>25000</v>
      </c>
      <c r="L643" s="54">
        <v>0</v>
      </c>
      <c r="M643" s="54">
        <v>0</v>
      </c>
      <c r="N643" s="54">
        <v>0</v>
      </c>
      <c r="O643" s="54">
        <v>0</v>
      </c>
      <c r="P643" s="54">
        <v>0</v>
      </c>
      <c r="Q643" s="54">
        <v>0</v>
      </c>
      <c r="R643" s="54">
        <v>0</v>
      </c>
      <c r="S643" s="54">
        <v>0</v>
      </c>
      <c r="T643" s="54">
        <v>0</v>
      </c>
      <c r="U643" s="54">
        <v>1587</v>
      </c>
      <c r="V643" s="54">
        <v>0</v>
      </c>
      <c r="W643" s="54">
        <v>0</v>
      </c>
      <c r="X643" s="54">
        <v>0</v>
      </c>
      <c r="Y643" s="54">
        <v>0</v>
      </c>
      <c r="Z643" s="54">
        <v>0</v>
      </c>
      <c r="AA643" s="54">
        <v>0</v>
      </c>
      <c r="AB643" s="54">
        <v>0</v>
      </c>
      <c r="AC643" s="54">
        <v>0</v>
      </c>
      <c r="AD643" s="54">
        <v>0</v>
      </c>
      <c r="AE643" s="54">
        <v>0</v>
      </c>
      <c r="AF643" s="54">
        <v>0</v>
      </c>
      <c r="AG643" s="54">
        <v>0</v>
      </c>
      <c r="AH643" s="54">
        <v>0</v>
      </c>
      <c r="AI643" s="54">
        <v>0</v>
      </c>
      <c r="AJ643" s="54">
        <v>0</v>
      </c>
      <c r="AK643" s="54">
        <v>0</v>
      </c>
      <c r="AL643" s="54">
        <v>0</v>
      </c>
      <c r="AM643" s="54" t="str">
        <f>I643-J643-K643-L643-M643-N643-O643-P643-Q643-R643-S643-T643-U643-V643-W643-X643-Y643-Z643-AA643-AB643-AC643-AD643-AE643-AF643-AG643+AH643-AI643+AJ643+AK643-AL643</f>
        <v>0</v>
      </c>
      <c r="AN643" s="54"/>
      <c r="AO643" s="27"/>
    </row>
    <row r="644" spans="1:41">
      <c r="A644" s="44">
        <v>616</v>
      </c>
      <c r="B644" s="47" t="s">
        <v>2568</v>
      </c>
      <c r="C644" s="48" t="s">
        <v>2569</v>
      </c>
      <c r="D644" s="52" t="s">
        <v>73</v>
      </c>
      <c r="E644" s="52" t="s">
        <v>2547</v>
      </c>
      <c r="F644" s="55" t="s">
        <v>2570</v>
      </c>
      <c r="G644" s="51">
        <v>2</v>
      </c>
      <c r="H644" s="52" t="s">
        <v>2571</v>
      </c>
      <c r="I644" s="54">
        <v>335000</v>
      </c>
      <c r="J644" s="54">
        <v>0</v>
      </c>
      <c r="K644" s="54">
        <v>22000</v>
      </c>
      <c r="L644" s="54">
        <v>0</v>
      </c>
      <c r="M644" s="54">
        <v>0</v>
      </c>
      <c r="N644" s="54">
        <v>0</v>
      </c>
      <c r="O644" s="54">
        <v>0</v>
      </c>
      <c r="P644" s="54">
        <v>0</v>
      </c>
      <c r="Q644" s="54">
        <v>0</v>
      </c>
      <c r="R644" s="54">
        <v>0</v>
      </c>
      <c r="S644" s="54">
        <v>0</v>
      </c>
      <c r="T644" s="54">
        <v>0</v>
      </c>
      <c r="U644" s="54">
        <v>1397</v>
      </c>
      <c r="V644" s="54">
        <v>0</v>
      </c>
      <c r="W644" s="54">
        <v>0</v>
      </c>
      <c r="X644" s="54">
        <v>0</v>
      </c>
      <c r="Y644" s="54">
        <v>0</v>
      </c>
      <c r="Z644" s="54">
        <v>0</v>
      </c>
      <c r="AA644" s="54">
        <v>0</v>
      </c>
      <c r="AB644" s="54">
        <v>0</v>
      </c>
      <c r="AC644" s="54">
        <v>0</v>
      </c>
      <c r="AD644" s="54">
        <v>0</v>
      </c>
      <c r="AE644" s="54">
        <v>0</v>
      </c>
      <c r="AF644" s="54">
        <v>0</v>
      </c>
      <c r="AG644" s="54">
        <v>0</v>
      </c>
      <c r="AH644" s="54">
        <v>0</v>
      </c>
      <c r="AI644" s="54">
        <v>0</v>
      </c>
      <c r="AJ644" s="54">
        <v>0</v>
      </c>
      <c r="AK644" s="54">
        <v>0</v>
      </c>
      <c r="AL644" s="54">
        <v>0</v>
      </c>
      <c r="AM644" s="54" t="str">
        <f>I644-J644-K644-L644-M644-N644-O644-P644-Q644-R644-S644-T644-U644-V644-W644-X644-Y644-Z644-AA644-AB644-AC644-AD644-AE644-AF644-AG644+AH644-AI644+AJ644+AK644-AL644</f>
        <v>0</v>
      </c>
      <c r="AN644" s="54"/>
      <c r="AO644" s="27"/>
    </row>
    <row r="645" spans="1:41">
      <c r="A645" s="44">
        <v>617</v>
      </c>
      <c r="B645" s="47" t="s">
        <v>2572</v>
      </c>
      <c r="C645" s="48" t="s">
        <v>2573</v>
      </c>
      <c r="D645" s="52" t="s">
        <v>62</v>
      </c>
      <c r="E645" s="52" t="s">
        <v>2547</v>
      </c>
      <c r="F645" s="55" t="s">
        <v>1403</v>
      </c>
      <c r="G645" s="51">
        <v>15</v>
      </c>
      <c r="H645" s="52" t="s">
        <v>2574</v>
      </c>
      <c r="I645" s="54">
        <v>0</v>
      </c>
      <c r="J645" s="54">
        <v>18950</v>
      </c>
      <c r="K645" s="54">
        <v>60000</v>
      </c>
      <c r="L645" s="54">
        <v>0</v>
      </c>
      <c r="M645" s="54">
        <v>0</v>
      </c>
      <c r="N645" s="54">
        <v>0</v>
      </c>
      <c r="O645" s="54">
        <v>0</v>
      </c>
      <c r="P645" s="54">
        <v>0</v>
      </c>
      <c r="Q645" s="54">
        <v>0</v>
      </c>
      <c r="R645" s="54">
        <v>0</v>
      </c>
      <c r="S645" s="54">
        <v>0</v>
      </c>
      <c r="T645" s="54">
        <v>0</v>
      </c>
      <c r="U645" s="54">
        <v>3810</v>
      </c>
      <c r="V645" s="54">
        <v>0</v>
      </c>
      <c r="W645" s="54">
        <v>0</v>
      </c>
      <c r="X645" s="54">
        <v>0</v>
      </c>
      <c r="Y645" s="54">
        <v>5000</v>
      </c>
      <c r="Z645" s="54">
        <v>0</v>
      </c>
      <c r="AA645" s="54">
        <v>0</v>
      </c>
      <c r="AB645" s="54">
        <v>0</v>
      </c>
      <c r="AC645" s="54">
        <v>0</v>
      </c>
      <c r="AD645" s="54">
        <v>0</v>
      </c>
      <c r="AE645" s="54">
        <v>0</v>
      </c>
      <c r="AF645" s="54">
        <v>0</v>
      </c>
      <c r="AG645" s="54">
        <v>0</v>
      </c>
      <c r="AH645" s="54">
        <v>0</v>
      </c>
      <c r="AI645" s="54">
        <v>0</v>
      </c>
      <c r="AJ645" s="54">
        <v>0</v>
      </c>
      <c r="AK645" s="54">
        <v>0</v>
      </c>
      <c r="AL645" s="54">
        <v>0</v>
      </c>
      <c r="AM645" s="54" t="str">
        <f>I645-J645-K645-L645-M645-N645-O645-P645-Q645-R645-S645-T645-U645-V645-W645-X645-Y645-Z645-AA645-AB645-AC645-AD645-AE645-AF645-AG645+AH645-AI645+AJ645+AK645-AL645</f>
        <v>0</v>
      </c>
      <c r="AN645" s="54"/>
      <c r="AO645" s="27"/>
    </row>
    <row r="646" spans="1:41">
      <c r="A646" s="44">
        <v>618</v>
      </c>
      <c r="B646" s="47" t="s">
        <v>2575</v>
      </c>
      <c r="C646" s="48" t="s">
        <v>2576</v>
      </c>
      <c r="D646" s="52" t="s">
        <v>62</v>
      </c>
      <c r="E646" s="52" t="s">
        <v>2547</v>
      </c>
      <c r="F646" s="55" t="s">
        <v>2577</v>
      </c>
      <c r="G646" s="51">
        <v>2</v>
      </c>
      <c r="H646" s="52" t="s">
        <v>2578</v>
      </c>
      <c r="I646" s="54">
        <v>0</v>
      </c>
      <c r="J646" s="54">
        <v>0</v>
      </c>
      <c r="K646" s="54">
        <v>22000</v>
      </c>
      <c r="L646" s="54">
        <v>0</v>
      </c>
      <c r="M646" s="54">
        <v>0</v>
      </c>
      <c r="N646" s="54">
        <v>0</v>
      </c>
      <c r="O646" s="54">
        <v>0</v>
      </c>
      <c r="P646" s="54">
        <v>0</v>
      </c>
      <c r="Q646" s="54">
        <v>0</v>
      </c>
      <c r="R646" s="54">
        <v>0</v>
      </c>
      <c r="S646" s="54">
        <v>0</v>
      </c>
      <c r="T646" s="54">
        <v>0</v>
      </c>
      <c r="U646" s="54">
        <v>1397</v>
      </c>
      <c r="V646" s="54">
        <v>0</v>
      </c>
      <c r="W646" s="54">
        <v>0</v>
      </c>
      <c r="X646" s="54">
        <v>0</v>
      </c>
      <c r="Y646" s="54">
        <v>5000</v>
      </c>
      <c r="Z646" s="54">
        <v>0</v>
      </c>
      <c r="AA646" s="54">
        <v>0</v>
      </c>
      <c r="AB646" s="54">
        <v>0</v>
      </c>
      <c r="AC646" s="54">
        <v>0</v>
      </c>
      <c r="AD646" s="54">
        <v>0</v>
      </c>
      <c r="AE646" s="54">
        <v>0</v>
      </c>
      <c r="AF646" s="54">
        <v>0</v>
      </c>
      <c r="AG646" s="54">
        <v>0</v>
      </c>
      <c r="AH646" s="54">
        <v>0</v>
      </c>
      <c r="AI646" s="54">
        <v>0</v>
      </c>
      <c r="AJ646" s="54">
        <v>0</v>
      </c>
      <c r="AK646" s="54">
        <v>0</v>
      </c>
      <c r="AL646" s="54">
        <v>0</v>
      </c>
      <c r="AM646" s="54" t="str">
        <f>I646-J646-K646-L646-M646-N646-O646-P646-Q646-R646-S646-T646-U646-V646-W646-X646-Y646-Z646-AA646-AB646-AC646-AD646-AE646-AF646-AG646+AH646-AI646+AJ646+AK646-AL646</f>
        <v>0</v>
      </c>
      <c r="AN646" s="54"/>
      <c r="AO646" s="27"/>
    </row>
    <row r="647" spans="1:41">
      <c r="A647" s="44">
        <v>619</v>
      </c>
      <c r="B647" s="47" t="s">
        <v>2579</v>
      </c>
      <c r="C647" s="48" t="s">
        <v>2580</v>
      </c>
      <c r="D647" s="52" t="s">
        <v>73</v>
      </c>
      <c r="E647" s="52" t="s">
        <v>2547</v>
      </c>
      <c r="F647" s="55" t="s">
        <v>2581</v>
      </c>
      <c r="G647" s="51">
        <v>2</v>
      </c>
      <c r="H647" s="52" t="s">
        <v>2582</v>
      </c>
      <c r="I647" s="54">
        <v>134000</v>
      </c>
      <c r="J647" s="54">
        <v>0</v>
      </c>
      <c r="K647" s="54">
        <v>22000</v>
      </c>
      <c r="L647" s="54">
        <v>0</v>
      </c>
      <c r="M647" s="54">
        <v>0</v>
      </c>
      <c r="N647" s="54">
        <v>0</v>
      </c>
      <c r="O647" s="54">
        <v>0</v>
      </c>
      <c r="P647" s="54">
        <v>0</v>
      </c>
      <c r="Q647" s="54">
        <v>0</v>
      </c>
      <c r="R647" s="54">
        <v>0</v>
      </c>
      <c r="S647" s="54">
        <v>0</v>
      </c>
      <c r="T647" s="54">
        <v>0</v>
      </c>
      <c r="U647" s="54">
        <v>1397</v>
      </c>
      <c r="V647" s="54">
        <v>0</v>
      </c>
      <c r="W647" s="54">
        <v>0</v>
      </c>
      <c r="X647" s="54">
        <v>0</v>
      </c>
      <c r="Y647" s="54">
        <v>0</v>
      </c>
      <c r="Z647" s="54">
        <v>0</v>
      </c>
      <c r="AA647" s="54">
        <v>0</v>
      </c>
      <c r="AB647" s="54">
        <v>0</v>
      </c>
      <c r="AC647" s="54">
        <v>0</v>
      </c>
      <c r="AD647" s="54">
        <v>0</v>
      </c>
      <c r="AE647" s="54">
        <v>0</v>
      </c>
      <c r="AF647" s="54">
        <v>0</v>
      </c>
      <c r="AG647" s="54">
        <v>0</v>
      </c>
      <c r="AH647" s="54">
        <v>0</v>
      </c>
      <c r="AI647" s="54">
        <v>0</v>
      </c>
      <c r="AJ647" s="54">
        <v>0</v>
      </c>
      <c r="AK647" s="54">
        <v>0</v>
      </c>
      <c r="AL647" s="54">
        <v>0</v>
      </c>
      <c r="AM647" s="54" t="str">
        <f>I647-J647-K647-L647-M647-N647-O647-P647-Q647-R647-S647-T647-U647-V647-W647-X647-Y647-Z647-AA647-AB647-AC647-AD647-AE647-AF647-AG647+AH647-AI647+AJ647+AK647-AL647</f>
        <v>0</v>
      </c>
      <c r="AN647" s="54"/>
      <c r="AO647" s="27"/>
    </row>
    <row r="648" spans="1:41">
      <c r="A648" s="44">
        <v>620</v>
      </c>
      <c r="B648" s="47" t="s">
        <v>2583</v>
      </c>
      <c r="C648" s="48" t="s">
        <v>2584</v>
      </c>
      <c r="D648" s="52" t="s">
        <v>73</v>
      </c>
      <c r="E648" s="52" t="s">
        <v>2547</v>
      </c>
      <c r="F648" s="55" t="s">
        <v>1755</v>
      </c>
      <c r="G648" s="51">
        <v>4</v>
      </c>
      <c r="H648" s="52" t="s">
        <v>2585</v>
      </c>
      <c r="I648" s="54">
        <v>255000</v>
      </c>
      <c r="J648" s="54">
        <v>0</v>
      </c>
      <c r="K648" s="54">
        <v>25000</v>
      </c>
      <c r="L648" s="54">
        <v>0</v>
      </c>
      <c r="M648" s="54">
        <v>0</v>
      </c>
      <c r="N648" s="54">
        <v>0</v>
      </c>
      <c r="O648" s="54">
        <v>0</v>
      </c>
      <c r="P648" s="54">
        <v>0</v>
      </c>
      <c r="Q648" s="54">
        <v>0</v>
      </c>
      <c r="R648" s="54">
        <v>0</v>
      </c>
      <c r="S648" s="54">
        <v>0</v>
      </c>
      <c r="T648" s="54">
        <v>0</v>
      </c>
      <c r="U648" s="54">
        <v>1587</v>
      </c>
      <c r="V648" s="54">
        <v>0</v>
      </c>
      <c r="W648" s="54">
        <v>0</v>
      </c>
      <c r="X648" s="54">
        <v>0</v>
      </c>
      <c r="Y648" s="54">
        <v>0</v>
      </c>
      <c r="Z648" s="54">
        <v>0</v>
      </c>
      <c r="AA648" s="54">
        <v>0</v>
      </c>
      <c r="AB648" s="54">
        <v>0</v>
      </c>
      <c r="AC648" s="54">
        <v>0</v>
      </c>
      <c r="AD648" s="54">
        <v>0</v>
      </c>
      <c r="AE648" s="54">
        <v>0</v>
      </c>
      <c r="AF648" s="54">
        <v>0</v>
      </c>
      <c r="AG648" s="54">
        <v>0</v>
      </c>
      <c r="AH648" s="54">
        <v>0</v>
      </c>
      <c r="AI648" s="54">
        <v>0</v>
      </c>
      <c r="AJ648" s="54">
        <v>0</v>
      </c>
      <c r="AK648" s="54">
        <v>0</v>
      </c>
      <c r="AL648" s="54">
        <v>0</v>
      </c>
      <c r="AM648" s="54" t="str">
        <f>I648-J648-K648-L648-M648-N648-O648-P648-Q648-R648-S648-T648-U648-V648-W648-X648-Y648-Z648-AA648-AB648-AC648-AD648-AE648-AF648-AG648+AH648-AI648+AJ648+AK648-AL648</f>
        <v>0</v>
      </c>
      <c r="AN648" s="54"/>
      <c r="AO648" s="27"/>
    </row>
    <row r="649" spans="1:41">
      <c r="A649" s="44">
        <v>621</v>
      </c>
      <c r="B649" s="47" t="s">
        <v>2586</v>
      </c>
      <c r="C649" s="48" t="s">
        <v>2587</v>
      </c>
      <c r="D649" s="52" t="s">
        <v>73</v>
      </c>
      <c r="E649" s="52" t="s">
        <v>2547</v>
      </c>
      <c r="F649" s="55" t="s">
        <v>2588</v>
      </c>
      <c r="G649" s="51">
        <v>5.8</v>
      </c>
      <c r="H649" s="52" t="s">
        <v>2589</v>
      </c>
      <c r="I649" s="54">
        <v>634000</v>
      </c>
      <c r="J649" s="54">
        <v>0</v>
      </c>
      <c r="K649" s="54">
        <v>31000</v>
      </c>
      <c r="L649" s="54">
        <v>0</v>
      </c>
      <c r="M649" s="54">
        <v>0</v>
      </c>
      <c r="N649" s="54">
        <v>0</v>
      </c>
      <c r="O649" s="54">
        <v>0</v>
      </c>
      <c r="P649" s="54">
        <v>0</v>
      </c>
      <c r="Q649" s="54">
        <v>0</v>
      </c>
      <c r="R649" s="54">
        <v>0</v>
      </c>
      <c r="S649" s="54">
        <v>0</v>
      </c>
      <c r="T649" s="54">
        <v>0</v>
      </c>
      <c r="U649" s="54">
        <v>1968</v>
      </c>
      <c r="V649" s="54">
        <v>0</v>
      </c>
      <c r="W649" s="54">
        <v>0</v>
      </c>
      <c r="X649" s="54">
        <v>0</v>
      </c>
      <c r="Y649" s="54">
        <v>0</v>
      </c>
      <c r="Z649" s="54">
        <v>0</v>
      </c>
      <c r="AA649" s="54">
        <v>0</v>
      </c>
      <c r="AB649" s="54">
        <v>0</v>
      </c>
      <c r="AC649" s="54">
        <v>0</v>
      </c>
      <c r="AD649" s="54">
        <v>0</v>
      </c>
      <c r="AE649" s="54">
        <v>0</v>
      </c>
      <c r="AF649" s="54">
        <v>0</v>
      </c>
      <c r="AG649" s="54">
        <v>0</v>
      </c>
      <c r="AH649" s="54">
        <v>0</v>
      </c>
      <c r="AI649" s="54">
        <v>0</v>
      </c>
      <c r="AJ649" s="54">
        <v>0</v>
      </c>
      <c r="AK649" s="54">
        <v>0</v>
      </c>
      <c r="AL649" s="54">
        <v>0</v>
      </c>
      <c r="AM649" s="54" t="str">
        <f>I649-J649-K649-L649-M649-N649-O649-P649-Q649-R649-S649-T649-U649-V649-W649-X649-Y649-Z649-AA649-AB649-AC649-AD649-AE649-AF649-AG649+AH649-AI649+AJ649+AK649-AL649</f>
        <v>0</v>
      </c>
      <c r="AN649" s="54"/>
      <c r="AO649" s="27"/>
    </row>
    <row r="650" spans="1:41">
      <c r="A650" s="44">
        <v>622</v>
      </c>
      <c r="B650" s="47" t="s">
        <v>2590</v>
      </c>
      <c r="C650" s="48" t="s">
        <v>2591</v>
      </c>
      <c r="D650" s="52" t="s">
        <v>62</v>
      </c>
      <c r="E650" s="52" t="s">
        <v>2547</v>
      </c>
      <c r="F650" s="55" t="s">
        <v>2189</v>
      </c>
      <c r="G650" s="51">
        <v>3</v>
      </c>
      <c r="H650" s="52" t="s">
        <v>2592</v>
      </c>
      <c r="I650" s="54">
        <v>0</v>
      </c>
      <c r="J650" s="54">
        <v>0</v>
      </c>
      <c r="K650" s="54">
        <v>22000</v>
      </c>
      <c r="L650" s="54">
        <v>0</v>
      </c>
      <c r="M650" s="54">
        <v>0</v>
      </c>
      <c r="N650" s="54">
        <v>0</v>
      </c>
      <c r="O650" s="54">
        <v>0</v>
      </c>
      <c r="P650" s="54">
        <v>0</v>
      </c>
      <c r="Q650" s="54">
        <v>0</v>
      </c>
      <c r="R650" s="54">
        <v>0</v>
      </c>
      <c r="S650" s="54">
        <v>0</v>
      </c>
      <c r="T650" s="54">
        <v>0</v>
      </c>
      <c r="U650" s="54">
        <v>1397</v>
      </c>
      <c r="V650" s="54">
        <v>0</v>
      </c>
      <c r="W650" s="54">
        <v>0</v>
      </c>
      <c r="X650" s="54">
        <v>0</v>
      </c>
      <c r="Y650" s="54">
        <v>5000</v>
      </c>
      <c r="Z650" s="54">
        <v>0</v>
      </c>
      <c r="AA650" s="54">
        <v>0</v>
      </c>
      <c r="AB650" s="54">
        <v>0</v>
      </c>
      <c r="AC650" s="54">
        <v>0</v>
      </c>
      <c r="AD650" s="54">
        <v>0</v>
      </c>
      <c r="AE650" s="54">
        <v>0</v>
      </c>
      <c r="AF650" s="54">
        <v>0</v>
      </c>
      <c r="AG650" s="54">
        <v>0</v>
      </c>
      <c r="AH650" s="54">
        <v>0</v>
      </c>
      <c r="AI650" s="54">
        <v>0</v>
      </c>
      <c r="AJ650" s="54">
        <v>0</v>
      </c>
      <c r="AK650" s="54">
        <v>0</v>
      </c>
      <c r="AL650" s="54">
        <v>0</v>
      </c>
      <c r="AM650" s="54" t="str">
        <f>I650-J650-K650-L650-M650-N650-O650-P650-Q650-R650-S650-T650-U650-V650-W650-X650-Y650-Z650-AA650-AB650-AC650-AD650-AE650-AF650-AG650+AH650-AI650+AJ650+AK650-AL650</f>
        <v>0</v>
      </c>
      <c r="AN650" s="54"/>
      <c r="AO650" s="27"/>
    </row>
    <row r="651" spans="1:41">
      <c r="A651" s="44">
        <v>623</v>
      </c>
      <c r="B651" s="47" t="s">
        <v>2593</v>
      </c>
      <c r="C651" s="48" t="s">
        <v>2594</v>
      </c>
      <c r="D651" s="52" t="s">
        <v>73</v>
      </c>
      <c r="E651" s="52" t="s">
        <v>2595</v>
      </c>
      <c r="F651" s="55" t="s">
        <v>1923</v>
      </c>
      <c r="G651" s="51">
        <v>17</v>
      </c>
      <c r="H651" s="52" t="s">
        <v>2596</v>
      </c>
      <c r="I651" s="54">
        <v>3598000</v>
      </c>
      <c r="J651" s="54">
        <v>19065</v>
      </c>
      <c r="K651" s="54">
        <v>68000</v>
      </c>
      <c r="L651" s="54">
        <v>0</v>
      </c>
      <c r="M651" s="54">
        <v>0</v>
      </c>
      <c r="N651" s="54">
        <v>0</v>
      </c>
      <c r="O651" s="54">
        <v>0</v>
      </c>
      <c r="P651" s="54">
        <v>0</v>
      </c>
      <c r="Q651" s="54">
        <v>0</v>
      </c>
      <c r="R651" s="54">
        <v>0</v>
      </c>
      <c r="S651" s="54">
        <v>0</v>
      </c>
      <c r="T651" s="54">
        <v>0</v>
      </c>
      <c r="U651" s="54">
        <v>4318</v>
      </c>
      <c r="V651" s="54">
        <v>0</v>
      </c>
      <c r="W651" s="54">
        <v>0</v>
      </c>
      <c r="X651" s="54">
        <v>0</v>
      </c>
      <c r="Y651" s="54">
        <v>0</v>
      </c>
      <c r="Z651" s="54">
        <v>0</v>
      </c>
      <c r="AA651" s="54">
        <v>0</v>
      </c>
      <c r="AB651" s="54">
        <v>0</v>
      </c>
      <c r="AC651" s="54">
        <v>0</v>
      </c>
      <c r="AD651" s="54">
        <v>0</v>
      </c>
      <c r="AE651" s="54">
        <v>0</v>
      </c>
      <c r="AF651" s="54">
        <v>0</v>
      </c>
      <c r="AG651" s="54">
        <v>0</v>
      </c>
      <c r="AH651" s="54">
        <v>0</v>
      </c>
      <c r="AI651" s="54">
        <v>0</v>
      </c>
      <c r="AJ651" s="54">
        <v>0</v>
      </c>
      <c r="AK651" s="54">
        <v>0</v>
      </c>
      <c r="AL651" s="54">
        <v>0</v>
      </c>
      <c r="AM651" s="54" t="str">
        <f>I651-J651-K651-L651-M651-N651-O651-P651-Q651-R651-S651-T651-U651-V651-W651-X651-Y651-Z651-AA651-AB651-AC651-AD651-AE651-AF651-AG651+AH651-AI651+AJ651+AK651-AL651</f>
        <v>0</v>
      </c>
      <c r="AN651" s="54"/>
      <c r="AO651" s="27"/>
    </row>
    <row r="652" spans="1:41">
      <c r="A652" s="44">
        <v>624</v>
      </c>
      <c r="B652" s="47" t="s">
        <v>2597</v>
      </c>
      <c r="C652" s="48" t="s">
        <v>2598</v>
      </c>
      <c r="D652" s="52" t="s">
        <v>73</v>
      </c>
      <c r="E652" s="52" t="s">
        <v>2599</v>
      </c>
      <c r="F652" s="55" t="s">
        <v>2600</v>
      </c>
      <c r="G652" s="51">
        <v>5</v>
      </c>
      <c r="H652" s="52" t="s">
        <v>2601</v>
      </c>
      <c r="I652" s="54">
        <v>961000</v>
      </c>
      <c r="J652" s="54">
        <v>0</v>
      </c>
      <c r="K652" s="54">
        <v>27000</v>
      </c>
      <c r="L652" s="54">
        <v>0</v>
      </c>
      <c r="M652" s="54">
        <v>0</v>
      </c>
      <c r="N652" s="54">
        <v>0</v>
      </c>
      <c r="O652" s="54">
        <v>0</v>
      </c>
      <c r="P652" s="54">
        <v>0</v>
      </c>
      <c r="Q652" s="54">
        <v>0</v>
      </c>
      <c r="R652" s="54">
        <v>0</v>
      </c>
      <c r="S652" s="54">
        <v>0</v>
      </c>
      <c r="T652" s="54">
        <v>0</v>
      </c>
      <c r="U652" s="54">
        <v>1714</v>
      </c>
      <c r="V652" s="54">
        <v>0</v>
      </c>
      <c r="W652" s="54">
        <v>0</v>
      </c>
      <c r="X652" s="54">
        <v>0</v>
      </c>
      <c r="Y652" s="54">
        <v>0</v>
      </c>
      <c r="Z652" s="54">
        <v>0</v>
      </c>
      <c r="AA652" s="54">
        <v>0</v>
      </c>
      <c r="AB652" s="54">
        <v>0</v>
      </c>
      <c r="AC652" s="54">
        <v>0</v>
      </c>
      <c r="AD652" s="54">
        <v>0</v>
      </c>
      <c r="AE652" s="54">
        <v>0</v>
      </c>
      <c r="AF652" s="54">
        <v>0</v>
      </c>
      <c r="AG652" s="54">
        <v>0</v>
      </c>
      <c r="AH652" s="54">
        <v>0</v>
      </c>
      <c r="AI652" s="54">
        <v>0</v>
      </c>
      <c r="AJ652" s="54">
        <v>0</v>
      </c>
      <c r="AK652" s="54">
        <v>0</v>
      </c>
      <c r="AL652" s="54">
        <v>0</v>
      </c>
      <c r="AM652" s="54" t="str">
        <f>I652-J652-K652-L652-M652-N652-O652-P652-Q652-R652-S652-T652-U652-V652-W652-X652-Y652-Z652-AA652-AB652-AC652-AD652-AE652-AF652-AG652+AH652-AI652+AJ652+AK652-AL652</f>
        <v>0</v>
      </c>
      <c r="AN652" s="54"/>
      <c r="AO652" s="27"/>
    </row>
    <row r="653" spans="1:41">
      <c r="A653" s="44">
        <v>625</v>
      </c>
      <c r="B653" s="47" t="s">
        <v>2602</v>
      </c>
      <c r="C653" s="48" t="s">
        <v>2603</v>
      </c>
      <c r="D653" s="52" t="s">
        <v>73</v>
      </c>
      <c r="E653" s="52" t="s">
        <v>2599</v>
      </c>
      <c r="F653" s="55" t="s">
        <v>2604</v>
      </c>
      <c r="G653" s="51">
        <v>3</v>
      </c>
      <c r="H653" s="52" t="s">
        <v>2605</v>
      </c>
      <c r="I653" s="54">
        <v>334000</v>
      </c>
      <c r="J653" s="54">
        <v>0</v>
      </c>
      <c r="K653" s="54">
        <v>22000</v>
      </c>
      <c r="L653" s="54">
        <v>0</v>
      </c>
      <c r="M653" s="54">
        <v>0</v>
      </c>
      <c r="N653" s="54">
        <v>0</v>
      </c>
      <c r="O653" s="54">
        <v>0</v>
      </c>
      <c r="P653" s="54">
        <v>0</v>
      </c>
      <c r="Q653" s="54">
        <v>0</v>
      </c>
      <c r="R653" s="54">
        <v>0</v>
      </c>
      <c r="S653" s="54">
        <v>0</v>
      </c>
      <c r="T653" s="54">
        <v>0</v>
      </c>
      <c r="U653" s="54">
        <v>1397</v>
      </c>
      <c r="V653" s="54">
        <v>0</v>
      </c>
      <c r="W653" s="54">
        <v>0</v>
      </c>
      <c r="X653" s="54">
        <v>0</v>
      </c>
      <c r="Y653" s="54">
        <v>0</v>
      </c>
      <c r="Z653" s="54">
        <v>0</v>
      </c>
      <c r="AA653" s="54">
        <v>0</v>
      </c>
      <c r="AB653" s="54">
        <v>0</v>
      </c>
      <c r="AC653" s="54">
        <v>0</v>
      </c>
      <c r="AD653" s="54">
        <v>0</v>
      </c>
      <c r="AE653" s="54">
        <v>0</v>
      </c>
      <c r="AF653" s="54">
        <v>0</v>
      </c>
      <c r="AG653" s="54">
        <v>0</v>
      </c>
      <c r="AH653" s="54">
        <v>0</v>
      </c>
      <c r="AI653" s="54">
        <v>0</v>
      </c>
      <c r="AJ653" s="54">
        <v>0</v>
      </c>
      <c r="AK653" s="54">
        <v>0</v>
      </c>
      <c r="AL653" s="54">
        <v>0</v>
      </c>
      <c r="AM653" s="54" t="str">
        <f>I653-J653-K653-L653-M653-N653-O653-P653-Q653-R653-S653-T653-U653-V653-W653-X653-Y653-Z653-AA653-AB653-AC653-AD653-AE653-AF653-AG653+AH653-AI653+AJ653+AK653-AL653</f>
        <v>0</v>
      </c>
      <c r="AN653" s="54"/>
      <c r="AO653" s="27"/>
    </row>
    <row r="654" spans="1:41">
      <c r="A654" s="44">
        <v>626</v>
      </c>
      <c r="B654" s="47" t="s">
        <v>2606</v>
      </c>
      <c r="C654" s="48" t="s">
        <v>2607</v>
      </c>
      <c r="D654" s="52" t="s">
        <v>73</v>
      </c>
      <c r="E654" s="52" t="s">
        <v>2608</v>
      </c>
      <c r="F654" s="55" t="s">
        <v>2609</v>
      </c>
      <c r="G654" s="51">
        <v>5</v>
      </c>
      <c r="H654" s="52" t="s">
        <v>2610</v>
      </c>
      <c r="I654" s="54">
        <v>784000</v>
      </c>
      <c r="J654" s="54">
        <v>0</v>
      </c>
      <c r="K654" s="54">
        <v>27000</v>
      </c>
      <c r="L654" s="54">
        <v>0</v>
      </c>
      <c r="M654" s="54">
        <v>0</v>
      </c>
      <c r="N654" s="54">
        <v>0</v>
      </c>
      <c r="O654" s="54">
        <v>0</v>
      </c>
      <c r="P654" s="54">
        <v>0</v>
      </c>
      <c r="Q654" s="54">
        <v>0</v>
      </c>
      <c r="R654" s="54">
        <v>0</v>
      </c>
      <c r="S654" s="54">
        <v>0</v>
      </c>
      <c r="T654" s="54">
        <v>0</v>
      </c>
      <c r="U654" s="54">
        <v>1714</v>
      </c>
      <c r="V654" s="54">
        <v>0</v>
      </c>
      <c r="W654" s="54">
        <v>0</v>
      </c>
      <c r="X654" s="54">
        <v>0</v>
      </c>
      <c r="Y654" s="54">
        <v>0</v>
      </c>
      <c r="Z654" s="54">
        <v>0</v>
      </c>
      <c r="AA654" s="54">
        <v>0</v>
      </c>
      <c r="AB654" s="54">
        <v>0</v>
      </c>
      <c r="AC654" s="54">
        <v>0</v>
      </c>
      <c r="AD654" s="54">
        <v>0</v>
      </c>
      <c r="AE654" s="54">
        <v>0</v>
      </c>
      <c r="AF654" s="54">
        <v>0</v>
      </c>
      <c r="AG654" s="54">
        <v>0</v>
      </c>
      <c r="AH654" s="54">
        <v>0</v>
      </c>
      <c r="AI654" s="54">
        <v>0</v>
      </c>
      <c r="AJ654" s="54">
        <v>0</v>
      </c>
      <c r="AK654" s="54">
        <v>0</v>
      </c>
      <c r="AL654" s="54">
        <v>0</v>
      </c>
      <c r="AM654" s="54" t="str">
        <f>I654-J654-K654-L654-M654-N654-O654-P654-Q654-R654-S654-T654-U654-V654-W654-X654-Y654-Z654-AA654-AB654-AC654-AD654-AE654-AF654-AG654+AH654-AI654+AJ654+AK654-AL654</f>
        <v>0</v>
      </c>
      <c r="AN654" s="54"/>
      <c r="AO654" s="27"/>
    </row>
    <row r="655" spans="1:41">
      <c r="A655" s="44">
        <v>627</v>
      </c>
      <c r="B655" s="47" t="s">
        <v>2611</v>
      </c>
      <c r="C655" s="48" t="s">
        <v>2612</v>
      </c>
      <c r="D655" s="52" t="s">
        <v>73</v>
      </c>
      <c r="E655" s="52" t="s">
        <v>2608</v>
      </c>
      <c r="F655" s="55" t="s">
        <v>2613</v>
      </c>
      <c r="G655" s="51">
        <v>3</v>
      </c>
      <c r="H655" s="52" t="s">
        <v>2614</v>
      </c>
      <c r="I655" s="54">
        <v>560000</v>
      </c>
      <c r="J655" s="54">
        <v>0</v>
      </c>
      <c r="K655" s="54">
        <v>22000</v>
      </c>
      <c r="L655" s="54">
        <v>0</v>
      </c>
      <c r="M655" s="54">
        <v>0</v>
      </c>
      <c r="N655" s="54">
        <v>0</v>
      </c>
      <c r="O655" s="54">
        <v>0</v>
      </c>
      <c r="P655" s="54">
        <v>0</v>
      </c>
      <c r="Q655" s="54">
        <v>0</v>
      </c>
      <c r="R655" s="54">
        <v>0</v>
      </c>
      <c r="S655" s="54">
        <v>0</v>
      </c>
      <c r="T655" s="54">
        <v>0</v>
      </c>
      <c r="U655" s="54">
        <v>1397</v>
      </c>
      <c r="V655" s="54">
        <v>0</v>
      </c>
      <c r="W655" s="54">
        <v>0</v>
      </c>
      <c r="X655" s="54">
        <v>0</v>
      </c>
      <c r="Y655" s="54">
        <v>0</v>
      </c>
      <c r="Z655" s="54">
        <v>0</v>
      </c>
      <c r="AA655" s="54">
        <v>0</v>
      </c>
      <c r="AB655" s="54">
        <v>0</v>
      </c>
      <c r="AC655" s="54">
        <v>0</v>
      </c>
      <c r="AD655" s="54">
        <v>0</v>
      </c>
      <c r="AE655" s="54">
        <v>0</v>
      </c>
      <c r="AF655" s="54">
        <v>0</v>
      </c>
      <c r="AG655" s="54">
        <v>0</v>
      </c>
      <c r="AH655" s="54">
        <v>0</v>
      </c>
      <c r="AI655" s="54">
        <v>0</v>
      </c>
      <c r="AJ655" s="54">
        <v>0</v>
      </c>
      <c r="AK655" s="54">
        <v>0</v>
      </c>
      <c r="AL655" s="54">
        <v>0</v>
      </c>
      <c r="AM655" s="54" t="str">
        <f>I655-J655-K655-L655-M655-N655-O655-P655-Q655-R655-S655-T655-U655-V655-W655-X655-Y655-Z655-AA655-AB655-AC655-AD655-AE655-AF655-AG655+AH655-AI655+AJ655+AK655-AL655</f>
        <v>0</v>
      </c>
      <c r="AN655" s="54"/>
      <c r="AO655" s="27"/>
    </row>
    <row r="656" spans="1:41">
      <c r="A656" s="44">
        <v>628</v>
      </c>
      <c r="B656" s="47" t="s">
        <v>2615</v>
      </c>
      <c r="C656" s="48" t="s">
        <v>2616</v>
      </c>
      <c r="D656" s="52" t="s">
        <v>73</v>
      </c>
      <c r="E656" s="52" t="s">
        <v>2608</v>
      </c>
      <c r="F656" s="55" t="s">
        <v>2617</v>
      </c>
      <c r="G656" s="51">
        <v>3</v>
      </c>
      <c r="H656" s="52" t="s">
        <v>2618</v>
      </c>
      <c r="I656" s="54">
        <v>785000</v>
      </c>
      <c r="J656" s="54">
        <v>0</v>
      </c>
      <c r="K656" s="54">
        <v>22000</v>
      </c>
      <c r="L656" s="54">
        <v>0</v>
      </c>
      <c r="M656" s="54">
        <v>0</v>
      </c>
      <c r="N656" s="54">
        <v>0</v>
      </c>
      <c r="O656" s="54">
        <v>0</v>
      </c>
      <c r="P656" s="54">
        <v>0</v>
      </c>
      <c r="Q656" s="54">
        <v>0</v>
      </c>
      <c r="R656" s="54">
        <v>0</v>
      </c>
      <c r="S656" s="54">
        <v>0</v>
      </c>
      <c r="T656" s="54">
        <v>0</v>
      </c>
      <c r="U656" s="54">
        <v>1397</v>
      </c>
      <c r="V656" s="54">
        <v>0</v>
      </c>
      <c r="W656" s="54">
        <v>0</v>
      </c>
      <c r="X656" s="54">
        <v>0</v>
      </c>
      <c r="Y656" s="54">
        <v>0</v>
      </c>
      <c r="Z656" s="54">
        <v>0</v>
      </c>
      <c r="AA656" s="54">
        <v>0</v>
      </c>
      <c r="AB656" s="54">
        <v>0</v>
      </c>
      <c r="AC656" s="54">
        <v>0</v>
      </c>
      <c r="AD656" s="54">
        <v>0</v>
      </c>
      <c r="AE656" s="54">
        <v>0</v>
      </c>
      <c r="AF656" s="54">
        <v>0</v>
      </c>
      <c r="AG656" s="54">
        <v>0</v>
      </c>
      <c r="AH656" s="54">
        <v>0</v>
      </c>
      <c r="AI656" s="54">
        <v>0</v>
      </c>
      <c r="AJ656" s="54">
        <v>0</v>
      </c>
      <c r="AK656" s="54">
        <v>0</v>
      </c>
      <c r="AL656" s="54">
        <v>0</v>
      </c>
      <c r="AM656" s="54" t="str">
        <f>I656-J656-K656-L656-M656-N656-O656-P656-Q656-R656-S656-T656-U656-V656-W656-X656-Y656-Z656-AA656-AB656-AC656-AD656-AE656-AF656-AG656+AH656-AI656+AJ656+AK656-AL656</f>
        <v>0</v>
      </c>
      <c r="AN656" s="54"/>
      <c r="AO656" s="27"/>
    </row>
    <row r="657" spans="1:41">
      <c r="A657" s="44">
        <v>629</v>
      </c>
      <c r="B657" s="47" t="s">
        <v>2619</v>
      </c>
      <c r="C657" s="48" t="s">
        <v>2620</v>
      </c>
      <c r="D657" s="52" t="s">
        <v>73</v>
      </c>
      <c r="E657" s="52" t="s">
        <v>2608</v>
      </c>
      <c r="F657" s="55" t="s">
        <v>2621</v>
      </c>
      <c r="G657" s="51">
        <v>3</v>
      </c>
      <c r="H657" s="52" t="s">
        <v>2622</v>
      </c>
      <c r="I657" s="54">
        <v>134000</v>
      </c>
      <c r="J657" s="54">
        <v>0</v>
      </c>
      <c r="K657" s="54">
        <v>22000</v>
      </c>
      <c r="L657" s="54">
        <v>0</v>
      </c>
      <c r="M657" s="54">
        <v>0</v>
      </c>
      <c r="N657" s="54">
        <v>0</v>
      </c>
      <c r="O657" s="54">
        <v>0</v>
      </c>
      <c r="P657" s="54">
        <v>0</v>
      </c>
      <c r="Q657" s="54">
        <v>0</v>
      </c>
      <c r="R657" s="54">
        <v>0</v>
      </c>
      <c r="S657" s="54">
        <v>0</v>
      </c>
      <c r="T657" s="54">
        <v>0</v>
      </c>
      <c r="U657" s="54">
        <v>1397</v>
      </c>
      <c r="V657" s="54">
        <v>0</v>
      </c>
      <c r="W657" s="54">
        <v>0</v>
      </c>
      <c r="X657" s="54">
        <v>0</v>
      </c>
      <c r="Y657" s="54">
        <v>0</v>
      </c>
      <c r="Z657" s="54">
        <v>0</v>
      </c>
      <c r="AA657" s="54">
        <v>0</v>
      </c>
      <c r="AB657" s="54">
        <v>0</v>
      </c>
      <c r="AC657" s="54">
        <v>0</v>
      </c>
      <c r="AD657" s="54">
        <v>0</v>
      </c>
      <c r="AE657" s="54">
        <v>0</v>
      </c>
      <c r="AF657" s="54">
        <v>0</v>
      </c>
      <c r="AG657" s="54">
        <v>0</v>
      </c>
      <c r="AH657" s="54">
        <v>0</v>
      </c>
      <c r="AI657" s="54">
        <v>0</v>
      </c>
      <c r="AJ657" s="54">
        <v>0</v>
      </c>
      <c r="AK657" s="54">
        <v>0</v>
      </c>
      <c r="AL657" s="54">
        <v>0</v>
      </c>
      <c r="AM657" s="54" t="str">
        <f>I657-J657-K657-L657-M657-N657-O657-P657-Q657-R657-S657-T657-U657-V657-W657-X657-Y657-Z657-AA657-AB657-AC657-AD657-AE657-AF657-AG657+AH657-AI657+AJ657+AK657-AL657</f>
        <v>0</v>
      </c>
      <c r="AN657" s="54"/>
      <c r="AO657" s="27"/>
    </row>
    <row r="658" spans="1:41">
      <c r="A658" s="44">
        <v>630</v>
      </c>
      <c r="B658" s="47" t="s">
        <v>2623</v>
      </c>
      <c r="C658" s="48" t="s">
        <v>2624</v>
      </c>
      <c r="D658" s="52" t="s">
        <v>73</v>
      </c>
      <c r="E658" s="52" t="s">
        <v>2608</v>
      </c>
      <c r="F658" s="55" t="s">
        <v>2625</v>
      </c>
      <c r="G658" s="51">
        <v>2</v>
      </c>
      <c r="H658" s="52" t="s">
        <v>2626</v>
      </c>
      <c r="I658" s="54">
        <v>339000</v>
      </c>
      <c r="J658" s="54">
        <v>0</v>
      </c>
      <c r="K658" s="54">
        <v>22000</v>
      </c>
      <c r="L658" s="54">
        <v>0</v>
      </c>
      <c r="M658" s="54">
        <v>0</v>
      </c>
      <c r="N658" s="54">
        <v>0</v>
      </c>
      <c r="O658" s="54">
        <v>0</v>
      </c>
      <c r="P658" s="54">
        <v>0</v>
      </c>
      <c r="Q658" s="54">
        <v>0</v>
      </c>
      <c r="R658" s="54">
        <v>0</v>
      </c>
      <c r="S658" s="54">
        <v>0</v>
      </c>
      <c r="T658" s="54">
        <v>0</v>
      </c>
      <c r="U658" s="54">
        <v>1397</v>
      </c>
      <c r="V658" s="54">
        <v>0</v>
      </c>
      <c r="W658" s="54">
        <v>0</v>
      </c>
      <c r="X658" s="54">
        <v>0</v>
      </c>
      <c r="Y658" s="54">
        <v>0</v>
      </c>
      <c r="Z658" s="54">
        <v>0</v>
      </c>
      <c r="AA658" s="54">
        <v>0</v>
      </c>
      <c r="AB658" s="54">
        <v>0</v>
      </c>
      <c r="AC658" s="54">
        <v>0</v>
      </c>
      <c r="AD658" s="54">
        <v>0</v>
      </c>
      <c r="AE658" s="54">
        <v>0</v>
      </c>
      <c r="AF658" s="54">
        <v>0</v>
      </c>
      <c r="AG658" s="54">
        <v>0</v>
      </c>
      <c r="AH658" s="54">
        <v>0</v>
      </c>
      <c r="AI658" s="54">
        <v>0</v>
      </c>
      <c r="AJ658" s="54">
        <v>0</v>
      </c>
      <c r="AK658" s="54">
        <v>0</v>
      </c>
      <c r="AL658" s="54">
        <v>0</v>
      </c>
      <c r="AM658" s="54" t="str">
        <f>I658-J658-K658-L658-M658-N658-O658-P658-Q658-R658-S658-T658-U658-V658-W658-X658-Y658-Z658-AA658-AB658-AC658-AD658-AE658-AF658-AG658+AH658-AI658+AJ658+AK658-AL658</f>
        <v>0</v>
      </c>
      <c r="AN658" s="54"/>
      <c r="AO658" s="27"/>
    </row>
    <row r="659" spans="1:41">
      <c r="A659" s="44">
        <v>631</v>
      </c>
      <c r="B659" s="47" t="s">
        <v>2627</v>
      </c>
      <c r="C659" s="48" t="s">
        <v>2628</v>
      </c>
      <c r="D659" s="52" t="s">
        <v>62</v>
      </c>
      <c r="E659" s="52" t="s">
        <v>2608</v>
      </c>
      <c r="F659" s="55" t="s">
        <v>2629</v>
      </c>
      <c r="G659" s="51">
        <v>3</v>
      </c>
      <c r="H659" s="52" t="s">
        <v>2630</v>
      </c>
      <c r="I659" s="54">
        <v>0</v>
      </c>
      <c r="J659" s="54">
        <v>0</v>
      </c>
      <c r="K659" s="54">
        <v>22000</v>
      </c>
      <c r="L659" s="54">
        <v>0</v>
      </c>
      <c r="M659" s="54">
        <v>0</v>
      </c>
      <c r="N659" s="54">
        <v>0</v>
      </c>
      <c r="O659" s="54">
        <v>0</v>
      </c>
      <c r="P659" s="54">
        <v>0</v>
      </c>
      <c r="Q659" s="54">
        <v>0</v>
      </c>
      <c r="R659" s="54">
        <v>0</v>
      </c>
      <c r="S659" s="54">
        <v>0</v>
      </c>
      <c r="T659" s="54">
        <v>0</v>
      </c>
      <c r="U659" s="54">
        <v>1397</v>
      </c>
      <c r="V659" s="54">
        <v>0</v>
      </c>
      <c r="W659" s="54">
        <v>0</v>
      </c>
      <c r="X659" s="54">
        <v>0</v>
      </c>
      <c r="Y659" s="54">
        <v>5000</v>
      </c>
      <c r="Z659" s="54">
        <v>0</v>
      </c>
      <c r="AA659" s="54">
        <v>0</v>
      </c>
      <c r="AB659" s="54">
        <v>0</v>
      </c>
      <c r="AC659" s="54">
        <v>0</v>
      </c>
      <c r="AD659" s="54">
        <v>0</v>
      </c>
      <c r="AE659" s="54">
        <v>0</v>
      </c>
      <c r="AF659" s="54">
        <v>0</v>
      </c>
      <c r="AG659" s="54">
        <v>0</v>
      </c>
      <c r="AH659" s="54">
        <v>0</v>
      </c>
      <c r="AI659" s="54">
        <v>0</v>
      </c>
      <c r="AJ659" s="54">
        <v>0</v>
      </c>
      <c r="AK659" s="54">
        <v>0</v>
      </c>
      <c r="AL659" s="54">
        <v>0</v>
      </c>
      <c r="AM659" s="54" t="str">
        <f>I659-J659-K659-L659-M659-N659-O659-P659-Q659-R659-S659-T659-U659-V659-W659-X659-Y659-Z659-AA659-AB659-AC659-AD659-AE659-AF659-AG659+AH659-AI659+AJ659+AK659-AL659</f>
        <v>0</v>
      </c>
      <c r="AN659" s="54"/>
      <c r="AO659" s="27"/>
    </row>
    <row r="660" spans="1:41">
      <c r="A660" s="44">
        <v>632</v>
      </c>
      <c r="B660" s="47" t="s">
        <v>2631</v>
      </c>
      <c r="C660" s="48" t="s">
        <v>2632</v>
      </c>
      <c r="D660" s="52" t="s">
        <v>73</v>
      </c>
      <c r="E660" s="52" t="s">
        <v>2608</v>
      </c>
      <c r="F660" s="55" t="s">
        <v>2633</v>
      </c>
      <c r="G660" s="51">
        <v>5</v>
      </c>
      <c r="H660" s="52" t="s">
        <v>2634</v>
      </c>
      <c r="I660" s="54">
        <v>1520000</v>
      </c>
      <c r="J660" s="54">
        <v>0</v>
      </c>
      <c r="K660" s="54">
        <v>27000</v>
      </c>
      <c r="L660" s="54">
        <v>0</v>
      </c>
      <c r="M660" s="54">
        <v>0</v>
      </c>
      <c r="N660" s="54">
        <v>0</v>
      </c>
      <c r="O660" s="54">
        <v>0</v>
      </c>
      <c r="P660" s="54">
        <v>0</v>
      </c>
      <c r="Q660" s="54">
        <v>0</v>
      </c>
      <c r="R660" s="54">
        <v>0</v>
      </c>
      <c r="S660" s="54">
        <v>0</v>
      </c>
      <c r="T660" s="54">
        <v>0</v>
      </c>
      <c r="U660" s="54">
        <v>1714</v>
      </c>
      <c r="V660" s="54">
        <v>0</v>
      </c>
      <c r="W660" s="54">
        <v>0</v>
      </c>
      <c r="X660" s="54">
        <v>0</v>
      </c>
      <c r="Y660" s="54">
        <v>0</v>
      </c>
      <c r="Z660" s="54">
        <v>0</v>
      </c>
      <c r="AA660" s="54">
        <v>0</v>
      </c>
      <c r="AB660" s="54">
        <v>0</v>
      </c>
      <c r="AC660" s="54">
        <v>0</v>
      </c>
      <c r="AD660" s="54">
        <v>0</v>
      </c>
      <c r="AE660" s="54">
        <v>0</v>
      </c>
      <c r="AF660" s="54">
        <v>0</v>
      </c>
      <c r="AG660" s="54">
        <v>0</v>
      </c>
      <c r="AH660" s="54">
        <v>0</v>
      </c>
      <c r="AI660" s="54">
        <v>0</v>
      </c>
      <c r="AJ660" s="54">
        <v>0</v>
      </c>
      <c r="AK660" s="54">
        <v>0</v>
      </c>
      <c r="AL660" s="54">
        <v>0</v>
      </c>
      <c r="AM660" s="54" t="str">
        <f>I660-J660-K660-L660-M660-N660-O660-P660-Q660-R660-S660-T660-U660-V660-W660-X660-Y660-Z660-AA660-AB660-AC660-AD660-AE660-AF660-AG660+AH660-AI660+AJ660+AK660-AL660</f>
        <v>0</v>
      </c>
      <c r="AN660" s="54"/>
      <c r="AO660" s="27"/>
    </row>
    <row r="661" spans="1:41">
      <c r="A661" s="44">
        <v>633</v>
      </c>
      <c r="B661" s="47" t="s">
        <v>2635</v>
      </c>
      <c r="C661" s="48" t="s">
        <v>2636</v>
      </c>
      <c r="D661" s="52" t="s">
        <v>73</v>
      </c>
      <c r="E661" s="52" t="s">
        <v>2608</v>
      </c>
      <c r="F661" s="55" t="s">
        <v>2637</v>
      </c>
      <c r="G661" s="51">
        <v>6</v>
      </c>
      <c r="H661" s="52" t="s">
        <v>2638</v>
      </c>
      <c r="I661" s="54">
        <v>1465000</v>
      </c>
      <c r="J661" s="54">
        <v>0</v>
      </c>
      <c r="K661" s="54">
        <v>31000</v>
      </c>
      <c r="L661" s="54">
        <v>0</v>
      </c>
      <c r="M661" s="54">
        <v>0</v>
      </c>
      <c r="N661" s="54">
        <v>0</v>
      </c>
      <c r="O661" s="54">
        <v>0</v>
      </c>
      <c r="P661" s="54">
        <v>0</v>
      </c>
      <c r="Q661" s="54">
        <v>0</v>
      </c>
      <c r="R661" s="54">
        <v>0</v>
      </c>
      <c r="S661" s="54">
        <v>0</v>
      </c>
      <c r="T661" s="54">
        <v>0</v>
      </c>
      <c r="U661" s="54">
        <v>1968</v>
      </c>
      <c r="V661" s="54">
        <v>0</v>
      </c>
      <c r="W661" s="54">
        <v>0</v>
      </c>
      <c r="X661" s="54">
        <v>0</v>
      </c>
      <c r="Y661" s="54">
        <v>0</v>
      </c>
      <c r="Z661" s="54">
        <v>0</v>
      </c>
      <c r="AA661" s="54">
        <v>0</v>
      </c>
      <c r="AB661" s="54">
        <v>0</v>
      </c>
      <c r="AC661" s="54">
        <v>0</v>
      </c>
      <c r="AD661" s="54">
        <v>10000</v>
      </c>
      <c r="AE661" s="54">
        <v>0</v>
      </c>
      <c r="AF661" s="54">
        <v>0</v>
      </c>
      <c r="AG661" s="54">
        <v>0</v>
      </c>
      <c r="AH661" s="54">
        <v>0</v>
      </c>
      <c r="AI661" s="54">
        <v>0</v>
      </c>
      <c r="AJ661" s="54">
        <v>0</v>
      </c>
      <c r="AK661" s="54">
        <v>0</v>
      </c>
      <c r="AL661" s="54">
        <v>0</v>
      </c>
      <c r="AM661" s="54" t="str">
        <f>I661-J661-K661-L661-M661-N661-O661-P661-Q661-R661-S661-T661-U661-V661-W661-X661-Y661-Z661-AA661-AB661-AC661-AD661-AE661-AF661-AG661+AH661-AI661+AJ661+AK661-AL661</f>
        <v>0</v>
      </c>
      <c r="AN661" s="54"/>
      <c r="AO661" s="27"/>
    </row>
    <row r="662" spans="1:41">
      <c r="A662" s="44">
        <v>634</v>
      </c>
      <c r="B662" s="47" t="s">
        <v>2639</v>
      </c>
      <c r="C662" s="48" t="s">
        <v>2640</v>
      </c>
      <c r="D662" s="52" t="s">
        <v>62</v>
      </c>
      <c r="E662" s="52" t="s">
        <v>2608</v>
      </c>
      <c r="F662" s="55" t="s">
        <v>2641</v>
      </c>
      <c r="G662" s="51">
        <v>4</v>
      </c>
      <c r="H662" s="52" t="s">
        <v>2642</v>
      </c>
      <c r="I662" s="54">
        <v>0</v>
      </c>
      <c r="J662" s="54">
        <v>0</v>
      </c>
      <c r="K662" s="54">
        <v>25000</v>
      </c>
      <c r="L662" s="54">
        <v>0</v>
      </c>
      <c r="M662" s="54">
        <v>0</v>
      </c>
      <c r="N662" s="54">
        <v>0</v>
      </c>
      <c r="O662" s="54">
        <v>0</v>
      </c>
      <c r="P662" s="54">
        <v>0</v>
      </c>
      <c r="Q662" s="54">
        <v>0</v>
      </c>
      <c r="R662" s="54">
        <v>0</v>
      </c>
      <c r="S662" s="54">
        <v>0</v>
      </c>
      <c r="T662" s="54">
        <v>0</v>
      </c>
      <c r="U662" s="54">
        <v>1587</v>
      </c>
      <c r="V662" s="54">
        <v>0</v>
      </c>
      <c r="W662" s="54">
        <v>0</v>
      </c>
      <c r="X662" s="54">
        <v>0</v>
      </c>
      <c r="Y662" s="54">
        <v>12500</v>
      </c>
      <c r="Z662" s="54">
        <v>0</v>
      </c>
      <c r="AA662" s="54">
        <v>0</v>
      </c>
      <c r="AB662" s="54">
        <v>0</v>
      </c>
      <c r="AC662" s="54">
        <v>0</v>
      </c>
      <c r="AD662" s="54">
        <v>0</v>
      </c>
      <c r="AE662" s="54">
        <v>0</v>
      </c>
      <c r="AF662" s="54">
        <v>0</v>
      </c>
      <c r="AG662" s="54">
        <v>0</v>
      </c>
      <c r="AH662" s="54">
        <v>0</v>
      </c>
      <c r="AI662" s="54">
        <v>0</v>
      </c>
      <c r="AJ662" s="54">
        <v>0</v>
      </c>
      <c r="AK662" s="54">
        <v>0</v>
      </c>
      <c r="AL662" s="54">
        <v>0</v>
      </c>
      <c r="AM662" s="54" t="str">
        <f>I662-J662-K662-L662-M662-N662-O662-P662-Q662-R662-S662-T662-U662-V662-W662-X662-Y662-Z662-AA662-AB662-AC662-AD662-AE662-AF662-AG662+AH662-AI662+AJ662+AK662-AL662</f>
        <v>0</v>
      </c>
      <c r="AN662" s="54"/>
      <c r="AO662" s="27"/>
    </row>
    <row r="663" spans="1:41">
      <c r="A663" s="44">
        <v>635</v>
      </c>
      <c r="B663" s="47" t="s">
        <v>2643</v>
      </c>
      <c r="C663" s="48" t="s">
        <v>2644</v>
      </c>
      <c r="D663" s="52" t="s">
        <v>73</v>
      </c>
      <c r="E663" s="52" t="s">
        <v>2608</v>
      </c>
      <c r="F663" s="55" t="s">
        <v>2645</v>
      </c>
      <c r="G663" s="51">
        <v>3</v>
      </c>
      <c r="H663" s="52" t="s">
        <v>2646</v>
      </c>
      <c r="I663" s="54">
        <v>759000</v>
      </c>
      <c r="J663" s="54">
        <v>0</v>
      </c>
      <c r="K663" s="54">
        <v>22000</v>
      </c>
      <c r="L663" s="54">
        <v>0</v>
      </c>
      <c r="M663" s="54">
        <v>0</v>
      </c>
      <c r="N663" s="54">
        <v>0</v>
      </c>
      <c r="O663" s="54">
        <v>0</v>
      </c>
      <c r="P663" s="54">
        <v>0</v>
      </c>
      <c r="Q663" s="54">
        <v>0</v>
      </c>
      <c r="R663" s="54">
        <v>0</v>
      </c>
      <c r="S663" s="54">
        <v>0</v>
      </c>
      <c r="T663" s="54">
        <v>0</v>
      </c>
      <c r="U663" s="54">
        <v>1397</v>
      </c>
      <c r="V663" s="54">
        <v>0</v>
      </c>
      <c r="W663" s="54">
        <v>0</v>
      </c>
      <c r="X663" s="54">
        <v>0</v>
      </c>
      <c r="Y663" s="54">
        <v>0</v>
      </c>
      <c r="Z663" s="54">
        <v>0</v>
      </c>
      <c r="AA663" s="54">
        <v>0</v>
      </c>
      <c r="AB663" s="54">
        <v>0</v>
      </c>
      <c r="AC663" s="54">
        <v>0</v>
      </c>
      <c r="AD663" s="54">
        <v>0</v>
      </c>
      <c r="AE663" s="54">
        <v>0</v>
      </c>
      <c r="AF663" s="54">
        <v>0</v>
      </c>
      <c r="AG663" s="54">
        <v>0</v>
      </c>
      <c r="AH663" s="54">
        <v>0</v>
      </c>
      <c r="AI663" s="54">
        <v>0</v>
      </c>
      <c r="AJ663" s="54">
        <v>0</v>
      </c>
      <c r="AK663" s="54">
        <v>0</v>
      </c>
      <c r="AL663" s="54">
        <v>0</v>
      </c>
      <c r="AM663" s="54" t="str">
        <f>I663-J663-K663-L663-M663-N663-O663-P663-Q663-R663-S663-T663-U663-V663-W663-X663-Y663-Z663-AA663-AB663-AC663-AD663-AE663-AF663-AG663+AH663-AI663+AJ663+AK663-AL663</f>
        <v>0</v>
      </c>
      <c r="AN663" s="54"/>
      <c r="AO663" s="27"/>
    </row>
    <row r="664" spans="1:41">
      <c r="A664" s="44">
        <v>636</v>
      </c>
      <c r="B664" s="47" t="s">
        <v>2647</v>
      </c>
      <c r="C664" s="48" t="s">
        <v>2648</v>
      </c>
      <c r="D664" s="52" t="s">
        <v>73</v>
      </c>
      <c r="E664" s="52" t="s">
        <v>2608</v>
      </c>
      <c r="F664" s="55" t="s">
        <v>2649</v>
      </c>
      <c r="G664" s="51">
        <v>7</v>
      </c>
      <c r="H664" s="52" t="s">
        <v>2650</v>
      </c>
      <c r="I664" s="54">
        <v>455000</v>
      </c>
      <c r="J664" s="54">
        <v>0</v>
      </c>
      <c r="K664" s="54">
        <v>35000</v>
      </c>
      <c r="L664" s="54">
        <v>0</v>
      </c>
      <c r="M664" s="54">
        <v>0</v>
      </c>
      <c r="N664" s="54">
        <v>0</v>
      </c>
      <c r="O664" s="54">
        <v>0</v>
      </c>
      <c r="P664" s="54">
        <v>0</v>
      </c>
      <c r="Q664" s="54">
        <v>0</v>
      </c>
      <c r="R664" s="54">
        <v>0</v>
      </c>
      <c r="S664" s="54">
        <v>0</v>
      </c>
      <c r="T664" s="54">
        <v>0</v>
      </c>
      <c r="U664" s="54">
        <v>2222</v>
      </c>
      <c r="V664" s="54">
        <v>0</v>
      </c>
      <c r="W664" s="54">
        <v>0</v>
      </c>
      <c r="X664" s="54">
        <v>0</v>
      </c>
      <c r="Y664" s="54">
        <v>0</v>
      </c>
      <c r="Z664" s="54">
        <v>0</v>
      </c>
      <c r="AA664" s="54">
        <v>0</v>
      </c>
      <c r="AB664" s="54">
        <v>0</v>
      </c>
      <c r="AC664" s="54">
        <v>0</v>
      </c>
      <c r="AD664" s="54">
        <v>0</v>
      </c>
      <c r="AE664" s="54">
        <v>0</v>
      </c>
      <c r="AF664" s="54">
        <v>0</v>
      </c>
      <c r="AG664" s="54">
        <v>0</v>
      </c>
      <c r="AH664" s="54">
        <v>0</v>
      </c>
      <c r="AI664" s="54">
        <v>0</v>
      </c>
      <c r="AJ664" s="54">
        <v>0</v>
      </c>
      <c r="AK664" s="54">
        <v>0</v>
      </c>
      <c r="AL664" s="54">
        <v>0</v>
      </c>
      <c r="AM664" s="54" t="str">
        <f>I664-J664-K664-L664-M664-N664-O664-P664-Q664-R664-S664-T664-U664-V664-W664-X664-Y664-Z664-AA664-AB664-AC664-AD664-AE664-AF664-AG664+AH664-AI664+AJ664+AK664-AL664</f>
        <v>0</v>
      </c>
      <c r="AN664" s="54"/>
      <c r="AO664" s="27"/>
    </row>
    <row r="665" spans="1:41">
      <c r="A665" s="44">
        <v>637</v>
      </c>
      <c r="B665" s="47" t="s">
        <v>2651</v>
      </c>
      <c r="C665" s="48" t="s">
        <v>2652</v>
      </c>
      <c r="D665" s="52" t="s">
        <v>73</v>
      </c>
      <c r="E665" s="52" t="s">
        <v>2608</v>
      </c>
      <c r="F665" s="55" t="s">
        <v>2653</v>
      </c>
      <c r="G665" s="51">
        <v>12</v>
      </c>
      <c r="H665" s="52" t="s">
        <v>2654</v>
      </c>
      <c r="I665" s="54">
        <v>645000</v>
      </c>
      <c r="J665" s="54">
        <v>0</v>
      </c>
      <c r="K665" s="54">
        <v>59000</v>
      </c>
      <c r="L665" s="54">
        <v>0</v>
      </c>
      <c r="M665" s="54">
        <v>0</v>
      </c>
      <c r="N665" s="54">
        <v>0</v>
      </c>
      <c r="O665" s="54">
        <v>0</v>
      </c>
      <c r="P665" s="54">
        <v>0</v>
      </c>
      <c r="Q665" s="54">
        <v>0</v>
      </c>
      <c r="R665" s="54">
        <v>0</v>
      </c>
      <c r="S665" s="54">
        <v>0</v>
      </c>
      <c r="T665" s="54">
        <v>0</v>
      </c>
      <c r="U665" s="54">
        <v>3746</v>
      </c>
      <c r="V665" s="54">
        <v>0</v>
      </c>
      <c r="W665" s="54">
        <v>0</v>
      </c>
      <c r="X665" s="54">
        <v>0</v>
      </c>
      <c r="Y665" s="54">
        <v>0</v>
      </c>
      <c r="Z665" s="54">
        <v>0</v>
      </c>
      <c r="AA665" s="54">
        <v>0</v>
      </c>
      <c r="AB665" s="54">
        <v>0</v>
      </c>
      <c r="AC665" s="54">
        <v>0</v>
      </c>
      <c r="AD665" s="54">
        <v>0</v>
      </c>
      <c r="AE665" s="54">
        <v>0</v>
      </c>
      <c r="AF665" s="54">
        <v>0</v>
      </c>
      <c r="AG665" s="54">
        <v>0</v>
      </c>
      <c r="AH665" s="54">
        <v>0</v>
      </c>
      <c r="AI665" s="54">
        <v>0</v>
      </c>
      <c r="AJ665" s="54">
        <v>0</v>
      </c>
      <c r="AK665" s="54">
        <v>0</v>
      </c>
      <c r="AL665" s="54">
        <v>0</v>
      </c>
      <c r="AM665" s="54" t="str">
        <f>I665-J665-K665-L665-M665-N665-O665-P665-Q665-R665-S665-T665-U665-V665-W665-X665-Y665-Z665-AA665-AB665-AC665-AD665-AE665-AF665-AG665+AH665-AI665+AJ665+AK665-AL665</f>
        <v>0</v>
      </c>
      <c r="AN665" s="54"/>
      <c r="AO665" s="27"/>
    </row>
    <row r="666" spans="1:41">
      <c r="A666" s="44">
        <v>638</v>
      </c>
      <c r="B666" s="47" t="s">
        <v>2655</v>
      </c>
      <c r="C666" s="48" t="s">
        <v>2656</v>
      </c>
      <c r="D666" s="52" t="s">
        <v>73</v>
      </c>
      <c r="E666" s="52" t="s">
        <v>2608</v>
      </c>
      <c r="F666" s="55" t="s">
        <v>2657</v>
      </c>
      <c r="G666" s="51">
        <v>7</v>
      </c>
      <c r="H666" s="52" t="s">
        <v>2658</v>
      </c>
      <c r="I666" s="54">
        <v>1365000</v>
      </c>
      <c r="J666" s="54">
        <v>0</v>
      </c>
      <c r="K666" s="54">
        <v>35000</v>
      </c>
      <c r="L666" s="54">
        <v>0</v>
      </c>
      <c r="M666" s="54">
        <v>0</v>
      </c>
      <c r="N666" s="54">
        <v>0</v>
      </c>
      <c r="O666" s="54">
        <v>0</v>
      </c>
      <c r="P666" s="54">
        <v>0</v>
      </c>
      <c r="Q666" s="54">
        <v>0</v>
      </c>
      <c r="R666" s="54">
        <v>0</v>
      </c>
      <c r="S666" s="54">
        <v>0</v>
      </c>
      <c r="T666" s="54">
        <v>0</v>
      </c>
      <c r="U666" s="54">
        <v>2222</v>
      </c>
      <c r="V666" s="54">
        <v>0</v>
      </c>
      <c r="W666" s="54">
        <v>0</v>
      </c>
      <c r="X666" s="54">
        <v>0</v>
      </c>
      <c r="Y666" s="54">
        <v>0</v>
      </c>
      <c r="Z666" s="54">
        <v>0</v>
      </c>
      <c r="AA666" s="54">
        <v>0</v>
      </c>
      <c r="AB666" s="54">
        <v>0</v>
      </c>
      <c r="AC666" s="54">
        <v>0</v>
      </c>
      <c r="AD666" s="54">
        <v>0</v>
      </c>
      <c r="AE666" s="54">
        <v>0</v>
      </c>
      <c r="AF666" s="54">
        <v>0</v>
      </c>
      <c r="AG666" s="54">
        <v>0</v>
      </c>
      <c r="AH666" s="54">
        <v>0</v>
      </c>
      <c r="AI666" s="54">
        <v>0</v>
      </c>
      <c r="AJ666" s="54">
        <v>0</v>
      </c>
      <c r="AK666" s="54">
        <v>0</v>
      </c>
      <c r="AL666" s="54">
        <v>0</v>
      </c>
      <c r="AM666" s="54" t="str">
        <f>I666-J666-K666-L666-M666-N666-O666-P666-Q666-R666-S666-T666-U666-V666-W666-X666-Y666-Z666-AA666-AB666-AC666-AD666-AE666-AF666-AG666+AH666-AI666+AJ666+AK666-AL666</f>
        <v>0</v>
      </c>
      <c r="AN666" s="54"/>
      <c r="AO666" s="27"/>
    </row>
    <row r="667" spans="1:41">
      <c r="A667" s="44">
        <v>639</v>
      </c>
      <c r="B667" s="47" t="s">
        <v>2659</v>
      </c>
      <c r="C667" s="48" t="s">
        <v>2660</v>
      </c>
      <c r="D667" s="52" t="s">
        <v>73</v>
      </c>
      <c r="E667" s="52" t="s">
        <v>2608</v>
      </c>
      <c r="F667" s="55" t="s">
        <v>2661</v>
      </c>
      <c r="G667" s="51">
        <v>3</v>
      </c>
      <c r="H667" s="52" t="s">
        <v>2662</v>
      </c>
      <c r="I667" s="54">
        <v>735000</v>
      </c>
      <c r="J667" s="54">
        <v>0</v>
      </c>
      <c r="K667" s="54">
        <v>22000</v>
      </c>
      <c r="L667" s="54">
        <v>0</v>
      </c>
      <c r="M667" s="54">
        <v>0</v>
      </c>
      <c r="N667" s="54">
        <v>0</v>
      </c>
      <c r="O667" s="54">
        <v>0</v>
      </c>
      <c r="P667" s="54">
        <v>0</v>
      </c>
      <c r="Q667" s="54">
        <v>0</v>
      </c>
      <c r="R667" s="54">
        <v>0</v>
      </c>
      <c r="S667" s="54">
        <v>0</v>
      </c>
      <c r="T667" s="54">
        <v>0</v>
      </c>
      <c r="U667" s="54">
        <v>1397</v>
      </c>
      <c r="V667" s="54">
        <v>0</v>
      </c>
      <c r="W667" s="54">
        <v>0</v>
      </c>
      <c r="X667" s="54">
        <v>0</v>
      </c>
      <c r="Y667" s="54">
        <v>0</v>
      </c>
      <c r="Z667" s="54">
        <v>0</v>
      </c>
      <c r="AA667" s="54">
        <v>0</v>
      </c>
      <c r="AB667" s="54">
        <v>0</v>
      </c>
      <c r="AC667" s="54">
        <v>0</v>
      </c>
      <c r="AD667" s="54">
        <v>0</v>
      </c>
      <c r="AE667" s="54">
        <v>0</v>
      </c>
      <c r="AF667" s="54">
        <v>0</v>
      </c>
      <c r="AG667" s="54">
        <v>0</v>
      </c>
      <c r="AH667" s="54">
        <v>0</v>
      </c>
      <c r="AI667" s="54">
        <v>0</v>
      </c>
      <c r="AJ667" s="54">
        <v>0</v>
      </c>
      <c r="AK667" s="54">
        <v>0</v>
      </c>
      <c r="AL667" s="54">
        <v>0</v>
      </c>
      <c r="AM667" s="54" t="str">
        <f>I667-J667-K667-L667-M667-N667-O667-P667-Q667-R667-S667-T667-U667-V667-W667-X667-Y667-Z667-AA667-AB667-AC667-AD667-AE667-AF667-AG667+AH667-AI667+AJ667+AK667-AL667</f>
        <v>0</v>
      </c>
      <c r="AN667" s="54"/>
      <c r="AO667" s="27"/>
    </row>
    <row r="668" spans="1:41">
      <c r="A668" s="44">
        <v>640</v>
      </c>
      <c r="B668" s="47" t="s">
        <v>2663</v>
      </c>
      <c r="C668" s="48" t="s">
        <v>2664</v>
      </c>
      <c r="D668" s="52" t="s">
        <v>73</v>
      </c>
      <c r="E668" s="52" t="s">
        <v>2608</v>
      </c>
      <c r="F668" s="55" t="s">
        <v>2665</v>
      </c>
      <c r="G668" s="51">
        <v>4</v>
      </c>
      <c r="H668" s="52" t="s">
        <v>2666</v>
      </c>
      <c r="I668" s="54">
        <v>364000</v>
      </c>
      <c r="J668" s="54">
        <v>0</v>
      </c>
      <c r="K668" s="54">
        <v>25000</v>
      </c>
      <c r="L668" s="54">
        <v>0</v>
      </c>
      <c r="M668" s="54">
        <v>0</v>
      </c>
      <c r="N668" s="54">
        <v>0</v>
      </c>
      <c r="O668" s="54">
        <v>0</v>
      </c>
      <c r="P668" s="54">
        <v>0</v>
      </c>
      <c r="Q668" s="54">
        <v>0</v>
      </c>
      <c r="R668" s="54">
        <v>0</v>
      </c>
      <c r="S668" s="54">
        <v>0</v>
      </c>
      <c r="T668" s="54">
        <v>0</v>
      </c>
      <c r="U668" s="54">
        <v>1587</v>
      </c>
      <c r="V668" s="54">
        <v>0</v>
      </c>
      <c r="W668" s="54">
        <v>0</v>
      </c>
      <c r="X668" s="54">
        <v>0</v>
      </c>
      <c r="Y668" s="54">
        <v>0</v>
      </c>
      <c r="Z668" s="54">
        <v>0</v>
      </c>
      <c r="AA668" s="54">
        <v>0</v>
      </c>
      <c r="AB668" s="54">
        <v>0</v>
      </c>
      <c r="AC668" s="54">
        <v>0</v>
      </c>
      <c r="AD668" s="54">
        <v>0</v>
      </c>
      <c r="AE668" s="54">
        <v>0</v>
      </c>
      <c r="AF668" s="54">
        <v>0</v>
      </c>
      <c r="AG668" s="54">
        <v>0</v>
      </c>
      <c r="AH668" s="54">
        <v>0</v>
      </c>
      <c r="AI668" s="54">
        <v>0</v>
      </c>
      <c r="AJ668" s="54">
        <v>0</v>
      </c>
      <c r="AK668" s="54">
        <v>0</v>
      </c>
      <c r="AL668" s="54">
        <v>0</v>
      </c>
      <c r="AM668" s="54" t="str">
        <f>I668-J668-K668-L668-M668-N668-O668-P668-Q668-R668-S668-T668-U668-V668-W668-X668-Y668-Z668-AA668-AB668-AC668-AD668-AE668-AF668-AG668+AH668-AI668+AJ668+AK668-AL668</f>
        <v>0</v>
      </c>
      <c r="AN668" s="54"/>
      <c r="AO668" s="27"/>
    </row>
    <row r="669" spans="1:41">
      <c r="A669" s="44">
        <v>641</v>
      </c>
      <c r="B669" s="47" t="s">
        <v>2667</v>
      </c>
      <c r="C669" s="48" t="s">
        <v>2668</v>
      </c>
      <c r="D669" s="52" t="s">
        <v>73</v>
      </c>
      <c r="E669" s="52" t="s">
        <v>2608</v>
      </c>
      <c r="F669" s="55" t="s">
        <v>2669</v>
      </c>
      <c r="G669" s="51">
        <v>2</v>
      </c>
      <c r="H669" s="52" t="s">
        <v>2670</v>
      </c>
      <c r="I669" s="54">
        <v>310000</v>
      </c>
      <c r="J669" s="54">
        <v>0</v>
      </c>
      <c r="K669" s="54">
        <v>22000</v>
      </c>
      <c r="L669" s="54">
        <v>0</v>
      </c>
      <c r="M669" s="54">
        <v>0</v>
      </c>
      <c r="N669" s="54">
        <v>0</v>
      </c>
      <c r="O669" s="54">
        <v>0</v>
      </c>
      <c r="P669" s="54">
        <v>0</v>
      </c>
      <c r="Q669" s="54">
        <v>0</v>
      </c>
      <c r="R669" s="54">
        <v>0</v>
      </c>
      <c r="S669" s="54">
        <v>0</v>
      </c>
      <c r="T669" s="54">
        <v>0</v>
      </c>
      <c r="U669" s="54">
        <v>1397</v>
      </c>
      <c r="V669" s="54">
        <v>0</v>
      </c>
      <c r="W669" s="54">
        <v>0</v>
      </c>
      <c r="X669" s="54">
        <v>0</v>
      </c>
      <c r="Y669" s="54">
        <v>0</v>
      </c>
      <c r="Z669" s="54">
        <v>0</v>
      </c>
      <c r="AA669" s="54">
        <v>0</v>
      </c>
      <c r="AB669" s="54">
        <v>0</v>
      </c>
      <c r="AC669" s="54">
        <v>0</v>
      </c>
      <c r="AD669" s="54">
        <v>0</v>
      </c>
      <c r="AE669" s="54">
        <v>0</v>
      </c>
      <c r="AF669" s="54">
        <v>0</v>
      </c>
      <c r="AG669" s="54">
        <v>0</v>
      </c>
      <c r="AH669" s="54">
        <v>0</v>
      </c>
      <c r="AI669" s="54">
        <v>0</v>
      </c>
      <c r="AJ669" s="54">
        <v>0</v>
      </c>
      <c r="AK669" s="54">
        <v>0</v>
      </c>
      <c r="AL669" s="54">
        <v>0</v>
      </c>
      <c r="AM669" s="54" t="str">
        <f>I669-J669-K669-L669-M669-N669-O669-P669-Q669-R669-S669-T669-U669-V669-W669-X669-Y669-Z669-AA669-AB669-AC669-AD669-AE669-AF669-AG669+AH669-AI669+AJ669+AK669-AL669</f>
        <v>0</v>
      </c>
      <c r="AN669" s="54"/>
      <c r="AO669" s="27"/>
    </row>
    <row r="670" spans="1:41">
      <c r="A670" s="44">
        <v>642</v>
      </c>
      <c r="B670" s="47" t="s">
        <v>2671</v>
      </c>
      <c r="C670" s="48" t="s">
        <v>2672</v>
      </c>
      <c r="D670" s="52" t="s">
        <v>73</v>
      </c>
      <c r="E670" s="52" t="s">
        <v>2608</v>
      </c>
      <c r="F670" s="55" t="s">
        <v>2673</v>
      </c>
      <c r="G670" s="51">
        <v>2</v>
      </c>
      <c r="H670" s="52" t="s">
        <v>2674</v>
      </c>
      <c r="I670" s="54">
        <v>810000</v>
      </c>
      <c r="J670" s="54">
        <v>0</v>
      </c>
      <c r="K670" s="54">
        <v>22000</v>
      </c>
      <c r="L670" s="54">
        <v>0</v>
      </c>
      <c r="M670" s="54">
        <v>0</v>
      </c>
      <c r="N670" s="54">
        <v>0</v>
      </c>
      <c r="O670" s="54">
        <v>0</v>
      </c>
      <c r="P670" s="54">
        <v>0</v>
      </c>
      <c r="Q670" s="54">
        <v>0</v>
      </c>
      <c r="R670" s="54">
        <v>0</v>
      </c>
      <c r="S670" s="54">
        <v>0</v>
      </c>
      <c r="T670" s="54">
        <v>0</v>
      </c>
      <c r="U670" s="54">
        <v>1397</v>
      </c>
      <c r="V670" s="54">
        <v>0</v>
      </c>
      <c r="W670" s="54">
        <v>0</v>
      </c>
      <c r="X670" s="54">
        <v>0</v>
      </c>
      <c r="Y670" s="54">
        <v>0</v>
      </c>
      <c r="Z670" s="54">
        <v>0</v>
      </c>
      <c r="AA670" s="54">
        <v>0</v>
      </c>
      <c r="AB670" s="54">
        <v>0</v>
      </c>
      <c r="AC670" s="54">
        <v>0</v>
      </c>
      <c r="AD670" s="54">
        <v>0</v>
      </c>
      <c r="AE670" s="54">
        <v>0</v>
      </c>
      <c r="AF670" s="54">
        <v>0</v>
      </c>
      <c r="AG670" s="54">
        <v>0</v>
      </c>
      <c r="AH670" s="54">
        <v>0</v>
      </c>
      <c r="AI670" s="54">
        <v>0</v>
      </c>
      <c r="AJ670" s="54">
        <v>0</v>
      </c>
      <c r="AK670" s="54">
        <v>0</v>
      </c>
      <c r="AL670" s="54">
        <v>0</v>
      </c>
      <c r="AM670" s="54" t="str">
        <f>I670-J670-K670-L670-M670-N670-O670-P670-Q670-R670-S670-T670-U670-V670-W670-X670-Y670-Z670-AA670-AB670-AC670-AD670-AE670-AF670-AG670+AH670-AI670+AJ670+AK670-AL670</f>
        <v>0</v>
      </c>
      <c r="AN670" s="54"/>
      <c r="AO670" s="27"/>
    </row>
    <row r="671" spans="1:41">
      <c r="A671" s="44">
        <v>643</v>
      </c>
      <c r="B671" s="47" t="s">
        <v>2675</v>
      </c>
      <c r="C671" s="48" t="s">
        <v>2676</v>
      </c>
      <c r="D671" s="52" t="s">
        <v>73</v>
      </c>
      <c r="E671" s="52" t="s">
        <v>2608</v>
      </c>
      <c r="F671" s="55" t="s">
        <v>2677</v>
      </c>
      <c r="G671" s="51">
        <v>3</v>
      </c>
      <c r="H671" s="52" t="s">
        <v>2678</v>
      </c>
      <c r="I671" s="54">
        <v>784000</v>
      </c>
      <c r="J671" s="54">
        <v>0</v>
      </c>
      <c r="K671" s="54">
        <v>22000</v>
      </c>
      <c r="L671" s="54">
        <v>0</v>
      </c>
      <c r="M671" s="54">
        <v>0</v>
      </c>
      <c r="N671" s="54">
        <v>0</v>
      </c>
      <c r="O671" s="54">
        <v>0</v>
      </c>
      <c r="P671" s="54">
        <v>0</v>
      </c>
      <c r="Q671" s="54">
        <v>0</v>
      </c>
      <c r="R671" s="54">
        <v>0</v>
      </c>
      <c r="S671" s="54">
        <v>0</v>
      </c>
      <c r="T671" s="54">
        <v>0</v>
      </c>
      <c r="U671" s="54">
        <v>1397</v>
      </c>
      <c r="V671" s="54">
        <v>0</v>
      </c>
      <c r="W671" s="54">
        <v>0</v>
      </c>
      <c r="X671" s="54">
        <v>0</v>
      </c>
      <c r="Y671" s="54">
        <v>0</v>
      </c>
      <c r="Z671" s="54">
        <v>0</v>
      </c>
      <c r="AA671" s="54">
        <v>0</v>
      </c>
      <c r="AB671" s="54">
        <v>0</v>
      </c>
      <c r="AC671" s="54">
        <v>0</v>
      </c>
      <c r="AD671" s="54">
        <v>0</v>
      </c>
      <c r="AE671" s="54">
        <v>0</v>
      </c>
      <c r="AF671" s="54">
        <v>0</v>
      </c>
      <c r="AG671" s="54">
        <v>0</v>
      </c>
      <c r="AH671" s="54">
        <v>0</v>
      </c>
      <c r="AI671" s="54">
        <v>0</v>
      </c>
      <c r="AJ671" s="54">
        <v>0</v>
      </c>
      <c r="AK671" s="54">
        <v>0</v>
      </c>
      <c r="AL671" s="54">
        <v>0</v>
      </c>
      <c r="AM671" s="54" t="str">
        <f>I671-J671-K671-L671-M671-N671-O671-P671-Q671-R671-S671-T671-U671-V671-W671-X671-Y671-Z671-AA671-AB671-AC671-AD671-AE671-AF671-AG671+AH671-AI671+AJ671+AK671-AL671</f>
        <v>0</v>
      </c>
      <c r="AN671" s="54"/>
      <c r="AO671" s="27"/>
    </row>
    <row r="672" spans="1:41">
      <c r="A672" s="44">
        <v>644</v>
      </c>
      <c r="B672" s="47" t="s">
        <v>2679</v>
      </c>
      <c r="C672" s="48" t="s">
        <v>2680</v>
      </c>
      <c r="D672" s="52" t="s">
        <v>73</v>
      </c>
      <c r="E672" s="52" t="s">
        <v>2608</v>
      </c>
      <c r="F672" s="55" t="s">
        <v>2681</v>
      </c>
      <c r="G672" s="51">
        <v>3</v>
      </c>
      <c r="H672" s="52" t="s">
        <v>2682</v>
      </c>
      <c r="I672" s="54">
        <v>784000</v>
      </c>
      <c r="J672" s="54">
        <v>0</v>
      </c>
      <c r="K672" s="54">
        <v>22000</v>
      </c>
      <c r="L672" s="54">
        <v>0</v>
      </c>
      <c r="M672" s="54">
        <v>0</v>
      </c>
      <c r="N672" s="54">
        <v>0</v>
      </c>
      <c r="O672" s="54">
        <v>0</v>
      </c>
      <c r="P672" s="54">
        <v>0</v>
      </c>
      <c r="Q672" s="54">
        <v>0</v>
      </c>
      <c r="R672" s="54">
        <v>0</v>
      </c>
      <c r="S672" s="54">
        <v>0</v>
      </c>
      <c r="T672" s="54">
        <v>0</v>
      </c>
      <c r="U672" s="54">
        <v>1397</v>
      </c>
      <c r="V672" s="54">
        <v>0</v>
      </c>
      <c r="W672" s="54">
        <v>0</v>
      </c>
      <c r="X672" s="54">
        <v>0</v>
      </c>
      <c r="Y672" s="54">
        <v>0</v>
      </c>
      <c r="Z672" s="54">
        <v>0</v>
      </c>
      <c r="AA672" s="54">
        <v>0</v>
      </c>
      <c r="AB672" s="54">
        <v>0</v>
      </c>
      <c r="AC672" s="54">
        <v>0</v>
      </c>
      <c r="AD672" s="54">
        <v>0</v>
      </c>
      <c r="AE672" s="54">
        <v>0</v>
      </c>
      <c r="AF672" s="54">
        <v>0</v>
      </c>
      <c r="AG672" s="54">
        <v>0</v>
      </c>
      <c r="AH672" s="54">
        <v>0</v>
      </c>
      <c r="AI672" s="54">
        <v>0</v>
      </c>
      <c r="AJ672" s="54">
        <v>0</v>
      </c>
      <c r="AK672" s="54">
        <v>0</v>
      </c>
      <c r="AL672" s="54">
        <v>0</v>
      </c>
      <c r="AM672" s="54" t="str">
        <f>I672-J672-K672-L672-M672-N672-O672-P672-Q672-R672-S672-T672-U672-V672-W672-X672-Y672-Z672-AA672-AB672-AC672-AD672-AE672-AF672-AG672+AH672-AI672+AJ672+AK672-AL672</f>
        <v>0</v>
      </c>
      <c r="AN672" s="54"/>
      <c r="AO672" s="27"/>
    </row>
    <row r="673" spans="1:41">
      <c r="A673" s="44">
        <v>645</v>
      </c>
      <c r="B673" s="47" t="s">
        <v>2683</v>
      </c>
      <c r="C673" s="48" t="s">
        <v>2684</v>
      </c>
      <c r="D673" s="52" t="s">
        <v>73</v>
      </c>
      <c r="E673" s="52" t="s">
        <v>2608</v>
      </c>
      <c r="F673" s="55" t="s">
        <v>2685</v>
      </c>
      <c r="G673" s="51">
        <v>2</v>
      </c>
      <c r="H673" s="52" t="s">
        <v>2686</v>
      </c>
      <c r="I673" s="54">
        <v>144000</v>
      </c>
      <c r="J673" s="54">
        <v>0</v>
      </c>
      <c r="K673" s="54">
        <v>22000</v>
      </c>
      <c r="L673" s="54">
        <v>0</v>
      </c>
      <c r="M673" s="54">
        <v>0</v>
      </c>
      <c r="N673" s="54">
        <v>0</v>
      </c>
      <c r="O673" s="54">
        <v>0</v>
      </c>
      <c r="P673" s="54">
        <v>0</v>
      </c>
      <c r="Q673" s="54">
        <v>0</v>
      </c>
      <c r="R673" s="54">
        <v>0</v>
      </c>
      <c r="S673" s="54">
        <v>0</v>
      </c>
      <c r="T673" s="54">
        <v>0</v>
      </c>
      <c r="U673" s="54">
        <v>1397</v>
      </c>
      <c r="V673" s="54">
        <v>0</v>
      </c>
      <c r="W673" s="54">
        <v>0</v>
      </c>
      <c r="X673" s="54">
        <v>0</v>
      </c>
      <c r="Y673" s="54">
        <v>0</v>
      </c>
      <c r="Z673" s="54">
        <v>0</v>
      </c>
      <c r="AA673" s="54">
        <v>0</v>
      </c>
      <c r="AB673" s="54">
        <v>0</v>
      </c>
      <c r="AC673" s="54">
        <v>0</v>
      </c>
      <c r="AD673" s="54">
        <v>0</v>
      </c>
      <c r="AE673" s="54">
        <v>0</v>
      </c>
      <c r="AF673" s="54">
        <v>0</v>
      </c>
      <c r="AG673" s="54">
        <v>0</v>
      </c>
      <c r="AH673" s="54">
        <v>0</v>
      </c>
      <c r="AI673" s="54">
        <v>0</v>
      </c>
      <c r="AJ673" s="54">
        <v>0</v>
      </c>
      <c r="AK673" s="54">
        <v>0</v>
      </c>
      <c r="AL673" s="54">
        <v>0</v>
      </c>
      <c r="AM673" s="54" t="str">
        <f>I673-J673-K673-L673-M673-N673-O673-P673-Q673-R673-S673-T673-U673-V673-W673-X673-Y673-Z673-AA673-AB673-AC673-AD673-AE673-AF673-AG673+AH673-AI673+AJ673+AK673-AL673</f>
        <v>0</v>
      </c>
      <c r="AN673" s="54"/>
      <c r="AO673" s="27"/>
    </row>
    <row r="674" spans="1:41">
      <c r="A674" s="44">
        <v>646</v>
      </c>
      <c r="B674" s="47" t="s">
        <v>2687</v>
      </c>
      <c r="C674" s="48" t="s">
        <v>2688</v>
      </c>
      <c r="D674" s="52" t="s">
        <v>73</v>
      </c>
      <c r="E674" s="52" t="s">
        <v>2608</v>
      </c>
      <c r="F674" s="55" t="s">
        <v>2689</v>
      </c>
      <c r="G674" s="51">
        <v>2</v>
      </c>
      <c r="H674" s="52" t="s">
        <v>2690</v>
      </c>
      <c r="I674" s="54">
        <v>144000</v>
      </c>
      <c r="J674" s="54">
        <v>0</v>
      </c>
      <c r="K674" s="54">
        <v>22000</v>
      </c>
      <c r="L674" s="54">
        <v>0</v>
      </c>
      <c r="M674" s="54">
        <v>0</v>
      </c>
      <c r="N674" s="54">
        <v>0</v>
      </c>
      <c r="O674" s="54">
        <v>0</v>
      </c>
      <c r="P674" s="54">
        <v>0</v>
      </c>
      <c r="Q674" s="54">
        <v>0</v>
      </c>
      <c r="R674" s="54">
        <v>0</v>
      </c>
      <c r="S674" s="54">
        <v>0</v>
      </c>
      <c r="T674" s="54">
        <v>0</v>
      </c>
      <c r="U674" s="54">
        <v>1397</v>
      </c>
      <c r="V674" s="54">
        <v>0</v>
      </c>
      <c r="W674" s="54">
        <v>0</v>
      </c>
      <c r="X674" s="54">
        <v>0</v>
      </c>
      <c r="Y674" s="54">
        <v>0</v>
      </c>
      <c r="Z674" s="54">
        <v>0</v>
      </c>
      <c r="AA674" s="54">
        <v>0</v>
      </c>
      <c r="AB674" s="54">
        <v>0</v>
      </c>
      <c r="AC674" s="54">
        <v>0</v>
      </c>
      <c r="AD674" s="54">
        <v>0</v>
      </c>
      <c r="AE674" s="54">
        <v>0</v>
      </c>
      <c r="AF674" s="54">
        <v>0</v>
      </c>
      <c r="AG674" s="54">
        <v>0</v>
      </c>
      <c r="AH674" s="54">
        <v>0</v>
      </c>
      <c r="AI674" s="54">
        <v>0</v>
      </c>
      <c r="AJ674" s="54">
        <v>0</v>
      </c>
      <c r="AK674" s="54">
        <v>0</v>
      </c>
      <c r="AL674" s="54">
        <v>0</v>
      </c>
      <c r="AM674" s="54" t="str">
        <f>I674-J674-K674-L674-M674-N674-O674-P674-Q674-R674-S674-T674-U674-V674-W674-X674-Y674-Z674-AA674-AB674-AC674-AD674-AE674-AF674-AG674+AH674-AI674+AJ674+AK674-AL674</f>
        <v>0</v>
      </c>
      <c r="AN674" s="54"/>
      <c r="AO674" s="27"/>
    </row>
    <row r="675" spans="1:41">
      <c r="A675" s="44">
        <v>647</v>
      </c>
      <c r="B675" s="47" t="s">
        <v>2691</v>
      </c>
      <c r="C675" s="48" t="s">
        <v>2692</v>
      </c>
      <c r="D675" s="52" t="s">
        <v>73</v>
      </c>
      <c r="E675" s="52" t="s">
        <v>2608</v>
      </c>
      <c r="F675" s="55" t="s">
        <v>1387</v>
      </c>
      <c r="G675" s="51">
        <v>5</v>
      </c>
      <c r="H675" s="52" t="s">
        <v>2693</v>
      </c>
      <c r="I675" s="54">
        <v>2060000</v>
      </c>
      <c r="J675" s="54">
        <v>0</v>
      </c>
      <c r="K675" s="54">
        <v>27000</v>
      </c>
      <c r="L675" s="54">
        <v>0</v>
      </c>
      <c r="M675" s="54">
        <v>0</v>
      </c>
      <c r="N675" s="54">
        <v>0</v>
      </c>
      <c r="O675" s="54">
        <v>0</v>
      </c>
      <c r="P675" s="54">
        <v>0</v>
      </c>
      <c r="Q675" s="54">
        <v>0</v>
      </c>
      <c r="R675" s="54">
        <v>0</v>
      </c>
      <c r="S675" s="54">
        <v>0</v>
      </c>
      <c r="T675" s="54">
        <v>0</v>
      </c>
      <c r="U675" s="54">
        <v>1714</v>
      </c>
      <c r="V675" s="54">
        <v>0</v>
      </c>
      <c r="W675" s="54">
        <v>0</v>
      </c>
      <c r="X675" s="54">
        <v>0</v>
      </c>
      <c r="Y675" s="54">
        <v>0</v>
      </c>
      <c r="Z675" s="54">
        <v>0</v>
      </c>
      <c r="AA675" s="54">
        <v>0</v>
      </c>
      <c r="AB675" s="54">
        <v>0</v>
      </c>
      <c r="AC675" s="54">
        <v>0</v>
      </c>
      <c r="AD675" s="54">
        <v>0</v>
      </c>
      <c r="AE675" s="54">
        <v>0</v>
      </c>
      <c r="AF675" s="54">
        <v>0</v>
      </c>
      <c r="AG675" s="54">
        <v>0</v>
      </c>
      <c r="AH675" s="54">
        <v>0</v>
      </c>
      <c r="AI675" s="54">
        <v>0</v>
      </c>
      <c r="AJ675" s="54">
        <v>0</v>
      </c>
      <c r="AK675" s="54">
        <v>0</v>
      </c>
      <c r="AL675" s="54">
        <v>0</v>
      </c>
      <c r="AM675" s="54" t="str">
        <f>I675-J675-K675-L675-M675-N675-O675-P675-Q675-R675-S675-T675-U675-V675-W675-X675-Y675-Z675-AA675-AB675-AC675-AD675-AE675-AF675-AG675+AH675-AI675+AJ675+AK675-AL675</f>
        <v>0</v>
      </c>
      <c r="AN675" s="54"/>
      <c r="AO675" s="27"/>
    </row>
    <row r="676" spans="1:41">
      <c r="A676" s="44">
        <v>648</v>
      </c>
      <c r="B676" s="47" t="s">
        <v>2694</v>
      </c>
      <c r="C676" s="48" t="s">
        <v>2695</v>
      </c>
      <c r="D676" s="52" t="s">
        <v>73</v>
      </c>
      <c r="E676" s="52" t="s">
        <v>2608</v>
      </c>
      <c r="F676" s="55" t="s">
        <v>306</v>
      </c>
      <c r="G676" s="51">
        <v>6</v>
      </c>
      <c r="H676" s="52" t="s">
        <v>2696</v>
      </c>
      <c r="I676" s="54">
        <v>934000</v>
      </c>
      <c r="J676" s="54">
        <v>0</v>
      </c>
      <c r="K676" s="54">
        <v>31000</v>
      </c>
      <c r="L676" s="54">
        <v>0</v>
      </c>
      <c r="M676" s="54">
        <v>0</v>
      </c>
      <c r="N676" s="54">
        <v>0</v>
      </c>
      <c r="O676" s="54">
        <v>0</v>
      </c>
      <c r="P676" s="54">
        <v>0</v>
      </c>
      <c r="Q676" s="54">
        <v>0</v>
      </c>
      <c r="R676" s="54">
        <v>0</v>
      </c>
      <c r="S676" s="54">
        <v>0</v>
      </c>
      <c r="T676" s="54">
        <v>0</v>
      </c>
      <c r="U676" s="54">
        <v>1968</v>
      </c>
      <c r="V676" s="54">
        <v>0</v>
      </c>
      <c r="W676" s="54">
        <v>0</v>
      </c>
      <c r="X676" s="54">
        <v>0</v>
      </c>
      <c r="Y676" s="54">
        <v>0</v>
      </c>
      <c r="Z676" s="54">
        <v>0</v>
      </c>
      <c r="AA676" s="54">
        <v>0</v>
      </c>
      <c r="AB676" s="54">
        <v>0</v>
      </c>
      <c r="AC676" s="54">
        <v>0</v>
      </c>
      <c r="AD676" s="54">
        <v>0</v>
      </c>
      <c r="AE676" s="54">
        <v>0</v>
      </c>
      <c r="AF676" s="54">
        <v>0</v>
      </c>
      <c r="AG676" s="54">
        <v>0</v>
      </c>
      <c r="AH676" s="54">
        <v>0</v>
      </c>
      <c r="AI676" s="54">
        <v>0</v>
      </c>
      <c r="AJ676" s="54">
        <v>0</v>
      </c>
      <c r="AK676" s="54">
        <v>0</v>
      </c>
      <c r="AL676" s="54">
        <v>0</v>
      </c>
      <c r="AM676" s="54" t="str">
        <f>I676-J676-K676-L676-M676-N676-O676-P676-Q676-R676-S676-T676-U676-V676-W676-X676-Y676-Z676-AA676-AB676-AC676-AD676-AE676-AF676-AG676+AH676-AI676+AJ676+AK676-AL676</f>
        <v>0</v>
      </c>
      <c r="AN676" s="54"/>
      <c r="AO676" s="27"/>
    </row>
    <row r="677" spans="1:41">
      <c r="A677" s="44">
        <v>649</v>
      </c>
      <c r="B677" s="47" t="s">
        <v>2697</v>
      </c>
      <c r="C677" s="48" t="s">
        <v>2698</v>
      </c>
      <c r="D677" s="52" t="s">
        <v>73</v>
      </c>
      <c r="E677" s="52" t="s">
        <v>2608</v>
      </c>
      <c r="F677" s="55" t="s">
        <v>2699</v>
      </c>
      <c r="G677" s="51">
        <v>3</v>
      </c>
      <c r="H677" s="52" t="s">
        <v>2700</v>
      </c>
      <c r="I677" s="54">
        <v>784000</v>
      </c>
      <c r="J677" s="54">
        <v>0</v>
      </c>
      <c r="K677" s="54">
        <v>22000</v>
      </c>
      <c r="L677" s="54">
        <v>0</v>
      </c>
      <c r="M677" s="54">
        <v>0</v>
      </c>
      <c r="N677" s="54">
        <v>0</v>
      </c>
      <c r="O677" s="54">
        <v>0</v>
      </c>
      <c r="P677" s="54">
        <v>0</v>
      </c>
      <c r="Q677" s="54">
        <v>0</v>
      </c>
      <c r="R677" s="54">
        <v>0</v>
      </c>
      <c r="S677" s="54">
        <v>0</v>
      </c>
      <c r="T677" s="54">
        <v>0</v>
      </c>
      <c r="U677" s="54">
        <v>1397</v>
      </c>
      <c r="V677" s="54">
        <v>0</v>
      </c>
      <c r="W677" s="54">
        <v>0</v>
      </c>
      <c r="X677" s="54">
        <v>0</v>
      </c>
      <c r="Y677" s="54">
        <v>0</v>
      </c>
      <c r="Z677" s="54">
        <v>0</v>
      </c>
      <c r="AA677" s="54">
        <v>0</v>
      </c>
      <c r="AB677" s="54">
        <v>0</v>
      </c>
      <c r="AC677" s="54">
        <v>0</v>
      </c>
      <c r="AD677" s="54">
        <v>0</v>
      </c>
      <c r="AE677" s="54">
        <v>0</v>
      </c>
      <c r="AF677" s="54">
        <v>0</v>
      </c>
      <c r="AG677" s="54">
        <v>0</v>
      </c>
      <c r="AH677" s="54">
        <v>0</v>
      </c>
      <c r="AI677" s="54">
        <v>0</v>
      </c>
      <c r="AJ677" s="54">
        <v>0</v>
      </c>
      <c r="AK677" s="54">
        <v>0</v>
      </c>
      <c r="AL677" s="54">
        <v>0</v>
      </c>
      <c r="AM677" s="54" t="str">
        <f>I677-J677-K677-L677-M677-N677-O677-P677-Q677-R677-S677-T677-U677-V677-W677-X677-Y677-Z677-AA677-AB677-AC677-AD677-AE677-AF677-AG677+AH677-AI677+AJ677+AK677-AL677</f>
        <v>0</v>
      </c>
      <c r="AN677" s="54"/>
      <c r="AO677" s="27"/>
    </row>
    <row r="678" spans="1:41">
      <c r="A678" s="44">
        <v>650</v>
      </c>
      <c r="B678" s="47" t="s">
        <v>2701</v>
      </c>
      <c r="C678" s="48" t="s">
        <v>2702</v>
      </c>
      <c r="D678" s="52" t="s">
        <v>73</v>
      </c>
      <c r="E678" s="52" t="s">
        <v>2608</v>
      </c>
      <c r="F678" s="55" t="s">
        <v>2703</v>
      </c>
      <c r="G678" s="51">
        <v>9</v>
      </c>
      <c r="H678" s="52" t="s">
        <v>2704</v>
      </c>
      <c r="I678" s="54">
        <v>880000</v>
      </c>
      <c r="J678" s="54">
        <v>0</v>
      </c>
      <c r="K678" s="54">
        <v>44000</v>
      </c>
      <c r="L678" s="54">
        <v>0</v>
      </c>
      <c r="M678" s="54">
        <v>0</v>
      </c>
      <c r="N678" s="54">
        <v>0</v>
      </c>
      <c r="O678" s="54">
        <v>0</v>
      </c>
      <c r="P678" s="54">
        <v>0</v>
      </c>
      <c r="Q678" s="54">
        <v>0</v>
      </c>
      <c r="R678" s="54">
        <v>0</v>
      </c>
      <c r="S678" s="54">
        <v>0</v>
      </c>
      <c r="T678" s="54">
        <v>0</v>
      </c>
      <c r="U678" s="54">
        <v>2794</v>
      </c>
      <c r="V678" s="54">
        <v>0</v>
      </c>
      <c r="W678" s="54">
        <v>0</v>
      </c>
      <c r="X678" s="54">
        <v>0</v>
      </c>
      <c r="Y678" s="54">
        <v>0</v>
      </c>
      <c r="Z678" s="54">
        <v>0</v>
      </c>
      <c r="AA678" s="54">
        <v>0</v>
      </c>
      <c r="AB678" s="54">
        <v>0</v>
      </c>
      <c r="AC678" s="54">
        <v>0</v>
      </c>
      <c r="AD678" s="54">
        <v>0</v>
      </c>
      <c r="AE678" s="54">
        <v>0</v>
      </c>
      <c r="AF678" s="54">
        <v>0</v>
      </c>
      <c r="AG678" s="54">
        <v>0</v>
      </c>
      <c r="AH678" s="54">
        <v>0</v>
      </c>
      <c r="AI678" s="54">
        <v>0</v>
      </c>
      <c r="AJ678" s="54">
        <v>0</v>
      </c>
      <c r="AK678" s="54">
        <v>0</v>
      </c>
      <c r="AL678" s="54">
        <v>0</v>
      </c>
      <c r="AM678" s="54" t="str">
        <f>I678-J678-K678-L678-M678-N678-O678-P678-Q678-R678-S678-T678-U678-V678-W678-X678-Y678-Z678-AA678-AB678-AC678-AD678-AE678-AF678-AG678+AH678-AI678+AJ678+AK678-AL678</f>
        <v>0</v>
      </c>
      <c r="AN678" s="54"/>
      <c r="AO678" s="27"/>
    </row>
    <row r="679" spans="1:41">
      <c r="A679" s="44">
        <v>651</v>
      </c>
      <c r="B679" s="47" t="s">
        <v>2705</v>
      </c>
      <c r="C679" s="48" t="s">
        <v>2706</v>
      </c>
      <c r="D679" s="52" t="s">
        <v>73</v>
      </c>
      <c r="E679" s="52" t="s">
        <v>2608</v>
      </c>
      <c r="F679" s="55" t="s">
        <v>1379</v>
      </c>
      <c r="G679" s="51">
        <v>5</v>
      </c>
      <c r="H679" s="52" t="s">
        <v>2707</v>
      </c>
      <c r="I679" s="54">
        <v>0</v>
      </c>
      <c r="J679" s="54">
        <v>0</v>
      </c>
      <c r="K679" s="54">
        <v>27000</v>
      </c>
      <c r="L679" s="54">
        <v>0</v>
      </c>
      <c r="M679" s="54">
        <v>0</v>
      </c>
      <c r="N679" s="54">
        <v>0</v>
      </c>
      <c r="O679" s="54">
        <v>0</v>
      </c>
      <c r="P679" s="54">
        <v>0</v>
      </c>
      <c r="Q679" s="54">
        <v>0</v>
      </c>
      <c r="R679" s="54">
        <v>0</v>
      </c>
      <c r="S679" s="54">
        <v>0</v>
      </c>
      <c r="T679" s="54">
        <v>0</v>
      </c>
      <c r="U679" s="54">
        <v>1714</v>
      </c>
      <c r="V679" s="54">
        <v>0</v>
      </c>
      <c r="W679" s="54">
        <v>0</v>
      </c>
      <c r="X679" s="54">
        <v>0</v>
      </c>
      <c r="Y679" s="54">
        <v>0</v>
      </c>
      <c r="Z679" s="54">
        <v>0</v>
      </c>
      <c r="AA679" s="54">
        <v>0</v>
      </c>
      <c r="AB679" s="54">
        <v>0</v>
      </c>
      <c r="AC679" s="54">
        <v>0</v>
      </c>
      <c r="AD679" s="54">
        <v>0</v>
      </c>
      <c r="AE679" s="54">
        <v>0</v>
      </c>
      <c r="AF679" s="54">
        <v>0</v>
      </c>
      <c r="AG679" s="54">
        <v>0</v>
      </c>
      <c r="AH679" s="54">
        <v>0</v>
      </c>
      <c r="AI679" s="54">
        <v>0</v>
      </c>
      <c r="AJ679" s="54">
        <v>0</v>
      </c>
      <c r="AK679" s="54">
        <v>0</v>
      </c>
      <c r="AL679" s="54">
        <v>0</v>
      </c>
      <c r="AM679" s="54" t="str">
        <f>I679-J679-K679-L679-M679-N679-O679-P679-Q679-R679-S679-T679-U679-V679-W679-X679-Y679-Z679-AA679-AB679-AC679-AD679-AE679-AF679-AG679+AH679-AI679+AJ679+AK679-AL679</f>
        <v>0</v>
      </c>
      <c r="AN679" s="54"/>
      <c r="AO679" s="27"/>
    </row>
    <row r="680" spans="1:41">
      <c r="A680" s="44">
        <v>652</v>
      </c>
      <c r="B680" s="47" t="s">
        <v>2708</v>
      </c>
      <c r="C680" s="48" t="s">
        <v>2709</v>
      </c>
      <c r="D680" s="52" t="s">
        <v>62</v>
      </c>
      <c r="E680" s="52" t="s">
        <v>2608</v>
      </c>
      <c r="F680" s="55" t="s">
        <v>1319</v>
      </c>
      <c r="G680" s="51">
        <v>3</v>
      </c>
      <c r="H680" s="52" t="s">
        <v>2710</v>
      </c>
      <c r="I680" s="54">
        <v>0</v>
      </c>
      <c r="J680" s="54">
        <v>0</v>
      </c>
      <c r="K680" s="54">
        <v>22000</v>
      </c>
      <c r="L680" s="54">
        <v>0</v>
      </c>
      <c r="M680" s="54">
        <v>0</v>
      </c>
      <c r="N680" s="54">
        <v>0</v>
      </c>
      <c r="O680" s="54">
        <v>0</v>
      </c>
      <c r="P680" s="54">
        <v>0</v>
      </c>
      <c r="Q680" s="54">
        <v>0</v>
      </c>
      <c r="R680" s="54">
        <v>0</v>
      </c>
      <c r="S680" s="54">
        <v>0</v>
      </c>
      <c r="T680" s="54">
        <v>0</v>
      </c>
      <c r="U680" s="54">
        <v>1397</v>
      </c>
      <c r="V680" s="54">
        <v>0</v>
      </c>
      <c r="W680" s="54">
        <v>0</v>
      </c>
      <c r="X680" s="54">
        <v>0</v>
      </c>
      <c r="Y680" s="54">
        <v>11000</v>
      </c>
      <c r="Z680" s="54">
        <v>0</v>
      </c>
      <c r="AA680" s="54">
        <v>0</v>
      </c>
      <c r="AB680" s="54">
        <v>0</v>
      </c>
      <c r="AC680" s="54">
        <v>0</v>
      </c>
      <c r="AD680" s="54">
        <v>0</v>
      </c>
      <c r="AE680" s="54">
        <v>0</v>
      </c>
      <c r="AF680" s="54">
        <v>0</v>
      </c>
      <c r="AG680" s="54">
        <v>0</v>
      </c>
      <c r="AH680" s="54">
        <v>0</v>
      </c>
      <c r="AI680" s="54">
        <v>0</v>
      </c>
      <c r="AJ680" s="54">
        <v>0</v>
      </c>
      <c r="AK680" s="54">
        <v>0</v>
      </c>
      <c r="AL680" s="54">
        <v>0</v>
      </c>
      <c r="AM680" s="54" t="str">
        <f>I680-J680-K680-L680-M680-N680-O680-P680-Q680-R680-S680-T680-U680-V680-W680-X680-Y680-Z680-AA680-AB680-AC680-AD680-AE680-AF680-AG680+AH680-AI680+AJ680+AK680-AL680</f>
        <v>0</v>
      </c>
      <c r="AN680" s="54"/>
      <c r="AO680" s="27"/>
    </row>
    <row r="681" spans="1:41">
      <c r="A681" s="44">
        <v>653</v>
      </c>
      <c r="B681" s="47" t="s">
        <v>2711</v>
      </c>
      <c r="C681" s="48" t="s">
        <v>2712</v>
      </c>
      <c r="D681" s="52" t="s">
        <v>73</v>
      </c>
      <c r="E681" s="52" t="s">
        <v>2608</v>
      </c>
      <c r="F681" s="55" t="s">
        <v>2713</v>
      </c>
      <c r="G681" s="51">
        <v>7</v>
      </c>
      <c r="H681" s="52" t="s">
        <v>2714</v>
      </c>
      <c r="I681" s="54">
        <v>1077000</v>
      </c>
      <c r="J681" s="54">
        <v>0</v>
      </c>
      <c r="K681" s="54">
        <v>35000</v>
      </c>
      <c r="L681" s="54">
        <v>0</v>
      </c>
      <c r="M681" s="54">
        <v>0</v>
      </c>
      <c r="N681" s="54">
        <v>0</v>
      </c>
      <c r="O681" s="54">
        <v>0</v>
      </c>
      <c r="P681" s="54">
        <v>0</v>
      </c>
      <c r="Q681" s="54">
        <v>0</v>
      </c>
      <c r="R681" s="54">
        <v>0</v>
      </c>
      <c r="S681" s="54">
        <v>0</v>
      </c>
      <c r="T681" s="54">
        <v>0</v>
      </c>
      <c r="U681" s="54">
        <v>2222</v>
      </c>
      <c r="V681" s="54">
        <v>0</v>
      </c>
      <c r="W681" s="54">
        <v>0</v>
      </c>
      <c r="X681" s="54">
        <v>0</v>
      </c>
      <c r="Y681" s="54">
        <v>0</v>
      </c>
      <c r="Z681" s="54">
        <v>0</v>
      </c>
      <c r="AA681" s="54">
        <v>0</v>
      </c>
      <c r="AB681" s="54">
        <v>0</v>
      </c>
      <c r="AC681" s="54">
        <v>0</v>
      </c>
      <c r="AD681" s="54">
        <v>0</v>
      </c>
      <c r="AE681" s="54">
        <v>0</v>
      </c>
      <c r="AF681" s="54">
        <v>0</v>
      </c>
      <c r="AG681" s="54">
        <v>0</v>
      </c>
      <c r="AH681" s="54">
        <v>0</v>
      </c>
      <c r="AI681" s="54">
        <v>0</v>
      </c>
      <c r="AJ681" s="54">
        <v>0</v>
      </c>
      <c r="AK681" s="54">
        <v>0</v>
      </c>
      <c r="AL681" s="54">
        <v>0</v>
      </c>
      <c r="AM681" s="54" t="str">
        <f>I681-J681-K681-L681-M681-N681-O681-P681-Q681-R681-S681-T681-U681-V681-W681-X681-Y681-Z681-AA681-AB681-AC681-AD681-AE681-AF681-AG681+AH681-AI681+AJ681+AK681-AL681</f>
        <v>0</v>
      </c>
      <c r="AN681" s="54"/>
      <c r="AO681" s="27"/>
    </row>
    <row r="682" spans="1:41">
      <c r="A682" s="44">
        <v>654</v>
      </c>
      <c r="B682" s="47" t="s">
        <v>2715</v>
      </c>
      <c r="C682" s="48" t="s">
        <v>2716</v>
      </c>
      <c r="D682" s="52" t="s">
        <v>73</v>
      </c>
      <c r="E682" s="52" t="s">
        <v>2608</v>
      </c>
      <c r="F682" s="55" t="s">
        <v>2717</v>
      </c>
      <c r="G682" s="51">
        <v>3</v>
      </c>
      <c r="H682" s="52" t="s">
        <v>2718</v>
      </c>
      <c r="I682" s="54">
        <v>784000</v>
      </c>
      <c r="J682" s="54">
        <v>0</v>
      </c>
      <c r="K682" s="54">
        <v>22000</v>
      </c>
      <c r="L682" s="54">
        <v>0</v>
      </c>
      <c r="M682" s="54">
        <v>0</v>
      </c>
      <c r="N682" s="54">
        <v>0</v>
      </c>
      <c r="O682" s="54">
        <v>0</v>
      </c>
      <c r="P682" s="54">
        <v>0</v>
      </c>
      <c r="Q682" s="54">
        <v>0</v>
      </c>
      <c r="R682" s="54">
        <v>0</v>
      </c>
      <c r="S682" s="54">
        <v>0</v>
      </c>
      <c r="T682" s="54">
        <v>0</v>
      </c>
      <c r="U682" s="54">
        <v>1397</v>
      </c>
      <c r="V682" s="54">
        <v>0</v>
      </c>
      <c r="W682" s="54">
        <v>0</v>
      </c>
      <c r="X682" s="54">
        <v>0</v>
      </c>
      <c r="Y682" s="54">
        <v>0</v>
      </c>
      <c r="Z682" s="54">
        <v>0</v>
      </c>
      <c r="AA682" s="54">
        <v>0</v>
      </c>
      <c r="AB682" s="54">
        <v>0</v>
      </c>
      <c r="AC682" s="54">
        <v>0</v>
      </c>
      <c r="AD682" s="54">
        <v>0</v>
      </c>
      <c r="AE682" s="54">
        <v>0</v>
      </c>
      <c r="AF682" s="54">
        <v>0</v>
      </c>
      <c r="AG682" s="54">
        <v>0</v>
      </c>
      <c r="AH682" s="54">
        <v>0</v>
      </c>
      <c r="AI682" s="54">
        <v>0</v>
      </c>
      <c r="AJ682" s="54">
        <v>0</v>
      </c>
      <c r="AK682" s="54">
        <v>0</v>
      </c>
      <c r="AL682" s="54">
        <v>0</v>
      </c>
      <c r="AM682" s="54" t="str">
        <f>I682-J682-K682-L682-M682-N682-O682-P682-Q682-R682-S682-T682-U682-V682-W682-X682-Y682-Z682-AA682-AB682-AC682-AD682-AE682-AF682-AG682+AH682-AI682+AJ682+AK682-AL682</f>
        <v>0</v>
      </c>
      <c r="AN682" s="54"/>
      <c r="AO682" s="27"/>
    </row>
    <row r="683" spans="1:41">
      <c r="A683" s="44">
        <v>655</v>
      </c>
      <c r="B683" s="47" t="s">
        <v>2719</v>
      </c>
      <c r="C683" s="48" t="s">
        <v>2720</v>
      </c>
      <c r="D683" s="52" t="s">
        <v>73</v>
      </c>
      <c r="E683" s="52" t="s">
        <v>2608</v>
      </c>
      <c r="F683" s="55" t="s">
        <v>2721</v>
      </c>
      <c r="G683" s="51">
        <v>3</v>
      </c>
      <c r="H683" s="52" t="s">
        <v>1551</v>
      </c>
      <c r="I683" s="54">
        <v>784000</v>
      </c>
      <c r="J683" s="54">
        <v>0</v>
      </c>
      <c r="K683" s="54">
        <v>22000</v>
      </c>
      <c r="L683" s="54">
        <v>0</v>
      </c>
      <c r="M683" s="54">
        <v>0</v>
      </c>
      <c r="N683" s="54">
        <v>0</v>
      </c>
      <c r="O683" s="54">
        <v>0</v>
      </c>
      <c r="P683" s="54">
        <v>0</v>
      </c>
      <c r="Q683" s="54">
        <v>0</v>
      </c>
      <c r="R683" s="54">
        <v>0</v>
      </c>
      <c r="S683" s="54">
        <v>0</v>
      </c>
      <c r="T683" s="54">
        <v>0</v>
      </c>
      <c r="U683" s="54">
        <v>1397</v>
      </c>
      <c r="V683" s="54">
        <v>0</v>
      </c>
      <c r="W683" s="54">
        <v>0</v>
      </c>
      <c r="X683" s="54">
        <v>0</v>
      </c>
      <c r="Y683" s="54">
        <v>0</v>
      </c>
      <c r="Z683" s="54">
        <v>0</v>
      </c>
      <c r="AA683" s="54">
        <v>0</v>
      </c>
      <c r="AB683" s="54">
        <v>0</v>
      </c>
      <c r="AC683" s="54">
        <v>0</v>
      </c>
      <c r="AD683" s="54">
        <v>0</v>
      </c>
      <c r="AE683" s="54">
        <v>0</v>
      </c>
      <c r="AF683" s="54">
        <v>0</v>
      </c>
      <c r="AG683" s="54">
        <v>0</v>
      </c>
      <c r="AH683" s="54">
        <v>0</v>
      </c>
      <c r="AI683" s="54">
        <v>0</v>
      </c>
      <c r="AJ683" s="54">
        <v>0</v>
      </c>
      <c r="AK683" s="54">
        <v>0</v>
      </c>
      <c r="AL683" s="54">
        <v>0</v>
      </c>
      <c r="AM683" s="54" t="str">
        <f>I683-J683-K683-L683-M683-N683-O683-P683-Q683-R683-S683-T683-U683-V683-W683-X683-Y683-Z683-AA683-AB683-AC683-AD683-AE683-AF683-AG683+AH683-AI683+AJ683+AK683-AL683</f>
        <v>0</v>
      </c>
      <c r="AN683" s="54"/>
      <c r="AO683" s="27"/>
    </row>
    <row r="684" spans="1:41">
      <c r="A684" s="44">
        <v>656</v>
      </c>
      <c r="B684" s="47" t="s">
        <v>2722</v>
      </c>
      <c r="C684" s="48" t="s">
        <v>2723</v>
      </c>
      <c r="D684" s="52" t="s">
        <v>73</v>
      </c>
      <c r="E684" s="52" t="s">
        <v>2608</v>
      </c>
      <c r="F684" s="55" t="s">
        <v>376</v>
      </c>
      <c r="G684" s="51">
        <v>6</v>
      </c>
      <c r="H684" s="52" t="s">
        <v>2724</v>
      </c>
      <c r="I684" s="54">
        <v>1429000</v>
      </c>
      <c r="J684" s="54">
        <v>0</v>
      </c>
      <c r="K684" s="54">
        <v>31000</v>
      </c>
      <c r="L684" s="54">
        <v>0</v>
      </c>
      <c r="M684" s="54">
        <v>0</v>
      </c>
      <c r="N684" s="54">
        <v>0</v>
      </c>
      <c r="O684" s="54">
        <v>0</v>
      </c>
      <c r="P684" s="54">
        <v>0</v>
      </c>
      <c r="Q684" s="54">
        <v>0</v>
      </c>
      <c r="R684" s="54">
        <v>0</v>
      </c>
      <c r="S684" s="54">
        <v>0</v>
      </c>
      <c r="T684" s="54">
        <v>0</v>
      </c>
      <c r="U684" s="54">
        <v>1968</v>
      </c>
      <c r="V684" s="54">
        <v>0</v>
      </c>
      <c r="W684" s="54">
        <v>0</v>
      </c>
      <c r="X684" s="54">
        <v>0</v>
      </c>
      <c r="Y684" s="54">
        <v>0</v>
      </c>
      <c r="Z684" s="54">
        <v>0</v>
      </c>
      <c r="AA684" s="54">
        <v>0</v>
      </c>
      <c r="AB684" s="54">
        <v>0</v>
      </c>
      <c r="AC684" s="54">
        <v>0</v>
      </c>
      <c r="AD684" s="54">
        <v>0</v>
      </c>
      <c r="AE684" s="54">
        <v>0</v>
      </c>
      <c r="AF684" s="54">
        <v>0</v>
      </c>
      <c r="AG684" s="54">
        <v>0</v>
      </c>
      <c r="AH684" s="54">
        <v>0</v>
      </c>
      <c r="AI684" s="54">
        <v>0</v>
      </c>
      <c r="AJ684" s="54">
        <v>0</v>
      </c>
      <c r="AK684" s="54">
        <v>0</v>
      </c>
      <c r="AL684" s="54">
        <v>0</v>
      </c>
      <c r="AM684" s="54" t="str">
        <f>I684-J684-K684-L684-M684-N684-O684-P684-Q684-R684-S684-T684-U684-V684-W684-X684-Y684-Z684-AA684-AB684-AC684-AD684-AE684-AF684-AG684+AH684-AI684+AJ684+AK684-AL684</f>
        <v>0</v>
      </c>
      <c r="AN684" s="54"/>
      <c r="AO684" s="27"/>
    </row>
    <row r="685" spans="1:41">
      <c r="A685" s="44">
        <v>657</v>
      </c>
      <c r="B685" s="47" t="s">
        <v>2725</v>
      </c>
      <c r="C685" s="48" t="s">
        <v>2726</v>
      </c>
      <c r="D685" s="52" t="s">
        <v>73</v>
      </c>
      <c r="E685" s="52" t="s">
        <v>2608</v>
      </c>
      <c r="F685" s="55" t="s">
        <v>2727</v>
      </c>
      <c r="G685" s="51">
        <v>12</v>
      </c>
      <c r="H685" s="52" t="s">
        <v>2728</v>
      </c>
      <c r="I685" s="54">
        <v>0</v>
      </c>
      <c r="J685" s="54">
        <v>0</v>
      </c>
      <c r="K685" s="54">
        <v>59000</v>
      </c>
      <c r="L685" s="54">
        <v>0</v>
      </c>
      <c r="M685" s="54">
        <v>0</v>
      </c>
      <c r="N685" s="54">
        <v>0</v>
      </c>
      <c r="O685" s="54">
        <v>0</v>
      </c>
      <c r="P685" s="54">
        <v>0</v>
      </c>
      <c r="Q685" s="54">
        <v>0</v>
      </c>
      <c r="R685" s="54">
        <v>0</v>
      </c>
      <c r="S685" s="54">
        <v>0</v>
      </c>
      <c r="T685" s="54">
        <v>0</v>
      </c>
      <c r="U685" s="54">
        <v>3746</v>
      </c>
      <c r="V685" s="54">
        <v>0</v>
      </c>
      <c r="W685" s="54">
        <v>0</v>
      </c>
      <c r="X685" s="54">
        <v>0</v>
      </c>
      <c r="Y685" s="54">
        <v>0</v>
      </c>
      <c r="Z685" s="54">
        <v>0</v>
      </c>
      <c r="AA685" s="54">
        <v>0</v>
      </c>
      <c r="AB685" s="54">
        <v>0</v>
      </c>
      <c r="AC685" s="54">
        <v>0</v>
      </c>
      <c r="AD685" s="54">
        <v>0</v>
      </c>
      <c r="AE685" s="54">
        <v>0</v>
      </c>
      <c r="AF685" s="54">
        <v>0</v>
      </c>
      <c r="AG685" s="54">
        <v>0</v>
      </c>
      <c r="AH685" s="54">
        <v>0</v>
      </c>
      <c r="AI685" s="54">
        <v>0</v>
      </c>
      <c r="AJ685" s="54">
        <v>0</v>
      </c>
      <c r="AK685" s="54">
        <v>0</v>
      </c>
      <c r="AL685" s="54">
        <v>0</v>
      </c>
      <c r="AM685" s="54" t="str">
        <f>I685-J685-K685-L685-M685-N685-O685-P685-Q685-R685-S685-T685-U685-V685-W685-X685-Y685-Z685-AA685-AB685-AC685-AD685-AE685-AF685-AG685+AH685-AI685+AJ685+AK685-AL685</f>
        <v>0</v>
      </c>
      <c r="AN685" s="54"/>
      <c r="AO685" s="27"/>
    </row>
    <row r="686" spans="1:41">
      <c r="A686" s="44">
        <v>658</v>
      </c>
      <c r="B686" s="47" t="s">
        <v>2729</v>
      </c>
      <c r="C686" s="48" t="s">
        <v>2730</v>
      </c>
      <c r="D686" s="52" t="s">
        <v>73</v>
      </c>
      <c r="E686" s="52" t="s">
        <v>2731</v>
      </c>
      <c r="F686" s="55" t="s">
        <v>2732</v>
      </c>
      <c r="G686" s="51">
        <v>3</v>
      </c>
      <c r="H686" s="52" t="s">
        <v>2733</v>
      </c>
      <c r="I686" s="54">
        <v>320000</v>
      </c>
      <c r="J686" s="54">
        <v>0</v>
      </c>
      <c r="K686" s="54">
        <v>22000</v>
      </c>
      <c r="L686" s="54">
        <v>0</v>
      </c>
      <c r="M686" s="54">
        <v>0</v>
      </c>
      <c r="N686" s="54">
        <v>0</v>
      </c>
      <c r="O686" s="54">
        <v>0</v>
      </c>
      <c r="P686" s="54">
        <v>0</v>
      </c>
      <c r="Q686" s="54">
        <v>0</v>
      </c>
      <c r="R686" s="54">
        <v>0</v>
      </c>
      <c r="S686" s="54">
        <v>0</v>
      </c>
      <c r="T686" s="54">
        <v>0</v>
      </c>
      <c r="U686" s="54">
        <v>1397</v>
      </c>
      <c r="V686" s="54">
        <v>0</v>
      </c>
      <c r="W686" s="54">
        <v>0</v>
      </c>
      <c r="X686" s="54">
        <v>0</v>
      </c>
      <c r="Y686" s="54">
        <v>0</v>
      </c>
      <c r="Z686" s="54">
        <v>0</v>
      </c>
      <c r="AA686" s="54">
        <v>0</v>
      </c>
      <c r="AB686" s="54">
        <v>0</v>
      </c>
      <c r="AC686" s="54">
        <v>0</v>
      </c>
      <c r="AD686" s="54">
        <v>0</v>
      </c>
      <c r="AE686" s="54">
        <v>0</v>
      </c>
      <c r="AF686" s="54">
        <v>0</v>
      </c>
      <c r="AG686" s="54">
        <v>0</v>
      </c>
      <c r="AH686" s="54">
        <v>0</v>
      </c>
      <c r="AI686" s="54">
        <v>0</v>
      </c>
      <c r="AJ686" s="54">
        <v>0</v>
      </c>
      <c r="AK686" s="54">
        <v>0</v>
      </c>
      <c r="AL686" s="54">
        <v>0</v>
      </c>
      <c r="AM686" s="54" t="str">
        <f>I686-J686-K686-L686-M686-N686-O686-P686-Q686-R686-S686-T686-U686-V686-W686-X686-Y686-Z686-AA686-AB686-AC686-AD686-AE686-AF686-AG686+AH686-AI686+AJ686+AK686-AL686</f>
        <v>0</v>
      </c>
      <c r="AN686" s="54"/>
      <c r="AO686" s="27"/>
    </row>
    <row r="687" spans="1:41">
      <c r="A687" s="44">
        <v>659</v>
      </c>
      <c r="B687" s="47" t="s">
        <v>2734</v>
      </c>
      <c r="C687" s="48" t="s">
        <v>2735</v>
      </c>
      <c r="D687" s="52" t="s">
        <v>73</v>
      </c>
      <c r="E687" s="52" t="s">
        <v>2731</v>
      </c>
      <c r="F687" s="55" t="s">
        <v>2736</v>
      </c>
      <c r="G687" s="51">
        <v>12</v>
      </c>
      <c r="H687" s="52" t="s">
        <v>2737</v>
      </c>
      <c r="I687" s="54">
        <v>1005000</v>
      </c>
      <c r="J687" s="54">
        <v>0</v>
      </c>
      <c r="K687" s="54">
        <v>59000</v>
      </c>
      <c r="L687" s="54">
        <v>0</v>
      </c>
      <c r="M687" s="54">
        <v>0</v>
      </c>
      <c r="N687" s="54">
        <v>0</v>
      </c>
      <c r="O687" s="54">
        <v>0</v>
      </c>
      <c r="P687" s="54">
        <v>0</v>
      </c>
      <c r="Q687" s="54">
        <v>0</v>
      </c>
      <c r="R687" s="54">
        <v>0</v>
      </c>
      <c r="S687" s="54">
        <v>0</v>
      </c>
      <c r="T687" s="54">
        <v>0</v>
      </c>
      <c r="U687" s="54">
        <v>3746</v>
      </c>
      <c r="V687" s="54">
        <v>0</v>
      </c>
      <c r="W687" s="54">
        <v>0</v>
      </c>
      <c r="X687" s="54">
        <v>0</v>
      </c>
      <c r="Y687" s="54">
        <v>0</v>
      </c>
      <c r="Z687" s="54">
        <v>0</v>
      </c>
      <c r="AA687" s="54">
        <v>0</v>
      </c>
      <c r="AB687" s="54">
        <v>0</v>
      </c>
      <c r="AC687" s="54">
        <v>0</v>
      </c>
      <c r="AD687" s="54">
        <v>0</v>
      </c>
      <c r="AE687" s="54">
        <v>0</v>
      </c>
      <c r="AF687" s="54">
        <v>0</v>
      </c>
      <c r="AG687" s="54">
        <v>0</v>
      </c>
      <c r="AH687" s="54">
        <v>0</v>
      </c>
      <c r="AI687" s="54">
        <v>0</v>
      </c>
      <c r="AJ687" s="54">
        <v>0</v>
      </c>
      <c r="AK687" s="54">
        <v>0</v>
      </c>
      <c r="AL687" s="54">
        <v>0</v>
      </c>
      <c r="AM687" s="54" t="str">
        <f>I687-J687-K687-L687-M687-N687-O687-P687-Q687-R687-S687-T687-U687-V687-W687-X687-Y687-Z687-AA687-AB687-AC687-AD687-AE687-AF687-AG687+AH687-AI687+AJ687+AK687-AL687</f>
        <v>0</v>
      </c>
      <c r="AN687" s="54"/>
      <c r="AO687" s="27"/>
    </row>
    <row r="688" spans="1:41">
      <c r="A688" s="44">
        <v>660</v>
      </c>
      <c r="B688" s="47" t="s">
        <v>2738</v>
      </c>
      <c r="C688" s="48" t="s">
        <v>2739</v>
      </c>
      <c r="D688" s="52" t="s">
        <v>73</v>
      </c>
      <c r="E688" s="52" t="s">
        <v>2731</v>
      </c>
      <c r="F688" s="55" t="s">
        <v>2740</v>
      </c>
      <c r="G688" s="51">
        <v>2</v>
      </c>
      <c r="H688" s="52" t="s">
        <v>2741</v>
      </c>
      <c r="I688" s="54">
        <v>434000</v>
      </c>
      <c r="J688" s="54">
        <v>0</v>
      </c>
      <c r="K688" s="54">
        <v>22000</v>
      </c>
      <c r="L688" s="54">
        <v>0</v>
      </c>
      <c r="M688" s="54">
        <v>0</v>
      </c>
      <c r="N688" s="54">
        <v>0</v>
      </c>
      <c r="O688" s="54">
        <v>0</v>
      </c>
      <c r="P688" s="54">
        <v>0</v>
      </c>
      <c r="Q688" s="54">
        <v>0</v>
      </c>
      <c r="R688" s="54">
        <v>0</v>
      </c>
      <c r="S688" s="54">
        <v>0</v>
      </c>
      <c r="T688" s="54">
        <v>0</v>
      </c>
      <c r="U688" s="54">
        <v>1397</v>
      </c>
      <c r="V688" s="54">
        <v>0</v>
      </c>
      <c r="W688" s="54">
        <v>0</v>
      </c>
      <c r="X688" s="54">
        <v>0</v>
      </c>
      <c r="Y688" s="54">
        <v>0</v>
      </c>
      <c r="Z688" s="54">
        <v>0</v>
      </c>
      <c r="AA688" s="54">
        <v>0</v>
      </c>
      <c r="AB688" s="54">
        <v>0</v>
      </c>
      <c r="AC688" s="54">
        <v>0</v>
      </c>
      <c r="AD688" s="54">
        <v>0</v>
      </c>
      <c r="AE688" s="54">
        <v>0</v>
      </c>
      <c r="AF688" s="54">
        <v>0</v>
      </c>
      <c r="AG688" s="54">
        <v>0</v>
      </c>
      <c r="AH688" s="54">
        <v>0</v>
      </c>
      <c r="AI688" s="54">
        <v>0</v>
      </c>
      <c r="AJ688" s="54">
        <v>0</v>
      </c>
      <c r="AK688" s="54">
        <v>0</v>
      </c>
      <c r="AL688" s="54">
        <v>0</v>
      </c>
      <c r="AM688" s="54" t="str">
        <f>I688-J688-K688-L688-M688-N688-O688-P688-Q688-R688-S688-T688-U688-V688-W688-X688-Y688-Z688-AA688-AB688-AC688-AD688-AE688-AF688-AG688+AH688-AI688+AJ688+AK688-AL688</f>
        <v>0</v>
      </c>
      <c r="AN688" s="54"/>
      <c r="AO688" s="27"/>
    </row>
    <row r="689" spans="1:41">
      <c r="A689" s="44">
        <v>661</v>
      </c>
      <c r="B689" s="47" t="s">
        <v>2742</v>
      </c>
      <c r="C689" s="48" t="s">
        <v>2743</v>
      </c>
      <c r="D689" s="52" t="s">
        <v>73</v>
      </c>
      <c r="E689" s="52" t="s">
        <v>2744</v>
      </c>
      <c r="F689" s="55" t="s">
        <v>2745</v>
      </c>
      <c r="G689" s="51">
        <v>2</v>
      </c>
      <c r="H689" s="52" t="s">
        <v>2746</v>
      </c>
      <c r="I689" s="54">
        <v>340000</v>
      </c>
      <c r="J689" s="54">
        <v>0</v>
      </c>
      <c r="K689" s="54">
        <v>22000</v>
      </c>
      <c r="L689" s="54">
        <v>0</v>
      </c>
      <c r="M689" s="54">
        <v>0</v>
      </c>
      <c r="N689" s="54">
        <v>0</v>
      </c>
      <c r="O689" s="54">
        <v>0</v>
      </c>
      <c r="P689" s="54">
        <v>0</v>
      </c>
      <c r="Q689" s="54">
        <v>0</v>
      </c>
      <c r="R689" s="54">
        <v>0</v>
      </c>
      <c r="S689" s="54">
        <v>0</v>
      </c>
      <c r="T689" s="54">
        <v>0</v>
      </c>
      <c r="U689" s="54">
        <v>1397</v>
      </c>
      <c r="V689" s="54">
        <v>0</v>
      </c>
      <c r="W689" s="54">
        <v>0</v>
      </c>
      <c r="X689" s="54">
        <v>0</v>
      </c>
      <c r="Y689" s="54">
        <v>0</v>
      </c>
      <c r="Z689" s="54">
        <v>0</v>
      </c>
      <c r="AA689" s="54">
        <v>0</v>
      </c>
      <c r="AB689" s="54">
        <v>0</v>
      </c>
      <c r="AC689" s="54">
        <v>0</v>
      </c>
      <c r="AD689" s="54">
        <v>0</v>
      </c>
      <c r="AE689" s="54">
        <v>0</v>
      </c>
      <c r="AF689" s="54">
        <v>0</v>
      </c>
      <c r="AG689" s="54">
        <v>0</v>
      </c>
      <c r="AH689" s="54">
        <v>0</v>
      </c>
      <c r="AI689" s="54">
        <v>0</v>
      </c>
      <c r="AJ689" s="54">
        <v>0</v>
      </c>
      <c r="AK689" s="54">
        <v>0</v>
      </c>
      <c r="AL689" s="54">
        <v>0</v>
      </c>
      <c r="AM689" s="54" t="str">
        <f>I689-J689-K689-L689-M689-N689-O689-P689-Q689-R689-S689-T689-U689-V689-W689-X689-Y689-Z689-AA689-AB689-AC689-AD689-AE689-AF689-AG689+AH689-AI689+AJ689+AK689-AL689</f>
        <v>0</v>
      </c>
      <c r="AN689" s="54"/>
      <c r="AO689" s="27"/>
    </row>
    <row r="690" spans="1:41">
      <c r="A690" s="44">
        <v>662</v>
      </c>
      <c r="B690" s="47" t="s">
        <v>2747</v>
      </c>
      <c r="C690" s="48" t="s">
        <v>2748</v>
      </c>
      <c r="D690" s="52" t="s">
        <v>62</v>
      </c>
      <c r="E690" s="52" t="s">
        <v>2749</v>
      </c>
      <c r="F690" s="55" t="s">
        <v>2750</v>
      </c>
      <c r="G690" s="51">
        <v>18</v>
      </c>
      <c r="H690" s="52" t="s">
        <v>2751</v>
      </c>
      <c r="I690" s="54">
        <v>0</v>
      </c>
      <c r="J690" s="54">
        <v>0</v>
      </c>
      <c r="K690" s="54">
        <v>72000</v>
      </c>
      <c r="L690" s="54">
        <v>0</v>
      </c>
      <c r="M690" s="54">
        <v>0</v>
      </c>
      <c r="N690" s="54">
        <v>0</v>
      </c>
      <c r="O690" s="54">
        <v>0</v>
      </c>
      <c r="P690" s="54">
        <v>0</v>
      </c>
      <c r="Q690" s="54">
        <v>0</v>
      </c>
      <c r="R690" s="54">
        <v>0</v>
      </c>
      <c r="S690" s="54">
        <v>0</v>
      </c>
      <c r="T690" s="54">
        <v>0</v>
      </c>
      <c r="U690" s="54">
        <v>4572</v>
      </c>
      <c r="V690" s="54">
        <v>0</v>
      </c>
      <c r="W690" s="54">
        <v>0</v>
      </c>
      <c r="X690" s="54">
        <v>0</v>
      </c>
      <c r="Y690" s="54">
        <v>5000</v>
      </c>
      <c r="Z690" s="54">
        <v>0</v>
      </c>
      <c r="AA690" s="54">
        <v>0</v>
      </c>
      <c r="AB690" s="54">
        <v>0</v>
      </c>
      <c r="AC690" s="54">
        <v>0</v>
      </c>
      <c r="AD690" s="54">
        <v>0</v>
      </c>
      <c r="AE690" s="54">
        <v>0</v>
      </c>
      <c r="AF690" s="54">
        <v>0</v>
      </c>
      <c r="AG690" s="54">
        <v>0</v>
      </c>
      <c r="AH690" s="54">
        <v>0</v>
      </c>
      <c r="AI690" s="54">
        <v>0</v>
      </c>
      <c r="AJ690" s="54">
        <v>0</v>
      </c>
      <c r="AK690" s="54">
        <v>0</v>
      </c>
      <c r="AL690" s="54">
        <v>0</v>
      </c>
      <c r="AM690" s="54" t="str">
        <f>I690-J690-K690-L690-M690-N690-O690-P690-Q690-R690-S690-T690-U690-V690-W690-X690-Y690-Z690-AA690-AB690-AC690-AD690-AE690-AF690-AG690+AH690-AI690+AJ690+AK690-AL690</f>
        <v>0</v>
      </c>
      <c r="AN690" s="54"/>
      <c r="AO690" s="27"/>
    </row>
    <row r="691" spans="1:41">
      <c r="A691" s="44">
        <v>663</v>
      </c>
      <c r="B691" s="47" t="s">
        <v>2752</v>
      </c>
      <c r="C691" s="48" t="s">
        <v>2753</v>
      </c>
      <c r="D691" s="52" t="s">
        <v>73</v>
      </c>
      <c r="E691" s="52" t="s">
        <v>2749</v>
      </c>
      <c r="F691" s="55" t="s">
        <v>2754</v>
      </c>
      <c r="G691" s="51">
        <v>2</v>
      </c>
      <c r="H691" s="52" t="s">
        <v>2755</v>
      </c>
      <c r="I691" s="54">
        <v>370000</v>
      </c>
      <c r="J691" s="54">
        <v>0</v>
      </c>
      <c r="K691" s="54">
        <v>22000</v>
      </c>
      <c r="L691" s="54">
        <v>0</v>
      </c>
      <c r="M691" s="54">
        <v>0</v>
      </c>
      <c r="N691" s="54">
        <v>0</v>
      </c>
      <c r="O691" s="54">
        <v>0</v>
      </c>
      <c r="P691" s="54">
        <v>0</v>
      </c>
      <c r="Q691" s="54">
        <v>0</v>
      </c>
      <c r="R691" s="54">
        <v>0</v>
      </c>
      <c r="S691" s="54">
        <v>0</v>
      </c>
      <c r="T691" s="54">
        <v>0</v>
      </c>
      <c r="U691" s="54">
        <v>1397</v>
      </c>
      <c r="V691" s="54">
        <v>0</v>
      </c>
      <c r="W691" s="54">
        <v>0</v>
      </c>
      <c r="X691" s="54">
        <v>0</v>
      </c>
      <c r="Y691" s="54">
        <v>0</v>
      </c>
      <c r="Z691" s="54">
        <v>0</v>
      </c>
      <c r="AA691" s="54">
        <v>0</v>
      </c>
      <c r="AB691" s="54">
        <v>0</v>
      </c>
      <c r="AC691" s="54">
        <v>0</v>
      </c>
      <c r="AD691" s="54">
        <v>0</v>
      </c>
      <c r="AE691" s="54">
        <v>0</v>
      </c>
      <c r="AF691" s="54">
        <v>0</v>
      </c>
      <c r="AG691" s="54">
        <v>0</v>
      </c>
      <c r="AH691" s="54">
        <v>0</v>
      </c>
      <c r="AI691" s="54">
        <v>0</v>
      </c>
      <c r="AJ691" s="54">
        <v>0</v>
      </c>
      <c r="AK691" s="54">
        <v>0</v>
      </c>
      <c r="AL691" s="54">
        <v>0</v>
      </c>
      <c r="AM691" s="54" t="str">
        <f>I691-J691-K691-L691-M691-N691-O691-P691-Q691-R691-S691-T691-U691-V691-W691-X691-Y691-Z691-AA691-AB691-AC691-AD691-AE691-AF691-AG691+AH691-AI691+AJ691+AK691-AL691</f>
        <v>0</v>
      </c>
      <c r="AN691" s="54"/>
      <c r="AO691" s="27"/>
    </row>
    <row r="692" spans="1:41">
      <c r="A692" s="44">
        <v>664</v>
      </c>
      <c r="B692" s="47" t="s">
        <v>2756</v>
      </c>
      <c r="C692" s="48" t="s">
        <v>2757</v>
      </c>
      <c r="D692" s="52" t="s">
        <v>73</v>
      </c>
      <c r="E692" s="52" t="s">
        <v>2749</v>
      </c>
      <c r="F692" s="55" t="s">
        <v>2758</v>
      </c>
      <c r="G692" s="51">
        <v>2</v>
      </c>
      <c r="H692" s="52" t="s">
        <v>2759</v>
      </c>
      <c r="I692" s="54">
        <v>134000</v>
      </c>
      <c r="J692" s="54">
        <v>0</v>
      </c>
      <c r="K692" s="54">
        <v>22000</v>
      </c>
      <c r="L692" s="54">
        <v>0</v>
      </c>
      <c r="M692" s="54">
        <v>0</v>
      </c>
      <c r="N692" s="54">
        <v>0</v>
      </c>
      <c r="O692" s="54">
        <v>0</v>
      </c>
      <c r="P692" s="54">
        <v>0</v>
      </c>
      <c r="Q692" s="54">
        <v>0</v>
      </c>
      <c r="R692" s="54">
        <v>0</v>
      </c>
      <c r="S692" s="54">
        <v>0</v>
      </c>
      <c r="T692" s="54">
        <v>0</v>
      </c>
      <c r="U692" s="54">
        <v>1397</v>
      </c>
      <c r="V692" s="54">
        <v>0</v>
      </c>
      <c r="W692" s="54">
        <v>0</v>
      </c>
      <c r="X692" s="54">
        <v>0</v>
      </c>
      <c r="Y692" s="54">
        <v>0</v>
      </c>
      <c r="Z692" s="54">
        <v>0</v>
      </c>
      <c r="AA692" s="54">
        <v>0</v>
      </c>
      <c r="AB692" s="54">
        <v>0</v>
      </c>
      <c r="AC692" s="54">
        <v>0</v>
      </c>
      <c r="AD692" s="54">
        <v>0</v>
      </c>
      <c r="AE692" s="54">
        <v>0</v>
      </c>
      <c r="AF692" s="54">
        <v>0</v>
      </c>
      <c r="AG692" s="54">
        <v>0</v>
      </c>
      <c r="AH692" s="54">
        <v>0</v>
      </c>
      <c r="AI692" s="54">
        <v>0</v>
      </c>
      <c r="AJ692" s="54">
        <v>0</v>
      </c>
      <c r="AK692" s="54">
        <v>0</v>
      </c>
      <c r="AL692" s="54">
        <v>0</v>
      </c>
      <c r="AM692" s="54" t="str">
        <f>I692-J692-K692-L692-M692-N692-O692-P692-Q692-R692-S692-T692-U692-V692-W692-X692-Y692-Z692-AA692-AB692-AC692-AD692-AE692-AF692-AG692+AH692-AI692+AJ692+AK692-AL692</f>
        <v>0</v>
      </c>
      <c r="AN692" s="54"/>
      <c r="AO692" s="27"/>
    </row>
    <row r="693" spans="1:41">
      <c r="A693" s="44">
        <v>665</v>
      </c>
      <c r="B693" s="47" t="s">
        <v>2760</v>
      </c>
      <c r="C693" s="48" t="s">
        <v>2761</v>
      </c>
      <c r="D693" s="52" t="s">
        <v>73</v>
      </c>
      <c r="E693" s="52" t="s">
        <v>2749</v>
      </c>
      <c r="F693" s="55" t="s">
        <v>587</v>
      </c>
      <c r="G693" s="51">
        <v>4</v>
      </c>
      <c r="H693" s="52" t="s">
        <v>2762</v>
      </c>
      <c r="I693" s="54">
        <v>557000</v>
      </c>
      <c r="J693" s="54">
        <v>0</v>
      </c>
      <c r="K693" s="54">
        <v>25000</v>
      </c>
      <c r="L693" s="54">
        <v>0</v>
      </c>
      <c r="M693" s="54">
        <v>0</v>
      </c>
      <c r="N693" s="54">
        <v>0</v>
      </c>
      <c r="O693" s="54">
        <v>0</v>
      </c>
      <c r="P693" s="54">
        <v>0</v>
      </c>
      <c r="Q693" s="54">
        <v>0</v>
      </c>
      <c r="R693" s="54">
        <v>0</v>
      </c>
      <c r="S693" s="54">
        <v>0</v>
      </c>
      <c r="T693" s="54">
        <v>0</v>
      </c>
      <c r="U693" s="54">
        <v>1587</v>
      </c>
      <c r="V693" s="54">
        <v>0</v>
      </c>
      <c r="W693" s="54">
        <v>0</v>
      </c>
      <c r="X693" s="54">
        <v>0</v>
      </c>
      <c r="Y693" s="54">
        <v>0</v>
      </c>
      <c r="Z693" s="54">
        <v>0</v>
      </c>
      <c r="AA693" s="54">
        <v>0</v>
      </c>
      <c r="AB693" s="54">
        <v>0</v>
      </c>
      <c r="AC693" s="54">
        <v>0</v>
      </c>
      <c r="AD693" s="54">
        <v>0</v>
      </c>
      <c r="AE693" s="54">
        <v>0</v>
      </c>
      <c r="AF693" s="54">
        <v>0</v>
      </c>
      <c r="AG693" s="54">
        <v>0</v>
      </c>
      <c r="AH693" s="54">
        <v>0</v>
      </c>
      <c r="AI693" s="54">
        <v>0</v>
      </c>
      <c r="AJ693" s="54">
        <v>0</v>
      </c>
      <c r="AK693" s="54">
        <v>0</v>
      </c>
      <c r="AL693" s="54">
        <v>0</v>
      </c>
      <c r="AM693" s="54" t="str">
        <f>I693-J693-K693-L693-M693-N693-O693-P693-Q693-R693-S693-T693-U693-V693-W693-X693-Y693-Z693-AA693-AB693-AC693-AD693-AE693-AF693-AG693+AH693-AI693+AJ693+AK693-AL693</f>
        <v>0</v>
      </c>
      <c r="AN693" s="54"/>
      <c r="AO693" s="27"/>
    </row>
    <row r="694" spans="1:41">
      <c r="A694" s="44">
        <v>666</v>
      </c>
      <c r="B694" s="47" t="s">
        <v>2763</v>
      </c>
      <c r="C694" s="48" t="s">
        <v>2764</v>
      </c>
      <c r="D694" s="52" t="s">
        <v>73</v>
      </c>
      <c r="E694" s="52" t="s">
        <v>2749</v>
      </c>
      <c r="F694" s="55" t="s">
        <v>2765</v>
      </c>
      <c r="G694" s="51">
        <v>5</v>
      </c>
      <c r="H694" s="52" t="s">
        <v>2766</v>
      </c>
      <c r="I694" s="54">
        <v>784000</v>
      </c>
      <c r="J694" s="54">
        <v>0</v>
      </c>
      <c r="K694" s="54">
        <v>27000</v>
      </c>
      <c r="L694" s="54">
        <v>0</v>
      </c>
      <c r="M694" s="54">
        <v>0</v>
      </c>
      <c r="N694" s="54">
        <v>0</v>
      </c>
      <c r="O694" s="54">
        <v>0</v>
      </c>
      <c r="P694" s="54">
        <v>0</v>
      </c>
      <c r="Q694" s="54">
        <v>0</v>
      </c>
      <c r="R694" s="54">
        <v>0</v>
      </c>
      <c r="S694" s="54">
        <v>0</v>
      </c>
      <c r="T694" s="54">
        <v>0</v>
      </c>
      <c r="U694" s="54">
        <v>1714</v>
      </c>
      <c r="V694" s="54">
        <v>0</v>
      </c>
      <c r="W694" s="54">
        <v>0</v>
      </c>
      <c r="X694" s="54">
        <v>0</v>
      </c>
      <c r="Y694" s="54">
        <v>0</v>
      </c>
      <c r="Z694" s="54">
        <v>0</v>
      </c>
      <c r="AA694" s="54">
        <v>0</v>
      </c>
      <c r="AB694" s="54">
        <v>0</v>
      </c>
      <c r="AC694" s="54">
        <v>0</v>
      </c>
      <c r="AD694" s="54">
        <v>0</v>
      </c>
      <c r="AE694" s="54">
        <v>0</v>
      </c>
      <c r="AF694" s="54">
        <v>0</v>
      </c>
      <c r="AG694" s="54">
        <v>0</v>
      </c>
      <c r="AH694" s="54">
        <v>0</v>
      </c>
      <c r="AI694" s="54">
        <v>0</v>
      </c>
      <c r="AJ694" s="54">
        <v>0</v>
      </c>
      <c r="AK694" s="54">
        <v>0</v>
      </c>
      <c r="AL694" s="54">
        <v>0</v>
      </c>
      <c r="AM694" s="54" t="str">
        <f>I694-J694-K694-L694-M694-N694-O694-P694-Q694-R694-S694-T694-U694-V694-W694-X694-Y694-Z694-AA694-AB694-AC694-AD694-AE694-AF694-AG694+AH694-AI694+AJ694+AK694-AL694</f>
        <v>0</v>
      </c>
      <c r="AN694" s="54"/>
      <c r="AO694" s="27"/>
    </row>
    <row r="695" spans="1:41">
      <c r="A695" s="44">
        <v>667</v>
      </c>
      <c r="B695" s="47" t="s">
        <v>2767</v>
      </c>
      <c r="C695" s="48" t="s">
        <v>2768</v>
      </c>
      <c r="D695" s="52" t="s">
        <v>73</v>
      </c>
      <c r="E695" s="52" t="s">
        <v>2749</v>
      </c>
      <c r="F695" s="55" t="s">
        <v>605</v>
      </c>
      <c r="G695" s="51">
        <v>5</v>
      </c>
      <c r="H695" s="52" t="s">
        <v>2769</v>
      </c>
      <c r="I695" s="54">
        <v>934000</v>
      </c>
      <c r="J695" s="54">
        <v>0</v>
      </c>
      <c r="K695" s="54">
        <v>27000</v>
      </c>
      <c r="L695" s="54">
        <v>0</v>
      </c>
      <c r="M695" s="54">
        <v>0</v>
      </c>
      <c r="N695" s="54">
        <v>0</v>
      </c>
      <c r="O695" s="54">
        <v>0</v>
      </c>
      <c r="P695" s="54">
        <v>0</v>
      </c>
      <c r="Q695" s="54">
        <v>0</v>
      </c>
      <c r="R695" s="54">
        <v>0</v>
      </c>
      <c r="S695" s="54">
        <v>0</v>
      </c>
      <c r="T695" s="54">
        <v>0</v>
      </c>
      <c r="U695" s="54">
        <v>1714</v>
      </c>
      <c r="V695" s="54">
        <v>0</v>
      </c>
      <c r="W695" s="54">
        <v>0</v>
      </c>
      <c r="X695" s="54">
        <v>0</v>
      </c>
      <c r="Y695" s="54">
        <v>0</v>
      </c>
      <c r="Z695" s="54">
        <v>0</v>
      </c>
      <c r="AA695" s="54">
        <v>0</v>
      </c>
      <c r="AB695" s="54">
        <v>0</v>
      </c>
      <c r="AC695" s="54">
        <v>0</v>
      </c>
      <c r="AD695" s="54">
        <v>0</v>
      </c>
      <c r="AE695" s="54">
        <v>0</v>
      </c>
      <c r="AF695" s="54">
        <v>0</v>
      </c>
      <c r="AG695" s="54">
        <v>0</v>
      </c>
      <c r="AH695" s="54">
        <v>0</v>
      </c>
      <c r="AI695" s="54">
        <v>0</v>
      </c>
      <c r="AJ695" s="54">
        <v>0</v>
      </c>
      <c r="AK695" s="54">
        <v>0</v>
      </c>
      <c r="AL695" s="54">
        <v>0</v>
      </c>
      <c r="AM695" s="54" t="str">
        <f>I695-J695-K695-L695-M695-N695-O695-P695-Q695-R695-S695-T695-U695-V695-W695-X695-Y695-Z695-AA695-AB695-AC695-AD695-AE695-AF695-AG695+AH695-AI695+AJ695+AK695-AL695</f>
        <v>0</v>
      </c>
      <c r="AN695" s="54"/>
      <c r="AO695" s="27"/>
    </row>
    <row r="696" spans="1:41">
      <c r="A696" s="44">
        <v>668</v>
      </c>
      <c r="B696" s="47" t="s">
        <v>2770</v>
      </c>
      <c r="C696" s="48" t="s">
        <v>2771</v>
      </c>
      <c r="D696" s="52" t="s">
        <v>73</v>
      </c>
      <c r="E696" s="52" t="s">
        <v>2749</v>
      </c>
      <c r="F696" s="55" t="s">
        <v>2772</v>
      </c>
      <c r="G696" s="51">
        <v>5</v>
      </c>
      <c r="H696" s="52" t="s">
        <v>2773</v>
      </c>
      <c r="I696" s="54">
        <v>0</v>
      </c>
      <c r="J696" s="54">
        <v>0</v>
      </c>
      <c r="K696" s="54">
        <v>27000</v>
      </c>
      <c r="L696" s="54">
        <v>0</v>
      </c>
      <c r="M696" s="54">
        <v>0</v>
      </c>
      <c r="N696" s="54">
        <v>0</v>
      </c>
      <c r="O696" s="54">
        <v>0</v>
      </c>
      <c r="P696" s="54">
        <v>0</v>
      </c>
      <c r="Q696" s="54">
        <v>0</v>
      </c>
      <c r="R696" s="54">
        <v>0</v>
      </c>
      <c r="S696" s="54">
        <v>0</v>
      </c>
      <c r="T696" s="54">
        <v>0</v>
      </c>
      <c r="U696" s="54">
        <v>1714</v>
      </c>
      <c r="V696" s="54">
        <v>0</v>
      </c>
      <c r="W696" s="54">
        <v>0</v>
      </c>
      <c r="X696" s="54">
        <v>0</v>
      </c>
      <c r="Y696" s="54">
        <v>0</v>
      </c>
      <c r="Z696" s="54">
        <v>0</v>
      </c>
      <c r="AA696" s="54">
        <v>0</v>
      </c>
      <c r="AB696" s="54">
        <v>0</v>
      </c>
      <c r="AC696" s="54">
        <v>0</v>
      </c>
      <c r="AD696" s="54">
        <v>0</v>
      </c>
      <c r="AE696" s="54">
        <v>0</v>
      </c>
      <c r="AF696" s="54">
        <v>0</v>
      </c>
      <c r="AG696" s="54">
        <v>0</v>
      </c>
      <c r="AH696" s="54">
        <v>0</v>
      </c>
      <c r="AI696" s="54">
        <v>0</v>
      </c>
      <c r="AJ696" s="54">
        <v>0</v>
      </c>
      <c r="AK696" s="54">
        <v>0</v>
      </c>
      <c r="AL696" s="54">
        <v>0</v>
      </c>
      <c r="AM696" s="54" t="str">
        <f>I696-J696-K696-L696-M696-N696-O696-P696-Q696-R696-S696-T696-U696-V696-W696-X696-Y696-Z696-AA696-AB696-AC696-AD696-AE696-AF696-AG696+AH696-AI696+AJ696+AK696-AL696</f>
        <v>0</v>
      </c>
      <c r="AN696" s="54"/>
      <c r="AO696" s="27"/>
    </row>
    <row r="697" spans="1:41">
      <c r="A697" s="44">
        <v>669</v>
      </c>
      <c r="B697" s="47" t="s">
        <v>2774</v>
      </c>
      <c r="C697" s="48" t="s">
        <v>2775</v>
      </c>
      <c r="D697" s="52" t="s">
        <v>73</v>
      </c>
      <c r="E697" s="52" t="s">
        <v>2749</v>
      </c>
      <c r="F697" s="55" t="s">
        <v>2066</v>
      </c>
      <c r="G697" s="51">
        <v>2</v>
      </c>
      <c r="H697" s="52" t="s">
        <v>2776</v>
      </c>
      <c r="I697" s="54">
        <v>290000</v>
      </c>
      <c r="J697" s="54">
        <v>0</v>
      </c>
      <c r="K697" s="54">
        <v>22000</v>
      </c>
      <c r="L697" s="54">
        <v>0</v>
      </c>
      <c r="M697" s="54">
        <v>0</v>
      </c>
      <c r="N697" s="54">
        <v>0</v>
      </c>
      <c r="O697" s="54">
        <v>0</v>
      </c>
      <c r="P697" s="54">
        <v>0</v>
      </c>
      <c r="Q697" s="54">
        <v>0</v>
      </c>
      <c r="R697" s="54">
        <v>0</v>
      </c>
      <c r="S697" s="54">
        <v>0</v>
      </c>
      <c r="T697" s="54">
        <v>0</v>
      </c>
      <c r="U697" s="54">
        <v>1397</v>
      </c>
      <c r="V697" s="54">
        <v>0</v>
      </c>
      <c r="W697" s="54">
        <v>0</v>
      </c>
      <c r="X697" s="54">
        <v>0</v>
      </c>
      <c r="Y697" s="54">
        <v>0</v>
      </c>
      <c r="Z697" s="54">
        <v>0</v>
      </c>
      <c r="AA697" s="54">
        <v>0</v>
      </c>
      <c r="AB697" s="54">
        <v>0</v>
      </c>
      <c r="AC697" s="54">
        <v>0</v>
      </c>
      <c r="AD697" s="54">
        <v>0</v>
      </c>
      <c r="AE697" s="54">
        <v>0</v>
      </c>
      <c r="AF697" s="54">
        <v>0</v>
      </c>
      <c r="AG697" s="54">
        <v>0</v>
      </c>
      <c r="AH697" s="54">
        <v>0</v>
      </c>
      <c r="AI697" s="54">
        <v>0</v>
      </c>
      <c r="AJ697" s="54">
        <v>0</v>
      </c>
      <c r="AK697" s="54">
        <v>0</v>
      </c>
      <c r="AL697" s="54">
        <v>0</v>
      </c>
      <c r="AM697" s="54" t="str">
        <f>I697-J697-K697-L697-M697-N697-O697-P697-Q697-R697-S697-T697-U697-V697-W697-X697-Y697-Z697-AA697-AB697-AC697-AD697-AE697-AF697-AG697+AH697-AI697+AJ697+AK697-AL697</f>
        <v>0</v>
      </c>
      <c r="AN697" s="54"/>
      <c r="AO697" s="27"/>
    </row>
    <row r="698" spans="1:41">
      <c r="A698" s="44">
        <v>670</v>
      </c>
      <c r="B698" s="47" t="s">
        <v>2777</v>
      </c>
      <c r="C698" s="48" t="s">
        <v>2778</v>
      </c>
      <c r="D698" s="52" t="s">
        <v>73</v>
      </c>
      <c r="E698" s="52" t="s">
        <v>2749</v>
      </c>
      <c r="F698" s="55" t="s">
        <v>1675</v>
      </c>
      <c r="G698" s="51">
        <v>4</v>
      </c>
      <c r="H698" s="52" t="s">
        <v>2779</v>
      </c>
      <c r="I698" s="54">
        <v>439000</v>
      </c>
      <c r="J698" s="54">
        <v>0</v>
      </c>
      <c r="K698" s="54">
        <v>25000</v>
      </c>
      <c r="L698" s="54">
        <v>0</v>
      </c>
      <c r="M698" s="54">
        <v>0</v>
      </c>
      <c r="N698" s="54">
        <v>0</v>
      </c>
      <c r="O698" s="54">
        <v>0</v>
      </c>
      <c r="P698" s="54">
        <v>0</v>
      </c>
      <c r="Q698" s="54">
        <v>0</v>
      </c>
      <c r="R698" s="54">
        <v>0</v>
      </c>
      <c r="S698" s="54">
        <v>0</v>
      </c>
      <c r="T698" s="54">
        <v>0</v>
      </c>
      <c r="U698" s="54">
        <v>1587</v>
      </c>
      <c r="V698" s="54">
        <v>0</v>
      </c>
      <c r="W698" s="54">
        <v>0</v>
      </c>
      <c r="X698" s="54">
        <v>0</v>
      </c>
      <c r="Y698" s="54">
        <v>0</v>
      </c>
      <c r="Z698" s="54">
        <v>0</v>
      </c>
      <c r="AA698" s="54">
        <v>0</v>
      </c>
      <c r="AB698" s="54">
        <v>0</v>
      </c>
      <c r="AC698" s="54">
        <v>0</v>
      </c>
      <c r="AD698" s="54">
        <v>0</v>
      </c>
      <c r="AE698" s="54">
        <v>0</v>
      </c>
      <c r="AF698" s="54">
        <v>0</v>
      </c>
      <c r="AG698" s="54">
        <v>0</v>
      </c>
      <c r="AH698" s="54">
        <v>0</v>
      </c>
      <c r="AI698" s="54">
        <v>0</v>
      </c>
      <c r="AJ698" s="54">
        <v>0</v>
      </c>
      <c r="AK698" s="54">
        <v>0</v>
      </c>
      <c r="AL698" s="54">
        <v>0</v>
      </c>
      <c r="AM698" s="54" t="str">
        <f>I698-J698-K698-L698-M698-N698-O698-P698-Q698-R698-S698-T698-U698-V698-W698-X698-Y698-Z698-AA698-AB698-AC698-AD698-AE698-AF698-AG698+AH698-AI698+AJ698+AK698-AL698</f>
        <v>0</v>
      </c>
      <c r="AN698" s="54"/>
      <c r="AO698" s="27"/>
    </row>
    <row r="699" spans="1:41">
      <c r="A699" s="44">
        <v>671</v>
      </c>
      <c r="B699" s="47" t="s">
        <v>2780</v>
      </c>
      <c r="C699" s="48" t="s">
        <v>2781</v>
      </c>
      <c r="D699" s="52" t="s">
        <v>73</v>
      </c>
      <c r="E699" s="52" t="s">
        <v>2749</v>
      </c>
      <c r="F699" s="55" t="s">
        <v>2782</v>
      </c>
      <c r="G699" s="51">
        <v>2</v>
      </c>
      <c r="H699" s="52" t="s">
        <v>2783</v>
      </c>
      <c r="I699" s="54">
        <v>264000</v>
      </c>
      <c r="J699" s="54">
        <v>0</v>
      </c>
      <c r="K699" s="54">
        <v>22000</v>
      </c>
      <c r="L699" s="54">
        <v>0</v>
      </c>
      <c r="M699" s="54">
        <v>0</v>
      </c>
      <c r="N699" s="54">
        <v>0</v>
      </c>
      <c r="O699" s="54">
        <v>0</v>
      </c>
      <c r="P699" s="54">
        <v>0</v>
      </c>
      <c r="Q699" s="54">
        <v>0</v>
      </c>
      <c r="R699" s="54">
        <v>0</v>
      </c>
      <c r="S699" s="54">
        <v>0</v>
      </c>
      <c r="T699" s="54">
        <v>0</v>
      </c>
      <c r="U699" s="54">
        <v>1397</v>
      </c>
      <c r="V699" s="54">
        <v>0</v>
      </c>
      <c r="W699" s="54">
        <v>0</v>
      </c>
      <c r="X699" s="54">
        <v>0</v>
      </c>
      <c r="Y699" s="54">
        <v>0</v>
      </c>
      <c r="Z699" s="54">
        <v>0</v>
      </c>
      <c r="AA699" s="54">
        <v>0</v>
      </c>
      <c r="AB699" s="54">
        <v>0</v>
      </c>
      <c r="AC699" s="54">
        <v>0</v>
      </c>
      <c r="AD699" s="54">
        <v>0</v>
      </c>
      <c r="AE699" s="54">
        <v>0</v>
      </c>
      <c r="AF699" s="54">
        <v>0</v>
      </c>
      <c r="AG699" s="54">
        <v>0</v>
      </c>
      <c r="AH699" s="54">
        <v>0</v>
      </c>
      <c r="AI699" s="54">
        <v>0</v>
      </c>
      <c r="AJ699" s="54">
        <v>0</v>
      </c>
      <c r="AK699" s="54">
        <v>0</v>
      </c>
      <c r="AL699" s="54">
        <v>0</v>
      </c>
      <c r="AM699" s="54" t="str">
        <f>I699-J699-K699-L699-M699-N699-O699-P699-Q699-R699-S699-T699-U699-V699-W699-X699-Y699-Z699-AA699-AB699-AC699-AD699-AE699-AF699-AG699+AH699-AI699+AJ699+AK699-AL699</f>
        <v>0</v>
      </c>
      <c r="AN699" s="54"/>
      <c r="AO699" s="27"/>
    </row>
    <row r="700" spans="1:41">
      <c r="A700" s="44">
        <v>672</v>
      </c>
      <c r="B700" s="47" t="s">
        <v>2784</v>
      </c>
      <c r="C700" s="48" t="s">
        <v>2785</v>
      </c>
      <c r="D700" s="52" t="s">
        <v>73</v>
      </c>
      <c r="E700" s="52" t="s">
        <v>2749</v>
      </c>
      <c r="F700" s="55" t="s">
        <v>2786</v>
      </c>
      <c r="G700" s="51">
        <v>3</v>
      </c>
      <c r="H700" s="52" t="s">
        <v>2787</v>
      </c>
      <c r="I700" s="54">
        <v>785000</v>
      </c>
      <c r="J700" s="54">
        <v>0</v>
      </c>
      <c r="K700" s="54">
        <v>22000</v>
      </c>
      <c r="L700" s="54">
        <v>0</v>
      </c>
      <c r="M700" s="54">
        <v>0</v>
      </c>
      <c r="N700" s="54">
        <v>0</v>
      </c>
      <c r="O700" s="54">
        <v>0</v>
      </c>
      <c r="P700" s="54">
        <v>0</v>
      </c>
      <c r="Q700" s="54">
        <v>0</v>
      </c>
      <c r="R700" s="54">
        <v>0</v>
      </c>
      <c r="S700" s="54">
        <v>0</v>
      </c>
      <c r="T700" s="54">
        <v>0</v>
      </c>
      <c r="U700" s="54">
        <v>1397</v>
      </c>
      <c r="V700" s="54">
        <v>0</v>
      </c>
      <c r="W700" s="54">
        <v>0</v>
      </c>
      <c r="X700" s="54">
        <v>0</v>
      </c>
      <c r="Y700" s="54">
        <v>0</v>
      </c>
      <c r="Z700" s="54">
        <v>0</v>
      </c>
      <c r="AA700" s="54">
        <v>0</v>
      </c>
      <c r="AB700" s="54">
        <v>0</v>
      </c>
      <c r="AC700" s="54">
        <v>0</v>
      </c>
      <c r="AD700" s="54">
        <v>0</v>
      </c>
      <c r="AE700" s="54">
        <v>0</v>
      </c>
      <c r="AF700" s="54">
        <v>0</v>
      </c>
      <c r="AG700" s="54">
        <v>0</v>
      </c>
      <c r="AH700" s="54">
        <v>0</v>
      </c>
      <c r="AI700" s="54">
        <v>0</v>
      </c>
      <c r="AJ700" s="54">
        <v>0</v>
      </c>
      <c r="AK700" s="54">
        <v>0</v>
      </c>
      <c r="AL700" s="54">
        <v>0</v>
      </c>
      <c r="AM700" s="54" t="str">
        <f>I700-J700-K700-L700-M700-N700-O700-P700-Q700-R700-S700-T700-U700-V700-W700-X700-Y700-Z700-AA700-AB700-AC700-AD700-AE700-AF700-AG700+AH700-AI700+AJ700+AK700-AL700</f>
        <v>0</v>
      </c>
      <c r="AN700" s="54"/>
      <c r="AO700" s="27"/>
    </row>
    <row r="701" spans="1:41">
      <c r="A701" s="44">
        <v>673</v>
      </c>
      <c r="B701" s="47" t="s">
        <v>2788</v>
      </c>
      <c r="C701" s="48" t="s">
        <v>2789</v>
      </c>
      <c r="D701" s="52" t="s">
        <v>73</v>
      </c>
      <c r="E701" s="52" t="s">
        <v>2749</v>
      </c>
      <c r="F701" s="55" t="s">
        <v>1923</v>
      </c>
      <c r="G701" s="51">
        <v>4</v>
      </c>
      <c r="H701" s="52" t="s">
        <v>2790</v>
      </c>
      <c r="I701" s="54">
        <v>1555000</v>
      </c>
      <c r="J701" s="54">
        <v>0</v>
      </c>
      <c r="K701" s="54">
        <v>25000</v>
      </c>
      <c r="L701" s="54">
        <v>0</v>
      </c>
      <c r="M701" s="54">
        <v>0</v>
      </c>
      <c r="N701" s="54">
        <v>0</v>
      </c>
      <c r="O701" s="54">
        <v>0</v>
      </c>
      <c r="P701" s="54">
        <v>0</v>
      </c>
      <c r="Q701" s="54">
        <v>0</v>
      </c>
      <c r="R701" s="54">
        <v>0</v>
      </c>
      <c r="S701" s="54">
        <v>0</v>
      </c>
      <c r="T701" s="54">
        <v>0</v>
      </c>
      <c r="U701" s="54">
        <v>1587</v>
      </c>
      <c r="V701" s="54">
        <v>0</v>
      </c>
      <c r="W701" s="54">
        <v>0</v>
      </c>
      <c r="X701" s="54">
        <v>0</v>
      </c>
      <c r="Y701" s="54">
        <v>0</v>
      </c>
      <c r="Z701" s="54">
        <v>0</v>
      </c>
      <c r="AA701" s="54">
        <v>0</v>
      </c>
      <c r="AB701" s="54">
        <v>0</v>
      </c>
      <c r="AC701" s="54">
        <v>0</v>
      </c>
      <c r="AD701" s="54">
        <v>0</v>
      </c>
      <c r="AE701" s="54">
        <v>0</v>
      </c>
      <c r="AF701" s="54">
        <v>0</v>
      </c>
      <c r="AG701" s="54">
        <v>0</v>
      </c>
      <c r="AH701" s="54">
        <v>0</v>
      </c>
      <c r="AI701" s="54">
        <v>0</v>
      </c>
      <c r="AJ701" s="54">
        <v>0</v>
      </c>
      <c r="AK701" s="54">
        <v>0</v>
      </c>
      <c r="AL701" s="54">
        <v>0</v>
      </c>
      <c r="AM701" s="54" t="str">
        <f>I701-J701-K701-L701-M701-N701-O701-P701-Q701-R701-S701-T701-U701-V701-W701-X701-Y701-Z701-AA701-AB701-AC701-AD701-AE701-AF701-AG701+AH701-AI701+AJ701+AK701-AL701</f>
        <v>0</v>
      </c>
      <c r="AN701" s="54"/>
      <c r="AO701" s="27"/>
    </row>
    <row r="702" spans="1:41">
      <c r="A702" s="44">
        <v>674</v>
      </c>
      <c r="B702" s="47" t="s">
        <v>2791</v>
      </c>
      <c r="C702" s="48" t="s">
        <v>2792</v>
      </c>
      <c r="D702" s="52" t="s">
        <v>73</v>
      </c>
      <c r="E702" s="52" t="s">
        <v>2749</v>
      </c>
      <c r="F702" s="55" t="s">
        <v>2793</v>
      </c>
      <c r="G702" s="51">
        <v>4.3</v>
      </c>
      <c r="H702" s="52" t="s">
        <v>2794</v>
      </c>
      <c r="I702" s="54">
        <v>815000</v>
      </c>
      <c r="J702" s="54">
        <v>0</v>
      </c>
      <c r="K702" s="54">
        <v>27000</v>
      </c>
      <c r="L702" s="54">
        <v>0</v>
      </c>
      <c r="M702" s="54">
        <v>0</v>
      </c>
      <c r="N702" s="54">
        <v>0</v>
      </c>
      <c r="O702" s="54">
        <v>0</v>
      </c>
      <c r="P702" s="54">
        <v>0</v>
      </c>
      <c r="Q702" s="54">
        <v>0</v>
      </c>
      <c r="R702" s="54">
        <v>0</v>
      </c>
      <c r="S702" s="54">
        <v>0</v>
      </c>
      <c r="T702" s="54">
        <v>0</v>
      </c>
      <c r="U702" s="54">
        <v>1714</v>
      </c>
      <c r="V702" s="54">
        <v>0</v>
      </c>
      <c r="W702" s="54">
        <v>0</v>
      </c>
      <c r="X702" s="54">
        <v>0</v>
      </c>
      <c r="Y702" s="54">
        <v>0</v>
      </c>
      <c r="Z702" s="54">
        <v>0</v>
      </c>
      <c r="AA702" s="54">
        <v>0</v>
      </c>
      <c r="AB702" s="54">
        <v>0</v>
      </c>
      <c r="AC702" s="54">
        <v>0</v>
      </c>
      <c r="AD702" s="54">
        <v>0</v>
      </c>
      <c r="AE702" s="54">
        <v>0</v>
      </c>
      <c r="AF702" s="54">
        <v>0</v>
      </c>
      <c r="AG702" s="54">
        <v>0</v>
      </c>
      <c r="AH702" s="54">
        <v>0</v>
      </c>
      <c r="AI702" s="54">
        <v>0</v>
      </c>
      <c r="AJ702" s="54">
        <v>0</v>
      </c>
      <c r="AK702" s="54">
        <v>0</v>
      </c>
      <c r="AL702" s="54">
        <v>0</v>
      </c>
      <c r="AM702" s="54" t="str">
        <f>I702-J702-K702-L702-M702-N702-O702-P702-Q702-R702-S702-T702-U702-V702-W702-X702-Y702-Z702-AA702-AB702-AC702-AD702-AE702-AF702-AG702+AH702-AI702+AJ702+AK702-AL702</f>
        <v>0</v>
      </c>
      <c r="AN702" s="54"/>
      <c r="AO702" s="27"/>
    </row>
    <row r="703" spans="1:41">
      <c r="A703" s="44">
        <v>675</v>
      </c>
      <c r="B703" s="47" t="s">
        <v>2795</v>
      </c>
      <c r="C703" s="48" t="s">
        <v>2796</v>
      </c>
      <c r="D703" s="52" t="s">
        <v>73</v>
      </c>
      <c r="E703" s="52" t="s">
        <v>2749</v>
      </c>
      <c r="F703" s="55" t="s">
        <v>2797</v>
      </c>
      <c r="G703" s="51">
        <v>2</v>
      </c>
      <c r="H703" s="52" t="s">
        <v>2798</v>
      </c>
      <c r="I703" s="54">
        <v>285000</v>
      </c>
      <c r="J703" s="54">
        <v>0</v>
      </c>
      <c r="K703" s="54">
        <v>22000</v>
      </c>
      <c r="L703" s="54">
        <v>0</v>
      </c>
      <c r="M703" s="54">
        <v>0</v>
      </c>
      <c r="N703" s="54">
        <v>0</v>
      </c>
      <c r="O703" s="54">
        <v>0</v>
      </c>
      <c r="P703" s="54">
        <v>0</v>
      </c>
      <c r="Q703" s="54">
        <v>0</v>
      </c>
      <c r="R703" s="54">
        <v>0</v>
      </c>
      <c r="S703" s="54">
        <v>0</v>
      </c>
      <c r="T703" s="54">
        <v>0</v>
      </c>
      <c r="U703" s="54">
        <v>1397</v>
      </c>
      <c r="V703" s="54">
        <v>0</v>
      </c>
      <c r="W703" s="54">
        <v>0</v>
      </c>
      <c r="X703" s="54">
        <v>0</v>
      </c>
      <c r="Y703" s="54">
        <v>0</v>
      </c>
      <c r="Z703" s="54">
        <v>0</v>
      </c>
      <c r="AA703" s="54">
        <v>0</v>
      </c>
      <c r="AB703" s="54">
        <v>0</v>
      </c>
      <c r="AC703" s="54">
        <v>0</v>
      </c>
      <c r="AD703" s="54">
        <v>0</v>
      </c>
      <c r="AE703" s="54">
        <v>0</v>
      </c>
      <c r="AF703" s="54">
        <v>0</v>
      </c>
      <c r="AG703" s="54">
        <v>0</v>
      </c>
      <c r="AH703" s="54">
        <v>0</v>
      </c>
      <c r="AI703" s="54">
        <v>0</v>
      </c>
      <c r="AJ703" s="54">
        <v>0</v>
      </c>
      <c r="AK703" s="54">
        <v>0</v>
      </c>
      <c r="AL703" s="54">
        <v>0</v>
      </c>
      <c r="AM703" s="54" t="str">
        <f>I703-J703-K703-L703-M703-N703-O703-P703-Q703-R703-S703-T703-U703-V703-W703-X703-Y703-Z703-AA703-AB703-AC703-AD703-AE703-AF703-AG703+AH703-AI703+AJ703+AK703-AL703</f>
        <v>0</v>
      </c>
      <c r="AN703" s="54"/>
      <c r="AO703" s="27"/>
    </row>
    <row r="704" spans="1:41">
      <c r="A704" s="44">
        <v>676</v>
      </c>
      <c r="B704" s="47" t="s">
        <v>2799</v>
      </c>
      <c r="C704" s="48" t="s">
        <v>2800</v>
      </c>
      <c r="D704" s="52" t="s">
        <v>73</v>
      </c>
      <c r="E704" s="52" t="s">
        <v>2749</v>
      </c>
      <c r="F704" s="55" t="s">
        <v>2801</v>
      </c>
      <c r="G704" s="51">
        <v>2</v>
      </c>
      <c r="H704" s="52" t="s">
        <v>2802</v>
      </c>
      <c r="I704" s="54">
        <v>285000</v>
      </c>
      <c r="J704" s="54">
        <v>0</v>
      </c>
      <c r="K704" s="54">
        <v>22000</v>
      </c>
      <c r="L704" s="54">
        <v>0</v>
      </c>
      <c r="M704" s="54">
        <v>0</v>
      </c>
      <c r="N704" s="54">
        <v>0</v>
      </c>
      <c r="O704" s="54">
        <v>0</v>
      </c>
      <c r="P704" s="54">
        <v>0</v>
      </c>
      <c r="Q704" s="54">
        <v>0</v>
      </c>
      <c r="R704" s="54">
        <v>0</v>
      </c>
      <c r="S704" s="54">
        <v>0</v>
      </c>
      <c r="T704" s="54">
        <v>0</v>
      </c>
      <c r="U704" s="54">
        <v>1397</v>
      </c>
      <c r="V704" s="54">
        <v>0</v>
      </c>
      <c r="W704" s="54">
        <v>0</v>
      </c>
      <c r="X704" s="54">
        <v>0</v>
      </c>
      <c r="Y704" s="54">
        <v>0</v>
      </c>
      <c r="Z704" s="54">
        <v>0</v>
      </c>
      <c r="AA704" s="54">
        <v>0</v>
      </c>
      <c r="AB704" s="54">
        <v>0</v>
      </c>
      <c r="AC704" s="54">
        <v>0</v>
      </c>
      <c r="AD704" s="54">
        <v>0</v>
      </c>
      <c r="AE704" s="54">
        <v>0</v>
      </c>
      <c r="AF704" s="54">
        <v>0</v>
      </c>
      <c r="AG704" s="54">
        <v>0</v>
      </c>
      <c r="AH704" s="54">
        <v>0</v>
      </c>
      <c r="AI704" s="54">
        <v>0</v>
      </c>
      <c r="AJ704" s="54">
        <v>0</v>
      </c>
      <c r="AK704" s="54">
        <v>0</v>
      </c>
      <c r="AL704" s="54">
        <v>0</v>
      </c>
      <c r="AM704" s="54" t="str">
        <f>I704-J704-K704-L704-M704-N704-O704-P704-Q704-R704-S704-T704-U704-V704-W704-X704-Y704-Z704-AA704-AB704-AC704-AD704-AE704-AF704-AG704+AH704-AI704+AJ704+AK704-AL704</f>
        <v>0</v>
      </c>
      <c r="AN704" s="54"/>
      <c r="AO704" s="27"/>
    </row>
    <row r="705" spans="1:41">
      <c r="A705" s="44">
        <v>677</v>
      </c>
      <c r="B705" s="47" t="s">
        <v>2803</v>
      </c>
      <c r="C705" s="48" t="s">
        <v>2804</v>
      </c>
      <c r="D705" s="52" t="s">
        <v>73</v>
      </c>
      <c r="E705" s="52" t="s">
        <v>2749</v>
      </c>
      <c r="F705" s="55" t="s">
        <v>2805</v>
      </c>
      <c r="G705" s="51">
        <v>6</v>
      </c>
      <c r="H705" s="52" t="s">
        <v>2806</v>
      </c>
      <c r="I705" s="54">
        <v>1429000</v>
      </c>
      <c r="J705" s="54">
        <v>0</v>
      </c>
      <c r="K705" s="54">
        <v>31000</v>
      </c>
      <c r="L705" s="54">
        <v>0</v>
      </c>
      <c r="M705" s="54">
        <v>0</v>
      </c>
      <c r="N705" s="54">
        <v>0</v>
      </c>
      <c r="O705" s="54">
        <v>0</v>
      </c>
      <c r="P705" s="54">
        <v>0</v>
      </c>
      <c r="Q705" s="54">
        <v>0</v>
      </c>
      <c r="R705" s="54">
        <v>0</v>
      </c>
      <c r="S705" s="54">
        <v>0</v>
      </c>
      <c r="T705" s="54">
        <v>0</v>
      </c>
      <c r="U705" s="54">
        <v>1968</v>
      </c>
      <c r="V705" s="54">
        <v>0</v>
      </c>
      <c r="W705" s="54">
        <v>0</v>
      </c>
      <c r="X705" s="54">
        <v>0</v>
      </c>
      <c r="Y705" s="54">
        <v>0</v>
      </c>
      <c r="Z705" s="54">
        <v>0</v>
      </c>
      <c r="AA705" s="54">
        <v>0</v>
      </c>
      <c r="AB705" s="54">
        <v>0</v>
      </c>
      <c r="AC705" s="54">
        <v>0</v>
      </c>
      <c r="AD705" s="54">
        <v>0</v>
      </c>
      <c r="AE705" s="54">
        <v>0</v>
      </c>
      <c r="AF705" s="54">
        <v>0</v>
      </c>
      <c r="AG705" s="54">
        <v>0</v>
      </c>
      <c r="AH705" s="54">
        <v>0</v>
      </c>
      <c r="AI705" s="54">
        <v>0</v>
      </c>
      <c r="AJ705" s="54">
        <v>0</v>
      </c>
      <c r="AK705" s="54">
        <v>0</v>
      </c>
      <c r="AL705" s="54">
        <v>0</v>
      </c>
      <c r="AM705" s="54" t="str">
        <f>I705-J705-K705-L705-M705-N705-O705-P705-Q705-R705-S705-T705-U705-V705-W705-X705-Y705-Z705-AA705-AB705-AC705-AD705-AE705-AF705-AG705+AH705-AI705+AJ705+AK705-AL705</f>
        <v>0</v>
      </c>
      <c r="AN705" s="54"/>
      <c r="AO705" s="27"/>
    </row>
    <row r="706" spans="1:41">
      <c r="A706" s="44">
        <v>678</v>
      </c>
      <c r="B706" s="47" t="s">
        <v>2807</v>
      </c>
      <c r="C706" s="48" t="s">
        <v>2808</v>
      </c>
      <c r="D706" s="52" t="s">
        <v>62</v>
      </c>
      <c r="E706" s="52" t="s">
        <v>2749</v>
      </c>
      <c r="F706" s="55" t="s">
        <v>2809</v>
      </c>
      <c r="G706" s="51">
        <v>4</v>
      </c>
      <c r="H706" s="52" t="s">
        <v>2810</v>
      </c>
      <c r="I706" s="54">
        <v>0</v>
      </c>
      <c r="J706" s="54">
        <v>0</v>
      </c>
      <c r="K706" s="54">
        <v>25000</v>
      </c>
      <c r="L706" s="54">
        <v>0</v>
      </c>
      <c r="M706" s="54">
        <v>0</v>
      </c>
      <c r="N706" s="54">
        <v>0</v>
      </c>
      <c r="O706" s="54">
        <v>0</v>
      </c>
      <c r="P706" s="54">
        <v>0</v>
      </c>
      <c r="Q706" s="54">
        <v>0</v>
      </c>
      <c r="R706" s="54">
        <v>0</v>
      </c>
      <c r="S706" s="54">
        <v>0</v>
      </c>
      <c r="T706" s="54">
        <v>0</v>
      </c>
      <c r="U706" s="54">
        <v>1587</v>
      </c>
      <c r="V706" s="54">
        <v>0</v>
      </c>
      <c r="W706" s="54">
        <v>0</v>
      </c>
      <c r="X706" s="54">
        <v>0</v>
      </c>
      <c r="Y706" s="54">
        <v>12500</v>
      </c>
      <c r="Z706" s="54">
        <v>0</v>
      </c>
      <c r="AA706" s="54">
        <v>0</v>
      </c>
      <c r="AB706" s="54">
        <v>0</v>
      </c>
      <c r="AC706" s="54">
        <v>0</v>
      </c>
      <c r="AD706" s="54">
        <v>0</v>
      </c>
      <c r="AE706" s="54">
        <v>0</v>
      </c>
      <c r="AF706" s="54">
        <v>0</v>
      </c>
      <c r="AG706" s="54">
        <v>0</v>
      </c>
      <c r="AH706" s="54">
        <v>0</v>
      </c>
      <c r="AI706" s="54">
        <v>0</v>
      </c>
      <c r="AJ706" s="54">
        <v>0</v>
      </c>
      <c r="AK706" s="54">
        <v>0</v>
      </c>
      <c r="AL706" s="54">
        <v>0</v>
      </c>
      <c r="AM706" s="54" t="str">
        <f>I706-J706-K706-L706-M706-N706-O706-P706-Q706-R706-S706-T706-U706-V706-W706-X706-Y706-Z706-AA706-AB706-AC706-AD706-AE706-AF706-AG706+AH706-AI706+AJ706+AK706-AL706</f>
        <v>0</v>
      </c>
      <c r="AN706" s="54"/>
      <c r="AO706" s="27"/>
    </row>
    <row r="707" spans="1:41">
      <c r="A707" s="44">
        <v>679</v>
      </c>
      <c r="B707" s="47" t="s">
        <v>2811</v>
      </c>
      <c r="C707" s="48" t="s">
        <v>2812</v>
      </c>
      <c r="D707" s="52" t="s">
        <v>73</v>
      </c>
      <c r="E707" s="52" t="s">
        <v>2749</v>
      </c>
      <c r="F707" s="55" t="s">
        <v>567</v>
      </c>
      <c r="G707" s="51">
        <v>2</v>
      </c>
      <c r="H707" s="52" t="s">
        <v>2813</v>
      </c>
      <c r="I707" s="54">
        <v>350000</v>
      </c>
      <c r="J707" s="54">
        <v>0</v>
      </c>
      <c r="K707" s="54">
        <v>22000</v>
      </c>
      <c r="L707" s="54">
        <v>0</v>
      </c>
      <c r="M707" s="54">
        <v>0</v>
      </c>
      <c r="N707" s="54">
        <v>0</v>
      </c>
      <c r="O707" s="54">
        <v>0</v>
      </c>
      <c r="P707" s="54">
        <v>0</v>
      </c>
      <c r="Q707" s="54">
        <v>0</v>
      </c>
      <c r="R707" s="54">
        <v>0</v>
      </c>
      <c r="S707" s="54">
        <v>0</v>
      </c>
      <c r="T707" s="54">
        <v>0</v>
      </c>
      <c r="U707" s="54">
        <v>1397</v>
      </c>
      <c r="V707" s="54">
        <v>0</v>
      </c>
      <c r="W707" s="54">
        <v>0</v>
      </c>
      <c r="X707" s="54">
        <v>0</v>
      </c>
      <c r="Y707" s="54">
        <v>0</v>
      </c>
      <c r="Z707" s="54">
        <v>0</v>
      </c>
      <c r="AA707" s="54">
        <v>0</v>
      </c>
      <c r="AB707" s="54">
        <v>0</v>
      </c>
      <c r="AC707" s="54">
        <v>0</v>
      </c>
      <c r="AD707" s="54">
        <v>0</v>
      </c>
      <c r="AE707" s="54">
        <v>0</v>
      </c>
      <c r="AF707" s="54">
        <v>0</v>
      </c>
      <c r="AG707" s="54">
        <v>0</v>
      </c>
      <c r="AH707" s="54">
        <v>0</v>
      </c>
      <c r="AI707" s="54">
        <v>0</v>
      </c>
      <c r="AJ707" s="54">
        <v>0</v>
      </c>
      <c r="AK707" s="54">
        <v>0</v>
      </c>
      <c r="AL707" s="54">
        <v>0</v>
      </c>
      <c r="AM707" s="54" t="str">
        <f>I707-J707-K707-L707-M707-N707-O707-P707-Q707-R707-S707-T707-U707-V707-W707-X707-Y707-Z707-AA707-AB707-AC707-AD707-AE707-AF707-AG707+AH707-AI707+AJ707+AK707-AL707</f>
        <v>0</v>
      </c>
      <c r="AN707" s="54"/>
      <c r="AO707" s="27"/>
    </row>
    <row r="708" spans="1:41">
      <c r="A708" s="44">
        <v>680</v>
      </c>
      <c r="B708" s="47" t="s">
        <v>2814</v>
      </c>
      <c r="C708" s="48" t="s">
        <v>2815</v>
      </c>
      <c r="D708" s="52" t="s">
        <v>73</v>
      </c>
      <c r="E708" s="52" t="s">
        <v>2749</v>
      </c>
      <c r="F708" s="55" t="s">
        <v>626</v>
      </c>
      <c r="G708" s="51">
        <v>2</v>
      </c>
      <c r="H708" s="52" t="s">
        <v>2816</v>
      </c>
      <c r="I708" s="54">
        <v>425000</v>
      </c>
      <c r="J708" s="54">
        <v>0</v>
      </c>
      <c r="K708" s="54">
        <v>22000</v>
      </c>
      <c r="L708" s="54">
        <v>0</v>
      </c>
      <c r="M708" s="54">
        <v>0</v>
      </c>
      <c r="N708" s="54">
        <v>0</v>
      </c>
      <c r="O708" s="54">
        <v>0</v>
      </c>
      <c r="P708" s="54">
        <v>0</v>
      </c>
      <c r="Q708" s="54">
        <v>0</v>
      </c>
      <c r="R708" s="54">
        <v>0</v>
      </c>
      <c r="S708" s="54">
        <v>0</v>
      </c>
      <c r="T708" s="54">
        <v>0</v>
      </c>
      <c r="U708" s="54">
        <v>1397</v>
      </c>
      <c r="V708" s="54">
        <v>0</v>
      </c>
      <c r="W708" s="54">
        <v>0</v>
      </c>
      <c r="X708" s="54">
        <v>0</v>
      </c>
      <c r="Y708" s="54">
        <v>0</v>
      </c>
      <c r="Z708" s="54">
        <v>0</v>
      </c>
      <c r="AA708" s="54">
        <v>0</v>
      </c>
      <c r="AB708" s="54">
        <v>0</v>
      </c>
      <c r="AC708" s="54">
        <v>0</v>
      </c>
      <c r="AD708" s="54">
        <v>0</v>
      </c>
      <c r="AE708" s="54">
        <v>0</v>
      </c>
      <c r="AF708" s="54">
        <v>0</v>
      </c>
      <c r="AG708" s="54">
        <v>0</v>
      </c>
      <c r="AH708" s="54">
        <v>0</v>
      </c>
      <c r="AI708" s="54">
        <v>0</v>
      </c>
      <c r="AJ708" s="54">
        <v>0</v>
      </c>
      <c r="AK708" s="54">
        <v>0</v>
      </c>
      <c r="AL708" s="54">
        <v>0</v>
      </c>
      <c r="AM708" s="54" t="str">
        <f>I708-J708-K708-L708-M708-N708-O708-P708-Q708-R708-S708-T708-U708-V708-W708-X708-Y708-Z708-AA708-AB708-AC708-AD708-AE708-AF708-AG708+AH708-AI708+AJ708+AK708-AL708</f>
        <v>0</v>
      </c>
      <c r="AN708" s="54"/>
      <c r="AO708" s="27"/>
    </row>
    <row r="709" spans="1:41">
      <c r="A709" s="44">
        <v>681</v>
      </c>
      <c r="B709" s="47" t="s">
        <v>2817</v>
      </c>
      <c r="C709" s="48" t="s">
        <v>2818</v>
      </c>
      <c r="D709" s="52" t="s">
        <v>73</v>
      </c>
      <c r="E709" s="52" t="s">
        <v>2749</v>
      </c>
      <c r="F709" s="55" t="s">
        <v>2819</v>
      </c>
      <c r="G709" s="51">
        <v>2</v>
      </c>
      <c r="H709" s="52" t="s">
        <v>2820</v>
      </c>
      <c r="I709" s="54">
        <v>274000</v>
      </c>
      <c r="J709" s="54">
        <v>0</v>
      </c>
      <c r="K709" s="54">
        <v>22000</v>
      </c>
      <c r="L709" s="54">
        <v>0</v>
      </c>
      <c r="M709" s="54">
        <v>0</v>
      </c>
      <c r="N709" s="54">
        <v>0</v>
      </c>
      <c r="O709" s="54">
        <v>0</v>
      </c>
      <c r="P709" s="54">
        <v>0</v>
      </c>
      <c r="Q709" s="54">
        <v>0</v>
      </c>
      <c r="R709" s="54">
        <v>0</v>
      </c>
      <c r="S709" s="54">
        <v>0</v>
      </c>
      <c r="T709" s="54">
        <v>0</v>
      </c>
      <c r="U709" s="54">
        <v>1397</v>
      </c>
      <c r="V709" s="54">
        <v>0</v>
      </c>
      <c r="W709" s="54">
        <v>0</v>
      </c>
      <c r="X709" s="54">
        <v>0</v>
      </c>
      <c r="Y709" s="54">
        <v>0</v>
      </c>
      <c r="Z709" s="54">
        <v>0</v>
      </c>
      <c r="AA709" s="54">
        <v>0</v>
      </c>
      <c r="AB709" s="54">
        <v>0</v>
      </c>
      <c r="AC709" s="54">
        <v>0</v>
      </c>
      <c r="AD709" s="54">
        <v>0</v>
      </c>
      <c r="AE709" s="54">
        <v>0</v>
      </c>
      <c r="AF709" s="54">
        <v>0</v>
      </c>
      <c r="AG709" s="54">
        <v>0</v>
      </c>
      <c r="AH709" s="54">
        <v>0</v>
      </c>
      <c r="AI709" s="54">
        <v>0</v>
      </c>
      <c r="AJ709" s="54">
        <v>0</v>
      </c>
      <c r="AK709" s="54">
        <v>0</v>
      </c>
      <c r="AL709" s="54">
        <v>0</v>
      </c>
      <c r="AM709" s="54" t="str">
        <f>I709-J709-K709-L709-M709-N709-O709-P709-Q709-R709-S709-T709-U709-V709-W709-X709-Y709-Z709-AA709-AB709-AC709-AD709-AE709-AF709-AG709+AH709-AI709+AJ709+AK709-AL709</f>
        <v>0</v>
      </c>
      <c r="AN709" s="54"/>
      <c r="AO709" s="27"/>
    </row>
    <row r="710" spans="1:41">
      <c r="A710" s="44">
        <v>682</v>
      </c>
      <c r="B710" s="47" t="s">
        <v>2821</v>
      </c>
      <c r="C710" s="48" t="s">
        <v>2822</v>
      </c>
      <c r="D710" s="52" t="s">
        <v>73</v>
      </c>
      <c r="E710" s="52" t="s">
        <v>2749</v>
      </c>
      <c r="F710" s="55" t="s">
        <v>808</v>
      </c>
      <c r="G710" s="51">
        <v>2</v>
      </c>
      <c r="H710" s="52" t="s">
        <v>2823</v>
      </c>
      <c r="I710" s="54">
        <v>339000</v>
      </c>
      <c r="J710" s="54">
        <v>0</v>
      </c>
      <c r="K710" s="54">
        <v>22000</v>
      </c>
      <c r="L710" s="54">
        <v>0</v>
      </c>
      <c r="M710" s="54">
        <v>0</v>
      </c>
      <c r="N710" s="54">
        <v>0</v>
      </c>
      <c r="O710" s="54">
        <v>0</v>
      </c>
      <c r="P710" s="54">
        <v>0</v>
      </c>
      <c r="Q710" s="54">
        <v>0</v>
      </c>
      <c r="R710" s="54">
        <v>0</v>
      </c>
      <c r="S710" s="54">
        <v>0</v>
      </c>
      <c r="T710" s="54">
        <v>0</v>
      </c>
      <c r="U710" s="54">
        <v>1397</v>
      </c>
      <c r="V710" s="54">
        <v>0</v>
      </c>
      <c r="W710" s="54">
        <v>0</v>
      </c>
      <c r="X710" s="54">
        <v>0</v>
      </c>
      <c r="Y710" s="54">
        <v>0</v>
      </c>
      <c r="Z710" s="54">
        <v>0</v>
      </c>
      <c r="AA710" s="54">
        <v>0</v>
      </c>
      <c r="AB710" s="54">
        <v>0</v>
      </c>
      <c r="AC710" s="54">
        <v>0</v>
      </c>
      <c r="AD710" s="54">
        <v>0</v>
      </c>
      <c r="AE710" s="54">
        <v>0</v>
      </c>
      <c r="AF710" s="54">
        <v>0</v>
      </c>
      <c r="AG710" s="54">
        <v>0</v>
      </c>
      <c r="AH710" s="54">
        <v>0</v>
      </c>
      <c r="AI710" s="54">
        <v>0</v>
      </c>
      <c r="AJ710" s="54">
        <v>0</v>
      </c>
      <c r="AK710" s="54">
        <v>0</v>
      </c>
      <c r="AL710" s="54">
        <v>0</v>
      </c>
      <c r="AM710" s="54" t="str">
        <f>I710-J710-K710-L710-M710-N710-O710-P710-Q710-R710-S710-T710-U710-V710-W710-X710-Y710-Z710-AA710-AB710-AC710-AD710-AE710-AF710-AG710+AH710-AI710+AJ710+AK710-AL710</f>
        <v>0</v>
      </c>
      <c r="AN710" s="54"/>
      <c r="AO710" s="27"/>
    </row>
    <row r="711" spans="1:41">
      <c r="A711" s="44">
        <v>683</v>
      </c>
      <c r="B711" s="47" t="s">
        <v>2824</v>
      </c>
      <c r="C711" s="48" t="s">
        <v>2825</v>
      </c>
      <c r="D711" s="52" t="s">
        <v>73</v>
      </c>
      <c r="E711" s="52" t="s">
        <v>2749</v>
      </c>
      <c r="F711" s="55" t="s">
        <v>2154</v>
      </c>
      <c r="G711" s="51">
        <v>3</v>
      </c>
      <c r="H711" s="52" t="s">
        <v>2826</v>
      </c>
      <c r="I711" s="54">
        <v>560000</v>
      </c>
      <c r="J711" s="54">
        <v>0</v>
      </c>
      <c r="K711" s="54">
        <v>22000</v>
      </c>
      <c r="L711" s="54">
        <v>0</v>
      </c>
      <c r="M711" s="54">
        <v>0</v>
      </c>
      <c r="N711" s="54">
        <v>0</v>
      </c>
      <c r="O711" s="54">
        <v>0</v>
      </c>
      <c r="P711" s="54">
        <v>0</v>
      </c>
      <c r="Q711" s="54">
        <v>0</v>
      </c>
      <c r="R711" s="54">
        <v>0</v>
      </c>
      <c r="S711" s="54">
        <v>0</v>
      </c>
      <c r="T711" s="54">
        <v>0</v>
      </c>
      <c r="U711" s="54">
        <v>1397</v>
      </c>
      <c r="V711" s="54">
        <v>0</v>
      </c>
      <c r="W711" s="54">
        <v>0</v>
      </c>
      <c r="X711" s="54">
        <v>0</v>
      </c>
      <c r="Y711" s="54">
        <v>0</v>
      </c>
      <c r="Z711" s="54">
        <v>0</v>
      </c>
      <c r="AA711" s="54">
        <v>0</v>
      </c>
      <c r="AB711" s="54">
        <v>0</v>
      </c>
      <c r="AC711" s="54">
        <v>0</v>
      </c>
      <c r="AD711" s="54">
        <v>0</v>
      </c>
      <c r="AE711" s="54">
        <v>0</v>
      </c>
      <c r="AF711" s="54">
        <v>0</v>
      </c>
      <c r="AG711" s="54">
        <v>0</v>
      </c>
      <c r="AH711" s="54">
        <v>0</v>
      </c>
      <c r="AI711" s="54">
        <v>0</v>
      </c>
      <c r="AJ711" s="54">
        <v>0</v>
      </c>
      <c r="AK711" s="54">
        <v>0</v>
      </c>
      <c r="AL711" s="54">
        <v>0</v>
      </c>
      <c r="AM711" s="54" t="str">
        <f>I711-J711-K711-L711-M711-N711-O711-P711-Q711-R711-S711-T711-U711-V711-W711-X711-Y711-Z711-AA711-AB711-AC711-AD711-AE711-AF711-AG711+AH711-AI711+AJ711+AK711-AL711</f>
        <v>0</v>
      </c>
      <c r="AN711" s="54"/>
      <c r="AO711" s="27"/>
    </row>
    <row r="712" spans="1:41">
      <c r="A712" s="44">
        <v>684</v>
      </c>
      <c r="B712" s="47" t="s">
        <v>2827</v>
      </c>
      <c r="C712" s="48" t="s">
        <v>2828</v>
      </c>
      <c r="D712" s="52" t="s">
        <v>73</v>
      </c>
      <c r="E712" s="52" t="s">
        <v>2749</v>
      </c>
      <c r="F712" s="55" t="s">
        <v>2829</v>
      </c>
      <c r="G712" s="51">
        <v>2</v>
      </c>
      <c r="H712" s="52" t="s">
        <v>2830</v>
      </c>
      <c r="I712" s="54">
        <v>460000</v>
      </c>
      <c r="J712" s="54">
        <v>0</v>
      </c>
      <c r="K712" s="54">
        <v>22000</v>
      </c>
      <c r="L712" s="54">
        <v>0</v>
      </c>
      <c r="M712" s="54">
        <v>0</v>
      </c>
      <c r="N712" s="54">
        <v>0</v>
      </c>
      <c r="O712" s="54">
        <v>0</v>
      </c>
      <c r="P712" s="54">
        <v>0</v>
      </c>
      <c r="Q712" s="54">
        <v>0</v>
      </c>
      <c r="R712" s="54">
        <v>0</v>
      </c>
      <c r="S712" s="54">
        <v>0</v>
      </c>
      <c r="T712" s="54">
        <v>0</v>
      </c>
      <c r="U712" s="54">
        <v>1397</v>
      </c>
      <c r="V712" s="54">
        <v>0</v>
      </c>
      <c r="W712" s="54">
        <v>0</v>
      </c>
      <c r="X712" s="54">
        <v>0</v>
      </c>
      <c r="Y712" s="54">
        <v>0</v>
      </c>
      <c r="Z712" s="54">
        <v>0</v>
      </c>
      <c r="AA712" s="54">
        <v>0</v>
      </c>
      <c r="AB712" s="54">
        <v>0</v>
      </c>
      <c r="AC712" s="54">
        <v>0</v>
      </c>
      <c r="AD712" s="54">
        <v>0</v>
      </c>
      <c r="AE712" s="54">
        <v>0</v>
      </c>
      <c r="AF712" s="54">
        <v>0</v>
      </c>
      <c r="AG712" s="54">
        <v>0</v>
      </c>
      <c r="AH712" s="54">
        <v>0</v>
      </c>
      <c r="AI712" s="54">
        <v>0</v>
      </c>
      <c r="AJ712" s="54">
        <v>0</v>
      </c>
      <c r="AK712" s="54">
        <v>0</v>
      </c>
      <c r="AL712" s="54">
        <v>0</v>
      </c>
      <c r="AM712" s="54" t="str">
        <f>I712-J712-K712-L712-M712-N712-O712-P712-Q712-R712-S712-T712-U712-V712-W712-X712-Y712-Z712-AA712-AB712-AC712-AD712-AE712-AF712-AG712+AH712-AI712+AJ712+AK712-AL712</f>
        <v>0</v>
      </c>
      <c r="AN712" s="54"/>
      <c r="AO712" s="27"/>
    </row>
    <row r="713" spans="1:41">
      <c r="A713" s="44">
        <v>685</v>
      </c>
      <c r="B713" s="47" t="s">
        <v>2831</v>
      </c>
      <c r="C713" s="48" t="s">
        <v>2832</v>
      </c>
      <c r="D713" s="52" t="s">
        <v>73</v>
      </c>
      <c r="E713" s="52" t="s">
        <v>2749</v>
      </c>
      <c r="F713" s="55" t="s">
        <v>2833</v>
      </c>
      <c r="G713" s="51">
        <v>3</v>
      </c>
      <c r="H713" s="52" t="s">
        <v>2834</v>
      </c>
      <c r="I713" s="54">
        <v>185000</v>
      </c>
      <c r="J713" s="54">
        <v>0</v>
      </c>
      <c r="K713" s="54">
        <v>22000</v>
      </c>
      <c r="L713" s="54">
        <v>0</v>
      </c>
      <c r="M713" s="54">
        <v>0</v>
      </c>
      <c r="N713" s="54">
        <v>0</v>
      </c>
      <c r="O713" s="54">
        <v>0</v>
      </c>
      <c r="P713" s="54">
        <v>0</v>
      </c>
      <c r="Q713" s="54">
        <v>0</v>
      </c>
      <c r="R713" s="54">
        <v>0</v>
      </c>
      <c r="S713" s="54">
        <v>0</v>
      </c>
      <c r="T713" s="54">
        <v>0</v>
      </c>
      <c r="U713" s="54">
        <v>1397</v>
      </c>
      <c r="V713" s="54">
        <v>0</v>
      </c>
      <c r="W713" s="54">
        <v>0</v>
      </c>
      <c r="X713" s="54">
        <v>0</v>
      </c>
      <c r="Y713" s="54">
        <v>0</v>
      </c>
      <c r="Z713" s="54">
        <v>0</v>
      </c>
      <c r="AA713" s="54">
        <v>0</v>
      </c>
      <c r="AB713" s="54">
        <v>0</v>
      </c>
      <c r="AC713" s="54">
        <v>0</v>
      </c>
      <c r="AD713" s="54">
        <v>0</v>
      </c>
      <c r="AE713" s="54">
        <v>0</v>
      </c>
      <c r="AF713" s="54">
        <v>0</v>
      </c>
      <c r="AG713" s="54">
        <v>0</v>
      </c>
      <c r="AH713" s="54">
        <v>0</v>
      </c>
      <c r="AI713" s="54">
        <v>0</v>
      </c>
      <c r="AJ713" s="54">
        <v>0</v>
      </c>
      <c r="AK713" s="54">
        <v>0</v>
      </c>
      <c r="AL713" s="54">
        <v>0</v>
      </c>
      <c r="AM713" s="54" t="str">
        <f>I713-J713-K713-L713-M713-N713-O713-P713-Q713-R713-S713-T713-U713-V713-W713-X713-Y713-Z713-AA713-AB713-AC713-AD713-AE713-AF713-AG713+AH713-AI713+AJ713+AK713-AL713</f>
        <v>0</v>
      </c>
      <c r="AN713" s="54"/>
      <c r="AO713" s="27"/>
    </row>
    <row r="714" spans="1:41">
      <c r="A714" s="44">
        <v>686</v>
      </c>
      <c r="B714" s="47" t="s">
        <v>2835</v>
      </c>
      <c r="C714" s="48" t="s">
        <v>2836</v>
      </c>
      <c r="D714" s="52" t="s">
        <v>73</v>
      </c>
      <c r="E714" s="52" t="s">
        <v>2749</v>
      </c>
      <c r="F714" s="55" t="s">
        <v>2837</v>
      </c>
      <c r="G714" s="51">
        <v>2</v>
      </c>
      <c r="H714" s="52" t="s">
        <v>2838</v>
      </c>
      <c r="I714" s="54">
        <v>385100</v>
      </c>
      <c r="J714" s="54">
        <v>0</v>
      </c>
      <c r="K714" s="54">
        <v>22000</v>
      </c>
      <c r="L714" s="54">
        <v>0</v>
      </c>
      <c r="M714" s="54">
        <v>0</v>
      </c>
      <c r="N714" s="54">
        <v>0</v>
      </c>
      <c r="O714" s="54">
        <v>0</v>
      </c>
      <c r="P714" s="54">
        <v>0</v>
      </c>
      <c r="Q714" s="54">
        <v>0</v>
      </c>
      <c r="R714" s="54">
        <v>0</v>
      </c>
      <c r="S714" s="54">
        <v>0</v>
      </c>
      <c r="T714" s="54">
        <v>0</v>
      </c>
      <c r="U714" s="54">
        <v>1397</v>
      </c>
      <c r="V714" s="54">
        <v>0</v>
      </c>
      <c r="W714" s="54">
        <v>0</v>
      </c>
      <c r="X714" s="54">
        <v>0</v>
      </c>
      <c r="Y714" s="54">
        <v>0</v>
      </c>
      <c r="Z714" s="54">
        <v>0</v>
      </c>
      <c r="AA714" s="54">
        <v>0</v>
      </c>
      <c r="AB714" s="54">
        <v>0</v>
      </c>
      <c r="AC714" s="54">
        <v>0</v>
      </c>
      <c r="AD714" s="54">
        <v>0</v>
      </c>
      <c r="AE714" s="54">
        <v>0</v>
      </c>
      <c r="AF714" s="54">
        <v>0</v>
      </c>
      <c r="AG714" s="54">
        <v>0</v>
      </c>
      <c r="AH714" s="54">
        <v>0</v>
      </c>
      <c r="AI714" s="54">
        <v>0</v>
      </c>
      <c r="AJ714" s="54">
        <v>0</v>
      </c>
      <c r="AK714" s="54">
        <v>0</v>
      </c>
      <c r="AL714" s="54">
        <v>0</v>
      </c>
      <c r="AM714" s="54" t="str">
        <f>I714-J714-K714-L714-M714-N714-O714-P714-Q714-R714-S714-T714-U714-V714-W714-X714-Y714-Z714-AA714-AB714-AC714-AD714-AE714-AF714-AG714+AH714-AI714+AJ714+AK714-AL714</f>
        <v>0</v>
      </c>
      <c r="AN714" s="54"/>
      <c r="AO714" s="27"/>
    </row>
    <row r="715" spans="1:41">
      <c r="A715" s="44">
        <v>687</v>
      </c>
      <c r="B715" s="47" t="s">
        <v>2839</v>
      </c>
      <c r="C715" s="48" t="s">
        <v>2840</v>
      </c>
      <c r="D715" s="52" t="s">
        <v>73</v>
      </c>
      <c r="E715" s="52" t="s">
        <v>2749</v>
      </c>
      <c r="F715" s="55" t="s">
        <v>2841</v>
      </c>
      <c r="G715" s="51">
        <v>4</v>
      </c>
      <c r="H715" s="52" t="s">
        <v>2842</v>
      </c>
      <c r="I715" s="54">
        <v>273000</v>
      </c>
      <c r="J715" s="54">
        <v>0</v>
      </c>
      <c r="K715" s="54">
        <v>25000</v>
      </c>
      <c r="L715" s="54">
        <v>0</v>
      </c>
      <c r="M715" s="54">
        <v>0</v>
      </c>
      <c r="N715" s="54">
        <v>0</v>
      </c>
      <c r="O715" s="54">
        <v>0</v>
      </c>
      <c r="P715" s="54">
        <v>0</v>
      </c>
      <c r="Q715" s="54">
        <v>0</v>
      </c>
      <c r="R715" s="54">
        <v>0</v>
      </c>
      <c r="S715" s="54">
        <v>0</v>
      </c>
      <c r="T715" s="54">
        <v>0</v>
      </c>
      <c r="U715" s="54">
        <v>1587</v>
      </c>
      <c r="V715" s="54">
        <v>0</v>
      </c>
      <c r="W715" s="54">
        <v>0</v>
      </c>
      <c r="X715" s="54">
        <v>0</v>
      </c>
      <c r="Y715" s="54">
        <v>0</v>
      </c>
      <c r="Z715" s="54">
        <v>0</v>
      </c>
      <c r="AA715" s="54">
        <v>0</v>
      </c>
      <c r="AB715" s="54">
        <v>0</v>
      </c>
      <c r="AC715" s="54">
        <v>0</v>
      </c>
      <c r="AD715" s="54">
        <v>0</v>
      </c>
      <c r="AE715" s="54">
        <v>0</v>
      </c>
      <c r="AF715" s="54">
        <v>0</v>
      </c>
      <c r="AG715" s="54">
        <v>0</v>
      </c>
      <c r="AH715" s="54">
        <v>0</v>
      </c>
      <c r="AI715" s="54">
        <v>0</v>
      </c>
      <c r="AJ715" s="54">
        <v>0</v>
      </c>
      <c r="AK715" s="54">
        <v>0</v>
      </c>
      <c r="AL715" s="54">
        <v>0</v>
      </c>
      <c r="AM715" s="54" t="str">
        <f>I715-J715-K715-L715-M715-N715-O715-P715-Q715-R715-S715-T715-U715-V715-W715-X715-Y715-Z715-AA715-AB715-AC715-AD715-AE715-AF715-AG715+AH715-AI715+AJ715+AK715-AL715</f>
        <v>0</v>
      </c>
      <c r="AN715" s="54"/>
      <c r="AO715" s="27"/>
    </row>
    <row r="716" spans="1:41">
      <c r="A716" s="44">
        <v>688</v>
      </c>
      <c r="B716" s="47" t="s">
        <v>2843</v>
      </c>
      <c r="C716" s="48" t="s">
        <v>2844</v>
      </c>
      <c r="D716" s="52" t="s">
        <v>73</v>
      </c>
      <c r="E716" s="52" t="s">
        <v>2749</v>
      </c>
      <c r="F716" s="55" t="s">
        <v>2093</v>
      </c>
      <c r="G716" s="51">
        <v>5</v>
      </c>
      <c r="H716" s="52" t="s">
        <v>2845</v>
      </c>
      <c r="I716" s="54">
        <v>434000</v>
      </c>
      <c r="J716" s="54">
        <v>0</v>
      </c>
      <c r="K716" s="54">
        <v>27000</v>
      </c>
      <c r="L716" s="54">
        <v>0</v>
      </c>
      <c r="M716" s="54">
        <v>0</v>
      </c>
      <c r="N716" s="54">
        <v>0</v>
      </c>
      <c r="O716" s="54">
        <v>0</v>
      </c>
      <c r="P716" s="54">
        <v>0</v>
      </c>
      <c r="Q716" s="54">
        <v>0</v>
      </c>
      <c r="R716" s="54">
        <v>0</v>
      </c>
      <c r="S716" s="54">
        <v>0</v>
      </c>
      <c r="T716" s="54">
        <v>0</v>
      </c>
      <c r="U716" s="54">
        <v>1714</v>
      </c>
      <c r="V716" s="54">
        <v>0</v>
      </c>
      <c r="W716" s="54">
        <v>0</v>
      </c>
      <c r="X716" s="54">
        <v>0</v>
      </c>
      <c r="Y716" s="54">
        <v>0</v>
      </c>
      <c r="Z716" s="54">
        <v>0</v>
      </c>
      <c r="AA716" s="54">
        <v>0</v>
      </c>
      <c r="AB716" s="54">
        <v>0</v>
      </c>
      <c r="AC716" s="54">
        <v>0</v>
      </c>
      <c r="AD716" s="54">
        <v>0</v>
      </c>
      <c r="AE716" s="54">
        <v>0</v>
      </c>
      <c r="AF716" s="54">
        <v>0</v>
      </c>
      <c r="AG716" s="54">
        <v>0</v>
      </c>
      <c r="AH716" s="54">
        <v>0</v>
      </c>
      <c r="AI716" s="54">
        <v>0</v>
      </c>
      <c r="AJ716" s="54">
        <v>0</v>
      </c>
      <c r="AK716" s="54">
        <v>0</v>
      </c>
      <c r="AL716" s="54">
        <v>0</v>
      </c>
      <c r="AM716" s="54" t="str">
        <f>I716-J716-K716-L716-M716-N716-O716-P716-Q716-R716-S716-T716-U716-V716-W716-X716-Y716-Z716-AA716-AB716-AC716-AD716-AE716-AF716-AG716+AH716-AI716+AJ716+AK716-AL716</f>
        <v>0</v>
      </c>
      <c r="AN716" s="54"/>
      <c r="AO716" s="27"/>
    </row>
    <row r="717" spans="1:41">
      <c r="A717" s="44">
        <v>689</v>
      </c>
      <c r="B717" s="47" t="s">
        <v>2846</v>
      </c>
      <c r="C717" s="48" t="s">
        <v>2847</v>
      </c>
      <c r="D717" s="52" t="s">
        <v>73</v>
      </c>
      <c r="E717" s="52" t="s">
        <v>2749</v>
      </c>
      <c r="F717" s="55" t="s">
        <v>2848</v>
      </c>
      <c r="G717" s="51">
        <v>3</v>
      </c>
      <c r="H717" s="52" t="s">
        <v>2849</v>
      </c>
      <c r="I717" s="54">
        <v>320000</v>
      </c>
      <c r="J717" s="54">
        <v>0</v>
      </c>
      <c r="K717" s="54">
        <v>22000</v>
      </c>
      <c r="L717" s="54">
        <v>0</v>
      </c>
      <c r="M717" s="54">
        <v>0</v>
      </c>
      <c r="N717" s="54">
        <v>0</v>
      </c>
      <c r="O717" s="54">
        <v>0</v>
      </c>
      <c r="P717" s="54">
        <v>0</v>
      </c>
      <c r="Q717" s="54">
        <v>0</v>
      </c>
      <c r="R717" s="54">
        <v>0</v>
      </c>
      <c r="S717" s="54">
        <v>0</v>
      </c>
      <c r="T717" s="54">
        <v>0</v>
      </c>
      <c r="U717" s="54">
        <v>1397</v>
      </c>
      <c r="V717" s="54">
        <v>0</v>
      </c>
      <c r="W717" s="54">
        <v>0</v>
      </c>
      <c r="X717" s="54">
        <v>0</v>
      </c>
      <c r="Y717" s="54">
        <v>0</v>
      </c>
      <c r="Z717" s="54">
        <v>0</v>
      </c>
      <c r="AA717" s="54">
        <v>0</v>
      </c>
      <c r="AB717" s="54">
        <v>0</v>
      </c>
      <c r="AC717" s="54">
        <v>0</v>
      </c>
      <c r="AD717" s="54">
        <v>0</v>
      </c>
      <c r="AE717" s="54">
        <v>0</v>
      </c>
      <c r="AF717" s="54">
        <v>0</v>
      </c>
      <c r="AG717" s="54">
        <v>0</v>
      </c>
      <c r="AH717" s="54">
        <v>0</v>
      </c>
      <c r="AI717" s="54">
        <v>0</v>
      </c>
      <c r="AJ717" s="54">
        <v>0</v>
      </c>
      <c r="AK717" s="54">
        <v>0</v>
      </c>
      <c r="AL717" s="54">
        <v>0</v>
      </c>
      <c r="AM717" s="54" t="str">
        <f>I717-J717-K717-L717-M717-N717-O717-P717-Q717-R717-S717-T717-U717-V717-W717-X717-Y717-Z717-AA717-AB717-AC717-AD717-AE717-AF717-AG717+AH717-AI717+AJ717+AK717-AL717</f>
        <v>0</v>
      </c>
      <c r="AN717" s="54"/>
      <c r="AO717" s="27"/>
    </row>
    <row r="718" spans="1:41">
      <c r="A718" s="44">
        <v>690</v>
      </c>
      <c r="B718" s="47" t="s">
        <v>2850</v>
      </c>
      <c r="C718" s="48" t="s">
        <v>2851</v>
      </c>
      <c r="D718" s="52" t="s">
        <v>73</v>
      </c>
      <c r="E718" s="52" t="s">
        <v>2749</v>
      </c>
      <c r="F718" s="55" t="s">
        <v>2852</v>
      </c>
      <c r="G718" s="51">
        <v>6</v>
      </c>
      <c r="H718" s="52" t="s">
        <v>2853</v>
      </c>
      <c r="I718" s="54">
        <v>934000</v>
      </c>
      <c r="J718" s="54">
        <v>0</v>
      </c>
      <c r="K718" s="54">
        <v>31000</v>
      </c>
      <c r="L718" s="54">
        <v>0</v>
      </c>
      <c r="M718" s="54">
        <v>0</v>
      </c>
      <c r="N718" s="54">
        <v>0</v>
      </c>
      <c r="O718" s="54">
        <v>0</v>
      </c>
      <c r="P718" s="54">
        <v>0</v>
      </c>
      <c r="Q718" s="54">
        <v>0</v>
      </c>
      <c r="R718" s="54">
        <v>0</v>
      </c>
      <c r="S718" s="54">
        <v>0</v>
      </c>
      <c r="T718" s="54">
        <v>0</v>
      </c>
      <c r="U718" s="54">
        <v>1968</v>
      </c>
      <c r="V718" s="54">
        <v>0</v>
      </c>
      <c r="W718" s="54">
        <v>0</v>
      </c>
      <c r="X718" s="54">
        <v>0</v>
      </c>
      <c r="Y718" s="54">
        <v>0</v>
      </c>
      <c r="Z718" s="54">
        <v>0</v>
      </c>
      <c r="AA718" s="54">
        <v>0</v>
      </c>
      <c r="AB718" s="54">
        <v>0</v>
      </c>
      <c r="AC718" s="54">
        <v>0</v>
      </c>
      <c r="AD718" s="54">
        <v>0</v>
      </c>
      <c r="AE718" s="54">
        <v>0</v>
      </c>
      <c r="AF718" s="54">
        <v>0</v>
      </c>
      <c r="AG718" s="54">
        <v>0</v>
      </c>
      <c r="AH718" s="54">
        <v>0</v>
      </c>
      <c r="AI718" s="54">
        <v>0</v>
      </c>
      <c r="AJ718" s="54">
        <v>0</v>
      </c>
      <c r="AK718" s="54">
        <v>0</v>
      </c>
      <c r="AL718" s="54">
        <v>0</v>
      </c>
      <c r="AM718" s="54" t="str">
        <f>I718-J718-K718-L718-M718-N718-O718-P718-Q718-R718-S718-T718-U718-V718-W718-X718-Y718-Z718-AA718-AB718-AC718-AD718-AE718-AF718-AG718+AH718-AI718+AJ718+AK718-AL718</f>
        <v>0</v>
      </c>
      <c r="AN718" s="54"/>
      <c r="AO718" s="27"/>
    </row>
    <row r="719" spans="1:41">
      <c r="A719" s="44">
        <v>691</v>
      </c>
      <c r="B719" s="47" t="s">
        <v>2854</v>
      </c>
      <c r="C719" s="48" t="s">
        <v>2855</v>
      </c>
      <c r="D719" s="52" t="s">
        <v>73</v>
      </c>
      <c r="E719" s="52" t="s">
        <v>2749</v>
      </c>
      <c r="F719" s="55" t="s">
        <v>522</v>
      </c>
      <c r="G719" s="51">
        <v>5</v>
      </c>
      <c r="H719" s="52" t="s">
        <v>2856</v>
      </c>
      <c r="I719" s="54">
        <v>700000</v>
      </c>
      <c r="J719" s="54">
        <v>0</v>
      </c>
      <c r="K719" s="54">
        <v>27000</v>
      </c>
      <c r="L719" s="54">
        <v>0</v>
      </c>
      <c r="M719" s="54">
        <v>0</v>
      </c>
      <c r="N719" s="54">
        <v>0</v>
      </c>
      <c r="O719" s="54">
        <v>0</v>
      </c>
      <c r="P719" s="54">
        <v>0</v>
      </c>
      <c r="Q719" s="54">
        <v>0</v>
      </c>
      <c r="R719" s="54">
        <v>0</v>
      </c>
      <c r="S719" s="54">
        <v>0</v>
      </c>
      <c r="T719" s="54">
        <v>0</v>
      </c>
      <c r="U719" s="54">
        <v>1714</v>
      </c>
      <c r="V719" s="54">
        <v>0</v>
      </c>
      <c r="W719" s="54">
        <v>0</v>
      </c>
      <c r="X719" s="54">
        <v>0</v>
      </c>
      <c r="Y719" s="54">
        <v>0</v>
      </c>
      <c r="Z719" s="54">
        <v>0</v>
      </c>
      <c r="AA719" s="54">
        <v>0</v>
      </c>
      <c r="AB719" s="54">
        <v>0</v>
      </c>
      <c r="AC719" s="54">
        <v>0</v>
      </c>
      <c r="AD719" s="54">
        <v>0</v>
      </c>
      <c r="AE719" s="54">
        <v>0</v>
      </c>
      <c r="AF719" s="54">
        <v>0</v>
      </c>
      <c r="AG719" s="54">
        <v>0</v>
      </c>
      <c r="AH719" s="54">
        <v>0</v>
      </c>
      <c r="AI719" s="54">
        <v>0</v>
      </c>
      <c r="AJ719" s="54">
        <v>0</v>
      </c>
      <c r="AK719" s="54">
        <v>0</v>
      </c>
      <c r="AL719" s="54">
        <v>0</v>
      </c>
      <c r="AM719" s="54" t="str">
        <f>I719-J719-K719-L719-M719-N719-O719-P719-Q719-R719-S719-T719-U719-V719-W719-X719-Y719-Z719-AA719-AB719-AC719-AD719-AE719-AF719-AG719+AH719-AI719+AJ719+AK719-AL719</f>
        <v>0</v>
      </c>
      <c r="AN719" s="54"/>
      <c r="AO719" s="27"/>
    </row>
    <row r="720" spans="1:41">
      <c r="A720" s="44">
        <v>692</v>
      </c>
      <c r="B720" s="47" t="s">
        <v>2857</v>
      </c>
      <c r="C720" s="48" t="s">
        <v>2858</v>
      </c>
      <c r="D720" s="52" t="s">
        <v>73</v>
      </c>
      <c r="E720" s="52" t="s">
        <v>2749</v>
      </c>
      <c r="F720" s="55" t="s">
        <v>2859</v>
      </c>
      <c r="G720" s="51">
        <v>5.8</v>
      </c>
      <c r="H720" s="52" t="s">
        <v>2860</v>
      </c>
      <c r="I720" s="54">
        <v>634000</v>
      </c>
      <c r="J720" s="54">
        <v>0</v>
      </c>
      <c r="K720" s="54">
        <v>31000</v>
      </c>
      <c r="L720" s="54">
        <v>0</v>
      </c>
      <c r="M720" s="54">
        <v>0</v>
      </c>
      <c r="N720" s="54">
        <v>0</v>
      </c>
      <c r="O720" s="54">
        <v>0</v>
      </c>
      <c r="P720" s="54">
        <v>0</v>
      </c>
      <c r="Q720" s="54">
        <v>0</v>
      </c>
      <c r="R720" s="54">
        <v>0</v>
      </c>
      <c r="S720" s="54">
        <v>0</v>
      </c>
      <c r="T720" s="54">
        <v>0</v>
      </c>
      <c r="U720" s="54">
        <v>1968</v>
      </c>
      <c r="V720" s="54">
        <v>0</v>
      </c>
      <c r="W720" s="54">
        <v>0</v>
      </c>
      <c r="X720" s="54">
        <v>0</v>
      </c>
      <c r="Y720" s="54">
        <v>0</v>
      </c>
      <c r="Z720" s="54">
        <v>0</v>
      </c>
      <c r="AA720" s="54">
        <v>0</v>
      </c>
      <c r="AB720" s="54">
        <v>0</v>
      </c>
      <c r="AC720" s="54">
        <v>0</v>
      </c>
      <c r="AD720" s="54">
        <v>0</v>
      </c>
      <c r="AE720" s="54">
        <v>0</v>
      </c>
      <c r="AF720" s="54">
        <v>0</v>
      </c>
      <c r="AG720" s="54">
        <v>0</v>
      </c>
      <c r="AH720" s="54">
        <v>0</v>
      </c>
      <c r="AI720" s="54">
        <v>0</v>
      </c>
      <c r="AJ720" s="54">
        <v>0</v>
      </c>
      <c r="AK720" s="54">
        <v>0</v>
      </c>
      <c r="AL720" s="54">
        <v>0</v>
      </c>
      <c r="AM720" s="54" t="str">
        <f>I720-J720-K720-L720-M720-N720-O720-P720-Q720-R720-S720-T720-U720-V720-W720-X720-Y720-Z720-AA720-AB720-AC720-AD720-AE720-AF720-AG720+AH720-AI720+AJ720+AK720-AL720</f>
        <v>0</v>
      </c>
      <c r="AN720" s="54"/>
      <c r="AO720" s="27"/>
    </row>
    <row r="721" spans="1:41">
      <c r="A721" s="44">
        <v>693</v>
      </c>
      <c r="B721" s="47" t="s">
        <v>2861</v>
      </c>
      <c r="C721" s="48" t="s">
        <v>2862</v>
      </c>
      <c r="D721" s="52" t="s">
        <v>73</v>
      </c>
      <c r="E721" s="52" t="s">
        <v>2749</v>
      </c>
      <c r="F721" s="55" t="s">
        <v>2863</v>
      </c>
      <c r="G721" s="51">
        <v>3</v>
      </c>
      <c r="H721" s="52" t="s">
        <v>2864</v>
      </c>
      <c r="I721" s="54">
        <v>560000</v>
      </c>
      <c r="J721" s="54">
        <v>0</v>
      </c>
      <c r="K721" s="54">
        <v>22000</v>
      </c>
      <c r="L721" s="54">
        <v>0</v>
      </c>
      <c r="M721" s="54">
        <v>0</v>
      </c>
      <c r="N721" s="54">
        <v>0</v>
      </c>
      <c r="O721" s="54">
        <v>0</v>
      </c>
      <c r="P721" s="54">
        <v>0</v>
      </c>
      <c r="Q721" s="54">
        <v>0</v>
      </c>
      <c r="R721" s="54">
        <v>0</v>
      </c>
      <c r="S721" s="54">
        <v>0</v>
      </c>
      <c r="T721" s="54">
        <v>0</v>
      </c>
      <c r="U721" s="54">
        <v>1397</v>
      </c>
      <c r="V721" s="54">
        <v>0</v>
      </c>
      <c r="W721" s="54">
        <v>0</v>
      </c>
      <c r="X721" s="54">
        <v>0</v>
      </c>
      <c r="Y721" s="54">
        <v>0</v>
      </c>
      <c r="Z721" s="54">
        <v>0</v>
      </c>
      <c r="AA721" s="54">
        <v>0</v>
      </c>
      <c r="AB721" s="54">
        <v>0</v>
      </c>
      <c r="AC721" s="54">
        <v>0</v>
      </c>
      <c r="AD721" s="54">
        <v>0</v>
      </c>
      <c r="AE721" s="54">
        <v>0</v>
      </c>
      <c r="AF721" s="54">
        <v>0</v>
      </c>
      <c r="AG721" s="54">
        <v>0</v>
      </c>
      <c r="AH721" s="54">
        <v>0</v>
      </c>
      <c r="AI721" s="54">
        <v>0</v>
      </c>
      <c r="AJ721" s="54">
        <v>0</v>
      </c>
      <c r="AK721" s="54">
        <v>0</v>
      </c>
      <c r="AL721" s="54">
        <v>0</v>
      </c>
      <c r="AM721" s="54" t="str">
        <f>I721-J721-K721-L721-M721-N721-O721-P721-Q721-R721-S721-T721-U721-V721-W721-X721-Y721-Z721-AA721-AB721-AC721-AD721-AE721-AF721-AG721+AH721-AI721+AJ721+AK721-AL721</f>
        <v>0</v>
      </c>
      <c r="AN721" s="54"/>
      <c r="AO721" s="27"/>
    </row>
    <row r="722" spans="1:41">
      <c r="A722" s="44">
        <v>694</v>
      </c>
      <c r="B722" s="47" t="s">
        <v>2865</v>
      </c>
      <c r="C722" s="48" t="s">
        <v>2866</v>
      </c>
      <c r="D722" s="52" t="s">
        <v>73</v>
      </c>
      <c r="E722" s="52" t="s">
        <v>2749</v>
      </c>
      <c r="F722" s="55" t="s">
        <v>2867</v>
      </c>
      <c r="G722" s="51">
        <v>2</v>
      </c>
      <c r="H722" s="52" t="s">
        <v>2868</v>
      </c>
      <c r="I722" s="54">
        <v>384000</v>
      </c>
      <c r="J722" s="54">
        <v>0</v>
      </c>
      <c r="K722" s="54">
        <v>22000</v>
      </c>
      <c r="L722" s="54">
        <v>0</v>
      </c>
      <c r="M722" s="54">
        <v>0</v>
      </c>
      <c r="N722" s="54">
        <v>0</v>
      </c>
      <c r="O722" s="54">
        <v>0</v>
      </c>
      <c r="P722" s="54">
        <v>0</v>
      </c>
      <c r="Q722" s="54">
        <v>0</v>
      </c>
      <c r="R722" s="54">
        <v>0</v>
      </c>
      <c r="S722" s="54">
        <v>0</v>
      </c>
      <c r="T722" s="54">
        <v>0</v>
      </c>
      <c r="U722" s="54">
        <v>1397</v>
      </c>
      <c r="V722" s="54">
        <v>0</v>
      </c>
      <c r="W722" s="54">
        <v>0</v>
      </c>
      <c r="X722" s="54">
        <v>0</v>
      </c>
      <c r="Y722" s="54">
        <v>0</v>
      </c>
      <c r="Z722" s="54">
        <v>0</v>
      </c>
      <c r="AA722" s="54">
        <v>0</v>
      </c>
      <c r="AB722" s="54">
        <v>0</v>
      </c>
      <c r="AC722" s="54">
        <v>0</v>
      </c>
      <c r="AD722" s="54">
        <v>0</v>
      </c>
      <c r="AE722" s="54">
        <v>0</v>
      </c>
      <c r="AF722" s="54">
        <v>0</v>
      </c>
      <c r="AG722" s="54">
        <v>0</v>
      </c>
      <c r="AH722" s="54">
        <v>0</v>
      </c>
      <c r="AI722" s="54">
        <v>0</v>
      </c>
      <c r="AJ722" s="54">
        <v>0</v>
      </c>
      <c r="AK722" s="54">
        <v>0</v>
      </c>
      <c r="AL722" s="54">
        <v>0</v>
      </c>
      <c r="AM722" s="54" t="str">
        <f>I722-J722-K722-L722-M722-N722-O722-P722-Q722-R722-S722-T722-U722-V722-W722-X722-Y722-Z722-AA722-AB722-AC722-AD722-AE722-AF722-AG722+AH722-AI722+AJ722+AK722-AL722</f>
        <v>0</v>
      </c>
      <c r="AN722" s="54"/>
      <c r="AO722" s="27"/>
    </row>
    <row r="723" spans="1:41">
      <c r="A723" s="44">
        <v>695</v>
      </c>
      <c r="B723" s="47" t="s">
        <v>2869</v>
      </c>
      <c r="C723" s="48" t="s">
        <v>2870</v>
      </c>
      <c r="D723" s="52" t="s">
        <v>73</v>
      </c>
      <c r="E723" s="52" t="s">
        <v>2749</v>
      </c>
      <c r="F723" s="55" t="s">
        <v>2871</v>
      </c>
      <c r="G723" s="51">
        <v>3</v>
      </c>
      <c r="H723" s="52" t="s">
        <v>2872</v>
      </c>
      <c r="I723" s="54">
        <v>320000</v>
      </c>
      <c r="J723" s="54">
        <v>0</v>
      </c>
      <c r="K723" s="54">
        <v>22000</v>
      </c>
      <c r="L723" s="54">
        <v>0</v>
      </c>
      <c r="M723" s="54">
        <v>0</v>
      </c>
      <c r="N723" s="54">
        <v>0</v>
      </c>
      <c r="O723" s="54">
        <v>0</v>
      </c>
      <c r="P723" s="54">
        <v>0</v>
      </c>
      <c r="Q723" s="54">
        <v>0</v>
      </c>
      <c r="R723" s="54">
        <v>0</v>
      </c>
      <c r="S723" s="54">
        <v>0</v>
      </c>
      <c r="T723" s="54">
        <v>0</v>
      </c>
      <c r="U723" s="54">
        <v>1397</v>
      </c>
      <c r="V723" s="54">
        <v>0</v>
      </c>
      <c r="W723" s="54">
        <v>0</v>
      </c>
      <c r="X723" s="54">
        <v>0</v>
      </c>
      <c r="Y723" s="54">
        <v>0</v>
      </c>
      <c r="Z723" s="54">
        <v>0</v>
      </c>
      <c r="AA723" s="54">
        <v>0</v>
      </c>
      <c r="AB723" s="54">
        <v>0</v>
      </c>
      <c r="AC723" s="54">
        <v>0</v>
      </c>
      <c r="AD723" s="54">
        <v>0</v>
      </c>
      <c r="AE723" s="54">
        <v>0</v>
      </c>
      <c r="AF723" s="54">
        <v>0</v>
      </c>
      <c r="AG723" s="54">
        <v>0</v>
      </c>
      <c r="AH723" s="54">
        <v>0</v>
      </c>
      <c r="AI723" s="54">
        <v>0</v>
      </c>
      <c r="AJ723" s="54">
        <v>0</v>
      </c>
      <c r="AK723" s="54">
        <v>0</v>
      </c>
      <c r="AL723" s="54">
        <v>0</v>
      </c>
      <c r="AM723" s="54" t="str">
        <f>I723-J723-K723-L723-M723-N723-O723-P723-Q723-R723-S723-T723-U723-V723-W723-X723-Y723-Z723-AA723-AB723-AC723-AD723-AE723-AF723-AG723+AH723-AI723+AJ723+AK723-AL723</f>
        <v>0</v>
      </c>
      <c r="AN723" s="54"/>
      <c r="AO723" s="27"/>
    </row>
    <row r="724" spans="1:41">
      <c r="A724" s="44">
        <v>696</v>
      </c>
      <c r="B724" s="47" t="s">
        <v>2873</v>
      </c>
      <c r="C724" s="48" t="s">
        <v>2874</v>
      </c>
      <c r="D724" s="52" t="s">
        <v>73</v>
      </c>
      <c r="E724" s="52" t="s">
        <v>2749</v>
      </c>
      <c r="F724" s="55" t="s">
        <v>2689</v>
      </c>
      <c r="G724" s="51">
        <v>4</v>
      </c>
      <c r="H724" s="52" t="s">
        <v>2875</v>
      </c>
      <c r="I724" s="54">
        <v>255000</v>
      </c>
      <c r="J724" s="54">
        <v>0</v>
      </c>
      <c r="K724" s="54">
        <v>25000</v>
      </c>
      <c r="L724" s="54">
        <v>0</v>
      </c>
      <c r="M724" s="54">
        <v>0</v>
      </c>
      <c r="N724" s="54">
        <v>0</v>
      </c>
      <c r="O724" s="54">
        <v>0</v>
      </c>
      <c r="P724" s="54">
        <v>0</v>
      </c>
      <c r="Q724" s="54">
        <v>0</v>
      </c>
      <c r="R724" s="54">
        <v>0</v>
      </c>
      <c r="S724" s="54">
        <v>0</v>
      </c>
      <c r="T724" s="54">
        <v>0</v>
      </c>
      <c r="U724" s="54">
        <v>1587</v>
      </c>
      <c r="V724" s="54">
        <v>0</v>
      </c>
      <c r="W724" s="54">
        <v>0</v>
      </c>
      <c r="X724" s="54">
        <v>0</v>
      </c>
      <c r="Y724" s="54">
        <v>0</v>
      </c>
      <c r="Z724" s="54">
        <v>0</v>
      </c>
      <c r="AA724" s="54">
        <v>0</v>
      </c>
      <c r="AB724" s="54">
        <v>0</v>
      </c>
      <c r="AC724" s="54">
        <v>0</v>
      </c>
      <c r="AD724" s="54">
        <v>0</v>
      </c>
      <c r="AE724" s="54">
        <v>0</v>
      </c>
      <c r="AF724" s="54">
        <v>0</v>
      </c>
      <c r="AG724" s="54">
        <v>0</v>
      </c>
      <c r="AH724" s="54">
        <v>0</v>
      </c>
      <c r="AI724" s="54">
        <v>0</v>
      </c>
      <c r="AJ724" s="54">
        <v>0</v>
      </c>
      <c r="AK724" s="54">
        <v>0</v>
      </c>
      <c r="AL724" s="54">
        <v>0</v>
      </c>
      <c r="AM724" s="54" t="str">
        <f>I724-J724-K724-L724-M724-N724-O724-P724-Q724-R724-S724-T724-U724-V724-W724-X724-Y724-Z724-AA724-AB724-AC724-AD724-AE724-AF724-AG724+AH724-AI724+AJ724+AK724-AL724</f>
        <v>0</v>
      </c>
      <c r="AN724" s="54"/>
      <c r="AO724" s="27"/>
    </row>
    <row r="725" spans="1:41">
      <c r="A725" s="44">
        <v>697</v>
      </c>
      <c r="B725" s="47" t="s">
        <v>2876</v>
      </c>
      <c r="C725" s="48" t="s">
        <v>2877</v>
      </c>
      <c r="D725" s="52" t="s">
        <v>62</v>
      </c>
      <c r="E725" s="52" t="s">
        <v>2878</v>
      </c>
      <c r="F725" s="55" t="s">
        <v>2879</v>
      </c>
      <c r="G725" s="51">
        <v>6</v>
      </c>
      <c r="H725" s="52" t="s">
        <v>2880</v>
      </c>
      <c r="I725" s="54">
        <v>0</v>
      </c>
      <c r="J725" s="54">
        <v>0</v>
      </c>
      <c r="K725" s="54">
        <v>31000</v>
      </c>
      <c r="L725" s="54">
        <v>0</v>
      </c>
      <c r="M725" s="54">
        <v>0</v>
      </c>
      <c r="N725" s="54">
        <v>0</v>
      </c>
      <c r="O725" s="54">
        <v>0</v>
      </c>
      <c r="P725" s="54">
        <v>0</v>
      </c>
      <c r="Q725" s="54">
        <v>0</v>
      </c>
      <c r="R725" s="54">
        <v>0</v>
      </c>
      <c r="S725" s="54">
        <v>0</v>
      </c>
      <c r="T725" s="54">
        <v>0</v>
      </c>
      <c r="U725" s="54">
        <v>1968</v>
      </c>
      <c r="V725" s="54">
        <v>0</v>
      </c>
      <c r="W725" s="54">
        <v>0</v>
      </c>
      <c r="X725" s="54">
        <v>0</v>
      </c>
      <c r="Y725" s="54">
        <v>15500</v>
      </c>
      <c r="Z725" s="54">
        <v>0</v>
      </c>
      <c r="AA725" s="54">
        <v>0</v>
      </c>
      <c r="AB725" s="54">
        <v>0</v>
      </c>
      <c r="AC725" s="54">
        <v>0</v>
      </c>
      <c r="AD725" s="54">
        <v>0</v>
      </c>
      <c r="AE725" s="54">
        <v>0</v>
      </c>
      <c r="AF725" s="54">
        <v>0</v>
      </c>
      <c r="AG725" s="54">
        <v>0</v>
      </c>
      <c r="AH725" s="54">
        <v>0</v>
      </c>
      <c r="AI725" s="54">
        <v>0</v>
      </c>
      <c r="AJ725" s="54">
        <v>0</v>
      </c>
      <c r="AK725" s="54">
        <v>0</v>
      </c>
      <c r="AL725" s="54">
        <v>0</v>
      </c>
      <c r="AM725" s="54" t="str">
        <f>I725-J725-K725-L725-M725-N725-O725-P725-Q725-R725-S725-T725-U725-V725-W725-X725-Y725-Z725-AA725-AB725-AC725-AD725-AE725-AF725-AG725+AH725-AI725+AJ725+AK725-AL725</f>
        <v>0</v>
      </c>
      <c r="AN725" s="54"/>
      <c r="AO725" s="27"/>
    </row>
    <row r="726" spans="1:41">
      <c r="A726" s="44">
        <v>698</v>
      </c>
      <c r="B726" s="47" t="s">
        <v>2881</v>
      </c>
      <c r="C726" s="48" t="s">
        <v>2882</v>
      </c>
      <c r="D726" s="52" t="s">
        <v>73</v>
      </c>
      <c r="E726" s="52" t="s">
        <v>2878</v>
      </c>
      <c r="F726" s="55" t="s">
        <v>2883</v>
      </c>
      <c r="G726" s="51">
        <v>2</v>
      </c>
      <c r="H726" s="52" t="s">
        <v>2884</v>
      </c>
      <c r="I726" s="54">
        <v>235000</v>
      </c>
      <c r="J726" s="54">
        <v>0</v>
      </c>
      <c r="K726" s="54">
        <v>22000</v>
      </c>
      <c r="L726" s="54">
        <v>0</v>
      </c>
      <c r="M726" s="54">
        <v>0</v>
      </c>
      <c r="N726" s="54">
        <v>0</v>
      </c>
      <c r="O726" s="54">
        <v>0</v>
      </c>
      <c r="P726" s="54">
        <v>0</v>
      </c>
      <c r="Q726" s="54">
        <v>0</v>
      </c>
      <c r="R726" s="54">
        <v>0</v>
      </c>
      <c r="S726" s="54">
        <v>0</v>
      </c>
      <c r="T726" s="54">
        <v>0</v>
      </c>
      <c r="U726" s="54">
        <v>1397</v>
      </c>
      <c r="V726" s="54">
        <v>0</v>
      </c>
      <c r="W726" s="54">
        <v>0</v>
      </c>
      <c r="X726" s="54">
        <v>0</v>
      </c>
      <c r="Y726" s="54">
        <v>0</v>
      </c>
      <c r="Z726" s="54">
        <v>0</v>
      </c>
      <c r="AA726" s="54">
        <v>0</v>
      </c>
      <c r="AB726" s="54">
        <v>0</v>
      </c>
      <c r="AC726" s="54">
        <v>0</v>
      </c>
      <c r="AD726" s="54">
        <v>0</v>
      </c>
      <c r="AE726" s="54">
        <v>0</v>
      </c>
      <c r="AF726" s="54">
        <v>0</v>
      </c>
      <c r="AG726" s="54">
        <v>0</v>
      </c>
      <c r="AH726" s="54">
        <v>0</v>
      </c>
      <c r="AI726" s="54">
        <v>0</v>
      </c>
      <c r="AJ726" s="54">
        <v>0</v>
      </c>
      <c r="AK726" s="54">
        <v>0</v>
      </c>
      <c r="AL726" s="54">
        <v>0</v>
      </c>
      <c r="AM726" s="54" t="str">
        <f>I726-J726-K726-L726-M726-N726-O726-P726-Q726-R726-S726-T726-U726-V726-W726-X726-Y726-Z726-AA726-AB726-AC726-AD726-AE726-AF726-AG726+AH726-AI726+AJ726+AK726-AL726</f>
        <v>0</v>
      </c>
      <c r="AN726" s="54"/>
      <c r="AO726" s="27"/>
    </row>
    <row r="727" spans="1:41">
      <c r="A727" s="44">
        <v>699</v>
      </c>
      <c r="B727" s="47" t="s">
        <v>2885</v>
      </c>
      <c r="C727" s="48" t="s">
        <v>2886</v>
      </c>
      <c r="D727" s="52" t="s">
        <v>73</v>
      </c>
      <c r="E727" s="52" t="s">
        <v>2878</v>
      </c>
      <c r="F727" s="55" t="s">
        <v>2887</v>
      </c>
      <c r="G727" s="51">
        <v>4</v>
      </c>
      <c r="H727" s="52" t="s">
        <v>2888</v>
      </c>
      <c r="I727" s="54">
        <v>630000</v>
      </c>
      <c r="J727" s="54">
        <v>0</v>
      </c>
      <c r="K727" s="54">
        <v>25000</v>
      </c>
      <c r="L727" s="54">
        <v>0</v>
      </c>
      <c r="M727" s="54">
        <v>0</v>
      </c>
      <c r="N727" s="54">
        <v>0</v>
      </c>
      <c r="O727" s="54">
        <v>0</v>
      </c>
      <c r="P727" s="54">
        <v>0</v>
      </c>
      <c r="Q727" s="54">
        <v>0</v>
      </c>
      <c r="R727" s="54">
        <v>0</v>
      </c>
      <c r="S727" s="54">
        <v>0</v>
      </c>
      <c r="T727" s="54">
        <v>0</v>
      </c>
      <c r="U727" s="54">
        <v>1587</v>
      </c>
      <c r="V727" s="54">
        <v>0</v>
      </c>
      <c r="W727" s="54">
        <v>0</v>
      </c>
      <c r="X727" s="54">
        <v>0</v>
      </c>
      <c r="Y727" s="54">
        <v>0</v>
      </c>
      <c r="Z727" s="54">
        <v>0</v>
      </c>
      <c r="AA727" s="54">
        <v>0</v>
      </c>
      <c r="AB727" s="54">
        <v>0</v>
      </c>
      <c r="AC727" s="54">
        <v>0</v>
      </c>
      <c r="AD727" s="54">
        <v>0</v>
      </c>
      <c r="AE727" s="54">
        <v>0</v>
      </c>
      <c r="AF727" s="54">
        <v>0</v>
      </c>
      <c r="AG727" s="54">
        <v>0</v>
      </c>
      <c r="AH727" s="54">
        <v>0</v>
      </c>
      <c r="AI727" s="54">
        <v>0</v>
      </c>
      <c r="AJ727" s="54">
        <v>0</v>
      </c>
      <c r="AK727" s="54">
        <v>0</v>
      </c>
      <c r="AL727" s="54">
        <v>0</v>
      </c>
      <c r="AM727" s="54" t="str">
        <f>I727-J727-K727-L727-M727-N727-O727-P727-Q727-R727-S727-T727-U727-V727-W727-X727-Y727-Z727-AA727-AB727-AC727-AD727-AE727-AF727-AG727+AH727-AI727+AJ727+AK727-AL727</f>
        <v>0</v>
      </c>
      <c r="AN727" s="54"/>
      <c r="AO727" s="27"/>
    </row>
    <row r="728" spans="1:41">
      <c r="A728" s="44">
        <v>700</v>
      </c>
      <c r="B728" s="47" t="s">
        <v>2889</v>
      </c>
      <c r="C728" s="48" t="s">
        <v>2890</v>
      </c>
      <c r="D728" s="52" t="s">
        <v>73</v>
      </c>
      <c r="E728" s="52" t="s">
        <v>2878</v>
      </c>
      <c r="F728" s="55" t="s">
        <v>1379</v>
      </c>
      <c r="G728" s="51">
        <v>4</v>
      </c>
      <c r="H728" s="52" t="s">
        <v>2891</v>
      </c>
      <c r="I728" s="54">
        <v>290000</v>
      </c>
      <c r="J728" s="54">
        <v>0</v>
      </c>
      <c r="K728" s="54">
        <v>25000</v>
      </c>
      <c r="L728" s="54">
        <v>0</v>
      </c>
      <c r="M728" s="54">
        <v>0</v>
      </c>
      <c r="N728" s="54">
        <v>0</v>
      </c>
      <c r="O728" s="54">
        <v>0</v>
      </c>
      <c r="P728" s="54">
        <v>0</v>
      </c>
      <c r="Q728" s="54">
        <v>0</v>
      </c>
      <c r="R728" s="54">
        <v>0</v>
      </c>
      <c r="S728" s="54">
        <v>0</v>
      </c>
      <c r="T728" s="54">
        <v>0</v>
      </c>
      <c r="U728" s="54">
        <v>1587</v>
      </c>
      <c r="V728" s="54">
        <v>0</v>
      </c>
      <c r="W728" s="54">
        <v>0</v>
      </c>
      <c r="X728" s="54">
        <v>0</v>
      </c>
      <c r="Y728" s="54">
        <v>0</v>
      </c>
      <c r="Z728" s="54">
        <v>0</v>
      </c>
      <c r="AA728" s="54">
        <v>0</v>
      </c>
      <c r="AB728" s="54">
        <v>0</v>
      </c>
      <c r="AC728" s="54">
        <v>0</v>
      </c>
      <c r="AD728" s="54">
        <v>0</v>
      </c>
      <c r="AE728" s="54">
        <v>0</v>
      </c>
      <c r="AF728" s="54">
        <v>0</v>
      </c>
      <c r="AG728" s="54">
        <v>0</v>
      </c>
      <c r="AH728" s="54">
        <v>0</v>
      </c>
      <c r="AI728" s="54">
        <v>0</v>
      </c>
      <c r="AJ728" s="54">
        <v>0</v>
      </c>
      <c r="AK728" s="54">
        <v>0</v>
      </c>
      <c r="AL728" s="54">
        <v>0</v>
      </c>
      <c r="AM728" s="54" t="str">
        <f>I728-J728-K728-L728-M728-N728-O728-P728-Q728-R728-S728-T728-U728-V728-W728-X728-Y728-Z728-AA728-AB728-AC728-AD728-AE728-AF728-AG728+AH728-AI728+AJ728+AK728-AL728</f>
        <v>0</v>
      </c>
      <c r="AN728" s="54"/>
      <c r="AO728" s="27"/>
    </row>
    <row r="729" spans="1:41">
      <c r="A729" s="44">
        <v>701</v>
      </c>
      <c r="B729" s="47" t="s">
        <v>2892</v>
      </c>
      <c r="C729" s="48" t="s">
        <v>2893</v>
      </c>
      <c r="D729" s="52" t="s">
        <v>73</v>
      </c>
      <c r="E729" s="52" t="s">
        <v>2878</v>
      </c>
      <c r="F729" s="55" t="s">
        <v>2894</v>
      </c>
      <c r="G729" s="51">
        <v>2</v>
      </c>
      <c r="H729" s="52" t="s">
        <v>2895</v>
      </c>
      <c r="I729" s="54">
        <v>144000</v>
      </c>
      <c r="J729" s="54">
        <v>0</v>
      </c>
      <c r="K729" s="54">
        <v>22000</v>
      </c>
      <c r="L729" s="54">
        <v>0</v>
      </c>
      <c r="M729" s="54">
        <v>0</v>
      </c>
      <c r="N729" s="54">
        <v>0</v>
      </c>
      <c r="O729" s="54">
        <v>0</v>
      </c>
      <c r="P729" s="54">
        <v>0</v>
      </c>
      <c r="Q729" s="54">
        <v>0</v>
      </c>
      <c r="R729" s="54">
        <v>0</v>
      </c>
      <c r="S729" s="54">
        <v>0</v>
      </c>
      <c r="T729" s="54">
        <v>0</v>
      </c>
      <c r="U729" s="54">
        <v>1397</v>
      </c>
      <c r="V729" s="54">
        <v>0</v>
      </c>
      <c r="W729" s="54">
        <v>0</v>
      </c>
      <c r="X729" s="54">
        <v>0</v>
      </c>
      <c r="Y729" s="54">
        <v>0</v>
      </c>
      <c r="Z729" s="54">
        <v>0</v>
      </c>
      <c r="AA729" s="54">
        <v>0</v>
      </c>
      <c r="AB729" s="54">
        <v>0</v>
      </c>
      <c r="AC729" s="54">
        <v>0</v>
      </c>
      <c r="AD729" s="54">
        <v>0</v>
      </c>
      <c r="AE729" s="54">
        <v>0</v>
      </c>
      <c r="AF729" s="54">
        <v>0</v>
      </c>
      <c r="AG729" s="54">
        <v>0</v>
      </c>
      <c r="AH729" s="54">
        <v>0</v>
      </c>
      <c r="AI729" s="54">
        <v>0</v>
      </c>
      <c r="AJ729" s="54">
        <v>0</v>
      </c>
      <c r="AK729" s="54">
        <v>0</v>
      </c>
      <c r="AL729" s="54">
        <v>0</v>
      </c>
      <c r="AM729" s="54" t="str">
        <f>I729-J729-K729-L729-M729-N729-O729-P729-Q729-R729-S729-T729-U729-V729-W729-X729-Y729-Z729-AA729-AB729-AC729-AD729-AE729-AF729-AG729+AH729-AI729+AJ729+AK729-AL729</f>
        <v>0</v>
      </c>
      <c r="AN729" s="54"/>
      <c r="AO729" s="27"/>
    </row>
    <row r="730" spans="1:41">
      <c r="A730" s="44">
        <v>702</v>
      </c>
      <c r="B730" s="47" t="s">
        <v>2896</v>
      </c>
      <c r="C730" s="48" t="s">
        <v>2897</v>
      </c>
      <c r="D730" s="52" t="s">
        <v>62</v>
      </c>
      <c r="E730" s="52" t="s">
        <v>2878</v>
      </c>
      <c r="F730" s="55" t="s">
        <v>453</v>
      </c>
      <c r="G730" s="51">
        <v>4</v>
      </c>
      <c r="H730" s="52" t="s">
        <v>2898</v>
      </c>
      <c r="I730" s="54">
        <v>0</v>
      </c>
      <c r="J730" s="54">
        <v>0</v>
      </c>
      <c r="K730" s="54">
        <v>25000</v>
      </c>
      <c r="L730" s="54">
        <v>0</v>
      </c>
      <c r="M730" s="54">
        <v>0</v>
      </c>
      <c r="N730" s="54">
        <v>0</v>
      </c>
      <c r="O730" s="54">
        <v>0</v>
      </c>
      <c r="P730" s="54">
        <v>0</v>
      </c>
      <c r="Q730" s="54">
        <v>0</v>
      </c>
      <c r="R730" s="54">
        <v>0</v>
      </c>
      <c r="S730" s="54">
        <v>0</v>
      </c>
      <c r="T730" s="54">
        <v>0</v>
      </c>
      <c r="U730" s="54">
        <v>1587</v>
      </c>
      <c r="V730" s="54">
        <v>0</v>
      </c>
      <c r="W730" s="54">
        <v>0</v>
      </c>
      <c r="X730" s="54">
        <v>0</v>
      </c>
      <c r="Y730" s="54">
        <v>12500</v>
      </c>
      <c r="Z730" s="54">
        <v>0</v>
      </c>
      <c r="AA730" s="54">
        <v>0</v>
      </c>
      <c r="AB730" s="54">
        <v>0</v>
      </c>
      <c r="AC730" s="54">
        <v>0</v>
      </c>
      <c r="AD730" s="54">
        <v>0</v>
      </c>
      <c r="AE730" s="54">
        <v>0</v>
      </c>
      <c r="AF730" s="54">
        <v>0</v>
      </c>
      <c r="AG730" s="54">
        <v>0</v>
      </c>
      <c r="AH730" s="54">
        <v>0</v>
      </c>
      <c r="AI730" s="54">
        <v>0</v>
      </c>
      <c r="AJ730" s="54">
        <v>0</v>
      </c>
      <c r="AK730" s="54">
        <v>0</v>
      </c>
      <c r="AL730" s="54">
        <v>0</v>
      </c>
      <c r="AM730" s="54" t="str">
        <f>I730-J730-K730-L730-M730-N730-O730-P730-Q730-R730-S730-T730-U730-V730-W730-X730-Y730-Z730-AA730-AB730-AC730-AD730-AE730-AF730-AG730+AH730-AI730+AJ730+AK730-AL730</f>
        <v>0</v>
      </c>
      <c r="AN730" s="54"/>
      <c r="AO730" s="27"/>
    </row>
    <row r="731" spans="1:41">
      <c r="A731" s="44">
        <v>703</v>
      </c>
      <c r="B731" s="47" t="s">
        <v>2899</v>
      </c>
      <c r="C731" s="48" t="s">
        <v>2900</v>
      </c>
      <c r="D731" s="52" t="s">
        <v>73</v>
      </c>
      <c r="E731" s="52" t="s">
        <v>2878</v>
      </c>
      <c r="F731" s="55" t="s">
        <v>2901</v>
      </c>
      <c r="G731" s="51">
        <v>3</v>
      </c>
      <c r="H731" s="52" t="s">
        <v>2902</v>
      </c>
      <c r="I731" s="54">
        <v>334000</v>
      </c>
      <c r="J731" s="54">
        <v>0</v>
      </c>
      <c r="K731" s="54">
        <v>22000</v>
      </c>
      <c r="L731" s="54">
        <v>0</v>
      </c>
      <c r="M731" s="54">
        <v>0</v>
      </c>
      <c r="N731" s="54">
        <v>0</v>
      </c>
      <c r="O731" s="54">
        <v>0</v>
      </c>
      <c r="P731" s="54">
        <v>0</v>
      </c>
      <c r="Q731" s="54">
        <v>0</v>
      </c>
      <c r="R731" s="54">
        <v>0</v>
      </c>
      <c r="S731" s="54">
        <v>0</v>
      </c>
      <c r="T731" s="54">
        <v>0</v>
      </c>
      <c r="U731" s="54">
        <v>1397</v>
      </c>
      <c r="V731" s="54">
        <v>0</v>
      </c>
      <c r="W731" s="54">
        <v>0</v>
      </c>
      <c r="X731" s="54">
        <v>0</v>
      </c>
      <c r="Y731" s="54">
        <v>0</v>
      </c>
      <c r="Z731" s="54">
        <v>0</v>
      </c>
      <c r="AA731" s="54">
        <v>0</v>
      </c>
      <c r="AB731" s="54">
        <v>0</v>
      </c>
      <c r="AC731" s="54">
        <v>0</v>
      </c>
      <c r="AD731" s="54">
        <v>0</v>
      </c>
      <c r="AE731" s="54">
        <v>0</v>
      </c>
      <c r="AF731" s="54">
        <v>0</v>
      </c>
      <c r="AG731" s="54">
        <v>0</v>
      </c>
      <c r="AH731" s="54">
        <v>0</v>
      </c>
      <c r="AI731" s="54">
        <v>0</v>
      </c>
      <c r="AJ731" s="54">
        <v>0</v>
      </c>
      <c r="AK731" s="54">
        <v>0</v>
      </c>
      <c r="AL731" s="54">
        <v>0</v>
      </c>
      <c r="AM731" s="54" t="str">
        <f>I731-J731-K731-L731-M731-N731-O731-P731-Q731-R731-S731-T731-U731-V731-W731-X731-Y731-Z731-AA731-AB731-AC731-AD731-AE731-AF731-AG731+AH731-AI731+AJ731+AK731-AL731</f>
        <v>0</v>
      </c>
      <c r="AN731" s="54"/>
      <c r="AO731" s="27"/>
    </row>
    <row r="732" spans="1:41">
      <c r="A732" s="44">
        <v>704</v>
      </c>
      <c r="B732" s="47" t="s">
        <v>2903</v>
      </c>
      <c r="C732" s="48" t="s">
        <v>2904</v>
      </c>
      <c r="D732" s="52" t="s">
        <v>73</v>
      </c>
      <c r="E732" s="52" t="s">
        <v>2878</v>
      </c>
      <c r="F732" s="55" t="s">
        <v>2905</v>
      </c>
      <c r="G732" s="51">
        <v>2</v>
      </c>
      <c r="H732" s="52" t="s">
        <v>2906</v>
      </c>
      <c r="I732" s="54">
        <v>384000</v>
      </c>
      <c r="J732" s="54">
        <v>0</v>
      </c>
      <c r="K732" s="54">
        <v>22000</v>
      </c>
      <c r="L732" s="54">
        <v>0</v>
      </c>
      <c r="M732" s="54">
        <v>0</v>
      </c>
      <c r="N732" s="54">
        <v>0</v>
      </c>
      <c r="O732" s="54">
        <v>0</v>
      </c>
      <c r="P732" s="54">
        <v>0</v>
      </c>
      <c r="Q732" s="54">
        <v>0</v>
      </c>
      <c r="R732" s="54">
        <v>0</v>
      </c>
      <c r="S732" s="54">
        <v>0</v>
      </c>
      <c r="T732" s="54">
        <v>0</v>
      </c>
      <c r="U732" s="54">
        <v>1397</v>
      </c>
      <c r="V732" s="54">
        <v>0</v>
      </c>
      <c r="W732" s="54">
        <v>0</v>
      </c>
      <c r="X732" s="54">
        <v>0</v>
      </c>
      <c r="Y732" s="54">
        <v>0</v>
      </c>
      <c r="Z732" s="54">
        <v>0</v>
      </c>
      <c r="AA732" s="54">
        <v>0</v>
      </c>
      <c r="AB732" s="54">
        <v>0</v>
      </c>
      <c r="AC732" s="54">
        <v>0</v>
      </c>
      <c r="AD732" s="54">
        <v>0</v>
      </c>
      <c r="AE732" s="54">
        <v>0</v>
      </c>
      <c r="AF732" s="54">
        <v>0</v>
      </c>
      <c r="AG732" s="54">
        <v>0</v>
      </c>
      <c r="AH732" s="54">
        <v>0</v>
      </c>
      <c r="AI732" s="54">
        <v>0</v>
      </c>
      <c r="AJ732" s="54">
        <v>0</v>
      </c>
      <c r="AK732" s="54">
        <v>0</v>
      </c>
      <c r="AL732" s="54">
        <v>0</v>
      </c>
      <c r="AM732" s="54" t="str">
        <f>I732-J732-K732-L732-M732-N732-O732-P732-Q732-R732-S732-T732-U732-V732-W732-X732-Y732-Z732-AA732-AB732-AC732-AD732-AE732-AF732-AG732+AH732-AI732+AJ732+AK732-AL732</f>
        <v>0</v>
      </c>
      <c r="AN732" s="54"/>
      <c r="AO732" s="27"/>
    </row>
    <row r="733" spans="1:41">
      <c r="A733" s="44">
        <v>705</v>
      </c>
      <c r="B733" s="47" t="s">
        <v>2907</v>
      </c>
      <c r="C733" s="48" t="s">
        <v>2908</v>
      </c>
      <c r="D733" s="52" t="s">
        <v>73</v>
      </c>
      <c r="E733" s="52" t="s">
        <v>2878</v>
      </c>
      <c r="F733" s="55" t="s">
        <v>1379</v>
      </c>
      <c r="G733" s="51">
        <v>6</v>
      </c>
      <c r="H733" s="52" t="s">
        <v>2909</v>
      </c>
      <c r="I733" s="54">
        <v>934000</v>
      </c>
      <c r="J733" s="54">
        <v>0</v>
      </c>
      <c r="K733" s="54">
        <v>31000</v>
      </c>
      <c r="L733" s="54">
        <v>0</v>
      </c>
      <c r="M733" s="54">
        <v>0</v>
      </c>
      <c r="N733" s="54">
        <v>0</v>
      </c>
      <c r="O733" s="54">
        <v>0</v>
      </c>
      <c r="P733" s="54">
        <v>0</v>
      </c>
      <c r="Q733" s="54">
        <v>0</v>
      </c>
      <c r="R733" s="54">
        <v>0</v>
      </c>
      <c r="S733" s="54">
        <v>0</v>
      </c>
      <c r="T733" s="54">
        <v>0</v>
      </c>
      <c r="U733" s="54">
        <v>1968</v>
      </c>
      <c r="V733" s="54">
        <v>0</v>
      </c>
      <c r="W733" s="54">
        <v>0</v>
      </c>
      <c r="X733" s="54">
        <v>0</v>
      </c>
      <c r="Y733" s="54">
        <v>0</v>
      </c>
      <c r="Z733" s="54">
        <v>0</v>
      </c>
      <c r="AA733" s="54">
        <v>0</v>
      </c>
      <c r="AB733" s="54">
        <v>0</v>
      </c>
      <c r="AC733" s="54">
        <v>0</v>
      </c>
      <c r="AD733" s="54">
        <v>0</v>
      </c>
      <c r="AE733" s="54">
        <v>0</v>
      </c>
      <c r="AF733" s="54">
        <v>0</v>
      </c>
      <c r="AG733" s="54">
        <v>0</v>
      </c>
      <c r="AH733" s="54">
        <v>0</v>
      </c>
      <c r="AI733" s="54">
        <v>0</v>
      </c>
      <c r="AJ733" s="54">
        <v>0</v>
      </c>
      <c r="AK733" s="54">
        <v>0</v>
      </c>
      <c r="AL733" s="54">
        <v>0</v>
      </c>
      <c r="AM733" s="54" t="str">
        <f>I733-J733-K733-L733-M733-N733-O733-P733-Q733-R733-S733-T733-U733-V733-W733-X733-Y733-Z733-AA733-AB733-AC733-AD733-AE733-AF733-AG733+AH733-AI733+AJ733+AK733-AL733</f>
        <v>0</v>
      </c>
      <c r="AN733" s="54"/>
      <c r="AO733" s="27"/>
    </row>
    <row r="734" spans="1:41">
      <c r="A734" s="44">
        <v>706</v>
      </c>
      <c r="B734" s="47" t="s">
        <v>2910</v>
      </c>
      <c r="C734" s="48" t="s">
        <v>2911</v>
      </c>
      <c r="D734" s="52" t="s">
        <v>73</v>
      </c>
      <c r="E734" s="52" t="s">
        <v>2878</v>
      </c>
      <c r="F734" s="55" t="s">
        <v>1379</v>
      </c>
      <c r="G734" s="51">
        <v>6</v>
      </c>
      <c r="H734" s="52" t="s">
        <v>2909</v>
      </c>
      <c r="I734" s="54">
        <v>1169000</v>
      </c>
      <c r="J734" s="54">
        <v>0</v>
      </c>
      <c r="K734" s="54">
        <v>31000</v>
      </c>
      <c r="L734" s="54">
        <v>0</v>
      </c>
      <c r="M734" s="54">
        <v>0</v>
      </c>
      <c r="N734" s="54">
        <v>0</v>
      </c>
      <c r="O734" s="54">
        <v>0</v>
      </c>
      <c r="P734" s="54">
        <v>0</v>
      </c>
      <c r="Q734" s="54">
        <v>0</v>
      </c>
      <c r="R734" s="54">
        <v>0</v>
      </c>
      <c r="S734" s="54">
        <v>0</v>
      </c>
      <c r="T734" s="54">
        <v>0</v>
      </c>
      <c r="U734" s="54">
        <v>1968</v>
      </c>
      <c r="V734" s="54">
        <v>0</v>
      </c>
      <c r="W734" s="54">
        <v>0</v>
      </c>
      <c r="X734" s="54">
        <v>0</v>
      </c>
      <c r="Y734" s="54">
        <v>0</v>
      </c>
      <c r="Z734" s="54">
        <v>0</v>
      </c>
      <c r="AA734" s="54">
        <v>0</v>
      </c>
      <c r="AB734" s="54">
        <v>0</v>
      </c>
      <c r="AC734" s="54">
        <v>0</v>
      </c>
      <c r="AD734" s="54">
        <v>0</v>
      </c>
      <c r="AE734" s="54">
        <v>0</v>
      </c>
      <c r="AF734" s="54">
        <v>0</v>
      </c>
      <c r="AG734" s="54">
        <v>0</v>
      </c>
      <c r="AH734" s="54">
        <v>0</v>
      </c>
      <c r="AI734" s="54">
        <v>0</v>
      </c>
      <c r="AJ734" s="54">
        <v>0</v>
      </c>
      <c r="AK734" s="54">
        <v>0</v>
      </c>
      <c r="AL734" s="54">
        <v>0</v>
      </c>
      <c r="AM734" s="54" t="str">
        <f>I734-J734-K734-L734-M734-N734-O734-P734-Q734-R734-S734-T734-U734-V734-W734-X734-Y734-Z734-AA734-AB734-AC734-AD734-AE734-AF734-AG734+AH734-AI734+AJ734+AK734-AL734</f>
        <v>0</v>
      </c>
      <c r="AN734" s="54"/>
      <c r="AO734" s="27"/>
    </row>
    <row r="735" spans="1:41">
      <c r="A735" s="44">
        <v>707</v>
      </c>
      <c r="B735" s="47" t="s">
        <v>2912</v>
      </c>
      <c r="C735" s="48" t="s">
        <v>2913</v>
      </c>
      <c r="D735" s="52" t="s">
        <v>73</v>
      </c>
      <c r="E735" s="52" t="s">
        <v>2878</v>
      </c>
      <c r="F735" s="55" t="s">
        <v>2914</v>
      </c>
      <c r="G735" s="51">
        <v>2</v>
      </c>
      <c r="H735" s="52" t="s">
        <v>2915</v>
      </c>
      <c r="I735" s="54">
        <v>334000</v>
      </c>
      <c r="J735" s="54">
        <v>0</v>
      </c>
      <c r="K735" s="54">
        <v>22000</v>
      </c>
      <c r="L735" s="54">
        <v>0</v>
      </c>
      <c r="M735" s="54">
        <v>0</v>
      </c>
      <c r="N735" s="54">
        <v>0</v>
      </c>
      <c r="O735" s="54">
        <v>0</v>
      </c>
      <c r="P735" s="54">
        <v>0</v>
      </c>
      <c r="Q735" s="54">
        <v>0</v>
      </c>
      <c r="R735" s="54">
        <v>0</v>
      </c>
      <c r="S735" s="54">
        <v>0</v>
      </c>
      <c r="T735" s="54">
        <v>0</v>
      </c>
      <c r="U735" s="54">
        <v>1397</v>
      </c>
      <c r="V735" s="54">
        <v>0</v>
      </c>
      <c r="W735" s="54">
        <v>0</v>
      </c>
      <c r="X735" s="54">
        <v>0</v>
      </c>
      <c r="Y735" s="54">
        <v>0</v>
      </c>
      <c r="Z735" s="54">
        <v>0</v>
      </c>
      <c r="AA735" s="54">
        <v>0</v>
      </c>
      <c r="AB735" s="54">
        <v>0</v>
      </c>
      <c r="AC735" s="54">
        <v>0</v>
      </c>
      <c r="AD735" s="54">
        <v>0</v>
      </c>
      <c r="AE735" s="54">
        <v>0</v>
      </c>
      <c r="AF735" s="54">
        <v>0</v>
      </c>
      <c r="AG735" s="54">
        <v>0</v>
      </c>
      <c r="AH735" s="54">
        <v>0</v>
      </c>
      <c r="AI735" s="54">
        <v>0</v>
      </c>
      <c r="AJ735" s="54">
        <v>0</v>
      </c>
      <c r="AK735" s="54">
        <v>0</v>
      </c>
      <c r="AL735" s="54">
        <v>0</v>
      </c>
      <c r="AM735" s="54" t="str">
        <f>I735-J735-K735-L735-M735-N735-O735-P735-Q735-R735-S735-T735-U735-V735-W735-X735-Y735-Z735-AA735-AB735-AC735-AD735-AE735-AF735-AG735+AH735-AI735+AJ735+AK735-AL735</f>
        <v>0</v>
      </c>
      <c r="AN735" s="54"/>
      <c r="AO735" s="27"/>
    </row>
    <row r="736" spans="1:41">
      <c r="A736" s="44">
        <v>708</v>
      </c>
      <c r="B736" s="47" t="s">
        <v>2916</v>
      </c>
      <c r="C736" s="48" t="s">
        <v>2917</v>
      </c>
      <c r="D736" s="52" t="s">
        <v>73</v>
      </c>
      <c r="E736" s="52" t="s">
        <v>2878</v>
      </c>
      <c r="F736" s="55" t="s">
        <v>2918</v>
      </c>
      <c r="G736" s="51">
        <v>9</v>
      </c>
      <c r="H736" s="52" t="s">
        <v>2919</v>
      </c>
      <c r="I736" s="54">
        <v>1474000</v>
      </c>
      <c r="J736" s="54">
        <v>0</v>
      </c>
      <c r="K736" s="54">
        <v>44000</v>
      </c>
      <c r="L736" s="54">
        <v>0</v>
      </c>
      <c r="M736" s="54">
        <v>0</v>
      </c>
      <c r="N736" s="54">
        <v>0</v>
      </c>
      <c r="O736" s="54">
        <v>0</v>
      </c>
      <c r="P736" s="54">
        <v>0</v>
      </c>
      <c r="Q736" s="54">
        <v>0</v>
      </c>
      <c r="R736" s="54">
        <v>0</v>
      </c>
      <c r="S736" s="54">
        <v>0</v>
      </c>
      <c r="T736" s="54">
        <v>0</v>
      </c>
      <c r="U736" s="54">
        <v>2794</v>
      </c>
      <c r="V736" s="54">
        <v>0</v>
      </c>
      <c r="W736" s="54">
        <v>0</v>
      </c>
      <c r="X736" s="54">
        <v>0</v>
      </c>
      <c r="Y736" s="54">
        <v>0</v>
      </c>
      <c r="Z736" s="54">
        <v>0</v>
      </c>
      <c r="AA736" s="54">
        <v>0</v>
      </c>
      <c r="AB736" s="54">
        <v>0</v>
      </c>
      <c r="AC736" s="54">
        <v>0</v>
      </c>
      <c r="AD736" s="54">
        <v>0</v>
      </c>
      <c r="AE736" s="54">
        <v>0</v>
      </c>
      <c r="AF736" s="54">
        <v>0</v>
      </c>
      <c r="AG736" s="54">
        <v>0</v>
      </c>
      <c r="AH736" s="54">
        <v>0</v>
      </c>
      <c r="AI736" s="54">
        <v>0</v>
      </c>
      <c r="AJ736" s="54">
        <v>0</v>
      </c>
      <c r="AK736" s="54">
        <v>0</v>
      </c>
      <c r="AL736" s="54">
        <v>0</v>
      </c>
      <c r="AM736" s="54" t="str">
        <f>I736-J736-K736-L736-M736-N736-O736-P736-Q736-R736-S736-T736-U736-V736-W736-X736-Y736-Z736-AA736-AB736-AC736-AD736-AE736-AF736-AG736+AH736-AI736+AJ736+AK736-AL736</f>
        <v>0</v>
      </c>
      <c r="AN736" s="54"/>
      <c r="AO736" s="27"/>
    </row>
    <row r="737" spans="1:41">
      <c r="A737" s="44">
        <v>709</v>
      </c>
      <c r="B737" s="47" t="s">
        <v>2920</v>
      </c>
      <c r="C737" s="48" t="s">
        <v>2921</v>
      </c>
      <c r="D737" s="52" t="s">
        <v>73</v>
      </c>
      <c r="E737" s="52" t="s">
        <v>2878</v>
      </c>
      <c r="F737" s="55" t="s">
        <v>2922</v>
      </c>
      <c r="G737" s="51">
        <v>7</v>
      </c>
      <c r="H737" s="52" t="s">
        <v>2923</v>
      </c>
      <c r="I737" s="54">
        <v>1170000</v>
      </c>
      <c r="J737" s="54">
        <v>0</v>
      </c>
      <c r="K737" s="54">
        <v>35000</v>
      </c>
      <c r="L737" s="54">
        <v>0</v>
      </c>
      <c r="M737" s="54">
        <v>0</v>
      </c>
      <c r="N737" s="54">
        <v>0</v>
      </c>
      <c r="O737" s="54">
        <v>0</v>
      </c>
      <c r="P737" s="54">
        <v>0</v>
      </c>
      <c r="Q737" s="54">
        <v>0</v>
      </c>
      <c r="R737" s="54">
        <v>0</v>
      </c>
      <c r="S737" s="54">
        <v>0</v>
      </c>
      <c r="T737" s="54">
        <v>0</v>
      </c>
      <c r="U737" s="54">
        <v>2222</v>
      </c>
      <c r="V737" s="54">
        <v>0</v>
      </c>
      <c r="W737" s="54">
        <v>0</v>
      </c>
      <c r="X737" s="54">
        <v>0</v>
      </c>
      <c r="Y737" s="54">
        <v>0</v>
      </c>
      <c r="Z737" s="54">
        <v>0</v>
      </c>
      <c r="AA737" s="54">
        <v>0</v>
      </c>
      <c r="AB737" s="54">
        <v>0</v>
      </c>
      <c r="AC737" s="54">
        <v>0</v>
      </c>
      <c r="AD737" s="54">
        <v>0</v>
      </c>
      <c r="AE737" s="54">
        <v>0</v>
      </c>
      <c r="AF737" s="54">
        <v>0</v>
      </c>
      <c r="AG737" s="54">
        <v>0</v>
      </c>
      <c r="AH737" s="54">
        <v>0</v>
      </c>
      <c r="AI737" s="54">
        <v>0</v>
      </c>
      <c r="AJ737" s="54">
        <v>0</v>
      </c>
      <c r="AK737" s="54">
        <v>0</v>
      </c>
      <c r="AL737" s="54">
        <v>0</v>
      </c>
      <c r="AM737" s="54" t="str">
        <f>I737-J737-K737-L737-M737-N737-O737-P737-Q737-R737-S737-T737-U737-V737-W737-X737-Y737-Z737-AA737-AB737-AC737-AD737-AE737-AF737-AG737+AH737-AI737+AJ737+AK737-AL737</f>
        <v>0</v>
      </c>
      <c r="AN737" s="54"/>
      <c r="AO737" s="27"/>
    </row>
    <row r="738" spans="1:41">
      <c r="A738" s="44">
        <v>710</v>
      </c>
      <c r="B738" s="47" t="s">
        <v>2924</v>
      </c>
      <c r="C738" s="48" t="s">
        <v>2925</v>
      </c>
      <c r="D738" s="52" t="s">
        <v>73</v>
      </c>
      <c r="E738" s="52" t="s">
        <v>2878</v>
      </c>
      <c r="F738" s="55" t="s">
        <v>2926</v>
      </c>
      <c r="G738" s="51">
        <v>7</v>
      </c>
      <c r="H738" s="52" t="s">
        <v>2927</v>
      </c>
      <c r="I738" s="54">
        <v>775000</v>
      </c>
      <c r="J738" s="54">
        <v>0</v>
      </c>
      <c r="K738" s="54">
        <v>35000</v>
      </c>
      <c r="L738" s="54">
        <v>0</v>
      </c>
      <c r="M738" s="54">
        <v>0</v>
      </c>
      <c r="N738" s="54">
        <v>0</v>
      </c>
      <c r="O738" s="54">
        <v>0</v>
      </c>
      <c r="P738" s="54">
        <v>0</v>
      </c>
      <c r="Q738" s="54">
        <v>0</v>
      </c>
      <c r="R738" s="54">
        <v>0</v>
      </c>
      <c r="S738" s="54">
        <v>0</v>
      </c>
      <c r="T738" s="54">
        <v>0</v>
      </c>
      <c r="U738" s="54">
        <v>2222</v>
      </c>
      <c r="V738" s="54">
        <v>0</v>
      </c>
      <c r="W738" s="54">
        <v>0</v>
      </c>
      <c r="X738" s="54">
        <v>0</v>
      </c>
      <c r="Y738" s="54">
        <v>0</v>
      </c>
      <c r="Z738" s="54">
        <v>0</v>
      </c>
      <c r="AA738" s="54">
        <v>0</v>
      </c>
      <c r="AB738" s="54">
        <v>0</v>
      </c>
      <c r="AC738" s="54">
        <v>0</v>
      </c>
      <c r="AD738" s="54">
        <v>0</v>
      </c>
      <c r="AE738" s="54">
        <v>0</v>
      </c>
      <c r="AF738" s="54">
        <v>0</v>
      </c>
      <c r="AG738" s="54">
        <v>0</v>
      </c>
      <c r="AH738" s="54">
        <v>0</v>
      </c>
      <c r="AI738" s="54">
        <v>0</v>
      </c>
      <c r="AJ738" s="54">
        <v>0</v>
      </c>
      <c r="AK738" s="54">
        <v>0</v>
      </c>
      <c r="AL738" s="54">
        <v>0</v>
      </c>
      <c r="AM738" s="54" t="str">
        <f>I738-J738-K738-L738-M738-N738-O738-P738-Q738-R738-S738-T738-U738-V738-W738-X738-Y738-Z738-AA738-AB738-AC738-AD738-AE738-AF738-AG738+AH738-AI738+AJ738+AK738-AL738</f>
        <v>0</v>
      </c>
      <c r="AN738" s="54"/>
      <c r="AO738" s="27"/>
    </row>
    <row r="739" spans="1:41">
      <c r="A739" s="44">
        <v>711</v>
      </c>
      <c r="B739" s="47" t="s">
        <v>2928</v>
      </c>
      <c r="C739" s="48" t="s">
        <v>2929</v>
      </c>
      <c r="D739" s="52" t="s">
        <v>73</v>
      </c>
      <c r="E739" s="52" t="s">
        <v>2878</v>
      </c>
      <c r="F739" s="55" t="s">
        <v>2930</v>
      </c>
      <c r="G739" s="51">
        <v>2</v>
      </c>
      <c r="H739" s="52" t="s">
        <v>2931</v>
      </c>
      <c r="I739" s="54">
        <v>334000</v>
      </c>
      <c r="J739" s="54">
        <v>0</v>
      </c>
      <c r="K739" s="54">
        <v>22000</v>
      </c>
      <c r="L739" s="54">
        <v>0</v>
      </c>
      <c r="M739" s="54">
        <v>0</v>
      </c>
      <c r="N739" s="54">
        <v>0</v>
      </c>
      <c r="O739" s="54">
        <v>0</v>
      </c>
      <c r="P739" s="54">
        <v>0</v>
      </c>
      <c r="Q739" s="54">
        <v>0</v>
      </c>
      <c r="R739" s="54">
        <v>0</v>
      </c>
      <c r="S739" s="54">
        <v>0</v>
      </c>
      <c r="T739" s="54">
        <v>0</v>
      </c>
      <c r="U739" s="54">
        <v>1397</v>
      </c>
      <c r="V739" s="54">
        <v>0</v>
      </c>
      <c r="W739" s="54">
        <v>0</v>
      </c>
      <c r="X739" s="54">
        <v>0</v>
      </c>
      <c r="Y739" s="54">
        <v>0</v>
      </c>
      <c r="Z739" s="54">
        <v>0</v>
      </c>
      <c r="AA739" s="54">
        <v>0</v>
      </c>
      <c r="AB739" s="54">
        <v>0</v>
      </c>
      <c r="AC739" s="54">
        <v>0</v>
      </c>
      <c r="AD739" s="54">
        <v>0</v>
      </c>
      <c r="AE739" s="54">
        <v>0</v>
      </c>
      <c r="AF739" s="54">
        <v>0</v>
      </c>
      <c r="AG739" s="54">
        <v>0</v>
      </c>
      <c r="AH739" s="54">
        <v>0</v>
      </c>
      <c r="AI739" s="54">
        <v>0</v>
      </c>
      <c r="AJ739" s="54">
        <v>0</v>
      </c>
      <c r="AK739" s="54">
        <v>0</v>
      </c>
      <c r="AL739" s="54">
        <v>0</v>
      </c>
      <c r="AM739" s="54" t="str">
        <f>I739-J739-K739-L739-M739-N739-O739-P739-Q739-R739-S739-T739-U739-V739-W739-X739-Y739-Z739-AA739-AB739-AC739-AD739-AE739-AF739-AG739+AH739-AI739+AJ739+AK739-AL739</f>
        <v>0</v>
      </c>
      <c r="AN739" s="54"/>
      <c r="AO739" s="27"/>
    </row>
    <row r="740" spans="1:41">
      <c r="A740" s="44">
        <v>712</v>
      </c>
      <c r="B740" s="47" t="s">
        <v>2932</v>
      </c>
      <c r="C740" s="48" t="s">
        <v>2933</v>
      </c>
      <c r="D740" s="52" t="s">
        <v>73</v>
      </c>
      <c r="E740" s="52" t="s">
        <v>2878</v>
      </c>
      <c r="F740" s="55" t="s">
        <v>2934</v>
      </c>
      <c r="G740" s="51">
        <v>8</v>
      </c>
      <c r="H740" s="52" t="s">
        <v>2935</v>
      </c>
      <c r="I740" s="54">
        <v>1383000</v>
      </c>
      <c r="J740" s="54">
        <v>0</v>
      </c>
      <c r="K740" s="54">
        <v>39000</v>
      </c>
      <c r="L740" s="54">
        <v>0</v>
      </c>
      <c r="M740" s="54">
        <v>0</v>
      </c>
      <c r="N740" s="54">
        <v>0</v>
      </c>
      <c r="O740" s="54">
        <v>0</v>
      </c>
      <c r="P740" s="54">
        <v>0</v>
      </c>
      <c r="Q740" s="54">
        <v>0</v>
      </c>
      <c r="R740" s="54">
        <v>0</v>
      </c>
      <c r="S740" s="54">
        <v>0</v>
      </c>
      <c r="T740" s="54">
        <v>0</v>
      </c>
      <c r="U740" s="54">
        <v>2476</v>
      </c>
      <c r="V740" s="54">
        <v>0</v>
      </c>
      <c r="W740" s="54">
        <v>0</v>
      </c>
      <c r="X740" s="54">
        <v>0</v>
      </c>
      <c r="Y740" s="54">
        <v>0</v>
      </c>
      <c r="Z740" s="54">
        <v>0</v>
      </c>
      <c r="AA740" s="54">
        <v>0</v>
      </c>
      <c r="AB740" s="54">
        <v>0</v>
      </c>
      <c r="AC740" s="54">
        <v>0</v>
      </c>
      <c r="AD740" s="54">
        <v>0</v>
      </c>
      <c r="AE740" s="54">
        <v>0</v>
      </c>
      <c r="AF740" s="54">
        <v>0</v>
      </c>
      <c r="AG740" s="54">
        <v>0</v>
      </c>
      <c r="AH740" s="54">
        <v>0</v>
      </c>
      <c r="AI740" s="54">
        <v>0</v>
      </c>
      <c r="AJ740" s="54">
        <v>0</v>
      </c>
      <c r="AK740" s="54">
        <v>0</v>
      </c>
      <c r="AL740" s="54">
        <v>0</v>
      </c>
      <c r="AM740" s="54" t="str">
        <f>I740-J740-K740-L740-M740-N740-O740-P740-Q740-R740-S740-T740-U740-V740-W740-X740-Y740-Z740-AA740-AB740-AC740-AD740-AE740-AF740-AG740+AH740-AI740+AJ740+AK740-AL740</f>
        <v>0</v>
      </c>
      <c r="AN740" s="54"/>
      <c r="AO740" s="27"/>
    </row>
    <row r="741" spans="1:41">
      <c r="A741" s="44">
        <v>713</v>
      </c>
      <c r="B741" s="47" t="s">
        <v>2936</v>
      </c>
      <c r="C741" s="48" t="s">
        <v>2937</v>
      </c>
      <c r="D741" s="52" t="s">
        <v>73</v>
      </c>
      <c r="E741" s="52" t="s">
        <v>2878</v>
      </c>
      <c r="F741" s="55" t="s">
        <v>2342</v>
      </c>
      <c r="G741" s="51">
        <v>8</v>
      </c>
      <c r="H741" s="52" t="s">
        <v>2938</v>
      </c>
      <c r="I741" s="54">
        <v>1604000</v>
      </c>
      <c r="J741" s="54">
        <v>0</v>
      </c>
      <c r="K741" s="54">
        <v>39000</v>
      </c>
      <c r="L741" s="54">
        <v>0</v>
      </c>
      <c r="M741" s="54">
        <v>0</v>
      </c>
      <c r="N741" s="54">
        <v>0</v>
      </c>
      <c r="O741" s="54">
        <v>0</v>
      </c>
      <c r="P741" s="54">
        <v>0</v>
      </c>
      <c r="Q741" s="54">
        <v>0</v>
      </c>
      <c r="R741" s="54">
        <v>0</v>
      </c>
      <c r="S741" s="54">
        <v>0</v>
      </c>
      <c r="T741" s="54">
        <v>0</v>
      </c>
      <c r="U741" s="54">
        <v>2476</v>
      </c>
      <c r="V741" s="54">
        <v>0</v>
      </c>
      <c r="W741" s="54">
        <v>0</v>
      </c>
      <c r="X741" s="54">
        <v>0</v>
      </c>
      <c r="Y741" s="54">
        <v>0</v>
      </c>
      <c r="Z741" s="54">
        <v>0</v>
      </c>
      <c r="AA741" s="54">
        <v>0</v>
      </c>
      <c r="AB741" s="54">
        <v>0</v>
      </c>
      <c r="AC741" s="54">
        <v>0</v>
      </c>
      <c r="AD741" s="54">
        <v>0</v>
      </c>
      <c r="AE741" s="54">
        <v>0</v>
      </c>
      <c r="AF741" s="54">
        <v>0</v>
      </c>
      <c r="AG741" s="54">
        <v>0</v>
      </c>
      <c r="AH741" s="54">
        <v>0</v>
      </c>
      <c r="AI741" s="54">
        <v>0</v>
      </c>
      <c r="AJ741" s="54">
        <v>0</v>
      </c>
      <c r="AK741" s="54">
        <v>0</v>
      </c>
      <c r="AL741" s="54">
        <v>0</v>
      </c>
      <c r="AM741" s="54" t="str">
        <f>I741-J741-K741-L741-M741-N741-O741-P741-Q741-R741-S741-T741-U741-V741-W741-X741-Y741-Z741-AA741-AB741-AC741-AD741-AE741-AF741-AG741+AH741-AI741+AJ741+AK741-AL741</f>
        <v>0</v>
      </c>
      <c r="AN741" s="54"/>
      <c r="AO741" s="27"/>
    </row>
    <row r="742" spans="1:41">
      <c r="A742" s="44">
        <v>714</v>
      </c>
      <c r="B742" s="47" t="s">
        <v>2939</v>
      </c>
      <c r="C742" s="48" t="s">
        <v>2940</v>
      </c>
      <c r="D742" s="52" t="s">
        <v>73</v>
      </c>
      <c r="E742" s="52" t="s">
        <v>2878</v>
      </c>
      <c r="F742" s="55" t="s">
        <v>2941</v>
      </c>
      <c r="G742" s="51">
        <v>2</v>
      </c>
      <c r="H742" s="52" t="s">
        <v>2942</v>
      </c>
      <c r="I742" s="54">
        <v>100000</v>
      </c>
      <c r="J742" s="54">
        <v>0</v>
      </c>
      <c r="K742" s="54">
        <v>22000</v>
      </c>
      <c r="L742" s="54">
        <v>0</v>
      </c>
      <c r="M742" s="54">
        <v>0</v>
      </c>
      <c r="N742" s="54">
        <v>0</v>
      </c>
      <c r="O742" s="54">
        <v>0</v>
      </c>
      <c r="P742" s="54">
        <v>0</v>
      </c>
      <c r="Q742" s="54">
        <v>0</v>
      </c>
      <c r="R742" s="54">
        <v>0</v>
      </c>
      <c r="S742" s="54">
        <v>0</v>
      </c>
      <c r="T742" s="54">
        <v>0</v>
      </c>
      <c r="U742" s="54">
        <v>1397</v>
      </c>
      <c r="V742" s="54">
        <v>0</v>
      </c>
      <c r="W742" s="54">
        <v>0</v>
      </c>
      <c r="X742" s="54">
        <v>0</v>
      </c>
      <c r="Y742" s="54">
        <v>0</v>
      </c>
      <c r="Z742" s="54">
        <v>0</v>
      </c>
      <c r="AA742" s="54">
        <v>0</v>
      </c>
      <c r="AB742" s="54">
        <v>0</v>
      </c>
      <c r="AC742" s="54">
        <v>0</v>
      </c>
      <c r="AD742" s="54">
        <v>0</v>
      </c>
      <c r="AE742" s="54">
        <v>0</v>
      </c>
      <c r="AF742" s="54">
        <v>0</v>
      </c>
      <c r="AG742" s="54">
        <v>0</v>
      </c>
      <c r="AH742" s="54">
        <v>0</v>
      </c>
      <c r="AI742" s="54">
        <v>0</v>
      </c>
      <c r="AJ742" s="54">
        <v>0</v>
      </c>
      <c r="AK742" s="54">
        <v>0</v>
      </c>
      <c r="AL742" s="54">
        <v>0</v>
      </c>
      <c r="AM742" s="54" t="str">
        <f>I742-J742-K742-L742-M742-N742-O742-P742-Q742-R742-S742-T742-U742-V742-W742-X742-Y742-Z742-AA742-AB742-AC742-AD742-AE742-AF742-AG742+AH742-AI742+AJ742+AK742-AL742</f>
        <v>0</v>
      </c>
      <c r="AN742" s="54"/>
      <c r="AO742" s="27"/>
    </row>
    <row r="743" spans="1:41">
      <c r="A743" s="44">
        <v>715</v>
      </c>
      <c r="B743" s="47" t="s">
        <v>2943</v>
      </c>
      <c r="C743" s="48" t="s">
        <v>2944</v>
      </c>
      <c r="D743" s="52" t="s">
        <v>73</v>
      </c>
      <c r="E743" s="52" t="s">
        <v>2945</v>
      </c>
      <c r="F743" s="55" t="s">
        <v>2946</v>
      </c>
      <c r="G743" s="51">
        <v>6</v>
      </c>
      <c r="H743" s="52" t="s">
        <v>2947</v>
      </c>
      <c r="I743" s="54">
        <v>960000</v>
      </c>
      <c r="J743" s="54">
        <v>0</v>
      </c>
      <c r="K743" s="54">
        <v>31000</v>
      </c>
      <c r="L743" s="54">
        <v>0</v>
      </c>
      <c r="M743" s="54">
        <v>0</v>
      </c>
      <c r="N743" s="54">
        <v>0</v>
      </c>
      <c r="O743" s="54">
        <v>0</v>
      </c>
      <c r="P743" s="54">
        <v>0</v>
      </c>
      <c r="Q743" s="54">
        <v>0</v>
      </c>
      <c r="R743" s="54">
        <v>0</v>
      </c>
      <c r="S743" s="54">
        <v>0</v>
      </c>
      <c r="T743" s="54">
        <v>0</v>
      </c>
      <c r="U743" s="54">
        <v>1968</v>
      </c>
      <c r="V743" s="54">
        <v>0</v>
      </c>
      <c r="W743" s="54">
        <v>0</v>
      </c>
      <c r="X743" s="54">
        <v>0</v>
      </c>
      <c r="Y743" s="54">
        <v>0</v>
      </c>
      <c r="Z743" s="54">
        <v>0</v>
      </c>
      <c r="AA743" s="54">
        <v>0</v>
      </c>
      <c r="AB743" s="54">
        <v>0</v>
      </c>
      <c r="AC743" s="54">
        <v>0</v>
      </c>
      <c r="AD743" s="54">
        <v>0</v>
      </c>
      <c r="AE743" s="54">
        <v>0</v>
      </c>
      <c r="AF743" s="54">
        <v>0</v>
      </c>
      <c r="AG743" s="54">
        <v>0</v>
      </c>
      <c r="AH743" s="54">
        <v>0</v>
      </c>
      <c r="AI743" s="54">
        <v>0</v>
      </c>
      <c r="AJ743" s="54">
        <v>0</v>
      </c>
      <c r="AK743" s="54">
        <v>0</v>
      </c>
      <c r="AL743" s="54">
        <v>0</v>
      </c>
      <c r="AM743" s="54" t="str">
        <f>I743-J743-K743-L743-M743-N743-O743-P743-Q743-R743-S743-T743-U743-V743-W743-X743-Y743-Z743-AA743-AB743-AC743-AD743-AE743-AF743-AG743+AH743-AI743+AJ743+AK743-AL743</f>
        <v>0</v>
      </c>
      <c r="AN743" s="54"/>
      <c r="AO743" s="27"/>
    </row>
    <row r="744" spans="1:41">
      <c r="A744" s="44">
        <v>716</v>
      </c>
      <c r="B744" s="47" t="s">
        <v>2948</v>
      </c>
      <c r="C744" s="48" t="s">
        <v>2949</v>
      </c>
      <c r="D744" s="52" t="s">
        <v>73</v>
      </c>
      <c r="E744" s="52" t="s">
        <v>2945</v>
      </c>
      <c r="F744" s="55" t="s">
        <v>306</v>
      </c>
      <c r="G744" s="51">
        <v>7.8</v>
      </c>
      <c r="H744" s="52" t="s">
        <v>2950</v>
      </c>
      <c r="I744" s="54">
        <v>699000</v>
      </c>
      <c r="J744" s="54">
        <v>0</v>
      </c>
      <c r="K744" s="54">
        <v>39000</v>
      </c>
      <c r="L744" s="54">
        <v>0</v>
      </c>
      <c r="M744" s="54">
        <v>0</v>
      </c>
      <c r="N744" s="54">
        <v>0</v>
      </c>
      <c r="O744" s="54">
        <v>0</v>
      </c>
      <c r="P744" s="54">
        <v>0</v>
      </c>
      <c r="Q744" s="54">
        <v>0</v>
      </c>
      <c r="R744" s="54">
        <v>0</v>
      </c>
      <c r="S744" s="54">
        <v>0</v>
      </c>
      <c r="T744" s="54">
        <v>0</v>
      </c>
      <c r="U744" s="54">
        <v>2476</v>
      </c>
      <c r="V744" s="54">
        <v>0</v>
      </c>
      <c r="W744" s="54">
        <v>0</v>
      </c>
      <c r="X744" s="54">
        <v>0</v>
      </c>
      <c r="Y744" s="54">
        <v>0</v>
      </c>
      <c r="Z744" s="54">
        <v>0</v>
      </c>
      <c r="AA744" s="54">
        <v>0</v>
      </c>
      <c r="AB744" s="54">
        <v>0</v>
      </c>
      <c r="AC744" s="54">
        <v>0</v>
      </c>
      <c r="AD744" s="54">
        <v>0</v>
      </c>
      <c r="AE744" s="54">
        <v>0</v>
      </c>
      <c r="AF744" s="54">
        <v>0</v>
      </c>
      <c r="AG744" s="54">
        <v>0</v>
      </c>
      <c r="AH744" s="54">
        <v>0</v>
      </c>
      <c r="AI744" s="54">
        <v>0</v>
      </c>
      <c r="AJ744" s="54">
        <v>0</v>
      </c>
      <c r="AK744" s="54">
        <v>0</v>
      </c>
      <c r="AL744" s="54">
        <v>0</v>
      </c>
      <c r="AM744" s="54" t="str">
        <f>I744-J744-K744-L744-M744-N744-O744-P744-Q744-R744-S744-T744-U744-V744-W744-X744-Y744-Z744-AA744-AB744-AC744-AD744-AE744-AF744-AG744+AH744-AI744+AJ744+AK744-AL744</f>
        <v>0</v>
      </c>
      <c r="AN744" s="54"/>
      <c r="AO744" s="27"/>
    </row>
    <row r="745" spans="1:41">
      <c r="A745" s="44">
        <v>717</v>
      </c>
      <c r="B745" s="47" t="s">
        <v>2951</v>
      </c>
      <c r="C745" s="48" t="s">
        <v>2952</v>
      </c>
      <c r="D745" s="52" t="s">
        <v>73</v>
      </c>
      <c r="E745" s="52" t="s">
        <v>2945</v>
      </c>
      <c r="F745" s="55" t="s">
        <v>2953</v>
      </c>
      <c r="G745" s="51">
        <v>3</v>
      </c>
      <c r="H745" s="52" t="s">
        <v>2954</v>
      </c>
      <c r="I745" s="54">
        <v>560000</v>
      </c>
      <c r="J745" s="54">
        <v>0</v>
      </c>
      <c r="K745" s="54">
        <v>22000</v>
      </c>
      <c r="L745" s="54">
        <v>0</v>
      </c>
      <c r="M745" s="54">
        <v>0</v>
      </c>
      <c r="N745" s="54">
        <v>0</v>
      </c>
      <c r="O745" s="54">
        <v>0</v>
      </c>
      <c r="P745" s="54">
        <v>0</v>
      </c>
      <c r="Q745" s="54">
        <v>0</v>
      </c>
      <c r="R745" s="54">
        <v>0</v>
      </c>
      <c r="S745" s="54">
        <v>0</v>
      </c>
      <c r="T745" s="54">
        <v>0</v>
      </c>
      <c r="U745" s="54">
        <v>1397</v>
      </c>
      <c r="V745" s="54">
        <v>0</v>
      </c>
      <c r="W745" s="54">
        <v>0</v>
      </c>
      <c r="X745" s="54">
        <v>0</v>
      </c>
      <c r="Y745" s="54">
        <v>0</v>
      </c>
      <c r="Z745" s="54">
        <v>0</v>
      </c>
      <c r="AA745" s="54">
        <v>0</v>
      </c>
      <c r="AB745" s="54">
        <v>0</v>
      </c>
      <c r="AC745" s="54">
        <v>0</v>
      </c>
      <c r="AD745" s="54">
        <v>0</v>
      </c>
      <c r="AE745" s="54">
        <v>0</v>
      </c>
      <c r="AF745" s="54">
        <v>0</v>
      </c>
      <c r="AG745" s="54">
        <v>0</v>
      </c>
      <c r="AH745" s="54">
        <v>0</v>
      </c>
      <c r="AI745" s="54">
        <v>0</v>
      </c>
      <c r="AJ745" s="54">
        <v>0</v>
      </c>
      <c r="AK745" s="54">
        <v>0</v>
      </c>
      <c r="AL745" s="54">
        <v>0</v>
      </c>
      <c r="AM745" s="54" t="str">
        <f>I745-J745-K745-L745-M745-N745-O745-P745-Q745-R745-S745-T745-U745-V745-W745-X745-Y745-Z745-AA745-AB745-AC745-AD745-AE745-AF745-AG745+AH745-AI745+AJ745+AK745-AL745</f>
        <v>0</v>
      </c>
      <c r="AN745" s="54"/>
      <c r="AO745" s="27"/>
    </row>
    <row r="746" spans="1:41">
      <c r="A746" s="44">
        <v>718</v>
      </c>
      <c r="B746" s="47" t="s">
        <v>2955</v>
      </c>
      <c r="C746" s="48" t="s">
        <v>2956</v>
      </c>
      <c r="D746" s="52" t="s">
        <v>73</v>
      </c>
      <c r="E746" s="52" t="s">
        <v>2945</v>
      </c>
      <c r="F746" s="55" t="s">
        <v>2957</v>
      </c>
      <c r="G746" s="51">
        <v>2</v>
      </c>
      <c r="H746" s="52" t="s">
        <v>2958</v>
      </c>
      <c r="I746" s="54">
        <v>330000</v>
      </c>
      <c r="J746" s="54">
        <v>0</v>
      </c>
      <c r="K746" s="54">
        <v>22000</v>
      </c>
      <c r="L746" s="54">
        <v>0</v>
      </c>
      <c r="M746" s="54">
        <v>0</v>
      </c>
      <c r="N746" s="54">
        <v>0</v>
      </c>
      <c r="O746" s="54">
        <v>0</v>
      </c>
      <c r="P746" s="54">
        <v>0</v>
      </c>
      <c r="Q746" s="54">
        <v>0</v>
      </c>
      <c r="R746" s="54">
        <v>0</v>
      </c>
      <c r="S746" s="54">
        <v>0</v>
      </c>
      <c r="T746" s="54">
        <v>0</v>
      </c>
      <c r="U746" s="54">
        <v>1397</v>
      </c>
      <c r="V746" s="54">
        <v>0</v>
      </c>
      <c r="W746" s="54">
        <v>0</v>
      </c>
      <c r="X746" s="54">
        <v>0</v>
      </c>
      <c r="Y746" s="54">
        <v>0</v>
      </c>
      <c r="Z746" s="54">
        <v>0</v>
      </c>
      <c r="AA746" s="54">
        <v>0</v>
      </c>
      <c r="AB746" s="54">
        <v>0</v>
      </c>
      <c r="AC746" s="54">
        <v>0</v>
      </c>
      <c r="AD746" s="54">
        <v>0</v>
      </c>
      <c r="AE746" s="54">
        <v>0</v>
      </c>
      <c r="AF746" s="54">
        <v>0</v>
      </c>
      <c r="AG746" s="54">
        <v>0</v>
      </c>
      <c r="AH746" s="54">
        <v>0</v>
      </c>
      <c r="AI746" s="54">
        <v>0</v>
      </c>
      <c r="AJ746" s="54">
        <v>0</v>
      </c>
      <c r="AK746" s="54">
        <v>0</v>
      </c>
      <c r="AL746" s="54">
        <v>0</v>
      </c>
      <c r="AM746" s="54" t="str">
        <f>I746-J746-K746-L746-M746-N746-O746-P746-Q746-R746-S746-T746-U746-V746-W746-X746-Y746-Z746-AA746-AB746-AC746-AD746-AE746-AF746-AG746+AH746-AI746+AJ746+AK746-AL746</f>
        <v>0</v>
      </c>
      <c r="AN746" s="54"/>
      <c r="AO746" s="27"/>
    </row>
    <row r="747" spans="1:41">
      <c r="A747" s="44">
        <v>719</v>
      </c>
      <c r="B747" s="47" t="s">
        <v>2959</v>
      </c>
      <c r="C747" s="48" t="s">
        <v>2960</v>
      </c>
      <c r="D747" s="52" t="s">
        <v>73</v>
      </c>
      <c r="E747" s="52" t="s">
        <v>2945</v>
      </c>
      <c r="F747" s="55" t="s">
        <v>2961</v>
      </c>
      <c r="G747" s="51">
        <v>2</v>
      </c>
      <c r="H747" s="52" t="s">
        <v>2962</v>
      </c>
      <c r="I747" s="54">
        <v>144000</v>
      </c>
      <c r="J747" s="54">
        <v>0</v>
      </c>
      <c r="K747" s="54">
        <v>22000</v>
      </c>
      <c r="L747" s="54">
        <v>0</v>
      </c>
      <c r="M747" s="54">
        <v>0</v>
      </c>
      <c r="N747" s="54">
        <v>0</v>
      </c>
      <c r="O747" s="54">
        <v>0</v>
      </c>
      <c r="P747" s="54">
        <v>0</v>
      </c>
      <c r="Q747" s="54">
        <v>0</v>
      </c>
      <c r="R747" s="54">
        <v>0</v>
      </c>
      <c r="S747" s="54">
        <v>0</v>
      </c>
      <c r="T747" s="54">
        <v>0</v>
      </c>
      <c r="U747" s="54">
        <v>1397</v>
      </c>
      <c r="V747" s="54">
        <v>0</v>
      </c>
      <c r="W747" s="54">
        <v>0</v>
      </c>
      <c r="X747" s="54">
        <v>0</v>
      </c>
      <c r="Y747" s="54">
        <v>0</v>
      </c>
      <c r="Z747" s="54">
        <v>0</v>
      </c>
      <c r="AA747" s="54">
        <v>0</v>
      </c>
      <c r="AB747" s="54">
        <v>0</v>
      </c>
      <c r="AC747" s="54">
        <v>0</v>
      </c>
      <c r="AD747" s="54">
        <v>0</v>
      </c>
      <c r="AE747" s="54">
        <v>0</v>
      </c>
      <c r="AF747" s="54">
        <v>0</v>
      </c>
      <c r="AG747" s="54">
        <v>0</v>
      </c>
      <c r="AH747" s="54">
        <v>0</v>
      </c>
      <c r="AI747" s="54">
        <v>0</v>
      </c>
      <c r="AJ747" s="54">
        <v>0</v>
      </c>
      <c r="AK747" s="54">
        <v>0</v>
      </c>
      <c r="AL747" s="54">
        <v>0</v>
      </c>
      <c r="AM747" s="54" t="str">
        <f>I747-J747-K747-L747-M747-N747-O747-P747-Q747-R747-S747-T747-U747-V747-W747-X747-Y747-Z747-AA747-AB747-AC747-AD747-AE747-AF747-AG747+AH747-AI747+AJ747+AK747-AL747</f>
        <v>0</v>
      </c>
      <c r="AN747" s="54"/>
      <c r="AO747" s="27"/>
    </row>
    <row r="748" spans="1:41">
      <c r="A748" s="44">
        <v>720</v>
      </c>
      <c r="B748" s="47" t="s">
        <v>2963</v>
      </c>
      <c r="C748" s="48" t="s">
        <v>2964</v>
      </c>
      <c r="D748" s="52" t="s">
        <v>73</v>
      </c>
      <c r="E748" s="52" t="s">
        <v>2945</v>
      </c>
      <c r="F748" s="55" t="s">
        <v>1911</v>
      </c>
      <c r="G748" s="51">
        <v>6</v>
      </c>
      <c r="H748" s="52" t="s">
        <v>2965</v>
      </c>
      <c r="I748" s="54">
        <v>934000</v>
      </c>
      <c r="J748" s="54">
        <v>0</v>
      </c>
      <c r="K748" s="54">
        <v>31000</v>
      </c>
      <c r="L748" s="54">
        <v>0</v>
      </c>
      <c r="M748" s="54">
        <v>0</v>
      </c>
      <c r="N748" s="54">
        <v>0</v>
      </c>
      <c r="O748" s="54">
        <v>0</v>
      </c>
      <c r="P748" s="54">
        <v>0</v>
      </c>
      <c r="Q748" s="54">
        <v>0</v>
      </c>
      <c r="R748" s="54">
        <v>0</v>
      </c>
      <c r="S748" s="54">
        <v>0</v>
      </c>
      <c r="T748" s="54">
        <v>0</v>
      </c>
      <c r="U748" s="54">
        <v>1968</v>
      </c>
      <c r="V748" s="54">
        <v>0</v>
      </c>
      <c r="W748" s="54">
        <v>0</v>
      </c>
      <c r="X748" s="54">
        <v>0</v>
      </c>
      <c r="Y748" s="54">
        <v>0</v>
      </c>
      <c r="Z748" s="54">
        <v>0</v>
      </c>
      <c r="AA748" s="54">
        <v>0</v>
      </c>
      <c r="AB748" s="54">
        <v>0</v>
      </c>
      <c r="AC748" s="54">
        <v>0</v>
      </c>
      <c r="AD748" s="54">
        <v>0</v>
      </c>
      <c r="AE748" s="54">
        <v>0</v>
      </c>
      <c r="AF748" s="54">
        <v>0</v>
      </c>
      <c r="AG748" s="54">
        <v>0</v>
      </c>
      <c r="AH748" s="54">
        <v>0</v>
      </c>
      <c r="AI748" s="54">
        <v>0</v>
      </c>
      <c r="AJ748" s="54">
        <v>0</v>
      </c>
      <c r="AK748" s="54">
        <v>0</v>
      </c>
      <c r="AL748" s="54">
        <v>0</v>
      </c>
      <c r="AM748" s="54" t="str">
        <f>I748-J748-K748-L748-M748-N748-O748-P748-Q748-R748-S748-T748-U748-V748-W748-X748-Y748-Z748-AA748-AB748-AC748-AD748-AE748-AF748-AG748+AH748-AI748+AJ748+AK748-AL748</f>
        <v>0</v>
      </c>
      <c r="AN748" s="54"/>
      <c r="AO748" s="27"/>
    </row>
    <row r="749" spans="1:41">
      <c r="A749" s="44">
        <v>721</v>
      </c>
      <c r="B749" s="47" t="s">
        <v>2966</v>
      </c>
      <c r="C749" s="48" t="s">
        <v>2967</v>
      </c>
      <c r="D749" s="52" t="s">
        <v>73</v>
      </c>
      <c r="E749" s="52" t="s">
        <v>2945</v>
      </c>
      <c r="F749" s="55" t="s">
        <v>2968</v>
      </c>
      <c r="G749" s="51">
        <v>2</v>
      </c>
      <c r="H749" s="52" t="s">
        <v>2969</v>
      </c>
      <c r="I749" s="54">
        <v>434000</v>
      </c>
      <c r="J749" s="54">
        <v>0</v>
      </c>
      <c r="K749" s="54">
        <v>22000</v>
      </c>
      <c r="L749" s="54">
        <v>0</v>
      </c>
      <c r="M749" s="54">
        <v>0</v>
      </c>
      <c r="N749" s="54">
        <v>0</v>
      </c>
      <c r="O749" s="54">
        <v>0</v>
      </c>
      <c r="P749" s="54">
        <v>0</v>
      </c>
      <c r="Q749" s="54">
        <v>0</v>
      </c>
      <c r="R749" s="54">
        <v>0</v>
      </c>
      <c r="S749" s="54">
        <v>0</v>
      </c>
      <c r="T749" s="54">
        <v>0</v>
      </c>
      <c r="U749" s="54">
        <v>1397</v>
      </c>
      <c r="V749" s="54">
        <v>0</v>
      </c>
      <c r="W749" s="54">
        <v>0</v>
      </c>
      <c r="X749" s="54">
        <v>0</v>
      </c>
      <c r="Y749" s="54">
        <v>0</v>
      </c>
      <c r="Z749" s="54">
        <v>0</v>
      </c>
      <c r="AA749" s="54">
        <v>0</v>
      </c>
      <c r="AB749" s="54">
        <v>0</v>
      </c>
      <c r="AC749" s="54">
        <v>0</v>
      </c>
      <c r="AD749" s="54">
        <v>0</v>
      </c>
      <c r="AE749" s="54">
        <v>0</v>
      </c>
      <c r="AF749" s="54">
        <v>0</v>
      </c>
      <c r="AG749" s="54">
        <v>0</v>
      </c>
      <c r="AH749" s="54">
        <v>0</v>
      </c>
      <c r="AI749" s="54">
        <v>0</v>
      </c>
      <c r="AJ749" s="54">
        <v>0</v>
      </c>
      <c r="AK749" s="54">
        <v>0</v>
      </c>
      <c r="AL749" s="54">
        <v>0</v>
      </c>
      <c r="AM749" s="54" t="str">
        <f>I749-J749-K749-L749-M749-N749-O749-P749-Q749-R749-S749-T749-U749-V749-W749-X749-Y749-Z749-AA749-AB749-AC749-AD749-AE749-AF749-AG749+AH749-AI749+AJ749+AK749-AL749</f>
        <v>0</v>
      </c>
      <c r="AN749" s="54"/>
      <c r="AO749" s="27"/>
    </row>
    <row r="750" spans="1:41">
      <c r="A750" s="44">
        <v>722</v>
      </c>
      <c r="B750" s="47" t="s">
        <v>2970</v>
      </c>
      <c r="C750" s="48" t="s">
        <v>2971</v>
      </c>
      <c r="D750" s="52" t="s">
        <v>73</v>
      </c>
      <c r="E750" s="52" t="s">
        <v>2945</v>
      </c>
      <c r="F750" s="55" t="s">
        <v>634</v>
      </c>
      <c r="G750" s="51">
        <v>7.8</v>
      </c>
      <c r="H750" s="52" t="s">
        <v>2972</v>
      </c>
      <c r="I750" s="54">
        <v>672200</v>
      </c>
      <c r="J750" s="54">
        <v>0</v>
      </c>
      <c r="K750" s="54">
        <v>39000</v>
      </c>
      <c r="L750" s="54">
        <v>0</v>
      </c>
      <c r="M750" s="54">
        <v>0</v>
      </c>
      <c r="N750" s="54">
        <v>0</v>
      </c>
      <c r="O750" s="54">
        <v>0</v>
      </c>
      <c r="P750" s="54">
        <v>0</v>
      </c>
      <c r="Q750" s="54">
        <v>0</v>
      </c>
      <c r="R750" s="54">
        <v>0</v>
      </c>
      <c r="S750" s="54">
        <v>0</v>
      </c>
      <c r="T750" s="54">
        <v>0</v>
      </c>
      <c r="U750" s="54">
        <v>2476</v>
      </c>
      <c r="V750" s="54">
        <v>0</v>
      </c>
      <c r="W750" s="54">
        <v>0</v>
      </c>
      <c r="X750" s="54">
        <v>0</v>
      </c>
      <c r="Y750" s="54">
        <v>0</v>
      </c>
      <c r="Z750" s="54">
        <v>0</v>
      </c>
      <c r="AA750" s="54">
        <v>0</v>
      </c>
      <c r="AB750" s="54">
        <v>0</v>
      </c>
      <c r="AC750" s="54">
        <v>0</v>
      </c>
      <c r="AD750" s="54">
        <v>0</v>
      </c>
      <c r="AE750" s="54">
        <v>0</v>
      </c>
      <c r="AF750" s="54">
        <v>0</v>
      </c>
      <c r="AG750" s="54">
        <v>0</v>
      </c>
      <c r="AH750" s="54">
        <v>0</v>
      </c>
      <c r="AI750" s="54">
        <v>0</v>
      </c>
      <c r="AJ750" s="54">
        <v>0</v>
      </c>
      <c r="AK750" s="54">
        <v>0</v>
      </c>
      <c r="AL750" s="54">
        <v>0</v>
      </c>
      <c r="AM750" s="54" t="str">
        <f>I750-J750-K750-L750-M750-N750-O750-P750-Q750-R750-S750-T750-U750-V750-W750-X750-Y750-Z750-AA750-AB750-AC750-AD750-AE750-AF750-AG750+AH750-AI750+AJ750+AK750-AL750</f>
        <v>0</v>
      </c>
      <c r="AN750" s="54"/>
      <c r="AO750" s="27"/>
    </row>
    <row r="751" spans="1:41">
      <c r="A751" s="44">
        <v>723</v>
      </c>
      <c r="B751" s="47" t="s">
        <v>2973</v>
      </c>
      <c r="C751" s="48" t="s">
        <v>2974</v>
      </c>
      <c r="D751" s="52" t="s">
        <v>73</v>
      </c>
      <c r="E751" s="52" t="s">
        <v>2945</v>
      </c>
      <c r="F751" s="55" t="s">
        <v>2975</v>
      </c>
      <c r="G751" s="51">
        <v>12</v>
      </c>
      <c r="H751" s="52" t="s">
        <v>2976</v>
      </c>
      <c r="I751" s="54">
        <v>1264000</v>
      </c>
      <c r="J751" s="54">
        <v>0</v>
      </c>
      <c r="K751" s="54">
        <v>48000</v>
      </c>
      <c r="L751" s="54">
        <v>0</v>
      </c>
      <c r="M751" s="54">
        <v>0</v>
      </c>
      <c r="N751" s="54">
        <v>0</v>
      </c>
      <c r="O751" s="54">
        <v>0</v>
      </c>
      <c r="P751" s="54">
        <v>0</v>
      </c>
      <c r="Q751" s="54">
        <v>0</v>
      </c>
      <c r="R751" s="54">
        <v>0</v>
      </c>
      <c r="S751" s="54">
        <v>0</v>
      </c>
      <c r="T751" s="54">
        <v>0</v>
      </c>
      <c r="U751" s="54">
        <v>3048</v>
      </c>
      <c r="V751" s="54">
        <v>0</v>
      </c>
      <c r="W751" s="54">
        <v>0</v>
      </c>
      <c r="X751" s="54">
        <v>0</v>
      </c>
      <c r="Y751" s="54">
        <v>0</v>
      </c>
      <c r="Z751" s="54">
        <v>0</v>
      </c>
      <c r="AA751" s="54">
        <v>0</v>
      </c>
      <c r="AB751" s="54">
        <v>0</v>
      </c>
      <c r="AC751" s="54">
        <v>0</v>
      </c>
      <c r="AD751" s="54">
        <v>0</v>
      </c>
      <c r="AE751" s="54">
        <v>0</v>
      </c>
      <c r="AF751" s="54">
        <v>0</v>
      </c>
      <c r="AG751" s="54">
        <v>0</v>
      </c>
      <c r="AH751" s="54">
        <v>0</v>
      </c>
      <c r="AI751" s="54">
        <v>0</v>
      </c>
      <c r="AJ751" s="54">
        <v>0</v>
      </c>
      <c r="AK751" s="54">
        <v>0</v>
      </c>
      <c r="AL751" s="54">
        <v>0</v>
      </c>
      <c r="AM751" s="54" t="str">
        <f>I751-J751-K751-L751-M751-N751-O751-P751-Q751-R751-S751-T751-U751-V751-W751-X751-Y751-Z751-AA751-AB751-AC751-AD751-AE751-AF751-AG751+AH751-AI751+AJ751+AK751-AL751</f>
        <v>0</v>
      </c>
      <c r="AN751" s="54"/>
      <c r="AO751" s="27"/>
    </row>
    <row r="752" spans="1:41">
      <c r="A752" s="44">
        <v>724</v>
      </c>
      <c r="B752" s="47" t="s">
        <v>2977</v>
      </c>
      <c r="C752" s="48" t="s">
        <v>2978</v>
      </c>
      <c r="D752" s="52" t="s">
        <v>73</v>
      </c>
      <c r="E752" s="52" t="s">
        <v>2945</v>
      </c>
      <c r="F752" s="55" t="s">
        <v>1619</v>
      </c>
      <c r="G752" s="51">
        <v>11</v>
      </c>
      <c r="H752" s="52" t="s">
        <v>2979</v>
      </c>
      <c r="I752" s="54">
        <v>1807000</v>
      </c>
      <c r="J752" s="54">
        <v>0</v>
      </c>
      <c r="K752" s="54">
        <v>44000</v>
      </c>
      <c r="L752" s="54">
        <v>0</v>
      </c>
      <c r="M752" s="54">
        <v>0</v>
      </c>
      <c r="N752" s="54">
        <v>0</v>
      </c>
      <c r="O752" s="54">
        <v>0</v>
      </c>
      <c r="P752" s="54">
        <v>0</v>
      </c>
      <c r="Q752" s="54">
        <v>0</v>
      </c>
      <c r="R752" s="54">
        <v>0</v>
      </c>
      <c r="S752" s="54">
        <v>0</v>
      </c>
      <c r="T752" s="54">
        <v>0</v>
      </c>
      <c r="U752" s="54">
        <v>2794</v>
      </c>
      <c r="V752" s="54">
        <v>0</v>
      </c>
      <c r="W752" s="54">
        <v>0</v>
      </c>
      <c r="X752" s="54">
        <v>0</v>
      </c>
      <c r="Y752" s="54">
        <v>0</v>
      </c>
      <c r="Z752" s="54">
        <v>0</v>
      </c>
      <c r="AA752" s="54">
        <v>0</v>
      </c>
      <c r="AB752" s="54">
        <v>0</v>
      </c>
      <c r="AC752" s="54">
        <v>0</v>
      </c>
      <c r="AD752" s="54">
        <v>0</v>
      </c>
      <c r="AE752" s="54">
        <v>0</v>
      </c>
      <c r="AF752" s="54">
        <v>0</v>
      </c>
      <c r="AG752" s="54">
        <v>0</v>
      </c>
      <c r="AH752" s="54">
        <v>0</v>
      </c>
      <c r="AI752" s="54">
        <v>0</v>
      </c>
      <c r="AJ752" s="54">
        <v>0</v>
      </c>
      <c r="AK752" s="54">
        <v>0</v>
      </c>
      <c r="AL752" s="54">
        <v>0</v>
      </c>
      <c r="AM752" s="54" t="str">
        <f>I752-J752-K752-L752-M752-N752-O752-P752-Q752-R752-S752-T752-U752-V752-W752-X752-Y752-Z752-AA752-AB752-AC752-AD752-AE752-AF752-AG752+AH752-AI752+AJ752+AK752-AL752</f>
        <v>0</v>
      </c>
      <c r="AN752" s="54"/>
      <c r="AO752" s="27"/>
    </row>
    <row r="753" spans="1:41">
      <c r="A753" s="44">
        <v>725</v>
      </c>
      <c r="B753" s="47" t="s">
        <v>2980</v>
      </c>
      <c r="C753" s="48" t="s">
        <v>2981</v>
      </c>
      <c r="D753" s="52" t="s">
        <v>73</v>
      </c>
      <c r="E753" s="52" t="s">
        <v>2945</v>
      </c>
      <c r="F753" s="55" t="s">
        <v>2982</v>
      </c>
      <c r="G753" s="51">
        <v>3</v>
      </c>
      <c r="H753" s="52" t="s">
        <v>2983</v>
      </c>
      <c r="I753" s="54">
        <v>365000</v>
      </c>
      <c r="J753" s="54">
        <v>0</v>
      </c>
      <c r="K753" s="54">
        <v>22000</v>
      </c>
      <c r="L753" s="54">
        <v>0</v>
      </c>
      <c r="M753" s="54">
        <v>0</v>
      </c>
      <c r="N753" s="54">
        <v>0</v>
      </c>
      <c r="O753" s="54">
        <v>0</v>
      </c>
      <c r="P753" s="54">
        <v>0</v>
      </c>
      <c r="Q753" s="54">
        <v>0</v>
      </c>
      <c r="R753" s="54">
        <v>0</v>
      </c>
      <c r="S753" s="54">
        <v>0</v>
      </c>
      <c r="T753" s="54">
        <v>0</v>
      </c>
      <c r="U753" s="54">
        <v>1397</v>
      </c>
      <c r="V753" s="54">
        <v>0</v>
      </c>
      <c r="W753" s="54">
        <v>0</v>
      </c>
      <c r="X753" s="54">
        <v>0</v>
      </c>
      <c r="Y753" s="54">
        <v>0</v>
      </c>
      <c r="Z753" s="54">
        <v>0</v>
      </c>
      <c r="AA753" s="54">
        <v>0</v>
      </c>
      <c r="AB753" s="54">
        <v>0</v>
      </c>
      <c r="AC753" s="54">
        <v>0</v>
      </c>
      <c r="AD753" s="54">
        <v>0</v>
      </c>
      <c r="AE753" s="54">
        <v>0</v>
      </c>
      <c r="AF753" s="54">
        <v>0</v>
      </c>
      <c r="AG753" s="54">
        <v>0</v>
      </c>
      <c r="AH753" s="54">
        <v>0</v>
      </c>
      <c r="AI753" s="54">
        <v>0</v>
      </c>
      <c r="AJ753" s="54">
        <v>0</v>
      </c>
      <c r="AK753" s="54">
        <v>0</v>
      </c>
      <c r="AL753" s="54">
        <v>0</v>
      </c>
      <c r="AM753" s="54" t="str">
        <f>I753-J753-K753-L753-M753-N753-O753-P753-Q753-R753-S753-T753-U753-V753-W753-X753-Y753-Z753-AA753-AB753-AC753-AD753-AE753-AF753-AG753+AH753-AI753+AJ753+AK753-AL753</f>
        <v>0</v>
      </c>
      <c r="AN753" s="54"/>
      <c r="AO753" s="27"/>
    </row>
    <row r="754" spans="1:41">
      <c r="A754" s="44">
        <v>726</v>
      </c>
      <c r="B754" s="47" t="s">
        <v>2984</v>
      </c>
      <c r="C754" s="48" t="s">
        <v>2985</v>
      </c>
      <c r="D754" s="52" t="s">
        <v>73</v>
      </c>
      <c r="E754" s="52" t="s">
        <v>2945</v>
      </c>
      <c r="F754" s="55" t="s">
        <v>2986</v>
      </c>
      <c r="G754" s="51">
        <v>2</v>
      </c>
      <c r="H754" s="52" t="s">
        <v>2987</v>
      </c>
      <c r="I754" s="54">
        <v>434000</v>
      </c>
      <c r="J754" s="54">
        <v>0</v>
      </c>
      <c r="K754" s="54">
        <v>22000</v>
      </c>
      <c r="L754" s="54">
        <v>0</v>
      </c>
      <c r="M754" s="54">
        <v>0</v>
      </c>
      <c r="N754" s="54">
        <v>0</v>
      </c>
      <c r="O754" s="54">
        <v>0</v>
      </c>
      <c r="P754" s="54">
        <v>0</v>
      </c>
      <c r="Q754" s="54">
        <v>0</v>
      </c>
      <c r="R754" s="54">
        <v>0</v>
      </c>
      <c r="S754" s="54">
        <v>0</v>
      </c>
      <c r="T754" s="54">
        <v>0</v>
      </c>
      <c r="U754" s="54">
        <v>1397</v>
      </c>
      <c r="V754" s="54">
        <v>0</v>
      </c>
      <c r="W754" s="54">
        <v>0</v>
      </c>
      <c r="X754" s="54">
        <v>0</v>
      </c>
      <c r="Y754" s="54">
        <v>0</v>
      </c>
      <c r="Z754" s="54">
        <v>0</v>
      </c>
      <c r="AA754" s="54">
        <v>0</v>
      </c>
      <c r="AB754" s="54">
        <v>0</v>
      </c>
      <c r="AC754" s="54">
        <v>0</v>
      </c>
      <c r="AD754" s="54">
        <v>0</v>
      </c>
      <c r="AE754" s="54">
        <v>0</v>
      </c>
      <c r="AF754" s="54">
        <v>0</v>
      </c>
      <c r="AG754" s="54">
        <v>0</v>
      </c>
      <c r="AH754" s="54">
        <v>0</v>
      </c>
      <c r="AI754" s="54">
        <v>0</v>
      </c>
      <c r="AJ754" s="54">
        <v>0</v>
      </c>
      <c r="AK754" s="54">
        <v>0</v>
      </c>
      <c r="AL754" s="54">
        <v>0</v>
      </c>
      <c r="AM754" s="54" t="str">
        <f>I754-J754-K754-L754-M754-N754-O754-P754-Q754-R754-S754-T754-U754-V754-W754-X754-Y754-Z754-AA754-AB754-AC754-AD754-AE754-AF754-AG754+AH754-AI754+AJ754+AK754-AL754</f>
        <v>0</v>
      </c>
      <c r="AN754" s="54"/>
      <c r="AO754" s="27"/>
    </row>
    <row r="755" spans="1:41">
      <c r="A755" s="44">
        <v>727</v>
      </c>
      <c r="B755" s="47" t="s">
        <v>2988</v>
      </c>
      <c r="C755" s="48" t="s">
        <v>2989</v>
      </c>
      <c r="D755" s="52" t="s">
        <v>73</v>
      </c>
      <c r="E755" s="52" t="s">
        <v>2945</v>
      </c>
      <c r="F755" s="55" t="s">
        <v>2990</v>
      </c>
      <c r="G755" s="51">
        <v>9</v>
      </c>
      <c r="H755" s="52" t="s">
        <v>2991</v>
      </c>
      <c r="I755" s="54">
        <v>1720000</v>
      </c>
      <c r="J755" s="54">
        <v>0</v>
      </c>
      <c r="K755" s="54">
        <v>44000</v>
      </c>
      <c r="L755" s="54">
        <v>0</v>
      </c>
      <c r="M755" s="54">
        <v>0</v>
      </c>
      <c r="N755" s="54">
        <v>0</v>
      </c>
      <c r="O755" s="54">
        <v>0</v>
      </c>
      <c r="P755" s="54">
        <v>0</v>
      </c>
      <c r="Q755" s="54">
        <v>0</v>
      </c>
      <c r="R755" s="54">
        <v>0</v>
      </c>
      <c r="S755" s="54">
        <v>0</v>
      </c>
      <c r="T755" s="54">
        <v>0</v>
      </c>
      <c r="U755" s="54">
        <v>2794</v>
      </c>
      <c r="V755" s="54">
        <v>0</v>
      </c>
      <c r="W755" s="54">
        <v>0</v>
      </c>
      <c r="X755" s="54">
        <v>0</v>
      </c>
      <c r="Y755" s="54">
        <v>0</v>
      </c>
      <c r="Z755" s="54">
        <v>0</v>
      </c>
      <c r="AA755" s="54">
        <v>0</v>
      </c>
      <c r="AB755" s="54">
        <v>0</v>
      </c>
      <c r="AC755" s="54">
        <v>0</v>
      </c>
      <c r="AD755" s="54">
        <v>0</v>
      </c>
      <c r="AE755" s="54">
        <v>0</v>
      </c>
      <c r="AF755" s="54">
        <v>0</v>
      </c>
      <c r="AG755" s="54">
        <v>0</v>
      </c>
      <c r="AH755" s="54">
        <v>0</v>
      </c>
      <c r="AI755" s="54">
        <v>0</v>
      </c>
      <c r="AJ755" s="54">
        <v>0</v>
      </c>
      <c r="AK755" s="54">
        <v>0</v>
      </c>
      <c r="AL755" s="54">
        <v>0</v>
      </c>
      <c r="AM755" s="54" t="str">
        <f>I755-J755-K755-L755-M755-N755-O755-P755-Q755-R755-S755-T755-U755-V755-W755-X755-Y755-Z755-AA755-AB755-AC755-AD755-AE755-AF755-AG755+AH755-AI755+AJ755+AK755-AL755</f>
        <v>0</v>
      </c>
      <c r="AN755" s="54"/>
      <c r="AO755" s="27"/>
    </row>
    <row r="756" spans="1:41">
      <c r="A756" s="44">
        <v>728</v>
      </c>
      <c r="B756" s="47" t="s">
        <v>2992</v>
      </c>
      <c r="C756" s="48" t="s">
        <v>2993</v>
      </c>
      <c r="D756" s="52" t="s">
        <v>73</v>
      </c>
      <c r="E756" s="52" t="s">
        <v>2945</v>
      </c>
      <c r="F756" s="55" t="s">
        <v>2994</v>
      </c>
      <c r="G756" s="51">
        <v>5</v>
      </c>
      <c r="H756" s="52" t="s">
        <v>2995</v>
      </c>
      <c r="I756" s="54">
        <v>633000</v>
      </c>
      <c r="J756" s="54">
        <v>0</v>
      </c>
      <c r="K756" s="54">
        <v>27000</v>
      </c>
      <c r="L756" s="54">
        <v>0</v>
      </c>
      <c r="M756" s="54">
        <v>0</v>
      </c>
      <c r="N756" s="54">
        <v>0</v>
      </c>
      <c r="O756" s="54">
        <v>0</v>
      </c>
      <c r="P756" s="54">
        <v>0</v>
      </c>
      <c r="Q756" s="54">
        <v>0</v>
      </c>
      <c r="R756" s="54">
        <v>0</v>
      </c>
      <c r="S756" s="54">
        <v>0</v>
      </c>
      <c r="T756" s="54">
        <v>0</v>
      </c>
      <c r="U756" s="54">
        <v>1714</v>
      </c>
      <c r="V756" s="54">
        <v>0</v>
      </c>
      <c r="W756" s="54">
        <v>0</v>
      </c>
      <c r="X756" s="54">
        <v>0</v>
      </c>
      <c r="Y756" s="54">
        <v>0</v>
      </c>
      <c r="Z756" s="54">
        <v>0</v>
      </c>
      <c r="AA756" s="54">
        <v>0</v>
      </c>
      <c r="AB756" s="54">
        <v>0</v>
      </c>
      <c r="AC756" s="54">
        <v>0</v>
      </c>
      <c r="AD756" s="54">
        <v>0</v>
      </c>
      <c r="AE756" s="54">
        <v>0</v>
      </c>
      <c r="AF756" s="54">
        <v>0</v>
      </c>
      <c r="AG756" s="54">
        <v>0</v>
      </c>
      <c r="AH756" s="54">
        <v>0</v>
      </c>
      <c r="AI756" s="54">
        <v>0</v>
      </c>
      <c r="AJ756" s="54">
        <v>0</v>
      </c>
      <c r="AK756" s="54">
        <v>0</v>
      </c>
      <c r="AL756" s="54">
        <v>0</v>
      </c>
      <c r="AM756" s="54" t="str">
        <f>I756-J756-K756-L756-M756-N756-O756-P756-Q756-R756-S756-T756-U756-V756-W756-X756-Y756-Z756-AA756-AB756-AC756-AD756-AE756-AF756-AG756+AH756-AI756+AJ756+AK756-AL756</f>
        <v>0</v>
      </c>
      <c r="AN756" s="54"/>
      <c r="AO756" s="27"/>
    </row>
    <row r="757" spans="1:41">
      <c r="A757" s="44">
        <v>729</v>
      </c>
      <c r="B757" s="47" t="s">
        <v>2996</v>
      </c>
      <c r="C757" s="48" t="s">
        <v>2997</v>
      </c>
      <c r="D757" s="52" t="s">
        <v>73</v>
      </c>
      <c r="E757" s="52" t="s">
        <v>2945</v>
      </c>
      <c r="F757" s="55" t="s">
        <v>755</v>
      </c>
      <c r="G757" s="51">
        <v>9</v>
      </c>
      <c r="H757" s="52" t="s">
        <v>2998</v>
      </c>
      <c r="I757" s="54">
        <v>1388000</v>
      </c>
      <c r="J757" s="54">
        <v>0</v>
      </c>
      <c r="K757" s="54">
        <v>44000</v>
      </c>
      <c r="L757" s="54">
        <v>0</v>
      </c>
      <c r="M757" s="54">
        <v>0</v>
      </c>
      <c r="N757" s="54">
        <v>0</v>
      </c>
      <c r="O757" s="54">
        <v>0</v>
      </c>
      <c r="P757" s="54">
        <v>0</v>
      </c>
      <c r="Q757" s="54">
        <v>0</v>
      </c>
      <c r="R757" s="54">
        <v>0</v>
      </c>
      <c r="S757" s="54">
        <v>0</v>
      </c>
      <c r="T757" s="54">
        <v>0</v>
      </c>
      <c r="U757" s="54">
        <v>2794</v>
      </c>
      <c r="V757" s="54">
        <v>0</v>
      </c>
      <c r="W757" s="54">
        <v>0</v>
      </c>
      <c r="X757" s="54">
        <v>0</v>
      </c>
      <c r="Y757" s="54">
        <v>0</v>
      </c>
      <c r="Z757" s="54">
        <v>0</v>
      </c>
      <c r="AA757" s="54">
        <v>0</v>
      </c>
      <c r="AB757" s="54">
        <v>0</v>
      </c>
      <c r="AC757" s="54">
        <v>0</v>
      </c>
      <c r="AD757" s="54">
        <v>0</v>
      </c>
      <c r="AE757" s="54">
        <v>0</v>
      </c>
      <c r="AF757" s="54">
        <v>0</v>
      </c>
      <c r="AG757" s="54">
        <v>0</v>
      </c>
      <c r="AH757" s="54">
        <v>0</v>
      </c>
      <c r="AI757" s="54">
        <v>0</v>
      </c>
      <c r="AJ757" s="54">
        <v>0</v>
      </c>
      <c r="AK757" s="54">
        <v>0</v>
      </c>
      <c r="AL757" s="54">
        <v>0</v>
      </c>
      <c r="AM757" s="54" t="str">
        <f>I757-J757-K757-L757-M757-N757-O757-P757-Q757-R757-S757-T757-U757-V757-W757-X757-Y757-Z757-AA757-AB757-AC757-AD757-AE757-AF757-AG757+AH757-AI757+AJ757+AK757-AL757</f>
        <v>0</v>
      </c>
      <c r="AN757" s="54"/>
      <c r="AO757" s="27"/>
    </row>
    <row r="758" spans="1:41">
      <c r="A758" s="44">
        <v>730</v>
      </c>
      <c r="B758" s="47" t="s">
        <v>2999</v>
      </c>
      <c r="C758" s="48" t="s">
        <v>3000</v>
      </c>
      <c r="D758" s="52" t="s">
        <v>73</v>
      </c>
      <c r="E758" s="52" t="s">
        <v>2945</v>
      </c>
      <c r="F758" s="55" t="s">
        <v>3001</v>
      </c>
      <c r="G758" s="51">
        <v>4</v>
      </c>
      <c r="H758" s="52" t="s">
        <v>3002</v>
      </c>
      <c r="I758" s="54">
        <v>680000</v>
      </c>
      <c r="J758" s="54">
        <v>0</v>
      </c>
      <c r="K758" s="54">
        <v>25000</v>
      </c>
      <c r="L758" s="54">
        <v>0</v>
      </c>
      <c r="M758" s="54">
        <v>0</v>
      </c>
      <c r="N758" s="54">
        <v>0</v>
      </c>
      <c r="O758" s="54">
        <v>0</v>
      </c>
      <c r="P758" s="54">
        <v>0</v>
      </c>
      <c r="Q758" s="54">
        <v>0</v>
      </c>
      <c r="R758" s="54">
        <v>0</v>
      </c>
      <c r="S758" s="54">
        <v>0</v>
      </c>
      <c r="T758" s="54">
        <v>0</v>
      </c>
      <c r="U758" s="54">
        <v>1587</v>
      </c>
      <c r="V758" s="54">
        <v>0</v>
      </c>
      <c r="W758" s="54">
        <v>0</v>
      </c>
      <c r="X758" s="54">
        <v>0</v>
      </c>
      <c r="Y758" s="54">
        <v>0</v>
      </c>
      <c r="Z758" s="54">
        <v>0</v>
      </c>
      <c r="AA758" s="54">
        <v>0</v>
      </c>
      <c r="AB758" s="54">
        <v>0</v>
      </c>
      <c r="AC758" s="54">
        <v>0</v>
      </c>
      <c r="AD758" s="54">
        <v>0</v>
      </c>
      <c r="AE758" s="54">
        <v>0</v>
      </c>
      <c r="AF758" s="54">
        <v>0</v>
      </c>
      <c r="AG758" s="54">
        <v>0</v>
      </c>
      <c r="AH758" s="54">
        <v>0</v>
      </c>
      <c r="AI758" s="54">
        <v>0</v>
      </c>
      <c r="AJ758" s="54">
        <v>0</v>
      </c>
      <c r="AK758" s="54">
        <v>0</v>
      </c>
      <c r="AL758" s="54">
        <v>0</v>
      </c>
      <c r="AM758" s="54" t="str">
        <f>I758-J758-K758-L758-M758-N758-O758-P758-Q758-R758-S758-T758-U758-V758-W758-X758-Y758-Z758-AA758-AB758-AC758-AD758-AE758-AF758-AG758+AH758-AI758+AJ758+AK758-AL758</f>
        <v>0</v>
      </c>
      <c r="AN758" s="54"/>
      <c r="AO758" s="27"/>
    </row>
    <row r="759" spans="1:41">
      <c r="A759" s="44">
        <v>731</v>
      </c>
      <c r="B759" s="47" t="s">
        <v>3003</v>
      </c>
      <c r="C759" s="48" t="s">
        <v>3004</v>
      </c>
      <c r="D759" s="52" t="s">
        <v>73</v>
      </c>
      <c r="E759" s="52" t="s">
        <v>2945</v>
      </c>
      <c r="F759" s="55" t="s">
        <v>3005</v>
      </c>
      <c r="G759" s="51">
        <v>3</v>
      </c>
      <c r="H759" s="52" t="s">
        <v>3006</v>
      </c>
      <c r="I759" s="54">
        <v>560000</v>
      </c>
      <c r="J759" s="54">
        <v>0</v>
      </c>
      <c r="K759" s="54">
        <v>22000</v>
      </c>
      <c r="L759" s="54">
        <v>0</v>
      </c>
      <c r="M759" s="54">
        <v>0</v>
      </c>
      <c r="N759" s="54">
        <v>0</v>
      </c>
      <c r="O759" s="54">
        <v>0</v>
      </c>
      <c r="P759" s="54">
        <v>0</v>
      </c>
      <c r="Q759" s="54">
        <v>0</v>
      </c>
      <c r="R759" s="54">
        <v>0</v>
      </c>
      <c r="S759" s="54">
        <v>0</v>
      </c>
      <c r="T759" s="54">
        <v>0</v>
      </c>
      <c r="U759" s="54">
        <v>1397</v>
      </c>
      <c r="V759" s="54">
        <v>0</v>
      </c>
      <c r="W759" s="54">
        <v>0</v>
      </c>
      <c r="X759" s="54">
        <v>0</v>
      </c>
      <c r="Y759" s="54">
        <v>0</v>
      </c>
      <c r="Z759" s="54">
        <v>0</v>
      </c>
      <c r="AA759" s="54">
        <v>0</v>
      </c>
      <c r="AB759" s="54">
        <v>0</v>
      </c>
      <c r="AC759" s="54">
        <v>0</v>
      </c>
      <c r="AD759" s="54">
        <v>0</v>
      </c>
      <c r="AE759" s="54">
        <v>0</v>
      </c>
      <c r="AF759" s="54">
        <v>0</v>
      </c>
      <c r="AG759" s="54">
        <v>0</v>
      </c>
      <c r="AH759" s="54">
        <v>0</v>
      </c>
      <c r="AI759" s="54">
        <v>0</v>
      </c>
      <c r="AJ759" s="54">
        <v>0</v>
      </c>
      <c r="AK759" s="54">
        <v>0</v>
      </c>
      <c r="AL759" s="54">
        <v>0</v>
      </c>
      <c r="AM759" s="54" t="str">
        <f>I759-J759-K759-L759-M759-N759-O759-P759-Q759-R759-S759-T759-U759-V759-W759-X759-Y759-Z759-AA759-AB759-AC759-AD759-AE759-AF759-AG759+AH759-AI759+AJ759+AK759-AL759</f>
        <v>0</v>
      </c>
      <c r="AN759" s="54"/>
      <c r="AO759" s="27"/>
    </row>
    <row r="760" spans="1:41">
      <c r="A760" s="44">
        <v>732</v>
      </c>
      <c r="B760" s="47" t="s">
        <v>3007</v>
      </c>
      <c r="C760" s="48" t="s">
        <v>3008</v>
      </c>
      <c r="D760" s="52" t="s">
        <v>73</v>
      </c>
      <c r="E760" s="52" t="s">
        <v>2945</v>
      </c>
      <c r="F760" s="55" t="s">
        <v>3009</v>
      </c>
      <c r="G760" s="51">
        <v>6</v>
      </c>
      <c r="H760" s="52" t="s">
        <v>3010</v>
      </c>
      <c r="I760" s="54">
        <v>1720000</v>
      </c>
      <c r="J760" s="54">
        <v>0</v>
      </c>
      <c r="K760" s="54">
        <v>31000</v>
      </c>
      <c r="L760" s="54">
        <v>0</v>
      </c>
      <c r="M760" s="54">
        <v>0</v>
      </c>
      <c r="N760" s="54">
        <v>0</v>
      </c>
      <c r="O760" s="54">
        <v>0</v>
      </c>
      <c r="P760" s="54">
        <v>0</v>
      </c>
      <c r="Q760" s="54">
        <v>0</v>
      </c>
      <c r="R760" s="54">
        <v>0</v>
      </c>
      <c r="S760" s="54">
        <v>0</v>
      </c>
      <c r="T760" s="54">
        <v>0</v>
      </c>
      <c r="U760" s="54">
        <v>1968</v>
      </c>
      <c r="V760" s="54">
        <v>0</v>
      </c>
      <c r="W760" s="54">
        <v>0</v>
      </c>
      <c r="X760" s="54">
        <v>0</v>
      </c>
      <c r="Y760" s="54">
        <v>0</v>
      </c>
      <c r="Z760" s="54">
        <v>0</v>
      </c>
      <c r="AA760" s="54">
        <v>0</v>
      </c>
      <c r="AB760" s="54">
        <v>0</v>
      </c>
      <c r="AC760" s="54">
        <v>0</v>
      </c>
      <c r="AD760" s="54">
        <v>0</v>
      </c>
      <c r="AE760" s="54">
        <v>0</v>
      </c>
      <c r="AF760" s="54">
        <v>0</v>
      </c>
      <c r="AG760" s="54">
        <v>0</v>
      </c>
      <c r="AH760" s="54">
        <v>0</v>
      </c>
      <c r="AI760" s="54">
        <v>0</v>
      </c>
      <c r="AJ760" s="54">
        <v>0</v>
      </c>
      <c r="AK760" s="54">
        <v>0</v>
      </c>
      <c r="AL760" s="54">
        <v>0</v>
      </c>
      <c r="AM760" s="54" t="str">
        <f>I760-J760-K760-L760-M760-N760-O760-P760-Q760-R760-S760-T760-U760-V760-W760-X760-Y760-Z760-AA760-AB760-AC760-AD760-AE760-AF760-AG760+AH760-AI760+AJ760+AK760-AL760</f>
        <v>0</v>
      </c>
      <c r="AN760" s="54"/>
      <c r="AO760" s="27"/>
    </row>
    <row r="761" spans="1:41">
      <c r="A761" s="44">
        <v>733</v>
      </c>
      <c r="B761" s="47" t="s">
        <v>3011</v>
      </c>
      <c r="C761" s="48" t="s">
        <v>3012</v>
      </c>
      <c r="D761" s="52" t="s">
        <v>73</v>
      </c>
      <c r="E761" s="52" t="s">
        <v>3013</v>
      </c>
      <c r="F761" s="55" t="s">
        <v>3014</v>
      </c>
      <c r="G761" s="51">
        <v>7</v>
      </c>
      <c r="H761" s="52" t="s">
        <v>3015</v>
      </c>
      <c r="I761" s="54">
        <v>574000</v>
      </c>
      <c r="J761" s="54">
        <v>0</v>
      </c>
      <c r="K761" s="54">
        <v>35000</v>
      </c>
      <c r="L761" s="54">
        <v>0</v>
      </c>
      <c r="M761" s="54">
        <v>0</v>
      </c>
      <c r="N761" s="54">
        <v>0</v>
      </c>
      <c r="O761" s="54">
        <v>0</v>
      </c>
      <c r="P761" s="54">
        <v>0</v>
      </c>
      <c r="Q761" s="54">
        <v>0</v>
      </c>
      <c r="R761" s="54">
        <v>0</v>
      </c>
      <c r="S761" s="54">
        <v>0</v>
      </c>
      <c r="T761" s="54">
        <v>0</v>
      </c>
      <c r="U761" s="54">
        <v>2222</v>
      </c>
      <c r="V761" s="54">
        <v>0</v>
      </c>
      <c r="W761" s="54">
        <v>0</v>
      </c>
      <c r="X761" s="54">
        <v>0</v>
      </c>
      <c r="Y761" s="54">
        <v>0</v>
      </c>
      <c r="Z761" s="54">
        <v>0</v>
      </c>
      <c r="AA761" s="54">
        <v>0</v>
      </c>
      <c r="AB761" s="54">
        <v>0</v>
      </c>
      <c r="AC761" s="54">
        <v>0</v>
      </c>
      <c r="AD761" s="54">
        <v>0</v>
      </c>
      <c r="AE761" s="54">
        <v>0</v>
      </c>
      <c r="AF761" s="54">
        <v>0</v>
      </c>
      <c r="AG761" s="54">
        <v>0</v>
      </c>
      <c r="AH761" s="54">
        <v>0</v>
      </c>
      <c r="AI761" s="54">
        <v>0</v>
      </c>
      <c r="AJ761" s="54">
        <v>0</v>
      </c>
      <c r="AK761" s="54">
        <v>0</v>
      </c>
      <c r="AL761" s="54">
        <v>0</v>
      </c>
      <c r="AM761" s="54" t="str">
        <f>I761-J761-K761-L761-M761-N761-O761-P761-Q761-R761-S761-T761-U761-V761-W761-X761-Y761-Z761-AA761-AB761-AC761-AD761-AE761-AF761-AG761+AH761-AI761+AJ761+AK761-AL761</f>
        <v>0</v>
      </c>
      <c r="AN761" s="54"/>
      <c r="AO761" s="27"/>
    </row>
    <row r="762" spans="1:41">
      <c r="A762" s="44">
        <v>734</v>
      </c>
      <c r="B762" s="47" t="s">
        <v>3016</v>
      </c>
      <c r="C762" s="48" t="s">
        <v>3017</v>
      </c>
      <c r="D762" s="52" t="s">
        <v>73</v>
      </c>
      <c r="E762" s="52" t="s">
        <v>3013</v>
      </c>
      <c r="F762" s="55" t="s">
        <v>3018</v>
      </c>
      <c r="G762" s="51">
        <v>3</v>
      </c>
      <c r="H762" s="52" t="s">
        <v>3019</v>
      </c>
      <c r="I762" s="54">
        <v>834000</v>
      </c>
      <c r="J762" s="54">
        <v>0</v>
      </c>
      <c r="K762" s="54">
        <v>22000</v>
      </c>
      <c r="L762" s="54">
        <v>0</v>
      </c>
      <c r="M762" s="54">
        <v>0</v>
      </c>
      <c r="N762" s="54">
        <v>0</v>
      </c>
      <c r="O762" s="54">
        <v>0</v>
      </c>
      <c r="P762" s="54">
        <v>0</v>
      </c>
      <c r="Q762" s="54">
        <v>0</v>
      </c>
      <c r="R762" s="54">
        <v>0</v>
      </c>
      <c r="S762" s="54">
        <v>0</v>
      </c>
      <c r="T762" s="54">
        <v>0</v>
      </c>
      <c r="U762" s="54">
        <v>1397</v>
      </c>
      <c r="V762" s="54">
        <v>0</v>
      </c>
      <c r="W762" s="54">
        <v>0</v>
      </c>
      <c r="X762" s="54">
        <v>0</v>
      </c>
      <c r="Y762" s="54">
        <v>0</v>
      </c>
      <c r="Z762" s="54">
        <v>0</v>
      </c>
      <c r="AA762" s="54">
        <v>0</v>
      </c>
      <c r="AB762" s="54">
        <v>0</v>
      </c>
      <c r="AC762" s="54">
        <v>0</v>
      </c>
      <c r="AD762" s="54">
        <v>0</v>
      </c>
      <c r="AE762" s="54">
        <v>0</v>
      </c>
      <c r="AF762" s="54">
        <v>0</v>
      </c>
      <c r="AG762" s="54">
        <v>0</v>
      </c>
      <c r="AH762" s="54">
        <v>0</v>
      </c>
      <c r="AI762" s="54">
        <v>0</v>
      </c>
      <c r="AJ762" s="54">
        <v>0</v>
      </c>
      <c r="AK762" s="54">
        <v>0</v>
      </c>
      <c r="AL762" s="54">
        <v>0</v>
      </c>
      <c r="AM762" s="54" t="str">
        <f>I762-J762-K762-L762-M762-N762-O762-P762-Q762-R762-S762-T762-U762-V762-W762-X762-Y762-Z762-AA762-AB762-AC762-AD762-AE762-AF762-AG762+AH762-AI762+AJ762+AK762-AL762</f>
        <v>0</v>
      </c>
      <c r="AN762" s="54"/>
      <c r="AO762" s="27"/>
    </row>
    <row r="763" spans="1:41">
      <c r="A763" s="44">
        <v>735</v>
      </c>
      <c r="B763" s="47" t="s">
        <v>3020</v>
      </c>
      <c r="C763" s="48" t="s">
        <v>3021</v>
      </c>
      <c r="D763" s="52" t="s">
        <v>73</v>
      </c>
      <c r="E763" s="52" t="s">
        <v>3022</v>
      </c>
      <c r="F763" s="55" t="s">
        <v>1379</v>
      </c>
      <c r="G763" s="51">
        <v>7</v>
      </c>
      <c r="H763" s="52" t="s">
        <v>3023</v>
      </c>
      <c r="I763" s="54">
        <v>585000</v>
      </c>
      <c r="J763" s="54">
        <v>0</v>
      </c>
      <c r="K763" s="54">
        <v>35000</v>
      </c>
      <c r="L763" s="54">
        <v>0</v>
      </c>
      <c r="M763" s="54">
        <v>0</v>
      </c>
      <c r="N763" s="54">
        <v>0</v>
      </c>
      <c r="O763" s="54">
        <v>0</v>
      </c>
      <c r="P763" s="54">
        <v>0</v>
      </c>
      <c r="Q763" s="54">
        <v>0</v>
      </c>
      <c r="R763" s="54">
        <v>0</v>
      </c>
      <c r="S763" s="54">
        <v>0</v>
      </c>
      <c r="T763" s="54">
        <v>0</v>
      </c>
      <c r="U763" s="54">
        <v>2222</v>
      </c>
      <c r="V763" s="54">
        <v>0</v>
      </c>
      <c r="W763" s="54">
        <v>0</v>
      </c>
      <c r="X763" s="54">
        <v>0</v>
      </c>
      <c r="Y763" s="54">
        <v>0</v>
      </c>
      <c r="Z763" s="54">
        <v>0</v>
      </c>
      <c r="AA763" s="54">
        <v>0</v>
      </c>
      <c r="AB763" s="54">
        <v>0</v>
      </c>
      <c r="AC763" s="54">
        <v>0</v>
      </c>
      <c r="AD763" s="54">
        <v>0</v>
      </c>
      <c r="AE763" s="54">
        <v>0</v>
      </c>
      <c r="AF763" s="54">
        <v>0</v>
      </c>
      <c r="AG763" s="54">
        <v>0</v>
      </c>
      <c r="AH763" s="54">
        <v>0</v>
      </c>
      <c r="AI763" s="54">
        <v>0</v>
      </c>
      <c r="AJ763" s="54">
        <v>0</v>
      </c>
      <c r="AK763" s="54">
        <v>0</v>
      </c>
      <c r="AL763" s="54">
        <v>0</v>
      </c>
      <c r="AM763" s="54" t="str">
        <f>I763-J763-K763-L763-M763-N763-O763-P763-Q763-R763-S763-T763-U763-V763-W763-X763-Y763-Z763-AA763-AB763-AC763-AD763-AE763-AF763-AG763+AH763-AI763+AJ763+AK763-AL763</f>
        <v>0</v>
      </c>
      <c r="AN763" s="54"/>
      <c r="AO763" s="27"/>
    </row>
    <row r="764" spans="1:41">
      <c r="A764" s="44">
        <v>736</v>
      </c>
      <c r="B764" s="47" t="s">
        <v>3024</v>
      </c>
      <c r="C764" s="48" t="s">
        <v>3025</v>
      </c>
      <c r="D764" s="52" t="s">
        <v>73</v>
      </c>
      <c r="E764" s="52" t="s">
        <v>3022</v>
      </c>
      <c r="F764" s="55" t="s">
        <v>3026</v>
      </c>
      <c r="G764" s="51">
        <v>5</v>
      </c>
      <c r="H764" s="52" t="s">
        <v>3027</v>
      </c>
      <c r="I764" s="54">
        <v>1099000</v>
      </c>
      <c r="J764" s="54">
        <v>0</v>
      </c>
      <c r="K764" s="54">
        <v>27000</v>
      </c>
      <c r="L764" s="54">
        <v>0</v>
      </c>
      <c r="M764" s="54">
        <v>0</v>
      </c>
      <c r="N764" s="54">
        <v>0</v>
      </c>
      <c r="O764" s="54">
        <v>0</v>
      </c>
      <c r="P764" s="54">
        <v>0</v>
      </c>
      <c r="Q764" s="54">
        <v>0</v>
      </c>
      <c r="R764" s="54">
        <v>0</v>
      </c>
      <c r="S764" s="54">
        <v>0</v>
      </c>
      <c r="T764" s="54">
        <v>0</v>
      </c>
      <c r="U764" s="54">
        <v>1714</v>
      </c>
      <c r="V764" s="54">
        <v>0</v>
      </c>
      <c r="W764" s="54">
        <v>0</v>
      </c>
      <c r="X764" s="54">
        <v>0</v>
      </c>
      <c r="Y764" s="54">
        <v>0</v>
      </c>
      <c r="Z764" s="54">
        <v>0</v>
      </c>
      <c r="AA764" s="54">
        <v>0</v>
      </c>
      <c r="AB764" s="54">
        <v>0</v>
      </c>
      <c r="AC764" s="54">
        <v>0</v>
      </c>
      <c r="AD764" s="54">
        <v>0</v>
      </c>
      <c r="AE764" s="54">
        <v>0</v>
      </c>
      <c r="AF764" s="54">
        <v>0</v>
      </c>
      <c r="AG764" s="54">
        <v>0</v>
      </c>
      <c r="AH764" s="54">
        <v>0</v>
      </c>
      <c r="AI764" s="54">
        <v>0</v>
      </c>
      <c r="AJ764" s="54">
        <v>0</v>
      </c>
      <c r="AK764" s="54">
        <v>0</v>
      </c>
      <c r="AL764" s="54">
        <v>0</v>
      </c>
      <c r="AM764" s="54" t="str">
        <f>I764-J764-K764-L764-M764-N764-O764-P764-Q764-R764-S764-T764-U764-V764-W764-X764-Y764-Z764-AA764-AB764-AC764-AD764-AE764-AF764-AG764+AH764-AI764+AJ764+AK764-AL764</f>
        <v>0</v>
      </c>
      <c r="AN764" s="54"/>
      <c r="AO764" s="27"/>
    </row>
    <row r="765" spans="1:41">
      <c r="A765" s="44">
        <v>737</v>
      </c>
      <c r="B765" s="47" t="s">
        <v>3028</v>
      </c>
      <c r="C765" s="48" t="s">
        <v>3029</v>
      </c>
      <c r="D765" s="52" t="s">
        <v>73</v>
      </c>
      <c r="E765" s="52" t="s">
        <v>3022</v>
      </c>
      <c r="F765" s="55" t="s">
        <v>3030</v>
      </c>
      <c r="G765" s="51">
        <v>5</v>
      </c>
      <c r="H765" s="52" t="s">
        <v>3031</v>
      </c>
      <c r="I765" s="54">
        <v>1385000</v>
      </c>
      <c r="J765" s="54">
        <v>0</v>
      </c>
      <c r="K765" s="54">
        <v>27000</v>
      </c>
      <c r="L765" s="54">
        <v>0</v>
      </c>
      <c r="M765" s="54">
        <v>0</v>
      </c>
      <c r="N765" s="54">
        <v>0</v>
      </c>
      <c r="O765" s="54">
        <v>0</v>
      </c>
      <c r="P765" s="54">
        <v>0</v>
      </c>
      <c r="Q765" s="54">
        <v>0</v>
      </c>
      <c r="R765" s="54">
        <v>0</v>
      </c>
      <c r="S765" s="54">
        <v>0</v>
      </c>
      <c r="T765" s="54">
        <v>0</v>
      </c>
      <c r="U765" s="54">
        <v>1714</v>
      </c>
      <c r="V765" s="54">
        <v>0</v>
      </c>
      <c r="W765" s="54">
        <v>0</v>
      </c>
      <c r="X765" s="54">
        <v>0</v>
      </c>
      <c r="Y765" s="54">
        <v>0</v>
      </c>
      <c r="Z765" s="54">
        <v>0</v>
      </c>
      <c r="AA765" s="54">
        <v>0</v>
      </c>
      <c r="AB765" s="54">
        <v>0</v>
      </c>
      <c r="AC765" s="54">
        <v>0</v>
      </c>
      <c r="AD765" s="54">
        <v>0</v>
      </c>
      <c r="AE765" s="54">
        <v>0</v>
      </c>
      <c r="AF765" s="54">
        <v>0</v>
      </c>
      <c r="AG765" s="54">
        <v>0</v>
      </c>
      <c r="AH765" s="54">
        <v>0</v>
      </c>
      <c r="AI765" s="54">
        <v>0</v>
      </c>
      <c r="AJ765" s="54">
        <v>0</v>
      </c>
      <c r="AK765" s="54">
        <v>0</v>
      </c>
      <c r="AL765" s="54">
        <v>0</v>
      </c>
      <c r="AM765" s="54" t="str">
        <f>I765-J765-K765-L765-M765-N765-O765-P765-Q765-R765-S765-T765-U765-V765-W765-X765-Y765-Z765-AA765-AB765-AC765-AD765-AE765-AF765-AG765+AH765-AI765+AJ765+AK765-AL765</f>
        <v>0</v>
      </c>
      <c r="AN765" s="54"/>
      <c r="AO765" s="27"/>
    </row>
    <row r="766" spans="1:41">
      <c r="A766" s="44">
        <v>738</v>
      </c>
      <c r="B766" s="47" t="s">
        <v>3032</v>
      </c>
      <c r="C766" s="48" t="s">
        <v>3033</v>
      </c>
      <c r="D766" s="52" t="s">
        <v>73</v>
      </c>
      <c r="E766" s="52" t="s">
        <v>3022</v>
      </c>
      <c r="F766" s="55" t="s">
        <v>1650</v>
      </c>
      <c r="G766" s="51">
        <v>2</v>
      </c>
      <c r="H766" s="52" t="s">
        <v>3034</v>
      </c>
      <c r="I766" s="54">
        <v>0</v>
      </c>
      <c r="J766" s="54">
        <v>0</v>
      </c>
      <c r="K766" s="54">
        <v>22000</v>
      </c>
      <c r="L766" s="54">
        <v>0</v>
      </c>
      <c r="M766" s="54">
        <v>0</v>
      </c>
      <c r="N766" s="54">
        <v>0</v>
      </c>
      <c r="O766" s="54">
        <v>0</v>
      </c>
      <c r="P766" s="54">
        <v>0</v>
      </c>
      <c r="Q766" s="54">
        <v>0</v>
      </c>
      <c r="R766" s="54">
        <v>0</v>
      </c>
      <c r="S766" s="54">
        <v>0</v>
      </c>
      <c r="T766" s="54">
        <v>0</v>
      </c>
      <c r="U766" s="54">
        <v>1397</v>
      </c>
      <c r="V766" s="54">
        <v>0</v>
      </c>
      <c r="W766" s="54">
        <v>0</v>
      </c>
      <c r="X766" s="54">
        <v>0</v>
      </c>
      <c r="Y766" s="54">
        <v>0</v>
      </c>
      <c r="Z766" s="54">
        <v>0</v>
      </c>
      <c r="AA766" s="54">
        <v>0</v>
      </c>
      <c r="AB766" s="54">
        <v>0</v>
      </c>
      <c r="AC766" s="54">
        <v>0</v>
      </c>
      <c r="AD766" s="54">
        <v>0</v>
      </c>
      <c r="AE766" s="54">
        <v>0</v>
      </c>
      <c r="AF766" s="54">
        <v>0</v>
      </c>
      <c r="AG766" s="54">
        <v>0</v>
      </c>
      <c r="AH766" s="54">
        <v>0</v>
      </c>
      <c r="AI766" s="54">
        <v>0</v>
      </c>
      <c r="AJ766" s="54">
        <v>0</v>
      </c>
      <c r="AK766" s="54">
        <v>0</v>
      </c>
      <c r="AL766" s="54">
        <v>0</v>
      </c>
      <c r="AM766" s="54" t="str">
        <f>I766-J766-K766-L766-M766-N766-O766-P766-Q766-R766-S766-T766-U766-V766-W766-X766-Y766-Z766-AA766-AB766-AC766-AD766-AE766-AF766-AG766+AH766-AI766+AJ766+AK766-AL766</f>
        <v>0</v>
      </c>
      <c r="AN766" s="54"/>
      <c r="AO766" s="27"/>
    </row>
    <row r="767" spans="1:41">
      <c r="A767" s="44">
        <v>739</v>
      </c>
      <c r="B767" s="47" t="s">
        <v>3035</v>
      </c>
      <c r="C767" s="48" t="s">
        <v>3036</v>
      </c>
      <c r="D767" s="52" t="s">
        <v>73</v>
      </c>
      <c r="E767" s="52" t="s">
        <v>3022</v>
      </c>
      <c r="F767" s="55" t="s">
        <v>1889</v>
      </c>
      <c r="G767" s="51">
        <v>7</v>
      </c>
      <c r="H767" s="52" t="s">
        <v>3037</v>
      </c>
      <c r="I767" s="54">
        <v>1339000</v>
      </c>
      <c r="J767" s="54">
        <v>0</v>
      </c>
      <c r="K767" s="54">
        <v>35000</v>
      </c>
      <c r="L767" s="54">
        <v>0</v>
      </c>
      <c r="M767" s="54">
        <v>0</v>
      </c>
      <c r="N767" s="54">
        <v>0</v>
      </c>
      <c r="O767" s="54">
        <v>0</v>
      </c>
      <c r="P767" s="54">
        <v>0</v>
      </c>
      <c r="Q767" s="54">
        <v>0</v>
      </c>
      <c r="R767" s="54">
        <v>0</v>
      </c>
      <c r="S767" s="54">
        <v>0</v>
      </c>
      <c r="T767" s="54">
        <v>0</v>
      </c>
      <c r="U767" s="54">
        <v>2222</v>
      </c>
      <c r="V767" s="54">
        <v>0</v>
      </c>
      <c r="W767" s="54">
        <v>0</v>
      </c>
      <c r="X767" s="54">
        <v>0</v>
      </c>
      <c r="Y767" s="54">
        <v>0</v>
      </c>
      <c r="Z767" s="54">
        <v>0</v>
      </c>
      <c r="AA767" s="54">
        <v>0</v>
      </c>
      <c r="AB767" s="54">
        <v>0</v>
      </c>
      <c r="AC767" s="54">
        <v>0</v>
      </c>
      <c r="AD767" s="54">
        <v>0</v>
      </c>
      <c r="AE767" s="54">
        <v>0</v>
      </c>
      <c r="AF767" s="54">
        <v>0</v>
      </c>
      <c r="AG767" s="54">
        <v>0</v>
      </c>
      <c r="AH767" s="54">
        <v>0</v>
      </c>
      <c r="AI767" s="54">
        <v>0</v>
      </c>
      <c r="AJ767" s="54">
        <v>0</v>
      </c>
      <c r="AK767" s="54">
        <v>0</v>
      </c>
      <c r="AL767" s="54">
        <v>0</v>
      </c>
      <c r="AM767" s="54" t="str">
        <f>I767-J767-K767-L767-M767-N767-O767-P767-Q767-R767-S767-T767-U767-V767-W767-X767-Y767-Z767-AA767-AB767-AC767-AD767-AE767-AF767-AG767+AH767-AI767+AJ767+AK767-AL767</f>
        <v>0</v>
      </c>
      <c r="AN767" s="54"/>
      <c r="AO767" s="27"/>
    </row>
    <row r="768" spans="1:41">
      <c r="A768" s="44">
        <v>740</v>
      </c>
      <c r="B768" s="47" t="s">
        <v>3038</v>
      </c>
      <c r="C768" s="48" t="s">
        <v>3039</v>
      </c>
      <c r="D768" s="52" t="s">
        <v>73</v>
      </c>
      <c r="E768" s="52" t="s">
        <v>3040</v>
      </c>
      <c r="F768" s="55" t="s">
        <v>3041</v>
      </c>
      <c r="G768" s="51">
        <v>3</v>
      </c>
      <c r="H768" s="52" t="s">
        <v>3042</v>
      </c>
      <c r="I768" s="54">
        <v>0</v>
      </c>
      <c r="J768" s="54">
        <v>0</v>
      </c>
      <c r="K768" s="54">
        <v>22000</v>
      </c>
      <c r="L768" s="54">
        <v>0</v>
      </c>
      <c r="M768" s="54">
        <v>0</v>
      </c>
      <c r="N768" s="54">
        <v>0</v>
      </c>
      <c r="O768" s="54">
        <v>0</v>
      </c>
      <c r="P768" s="54">
        <v>0</v>
      </c>
      <c r="Q768" s="54">
        <v>0</v>
      </c>
      <c r="R768" s="54">
        <v>0</v>
      </c>
      <c r="S768" s="54">
        <v>0</v>
      </c>
      <c r="T768" s="54">
        <v>0</v>
      </c>
      <c r="U768" s="54">
        <v>1397</v>
      </c>
      <c r="V768" s="54">
        <v>0</v>
      </c>
      <c r="W768" s="54">
        <v>0</v>
      </c>
      <c r="X768" s="54">
        <v>0</v>
      </c>
      <c r="Y768" s="54">
        <v>0</v>
      </c>
      <c r="Z768" s="54">
        <v>0</v>
      </c>
      <c r="AA768" s="54">
        <v>0</v>
      </c>
      <c r="AB768" s="54">
        <v>0</v>
      </c>
      <c r="AC768" s="54">
        <v>0</v>
      </c>
      <c r="AD768" s="54">
        <v>0</v>
      </c>
      <c r="AE768" s="54">
        <v>0</v>
      </c>
      <c r="AF768" s="54">
        <v>0</v>
      </c>
      <c r="AG768" s="54">
        <v>0</v>
      </c>
      <c r="AH768" s="54">
        <v>0</v>
      </c>
      <c r="AI768" s="54">
        <v>0</v>
      </c>
      <c r="AJ768" s="54">
        <v>0</v>
      </c>
      <c r="AK768" s="54">
        <v>0</v>
      </c>
      <c r="AL768" s="54">
        <v>0</v>
      </c>
      <c r="AM768" s="54" t="str">
        <f>I768-J768-K768-L768-M768-N768-O768-P768-Q768-R768-S768-T768-U768-V768-W768-X768-Y768-Z768-AA768-AB768-AC768-AD768-AE768-AF768-AG768+AH768-AI768+AJ768+AK768-AL768</f>
        <v>0</v>
      </c>
      <c r="AN768" s="54"/>
      <c r="AO768" s="27"/>
    </row>
    <row r="769" spans="1:41">
      <c r="A769" s="44">
        <v>741</v>
      </c>
      <c r="B769" s="47" t="s">
        <v>3043</v>
      </c>
      <c r="C769" s="48" t="s">
        <v>3044</v>
      </c>
      <c r="D769" s="52" t="s">
        <v>73</v>
      </c>
      <c r="E769" s="52" t="s">
        <v>3045</v>
      </c>
      <c r="F769" s="55" t="s">
        <v>3046</v>
      </c>
      <c r="G769" s="51">
        <v>3</v>
      </c>
      <c r="H769" s="52" t="s">
        <v>3047</v>
      </c>
      <c r="I769" s="54">
        <v>734000</v>
      </c>
      <c r="J769" s="54">
        <v>0</v>
      </c>
      <c r="K769" s="54">
        <v>22000</v>
      </c>
      <c r="L769" s="54">
        <v>0</v>
      </c>
      <c r="M769" s="54">
        <v>0</v>
      </c>
      <c r="N769" s="54">
        <v>0</v>
      </c>
      <c r="O769" s="54">
        <v>0</v>
      </c>
      <c r="P769" s="54">
        <v>0</v>
      </c>
      <c r="Q769" s="54">
        <v>0</v>
      </c>
      <c r="R769" s="54">
        <v>0</v>
      </c>
      <c r="S769" s="54">
        <v>0</v>
      </c>
      <c r="T769" s="54">
        <v>0</v>
      </c>
      <c r="U769" s="54">
        <v>1397</v>
      </c>
      <c r="V769" s="54">
        <v>0</v>
      </c>
      <c r="W769" s="54">
        <v>0</v>
      </c>
      <c r="X769" s="54">
        <v>0</v>
      </c>
      <c r="Y769" s="54">
        <v>0</v>
      </c>
      <c r="Z769" s="54">
        <v>0</v>
      </c>
      <c r="AA769" s="54">
        <v>0</v>
      </c>
      <c r="AB769" s="54">
        <v>0</v>
      </c>
      <c r="AC769" s="54">
        <v>0</v>
      </c>
      <c r="AD769" s="54">
        <v>0</v>
      </c>
      <c r="AE769" s="54">
        <v>0</v>
      </c>
      <c r="AF769" s="54">
        <v>0</v>
      </c>
      <c r="AG769" s="54">
        <v>0</v>
      </c>
      <c r="AH769" s="54">
        <v>0</v>
      </c>
      <c r="AI769" s="54">
        <v>0</v>
      </c>
      <c r="AJ769" s="54">
        <v>0</v>
      </c>
      <c r="AK769" s="54">
        <v>0</v>
      </c>
      <c r="AL769" s="54">
        <v>0</v>
      </c>
      <c r="AM769" s="54" t="str">
        <f>I769-J769-K769-L769-M769-N769-O769-P769-Q769-R769-S769-T769-U769-V769-W769-X769-Y769-Z769-AA769-AB769-AC769-AD769-AE769-AF769-AG769+AH769-AI769+AJ769+AK769-AL769</f>
        <v>0</v>
      </c>
      <c r="AN769" s="54"/>
      <c r="AO769" s="27"/>
    </row>
    <row r="770" spans="1:41">
      <c r="A770" s="44">
        <v>742</v>
      </c>
      <c r="B770" s="47" t="s">
        <v>3048</v>
      </c>
      <c r="C770" s="48" t="s">
        <v>3049</v>
      </c>
      <c r="D770" s="52" t="s">
        <v>73</v>
      </c>
      <c r="E770" s="52" t="s">
        <v>3045</v>
      </c>
      <c r="F770" s="55" t="s">
        <v>3050</v>
      </c>
      <c r="G770" s="51">
        <v>5</v>
      </c>
      <c r="H770" s="52" t="s">
        <v>3051</v>
      </c>
      <c r="I770" s="54">
        <v>1890000</v>
      </c>
      <c r="J770" s="54">
        <v>0</v>
      </c>
      <c r="K770" s="54">
        <v>27000</v>
      </c>
      <c r="L770" s="54">
        <v>0</v>
      </c>
      <c r="M770" s="54">
        <v>0</v>
      </c>
      <c r="N770" s="54">
        <v>0</v>
      </c>
      <c r="O770" s="54">
        <v>0</v>
      </c>
      <c r="P770" s="54">
        <v>0</v>
      </c>
      <c r="Q770" s="54">
        <v>0</v>
      </c>
      <c r="R770" s="54">
        <v>0</v>
      </c>
      <c r="S770" s="54">
        <v>0</v>
      </c>
      <c r="T770" s="54">
        <v>0</v>
      </c>
      <c r="U770" s="54">
        <v>1714</v>
      </c>
      <c r="V770" s="54">
        <v>0</v>
      </c>
      <c r="W770" s="54">
        <v>0</v>
      </c>
      <c r="X770" s="54">
        <v>0</v>
      </c>
      <c r="Y770" s="54">
        <v>0</v>
      </c>
      <c r="Z770" s="54">
        <v>0</v>
      </c>
      <c r="AA770" s="54">
        <v>0</v>
      </c>
      <c r="AB770" s="54">
        <v>0</v>
      </c>
      <c r="AC770" s="54">
        <v>0</v>
      </c>
      <c r="AD770" s="54">
        <v>0</v>
      </c>
      <c r="AE770" s="54">
        <v>0</v>
      </c>
      <c r="AF770" s="54">
        <v>0</v>
      </c>
      <c r="AG770" s="54">
        <v>0</v>
      </c>
      <c r="AH770" s="54">
        <v>0</v>
      </c>
      <c r="AI770" s="54">
        <v>0</v>
      </c>
      <c r="AJ770" s="54">
        <v>0</v>
      </c>
      <c r="AK770" s="54">
        <v>0</v>
      </c>
      <c r="AL770" s="54">
        <v>0</v>
      </c>
      <c r="AM770" s="54" t="str">
        <f>I770-J770-K770-L770-M770-N770-O770-P770-Q770-R770-S770-T770-U770-V770-W770-X770-Y770-Z770-AA770-AB770-AC770-AD770-AE770-AF770-AG770+AH770-AI770+AJ770+AK770-AL770</f>
        <v>0</v>
      </c>
      <c r="AN770" s="54"/>
      <c r="AO770" s="27"/>
    </row>
    <row r="771" spans="1:41">
      <c r="A771" s="44">
        <v>743</v>
      </c>
      <c r="B771" s="47" t="s">
        <v>3052</v>
      </c>
      <c r="C771" s="48" t="s">
        <v>3053</v>
      </c>
      <c r="D771" s="52" t="s">
        <v>73</v>
      </c>
      <c r="E771" s="52" t="s">
        <v>3045</v>
      </c>
      <c r="F771" s="55" t="s">
        <v>3054</v>
      </c>
      <c r="G771" s="51">
        <v>4</v>
      </c>
      <c r="H771" s="52" t="s">
        <v>3055</v>
      </c>
      <c r="I771" s="54">
        <v>348035</v>
      </c>
      <c r="J771" s="54">
        <v>0</v>
      </c>
      <c r="K771" s="54">
        <v>25000</v>
      </c>
      <c r="L771" s="54">
        <v>0</v>
      </c>
      <c r="M771" s="54">
        <v>0</v>
      </c>
      <c r="N771" s="54">
        <v>0</v>
      </c>
      <c r="O771" s="54">
        <v>0</v>
      </c>
      <c r="P771" s="54">
        <v>0</v>
      </c>
      <c r="Q771" s="54">
        <v>0</v>
      </c>
      <c r="R771" s="54">
        <v>0</v>
      </c>
      <c r="S771" s="54">
        <v>0</v>
      </c>
      <c r="T771" s="54">
        <v>0</v>
      </c>
      <c r="U771" s="54">
        <v>1587</v>
      </c>
      <c r="V771" s="54">
        <v>0</v>
      </c>
      <c r="W771" s="54">
        <v>0</v>
      </c>
      <c r="X771" s="54">
        <v>0</v>
      </c>
      <c r="Y771" s="54">
        <v>0</v>
      </c>
      <c r="Z771" s="54">
        <v>0</v>
      </c>
      <c r="AA771" s="54">
        <v>0</v>
      </c>
      <c r="AB771" s="54">
        <v>0</v>
      </c>
      <c r="AC771" s="54">
        <v>0</v>
      </c>
      <c r="AD771" s="54">
        <v>0</v>
      </c>
      <c r="AE771" s="54">
        <v>0</v>
      </c>
      <c r="AF771" s="54">
        <v>0</v>
      </c>
      <c r="AG771" s="54">
        <v>0</v>
      </c>
      <c r="AH771" s="54">
        <v>0</v>
      </c>
      <c r="AI771" s="54">
        <v>0</v>
      </c>
      <c r="AJ771" s="54">
        <v>0</v>
      </c>
      <c r="AK771" s="54">
        <v>0</v>
      </c>
      <c r="AL771" s="54">
        <v>0</v>
      </c>
      <c r="AM771" s="54" t="str">
        <f>I771-J771-K771-L771-M771-N771-O771-P771-Q771-R771-S771-T771-U771-V771-W771-X771-Y771-Z771-AA771-AB771-AC771-AD771-AE771-AF771-AG771+AH771-AI771+AJ771+AK771-AL771</f>
        <v>0</v>
      </c>
      <c r="AN771" s="54"/>
      <c r="AO771" s="27"/>
    </row>
    <row r="772" spans="1:41">
      <c r="A772" s="44">
        <v>744</v>
      </c>
      <c r="B772" s="47" t="s">
        <v>3056</v>
      </c>
      <c r="C772" s="48" t="s">
        <v>3057</v>
      </c>
      <c r="D772" s="52" t="s">
        <v>73</v>
      </c>
      <c r="E772" s="52" t="s">
        <v>3045</v>
      </c>
      <c r="F772" s="55" t="s">
        <v>3058</v>
      </c>
      <c r="G772" s="51">
        <v>3</v>
      </c>
      <c r="H772" s="52" t="s">
        <v>3059</v>
      </c>
      <c r="I772" s="54">
        <v>334000</v>
      </c>
      <c r="J772" s="54">
        <v>0</v>
      </c>
      <c r="K772" s="54">
        <v>22000</v>
      </c>
      <c r="L772" s="54">
        <v>0</v>
      </c>
      <c r="M772" s="54">
        <v>0</v>
      </c>
      <c r="N772" s="54">
        <v>0</v>
      </c>
      <c r="O772" s="54">
        <v>0</v>
      </c>
      <c r="P772" s="54">
        <v>0</v>
      </c>
      <c r="Q772" s="54">
        <v>0</v>
      </c>
      <c r="R772" s="54">
        <v>0</v>
      </c>
      <c r="S772" s="54">
        <v>0</v>
      </c>
      <c r="T772" s="54">
        <v>0</v>
      </c>
      <c r="U772" s="54">
        <v>1397</v>
      </c>
      <c r="V772" s="54">
        <v>0</v>
      </c>
      <c r="W772" s="54">
        <v>0</v>
      </c>
      <c r="X772" s="54">
        <v>0</v>
      </c>
      <c r="Y772" s="54">
        <v>0</v>
      </c>
      <c r="Z772" s="54">
        <v>0</v>
      </c>
      <c r="AA772" s="54">
        <v>0</v>
      </c>
      <c r="AB772" s="54">
        <v>0</v>
      </c>
      <c r="AC772" s="54">
        <v>0</v>
      </c>
      <c r="AD772" s="54">
        <v>0</v>
      </c>
      <c r="AE772" s="54">
        <v>0</v>
      </c>
      <c r="AF772" s="54">
        <v>0</v>
      </c>
      <c r="AG772" s="54">
        <v>0</v>
      </c>
      <c r="AH772" s="54">
        <v>0</v>
      </c>
      <c r="AI772" s="54">
        <v>0</v>
      </c>
      <c r="AJ772" s="54">
        <v>0</v>
      </c>
      <c r="AK772" s="54">
        <v>0</v>
      </c>
      <c r="AL772" s="54">
        <v>0</v>
      </c>
      <c r="AM772" s="54" t="str">
        <f>I772-J772-K772-L772-M772-N772-O772-P772-Q772-R772-S772-T772-U772-V772-W772-X772-Y772-Z772-AA772-AB772-AC772-AD772-AE772-AF772-AG772+AH772-AI772+AJ772+AK772-AL772</f>
        <v>0</v>
      </c>
      <c r="AN772" s="54"/>
      <c r="AO772" s="27"/>
    </row>
    <row r="773" spans="1:41">
      <c r="A773" s="44">
        <v>745</v>
      </c>
      <c r="B773" s="47" t="s">
        <v>3060</v>
      </c>
      <c r="C773" s="48" t="s">
        <v>3061</v>
      </c>
      <c r="D773" s="52" t="s">
        <v>73</v>
      </c>
      <c r="E773" s="52" t="s">
        <v>3045</v>
      </c>
      <c r="F773" s="55" t="s">
        <v>3062</v>
      </c>
      <c r="G773" s="51">
        <v>6</v>
      </c>
      <c r="H773" s="52" t="s">
        <v>3063</v>
      </c>
      <c r="I773" s="54">
        <v>959000</v>
      </c>
      <c r="J773" s="54">
        <v>0</v>
      </c>
      <c r="K773" s="54">
        <v>31000</v>
      </c>
      <c r="L773" s="54">
        <v>0</v>
      </c>
      <c r="M773" s="54">
        <v>0</v>
      </c>
      <c r="N773" s="54">
        <v>0</v>
      </c>
      <c r="O773" s="54">
        <v>0</v>
      </c>
      <c r="P773" s="54">
        <v>0</v>
      </c>
      <c r="Q773" s="54">
        <v>0</v>
      </c>
      <c r="R773" s="54">
        <v>0</v>
      </c>
      <c r="S773" s="54">
        <v>0</v>
      </c>
      <c r="T773" s="54">
        <v>0</v>
      </c>
      <c r="U773" s="54">
        <v>1968</v>
      </c>
      <c r="V773" s="54">
        <v>0</v>
      </c>
      <c r="W773" s="54">
        <v>0</v>
      </c>
      <c r="X773" s="54">
        <v>0</v>
      </c>
      <c r="Y773" s="54">
        <v>0</v>
      </c>
      <c r="Z773" s="54">
        <v>0</v>
      </c>
      <c r="AA773" s="54">
        <v>0</v>
      </c>
      <c r="AB773" s="54">
        <v>0</v>
      </c>
      <c r="AC773" s="54">
        <v>0</v>
      </c>
      <c r="AD773" s="54">
        <v>0</v>
      </c>
      <c r="AE773" s="54">
        <v>0</v>
      </c>
      <c r="AF773" s="54">
        <v>0</v>
      </c>
      <c r="AG773" s="54">
        <v>0</v>
      </c>
      <c r="AH773" s="54">
        <v>0</v>
      </c>
      <c r="AI773" s="54">
        <v>0</v>
      </c>
      <c r="AJ773" s="54">
        <v>0</v>
      </c>
      <c r="AK773" s="54">
        <v>0</v>
      </c>
      <c r="AL773" s="54">
        <v>0</v>
      </c>
      <c r="AM773" s="54" t="str">
        <f>I773-J773-K773-L773-M773-N773-O773-P773-Q773-R773-S773-T773-U773-V773-W773-X773-Y773-Z773-AA773-AB773-AC773-AD773-AE773-AF773-AG773+AH773-AI773+AJ773+AK773-AL773</f>
        <v>0</v>
      </c>
      <c r="AN773" s="54"/>
      <c r="AO773" s="27"/>
    </row>
    <row r="774" spans="1:41">
      <c r="A774" s="44">
        <v>746</v>
      </c>
      <c r="B774" s="47" t="s">
        <v>3064</v>
      </c>
      <c r="C774" s="48" t="s">
        <v>3065</v>
      </c>
      <c r="D774" s="52" t="s">
        <v>73</v>
      </c>
      <c r="E774" s="52" t="s">
        <v>3045</v>
      </c>
      <c r="F774" s="55" t="s">
        <v>3062</v>
      </c>
      <c r="G774" s="51">
        <v>5</v>
      </c>
      <c r="H774" s="52" t="s">
        <v>3066</v>
      </c>
      <c r="I774" s="54">
        <v>558000</v>
      </c>
      <c r="J774" s="54">
        <v>0</v>
      </c>
      <c r="K774" s="54">
        <v>27000</v>
      </c>
      <c r="L774" s="54">
        <v>0</v>
      </c>
      <c r="M774" s="54">
        <v>0</v>
      </c>
      <c r="N774" s="54">
        <v>0</v>
      </c>
      <c r="O774" s="54">
        <v>0</v>
      </c>
      <c r="P774" s="54">
        <v>0</v>
      </c>
      <c r="Q774" s="54">
        <v>0</v>
      </c>
      <c r="R774" s="54">
        <v>0</v>
      </c>
      <c r="S774" s="54">
        <v>0</v>
      </c>
      <c r="T774" s="54">
        <v>0</v>
      </c>
      <c r="U774" s="54">
        <v>1714</v>
      </c>
      <c r="V774" s="54">
        <v>0</v>
      </c>
      <c r="W774" s="54">
        <v>0</v>
      </c>
      <c r="X774" s="54">
        <v>0</v>
      </c>
      <c r="Y774" s="54">
        <v>0</v>
      </c>
      <c r="Z774" s="54">
        <v>0</v>
      </c>
      <c r="AA774" s="54">
        <v>0</v>
      </c>
      <c r="AB774" s="54">
        <v>0</v>
      </c>
      <c r="AC774" s="54">
        <v>0</v>
      </c>
      <c r="AD774" s="54">
        <v>0</v>
      </c>
      <c r="AE774" s="54">
        <v>0</v>
      </c>
      <c r="AF774" s="54">
        <v>0</v>
      </c>
      <c r="AG774" s="54">
        <v>0</v>
      </c>
      <c r="AH774" s="54">
        <v>0</v>
      </c>
      <c r="AI774" s="54">
        <v>0</v>
      </c>
      <c r="AJ774" s="54">
        <v>0</v>
      </c>
      <c r="AK774" s="54">
        <v>0</v>
      </c>
      <c r="AL774" s="54">
        <v>0</v>
      </c>
      <c r="AM774" s="54" t="str">
        <f>I774-J774-K774-L774-M774-N774-O774-P774-Q774-R774-S774-T774-U774-V774-W774-X774-Y774-Z774-AA774-AB774-AC774-AD774-AE774-AF774-AG774+AH774-AI774+AJ774+AK774-AL774</f>
        <v>0</v>
      </c>
      <c r="AN774" s="54"/>
      <c r="AO774" s="27"/>
    </row>
    <row r="775" spans="1:41">
      <c r="A775" s="44">
        <v>747</v>
      </c>
      <c r="B775" s="47" t="s">
        <v>3067</v>
      </c>
      <c r="C775" s="48" t="s">
        <v>3068</v>
      </c>
      <c r="D775" s="52" t="s">
        <v>73</v>
      </c>
      <c r="E775" s="52" t="s">
        <v>3045</v>
      </c>
      <c r="F775" s="55" t="s">
        <v>3069</v>
      </c>
      <c r="G775" s="51">
        <v>3</v>
      </c>
      <c r="H775" s="52" t="s">
        <v>3070</v>
      </c>
      <c r="I775" s="54">
        <v>0</v>
      </c>
      <c r="J775" s="54">
        <v>0</v>
      </c>
      <c r="K775" s="54">
        <v>22000</v>
      </c>
      <c r="L775" s="54">
        <v>0</v>
      </c>
      <c r="M775" s="54">
        <v>0</v>
      </c>
      <c r="N775" s="54">
        <v>0</v>
      </c>
      <c r="O775" s="54">
        <v>0</v>
      </c>
      <c r="P775" s="54">
        <v>0</v>
      </c>
      <c r="Q775" s="54">
        <v>0</v>
      </c>
      <c r="R775" s="54">
        <v>0</v>
      </c>
      <c r="S775" s="54">
        <v>0</v>
      </c>
      <c r="T775" s="54">
        <v>0</v>
      </c>
      <c r="U775" s="54">
        <v>1397</v>
      </c>
      <c r="V775" s="54">
        <v>0</v>
      </c>
      <c r="W775" s="54">
        <v>0</v>
      </c>
      <c r="X775" s="54">
        <v>0</v>
      </c>
      <c r="Y775" s="54">
        <v>0</v>
      </c>
      <c r="Z775" s="54">
        <v>0</v>
      </c>
      <c r="AA775" s="54">
        <v>0</v>
      </c>
      <c r="AB775" s="54">
        <v>0</v>
      </c>
      <c r="AC775" s="54">
        <v>0</v>
      </c>
      <c r="AD775" s="54">
        <v>0</v>
      </c>
      <c r="AE775" s="54">
        <v>0</v>
      </c>
      <c r="AF775" s="54">
        <v>0</v>
      </c>
      <c r="AG775" s="54">
        <v>0</v>
      </c>
      <c r="AH775" s="54">
        <v>0</v>
      </c>
      <c r="AI775" s="54">
        <v>0</v>
      </c>
      <c r="AJ775" s="54">
        <v>0</v>
      </c>
      <c r="AK775" s="54">
        <v>0</v>
      </c>
      <c r="AL775" s="54">
        <v>0</v>
      </c>
      <c r="AM775" s="54" t="str">
        <f>I775-J775-K775-L775-M775-N775-O775-P775-Q775-R775-S775-T775-U775-V775-W775-X775-Y775-Z775-AA775-AB775-AC775-AD775-AE775-AF775-AG775+AH775-AI775+AJ775+AK775-AL775</f>
        <v>0</v>
      </c>
      <c r="AN775" s="54"/>
      <c r="AO775" s="27"/>
    </row>
    <row r="776" spans="1:41">
      <c r="A776" s="44">
        <v>748</v>
      </c>
      <c r="B776" s="47" t="s">
        <v>3071</v>
      </c>
      <c r="C776" s="48" t="s">
        <v>3072</v>
      </c>
      <c r="D776" s="52" t="s">
        <v>73</v>
      </c>
      <c r="E776" s="52" t="s">
        <v>3045</v>
      </c>
      <c r="F776" s="55" t="s">
        <v>3073</v>
      </c>
      <c r="G776" s="51">
        <v>2</v>
      </c>
      <c r="H776" s="52" t="s">
        <v>3074</v>
      </c>
      <c r="I776" s="54">
        <v>404000</v>
      </c>
      <c r="J776" s="54">
        <v>0</v>
      </c>
      <c r="K776" s="54">
        <v>22000</v>
      </c>
      <c r="L776" s="54">
        <v>0</v>
      </c>
      <c r="M776" s="54">
        <v>0</v>
      </c>
      <c r="N776" s="54">
        <v>0</v>
      </c>
      <c r="O776" s="54">
        <v>0</v>
      </c>
      <c r="P776" s="54">
        <v>0</v>
      </c>
      <c r="Q776" s="54">
        <v>0</v>
      </c>
      <c r="R776" s="54">
        <v>0</v>
      </c>
      <c r="S776" s="54">
        <v>0</v>
      </c>
      <c r="T776" s="54">
        <v>0</v>
      </c>
      <c r="U776" s="54">
        <v>1397</v>
      </c>
      <c r="V776" s="54">
        <v>0</v>
      </c>
      <c r="W776" s="54">
        <v>0</v>
      </c>
      <c r="X776" s="54">
        <v>0</v>
      </c>
      <c r="Y776" s="54">
        <v>0</v>
      </c>
      <c r="Z776" s="54">
        <v>0</v>
      </c>
      <c r="AA776" s="54">
        <v>0</v>
      </c>
      <c r="AB776" s="54">
        <v>0</v>
      </c>
      <c r="AC776" s="54">
        <v>0</v>
      </c>
      <c r="AD776" s="54">
        <v>0</v>
      </c>
      <c r="AE776" s="54">
        <v>0</v>
      </c>
      <c r="AF776" s="54">
        <v>0</v>
      </c>
      <c r="AG776" s="54">
        <v>0</v>
      </c>
      <c r="AH776" s="54">
        <v>0</v>
      </c>
      <c r="AI776" s="54">
        <v>0</v>
      </c>
      <c r="AJ776" s="54">
        <v>0</v>
      </c>
      <c r="AK776" s="54">
        <v>0</v>
      </c>
      <c r="AL776" s="54">
        <v>0</v>
      </c>
      <c r="AM776" s="54" t="str">
        <f>I776-J776-K776-L776-M776-N776-O776-P776-Q776-R776-S776-T776-U776-V776-W776-X776-Y776-Z776-AA776-AB776-AC776-AD776-AE776-AF776-AG776+AH776-AI776+AJ776+AK776-AL776</f>
        <v>0</v>
      </c>
      <c r="AN776" s="54"/>
      <c r="AO776" s="27"/>
    </row>
    <row r="777" spans="1:41">
      <c r="A777" s="44">
        <v>749</v>
      </c>
      <c r="B777" s="47" t="s">
        <v>3075</v>
      </c>
      <c r="C777" s="48" t="s">
        <v>3076</v>
      </c>
      <c r="D777" s="52" t="s">
        <v>73</v>
      </c>
      <c r="E777" s="52" t="s">
        <v>3045</v>
      </c>
      <c r="F777" s="55" t="s">
        <v>3077</v>
      </c>
      <c r="G777" s="51">
        <v>5</v>
      </c>
      <c r="H777" s="52" t="s">
        <v>3078</v>
      </c>
      <c r="I777" s="54">
        <v>2150000</v>
      </c>
      <c r="J777" s="54">
        <v>0</v>
      </c>
      <c r="K777" s="54">
        <v>27000</v>
      </c>
      <c r="L777" s="54">
        <v>0</v>
      </c>
      <c r="M777" s="54">
        <v>0</v>
      </c>
      <c r="N777" s="54">
        <v>0</v>
      </c>
      <c r="O777" s="54">
        <v>0</v>
      </c>
      <c r="P777" s="54">
        <v>0</v>
      </c>
      <c r="Q777" s="54">
        <v>0</v>
      </c>
      <c r="R777" s="54">
        <v>0</v>
      </c>
      <c r="S777" s="54">
        <v>0</v>
      </c>
      <c r="T777" s="54">
        <v>0</v>
      </c>
      <c r="U777" s="54">
        <v>1714</v>
      </c>
      <c r="V777" s="54">
        <v>0</v>
      </c>
      <c r="W777" s="54">
        <v>0</v>
      </c>
      <c r="X777" s="54">
        <v>0</v>
      </c>
      <c r="Y777" s="54">
        <v>0</v>
      </c>
      <c r="Z777" s="54">
        <v>0</v>
      </c>
      <c r="AA777" s="54">
        <v>0</v>
      </c>
      <c r="AB777" s="54">
        <v>0</v>
      </c>
      <c r="AC777" s="54">
        <v>0</v>
      </c>
      <c r="AD777" s="54">
        <v>0</v>
      </c>
      <c r="AE777" s="54">
        <v>0</v>
      </c>
      <c r="AF777" s="54">
        <v>0</v>
      </c>
      <c r="AG777" s="54">
        <v>0</v>
      </c>
      <c r="AH777" s="54">
        <v>0</v>
      </c>
      <c r="AI777" s="54">
        <v>0</v>
      </c>
      <c r="AJ777" s="54">
        <v>0</v>
      </c>
      <c r="AK777" s="54">
        <v>0</v>
      </c>
      <c r="AL777" s="54">
        <v>0</v>
      </c>
      <c r="AM777" s="54" t="str">
        <f>I777-J777-K777-L777-M777-N777-O777-P777-Q777-R777-S777-T777-U777-V777-W777-X777-Y777-Z777-AA777-AB777-AC777-AD777-AE777-AF777-AG777+AH777-AI777+AJ777+AK777-AL777</f>
        <v>0</v>
      </c>
      <c r="AN777" s="54"/>
      <c r="AO777" s="27"/>
    </row>
    <row r="778" spans="1:41">
      <c r="A778" s="44">
        <v>750</v>
      </c>
      <c r="B778" s="47" t="s">
        <v>3079</v>
      </c>
      <c r="C778" s="48" t="s">
        <v>3080</v>
      </c>
      <c r="D778" s="52" t="s">
        <v>73</v>
      </c>
      <c r="E778" s="52" t="s">
        <v>3045</v>
      </c>
      <c r="F778" s="55" t="s">
        <v>3081</v>
      </c>
      <c r="G778" s="51">
        <v>4</v>
      </c>
      <c r="H778" s="52" t="s">
        <v>3082</v>
      </c>
      <c r="I778" s="54">
        <v>990000</v>
      </c>
      <c r="J778" s="54">
        <v>0</v>
      </c>
      <c r="K778" s="54">
        <v>25000</v>
      </c>
      <c r="L778" s="54">
        <v>0</v>
      </c>
      <c r="M778" s="54">
        <v>0</v>
      </c>
      <c r="N778" s="54">
        <v>0</v>
      </c>
      <c r="O778" s="54">
        <v>0</v>
      </c>
      <c r="P778" s="54">
        <v>0</v>
      </c>
      <c r="Q778" s="54">
        <v>0</v>
      </c>
      <c r="R778" s="54">
        <v>0</v>
      </c>
      <c r="S778" s="54">
        <v>0</v>
      </c>
      <c r="T778" s="54">
        <v>0</v>
      </c>
      <c r="U778" s="54">
        <v>1587</v>
      </c>
      <c r="V778" s="54">
        <v>0</v>
      </c>
      <c r="W778" s="54">
        <v>0</v>
      </c>
      <c r="X778" s="54">
        <v>0</v>
      </c>
      <c r="Y778" s="54">
        <v>0</v>
      </c>
      <c r="Z778" s="54">
        <v>0</v>
      </c>
      <c r="AA778" s="54">
        <v>0</v>
      </c>
      <c r="AB778" s="54">
        <v>0</v>
      </c>
      <c r="AC778" s="54">
        <v>0</v>
      </c>
      <c r="AD778" s="54">
        <v>0</v>
      </c>
      <c r="AE778" s="54">
        <v>0</v>
      </c>
      <c r="AF778" s="54">
        <v>0</v>
      </c>
      <c r="AG778" s="54">
        <v>0</v>
      </c>
      <c r="AH778" s="54">
        <v>0</v>
      </c>
      <c r="AI778" s="54">
        <v>0</v>
      </c>
      <c r="AJ778" s="54">
        <v>0</v>
      </c>
      <c r="AK778" s="54">
        <v>0</v>
      </c>
      <c r="AL778" s="54">
        <v>0</v>
      </c>
      <c r="AM778" s="54" t="str">
        <f>I778-J778-K778-L778-M778-N778-O778-P778-Q778-R778-S778-T778-U778-V778-W778-X778-Y778-Z778-AA778-AB778-AC778-AD778-AE778-AF778-AG778+AH778-AI778+AJ778+AK778-AL778</f>
        <v>0</v>
      </c>
      <c r="AN778" s="54"/>
      <c r="AO778" s="27"/>
    </row>
    <row r="779" spans="1:41">
      <c r="A779" s="44">
        <v>751</v>
      </c>
      <c r="B779" s="47" t="s">
        <v>3083</v>
      </c>
      <c r="C779" s="48" t="s">
        <v>3084</v>
      </c>
      <c r="D779" s="52" t="s">
        <v>73</v>
      </c>
      <c r="E779" s="52" t="s">
        <v>3045</v>
      </c>
      <c r="F779" s="55" t="s">
        <v>3085</v>
      </c>
      <c r="G779" s="51">
        <v>0.1</v>
      </c>
      <c r="H779" s="52" t="s">
        <v>3086</v>
      </c>
      <c r="I779" s="54">
        <v>365000</v>
      </c>
      <c r="J779" s="54">
        <v>0</v>
      </c>
      <c r="K779" s="54">
        <v>22000</v>
      </c>
      <c r="L779" s="54">
        <v>0</v>
      </c>
      <c r="M779" s="54">
        <v>0</v>
      </c>
      <c r="N779" s="54">
        <v>0</v>
      </c>
      <c r="O779" s="54">
        <v>0</v>
      </c>
      <c r="P779" s="54">
        <v>0</v>
      </c>
      <c r="Q779" s="54">
        <v>0</v>
      </c>
      <c r="R779" s="54">
        <v>0</v>
      </c>
      <c r="S779" s="54">
        <v>0</v>
      </c>
      <c r="T779" s="54">
        <v>0</v>
      </c>
      <c r="U779" s="54">
        <v>1397</v>
      </c>
      <c r="V779" s="54">
        <v>0</v>
      </c>
      <c r="W779" s="54">
        <v>0</v>
      </c>
      <c r="X779" s="54">
        <v>0</v>
      </c>
      <c r="Y779" s="54">
        <v>0</v>
      </c>
      <c r="Z779" s="54">
        <v>0</v>
      </c>
      <c r="AA779" s="54">
        <v>0</v>
      </c>
      <c r="AB779" s="54">
        <v>0</v>
      </c>
      <c r="AC779" s="54">
        <v>0</v>
      </c>
      <c r="AD779" s="54">
        <v>0</v>
      </c>
      <c r="AE779" s="54">
        <v>0</v>
      </c>
      <c r="AF779" s="54">
        <v>0</v>
      </c>
      <c r="AG779" s="54">
        <v>0</v>
      </c>
      <c r="AH779" s="54">
        <v>0</v>
      </c>
      <c r="AI779" s="54">
        <v>0</v>
      </c>
      <c r="AJ779" s="54">
        <v>0</v>
      </c>
      <c r="AK779" s="54">
        <v>0</v>
      </c>
      <c r="AL779" s="54">
        <v>0</v>
      </c>
      <c r="AM779" s="54" t="str">
        <f>I779-J779-K779-L779-M779-N779-O779-P779-Q779-R779-S779-T779-U779-V779-W779-X779-Y779-Z779-AA779-AB779-AC779-AD779-AE779-AF779-AG779+AH779-AI779+AJ779+AK779-AL779</f>
        <v>0</v>
      </c>
      <c r="AN779" s="54"/>
      <c r="AO779" s="27"/>
    </row>
    <row r="780" spans="1:41">
      <c r="A780" s="44">
        <v>752</v>
      </c>
      <c r="B780" s="47" t="s">
        <v>3087</v>
      </c>
      <c r="C780" s="48" t="s">
        <v>3088</v>
      </c>
      <c r="D780" s="52" t="s">
        <v>73</v>
      </c>
      <c r="E780" s="52" t="s">
        <v>3045</v>
      </c>
      <c r="F780" s="55" t="s">
        <v>3089</v>
      </c>
      <c r="G780" s="51">
        <v>15</v>
      </c>
      <c r="H780" s="52" t="s">
        <v>3090</v>
      </c>
      <c r="I780" s="54">
        <v>3690000</v>
      </c>
      <c r="J780" s="54">
        <v>18450</v>
      </c>
      <c r="K780" s="54">
        <v>74000</v>
      </c>
      <c r="L780" s="54">
        <v>0</v>
      </c>
      <c r="M780" s="54">
        <v>0</v>
      </c>
      <c r="N780" s="54">
        <v>0</v>
      </c>
      <c r="O780" s="54">
        <v>0</v>
      </c>
      <c r="P780" s="54">
        <v>0</v>
      </c>
      <c r="Q780" s="54">
        <v>0</v>
      </c>
      <c r="R780" s="54">
        <v>0</v>
      </c>
      <c r="S780" s="54">
        <v>0</v>
      </c>
      <c r="T780" s="54">
        <v>0</v>
      </c>
      <c r="U780" s="54">
        <v>4699</v>
      </c>
      <c r="V780" s="54">
        <v>0</v>
      </c>
      <c r="W780" s="54">
        <v>0</v>
      </c>
      <c r="X780" s="54">
        <v>0</v>
      </c>
      <c r="Y780" s="54">
        <v>0</v>
      </c>
      <c r="Z780" s="54">
        <v>0</v>
      </c>
      <c r="AA780" s="54">
        <v>0</v>
      </c>
      <c r="AB780" s="54">
        <v>0</v>
      </c>
      <c r="AC780" s="54">
        <v>0</v>
      </c>
      <c r="AD780" s="54">
        <v>0</v>
      </c>
      <c r="AE780" s="54">
        <v>0</v>
      </c>
      <c r="AF780" s="54">
        <v>0</v>
      </c>
      <c r="AG780" s="54">
        <v>0</v>
      </c>
      <c r="AH780" s="54">
        <v>0</v>
      </c>
      <c r="AI780" s="54">
        <v>0</v>
      </c>
      <c r="AJ780" s="54">
        <v>0</v>
      </c>
      <c r="AK780" s="54">
        <v>0</v>
      </c>
      <c r="AL780" s="54">
        <v>0</v>
      </c>
      <c r="AM780" s="54" t="str">
        <f>I780-J780-K780-L780-M780-N780-O780-P780-Q780-R780-S780-T780-U780-V780-W780-X780-Y780-Z780-AA780-AB780-AC780-AD780-AE780-AF780-AG780+AH780-AI780+AJ780+AK780-AL780</f>
        <v>0</v>
      </c>
      <c r="AN780" s="54"/>
      <c r="AO780" s="27"/>
    </row>
    <row r="781" spans="1:41">
      <c r="A781" s="44">
        <v>753</v>
      </c>
      <c r="B781" s="47" t="s">
        <v>3091</v>
      </c>
      <c r="C781" s="48" t="s">
        <v>3092</v>
      </c>
      <c r="D781" s="52" t="s">
        <v>73</v>
      </c>
      <c r="E781" s="52" t="s">
        <v>3045</v>
      </c>
      <c r="F781" s="55" t="s">
        <v>663</v>
      </c>
      <c r="G781" s="51">
        <v>2</v>
      </c>
      <c r="H781" s="52" t="s">
        <v>3093</v>
      </c>
      <c r="I781" s="54">
        <v>434000</v>
      </c>
      <c r="J781" s="54">
        <v>0</v>
      </c>
      <c r="K781" s="54">
        <v>22000</v>
      </c>
      <c r="L781" s="54">
        <v>0</v>
      </c>
      <c r="M781" s="54">
        <v>0</v>
      </c>
      <c r="N781" s="54">
        <v>0</v>
      </c>
      <c r="O781" s="54">
        <v>0</v>
      </c>
      <c r="P781" s="54">
        <v>0</v>
      </c>
      <c r="Q781" s="54">
        <v>0</v>
      </c>
      <c r="R781" s="54">
        <v>0</v>
      </c>
      <c r="S781" s="54">
        <v>0</v>
      </c>
      <c r="T781" s="54">
        <v>0</v>
      </c>
      <c r="U781" s="54">
        <v>1397</v>
      </c>
      <c r="V781" s="54">
        <v>0</v>
      </c>
      <c r="W781" s="54">
        <v>0</v>
      </c>
      <c r="X781" s="54">
        <v>0</v>
      </c>
      <c r="Y781" s="54">
        <v>0</v>
      </c>
      <c r="Z781" s="54">
        <v>0</v>
      </c>
      <c r="AA781" s="54">
        <v>0</v>
      </c>
      <c r="AB781" s="54">
        <v>0</v>
      </c>
      <c r="AC781" s="54">
        <v>0</v>
      </c>
      <c r="AD781" s="54">
        <v>0</v>
      </c>
      <c r="AE781" s="54">
        <v>0</v>
      </c>
      <c r="AF781" s="54">
        <v>0</v>
      </c>
      <c r="AG781" s="54">
        <v>0</v>
      </c>
      <c r="AH781" s="54">
        <v>0</v>
      </c>
      <c r="AI781" s="54">
        <v>0</v>
      </c>
      <c r="AJ781" s="54">
        <v>0</v>
      </c>
      <c r="AK781" s="54">
        <v>0</v>
      </c>
      <c r="AL781" s="54">
        <v>0</v>
      </c>
      <c r="AM781" s="54" t="str">
        <f>I781-J781-K781-L781-M781-N781-O781-P781-Q781-R781-S781-T781-U781-V781-W781-X781-Y781-Z781-AA781-AB781-AC781-AD781-AE781-AF781-AG781+AH781-AI781+AJ781+AK781-AL781</f>
        <v>0</v>
      </c>
      <c r="AN781" s="54"/>
      <c r="AO781" s="27"/>
    </row>
    <row r="782" spans="1:41">
      <c r="A782" s="44">
        <v>754</v>
      </c>
      <c r="B782" s="47" t="s">
        <v>3094</v>
      </c>
      <c r="C782" s="48" t="s">
        <v>3095</v>
      </c>
      <c r="D782" s="52" t="s">
        <v>73</v>
      </c>
      <c r="E782" s="52" t="s">
        <v>3045</v>
      </c>
      <c r="F782" s="55" t="s">
        <v>3096</v>
      </c>
      <c r="G782" s="51">
        <v>3</v>
      </c>
      <c r="H782" s="52" t="s">
        <v>3097</v>
      </c>
      <c r="I782" s="54">
        <v>494000</v>
      </c>
      <c r="J782" s="54">
        <v>0</v>
      </c>
      <c r="K782" s="54">
        <v>22000</v>
      </c>
      <c r="L782" s="54">
        <v>0</v>
      </c>
      <c r="M782" s="54">
        <v>0</v>
      </c>
      <c r="N782" s="54">
        <v>0</v>
      </c>
      <c r="O782" s="54">
        <v>0</v>
      </c>
      <c r="P782" s="54">
        <v>0</v>
      </c>
      <c r="Q782" s="54">
        <v>0</v>
      </c>
      <c r="R782" s="54">
        <v>0</v>
      </c>
      <c r="S782" s="54">
        <v>0</v>
      </c>
      <c r="T782" s="54">
        <v>0</v>
      </c>
      <c r="U782" s="54">
        <v>1397</v>
      </c>
      <c r="V782" s="54">
        <v>0</v>
      </c>
      <c r="W782" s="54">
        <v>0</v>
      </c>
      <c r="X782" s="54">
        <v>0</v>
      </c>
      <c r="Y782" s="54">
        <v>0</v>
      </c>
      <c r="Z782" s="54">
        <v>0</v>
      </c>
      <c r="AA782" s="54">
        <v>0</v>
      </c>
      <c r="AB782" s="54">
        <v>0</v>
      </c>
      <c r="AC782" s="54">
        <v>0</v>
      </c>
      <c r="AD782" s="54">
        <v>0</v>
      </c>
      <c r="AE782" s="54">
        <v>0</v>
      </c>
      <c r="AF782" s="54">
        <v>0</v>
      </c>
      <c r="AG782" s="54">
        <v>0</v>
      </c>
      <c r="AH782" s="54">
        <v>0</v>
      </c>
      <c r="AI782" s="54">
        <v>0</v>
      </c>
      <c r="AJ782" s="54">
        <v>0</v>
      </c>
      <c r="AK782" s="54">
        <v>0</v>
      </c>
      <c r="AL782" s="54">
        <v>0</v>
      </c>
      <c r="AM782" s="54" t="str">
        <f>I782-J782-K782-L782-M782-N782-O782-P782-Q782-R782-S782-T782-U782-V782-W782-X782-Y782-Z782-AA782-AB782-AC782-AD782-AE782-AF782-AG782+AH782-AI782+AJ782+AK782-AL782</f>
        <v>0</v>
      </c>
      <c r="AN782" s="54"/>
      <c r="AO782" s="27"/>
    </row>
    <row r="783" spans="1:41">
      <c r="A783" s="44">
        <v>755</v>
      </c>
      <c r="B783" s="47" t="s">
        <v>3098</v>
      </c>
      <c r="C783" s="48" t="s">
        <v>3099</v>
      </c>
      <c r="D783" s="52" t="s">
        <v>62</v>
      </c>
      <c r="E783" s="52" t="s">
        <v>3045</v>
      </c>
      <c r="F783" s="55" t="s">
        <v>3100</v>
      </c>
      <c r="G783" s="51">
        <v>10.5</v>
      </c>
      <c r="H783" s="52" t="s">
        <v>3101</v>
      </c>
      <c r="I783" s="54">
        <v>0</v>
      </c>
      <c r="J783" s="54">
        <v>0</v>
      </c>
      <c r="K783" s="54">
        <v>54000</v>
      </c>
      <c r="L783" s="54">
        <v>0</v>
      </c>
      <c r="M783" s="54">
        <v>0</v>
      </c>
      <c r="N783" s="54">
        <v>0</v>
      </c>
      <c r="O783" s="54">
        <v>0</v>
      </c>
      <c r="P783" s="54">
        <v>0</v>
      </c>
      <c r="Q783" s="54">
        <v>0</v>
      </c>
      <c r="R783" s="54">
        <v>0</v>
      </c>
      <c r="S783" s="54">
        <v>0</v>
      </c>
      <c r="T783" s="54">
        <v>0</v>
      </c>
      <c r="U783" s="54">
        <v>3429</v>
      </c>
      <c r="V783" s="54">
        <v>0</v>
      </c>
      <c r="W783" s="54">
        <v>0</v>
      </c>
      <c r="X783" s="54">
        <v>0</v>
      </c>
      <c r="Y783" s="54">
        <v>27000</v>
      </c>
      <c r="Z783" s="54">
        <v>0</v>
      </c>
      <c r="AA783" s="54">
        <v>0</v>
      </c>
      <c r="AB783" s="54">
        <v>0</v>
      </c>
      <c r="AC783" s="54">
        <v>0</v>
      </c>
      <c r="AD783" s="54">
        <v>0</v>
      </c>
      <c r="AE783" s="54">
        <v>0</v>
      </c>
      <c r="AF783" s="54">
        <v>0</v>
      </c>
      <c r="AG783" s="54">
        <v>0</v>
      </c>
      <c r="AH783" s="54">
        <v>0</v>
      </c>
      <c r="AI783" s="54">
        <v>0</v>
      </c>
      <c r="AJ783" s="54">
        <v>0</v>
      </c>
      <c r="AK783" s="54">
        <v>0</v>
      </c>
      <c r="AL783" s="54">
        <v>0</v>
      </c>
      <c r="AM783" s="54" t="str">
        <f>I783-J783-K783-L783-M783-N783-O783-P783-Q783-R783-S783-T783-U783-V783-W783-X783-Y783-Z783-AA783-AB783-AC783-AD783-AE783-AF783-AG783+AH783-AI783+AJ783+AK783-AL783</f>
        <v>0</v>
      </c>
      <c r="AN783" s="54"/>
      <c r="AO783" s="27"/>
    </row>
    <row r="784" spans="1:41">
      <c r="A784" s="44">
        <v>756</v>
      </c>
      <c r="B784" s="47" t="s">
        <v>3102</v>
      </c>
      <c r="C784" s="48" t="s">
        <v>3103</v>
      </c>
      <c r="D784" s="52" t="s">
        <v>73</v>
      </c>
      <c r="E784" s="52" t="s">
        <v>3045</v>
      </c>
      <c r="F784" s="55" t="s">
        <v>3104</v>
      </c>
      <c r="G784" s="51">
        <v>11.5</v>
      </c>
      <c r="H784" s="52" t="s">
        <v>3105</v>
      </c>
      <c r="I784" s="54">
        <v>1098000</v>
      </c>
      <c r="J784" s="54">
        <v>0</v>
      </c>
      <c r="K784" s="54">
        <v>48000</v>
      </c>
      <c r="L784" s="54">
        <v>0</v>
      </c>
      <c r="M784" s="54">
        <v>0</v>
      </c>
      <c r="N784" s="54">
        <v>0</v>
      </c>
      <c r="O784" s="54">
        <v>0</v>
      </c>
      <c r="P784" s="54">
        <v>0</v>
      </c>
      <c r="Q784" s="54">
        <v>0</v>
      </c>
      <c r="R784" s="54">
        <v>0</v>
      </c>
      <c r="S784" s="54">
        <v>0</v>
      </c>
      <c r="T784" s="54">
        <v>0</v>
      </c>
      <c r="U784" s="54">
        <v>3048</v>
      </c>
      <c r="V784" s="54">
        <v>0</v>
      </c>
      <c r="W784" s="54">
        <v>0</v>
      </c>
      <c r="X784" s="54">
        <v>0</v>
      </c>
      <c r="Y784" s="54">
        <v>0</v>
      </c>
      <c r="Z784" s="54">
        <v>0</v>
      </c>
      <c r="AA784" s="54">
        <v>0</v>
      </c>
      <c r="AB784" s="54">
        <v>0</v>
      </c>
      <c r="AC784" s="54">
        <v>0</v>
      </c>
      <c r="AD784" s="54">
        <v>0</v>
      </c>
      <c r="AE784" s="54">
        <v>0</v>
      </c>
      <c r="AF784" s="54">
        <v>0</v>
      </c>
      <c r="AG784" s="54">
        <v>0</v>
      </c>
      <c r="AH784" s="54">
        <v>0</v>
      </c>
      <c r="AI784" s="54">
        <v>0</v>
      </c>
      <c r="AJ784" s="54">
        <v>0</v>
      </c>
      <c r="AK784" s="54">
        <v>0</v>
      </c>
      <c r="AL784" s="54">
        <v>0</v>
      </c>
      <c r="AM784" s="54" t="str">
        <f>I784-J784-K784-L784-M784-N784-O784-P784-Q784-R784-S784-T784-U784-V784-W784-X784-Y784-Z784-AA784-AB784-AC784-AD784-AE784-AF784-AG784+AH784-AI784+AJ784+AK784-AL784</f>
        <v>0</v>
      </c>
      <c r="AN784" s="54"/>
      <c r="AO784" s="27"/>
    </row>
    <row r="785" spans="1:41">
      <c r="A785" s="44">
        <v>757</v>
      </c>
      <c r="B785" s="47" t="s">
        <v>3106</v>
      </c>
      <c r="C785" s="48" t="s">
        <v>3107</v>
      </c>
      <c r="D785" s="52" t="s">
        <v>62</v>
      </c>
      <c r="E785" s="52" t="s">
        <v>3045</v>
      </c>
      <c r="F785" s="55" t="s">
        <v>3108</v>
      </c>
      <c r="G785" s="51">
        <v>3</v>
      </c>
      <c r="H785" s="52" t="s">
        <v>3109</v>
      </c>
      <c r="I785" s="54">
        <v>0</v>
      </c>
      <c r="J785" s="54">
        <v>0</v>
      </c>
      <c r="K785" s="54">
        <v>22000</v>
      </c>
      <c r="L785" s="54">
        <v>0</v>
      </c>
      <c r="M785" s="54">
        <v>0</v>
      </c>
      <c r="N785" s="54">
        <v>0</v>
      </c>
      <c r="O785" s="54">
        <v>0</v>
      </c>
      <c r="P785" s="54">
        <v>0</v>
      </c>
      <c r="Q785" s="54">
        <v>0</v>
      </c>
      <c r="R785" s="54">
        <v>0</v>
      </c>
      <c r="S785" s="54">
        <v>0</v>
      </c>
      <c r="T785" s="54">
        <v>0</v>
      </c>
      <c r="U785" s="54">
        <v>1397</v>
      </c>
      <c r="V785" s="54">
        <v>0</v>
      </c>
      <c r="W785" s="54">
        <v>0</v>
      </c>
      <c r="X785" s="54">
        <v>0</v>
      </c>
      <c r="Y785" s="54">
        <v>11000</v>
      </c>
      <c r="Z785" s="54">
        <v>0</v>
      </c>
      <c r="AA785" s="54">
        <v>0</v>
      </c>
      <c r="AB785" s="54">
        <v>0</v>
      </c>
      <c r="AC785" s="54">
        <v>0</v>
      </c>
      <c r="AD785" s="54">
        <v>0</v>
      </c>
      <c r="AE785" s="54">
        <v>0</v>
      </c>
      <c r="AF785" s="54">
        <v>0</v>
      </c>
      <c r="AG785" s="54">
        <v>0</v>
      </c>
      <c r="AH785" s="54">
        <v>0</v>
      </c>
      <c r="AI785" s="54">
        <v>0</v>
      </c>
      <c r="AJ785" s="54">
        <v>0</v>
      </c>
      <c r="AK785" s="54">
        <v>0</v>
      </c>
      <c r="AL785" s="54">
        <v>0</v>
      </c>
      <c r="AM785" s="54" t="str">
        <f>I785-J785-K785-L785-M785-N785-O785-P785-Q785-R785-S785-T785-U785-V785-W785-X785-Y785-Z785-AA785-AB785-AC785-AD785-AE785-AF785-AG785+AH785-AI785+AJ785+AK785-AL785</f>
        <v>0</v>
      </c>
      <c r="AN785" s="54"/>
      <c r="AO785" s="27"/>
    </row>
    <row r="786" spans="1:41">
      <c r="A786" s="44">
        <v>758</v>
      </c>
      <c r="B786" s="47" t="s">
        <v>3110</v>
      </c>
      <c r="C786" s="48" t="s">
        <v>3111</v>
      </c>
      <c r="D786" s="52" t="s">
        <v>73</v>
      </c>
      <c r="E786" s="52" t="s">
        <v>3045</v>
      </c>
      <c r="F786" s="55" t="s">
        <v>1862</v>
      </c>
      <c r="G786" s="51">
        <v>3</v>
      </c>
      <c r="H786" s="52" t="s">
        <v>3112</v>
      </c>
      <c r="I786" s="54">
        <v>560000</v>
      </c>
      <c r="J786" s="54">
        <v>0</v>
      </c>
      <c r="K786" s="54">
        <v>22000</v>
      </c>
      <c r="L786" s="54">
        <v>0</v>
      </c>
      <c r="M786" s="54">
        <v>0</v>
      </c>
      <c r="N786" s="54">
        <v>0</v>
      </c>
      <c r="O786" s="54">
        <v>0</v>
      </c>
      <c r="P786" s="54">
        <v>0</v>
      </c>
      <c r="Q786" s="54">
        <v>0</v>
      </c>
      <c r="R786" s="54">
        <v>0</v>
      </c>
      <c r="S786" s="54">
        <v>0</v>
      </c>
      <c r="T786" s="54">
        <v>0</v>
      </c>
      <c r="U786" s="54">
        <v>1397</v>
      </c>
      <c r="V786" s="54">
        <v>0</v>
      </c>
      <c r="W786" s="54">
        <v>0</v>
      </c>
      <c r="X786" s="54">
        <v>0</v>
      </c>
      <c r="Y786" s="54">
        <v>0</v>
      </c>
      <c r="Z786" s="54">
        <v>0</v>
      </c>
      <c r="AA786" s="54">
        <v>0</v>
      </c>
      <c r="AB786" s="54">
        <v>0</v>
      </c>
      <c r="AC786" s="54">
        <v>0</v>
      </c>
      <c r="AD786" s="54">
        <v>0</v>
      </c>
      <c r="AE786" s="54">
        <v>0</v>
      </c>
      <c r="AF786" s="54">
        <v>0</v>
      </c>
      <c r="AG786" s="54">
        <v>0</v>
      </c>
      <c r="AH786" s="54">
        <v>0</v>
      </c>
      <c r="AI786" s="54">
        <v>0</v>
      </c>
      <c r="AJ786" s="54">
        <v>0</v>
      </c>
      <c r="AK786" s="54">
        <v>0</v>
      </c>
      <c r="AL786" s="54">
        <v>0</v>
      </c>
      <c r="AM786" s="54" t="str">
        <f>I786-J786-K786-L786-M786-N786-O786-P786-Q786-R786-S786-T786-U786-V786-W786-X786-Y786-Z786-AA786-AB786-AC786-AD786-AE786-AF786-AG786+AH786-AI786+AJ786+AK786-AL786</f>
        <v>0</v>
      </c>
      <c r="AN786" s="54"/>
      <c r="AO786" s="27"/>
    </row>
    <row r="787" spans="1:41">
      <c r="A787" s="44">
        <v>759</v>
      </c>
      <c r="B787" s="47" t="s">
        <v>3113</v>
      </c>
      <c r="C787" s="48" t="s">
        <v>3114</v>
      </c>
      <c r="D787" s="52" t="s">
        <v>73</v>
      </c>
      <c r="E787" s="52" t="s">
        <v>3045</v>
      </c>
      <c r="F787" s="55" t="s">
        <v>3115</v>
      </c>
      <c r="G787" s="51">
        <v>3</v>
      </c>
      <c r="H787" s="52" t="s">
        <v>3116</v>
      </c>
      <c r="I787" s="54">
        <v>834000</v>
      </c>
      <c r="J787" s="54">
        <v>0</v>
      </c>
      <c r="K787" s="54">
        <v>22000</v>
      </c>
      <c r="L787" s="54">
        <v>0</v>
      </c>
      <c r="M787" s="54">
        <v>0</v>
      </c>
      <c r="N787" s="54">
        <v>0</v>
      </c>
      <c r="O787" s="54">
        <v>0</v>
      </c>
      <c r="P787" s="54">
        <v>0</v>
      </c>
      <c r="Q787" s="54">
        <v>0</v>
      </c>
      <c r="R787" s="54">
        <v>0</v>
      </c>
      <c r="S787" s="54">
        <v>0</v>
      </c>
      <c r="T787" s="54">
        <v>0</v>
      </c>
      <c r="U787" s="54">
        <v>1397</v>
      </c>
      <c r="V787" s="54">
        <v>0</v>
      </c>
      <c r="W787" s="54">
        <v>0</v>
      </c>
      <c r="X787" s="54">
        <v>0</v>
      </c>
      <c r="Y787" s="54">
        <v>0</v>
      </c>
      <c r="Z787" s="54">
        <v>0</v>
      </c>
      <c r="AA787" s="54">
        <v>0</v>
      </c>
      <c r="AB787" s="54">
        <v>0</v>
      </c>
      <c r="AC787" s="54">
        <v>0</v>
      </c>
      <c r="AD787" s="54">
        <v>0</v>
      </c>
      <c r="AE787" s="54">
        <v>0</v>
      </c>
      <c r="AF787" s="54">
        <v>0</v>
      </c>
      <c r="AG787" s="54">
        <v>0</v>
      </c>
      <c r="AH787" s="54">
        <v>0</v>
      </c>
      <c r="AI787" s="54">
        <v>0</v>
      </c>
      <c r="AJ787" s="54">
        <v>0</v>
      </c>
      <c r="AK787" s="54">
        <v>0</v>
      </c>
      <c r="AL787" s="54">
        <v>0</v>
      </c>
      <c r="AM787" s="54" t="str">
        <f>I787-J787-K787-L787-M787-N787-O787-P787-Q787-R787-S787-T787-U787-V787-W787-X787-Y787-Z787-AA787-AB787-AC787-AD787-AE787-AF787-AG787+AH787-AI787+AJ787+AK787-AL787</f>
        <v>0</v>
      </c>
      <c r="AN787" s="54"/>
      <c r="AO787" s="27"/>
    </row>
    <row r="788" spans="1:41">
      <c r="A788" s="44">
        <v>760</v>
      </c>
      <c r="B788" s="47" t="s">
        <v>3117</v>
      </c>
      <c r="C788" s="48" t="s">
        <v>3118</v>
      </c>
      <c r="D788" s="52" t="s">
        <v>73</v>
      </c>
      <c r="E788" s="52" t="s">
        <v>3045</v>
      </c>
      <c r="F788" s="55" t="s">
        <v>3119</v>
      </c>
      <c r="G788" s="51">
        <v>3</v>
      </c>
      <c r="H788" s="52" t="s">
        <v>3120</v>
      </c>
      <c r="I788" s="54">
        <v>564000</v>
      </c>
      <c r="J788" s="54">
        <v>0</v>
      </c>
      <c r="K788" s="54">
        <v>22000</v>
      </c>
      <c r="L788" s="54">
        <v>0</v>
      </c>
      <c r="M788" s="54">
        <v>0</v>
      </c>
      <c r="N788" s="54">
        <v>0</v>
      </c>
      <c r="O788" s="54">
        <v>0</v>
      </c>
      <c r="P788" s="54">
        <v>0</v>
      </c>
      <c r="Q788" s="54">
        <v>0</v>
      </c>
      <c r="R788" s="54">
        <v>0</v>
      </c>
      <c r="S788" s="54">
        <v>0</v>
      </c>
      <c r="T788" s="54">
        <v>0</v>
      </c>
      <c r="U788" s="54">
        <v>1397</v>
      </c>
      <c r="V788" s="54">
        <v>0</v>
      </c>
      <c r="W788" s="54">
        <v>0</v>
      </c>
      <c r="X788" s="54">
        <v>0</v>
      </c>
      <c r="Y788" s="54">
        <v>0</v>
      </c>
      <c r="Z788" s="54">
        <v>0</v>
      </c>
      <c r="AA788" s="54">
        <v>0</v>
      </c>
      <c r="AB788" s="54">
        <v>0</v>
      </c>
      <c r="AC788" s="54">
        <v>0</v>
      </c>
      <c r="AD788" s="54">
        <v>0</v>
      </c>
      <c r="AE788" s="54">
        <v>0</v>
      </c>
      <c r="AF788" s="54">
        <v>0</v>
      </c>
      <c r="AG788" s="54">
        <v>0</v>
      </c>
      <c r="AH788" s="54">
        <v>0</v>
      </c>
      <c r="AI788" s="54">
        <v>0</v>
      </c>
      <c r="AJ788" s="54">
        <v>0</v>
      </c>
      <c r="AK788" s="54">
        <v>0</v>
      </c>
      <c r="AL788" s="54">
        <v>0</v>
      </c>
      <c r="AM788" s="54" t="str">
        <f>I788-J788-K788-L788-M788-N788-O788-P788-Q788-R788-S788-T788-U788-V788-W788-X788-Y788-Z788-AA788-AB788-AC788-AD788-AE788-AF788-AG788+AH788-AI788+AJ788+AK788-AL788</f>
        <v>0</v>
      </c>
      <c r="AN788" s="54"/>
      <c r="AO788" s="27"/>
    </row>
    <row r="789" spans="1:41">
      <c r="A789" s="44">
        <v>761</v>
      </c>
      <c r="B789" s="47" t="s">
        <v>3121</v>
      </c>
      <c r="C789" s="48" t="s">
        <v>3122</v>
      </c>
      <c r="D789" s="52" t="s">
        <v>73</v>
      </c>
      <c r="E789" s="52" t="s">
        <v>3123</v>
      </c>
      <c r="F789" s="55" t="s">
        <v>3124</v>
      </c>
      <c r="G789" s="51">
        <v>3</v>
      </c>
      <c r="H789" s="52" t="s">
        <v>3125</v>
      </c>
      <c r="I789" s="54">
        <v>834000</v>
      </c>
      <c r="J789" s="54">
        <v>0</v>
      </c>
      <c r="K789" s="54">
        <v>22000</v>
      </c>
      <c r="L789" s="54">
        <v>0</v>
      </c>
      <c r="M789" s="54">
        <v>0</v>
      </c>
      <c r="N789" s="54">
        <v>0</v>
      </c>
      <c r="O789" s="54">
        <v>0</v>
      </c>
      <c r="P789" s="54">
        <v>0</v>
      </c>
      <c r="Q789" s="54">
        <v>0</v>
      </c>
      <c r="R789" s="54">
        <v>0</v>
      </c>
      <c r="S789" s="54">
        <v>0</v>
      </c>
      <c r="T789" s="54">
        <v>0</v>
      </c>
      <c r="U789" s="54">
        <v>1397</v>
      </c>
      <c r="V789" s="54">
        <v>0</v>
      </c>
      <c r="W789" s="54">
        <v>0</v>
      </c>
      <c r="X789" s="54">
        <v>0</v>
      </c>
      <c r="Y789" s="54">
        <v>0</v>
      </c>
      <c r="Z789" s="54">
        <v>0</v>
      </c>
      <c r="AA789" s="54">
        <v>0</v>
      </c>
      <c r="AB789" s="54">
        <v>0</v>
      </c>
      <c r="AC789" s="54">
        <v>0</v>
      </c>
      <c r="AD789" s="54">
        <v>0</v>
      </c>
      <c r="AE789" s="54">
        <v>0</v>
      </c>
      <c r="AF789" s="54">
        <v>0</v>
      </c>
      <c r="AG789" s="54">
        <v>0</v>
      </c>
      <c r="AH789" s="54">
        <v>0</v>
      </c>
      <c r="AI789" s="54">
        <v>0</v>
      </c>
      <c r="AJ789" s="54">
        <v>0</v>
      </c>
      <c r="AK789" s="54">
        <v>0</v>
      </c>
      <c r="AL789" s="54">
        <v>0</v>
      </c>
      <c r="AM789" s="54" t="str">
        <f>I789-J789-K789-L789-M789-N789-O789-P789-Q789-R789-S789-T789-U789-V789-W789-X789-Y789-Z789-AA789-AB789-AC789-AD789-AE789-AF789-AG789+AH789-AI789+AJ789+AK789-AL789</f>
        <v>0</v>
      </c>
      <c r="AN789" s="54"/>
      <c r="AO789" s="27"/>
    </row>
    <row r="790" spans="1:41">
      <c r="A790" s="44">
        <v>762</v>
      </c>
      <c r="B790" s="47" t="s">
        <v>3126</v>
      </c>
      <c r="C790" s="48" t="s">
        <v>3127</v>
      </c>
      <c r="D790" s="52" t="s">
        <v>73</v>
      </c>
      <c r="E790" s="52" t="s">
        <v>3123</v>
      </c>
      <c r="F790" s="55" t="s">
        <v>3128</v>
      </c>
      <c r="G790" s="51">
        <v>3</v>
      </c>
      <c r="H790" s="52" t="s">
        <v>3129</v>
      </c>
      <c r="I790" s="54">
        <v>450000</v>
      </c>
      <c r="J790" s="54">
        <v>0</v>
      </c>
      <c r="K790" s="54">
        <v>22000</v>
      </c>
      <c r="L790" s="54">
        <v>0</v>
      </c>
      <c r="M790" s="54">
        <v>0</v>
      </c>
      <c r="N790" s="54">
        <v>0</v>
      </c>
      <c r="O790" s="54">
        <v>0</v>
      </c>
      <c r="P790" s="54">
        <v>0</v>
      </c>
      <c r="Q790" s="54">
        <v>0</v>
      </c>
      <c r="R790" s="54">
        <v>0</v>
      </c>
      <c r="S790" s="54">
        <v>0</v>
      </c>
      <c r="T790" s="54">
        <v>0</v>
      </c>
      <c r="U790" s="54">
        <v>1397</v>
      </c>
      <c r="V790" s="54">
        <v>0</v>
      </c>
      <c r="W790" s="54">
        <v>0</v>
      </c>
      <c r="X790" s="54">
        <v>0</v>
      </c>
      <c r="Y790" s="54">
        <v>0</v>
      </c>
      <c r="Z790" s="54">
        <v>0</v>
      </c>
      <c r="AA790" s="54">
        <v>0</v>
      </c>
      <c r="AB790" s="54">
        <v>0</v>
      </c>
      <c r="AC790" s="54">
        <v>0</v>
      </c>
      <c r="AD790" s="54">
        <v>0</v>
      </c>
      <c r="AE790" s="54">
        <v>0</v>
      </c>
      <c r="AF790" s="54">
        <v>0</v>
      </c>
      <c r="AG790" s="54">
        <v>0</v>
      </c>
      <c r="AH790" s="54">
        <v>0</v>
      </c>
      <c r="AI790" s="54">
        <v>0</v>
      </c>
      <c r="AJ790" s="54">
        <v>0</v>
      </c>
      <c r="AK790" s="54">
        <v>0</v>
      </c>
      <c r="AL790" s="54">
        <v>0</v>
      </c>
      <c r="AM790" s="54" t="str">
        <f>I790-J790-K790-L790-M790-N790-O790-P790-Q790-R790-S790-T790-U790-V790-W790-X790-Y790-Z790-AA790-AB790-AC790-AD790-AE790-AF790-AG790+AH790-AI790+AJ790+AK790-AL790</f>
        <v>0</v>
      </c>
      <c r="AN790" s="54"/>
      <c r="AO790" s="27"/>
    </row>
    <row r="791" spans="1:41">
      <c r="A791" s="44">
        <v>763</v>
      </c>
      <c r="B791" s="47" t="s">
        <v>3130</v>
      </c>
      <c r="C791" s="48" t="s">
        <v>3131</v>
      </c>
      <c r="D791" s="52" t="s">
        <v>73</v>
      </c>
      <c r="E791" s="52" t="s">
        <v>3123</v>
      </c>
      <c r="F791" s="55" t="s">
        <v>3132</v>
      </c>
      <c r="G791" s="51">
        <v>11</v>
      </c>
      <c r="H791" s="52" t="s">
        <v>3133</v>
      </c>
      <c r="I791" s="54">
        <v>1807000</v>
      </c>
      <c r="J791" s="54">
        <v>0</v>
      </c>
      <c r="K791" s="54">
        <v>54000</v>
      </c>
      <c r="L791" s="54">
        <v>0</v>
      </c>
      <c r="M791" s="54">
        <v>0</v>
      </c>
      <c r="N791" s="54">
        <v>0</v>
      </c>
      <c r="O791" s="54">
        <v>0</v>
      </c>
      <c r="P791" s="54">
        <v>0</v>
      </c>
      <c r="Q791" s="54">
        <v>0</v>
      </c>
      <c r="R791" s="54">
        <v>0</v>
      </c>
      <c r="S791" s="54">
        <v>0</v>
      </c>
      <c r="T791" s="54">
        <v>0</v>
      </c>
      <c r="U791" s="54">
        <v>3429</v>
      </c>
      <c r="V791" s="54">
        <v>0</v>
      </c>
      <c r="W791" s="54">
        <v>0</v>
      </c>
      <c r="X791" s="54">
        <v>0</v>
      </c>
      <c r="Y791" s="54">
        <v>0</v>
      </c>
      <c r="Z791" s="54">
        <v>0</v>
      </c>
      <c r="AA791" s="54">
        <v>0</v>
      </c>
      <c r="AB791" s="54">
        <v>0</v>
      </c>
      <c r="AC791" s="54">
        <v>0</v>
      </c>
      <c r="AD791" s="54">
        <v>0</v>
      </c>
      <c r="AE791" s="54">
        <v>0</v>
      </c>
      <c r="AF791" s="54">
        <v>0</v>
      </c>
      <c r="AG791" s="54">
        <v>0</v>
      </c>
      <c r="AH791" s="54">
        <v>0</v>
      </c>
      <c r="AI791" s="54">
        <v>0</v>
      </c>
      <c r="AJ791" s="54">
        <v>0</v>
      </c>
      <c r="AK791" s="54">
        <v>0</v>
      </c>
      <c r="AL791" s="54">
        <v>0</v>
      </c>
      <c r="AM791" s="54" t="str">
        <f>I791-J791-K791-L791-M791-N791-O791-P791-Q791-R791-S791-T791-U791-V791-W791-X791-Y791-Z791-AA791-AB791-AC791-AD791-AE791-AF791-AG791+AH791-AI791+AJ791+AK791-AL791</f>
        <v>0</v>
      </c>
      <c r="AN791" s="54"/>
      <c r="AO791" s="27"/>
    </row>
    <row r="792" spans="1:41">
      <c r="A792" s="44">
        <v>764</v>
      </c>
      <c r="B792" s="47" t="s">
        <v>3134</v>
      </c>
      <c r="C792" s="48" t="s">
        <v>3135</v>
      </c>
      <c r="D792" s="52" t="s">
        <v>73</v>
      </c>
      <c r="E792" s="52" t="s">
        <v>3123</v>
      </c>
      <c r="F792" s="55" t="s">
        <v>3136</v>
      </c>
      <c r="G792" s="51">
        <v>5.8</v>
      </c>
      <c r="H792" s="52" t="s">
        <v>3137</v>
      </c>
      <c r="I792" s="54">
        <v>634000</v>
      </c>
      <c r="J792" s="54">
        <v>0</v>
      </c>
      <c r="K792" s="54">
        <v>31000</v>
      </c>
      <c r="L792" s="54">
        <v>0</v>
      </c>
      <c r="M792" s="54">
        <v>0</v>
      </c>
      <c r="N792" s="54">
        <v>0</v>
      </c>
      <c r="O792" s="54">
        <v>0</v>
      </c>
      <c r="P792" s="54">
        <v>0</v>
      </c>
      <c r="Q792" s="54">
        <v>0</v>
      </c>
      <c r="R792" s="54">
        <v>0</v>
      </c>
      <c r="S792" s="54">
        <v>0</v>
      </c>
      <c r="T792" s="54">
        <v>0</v>
      </c>
      <c r="U792" s="54">
        <v>1968</v>
      </c>
      <c r="V792" s="54">
        <v>0</v>
      </c>
      <c r="W792" s="54">
        <v>0</v>
      </c>
      <c r="X792" s="54">
        <v>0</v>
      </c>
      <c r="Y792" s="54">
        <v>0</v>
      </c>
      <c r="Z792" s="54">
        <v>0</v>
      </c>
      <c r="AA792" s="54">
        <v>0</v>
      </c>
      <c r="AB792" s="54">
        <v>0</v>
      </c>
      <c r="AC792" s="54">
        <v>0</v>
      </c>
      <c r="AD792" s="54">
        <v>0</v>
      </c>
      <c r="AE792" s="54">
        <v>0</v>
      </c>
      <c r="AF792" s="54">
        <v>0</v>
      </c>
      <c r="AG792" s="54">
        <v>0</v>
      </c>
      <c r="AH792" s="54">
        <v>0</v>
      </c>
      <c r="AI792" s="54">
        <v>0</v>
      </c>
      <c r="AJ792" s="54">
        <v>0</v>
      </c>
      <c r="AK792" s="54">
        <v>0</v>
      </c>
      <c r="AL792" s="54">
        <v>0</v>
      </c>
      <c r="AM792" s="54" t="str">
        <f>I792-J792-K792-L792-M792-N792-O792-P792-Q792-R792-S792-T792-U792-V792-W792-X792-Y792-Z792-AA792-AB792-AC792-AD792-AE792-AF792-AG792+AH792-AI792+AJ792+AK792-AL792</f>
        <v>0</v>
      </c>
      <c r="AN792" s="54"/>
      <c r="AO792" s="27"/>
    </row>
    <row r="793" spans="1:41">
      <c r="A793" s="44">
        <v>765</v>
      </c>
      <c r="B793" s="47" t="s">
        <v>3138</v>
      </c>
      <c r="C793" s="48" t="s">
        <v>3139</v>
      </c>
      <c r="D793" s="52" t="s">
        <v>73</v>
      </c>
      <c r="E793" s="52" t="s">
        <v>3123</v>
      </c>
      <c r="F793" s="55" t="s">
        <v>3140</v>
      </c>
      <c r="G793" s="51">
        <v>2</v>
      </c>
      <c r="H793" s="52" t="s">
        <v>3141</v>
      </c>
      <c r="I793" s="54">
        <v>434000</v>
      </c>
      <c r="J793" s="54">
        <v>0</v>
      </c>
      <c r="K793" s="54">
        <v>22000</v>
      </c>
      <c r="L793" s="54">
        <v>0</v>
      </c>
      <c r="M793" s="54">
        <v>0</v>
      </c>
      <c r="N793" s="54">
        <v>0</v>
      </c>
      <c r="O793" s="54">
        <v>0</v>
      </c>
      <c r="P793" s="54">
        <v>0</v>
      </c>
      <c r="Q793" s="54">
        <v>0</v>
      </c>
      <c r="R793" s="54">
        <v>0</v>
      </c>
      <c r="S793" s="54">
        <v>0</v>
      </c>
      <c r="T793" s="54">
        <v>0</v>
      </c>
      <c r="U793" s="54">
        <v>1397</v>
      </c>
      <c r="V793" s="54">
        <v>0</v>
      </c>
      <c r="W793" s="54">
        <v>0</v>
      </c>
      <c r="X793" s="54">
        <v>0</v>
      </c>
      <c r="Y793" s="54">
        <v>0</v>
      </c>
      <c r="Z793" s="54">
        <v>0</v>
      </c>
      <c r="AA793" s="54">
        <v>0</v>
      </c>
      <c r="AB793" s="54">
        <v>0</v>
      </c>
      <c r="AC793" s="54">
        <v>0</v>
      </c>
      <c r="AD793" s="54">
        <v>0</v>
      </c>
      <c r="AE793" s="54">
        <v>0</v>
      </c>
      <c r="AF793" s="54">
        <v>0</v>
      </c>
      <c r="AG793" s="54">
        <v>0</v>
      </c>
      <c r="AH793" s="54">
        <v>0</v>
      </c>
      <c r="AI793" s="54">
        <v>0</v>
      </c>
      <c r="AJ793" s="54">
        <v>0</v>
      </c>
      <c r="AK793" s="54">
        <v>0</v>
      </c>
      <c r="AL793" s="54">
        <v>0</v>
      </c>
      <c r="AM793" s="54" t="str">
        <f>I793-J793-K793-L793-M793-N793-O793-P793-Q793-R793-S793-T793-U793-V793-W793-X793-Y793-Z793-AA793-AB793-AC793-AD793-AE793-AF793-AG793+AH793-AI793+AJ793+AK793-AL793</f>
        <v>0</v>
      </c>
      <c r="AN793" s="54"/>
      <c r="AO793" s="27"/>
    </row>
    <row r="794" spans="1:41">
      <c r="A794" s="44">
        <v>766</v>
      </c>
      <c r="B794" s="47" t="s">
        <v>3142</v>
      </c>
      <c r="C794" s="48" t="s">
        <v>3143</v>
      </c>
      <c r="D794" s="52" t="s">
        <v>73</v>
      </c>
      <c r="E794" s="52" t="s">
        <v>3123</v>
      </c>
      <c r="F794" s="55" t="s">
        <v>3085</v>
      </c>
      <c r="G794" s="51">
        <v>3</v>
      </c>
      <c r="H794" s="52" t="s">
        <v>3144</v>
      </c>
      <c r="I794" s="54">
        <v>560000</v>
      </c>
      <c r="J794" s="54">
        <v>0</v>
      </c>
      <c r="K794" s="54">
        <v>22000</v>
      </c>
      <c r="L794" s="54">
        <v>0</v>
      </c>
      <c r="M794" s="54">
        <v>0</v>
      </c>
      <c r="N794" s="54">
        <v>0</v>
      </c>
      <c r="O794" s="54">
        <v>0</v>
      </c>
      <c r="P794" s="54">
        <v>0</v>
      </c>
      <c r="Q794" s="54">
        <v>0</v>
      </c>
      <c r="R794" s="54">
        <v>0</v>
      </c>
      <c r="S794" s="54">
        <v>0</v>
      </c>
      <c r="T794" s="54">
        <v>0</v>
      </c>
      <c r="U794" s="54">
        <v>1397</v>
      </c>
      <c r="V794" s="54">
        <v>0</v>
      </c>
      <c r="W794" s="54">
        <v>0</v>
      </c>
      <c r="X794" s="54">
        <v>0</v>
      </c>
      <c r="Y794" s="54">
        <v>0</v>
      </c>
      <c r="Z794" s="54">
        <v>0</v>
      </c>
      <c r="AA794" s="54">
        <v>0</v>
      </c>
      <c r="AB794" s="54">
        <v>0</v>
      </c>
      <c r="AC794" s="54">
        <v>0</v>
      </c>
      <c r="AD794" s="54">
        <v>0</v>
      </c>
      <c r="AE794" s="54">
        <v>0</v>
      </c>
      <c r="AF794" s="54">
        <v>0</v>
      </c>
      <c r="AG794" s="54">
        <v>0</v>
      </c>
      <c r="AH794" s="54">
        <v>0</v>
      </c>
      <c r="AI794" s="54">
        <v>0</v>
      </c>
      <c r="AJ794" s="54">
        <v>0</v>
      </c>
      <c r="AK794" s="54">
        <v>0</v>
      </c>
      <c r="AL794" s="54">
        <v>0</v>
      </c>
      <c r="AM794" s="54" t="str">
        <f>I794-J794-K794-L794-M794-N794-O794-P794-Q794-R794-S794-T794-U794-V794-W794-X794-Y794-Z794-AA794-AB794-AC794-AD794-AE794-AF794-AG794+AH794-AI794+AJ794+AK794-AL794</f>
        <v>0</v>
      </c>
      <c r="AN794" s="54"/>
      <c r="AO794" s="27"/>
    </row>
    <row r="795" spans="1:41">
      <c r="A795" s="44">
        <v>767</v>
      </c>
      <c r="B795" s="47" t="s">
        <v>3145</v>
      </c>
      <c r="C795" s="48" t="s">
        <v>3146</v>
      </c>
      <c r="D795" s="52" t="s">
        <v>73</v>
      </c>
      <c r="E795" s="52" t="s">
        <v>3147</v>
      </c>
      <c r="F795" s="55" t="s">
        <v>3148</v>
      </c>
      <c r="G795" s="51">
        <v>15</v>
      </c>
      <c r="H795" s="52" t="s">
        <v>3149</v>
      </c>
      <c r="I795" s="54">
        <v>3690000</v>
      </c>
      <c r="J795" s="54">
        <v>22650</v>
      </c>
      <c r="K795" s="54">
        <v>60000</v>
      </c>
      <c r="L795" s="54">
        <v>0</v>
      </c>
      <c r="M795" s="54">
        <v>0</v>
      </c>
      <c r="N795" s="54">
        <v>0</v>
      </c>
      <c r="O795" s="54">
        <v>0</v>
      </c>
      <c r="P795" s="54">
        <v>0</v>
      </c>
      <c r="Q795" s="54">
        <v>0</v>
      </c>
      <c r="R795" s="54">
        <v>0</v>
      </c>
      <c r="S795" s="54">
        <v>0</v>
      </c>
      <c r="T795" s="54">
        <v>0</v>
      </c>
      <c r="U795" s="54">
        <v>3810</v>
      </c>
      <c r="V795" s="54">
        <v>0</v>
      </c>
      <c r="W795" s="54">
        <v>0</v>
      </c>
      <c r="X795" s="54">
        <v>0</v>
      </c>
      <c r="Y795" s="54">
        <v>0</v>
      </c>
      <c r="Z795" s="54">
        <v>0</v>
      </c>
      <c r="AA795" s="54">
        <v>0</v>
      </c>
      <c r="AB795" s="54">
        <v>0</v>
      </c>
      <c r="AC795" s="54">
        <v>0</v>
      </c>
      <c r="AD795" s="54">
        <v>0</v>
      </c>
      <c r="AE795" s="54">
        <v>0</v>
      </c>
      <c r="AF795" s="54">
        <v>0</v>
      </c>
      <c r="AG795" s="54">
        <v>0</v>
      </c>
      <c r="AH795" s="54">
        <v>0</v>
      </c>
      <c r="AI795" s="54">
        <v>0</v>
      </c>
      <c r="AJ795" s="54">
        <v>0</v>
      </c>
      <c r="AK795" s="54">
        <v>0</v>
      </c>
      <c r="AL795" s="54">
        <v>0</v>
      </c>
      <c r="AM795" s="54" t="str">
        <f>I795-J795-K795-L795-M795-N795-O795-P795-Q795-R795-S795-T795-U795-V795-W795-X795-Y795-Z795-AA795-AB795-AC795-AD795-AE795-AF795-AG795+AH795-AI795+AJ795+AK795-AL795</f>
        <v>0</v>
      </c>
      <c r="AN795" s="54"/>
      <c r="AO795" s="27"/>
    </row>
    <row r="796" spans="1:41">
      <c r="A796" s="44">
        <v>768</v>
      </c>
      <c r="B796" s="47" t="s">
        <v>3150</v>
      </c>
      <c r="C796" s="48" t="s">
        <v>3151</v>
      </c>
      <c r="D796" s="52" t="s">
        <v>73</v>
      </c>
      <c r="E796" s="52" t="s">
        <v>3152</v>
      </c>
      <c r="F796" s="55" t="s">
        <v>3153</v>
      </c>
      <c r="G796" s="51">
        <v>5</v>
      </c>
      <c r="H796" s="52" t="s">
        <v>3154</v>
      </c>
      <c r="I796" s="54">
        <v>1300000</v>
      </c>
      <c r="J796" s="54">
        <v>0</v>
      </c>
      <c r="K796" s="54">
        <v>27000</v>
      </c>
      <c r="L796" s="54">
        <v>0</v>
      </c>
      <c r="M796" s="54">
        <v>0</v>
      </c>
      <c r="N796" s="54">
        <v>0</v>
      </c>
      <c r="O796" s="54">
        <v>0</v>
      </c>
      <c r="P796" s="54">
        <v>0</v>
      </c>
      <c r="Q796" s="54">
        <v>0</v>
      </c>
      <c r="R796" s="54">
        <v>0</v>
      </c>
      <c r="S796" s="54">
        <v>0</v>
      </c>
      <c r="T796" s="54">
        <v>0</v>
      </c>
      <c r="U796" s="54">
        <v>1714</v>
      </c>
      <c r="V796" s="54">
        <v>0</v>
      </c>
      <c r="W796" s="54">
        <v>0</v>
      </c>
      <c r="X796" s="54">
        <v>0</v>
      </c>
      <c r="Y796" s="54">
        <v>0</v>
      </c>
      <c r="Z796" s="54">
        <v>0</v>
      </c>
      <c r="AA796" s="54">
        <v>0</v>
      </c>
      <c r="AB796" s="54">
        <v>0</v>
      </c>
      <c r="AC796" s="54">
        <v>0</v>
      </c>
      <c r="AD796" s="54">
        <v>0</v>
      </c>
      <c r="AE796" s="54">
        <v>0</v>
      </c>
      <c r="AF796" s="54">
        <v>0</v>
      </c>
      <c r="AG796" s="54">
        <v>0</v>
      </c>
      <c r="AH796" s="54">
        <v>0</v>
      </c>
      <c r="AI796" s="54">
        <v>0</v>
      </c>
      <c r="AJ796" s="54">
        <v>0</v>
      </c>
      <c r="AK796" s="54">
        <v>0</v>
      </c>
      <c r="AL796" s="54">
        <v>0</v>
      </c>
      <c r="AM796" s="54" t="str">
        <f>I796-J796-K796-L796-M796-N796-O796-P796-Q796-R796-S796-T796-U796-V796-W796-X796-Y796-Z796-AA796-AB796-AC796-AD796-AE796-AF796-AG796+AH796-AI796+AJ796+AK796-AL796</f>
        <v>0</v>
      </c>
      <c r="AN796" s="54"/>
      <c r="AO796" s="27"/>
    </row>
    <row r="797" spans="1:41">
      <c r="A797" s="44">
        <v>769</v>
      </c>
      <c r="B797" s="47" t="s">
        <v>3155</v>
      </c>
      <c r="C797" s="48" t="s">
        <v>3156</v>
      </c>
      <c r="D797" s="52" t="s">
        <v>73</v>
      </c>
      <c r="E797" s="52" t="s">
        <v>3157</v>
      </c>
      <c r="F797" s="55" t="s">
        <v>3158</v>
      </c>
      <c r="G797" s="51">
        <v>3.2</v>
      </c>
      <c r="H797" s="52" t="s">
        <v>3159</v>
      </c>
      <c r="I797" s="54">
        <v>875000</v>
      </c>
      <c r="J797" s="54">
        <v>0</v>
      </c>
      <c r="K797" s="54">
        <v>25000</v>
      </c>
      <c r="L797" s="54">
        <v>0</v>
      </c>
      <c r="M797" s="54">
        <v>0</v>
      </c>
      <c r="N797" s="54">
        <v>0</v>
      </c>
      <c r="O797" s="54">
        <v>0</v>
      </c>
      <c r="P797" s="54">
        <v>0</v>
      </c>
      <c r="Q797" s="54">
        <v>0</v>
      </c>
      <c r="R797" s="54">
        <v>0</v>
      </c>
      <c r="S797" s="54">
        <v>0</v>
      </c>
      <c r="T797" s="54">
        <v>0</v>
      </c>
      <c r="U797" s="54">
        <v>1587</v>
      </c>
      <c r="V797" s="54">
        <v>0</v>
      </c>
      <c r="W797" s="54">
        <v>0</v>
      </c>
      <c r="X797" s="54">
        <v>0</v>
      </c>
      <c r="Y797" s="54">
        <v>0</v>
      </c>
      <c r="Z797" s="54">
        <v>0</v>
      </c>
      <c r="AA797" s="54">
        <v>0</v>
      </c>
      <c r="AB797" s="54">
        <v>0</v>
      </c>
      <c r="AC797" s="54">
        <v>0</v>
      </c>
      <c r="AD797" s="54">
        <v>0</v>
      </c>
      <c r="AE797" s="54">
        <v>0</v>
      </c>
      <c r="AF797" s="54">
        <v>0</v>
      </c>
      <c r="AG797" s="54">
        <v>0</v>
      </c>
      <c r="AH797" s="54">
        <v>0</v>
      </c>
      <c r="AI797" s="54">
        <v>0</v>
      </c>
      <c r="AJ797" s="54">
        <v>0</v>
      </c>
      <c r="AK797" s="54">
        <v>0</v>
      </c>
      <c r="AL797" s="54">
        <v>0</v>
      </c>
      <c r="AM797" s="54" t="str">
        <f>I797-J797-K797-L797-M797-N797-O797-P797-Q797-R797-S797-T797-U797-V797-W797-X797-Y797-Z797-AA797-AB797-AC797-AD797-AE797-AF797-AG797+AH797-AI797+AJ797+AK797-AL797</f>
        <v>0</v>
      </c>
      <c r="AN797" s="54"/>
      <c r="AO797" s="27"/>
    </row>
    <row r="798" spans="1:41">
      <c r="A798" s="44">
        <v>770</v>
      </c>
      <c r="B798" s="47" t="s">
        <v>3160</v>
      </c>
      <c r="C798" s="48" t="s">
        <v>3161</v>
      </c>
      <c r="D798" s="52" t="s">
        <v>73</v>
      </c>
      <c r="E798" s="52" t="s">
        <v>3157</v>
      </c>
      <c r="F798" s="55" t="s">
        <v>3162</v>
      </c>
      <c r="G798" s="51">
        <v>3</v>
      </c>
      <c r="H798" s="52" t="s">
        <v>3163</v>
      </c>
      <c r="I798" s="54">
        <v>835000</v>
      </c>
      <c r="J798" s="54">
        <v>0</v>
      </c>
      <c r="K798" s="54">
        <v>22000</v>
      </c>
      <c r="L798" s="54">
        <v>0</v>
      </c>
      <c r="M798" s="54">
        <v>0</v>
      </c>
      <c r="N798" s="54">
        <v>0</v>
      </c>
      <c r="O798" s="54">
        <v>0</v>
      </c>
      <c r="P798" s="54">
        <v>0</v>
      </c>
      <c r="Q798" s="54">
        <v>0</v>
      </c>
      <c r="R798" s="54">
        <v>0</v>
      </c>
      <c r="S798" s="54">
        <v>0</v>
      </c>
      <c r="T798" s="54">
        <v>0</v>
      </c>
      <c r="U798" s="54">
        <v>1397</v>
      </c>
      <c r="V798" s="54">
        <v>0</v>
      </c>
      <c r="W798" s="54">
        <v>0</v>
      </c>
      <c r="X798" s="54">
        <v>0</v>
      </c>
      <c r="Y798" s="54">
        <v>0</v>
      </c>
      <c r="Z798" s="54">
        <v>0</v>
      </c>
      <c r="AA798" s="54">
        <v>0</v>
      </c>
      <c r="AB798" s="54">
        <v>0</v>
      </c>
      <c r="AC798" s="54">
        <v>0</v>
      </c>
      <c r="AD798" s="54">
        <v>0</v>
      </c>
      <c r="AE798" s="54">
        <v>0</v>
      </c>
      <c r="AF798" s="54">
        <v>0</v>
      </c>
      <c r="AG798" s="54">
        <v>0</v>
      </c>
      <c r="AH798" s="54">
        <v>0</v>
      </c>
      <c r="AI798" s="54">
        <v>0</v>
      </c>
      <c r="AJ798" s="54">
        <v>0</v>
      </c>
      <c r="AK798" s="54">
        <v>0</v>
      </c>
      <c r="AL798" s="54">
        <v>0</v>
      </c>
      <c r="AM798" s="54" t="str">
        <f>I798-J798-K798-L798-M798-N798-O798-P798-Q798-R798-S798-T798-U798-V798-W798-X798-Y798-Z798-AA798-AB798-AC798-AD798-AE798-AF798-AG798+AH798-AI798+AJ798+AK798-AL798</f>
        <v>0</v>
      </c>
      <c r="AN798" s="54"/>
      <c r="AO798" s="27"/>
    </row>
    <row r="799" spans="1:41">
      <c r="A799" s="44">
        <v>771</v>
      </c>
      <c r="B799" s="47" t="s">
        <v>3164</v>
      </c>
      <c r="C799" s="48" t="s">
        <v>3165</v>
      </c>
      <c r="D799" s="52" t="s">
        <v>73</v>
      </c>
      <c r="E799" s="52" t="s">
        <v>3157</v>
      </c>
      <c r="F799" s="55" t="s">
        <v>441</v>
      </c>
      <c r="G799" s="51">
        <v>3</v>
      </c>
      <c r="H799" s="52" t="s">
        <v>3166</v>
      </c>
      <c r="I799" s="54">
        <v>0</v>
      </c>
      <c r="J799" s="54">
        <v>0</v>
      </c>
      <c r="K799" s="54">
        <v>22000</v>
      </c>
      <c r="L799" s="54">
        <v>0</v>
      </c>
      <c r="M799" s="54">
        <v>0</v>
      </c>
      <c r="N799" s="54">
        <v>0</v>
      </c>
      <c r="O799" s="54">
        <v>0</v>
      </c>
      <c r="P799" s="54">
        <v>0</v>
      </c>
      <c r="Q799" s="54">
        <v>0</v>
      </c>
      <c r="R799" s="54">
        <v>0</v>
      </c>
      <c r="S799" s="54">
        <v>0</v>
      </c>
      <c r="T799" s="54">
        <v>0</v>
      </c>
      <c r="U799" s="54">
        <v>1397</v>
      </c>
      <c r="V799" s="54">
        <v>0</v>
      </c>
      <c r="W799" s="54">
        <v>0</v>
      </c>
      <c r="X799" s="54">
        <v>0</v>
      </c>
      <c r="Y799" s="54">
        <v>0</v>
      </c>
      <c r="Z799" s="54">
        <v>0</v>
      </c>
      <c r="AA799" s="54">
        <v>0</v>
      </c>
      <c r="AB799" s="54">
        <v>0</v>
      </c>
      <c r="AC799" s="54">
        <v>0</v>
      </c>
      <c r="AD799" s="54">
        <v>0</v>
      </c>
      <c r="AE799" s="54">
        <v>0</v>
      </c>
      <c r="AF799" s="54">
        <v>0</v>
      </c>
      <c r="AG799" s="54">
        <v>0</v>
      </c>
      <c r="AH799" s="54">
        <v>0</v>
      </c>
      <c r="AI799" s="54">
        <v>0</v>
      </c>
      <c r="AJ799" s="54">
        <v>0</v>
      </c>
      <c r="AK799" s="54">
        <v>0</v>
      </c>
      <c r="AL799" s="54">
        <v>0</v>
      </c>
      <c r="AM799" s="54" t="str">
        <f>I799-J799-K799-L799-M799-N799-O799-P799-Q799-R799-S799-T799-U799-V799-W799-X799-Y799-Z799-AA799-AB799-AC799-AD799-AE799-AF799-AG799+AH799-AI799+AJ799+AK799-AL799</f>
        <v>0</v>
      </c>
      <c r="AN799" s="54"/>
      <c r="AO799" s="27"/>
    </row>
    <row r="800" spans="1:41">
      <c r="A800" s="44">
        <v>772</v>
      </c>
      <c r="B800" s="47" t="s">
        <v>3167</v>
      </c>
      <c r="C800" s="48" t="s">
        <v>3168</v>
      </c>
      <c r="D800" s="52" t="s">
        <v>73</v>
      </c>
      <c r="E800" s="52" t="s">
        <v>3157</v>
      </c>
      <c r="F800" s="55" t="s">
        <v>3169</v>
      </c>
      <c r="G800" s="51">
        <v>4</v>
      </c>
      <c r="H800" s="52" t="s">
        <v>3170</v>
      </c>
      <c r="I800" s="54">
        <v>644000</v>
      </c>
      <c r="J800" s="54">
        <v>0</v>
      </c>
      <c r="K800" s="54">
        <v>25000</v>
      </c>
      <c r="L800" s="54">
        <v>0</v>
      </c>
      <c r="M800" s="54">
        <v>0</v>
      </c>
      <c r="N800" s="54">
        <v>0</v>
      </c>
      <c r="O800" s="54">
        <v>0</v>
      </c>
      <c r="P800" s="54">
        <v>0</v>
      </c>
      <c r="Q800" s="54">
        <v>0</v>
      </c>
      <c r="R800" s="54">
        <v>0</v>
      </c>
      <c r="S800" s="54">
        <v>0</v>
      </c>
      <c r="T800" s="54">
        <v>0</v>
      </c>
      <c r="U800" s="54">
        <v>1587</v>
      </c>
      <c r="V800" s="54">
        <v>0</v>
      </c>
      <c r="W800" s="54">
        <v>0</v>
      </c>
      <c r="X800" s="54">
        <v>0</v>
      </c>
      <c r="Y800" s="54">
        <v>0</v>
      </c>
      <c r="Z800" s="54">
        <v>0</v>
      </c>
      <c r="AA800" s="54">
        <v>0</v>
      </c>
      <c r="AB800" s="54">
        <v>0</v>
      </c>
      <c r="AC800" s="54">
        <v>0</v>
      </c>
      <c r="AD800" s="54">
        <v>0</v>
      </c>
      <c r="AE800" s="54">
        <v>0</v>
      </c>
      <c r="AF800" s="54">
        <v>0</v>
      </c>
      <c r="AG800" s="54">
        <v>0</v>
      </c>
      <c r="AH800" s="54">
        <v>0</v>
      </c>
      <c r="AI800" s="54">
        <v>0</v>
      </c>
      <c r="AJ800" s="54">
        <v>0</v>
      </c>
      <c r="AK800" s="54">
        <v>0</v>
      </c>
      <c r="AL800" s="54">
        <v>0</v>
      </c>
      <c r="AM800" s="54" t="str">
        <f>I800-J800-K800-L800-M800-N800-O800-P800-Q800-R800-S800-T800-U800-V800-W800-X800-Y800-Z800-AA800-AB800-AC800-AD800-AE800-AF800-AG800+AH800-AI800+AJ800+AK800-AL800</f>
        <v>0</v>
      </c>
      <c r="AN800" s="54"/>
      <c r="AO800" s="27"/>
    </row>
    <row r="801" spans="1:41">
      <c r="A801" s="44">
        <v>773</v>
      </c>
      <c r="B801" s="47" t="s">
        <v>3171</v>
      </c>
      <c r="C801" s="48" t="s">
        <v>3172</v>
      </c>
      <c r="D801" s="52" t="s">
        <v>73</v>
      </c>
      <c r="E801" s="52" t="s">
        <v>3157</v>
      </c>
      <c r="F801" s="55" t="s">
        <v>3173</v>
      </c>
      <c r="G801" s="51">
        <v>2</v>
      </c>
      <c r="H801" s="52" t="s">
        <v>3174</v>
      </c>
      <c r="I801" s="54">
        <v>334000</v>
      </c>
      <c r="J801" s="54">
        <v>0</v>
      </c>
      <c r="K801" s="54">
        <v>23000</v>
      </c>
      <c r="L801" s="54">
        <v>0</v>
      </c>
      <c r="M801" s="54">
        <v>0</v>
      </c>
      <c r="N801" s="54">
        <v>0</v>
      </c>
      <c r="O801" s="54">
        <v>0</v>
      </c>
      <c r="P801" s="54">
        <v>0</v>
      </c>
      <c r="Q801" s="54">
        <v>0</v>
      </c>
      <c r="R801" s="54">
        <v>0</v>
      </c>
      <c r="S801" s="54">
        <v>0</v>
      </c>
      <c r="T801" s="54">
        <v>0</v>
      </c>
      <c r="U801" s="54">
        <v>1460</v>
      </c>
      <c r="V801" s="54">
        <v>0</v>
      </c>
      <c r="W801" s="54">
        <v>0</v>
      </c>
      <c r="X801" s="54">
        <v>0</v>
      </c>
      <c r="Y801" s="54">
        <v>0</v>
      </c>
      <c r="Z801" s="54">
        <v>0</v>
      </c>
      <c r="AA801" s="54">
        <v>0</v>
      </c>
      <c r="AB801" s="54">
        <v>0</v>
      </c>
      <c r="AC801" s="54">
        <v>0</v>
      </c>
      <c r="AD801" s="54">
        <v>0</v>
      </c>
      <c r="AE801" s="54">
        <v>0</v>
      </c>
      <c r="AF801" s="54">
        <v>0</v>
      </c>
      <c r="AG801" s="54">
        <v>0</v>
      </c>
      <c r="AH801" s="54">
        <v>0</v>
      </c>
      <c r="AI801" s="54">
        <v>0</v>
      </c>
      <c r="AJ801" s="54">
        <v>0</v>
      </c>
      <c r="AK801" s="54">
        <v>0</v>
      </c>
      <c r="AL801" s="54">
        <v>0</v>
      </c>
      <c r="AM801" s="54" t="str">
        <f>I801-J801-K801-L801-M801-N801-O801-P801-Q801-R801-S801-T801-U801-V801-W801-X801-Y801-Z801-AA801-AB801-AC801-AD801-AE801-AF801-AG801+AH801-AI801+AJ801+AK801-AL801</f>
        <v>0</v>
      </c>
      <c r="AN801" s="54"/>
      <c r="AO801" s="27"/>
    </row>
    <row r="802" spans="1:41">
      <c r="A802" s="44">
        <v>774</v>
      </c>
      <c r="B802" s="47" t="s">
        <v>3175</v>
      </c>
      <c r="C802" s="48" t="s">
        <v>3176</v>
      </c>
      <c r="D802" s="52" t="s">
        <v>73</v>
      </c>
      <c r="E802" s="52" t="s">
        <v>3157</v>
      </c>
      <c r="F802" s="55" t="s">
        <v>3177</v>
      </c>
      <c r="G802" s="51">
        <v>3</v>
      </c>
      <c r="H802" s="52" t="s">
        <v>3178</v>
      </c>
      <c r="I802" s="54">
        <v>334000</v>
      </c>
      <c r="J802" s="54">
        <v>0</v>
      </c>
      <c r="K802" s="54">
        <v>23000</v>
      </c>
      <c r="L802" s="54">
        <v>0</v>
      </c>
      <c r="M802" s="54">
        <v>0</v>
      </c>
      <c r="N802" s="54">
        <v>0</v>
      </c>
      <c r="O802" s="54">
        <v>0</v>
      </c>
      <c r="P802" s="54">
        <v>0</v>
      </c>
      <c r="Q802" s="54">
        <v>0</v>
      </c>
      <c r="R802" s="54">
        <v>0</v>
      </c>
      <c r="S802" s="54">
        <v>0</v>
      </c>
      <c r="T802" s="54">
        <v>0</v>
      </c>
      <c r="U802" s="54">
        <v>1460</v>
      </c>
      <c r="V802" s="54">
        <v>0</v>
      </c>
      <c r="W802" s="54">
        <v>0</v>
      </c>
      <c r="X802" s="54">
        <v>0</v>
      </c>
      <c r="Y802" s="54">
        <v>0</v>
      </c>
      <c r="Z802" s="54">
        <v>0</v>
      </c>
      <c r="AA802" s="54">
        <v>0</v>
      </c>
      <c r="AB802" s="54">
        <v>0</v>
      </c>
      <c r="AC802" s="54">
        <v>0</v>
      </c>
      <c r="AD802" s="54">
        <v>0</v>
      </c>
      <c r="AE802" s="54">
        <v>0</v>
      </c>
      <c r="AF802" s="54">
        <v>0</v>
      </c>
      <c r="AG802" s="54">
        <v>0</v>
      </c>
      <c r="AH802" s="54">
        <v>0</v>
      </c>
      <c r="AI802" s="54">
        <v>0</v>
      </c>
      <c r="AJ802" s="54">
        <v>0</v>
      </c>
      <c r="AK802" s="54">
        <v>0</v>
      </c>
      <c r="AL802" s="54">
        <v>0</v>
      </c>
      <c r="AM802" s="54" t="str">
        <f>I802-J802-K802-L802-M802-N802-O802-P802-Q802-R802-S802-T802-U802-V802-W802-X802-Y802-Z802-AA802-AB802-AC802-AD802-AE802-AF802-AG802+AH802-AI802+AJ802+AK802-AL802</f>
        <v>0</v>
      </c>
      <c r="AN802" s="54"/>
      <c r="AO802" s="27"/>
    </row>
    <row r="803" spans="1:41">
      <c r="A803" s="44">
        <v>775</v>
      </c>
      <c r="B803" s="47" t="s">
        <v>3179</v>
      </c>
      <c r="C803" s="48" t="s">
        <v>3180</v>
      </c>
      <c r="D803" s="52" t="s">
        <v>73</v>
      </c>
      <c r="E803" s="52" t="s">
        <v>3181</v>
      </c>
      <c r="F803" s="55" t="s">
        <v>3182</v>
      </c>
      <c r="G803" s="51">
        <v>4</v>
      </c>
      <c r="H803" s="52" t="s">
        <v>3183</v>
      </c>
      <c r="I803" s="54">
        <v>589000</v>
      </c>
      <c r="J803" s="54">
        <v>0</v>
      </c>
      <c r="K803" s="54">
        <v>25000</v>
      </c>
      <c r="L803" s="54">
        <v>0</v>
      </c>
      <c r="M803" s="54">
        <v>0</v>
      </c>
      <c r="N803" s="54">
        <v>0</v>
      </c>
      <c r="O803" s="54">
        <v>0</v>
      </c>
      <c r="P803" s="54">
        <v>0</v>
      </c>
      <c r="Q803" s="54">
        <v>0</v>
      </c>
      <c r="R803" s="54">
        <v>0</v>
      </c>
      <c r="S803" s="54">
        <v>0</v>
      </c>
      <c r="T803" s="54">
        <v>0</v>
      </c>
      <c r="U803" s="54">
        <v>1587</v>
      </c>
      <c r="V803" s="54">
        <v>0</v>
      </c>
      <c r="W803" s="54">
        <v>0</v>
      </c>
      <c r="X803" s="54">
        <v>0</v>
      </c>
      <c r="Y803" s="54">
        <v>0</v>
      </c>
      <c r="Z803" s="54">
        <v>0</v>
      </c>
      <c r="AA803" s="54">
        <v>0</v>
      </c>
      <c r="AB803" s="54">
        <v>0</v>
      </c>
      <c r="AC803" s="54">
        <v>0</v>
      </c>
      <c r="AD803" s="54">
        <v>0</v>
      </c>
      <c r="AE803" s="54">
        <v>0</v>
      </c>
      <c r="AF803" s="54">
        <v>0</v>
      </c>
      <c r="AG803" s="54">
        <v>0</v>
      </c>
      <c r="AH803" s="54">
        <v>0</v>
      </c>
      <c r="AI803" s="54">
        <v>0</v>
      </c>
      <c r="AJ803" s="54">
        <v>0</v>
      </c>
      <c r="AK803" s="54">
        <v>0</v>
      </c>
      <c r="AL803" s="54">
        <v>0</v>
      </c>
      <c r="AM803" s="54" t="str">
        <f>I803-J803-K803-L803-M803-N803-O803-P803-Q803-R803-S803-T803-U803-V803-W803-X803-Y803-Z803-AA803-AB803-AC803-AD803-AE803-AF803-AG803+AH803-AI803+AJ803+AK803-AL803</f>
        <v>0</v>
      </c>
      <c r="AN803" s="54"/>
      <c r="AO803" s="27"/>
    </row>
    <row r="804" spans="1:41">
      <c r="A804" s="44">
        <v>776</v>
      </c>
      <c r="B804" s="47" t="s">
        <v>3184</v>
      </c>
      <c r="C804" s="48" t="s">
        <v>3185</v>
      </c>
      <c r="D804" s="52" t="s">
        <v>73</v>
      </c>
      <c r="E804" s="52" t="s">
        <v>3181</v>
      </c>
      <c r="F804" s="55" t="s">
        <v>908</v>
      </c>
      <c r="G804" s="51">
        <v>2.5</v>
      </c>
      <c r="H804" s="52" t="s">
        <v>3186</v>
      </c>
      <c r="I804" s="54">
        <v>0</v>
      </c>
      <c r="J804" s="54">
        <v>0</v>
      </c>
      <c r="K804" s="54">
        <v>22000</v>
      </c>
      <c r="L804" s="54">
        <v>0</v>
      </c>
      <c r="M804" s="54">
        <v>0</v>
      </c>
      <c r="N804" s="54">
        <v>0</v>
      </c>
      <c r="O804" s="54">
        <v>0</v>
      </c>
      <c r="P804" s="54">
        <v>0</v>
      </c>
      <c r="Q804" s="54">
        <v>0</v>
      </c>
      <c r="R804" s="54">
        <v>0</v>
      </c>
      <c r="S804" s="54">
        <v>0</v>
      </c>
      <c r="T804" s="54">
        <v>0</v>
      </c>
      <c r="U804" s="54">
        <v>1397</v>
      </c>
      <c r="V804" s="54">
        <v>0</v>
      </c>
      <c r="W804" s="54">
        <v>0</v>
      </c>
      <c r="X804" s="54">
        <v>0</v>
      </c>
      <c r="Y804" s="54">
        <v>0</v>
      </c>
      <c r="Z804" s="54">
        <v>0</v>
      </c>
      <c r="AA804" s="54">
        <v>0</v>
      </c>
      <c r="AB804" s="54">
        <v>0</v>
      </c>
      <c r="AC804" s="54">
        <v>0</v>
      </c>
      <c r="AD804" s="54">
        <v>0</v>
      </c>
      <c r="AE804" s="54">
        <v>0</v>
      </c>
      <c r="AF804" s="54">
        <v>0</v>
      </c>
      <c r="AG804" s="54">
        <v>0</v>
      </c>
      <c r="AH804" s="54">
        <v>0</v>
      </c>
      <c r="AI804" s="54">
        <v>0</v>
      </c>
      <c r="AJ804" s="54">
        <v>0</v>
      </c>
      <c r="AK804" s="54">
        <v>0</v>
      </c>
      <c r="AL804" s="54">
        <v>0</v>
      </c>
      <c r="AM804" s="54" t="str">
        <f>I804-J804-K804-L804-M804-N804-O804-P804-Q804-R804-S804-T804-U804-V804-W804-X804-Y804-Z804-AA804-AB804-AC804-AD804-AE804-AF804-AG804+AH804-AI804+AJ804+AK804-AL804</f>
        <v>0</v>
      </c>
      <c r="AN804" s="54"/>
      <c r="AO804" s="27"/>
    </row>
    <row r="805" spans="1:41">
      <c r="A805" s="44">
        <v>777</v>
      </c>
      <c r="B805" s="47" t="s">
        <v>3187</v>
      </c>
      <c r="C805" s="48" t="s">
        <v>3188</v>
      </c>
      <c r="D805" s="52" t="s">
        <v>73</v>
      </c>
      <c r="E805" s="52" t="s">
        <v>3181</v>
      </c>
      <c r="F805" s="55" t="s">
        <v>3189</v>
      </c>
      <c r="G805" s="51">
        <v>6</v>
      </c>
      <c r="H805" s="52" t="s">
        <v>3190</v>
      </c>
      <c r="I805" s="54">
        <v>1360000</v>
      </c>
      <c r="J805" s="54">
        <v>0</v>
      </c>
      <c r="K805" s="54">
        <v>31000</v>
      </c>
      <c r="L805" s="54">
        <v>0</v>
      </c>
      <c r="M805" s="54">
        <v>0</v>
      </c>
      <c r="N805" s="54">
        <v>0</v>
      </c>
      <c r="O805" s="54">
        <v>0</v>
      </c>
      <c r="P805" s="54">
        <v>0</v>
      </c>
      <c r="Q805" s="54">
        <v>0</v>
      </c>
      <c r="R805" s="54">
        <v>0</v>
      </c>
      <c r="S805" s="54">
        <v>0</v>
      </c>
      <c r="T805" s="54">
        <v>0</v>
      </c>
      <c r="U805" s="54">
        <v>1968</v>
      </c>
      <c r="V805" s="54">
        <v>0</v>
      </c>
      <c r="W805" s="54">
        <v>0</v>
      </c>
      <c r="X805" s="54">
        <v>0</v>
      </c>
      <c r="Y805" s="54">
        <v>0</v>
      </c>
      <c r="Z805" s="54">
        <v>0</v>
      </c>
      <c r="AA805" s="54">
        <v>0</v>
      </c>
      <c r="AB805" s="54">
        <v>0</v>
      </c>
      <c r="AC805" s="54">
        <v>0</v>
      </c>
      <c r="AD805" s="54">
        <v>0</v>
      </c>
      <c r="AE805" s="54">
        <v>0</v>
      </c>
      <c r="AF805" s="54">
        <v>0</v>
      </c>
      <c r="AG805" s="54">
        <v>0</v>
      </c>
      <c r="AH805" s="54">
        <v>0</v>
      </c>
      <c r="AI805" s="54">
        <v>0</v>
      </c>
      <c r="AJ805" s="54">
        <v>0</v>
      </c>
      <c r="AK805" s="54">
        <v>0</v>
      </c>
      <c r="AL805" s="54">
        <v>0</v>
      </c>
      <c r="AM805" s="54" t="str">
        <f>I805-J805-K805-L805-M805-N805-O805-P805-Q805-R805-S805-T805-U805-V805-W805-X805-Y805-Z805-AA805-AB805-AC805-AD805-AE805-AF805-AG805+AH805-AI805+AJ805+AK805-AL805</f>
        <v>0</v>
      </c>
      <c r="AN805" s="54"/>
      <c r="AO805" s="27"/>
    </row>
    <row r="806" spans="1:41">
      <c r="A806" s="44">
        <v>778</v>
      </c>
      <c r="B806" s="47" t="s">
        <v>3191</v>
      </c>
      <c r="C806" s="48" t="s">
        <v>3192</v>
      </c>
      <c r="D806" s="52" t="s">
        <v>73</v>
      </c>
      <c r="E806" s="52" t="s">
        <v>3181</v>
      </c>
      <c r="F806" s="55" t="s">
        <v>3193</v>
      </c>
      <c r="G806" s="51">
        <v>7</v>
      </c>
      <c r="H806" s="52" t="s">
        <v>3194</v>
      </c>
      <c r="I806" s="54">
        <v>1390000</v>
      </c>
      <c r="J806" s="54">
        <v>0</v>
      </c>
      <c r="K806" s="54">
        <v>35000</v>
      </c>
      <c r="L806" s="54">
        <v>0</v>
      </c>
      <c r="M806" s="54">
        <v>0</v>
      </c>
      <c r="N806" s="54">
        <v>0</v>
      </c>
      <c r="O806" s="54">
        <v>0</v>
      </c>
      <c r="P806" s="54">
        <v>0</v>
      </c>
      <c r="Q806" s="54">
        <v>0</v>
      </c>
      <c r="R806" s="54">
        <v>0</v>
      </c>
      <c r="S806" s="54">
        <v>0</v>
      </c>
      <c r="T806" s="54">
        <v>0</v>
      </c>
      <c r="U806" s="54">
        <v>2222</v>
      </c>
      <c r="V806" s="54">
        <v>0</v>
      </c>
      <c r="W806" s="54">
        <v>0</v>
      </c>
      <c r="X806" s="54">
        <v>0</v>
      </c>
      <c r="Y806" s="54">
        <v>0</v>
      </c>
      <c r="Z806" s="54">
        <v>0</v>
      </c>
      <c r="AA806" s="54">
        <v>0</v>
      </c>
      <c r="AB806" s="54">
        <v>0</v>
      </c>
      <c r="AC806" s="54">
        <v>0</v>
      </c>
      <c r="AD806" s="54">
        <v>0</v>
      </c>
      <c r="AE806" s="54">
        <v>0</v>
      </c>
      <c r="AF806" s="54">
        <v>0</v>
      </c>
      <c r="AG806" s="54">
        <v>0</v>
      </c>
      <c r="AH806" s="54">
        <v>0</v>
      </c>
      <c r="AI806" s="54">
        <v>0</v>
      </c>
      <c r="AJ806" s="54">
        <v>0</v>
      </c>
      <c r="AK806" s="54">
        <v>0</v>
      </c>
      <c r="AL806" s="54">
        <v>0</v>
      </c>
      <c r="AM806" s="54" t="str">
        <f>I806-J806-K806-L806-M806-N806-O806-P806-Q806-R806-S806-T806-U806-V806-W806-X806-Y806-Z806-AA806-AB806-AC806-AD806-AE806-AF806-AG806+AH806-AI806+AJ806+AK806-AL806</f>
        <v>0</v>
      </c>
      <c r="AN806" s="54"/>
      <c r="AO806" s="27"/>
    </row>
    <row r="807" spans="1:41">
      <c r="A807" s="44">
        <v>779</v>
      </c>
      <c r="B807" s="47" t="s">
        <v>3195</v>
      </c>
      <c r="C807" s="48" t="s">
        <v>3196</v>
      </c>
      <c r="D807" s="52" t="s">
        <v>73</v>
      </c>
      <c r="E807" s="52" t="s">
        <v>3181</v>
      </c>
      <c r="F807" s="55" t="s">
        <v>3197</v>
      </c>
      <c r="G807" s="51">
        <v>4</v>
      </c>
      <c r="H807" s="52" t="s">
        <v>3198</v>
      </c>
      <c r="I807" s="54">
        <v>284000</v>
      </c>
      <c r="J807" s="54">
        <v>0</v>
      </c>
      <c r="K807" s="54">
        <v>25000</v>
      </c>
      <c r="L807" s="54">
        <v>0</v>
      </c>
      <c r="M807" s="54">
        <v>0</v>
      </c>
      <c r="N807" s="54">
        <v>0</v>
      </c>
      <c r="O807" s="54">
        <v>0</v>
      </c>
      <c r="P807" s="54">
        <v>0</v>
      </c>
      <c r="Q807" s="54">
        <v>0</v>
      </c>
      <c r="R807" s="54">
        <v>0</v>
      </c>
      <c r="S807" s="54">
        <v>0</v>
      </c>
      <c r="T807" s="54">
        <v>0</v>
      </c>
      <c r="U807" s="54">
        <v>1587</v>
      </c>
      <c r="V807" s="54">
        <v>0</v>
      </c>
      <c r="W807" s="54">
        <v>0</v>
      </c>
      <c r="X807" s="54">
        <v>0</v>
      </c>
      <c r="Y807" s="54">
        <v>0</v>
      </c>
      <c r="Z807" s="54">
        <v>0</v>
      </c>
      <c r="AA807" s="54">
        <v>0</v>
      </c>
      <c r="AB807" s="54">
        <v>0</v>
      </c>
      <c r="AC807" s="54">
        <v>0</v>
      </c>
      <c r="AD807" s="54">
        <v>0</v>
      </c>
      <c r="AE807" s="54">
        <v>0</v>
      </c>
      <c r="AF807" s="54">
        <v>0</v>
      </c>
      <c r="AG807" s="54">
        <v>0</v>
      </c>
      <c r="AH807" s="54">
        <v>0</v>
      </c>
      <c r="AI807" s="54">
        <v>0</v>
      </c>
      <c r="AJ807" s="54">
        <v>0</v>
      </c>
      <c r="AK807" s="54">
        <v>0</v>
      </c>
      <c r="AL807" s="54">
        <v>0</v>
      </c>
      <c r="AM807" s="54" t="str">
        <f>I807-J807-K807-L807-M807-N807-O807-P807-Q807-R807-S807-T807-U807-V807-W807-X807-Y807-Z807-AA807-AB807-AC807-AD807-AE807-AF807-AG807+AH807-AI807+AJ807+AK807-AL807</f>
        <v>0</v>
      </c>
      <c r="AN807" s="54"/>
      <c r="AO807" s="27"/>
    </row>
    <row r="808" spans="1:41">
      <c r="A808" s="44">
        <v>780</v>
      </c>
      <c r="B808" s="47" t="s">
        <v>3199</v>
      </c>
      <c r="C808" s="48" t="s">
        <v>3200</v>
      </c>
      <c r="D808" s="52" t="s">
        <v>73</v>
      </c>
      <c r="E808" s="52" t="s">
        <v>3181</v>
      </c>
      <c r="F808" s="55" t="s">
        <v>3201</v>
      </c>
      <c r="G808" s="51">
        <v>4</v>
      </c>
      <c r="H808" s="52" t="s">
        <v>3202</v>
      </c>
      <c r="I808" s="54">
        <v>584000</v>
      </c>
      <c r="J808" s="54">
        <v>0</v>
      </c>
      <c r="K808" s="54">
        <v>25000</v>
      </c>
      <c r="L808" s="54">
        <v>0</v>
      </c>
      <c r="M808" s="54">
        <v>0</v>
      </c>
      <c r="N808" s="54">
        <v>0</v>
      </c>
      <c r="O808" s="54">
        <v>0</v>
      </c>
      <c r="P808" s="54">
        <v>0</v>
      </c>
      <c r="Q808" s="54">
        <v>0</v>
      </c>
      <c r="R808" s="54">
        <v>0</v>
      </c>
      <c r="S808" s="54">
        <v>0</v>
      </c>
      <c r="T808" s="54">
        <v>0</v>
      </c>
      <c r="U808" s="54">
        <v>1587</v>
      </c>
      <c r="V808" s="54">
        <v>0</v>
      </c>
      <c r="W808" s="54">
        <v>0</v>
      </c>
      <c r="X808" s="54">
        <v>0</v>
      </c>
      <c r="Y808" s="54">
        <v>0</v>
      </c>
      <c r="Z808" s="54">
        <v>0</v>
      </c>
      <c r="AA808" s="54">
        <v>0</v>
      </c>
      <c r="AB808" s="54">
        <v>0</v>
      </c>
      <c r="AC808" s="54">
        <v>0</v>
      </c>
      <c r="AD808" s="54">
        <v>0</v>
      </c>
      <c r="AE808" s="54">
        <v>0</v>
      </c>
      <c r="AF808" s="54">
        <v>0</v>
      </c>
      <c r="AG808" s="54">
        <v>0</v>
      </c>
      <c r="AH808" s="54">
        <v>0</v>
      </c>
      <c r="AI808" s="54">
        <v>0</v>
      </c>
      <c r="AJ808" s="54">
        <v>0</v>
      </c>
      <c r="AK808" s="54">
        <v>0</v>
      </c>
      <c r="AL808" s="54">
        <v>0</v>
      </c>
      <c r="AM808" s="54" t="str">
        <f>I808-J808-K808-L808-M808-N808-O808-P808-Q808-R808-S808-T808-U808-V808-W808-X808-Y808-Z808-AA808-AB808-AC808-AD808-AE808-AF808-AG808+AH808-AI808+AJ808+AK808-AL808</f>
        <v>0</v>
      </c>
      <c r="AN808" s="54"/>
      <c r="AO808" s="27"/>
    </row>
    <row r="809" spans="1:41">
      <c r="A809" s="44">
        <v>781</v>
      </c>
      <c r="B809" s="47" t="s">
        <v>3203</v>
      </c>
      <c r="C809" s="48" t="s">
        <v>3204</v>
      </c>
      <c r="D809" s="52" t="s">
        <v>73</v>
      </c>
      <c r="E809" s="52" t="s">
        <v>3181</v>
      </c>
      <c r="F809" s="55" t="s">
        <v>3205</v>
      </c>
      <c r="G809" s="51">
        <v>2</v>
      </c>
      <c r="H809" s="52" t="s">
        <v>3206</v>
      </c>
      <c r="I809" s="54">
        <v>384000</v>
      </c>
      <c r="J809" s="54">
        <v>0</v>
      </c>
      <c r="K809" s="54">
        <v>22000</v>
      </c>
      <c r="L809" s="54">
        <v>0</v>
      </c>
      <c r="M809" s="54">
        <v>0</v>
      </c>
      <c r="N809" s="54">
        <v>0</v>
      </c>
      <c r="O809" s="54">
        <v>0</v>
      </c>
      <c r="P809" s="54">
        <v>0</v>
      </c>
      <c r="Q809" s="54">
        <v>0</v>
      </c>
      <c r="R809" s="54">
        <v>0</v>
      </c>
      <c r="S809" s="54">
        <v>0</v>
      </c>
      <c r="T809" s="54">
        <v>0</v>
      </c>
      <c r="U809" s="54">
        <v>1397</v>
      </c>
      <c r="V809" s="54">
        <v>0</v>
      </c>
      <c r="W809" s="54">
        <v>0</v>
      </c>
      <c r="X809" s="54">
        <v>0</v>
      </c>
      <c r="Y809" s="54">
        <v>0</v>
      </c>
      <c r="Z809" s="54">
        <v>0</v>
      </c>
      <c r="AA809" s="54">
        <v>0</v>
      </c>
      <c r="AB809" s="54">
        <v>0</v>
      </c>
      <c r="AC809" s="54">
        <v>0</v>
      </c>
      <c r="AD809" s="54">
        <v>0</v>
      </c>
      <c r="AE809" s="54">
        <v>0</v>
      </c>
      <c r="AF809" s="54">
        <v>0</v>
      </c>
      <c r="AG809" s="54">
        <v>0</v>
      </c>
      <c r="AH809" s="54">
        <v>0</v>
      </c>
      <c r="AI809" s="54">
        <v>0</v>
      </c>
      <c r="AJ809" s="54">
        <v>0</v>
      </c>
      <c r="AK809" s="54">
        <v>0</v>
      </c>
      <c r="AL809" s="54">
        <v>0</v>
      </c>
      <c r="AM809" s="54" t="str">
        <f>I809-J809-K809-L809-M809-N809-O809-P809-Q809-R809-S809-T809-U809-V809-W809-X809-Y809-Z809-AA809-AB809-AC809-AD809-AE809-AF809-AG809+AH809-AI809+AJ809+AK809-AL809</f>
        <v>0</v>
      </c>
      <c r="AN809" s="54"/>
      <c r="AO809" s="27"/>
    </row>
    <row r="810" spans="1:41">
      <c r="A810" s="44">
        <v>782</v>
      </c>
      <c r="B810" s="47" t="s">
        <v>3207</v>
      </c>
      <c r="C810" s="48" t="s">
        <v>3208</v>
      </c>
      <c r="D810" s="52" t="s">
        <v>73</v>
      </c>
      <c r="E810" s="52" t="s">
        <v>3181</v>
      </c>
      <c r="F810" s="55" t="s">
        <v>3209</v>
      </c>
      <c r="G810" s="51">
        <v>2</v>
      </c>
      <c r="H810" s="52" t="s">
        <v>3210</v>
      </c>
      <c r="I810" s="54">
        <v>404000</v>
      </c>
      <c r="J810" s="54">
        <v>0</v>
      </c>
      <c r="K810" s="54">
        <v>22000</v>
      </c>
      <c r="L810" s="54">
        <v>0</v>
      </c>
      <c r="M810" s="54">
        <v>0</v>
      </c>
      <c r="N810" s="54">
        <v>0</v>
      </c>
      <c r="O810" s="54">
        <v>0</v>
      </c>
      <c r="P810" s="54">
        <v>0</v>
      </c>
      <c r="Q810" s="54">
        <v>0</v>
      </c>
      <c r="R810" s="54">
        <v>0</v>
      </c>
      <c r="S810" s="54">
        <v>0</v>
      </c>
      <c r="T810" s="54">
        <v>0</v>
      </c>
      <c r="U810" s="54">
        <v>1397</v>
      </c>
      <c r="V810" s="54">
        <v>0</v>
      </c>
      <c r="W810" s="54">
        <v>0</v>
      </c>
      <c r="X810" s="54">
        <v>0</v>
      </c>
      <c r="Y810" s="54">
        <v>0</v>
      </c>
      <c r="Z810" s="54">
        <v>0</v>
      </c>
      <c r="AA810" s="54">
        <v>0</v>
      </c>
      <c r="AB810" s="54">
        <v>0</v>
      </c>
      <c r="AC810" s="54">
        <v>0</v>
      </c>
      <c r="AD810" s="54">
        <v>0</v>
      </c>
      <c r="AE810" s="54">
        <v>0</v>
      </c>
      <c r="AF810" s="54">
        <v>0</v>
      </c>
      <c r="AG810" s="54">
        <v>0</v>
      </c>
      <c r="AH810" s="54">
        <v>0</v>
      </c>
      <c r="AI810" s="54">
        <v>0</v>
      </c>
      <c r="AJ810" s="54">
        <v>0</v>
      </c>
      <c r="AK810" s="54">
        <v>0</v>
      </c>
      <c r="AL810" s="54">
        <v>0</v>
      </c>
      <c r="AM810" s="54" t="str">
        <f>I810-J810-K810-L810-M810-N810-O810-P810-Q810-R810-S810-T810-U810-V810-W810-X810-Y810-Z810-AA810-AB810-AC810-AD810-AE810-AF810-AG810+AH810-AI810+AJ810+AK810-AL810</f>
        <v>0</v>
      </c>
      <c r="AN810" s="54"/>
      <c r="AO810" s="27"/>
    </row>
    <row r="811" spans="1:41">
      <c r="A811" s="44">
        <v>783</v>
      </c>
      <c r="B811" s="47" t="s">
        <v>3211</v>
      </c>
      <c r="C811" s="48" t="s">
        <v>3212</v>
      </c>
      <c r="D811" s="52" t="s">
        <v>73</v>
      </c>
      <c r="E811" s="52" t="s">
        <v>3181</v>
      </c>
      <c r="F811" s="55" t="s">
        <v>1062</v>
      </c>
      <c r="G811" s="51">
        <v>4</v>
      </c>
      <c r="H811" s="52" t="s">
        <v>3213</v>
      </c>
      <c r="I811" s="54">
        <v>485000</v>
      </c>
      <c r="J811" s="54">
        <v>0</v>
      </c>
      <c r="K811" s="54">
        <v>25000</v>
      </c>
      <c r="L811" s="54">
        <v>0</v>
      </c>
      <c r="M811" s="54">
        <v>0</v>
      </c>
      <c r="N811" s="54">
        <v>0</v>
      </c>
      <c r="O811" s="54">
        <v>0</v>
      </c>
      <c r="P811" s="54">
        <v>0</v>
      </c>
      <c r="Q811" s="54">
        <v>0</v>
      </c>
      <c r="R811" s="54">
        <v>0</v>
      </c>
      <c r="S811" s="54">
        <v>0</v>
      </c>
      <c r="T811" s="54">
        <v>0</v>
      </c>
      <c r="U811" s="54">
        <v>1587</v>
      </c>
      <c r="V811" s="54">
        <v>0</v>
      </c>
      <c r="W811" s="54">
        <v>0</v>
      </c>
      <c r="X811" s="54">
        <v>0</v>
      </c>
      <c r="Y811" s="54">
        <v>0</v>
      </c>
      <c r="Z811" s="54">
        <v>0</v>
      </c>
      <c r="AA811" s="54">
        <v>0</v>
      </c>
      <c r="AB811" s="54">
        <v>0</v>
      </c>
      <c r="AC811" s="54">
        <v>0</v>
      </c>
      <c r="AD811" s="54">
        <v>0</v>
      </c>
      <c r="AE811" s="54">
        <v>0</v>
      </c>
      <c r="AF811" s="54">
        <v>0</v>
      </c>
      <c r="AG811" s="54">
        <v>0</v>
      </c>
      <c r="AH811" s="54">
        <v>0</v>
      </c>
      <c r="AI811" s="54">
        <v>0</v>
      </c>
      <c r="AJ811" s="54">
        <v>0</v>
      </c>
      <c r="AK811" s="54">
        <v>0</v>
      </c>
      <c r="AL811" s="54">
        <v>0</v>
      </c>
      <c r="AM811" s="54" t="str">
        <f>I811-J811-K811-L811-M811-N811-O811-P811-Q811-R811-S811-T811-U811-V811-W811-X811-Y811-Z811-AA811-AB811-AC811-AD811-AE811-AF811-AG811+AH811-AI811+AJ811+AK811-AL811</f>
        <v>0</v>
      </c>
      <c r="AN811" s="54"/>
      <c r="AO811" s="27"/>
    </row>
    <row r="812" spans="1:41">
      <c r="A812" s="44">
        <v>784</v>
      </c>
      <c r="B812" s="47" t="s">
        <v>3214</v>
      </c>
      <c r="C812" s="48" t="s">
        <v>3215</v>
      </c>
      <c r="D812" s="52" t="s">
        <v>73</v>
      </c>
      <c r="E812" s="52" t="s">
        <v>3181</v>
      </c>
      <c r="F812" s="55" t="s">
        <v>3216</v>
      </c>
      <c r="G812" s="51">
        <v>2</v>
      </c>
      <c r="H812" s="52" t="s">
        <v>3217</v>
      </c>
      <c r="I812" s="54">
        <v>255000</v>
      </c>
      <c r="J812" s="54">
        <v>0</v>
      </c>
      <c r="K812" s="54">
        <v>22000</v>
      </c>
      <c r="L812" s="54">
        <v>0</v>
      </c>
      <c r="M812" s="54">
        <v>0</v>
      </c>
      <c r="N812" s="54">
        <v>0</v>
      </c>
      <c r="O812" s="54">
        <v>0</v>
      </c>
      <c r="P812" s="54">
        <v>0</v>
      </c>
      <c r="Q812" s="54">
        <v>0</v>
      </c>
      <c r="R812" s="54">
        <v>0</v>
      </c>
      <c r="S812" s="54">
        <v>0</v>
      </c>
      <c r="T812" s="54">
        <v>0</v>
      </c>
      <c r="U812" s="54">
        <v>1397</v>
      </c>
      <c r="V812" s="54">
        <v>0</v>
      </c>
      <c r="W812" s="54">
        <v>0</v>
      </c>
      <c r="X812" s="54">
        <v>0</v>
      </c>
      <c r="Y812" s="54">
        <v>0</v>
      </c>
      <c r="Z812" s="54">
        <v>0</v>
      </c>
      <c r="AA812" s="54">
        <v>0</v>
      </c>
      <c r="AB812" s="54">
        <v>0</v>
      </c>
      <c r="AC812" s="54">
        <v>0</v>
      </c>
      <c r="AD812" s="54">
        <v>0</v>
      </c>
      <c r="AE812" s="54">
        <v>0</v>
      </c>
      <c r="AF812" s="54">
        <v>0</v>
      </c>
      <c r="AG812" s="54">
        <v>0</v>
      </c>
      <c r="AH812" s="54">
        <v>0</v>
      </c>
      <c r="AI812" s="54">
        <v>0</v>
      </c>
      <c r="AJ812" s="54">
        <v>0</v>
      </c>
      <c r="AK812" s="54">
        <v>0</v>
      </c>
      <c r="AL812" s="54">
        <v>0</v>
      </c>
      <c r="AM812" s="54" t="str">
        <f>I812-J812-K812-L812-M812-N812-O812-P812-Q812-R812-S812-T812-U812-V812-W812-X812-Y812-Z812-AA812-AB812-AC812-AD812-AE812-AF812-AG812+AH812-AI812+AJ812+AK812-AL812</f>
        <v>0</v>
      </c>
      <c r="AN812" s="54"/>
      <c r="AO812" s="27"/>
    </row>
    <row r="813" spans="1:41">
      <c r="A813" s="44">
        <v>785</v>
      </c>
      <c r="B813" s="47" t="s">
        <v>3218</v>
      </c>
      <c r="C813" s="48" t="s">
        <v>3219</v>
      </c>
      <c r="D813" s="52" t="s">
        <v>73</v>
      </c>
      <c r="E813" s="52" t="s">
        <v>3181</v>
      </c>
      <c r="F813" s="55" t="s">
        <v>3220</v>
      </c>
      <c r="G813" s="51">
        <v>2</v>
      </c>
      <c r="H813" s="52" t="s">
        <v>3221</v>
      </c>
      <c r="I813" s="54">
        <v>424000</v>
      </c>
      <c r="J813" s="54">
        <v>0</v>
      </c>
      <c r="K813" s="54">
        <v>22000</v>
      </c>
      <c r="L813" s="54">
        <v>0</v>
      </c>
      <c r="M813" s="54">
        <v>0</v>
      </c>
      <c r="N813" s="54">
        <v>0</v>
      </c>
      <c r="O813" s="54">
        <v>0</v>
      </c>
      <c r="P813" s="54">
        <v>0</v>
      </c>
      <c r="Q813" s="54">
        <v>0</v>
      </c>
      <c r="R813" s="54">
        <v>0</v>
      </c>
      <c r="S813" s="54">
        <v>0</v>
      </c>
      <c r="T813" s="54">
        <v>0</v>
      </c>
      <c r="U813" s="54">
        <v>1397</v>
      </c>
      <c r="V813" s="54">
        <v>0</v>
      </c>
      <c r="W813" s="54">
        <v>0</v>
      </c>
      <c r="X813" s="54">
        <v>0</v>
      </c>
      <c r="Y813" s="54">
        <v>0</v>
      </c>
      <c r="Z813" s="54">
        <v>0</v>
      </c>
      <c r="AA813" s="54">
        <v>0</v>
      </c>
      <c r="AB813" s="54">
        <v>0</v>
      </c>
      <c r="AC813" s="54">
        <v>0</v>
      </c>
      <c r="AD813" s="54">
        <v>0</v>
      </c>
      <c r="AE813" s="54">
        <v>0</v>
      </c>
      <c r="AF813" s="54">
        <v>0</v>
      </c>
      <c r="AG813" s="54">
        <v>0</v>
      </c>
      <c r="AH813" s="54">
        <v>0</v>
      </c>
      <c r="AI813" s="54">
        <v>0</v>
      </c>
      <c r="AJ813" s="54">
        <v>0</v>
      </c>
      <c r="AK813" s="54">
        <v>0</v>
      </c>
      <c r="AL813" s="54">
        <v>0</v>
      </c>
      <c r="AM813" s="54" t="str">
        <f>I813-J813-K813-L813-M813-N813-O813-P813-Q813-R813-S813-T813-U813-V813-W813-X813-Y813-Z813-AA813-AB813-AC813-AD813-AE813-AF813-AG813+AH813-AI813+AJ813+AK813-AL813</f>
        <v>0</v>
      </c>
      <c r="AN813" s="54"/>
      <c r="AO813" s="27"/>
    </row>
    <row r="814" spans="1:41">
      <c r="A814" s="44">
        <v>786</v>
      </c>
      <c r="B814" s="47" t="s">
        <v>3222</v>
      </c>
      <c r="C814" s="48" t="s">
        <v>3223</v>
      </c>
      <c r="D814" s="52" t="s">
        <v>73</v>
      </c>
      <c r="E814" s="52" t="s">
        <v>3181</v>
      </c>
      <c r="F814" s="55" t="s">
        <v>3224</v>
      </c>
      <c r="G814" s="51">
        <v>2</v>
      </c>
      <c r="H814" s="52" t="s">
        <v>3225</v>
      </c>
      <c r="I814" s="54">
        <v>280000</v>
      </c>
      <c r="J814" s="54">
        <v>0</v>
      </c>
      <c r="K814" s="54">
        <v>22000</v>
      </c>
      <c r="L814" s="54">
        <v>0</v>
      </c>
      <c r="M814" s="54">
        <v>0</v>
      </c>
      <c r="N814" s="54">
        <v>0</v>
      </c>
      <c r="O814" s="54">
        <v>0</v>
      </c>
      <c r="P814" s="54">
        <v>0</v>
      </c>
      <c r="Q814" s="54">
        <v>0</v>
      </c>
      <c r="R814" s="54">
        <v>0</v>
      </c>
      <c r="S814" s="54">
        <v>0</v>
      </c>
      <c r="T814" s="54">
        <v>0</v>
      </c>
      <c r="U814" s="54">
        <v>1397</v>
      </c>
      <c r="V814" s="54">
        <v>0</v>
      </c>
      <c r="W814" s="54">
        <v>0</v>
      </c>
      <c r="X814" s="54">
        <v>0</v>
      </c>
      <c r="Y814" s="54">
        <v>0</v>
      </c>
      <c r="Z814" s="54">
        <v>0</v>
      </c>
      <c r="AA814" s="54">
        <v>0</v>
      </c>
      <c r="AB814" s="54">
        <v>0</v>
      </c>
      <c r="AC814" s="54">
        <v>0</v>
      </c>
      <c r="AD814" s="54">
        <v>0</v>
      </c>
      <c r="AE814" s="54">
        <v>0</v>
      </c>
      <c r="AF814" s="54">
        <v>0</v>
      </c>
      <c r="AG814" s="54">
        <v>0</v>
      </c>
      <c r="AH814" s="54">
        <v>0</v>
      </c>
      <c r="AI814" s="54">
        <v>0</v>
      </c>
      <c r="AJ814" s="54">
        <v>0</v>
      </c>
      <c r="AK814" s="54">
        <v>0</v>
      </c>
      <c r="AL814" s="54">
        <v>0</v>
      </c>
      <c r="AM814" s="54" t="str">
        <f>I814-J814-K814-L814-M814-N814-O814-P814-Q814-R814-S814-T814-U814-V814-W814-X814-Y814-Z814-AA814-AB814-AC814-AD814-AE814-AF814-AG814+AH814-AI814+AJ814+AK814-AL814</f>
        <v>0</v>
      </c>
      <c r="AN814" s="54"/>
      <c r="AO814" s="27"/>
    </row>
    <row r="815" spans="1:41">
      <c r="A815" s="44">
        <v>787</v>
      </c>
      <c r="B815" s="47" t="s">
        <v>3226</v>
      </c>
      <c r="C815" s="48" t="s">
        <v>3227</v>
      </c>
      <c r="D815" s="52" t="s">
        <v>73</v>
      </c>
      <c r="E815" s="52" t="s">
        <v>3181</v>
      </c>
      <c r="F815" s="55" t="s">
        <v>3228</v>
      </c>
      <c r="G815" s="51">
        <v>2</v>
      </c>
      <c r="H815" s="52" t="s">
        <v>3229</v>
      </c>
      <c r="I815" s="54">
        <v>330000</v>
      </c>
      <c r="J815" s="54">
        <v>0</v>
      </c>
      <c r="K815" s="54">
        <v>22000</v>
      </c>
      <c r="L815" s="54">
        <v>0</v>
      </c>
      <c r="M815" s="54">
        <v>0</v>
      </c>
      <c r="N815" s="54">
        <v>0</v>
      </c>
      <c r="O815" s="54">
        <v>0</v>
      </c>
      <c r="P815" s="54">
        <v>0</v>
      </c>
      <c r="Q815" s="54">
        <v>0</v>
      </c>
      <c r="R815" s="54">
        <v>0</v>
      </c>
      <c r="S815" s="54">
        <v>0</v>
      </c>
      <c r="T815" s="54">
        <v>0</v>
      </c>
      <c r="U815" s="54">
        <v>1397</v>
      </c>
      <c r="V815" s="54">
        <v>0</v>
      </c>
      <c r="W815" s="54">
        <v>0</v>
      </c>
      <c r="X815" s="54">
        <v>0</v>
      </c>
      <c r="Y815" s="54">
        <v>0</v>
      </c>
      <c r="Z815" s="54">
        <v>0</v>
      </c>
      <c r="AA815" s="54">
        <v>0</v>
      </c>
      <c r="AB815" s="54">
        <v>0</v>
      </c>
      <c r="AC815" s="54">
        <v>0</v>
      </c>
      <c r="AD815" s="54">
        <v>0</v>
      </c>
      <c r="AE815" s="54">
        <v>0</v>
      </c>
      <c r="AF815" s="54">
        <v>0</v>
      </c>
      <c r="AG815" s="54">
        <v>0</v>
      </c>
      <c r="AH815" s="54">
        <v>0</v>
      </c>
      <c r="AI815" s="54">
        <v>0</v>
      </c>
      <c r="AJ815" s="54">
        <v>0</v>
      </c>
      <c r="AK815" s="54">
        <v>0</v>
      </c>
      <c r="AL815" s="54">
        <v>0</v>
      </c>
      <c r="AM815" s="54" t="str">
        <f>I815-J815-K815-L815-M815-N815-O815-P815-Q815-R815-S815-T815-U815-V815-W815-X815-Y815-Z815-AA815-AB815-AC815-AD815-AE815-AF815-AG815+AH815-AI815+AJ815+AK815-AL815</f>
        <v>0</v>
      </c>
      <c r="AN815" s="54"/>
      <c r="AO815" s="27"/>
    </row>
    <row r="816" spans="1:41">
      <c r="A816" s="44">
        <v>788</v>
      </c>
      <c r="B816" s="47" t="s">
        <v>3230</v>
      </c>
      <c r="C816" s="48" t="s">
        <v>3231</v>
      </c>
      <c r="D816" s="52" t="s">
        <v>73</v>
      </c>
      <c r="E816" s="52" t="s">
        <v>3181</v>
      </c>
      <c r="F816" s="55" t="s">
        <v>781</v>
      </c>
      <c r="G816" s="51">
        <v>3</v>
      </c>
      <c r="H816" s="52" t="s">
        <v>3232</v>
      </c>
      <c r="I816" s="54">
        <v>560000</v>
      </c>
      <c r="J816" s="54">
        <v>0</v>
      </c>
      <c r="K816" s="54">
        <v>22000</v>
      </c>
      <c r="L816" s="54">
        <v>0</v>
      </c>
      <c r="M816" s="54">
        <v>0</v>
      </c>
      <c r="N816" s="54">
        <v>0</v>
      </c>
      <c r="O816" s="54">
        <v>0</v>
      </c>
      <c r="P816" s="54">
        <v>0</v>
      </c>
      <c r="Q816" s="54">
        <v>0</v>
      </c>
      <c r="R816" s="54">
        <v>0</v>
      </c>
      <c r="S816" s="54">
        <v>0</v>
      </c>
      <c r="T816" s="54">
        <v>0</v>
      </c>
      <c r="U816" s="54">
        <v>1397</v>
      </c>
      <c r="V816" s="54">
        <v>0</v>
      </c>
      <c r="W816" s="54">
        <v>0</v>
      </c>
      <c r="X816" s="54">
        <v>0</v>
      </c>
      <c r="Y816" s="54">
        <v>0</v>
      </c>
      <c r="Z816" s="54">
        <v>0</v>
      </c>
      <c r="AA816" s="54">
        <v>0</v>
      </c>
      <c r="AB816" s="54">
        <v>0</v>
      </c>
      <c r="AC816" s="54">
        <v>0</v>
      </c>
      <c r="AD816" s="54">
        <v>0</v>
      </c>
      <c r="AE816" s="54">
        <v>0</v>
      </c>
      <c r="AF816" s="54">
        <v>0</v>
      </c>
      <c r="AG816" s="54">
        <v>0</v>
      </c>
      <c r="AH816" s="54">
        <v>0</v>
      </c>
      <c r="AI816" s="54">
        <v>0</v>
      </c>
      <c r="AJ816" s="54">
        <v>0</v>
      </c>
      <c r="AK816" s="54">
        <v>0</v>
      </c>
      <c r="AL816" s="54">
        <v>0</v>
      </c>
      <c r="AM816" s="54" t="str">
        <f>I816-J816-K816-L816-M816-N816-O816-P816-Q816-R816-S816-T816-U816-V816-W816-X816-Y816-Z816-AA816-AB816-AC816-AD816-AE816-AF816-AG816+AH816-AI816+AJ816+AK816-AL816</f>
        <v>0</v>
      </c>
      <c r="AN816" s="54"/>
      <c r="AO816" s="27"/>
    </row>
    <row r="817" spans="1:41">
      <c r="A817" s="44">
        <v>789</v>
      </c>
      <c r="B817" s="47" t="s">
        <v>3233</v>
      </c>
      <c r="C817" s="48" t="s">
        <v>3234</v>
      </c>
      <c r="D817" s="52" t="s">
        <v>73</v>
      </c>
      <c r="E817" s="52" t="s">
        <v>3181</v>
      </c>
      <c r="F817" s="55" t="s">
        <v>3235</v>
      </c>
      <c r="G817" s="51">
        <v>7</v>
      </c>
      <c r="H817" s="52" t="s">
        <v>3236</v>
      </c>
      <c r="I817" s="54">
        <v>1230000</v>
      </c>
      <c r="J817" s="54">
        <v>0</v>
      </c>
      <c r="K817" s="54">
        <v>35000</v>
      </c>
      <c r="L817" s="54">
        <v>0</v>
      </c>
      <c r="M817" s="54">
        <v>0</v>
      </c>
      <c r="N817" s="54">
        <v>0</v>
      </c>
      <c r="O817" s="54">
        <v>0</v>
      </c>
      <c r="P817" s="54">
        <v>0</v>
      </c>
      <c r="Q817" s="54">
        <v>0</v>
      </c>
      <c r="R817" s="54">
        <v>0</v>
      </c>
      <c r="S817" s="54">
        <v>0</v>
      </c>
      <c r="T817" s="54">
        <v>0</v>
      </c>
      <c r="U817" s="54">
        <v>2222</v>
      </c>
      <c r="V817" s="54">
        <v>0</v>
      </c>
      <c r="W817" s="54">
        <v>0</v>
      </c>
      <c r="X817" s="54">
        <v>0</v>
      </c>
      <c r="Y817" s="54">
        <v>0</v>
      </c>
      <c r="Z817" s="54">
        <v>0</v>
      </c>
      <c r="AA817" s="54">
        <v>0</v>
      </c>
      <c r="AB817" s="54">
        <v>0</v>
      </c>
      <c r="AC817" s="54">
        <v>0</v>
      </c>
      <c r="AD817" s="54">
        <v>0</v>
      </c>
      <c r="AE817" s="54">
        <v>0</v>
      </c>
      <c r="AF817" s="54">
        <v>0</v>
      </c>
      <c r="AG817" s="54">
        <v>0</v>
      </c>
      <c r="AH817" s="54">
        <v>0</v>
      </c>
      <c r="AI817" s="54">
        <v>0</v>
      </c>
      <c r="AJ817" s="54">
        <v>0</v>
      </c>
      <c r="AK817" s="54">
        <v>0</v>
      </c>
      <c r="AL817" s="54">
        <v>0</v>
      </c>
      <c r="AM817" s="54" t="str">
        <f>I817-J817-K817-L817-M817-N817-O817-P817-Q817-R817-S817-T817-U817-V817-W817-X817-Y817-Z817-AA817-AB817-AC817-AD817-AE817-AF817-AG817+AH817-AI817+AJ817+AK817-AL817</f>
        <v>0</v>
      </c>
      <c r="AN817" s="54"/>
      <c r="AO817" s="27"/>
    </row>
    <row r="818" spans="1:41">
      <c r="A818" s="44">
        <v>790</v>
      </c>
      <c r="B818" s="47" t="s">
        <v>3237</v>
      </c>
      <c r="C818" s="48" t="s">
        <v>3238</v>
      </c>
      <c r="D818" s="52" t="s">
        <v>73</v>
      </c>
      <c r="E818" s="52" t="s">
        <v>3181</v>
      </c>
      <c r="F818" s="55" t="s">
        <v>3239</v>
      </c>
      <c r="G818" s="51">
        <v>3</v>
      </c>
      <c r="H818" s="52" t="s">
        <v>3240</v>
      </c>
      <c r="I818" s="54">
        <v>394000</v>
      </c>
      <c r="J818" s="54">
        <v>0</v>
      </c>
      <c r="K818" s="54">
        <v>22000</v>
      </c>
      <c r="L818" s="54">
        <v>0</v>
      </c>
      <c r="M818" s="54">
        <v>0</v>
      </c>
      <c r="N818" s="54">
        <v>0</v>
      </c>
      <c r="O818" s="54">
        <v>0</v>
      </c>
      <c r="P818" s="54">
        <v>0</v>
      </c>
      <c r="Q818" s="54">
        <v>0</v>
      </c>
      <c r="R818" s="54">
        <v>0</v>
      </c>
      <c r="S818" s="54">
        <v>0</v>
      </c>
      <c r="T818" s="54">
        <v>0</v>
      </c>
      <c r="U818" s="54">
        <v>1397</v>
      </c>
      <c r="V818" s="54">
        <v>0</v>
      </c>
      <c r="W818" s="54">
        <v>0</v>
      </c>
      <c r="X818" s="54">
        <v>0</v>
      </c>
      <c r="Y818" s="54">
        <v>0</v>
      </c>
      <c r="Z818" s="54">
        <v>0</v>
      </c>
      <c r="AA818" s="54">
        <v>0</v>
      </c>
      <c r="AB818" s="54">
        <v>0</v>
      </c>
      <c r="AC818" s="54">
        <v>0</v>
      </c>
      <c r="AD818" s="54">
        <v>0</v>
      </c>
      <c r="AE818" s="54">
        <v>0</v>
      </c>
      <c r="AF818" s="54">
        <v>0</v>
      </c>
      <c r="AG818" s="54">
        <v>0</v>
      </c>
      <c r="AH818" s="54">
        <v>0</v>
      </c>
      <c r="AI818" s="54">
        <v>0</v>
      </c>
      <c r="AJ818" s="54">
        <v>0</v>
      </c>
      <c r="AK818" s="54">
        <v>0</v>
      </c>
      <c r="AL818" s="54">
        <v>0</v>
      </c>
      <c r="AM818" s="54" t="str">
        <f>I818-J818-K818-L818-M818-N818-O818-P818-Q818-R818-S818-T818-U818-V818-W818-X818-Y818-Z818-AA818-AB818-AC818-AD818-AE818-AF818-AG818+AH818-AI818+AJ818+AK818-AL818</f>
        <v>0</v>
      </c>
      <c r="AN818" s="54"/>
      <c r="AO818" s="27"/>
    </row>
    <row r="819" spans="1:41">
      <c r="A819" s="44">
        <v>791</v>
      </c>
      <c r="B819" s="47" t="s">
        <v>3241</v>
      </c>
      <c r="C819" s="48" t="s">
        <v>3242</v>
      </c>
      <c r="D819" s="52" t="s">
        <v>73</v>
      </c>
      <c r="E819" s="52" t="s">
        <v>3181</v>
      </c>
      <c r="F819" s="55" t="s">
        <v>3243</v>
      </c>
      <c r="G819" s="51">
        <v>3</v>
      </c>
      <c r="H819" s="52" t="s">
        <v>3244</v>
      </c>
      <c r="I819" s="54">
        <v>355000</v>
      </c>
      <c r="J819" s="54">
        <v>0</v>
      </c>
      <c r="K819" s="54">
        <v>22000</v>
      </c>
      <c r="L819" s="54">
        <v>0</v>
      </c>
      <c r="M819" s="54">
        <v>0</v>
      </c>
      <c r="N819" s="54">
        <v>0</v>
      </c>
      <c r="O819" s="54">
        <v>0</v>
      </c>
      <c r="P819" s="54">
        <v>0</v>
      </c>
      <c r="Q819" s="54">
        <v>0</v>
      </c>
      <c r="R819" s="54">
        <v>0</v>
      </c>
      <c r="S819" s="54">
        <v>0</v>
      </c>
      <c r="T819" s="54">
        <v>0</v>
      </c>
      <c r="U819" s="54">
        <v>1397</v>
      </c>
      <c r="V819" s="54">
        <v>0</v>
      </c>
      <c r="W819" s="54">
        <v>0</v>
      </c>
      <c r="X819" s="54">
        <v>0</v>
      </c>
      <c r="Y819" s="54">
        <v>0</v>
      </c>
      <c r="Z819" s="54">
        <v>0</v>
      </c>
      <c r="AA819" s="54">
        <v>0</v>
      </c>
      <c r="AB819" s="54">
        <v>0</v>
      </c>
      <c r="AC819" s="54">
        <v>0</v>
      </c>
      <c r="AD819" s="54">
        <v>0</v>
      </c>
      <c r="AE819" s="54">
        <v>0</v>
      </c>
      <c r="AF819" s="54">
        <v>0</v>
      </c>
      <c r="AG819" s="54">
        <v>0</v>
      </c>
      <c r="AH819" s="54">
        <v>0</v>
      </c>
      <c r="AI819" s="54">
        <v>0</v>
      </c>
      <c r="AJ819" s="54">
        <v>0</v>
      </c>
      <c r="AK819" s="54">
        <v>0</v>
      </c>
      <c r="AL819" s="54">
        <v>0</v>
      </c>
      <c r="AM819" s="54" t="str">
        <f>I819-J819-K819-L819-M819-N819-O819-P819-Q819-R819-S819-T819-U819-V819-W819-X819-Y819-Z819-AA819-AB819-AC819-AD819-AE819-AF819-AG819+AH819-AI819+AJ819+AK819-AL819</f>
        <v>0</v>
      </c>
      <c r="AN819" s="54"/>
      <c r="AO819" s="27"/>
    </row>
    <row r="820" spans="1:41">
      <c r="A820" s="44">
        <v>792</v>
      </c>
      <c r="B820" s="47" t="s">
        <v>3245</v>
      </c>
      <c r="C820" s="48" t="s">
        <v>3246</v>
      </c>
      <c r="D820" s="52" t="s">
        <v>73</v>
      </c>
      <c r="E820" s="52" t="s">
        <v>3181</v>
      </c>
      <c r="F820" s="55" t="s">
        <v>3247</v>
      </c>
      <c r="G820" s="51">
        <v>3</v>
      </c>
      <c r="H820" s="52" t="s">
        <v>3248</v>
      </c>
      <c r="I820" s="54">
        <v>810000</v>
      </c>
      <c r="J820" s="54">
        <v>0</v>
      </c>
      <c r="K820" s="54">
        <v>22000</v>
      </c>
      <c r="L820" s="54">
        <v>0</v>
      </c>
      <c r="M820" s="54">
        <v>0</v>
      </c>
      <c r="N820" s="54">
        <v>0</v>
      </c>
      <c r="O820" s="54">
        <v>0</v>
      </c>
      <c r="P820" s="54">
        <v>0</v>
      </c>
      <c r="Q820" s="54">
        <v>0</v>
      </c>
      <c r="R820" s="54">
        <v>0</v>
      </c>
      <c r="S820" s="54">
        <v>0</v>
      </c>
      <c r="T820" s="54">
        <v>0</v>
      </c>
      <c r="U820" s="54">
        <v>1397</v>
      </c>
      <c r="V820" s="54">
        <v>0</v>
      </c>
      <c r="W820" s="54">
        <v>0</v>
      </c>
      <c r="X820" s="54">
        <v>0</v>
      </c>
      <c r="Y820" s="54">
        <v>0</v>
      </c>
      <c r="Z820" s="54">
        <v>0</v>
      </c>
      <c r="AA820" s="54">
        <v>0</v>
      </c>
      <c r="AB820" s="54">
        <v>0</v>
      </c>
      <c r="AC820" s="54">
        <v>0</v>
      </c>
      <c r="AD820" s="54">
        <v>0</v>
      </c>
      <c r="AE820" s="54">
        <v>0</v>
      </c>
      <c r="AF820" s="54">
        <v>0</v>
      </c>
      <c r="AG820" s="54">
        <v>0</v>
      </c>
      <c r="AH820" s="54">
        <v>0</v>
      </c>
      <c r="AI820" s="54">
        <v>0</v>
      </c>
      <c r="AJ820" s="54">
        <v>0</v>
      </c>
      <c r="AK820" s="54">
        <v>0</v>
      </c>
      <c r="AL820" s="54">
        <v>0</v>
      </c>
      <c r="AM820" s="54" t="str">
        <f>I820-J820-K820-L820-M820-N820-O820-P820-Q820-R820-S820-T820-U820-V820-W820-X820-Y820-Z820-AA820-AB820-AC820-AD820-AE820-AF820-AG820+AH820-AI820+AJ820+AK820-AL820</f>
        <v>0</v>
      </c>
      <c r="AN820" s="54"/>
      <c r="AO820" s="27"/>
    </row>
    <row r="821" spans="1:41">
      <c r="A821" s="44">
        <v>793</v>
      </c>
      <c r="B821" s="47" t="s">
        <v>3249</v>
      </c>
      <c r="C821" s="48" t="s">
        <v>3250</v>
      </c>
      <c r="D821" s="52" t="s">
        <v>73</v>
      </c>
      <c r="E821" s="52" t="s">
        <v>3181</v>
      </c>
      <c r="F821" s="55" t="s">
        <v>3251</v>
      </c>
      <c r="G821" s="51">
        <v>5</v>
      </c>
      <c r="H821" s="52" t="s">
        <v>3252</v>
      </c>
      <c r="I821" s="54">
        <v>546200</v>
      </c>
      <c r="J821" s="54">
        <v>0</v>
      </c>
      <c r="K821" s="54">
        <v>27000</v>
      </c>
      <c r="L821" s="54">
        <v>0</v>
      </c>
      <c r="M821" s="54">
        <v>0</v>
      </c>
      <c r="N821" s="54">
        <v>0</v>
      </c>
      <c r="O821" s="54">
        <v>0</v>
      </c>
      <c r="P821" s="54">
        <v>0</v>
      </c>
      <c r="Q821" s="54">
        <v>0</v>
      </c>
      <c r="R821" s="54">
        <v>0</v>
      </c>
      <c r="S821" s="54">
        <v>0</v>
      </c>
      <c r="T821" s="54">
        <v>0</v>
      </c>
      <c r="U821" s="54">
        <v>1714</v>
      </c>
      <c r="V821" s="54">
        <v>0</v>
      </c>
      <c r="W821" s="54">
        <v>0</v>
      </c>
      <c r="X821" s="54">
        <v>0</v>
      </c>
      <c r="Y821" s="54">
        <v>0</v>
      </c>
      <c r="Z821" s="54">
        <v>0</v>
      </c>
      <c r="AA821" s="54">
        <v>0</v>
      </c>
      <c r="AB821" s="54">
        <v>0</v>
      </c>
      <c r="AC821" s="54">
        <v>0</v>
      </c>
      <c r="AD821" s="54">
        <v>0</v>
      </c>
      <c r="AE821" s="54">
        <v>0</v>
      </c>
      <c r="AF821" s="54">
        <v>0</v>
      </c>
      <c r="AG821" s="54">
        <v>0</v>
      </c>
      <c r="AH821" s="54">
        <v>0</v>
      </c>
      <c r="AI821" s="54">
        <v>0</v>
      </c>
      <c r="AJ821" s="54">
        <v>0</v>
      </c>
      <c r="AK821" s="54">
        <v>0</v>
      </c>
      <c r="AL821" s="54">
        <v>0</v>
      </c>
      <c r="AM821" s="54" t="str">
        <f>I821-J821-K821-L821-M821-N821-O821-P821-Q821-R821-S821-T821-U821-V821-W821-X821-Y821-Z821-AA821-AB821-AC821-AD821-AE821-AF821-AG821+AH821-AI821+AJ821+AK821-AL821</f>
        <v>0</v>
      </c>
      <c r="AN821" s="54"/>
      <c r="AO821" s="27"/>
    </row>
    <row r="822" spans="1:41">
      <c r="A822" s="44">
        <v>794</v>
      </c>
      <c r="B822" s="47" t="s">
        <v>3253</v>
      </c>
      <c r="C822" s="48" t="s">
        <v>3254</v>
      </c>
      <c r="D822" s="52" t="s">
        <v>73</v>
      </c>
      <c r="E822" s="52" t="s">
        <v>3181</v>
      </c>
      <c r="F822" s="55" t="s">
        <v>3255</v>
      </c>
      <c r="G822" s="51">
        <v>3</v>
      </c>
      <c r="H822" s="52" t="s">
        <v>3256</v>
      </c>
      <c r="I822" s="54">
        <v>560000</v>
      </c>
      <c r="J822" s="54">
        <v>0</v>
      </c>
      <c r="K822" s="54">
        <v>22000</v>
      </c>
      <c r="L822" s="54">
        <v>0</v>
      </c>
      <c r="M822" s="54">
        <v>0</v>
      </c>
      <c r="N822" s="54">
        <v>0</v>
      </c>
      <c r="O822" s="54">
        <v>0</v>
      </c>
      <c r="P822" s="54">
        <v>0</v>
      </c>
      <c r="Q822" s="54">
        <v>0</v>
      </c>
      <c r="R822" s="54">
        <v>0</v>
      </c>
      <c r="S822" s="54">
        <v>0</v>
      </c>
      <c r="T822" s="54">
        <v>0</v>
      </c>
      <c r="U822" s="54">
        <v>1397</v>
      </c>
      <c r="V822" s="54">
        <v>0</v>
      </c>
      <c r="W822" s="54">
        <v>0</v>
      </c>
      <c r="X822" s="54">
        <v>0</v>
      </c>
      <c r="Y822" s="54">
        <v>0</v>
      </c>
      <c r="Z822" s="54">
        <v>0</v>
      </c>
      <c r="AA822" s="54">
        <v>0</v>
      </c>
      <c r="AB822" s="54">
        <v>0</v>
      </c>
      <c r="AC822" s="54">
        <v>0</v>
      </c>
      <c r="AD822" s="54">
        <v>0</v>
      </c>
      <c r="AE822" s="54">
        <v>0</v>
      </c>
      <c r="AF822" s="54">
        <v>0</v>
      </c>
      <c r="AG822" s="54">
        <v>0</v>
      </c>
      <c r="AH822" s="54">
        <v>0</v>
      </c>
      <c r="AI822" s="54">
        <v>0</v>
      </c>
      <c r="AJ822" s="54">
        <v>0</v>
      </c>
      <c r="AK822" s="54">
        <v>0</v>
      </c>
      <c r="AL822" s="54">
        <v>0</v>
      </c>
      <c r="AM822" s="54" t="str">
        <f>I822-J822-K822-L822-M822-N822-O822-P822-Q822-R822-S822-T822-U822-V822-W822-X822-Y822-Z822-AA822-AB822-AC822-AD822-AE822-AF822-AG822+AH822-AI822+AJ822+AK822-AL822</f>
        <v>0</v>
      </c>
      <c r="AN822" s="54"/>
      <c r="AO822" s="27"/>
    </row>
    <row r="823" spans="1:41">
      <c r="A823" s="44">
        <v>795</v>
      </c>
      <c r="B823" s="47" t="s">
        <v>3257</v>
      </c>
      <c r="C823" s="48" t="s">
        <v>3258</v>
      </c>
      <c r="D823" s="52" t="s">
        <v>73</v>
      </c>
      <c r="E823" s="52" t="s">
        <v>3181</v>
      </c>
      <c r="F823" s="55" t="s">
        <v>3259</v>
      </c>
      <c r="G823" s="51">
        <v>2</v>
      </c>
      <c r="H823" s="52" t="s">
        <v>3260</v>
      </c>
      <c r="I823" s="54">
        <v>330000</v>
      </c>
      <c r="J823" s="54">
        <v>0</v>
      </c>
      <c r="K823" s="54">
        <v>22000</v>
      </c>
      <c r="L823" s="54">
        <v>0</v>
      </c>
      <c r="M823" s="54">
        <v>0</v>
      </c>
      <c r="N823" s="54">
        <v>0</v>
      </c>
      <c r="O823" s="54">
        <v>0</v>
      </c>
      <c r="P823" s="54">
        <v>0</v>
      </c>
      <c r="Q823" s="54">
        <v>0</v>
      </c>
      <c r="R823" s="54">
        <v>0</v>
      </c>
      <c r="S823" s="54">
        <v>0</v>
      </c>
      <c r="T823" s="54">
        <v>0</v>
      </c>
      <c r="U823" s="54">
        <v>1397</v>
      </c>
      <c r="V823" s="54">
        <v>0</v>
      </c>
      <c r="W823" s="54">
        <v>0</v>
      </c>
      <c r="X823" s="54">
        <v>0</v>
      </c>
      <c r="Y823" s="54">
        <v>0</v>
      </c>
      <c r="Z823" s="54">
        <v>0</v>
      </c>
      <c r="AA823" s="54">
        <v>0</v>
      </c>
      <c r="AB823" s="54">
        <v>0</v>
      </c>
      <c r="AC823" s="54">
        <v>0</v>
      </c>
      <c r="AD823" s="54">
        <v>0</v>
      </c>
      <c r="AE823" s="54">
        <v>0</v>
      </c>
      <c r="AF823" s="54">
        <v>0</v>
      </c>
      <c r="AG823" s="54">
        <v>0</v>
      </c>
      <c r="AH823" s="54">
        <v>0</v>
      </c>
      <c r="AI823" s="54">
        <v>0</v>
      </c>
      <c r="AJ823" s="54">
        <v>0</v>
      </c>
      <c r="AK823" s="54">
        <v>0</v>
      </c>
      <c r="AL823" s="54">
        <v>0</v>
      </c>
      <c r="AM823" s="54" t="str">
        <f>I823-J823-K823-L823-M823-N823-O823-P823-Q823-R823-S823-T823-U823-V823-W823-X823-Y823-Z823-AA823-AB823-AC823-AD823-AE823-AF823-AG823+AH823-AI823+AJ823+AK823-AL823</f>
        <v>0</v>
      </c>
      <c r="AN823" s="54"/>
      <c r="AO823" s="27"/>
    </row>
    <row r="824" spans="1:41">
      <c r="A824" s="44">
        <v>796</v>
      </c>
      <c r="B824" s="47" t="s">
        <v>3261</v>
      </c>
      <c r="C824" s="48" t="s">
        <v>3262</v>
      </c>
      <c r="D824" s="52" t="s">
        <v>73</v>
      </c>
      <c r="E824" s="52" t="s">
        <v>3181</v>
      </c>
      <c r="F824" s="55" t="s">
        <v>3263</v>
      </c>
      <c r="G824" s="51">
        <v>2</v>
      </c>
      <c r="H824" s="52" t="s">
        <v>3264</v>
      </c>
      <c r="I824" s="54">
        <v>550000</v>
      </c>
      <c r="J824" s="54">
        <v>0</v>
      </c>
      <c r="K824" s="54">
        <v>22000</v>
      </c>
      <c r="L824" s="54">
        <v>0</v>
      </c>
      <c r="M824" s="54">
        <v>0</v>
      </c>
      <c r="N824" s="54">
        <v>0</v>
      </c>
      <c r="O824" s="54">
        <v>0</v>
      </c>
      <c r="P824" s="54">
        <v>0</v>
      </c>
      <c r="Q824" s="54">
        <v>0</v>
      </c>
      <c r="R824" s="54">
        <v>0</v>
      </c>
      <c r="S824" s="54">
        <v>0</v>
      </c>
      <c r="T824" s="54">
        <v>0</v>
      </c>
      <c r="U824" s="54">
        <v>1397</v>
      </c>
      <c r="V824" s="54">
        <v>0</v>
      </c>
      <c r="W824" s="54">
        <v>0</v>
      </c>
      <c r="X824" s="54">
        <v>0</v>
      </c>
      <c r="Y824" s="54">
        <v>0</v>
      </c>
      <c r="Z824" s="54">
        <v>0</v>
      </c>
      <c r="AA824" s="54">
        <v>0</v>
      </c>
      <c r="AB824" s="54">
        <v>0</v>
      </c>
      <c r="AC824" s="54">
        <v>0</v>
      </c>
      <c r="AD824" s="54">
        <v>0</v>
      </c>
      <c r="AE824" s="54">
        <v>0</v>
      </c>
      <c r="AF824" s="54">
        <v>0</v>
      </c>
      <c r="AG824" s="54">
        <v>0</v>
      </c>
      <c r="AH824" s="54">
        <v>0</v>
      </c>
      <c r="AI824" s="54">
        <v>0</v>
      </c>
      <c r="AJ824" s="54">
        <v>0</v>
      </c>
      <c r="AK824" s="54">
        <v>0</v>
      </c>
      <c r="AL824" s="54">
        <v>0</v>
      </c>
      <c r="AM824" s="54" t="str">
        <f>I824-J824-K824-L824-M824-N824-O824-P824-Q824-R824-S824-T824-U824-V824-W824-X824-Y824-Z824-AA824-AB824-AC824-AD824-AE824-AF824-AG824+AH824-AI824+AJ824+AK824-AL824</f>
        <v>0</v>
      </c>
      <c r="AN824" s="54"/>
      <c r="AO824" s="27"/>
    </row>
    <row r="825" spans="1:41">
      <c r="A825" s="44">
        <v>797</v>
      </c>
      <c r="B825" s="47" t="s">
        <v>3265</v>
      </c>
      <c r="C825" s="48" t="s">
        <v>3266</v>
      </c>
      <c r="D825" s="52" t="s">
        <v>73</v>
      </c>
      <c r="E825" s="52" t="s">
        <v>3181</v>
      </c>
      <c r="F825" s="55" t="s">
        <v>3267</v>
      </c>
      <c r="G825" s="51">
        <v>4</v>
      </c>
      <c r="H825" s="52" t="s">
        <v>3268</v>
      </c>
      <c r="I825" s="54">
        <v>510000</v>
      </c>
      <c r="J825" s="54">
        <v>0</v>
      </c>
      <c r="K825" s="54">
        <v>25000</v>
      </c>
      <c r="L825" s="54">
        <v>0</v>
      </c>
      <c r="M825" s="54">
        <v>0</v>
      </c>
      <c r="N825" s="54">
        <v>0</v>
      </c>
      <c r="O825" s="54">
        <v>0</v>
      </c>
      <c r="P825" s="54">
        <v>0</v>
      </c>
      <c r="Q825" s="54">
        <v>0</v>
      </c>
      <c r="R825" s="54">
        <v>0</v>
      </c>
      <c r="S825" s="54">
        <v>0</v>
      </c>
      <c r="T825" s="54">
        <v>0</v>
      </c>
      <c r="U825" s="54">
        <v>1587</v>
      </c>
      <c r="V825" s="54">
        <v>0</v>
      </c>
      <c r="W825" s="54">
        <v>0</v>
      </c>
      <c r="X825" s="54">
        <v>0</v>
      </c>
      <c r="Y825" s="54">
        <v>0</v>
      </c>
      <c r="Z825" s="54">
        <v>0</v>
      </c>
      <c r="AA825" s="54">
        <v>0</v>
      </c>
      <c r="AB825" s="54">
        <v>0</v>
      </c>
      <c r="AC825" s="54">
        <v>0</v>
      </c>
      <c r="AD825" s="54">
        <v>0</v>
      </c>
      <c r="AE825" s="54">
        <v>0</v>
      </c>
      <c r="AF825" s="54">
        <v>0</v>
      </c>
      <c r="AG825" s="54">
        <v>0</v>
      </c>
      <c r="AH825" s="54">
        <v>0</v>
      </c>
      <c r="AI825" s="54">
        <v>0</v>
      </c>
      <c r="AJ825" s="54">
        <v>0</v>
      </c>
      <c r="AK825" s="54">
        <v>0</v>
      </c>
      <c r="AL825" s="54">
        <v>0</v>
      </c>
      <c r="AM825" s="54" t="str">
        <f>I825-J825-K825-L825-M825-N825-O825-P825-Q825-R825-S825-T825-U825-V825-W825-X825-Y825-Z825-AA825-AB825-AC825-AD825-AE825-AF825-AG825+AH825-AI825+AJ825+AK825-AL825</f>
        <v>0</v>
      </c>
      <c r="AN825" s="54"/>
      <c r="AO825" s="27"/>
    </row>
    <row r="826" spans="1:41">
      <c r="A826" s="44">
        <v>798</v>
      </c>
      <c r="B826" s="47" t="s">
        <v>3269</v>
      </c>
      <c r="C826" s="48" t="s">
        <v>3270</v>
      </c>
      <c r="D826" s="52" t="s">
        <v>73</v>
      </c>
      <c r="E826" s="52" t="s">
        <v>3181</v>
      </c>
      <c r="F826" s="55" t="s">
        <v>3271</v>
      </c>
      <c r="G826" s="51">
        <v>3</v>
      </c>
      <c r="H826" s="52" t="s">
        <v>3272</v>
      </c>
      <c r="I826" s="54">
        <v>435000</v>
      </c>
      <c r="J826" s="54">
        <v>0</v>
      </c>
      <c r="K826" s="54">
        <v>22000</v>
      </c>
      <c r="L826" s="54">
        <v>0</v>
      </c>
      <c r="M826" s="54">
        <v>0</v>
      </c>
      <c r="N826" s="54">
        <v>0</v>
      </c>
      <c r="O826" s="54">
        <v>0</v>
      </c>
      <c r="P826" s="54">
        <v>0</v>
      </c>
      <c r="Q826" s="54">
        <v>0</v>
      </c>
      <c r="R826" s="54">
        <v>0</v>
      </c>
      <c r="S826" s="54">
        <v>0</v>
      </c>
      <c r="T826" s="54">
        <v>0</v>
      </c>
      <c r="U826" s="54">
        <v>1397</v>
      </c>
      <c r="V826" s="54">
        <v>0</v>
      </c>
      <c r="W826" s="54">
        <v>0</v>
      </c>
      <c r="X826" s="54">
        <v>0</v>
      </c>
      <c r="Y826" s="54">
        <v>0</v>
      </c>
      <c r="Z826" s="54">
        <v>0</v>
      </c>
      <c r="AA826" s="54">
        <v>0</v>
      </c>
      <c r="AB826" s="54">
        <v>0</v>
      </c>
      <c r="AC826" s="54">
        <v>0</v>
      </c>
      <c r="AD826" s="54">
        <v>0</v>
      </c>
      <c r="AE826" s="54">
        <v>0</v>
      </c>
      <c r="AF826" s="54">
        <v>0</v>
      </c>
      <c r="AG826" s="54">
        <v>0</v>
      </c>
      <c r="AH826" s="54">
        <v>0</v>
      </c>
      <c r="AI826" s="54">
        <v>0</v>
      </c>
      <c r="AJ826" s="54">
        <v>0</v>
      </c>
      <c r="AK826" s="54">
        <v>0</v>
      </c>
      <c r="AL826" s="54">
        <v>0</v>
      </c>
      <c r="AM826" s="54" t="str">
        <f>I826-J826-K826-L826-M826-N826-O826-P826-Q826-R826-S826-T826-U826-V826-W826-X826-Y826-Z826-AA826-AB826-AC826-AD826-AE826-AF826-AG826+AH826-AI826+AJ826+AK826-AL826</f>
        <v>0</v>
      </c>
      <c r="AN826" s="54"/>
      <c r="AO826" s="27"/>
    </row>
    <row r="827" spans="1:41">
      <c r="A827" s="44">
        <v>799</v>
      </c>
      <c r="B827" s="47" t="s">
        <v>3273</v>
      </c>
      <c r="C827" s="48" t="s">
        <v>3274</v>
      </c>
      <c r="D827" s="52" t="s">
        <v>73</v>
      </c>
      <c r="E827" s="52" t="s">
        <v>3181</v>
      </c>
      <c r="F827" s="55" t="s">
        <v>3275</v>
      </c>
      <c r="G827" s="51">
        <v>2</v>
      </c>
      <c r="H827" s="52" t="s">
        <v>3276</v>
      </c>
      <c r="I827" s="54">
        <v>305000</v>
      </c>
      <c r="J827" s="54">
        <v>0</v>
      </c>
      <c r="K827" s="54">
        <v>22000</v>
      </c>
      <c r="L827" s="54">
        <v>0</v>
      </c>
      <c r="M827" s="54">
        <v>0</v>
      </c>
      <c r="N827" s="54">
        <v>0</v>
      </c>
      <c r="O827" s="54">
        <v>0</v>
      </c>
      <c r="P827" s="54">
        <v>0</v>
      </c>
      <c r="Q827" s="54">
        <v>0</v>
      </c>
      <c r="R827" s="54">
        <v>0</v>
      </c>
      <c r="S827" s="54">
        <v>0</v>
      </c>
      <c r="T827" s="54">
        <v>0</v>
      </c>
      <c r="U827" s="54">
        <v>1397</v>
      </c>
      <c r="V827" s="54">
        <v>0</v>
      </c>
      <c r="W827" s="54">
        <v>0</v>
      </c>
      <c r="X827" s="54">
        <v>0</v>
      </c>
      <c r="Y827" s="54">
        <v>0</v>
      </c>
      <c r="Z827" s="54">
        <v>0</v>
      </c>
      <c r="AA827" s="54">
        <v>0</v>
      </c>
      <c r="AB827" s="54">
        <v>0</v>
      </c>
      <c r="AC827" s="54">
        <v>0</v>
      </c>
      <c r="AD827" s="54">
        <v>0</v>
      </c>
      <c r="AE827" s="54">
        <v>0</v>
      </c>
      <c r="AF827" s="54">
        <v>0</v>
      </c>
      <c r="AG827" s="54">
        <v>0</v>
      </c>
      <c r="AH827" s="54">
        <v>0</v>
      </c>
      <c r="AI827" s="54">
        <v>0</v>
      </c>
      <c r="AJ827" s="54">
        <v>0</v>
      </c>
      <c r="AK827" s="54">
        <v>0</v>
      </c>
      <c r="AL827" s="54">
        <v>0</v>
      </c>
      <c r="AM827" s="54" t="str">
        <f>I827-J827-K827-L827-M827-N827-O827-P827-Q827-R827-S827-T827-U827-V827-W827-X827-Y827-Z827-AA827-AB827-AC827-AD827-AE827-AF827-AG827+AH827-AI827+AJ827+AK827-AL827</f>
        <v>0</v>
      </c>
      <c r="AN827" s="54"/>
      <c r="AO827" s="27"/>
    </row>
    <row r="828" spans="1:41">
      <c r="A828" s="44">
        <v>800</v>
      </c>
      <c r="B828" s="47" t="s">
        <v>3277</v>
      </c>
      <c r="C828" s="48" t="s">
        <v>3278</v>
      </c>
      <c r="D828" s="52" t="s">
        <v>73</v>
      </c>
      <c r="E828" s="52" t="s">
        <v>3181</v>
      </c>
      <c r="F828" s="55" t="s">
        <v>3279</v>
      </c>
      <c r="G828" s="51">
        <v>2</v>
      </c>
      <c r="H828" s="52" t="s">
        <v>3280</v>
      </c>
      <c r="I828" s="54">
        <v>364000</v>
      </c>
      <c r="J828" s="54">
        <v>0</v>
      </c>
      <c r="K828" s="54">
        <v>22000</v>
      </c>
      <c r="L828" s="54">
        <v>0</v>
      </c>
      <c r="M828" s="54">
        <v>0</v>
      </c>
      <c r="N828" s="54">
        <v>0</v>
      </c>
      <c r="O828" s="54">
        <v>0</v>
      </c>
      <c r="P828" s="54">
        <v>0</v>
      </c>
      <c r="Q828" s="54">
        <v>0</v>
      </c>
      <c r="R828" s="54">
        <v>0</v>
      </c>
      <c r="S828" s="54">
        <v>0</v>
      </c>
      <c r="T828" s="54">
        <v>0</v>
      </c>
      <c r="U828" s="54">
        <v>1397</v>
      </c>
      <c r="V828" s="54">
        <v>0</v>
      </c>
      <c r="W828" s="54">
        <v>0</v>
      </c>
      <c r="X828" s="54">
        <v>0</v>
      </c>
      <c r="Y828" s="54">
        <v>0</v>
      </c>
      <c r="Z828" s="54">
        <v>0</v>
      </c>
      <c r="AA828" s="54">
        <v>0</v>
      </c>
      <c r="AB828" s="54">
        <v>0</v>
      </c>
      <c r="AC828" s="54">
        <v>0</v>
      </c>
      <c r="AD828" s="54">
        <v>0</v>
      </c>
      <c r="AE828" s="54">
        <v>0</v>
      </c>
      <c r="AF828" s="54">
        <v>0</v>
      </c>
      <c r="AG828" s="54">
        <v>0</v>
      </c>
      <c r="AH828" s="54">
        <v>0</v>
      </c>
      <c r="AI828" s="54">
        <v>0</v>
      </c>
      <c r="AJ828" s="54">
        <v>0</v>
      </c>
      <c r="AK828" s="54">
        <v>0</v>
      </c>
      <c r="AL828" s="54">
        <v>0</v>
      </c>
      <c r="AM828" s="54" t="str">
        <f>I828-J828-K828-L828-M828-N828-O828-P828-Q828-R828-S828-T828-U828-V828-W828-X828-Y828-Z828-AA828-AB828-AC828-AD828-AE828-AF828-AG828+AH828-AI828+AJ828+AK828-AL828</f>
        <v>0</v>
      </c>
      <c r="AN828" s="54"/>
      <c r="AO828" s="27"/>
    </row>
    <row r="829" spans="1:41">
      <c r="A829" s="44">
        <v>801</v>
      </c>
      <c r="B829" s="47" t="s">
        <v>3281</v>
      </c>
      <c r="C829" s="48" t="s">
        <v>3282</v>
      </c>
      <c r="D829" s="52" t="s">
        <v>73</v>
      </c>
      <c r="E829" s="52" t="s">
        <v>3181</v>
      </c>
      <c r="F829" s="55" t="s">
        <v>3283</v>
      </c>
      <c r="G829" s="51">
        <v>5</v>
      </c>
      <c r="H829" s="52" t="s">
        <v>3284</v>
      </c>
      <c r="I829" s="54">
        <v>0</v>
      </c>
      <c r="J829" s="54">
        <v>0</v>
      </c>
      <c r="K829" s="54">
        <v>27000</v>
      </c>
      <c r="L829" s="54">
        <v>0</v>
      </c>
      <c r="M829" s="54">
        <v>0</v>
      </c>
      <c r="N829" s="54">
        <v>0</v>
      </c>
      <c r="O829" s="54">
        <v>0</v>
      </c>
      <c r="P829" s="54">
        <v>0</v>
      </c>
      <c r="Q829" s="54">
        <v>0</v>
      </c>
      <c r="R829" s="54">
        <v>0</v>
      </c>
      <c r="S829" s="54">
        <v>0</v>
      </c>
      <c r="T829" s="54">
        <v>0</v>
      </c>
      <c r="U829" s="54">
        <v>1714</v>
      </c>
      <c r="V829" s="54">
        <v>0</v>
      </c>
      <c r="W829" s="54">
        <v>0</v>
      </c>
      <c r="X829" s="54">
        <v>0</v>
      </c>
      <c r="Y829" s="54">
        <v>0</v>
      </c>
      <c r="Z829" s="54">
        <v>0</v>
      </c>
      <c r="AA829" s="54">
        <v>0</v>
      </c>
      <c r="AB829" s="54">
        <v>0</v>
      </c>
      <c r="AC829" s="54">
        <v>0</v>
      </c>
      <c r="AD829" s="54">
        <v>0</v>
      </c>
      <c r="AE829" s="54">
        <v>0</v>
      </c>
      <c r="AF829" s="54">
        <v>0</v>
      </c>
      <c r="AG829" s="54">
        <v>0</v>
      </c>
      <c r="AH829" s="54">
        <v>0</v>
      </c>
      <c r="AI829" s="54">
        <v>0</v>
      </c>
      <c r="AJ829" s="54">
        <v>0</v>
      </c>
      <c r="AK829" s="54">
        <v>0</v>
      </c>
      <c r="AL829" s="54">
        <v>0</v>
      </c>
      <c r="AM829" s="54" t="str">
        <f>I829-J829-K829-L829-M829-N829-O829-P829-Q829-R829-S829-T829-U829-V829-W829-X829-Y829-Z829-AA829-AB829-AC829-AD829-AE829-AF829-AG829+AH829-AI829+AJ829+AK829-AL829</f>
        <v>0</v>
      </c>
      <c r="AN829" s="54"/>
      <c r="AO829" s="27"/>
    </row>
    <row r="830" spans="1:41">
      <c r="A830" s="44">
        <v>802</v>
      </c>
      <c r="B830" s="47" t="s">
        <v>3285</v>
      </c>
      <c r="C830" s="48" t="s">
        <v>3286</v>
      </c>
      <c r="D830" s="52" t="s">
        <v>73</v>
      </c>
      <c r="E830" s="52" t="s">
        <v>3181</v>
      </c>
      <c r="F830" s="55" t="s">
        <v>3001</v>
      </c>
      <c r="G830" s="51">
        <v>2</v>
      </c>
      <c r="H830" s="52" t="s">
        <v>3287</v>
      </c>
      <c r="I830" s="54">
        <v>224000</v>
      </c>
      <c r="J830" s="54">
        <v>0</v>
      </c>
      <c r="K830" s="54">
        <v>22000</v>
      </c>
      <c r="L830" s="54">
        <v>0</v>
      </c>
      <c r="M830" s="54">
        <v>0</v>
      </c>
      <c r="N830" s="54">
        <v>0</v>
      </c>
      <c r="O830" s="54">
        <v>0</v>
      </c>
      <c r="P830" s="54">
        <v>0</v>
      </c>
      <c r="Q830" s="54">
        <v>0</v>
      </c>
      <c r="R830" s="54">
        <v>0</v>
      </c>
      <c r="S830" s="54">
        <v>0</v>
      </c>
      <c r="T830" s="54">
        <v>0</v>
      </c>
      <c r="U830" s="54">
        <v>1397</v>
      </c>
      <c r="V830" s="54">
        <v>0</v>
      </c>
      <c r="W830" s="54">
        <v>0</v>
      </c>
      <c r="X830" s="54">
        <v>0</v>
      </c>
      <c r="Y830" s="54">
        <v>0</v>
      </c>
      <c r="Z830" s="54">
        <v>0</v>
      </c>
      <c r="AA830" s="54">
        <v>0</v>
      </c>
      <c r="AB830" s="54">
        <v>0</v>
      </c>
      <c r="AC830" s="54">
        <v>0</v>
      </c>
      <c r="AD830" s="54">
        <v>0</v>
      </c>
      <c r="AE830" s="54">
        <v>0</v>
      </c>
      <c r="AF830" s="54">
        <v>0</v>
      </c>
      <c r="AG830" s="54">
        <v>0</v>
      </c>
      <c r="AH830" s="54">
        <v>0</v>
      </c>
      <c r="AI830" s="54">
        <v>0</v>
      </c>
      <c r="AJ830" s="54">
        <v>0</v>
      </c>
      <c r="AK830" s="54">
        <v>0</v>
      </c>
      <c r="AL830" s="54">
        <v>0</v>
      </c>
      <c r="AM830" s="54" t="str">
        <f>I830-J830-K830-L830-M830-N830-O830-P830-Q830-R830-S830-T830-U830-V830-W830-X830-Y830-Z830-AA830-AB830-AC830-AD830-AE830-AF830-AG830+AH830-AI830+AJ830+AK830-AL830</f>
        <v>0</v>
      </c>
      <c r="AN830" s="54"/>
      <c r="AO830" s="27"/>
    </row>
    <row r="831" spans="1:41">
      <c r="A831" s="44">
        <v>803</v>
      </c>
      <c r="B831" s="47" t="s">
        <v>3288</v>
      </c>
      <c r="C831" s="48" t="s">
        <v>3289</v>
      </c>
      <c r="D831" s="52" t="s">
        <v>73</v>
      </c>
      <c r="E831" s="52" t="s">
        <v>3181</v>
      </c>
      <c r="F831" s="55" t="s">
        <v>3290</v>
      </c>
      <c r="G831" s="51">
        <v>2</v>
      </c>
      <c r="H831" s="52" t="s">
        <v>3291</v>
      </c>
      <c r="I831" s="54">
        <v>500000</v>
      </c>
      <c r="J831" s="54">
        <v>0</v>
      </c>
      <c r="K831" s="54">
        <v>22000</v>
      </c>
      <c r="L831" s="54">
        <v>0</v>
      </c>
      <c r="M831" s="54">
        <v>0</v>
      </c>
      <c r="N831" s="54">
        <v>0</v>
      </c>
      <c r="O831" s="54">
        <v>0</v>
      </c>
      <c r="P831" s="54">
        <v>0</v>
      </c>
      <c r="Q831" s="54">
        <v>0</v>
      </c>
      <c r="R831" s="54">
        <v>0</v>
      </c>
      <c r="S831" s="54">
        <v>0</v>
      </c>
      <c r="T831" s="54">
        <v>0</v>
      </c>
      <c r="U831" s="54">
        <v>1397</v>
      </c>
      <c r="V831" s="54">
        <v>0</v>
      </c>
      <c r="W831" s="54">
        <v>0</v>
      </c>
      <c r="X831" s="54">
        <v>0</v>
      </c>
      <c r="Y831" s="54">
        <v>0</v>
      </c>
      <c r="Z831" s="54">
        <v>0</v>
      </c>
      <c r="AA831" s="54">
        <v>0</v>
      </c>
      <c r="AB831" s="54">
        <v>0</v>
      </c>
      <c r="AC831" s="54">
        <v>0</v>
      </c>
      <c r="AD831" s="54">
        <v>0</v>
      </c>
      <c r="AE831" s="54">
        <v>0</v>
      </c>
      <c r="AF831" s="54">
        <v>0</v>
      </c>
      <c r="AG831" s="54">
        <v>0</v>
      </c>
      <c r="AH831" s="54">
        <v>0</v>
      </c>
      <c r="AI831" s="54">
        <v>0</v>
      </c>
      <c r="AJ831" s="54">
        <v>0</v>
      </c>
      <c r="AK831" s="54">
        <v>0</v>
      </c>
      <c r="AL831" s="54">
        <v>0</v>
      </c>
      <c r="AM831" s="54" t="str">
        <f>I831-J831-K831-L831-M831-N831-O831-P831-Q831-R831-S831-T831-U831-V831-W831-X831-Y831-Z831-AA831-AB831-AC831-AD831-AE831-AF831-AG831+AH831-AI831+AJ831+AK831-AL831</f>
        <v>0</v>
      </c>
      <c r="AN831" s="54"/>
      <c r="AO831" s="27"/>
    </row>
    <row r="832" spans="1:41">
      <c r="A832" s="44">
        <v>804</v>
      </c>
      <c r="B832" s="47" t="s">
        <v>3292</v>
      </c>
      <c r="C832" s="48" t="s">
        <v>3293</v>
      </c>
      <c r="D832" s="52" t="s">
        <v>73</v>
      </c>
      <c r="E832" s="52" t="s">
        <v>3181</v>
      </c>
      <c r="F832" s="55" t="s">
        <v>3294</v>
      </c>
      <c r="G832" s="51">
        <v>6</v>
      </c>
      <c r="H832" s="52" t="s">
        <v>3295</v>
      </c>
      <c r="I832" s="54">
        <v>1429000</v>
      </c>
      <c r="J832" s="54">
        <v>0</v>
      </c>
      <c r="K832" s="54">
        <v>31000</v>
      </c>
      <c r="L832" s="54">
        <v>0</v>
      </c>
      <c r="M832" s="54">
        <v>0</v>
      </c>
      <c r="N832" s="54">
        <v>0</v>
      </c>
      <c r="O832" s="54">
        <v>0</v>
      </c>
      <c r="P832" s="54">
        <v>0</v>
      </c>
      <c r="Q832" s="54">
        <v>0</v>
      </c>
      <c r="R832" s="54">
        <v>0</v>
      </c>
      <c r="S832" s="54">
        <v>0</v>
      </c>
      <c r="T832" s="54">
        <v>0</v>
      </c>
      <c r="U832" s="54">
        <v>1968</v>
      </c>
      <c r="V832" s="54">
        <v>0</v>
      </c>
      <c r="W832" s="54">
        <v>0</v>
      </c>
      <c r="X832" s="54">
        <v>0</v>
      </c>
      <c r="Y832" s="54">
        <v>0</v>
      </c>
      <c r="Z832" s="54">
        <v>0</v>
      </c>
      <c r="AA832" s="54">
        <v>0</v>
      </c>
      <c r="AB832" s="54">
        <v>0</v>
      </c>
      <c r="AC832" s="54">
        <v>0</v>
      </c>
      <c r="AD832" s="54">
        <v>0</v>
      </c>
      <c r="AE832" s="54">
        <v>0</v>
      </c>
      <c r="AF832" s="54">
        <v>0</v>
      </c>
      <c r="AG832" s="54">
        <v>0</v>
      </c>
      <c r="AH832" s="54">
        <v>0</v>
      </c>
      <c r="AI832" s="54">
        <v>0</v>
      </c>
      <c r="AJ832" s="54">
        <v>0</v>
      </c>
      <c r="AK832" s="54">
        <v>0</v>
      </c>
      <c r="AL832" s="54">
        <v>0</v>
      </c>
      <c r="AM832" s="54" t="str">
        <f>I832-J832-K832-L832-M832-N832-O832-P832-Q832-R832-S832-T832-U832-V832-W832-X832-Y832-Z832-AA832-AB832-AC832-AD832-AE832-AF832-AG832+AH832-AI832+AJ832+AK832-AL832</f>
        <v>0</v>
      </c>
      <c r="AN832" s="54"/>
      <c r="AO832" s="27"/>
    </row>
    <row r="833" spans="1:41">
      <c r="A833" s="44">
        <v>805</v>
      </c>
      <c r="B833" s="47" t="s">
        <v>3296</v>
      </c>
      <c r="C833" s="48" t="s">
        <v>3297</v>
      </c>
      <c r="D833" s="52" t="s">
        <v>73</v>
      </c>
      <c r="E833" s="52" t="s">
        <v>3181</v>
      </c>
      <c r="F833" s="55" t="s">
        <v>3201</v>
      </c>
      <c r="G833" s="51">
        <v>5.2</v>
      </c>
      <c r="H833" s="52" t="s">
        <v>3298</v>
      </c>
      <c r="I833" s="54">
        <v>805000</v>
      </c>
      <c r="J833" s="54">
        <v>0</v>
      </c>
      <c r="K833" s="54">
        <v>31000</v>
      </c>
      <c r="L833" s="54">
        <v>0</v>
      </c>
      <c r="M833" s="54">
        <v>0</v>
      </c>
      <c r="N833" s="54">
        <v>0</v>
      </c>
      <c r="O833" s="54">
        <v>0</v>
      </c>
      <c r="P833" s="54">
        <v>0</v>
      </c>
      <c r="Q833" s="54">
        <v>0</v>
      </c>
      <c r="R833" s="54">
        <v>0</v>
      </c>
      <c r="S833" s="54">
        <v>0</v>
      </c>
      <c r="T833" s="54">
        <v>0</v>
      </c>
      <c r="U833" s="54">
        <v>1968</v>
      </c>
      <c r="V833" s="54">
        <v>0</v>
      </c>
      <c r="W833" s="54">
        <v>0</v>
      </c>
      <c r="X833" s="54">
        <v>0</v>
      </c>
      <c r="Y833" s="54">
        <v>0</v>
      </c>
      <c r="Z833" s="54">
        <v>0</v>
      </c>
      <c r="AA833" s="54">
        <v>0</v>
      </c>
      <c r="AB833" s="54">
        <v>0</v>
      </c>
      <c r="AC833" s="54">
        <v>0</v>
      </c>
      <c r="AD833" s="54">
        <v>0</v>
      </c>
      <c r="AE833" s="54">
        <v>0</v>
      </c>
      <c r="AF833" s="54">
        <v>0</v>
      </c>
      <c r="AG833" s="54">
        <v>0</v>
      </c>
      <c r="AH833" s="54">
        <v>0</v>
      </c>
      <c r="AI833" s="54">
        <v>0</v>
      </c>
      <c r="AJ833" s="54">
        <v>0</v>
      </c>
      <c r="AK833" s="54">
        <v>0</v>
      </c>
      <c r="AL833" s="54">
        <v>0</v>
      </c>
      <c r="AM833" s="54" t="str">
        <f>I833-J833-K833-L833-M833-N833-O833-P833-Q833-R833-S833-T833-U833-V833-W833-X833-Y833-Z833-AA833-AB833-AC833-AD833-AE833-AF833-AG833+AH833-AI833+AJ833+AK833-AL833</f>
        <v>0</v>
      </c>
      <c r="AN833" s="54"/>
      <c r="AO833" s="27"/>
    </row>
    <row r="834" spans="1:41">
      <c r="A834" s="44">
        <v>806</v>
      </c>
      <c r="B834" s="47" t="s">
        <v>3299</v>
      </c>
      <c r="C834" s="48" t="s">
        <v>3300</v>
      </c>
      <c r="D834" s="52" t="s">
        <v>73</v>
      </c>
      <c r="E834" s="52" t="s">
        <v>3181</v>
      </c>
      <c r="F834" s="55" t="s">
        <v>3301</v>
      </c>
      <c r="G834" s="51">
        <v>12.3</v>
      </c>
      <c r="H834" s="52" t="s">
        <v>3302</v>
      </c>
      <c r="I834" s="54">
        <v>2214000</v>
      </c>
      <c r="J834" s="54">
        <v>0</v>
      </c>
      <c r="K834" s="54">
        <v>64000</v>
      </c>
      <c r="L834" s="54">
        <v>0</v>
      </c>
      <c r="M834" s="54">
        <v>0</v>
      </c>
      <c r="N834" s="54">
        <v>0</v>
      </c>
      <c r="O834" s="54">
        <v>0</v>
      </c>
      <c r="P834" s="54">
        <v>0</v>
      </c>
      <c r="Q834" s="54">
        <v>0</v>
      </c>
      <c r="R834" s="54">
        <v>0</v>
      </c>
      <c r="S834" s="54">
        <v>0</v>
      </c>
      <c r="T834" s="54">
        <v>0</v>
      </c>
      <c r="U834" s="54">
        <v>4064</v>
      </c>
      <c r="V834" s="54">
        <v>0</v>
      </c>
      <c r="W834" s="54">
        <v>0</v>
      </c>
      <c r="X834" s="54">
        <v>0</v>
      </c>
      <c r="Y834" s="54">
        <v>0</v>
      </c>
      <c r="Z834" s="54">
        <v>0</v>
      </c>
      <c r="AA834" s="54">
        <v>0</v>
      </c>
      <c r="AB834" s="54">
        <v>0</v>
      </c>
      <c r="AC834" s="54">
        <v>0</v>
      </c>
      <c r="AD834" s="54">
        <v>0</v>
      </c>
      <c r="AE834" s="54">
        <v>0</v>
      </c>
      <c r="AF834" s="54">
        <v>0</v>
      </c>
      <c r="AG834" s="54">
        <v>0</v>
      </c>
      <c r="AH834" s="54">
        <v>0</v>
      </c>
      <c r="AI834" s="54">
        <v>0</v>
      </c>
      <c r="AJ834" s="54">
        <v>0</v>
      </c>
      <c r="AK834" s="54">
        <v>0</v>
      </c>
      <c r="AL834" s="54">
        <v>0</v>
      </c>
      <c r="AM834" s="54" t="str">
        <f>I834-J834-K834-L834-M834-N834-O834-P834-Q834-R834-S834-T834-U834-V834-W834-X834-Y834-Z834-AA834-AB834-AC834-AD834-AE834-AF834-AG834+AH834-AI834+AJ834+AK834-AL834</f>
        <v>0</v>
      </c>
      <c r="AN834" s="54"/>
      <c r="AO834" s="27"/>
    </row>
    <row r="835" spans="1:41">
      <c r="A835" s="44">
        <v>807</v>
      </c>
      <c r="B835" s="47" t="s">
        <v>3303</v>
      </c>
      <c r="C835" s="48" t="s">
        <v>3304</v>
      </c>
      <c r="D835" s="52" t="s">
        <v>73</v>
      </c>
      <c r="E835" s="52" t="s">
        <v>3181</v>
      </c>
      <c r="F835" s="55" t="s">
        <v>2372</v>
      </c>
      <c r="G835" s="51">
        <v>15</v>
      </c>
      <c r="H835" s="52" t="s">
        <v>3305</v>
      </c>
      <c r="I835" s="54">
        <v>3790000</v>
      </c>
      <c r="J835" s="54">
        <v>18950</v>
      </c>
      <c r="K835" s="54">
        <v>60000</v>
      </c>
      <c r="L835" s="54">
        <v>0</v>
      </c>
      <c r="M835" s="54">
        <v>0</v>
      </c>
      <c r="N835" s="54">
        <v>0</v>
      </c>
      <c r="O835" s="54">
        <v>0</v>
      </c>
      <c r="P835" s="54">
        <v>0</v>
      </c>
      <c r="Q835" s="54">
        <v>0</v>
      </c>
      <c r="R835" s="54">
        <v>0</v>
      </c>
      <c r="S835" s="54">
        <v>0</v>
      </c>
      <c r="T835" s="54">
        <v>0</v>
      </c>
      <c r="U835" s="54">
        <v>3810</v>
      </c>
      <c r="V835" s="54">
        <v>0</v>
      </c>
      <c r="W835" s="54">
        <v>0</v>
      </c>
      <c r="X835" s="54">
        <v>0</v>
      </c>
      <c r="Y835" s="54">
        <v>0</v>
      </c>
      <c r="Z835" s="54">
        <v>0</v>
      </c>
      <c r="AA835" s="54">
        <v>0</v>
      </c>
      <c r="AB835" s="54">
        <v>0</v>
      </c>
      <c r="AC835" s="54">
        <v>0</v>
      </c>
      <c r="AD835" s="54">
        <v>0</v>
      </c>
      <c r="AE835" s="54">
        <v>0</v>
      </c>
      <c r="AF835" s="54">
        <v>0</v>
      </c>
      <c r="AG835" s="54">
        <v>0</v>
      </c>
      <c r="AH835" s="54">
        <v>0</v>
      </c>
      <c r="AI835" s="54">
        <v>0</v>
      </c>
      <c r="AJ835" s="54">
        <v>0</v>
      </c>
      <c r="AK835" s="54">
        <v>0</v>
      </c>
      <c r="AL835" s="54">
        <v>0</v>
      </c>
      <c r="AM835" s="54" t="str">
        <f>I835-J835-K835-L835-M835-N835-O835-P835-Q835-R835-S835-T835-U835-V835-W835-X835-Y835-Z835-AA835-AB835-AC835-AD835-AE835-AF835-AG835+AH835-AI835+AJ835+AK835-AL835</f>
        <v>0</v>
      </c>
      <c r="AN835" s="54"/>
      <c r="AO835" s="27"/>
    </row>
    <row r="836" spans="1:41">
      <c r="A836" s="44">
        <v>808</v>
      </c>
      <c r="B836" s="47" t="s">
        <v>3306</v>
      </c>
      <c r="C836" s="48" t="s">
        <v>3307</v>
      </c>
      <c r="D836" s="52" t="s">
        <v>73</v>
      </c>
      <c r="E836" s="52" t="s">
        <v>3181</v>
      </c>
      <c r="F836" s="55" t="s">
        <v>3308</v>
      </c>
      <c r="G836" s="51">
        <v>4</v>
      </c>
      <c r="H836" s="52" t="s">
        <v>3309</v>
      </c>
      <c r="I836" s="54">
        <v>953000</v>
      </c>
      <c r="J836" s="54">
        <v>0</v>
      </c>
      <c r="K836" s="54">
        <v>25000</v>
      </c>
      <c r="L836" s="54">
        <v>0</v>
      </c>
      <c r="M836" s="54">
        <v>0</v>
      </c>
      <c r="N836" s="54">
        <v>0</v>
      </c>
      <c r="O836" s="54">
        <v>0</v>
      </c>
      <c r="P836" s="54">
        <v>0</v>
      </c>
      <c r="Q836" s="54">
        <v>0</v>
      </c>
      <c r="R836" s="54">
        <v>0</v>
      </c>
      <c r="S836" s="54">
        <v>0</v>
      </c>
      <c r="T836" s="54">
        <v>0</v>
      </c>
      <c r="U836" s="54">
        <v>1587</v>
      </c>
      <c r="V836" s="54">
        <v>0</v>
      </c>
      <c r="W836" s="54">
        <v>0</v>
      </c>
      <c r="X836" s="54">
        <v>0</v>
      </c>
      <c r="Y836" s="54">
        <v>0</v>
      </c>
      <c r="Z836" s="54">
        <v>0</v>
      </c>
      <c r="AA836" s="54">
        <v>0</v>
      </c>
      <c r="AB836" s="54">
        <v>0</v>
      </c>
      <c r="AC836" s="54">
        <v>0</v>
      </c>
      <c r="AD836" s="54">
        <v>0</v>
      </c>
      <c r="AE836" s="54">
        <v>0</v>
      </c>
      <c r="AF836" s="54">
        <v>0</v>
      </c>
      <c r="AG836" s="54">
        <v>0</v>
      </c>
      <c r="AH836" s="54">
        <v>0</v>
      </c>
      <c r="AI836" s="54">
        <v>0</v>
      </c>
      <c r="AJ836" s="54">
        <v>0</v>
      </c>
      <c r="AK836" s="54">
        <v>0</v>
      </c>
      <c r="AL836" s="54">
        <v>0</v>
      </c>
      <c r="AM836" s="54" t="str">
        <f>I836-J836-K836-L836-M836-N836-O836-P836-Q836-R836-S836-T836-U836-V836-W836-X836-Y836-Z836-AA836-AB836-AC836-AD836-AE836-AF836-AG836+AH836-AI836+AJ836+AK836-AL836</f>
        <v>0</v>
      </c>
      <c r="AN836" s="54"/>
      <c r="AO836" s="27"/>
    </row>
    <row r="837" spans="1:41">
      <c r="A837" s="44">
        <v>809</v>
      </c>
      <c r="B837" s="47" t="s">
        <v>3310</v>
      </c>
      <c r="C837" s="48" t="s">
        <v>3311</v>
      </c>
      <c r="D837" s="52" t="s">
        <v>73</v>
      </c>
      <c r="E837" s="52" t="s">
        <v>3181</v>
      </c>
      <c r="F837" s="55" t="s">
        <v>3216</v>
      </c>
      <c r="G837" s="51">
        <v>6</v>
      </c>
      <c r="H837" s="52" t="s">
        <v>3312</v>
      </c>
      <c r="I837" s="54">
        <v>934000</v>
      </c>
      <c r="J837" s="54">
        <v>0</v>
      </c>
      <c r="K837" s="54">
        <v>31000</v>
      </c>
      <c r="L837" s="54">
        <v>0</v>
      </c>
      <c r="M837" s="54">
        <v>0</v>
      </c>
      <c r="N837" s="54">
        <v>0</v>
      </c>
      <c r="O837" s="54">
        <v>0</v>
      </c>
      <c r="P837" s="54">
        <v>0</v>
      </c>
      <c r="Q837" s="54">
        <v>0</v>
      </c>
      <c r="R837" s="54">
        <v>0</v>
      </c>
      <c r="S837" s="54">
        <v>0</v>
      </c>
      <c r="T837" s="54">
        <v>0</v>
      </c>
      <c r="U837" s="54">
        <v>1968</v>
      </c>
      <c r="V837" s="54">
        <v>0</v>
      </c>
      <c r="W837" s="54">
        <v>0</v>
      </c>
      <c r="X837" s="54">
        <v>0</v>
      </c>
      <c r="Y837" s="54">
        <v>0</v>
      </c>
      <c r="Z837" s="54">
        <v>0</v>
      </c>
      <c r="AA837" s="54">
        <v>0</v>
      </c>
      <c r="AB837" s="54">
        <v>0</v>
      </c>
      <c r="AC837" s="54">
        <v>0</v>
      </c>
      <c r="AD837" s="54">
        <v>0</v>
      </c>
      <c r="AE837" s="54">
        <v>0</v>
      </c>
      <c r="AF837" s="54">
        <v>0</v>
      </c>
      <c r="AG837" s="54">
        <v>0</v>
      </c>
      <c r="AH837" s="54">
        <v>0</v>
      </c>
      <c r="AI837" s="54">
        <v>0</v>
      </c>
      <c r="AJ837" s="54">
        <v>0</v>
      </c>
      <c r="AK837" s="54">
        <v>0</v>
      </c>
      <c r="AL837" s="54">
        <v>0</v>
      </c>
      <c r="AM837" s="54" t="str">
        <f>I837-J837-K837-L837-M837-N837-O837-P837-Q837-R837-S837-T837-U837-V837-W837-X837-Y837-Z837-AA837-AB837-AC837-AD837-AE837-AF837-AG837+AH837-AI837+AJ837+AK837-AL837</f>
        <v>0</v>
      </c>
      <c r="AN837" s="54"/>
      <c r="AO837" s="27"/>
    </row>
    <row r="838" spans="1:41">
      <c r="A838" s="44">
        <v>810</v>
      </c>
      <c r="B838" s="47" t="s">
        <v>3313</v>
      </c>
      <c r="C838" s="48" t="s">
        <v>3314</v>
      </c>
      <c r="D838" s="52" t="s">
        <v>73</v>
      </c>
      <c r="E838" s="52" t="s">
        <v>3181</v>
      </c>
      <c r="F838" s="55" t="s">
        <v>3315</v>
      </c>
      <c r="G838" s="51">
        <v>3</v>
      </c>
      <c r="H838" s="52" t="s">
        <v>3316</v>
      </c>
      <c r="I838" s="54">
        <v>320000</v>
      </c>
      <c r="J838" s="54">
        <v>0</v>
      </c>
      <c r="K838" s="54">
        <v>22000</v>
      </c>
      <c r="L838" s="54">
        <v>0</v>
      </c>
      <c r="M838" s="54">
        <v>0</v>
      </c>
      <c r="N838" s="54">
        <v>0</v>
      </c>
      <c r="O838" s="54">
        <v>0</v>
      </c>
      <c r="P838" s="54">
        <v>0</v>
      </c>
      <c r="Q838" s="54">
        <v>0</v>
      </c>
      <c r="R838" s="54">
        <v>0</v>
      </c>
      <c r="S838" s="54">
        <v>0</v>
      </c>
      <c r="T838" s="54">
        <v>0</v>
      </c>
      <c r="U838" s="54">
        <v>1397</v>
      </c>
      <c r="V838" s="54">
        <v>0</v>
      </c>
      <c r="W838" s="54">
        <v>0</v>
      </c>
      <c r="X838" s="54">
        <v>0</v>
      </c>
      <c r="Y838" s="54">
        <v>0</v>
      </c>
      <c r="Z838" s="54">
        <v>0</v>
      </c>
      <c r="AA838" s="54">
        <v>0</v>
      </c>
      <c r="AB838" s="54">
        <v>0</v>
      </c>
      <c r="AC838" s="54">
        <v>0</v>
      </c>
      <c r="AD838" s="54">
        <v>0</v>
      </c>
      <c r="AE838" s="54">
        <v>0</v>
      </c>
      <c r="AF838" s="54">
        <v>0</v>
      </c>
      <c r="AG838" s="54">
        <v>0</v>
      </c>
      <c r="AH838" s="54">
        <v>0</v>
      </c>
      <c r="AI838" s="54">
        <v>0</v>
      </c>
      <c r="AJ838" s="54">
        <v>0</v>
      </c>
      <c r="AK838" s="54">
        <v>0</v>
      </c>
      <c r="AL838" s="54">
        <v>0</v>
      </c>
      <c r="AM838" s="54" t="str">
        <f>I838-J838-K838-L838-M838-N838-O838-P838-Q838-R838-S838-T838-U838-V838-W838-X838-Y838-Z838-AA838-AB838-AC838-AD838-AE838-AF838-AG838+AH838-AI838+AJ838+AK838-AL838</f>
        <v>0</v>
      </c>
      <c r="AN838" s="54"/>
      <c r="AO838" s="27"/>
    </row>
    <row r="839" spans="1:41">
      <c r="A839" s="44">
        <v>811</v>
      </c>
      <c r="B839" s="47" t="s">
        <v>3317</v>
      </c>
      <c r="C839" s="48" t="s">
        <v>3318</v>
      </c>
      <c r="D839" s="52" t="s">
        <v>73</v>
      </c>
      <c r="E839" s="52" t="s">
        <v>3181</v>
      </c>
      <c r="F839" s="55" t="s">
        <v>3319</v>
      </c>
      <c r="G839" s="51">
        <v>6</v>
      </c>
      <c r="H839" s="52" t="s">
        <v>3320</v>
      </c>
      <c r="I839" s="54">
        <v>934000</v>
      </c>
      <c r="J839" s="54">
        <v>0</v>
      </c>
      <c r="K839" s="54">
        <v>31000</v>
      </c>
      <c r="L839" s="54">
        <v>0</v>
      </c>
      <c r="M839" s="54">
        <v>0</v>
      </c>
      <c r="N839" s="54">
        <v>0</v>
      </c>
      <c r="O839" s="54">
        <v>0</v>
      </c>
      <c r="P839" s="54">
        <v>0</v>
      </c>
      <c r="Q839" s="54">
        <v>0</v>
      </c>
      <c r="R839" s="54">
        <v>0</v>
      </c>
      <c r="S839" s="54">
        <v>0</v>
      </c>
      <c r="T839" s="54">
        <v>0</v>
      </c>
      <c r="U839" s="54">
        <v>1968</v>
      </c>
      <c r="V839" s="54">
        <v>0</v>
      </c>
      <c r="W839" s="54">
        <v>0</v>
      </c>
      <c r="X839" s="54">
        <v>0</v>
      </c>
      <c r="Y839" s="54">
        <v>0</v>
      </c>
      <c r="Z839" s="54">
        <v>0</v>
      </c>
      <c r="AA839" s="54">
        <v>0</v>
      </c>
      <c r="AB839" s="54">
        <v>0</v>
      </c>
      <c r="AC839" s="54">
        <v>0</v>
      </c>
      <c r="AD839" s="54">
        <v>0</v>
      </c>
      <c r="AE839" s="54">
        <v>0</v>
      </c>
      <c r="AF839" s="54">
        <v>0</v>
      </c>
      <c r="AG839" s="54">
        <v>0</v>
      </c>
      <c r="AH839" s="54">
        <v>0</v>
      </c>
      <c r="AI839" s="54">
        <v>0</v>
      </c>
      <c r="AJ839" s="54">
        <v>0</v>
      </c>
      <c r="AK839" s="54">
        <v>0</v>
      </c>
      <c r="AL839" s="54">
        <v>0</v>
      </c>
      <c r="AM839" s="54" t="str">
        <f>I839-J839-K839-L839-M839-N839-O839-P839-Q839-R839-S839-T839-U839-V839-W839-X839-Y839-Z839-AA839-AB839-AC839-AD839-AE839-AF839-AG839+AH839-AI839+AJ839+AK839-AL839</f>
        <v>0</v>
      </c>
      <c r="AN839" s="54"/>
      <c r="AO839" s="27"/>
    </row>
    <row r="840" spans="1:41">
      <c r="A840" s="44">
        <v>812</v>
      </c>
      <c r="B840" s="47" t="s">
        <v>3321</v>
      </c>
      <c r="C840" s="48" t="s">
        <v>3322</v>
      </c>
      <c r="D840" s="52" t="s">
        <v>73</v>
      </c>
      <c r="E840" s="52" t="s">
        <v>3181</v>
      </c>
      <c r="F840" s="55" t="s">
        <v>3323</v>
      </c>
      <c r="G840" s="51">
        <v>6</v>
      </c>
      <c r="H840" s="52" t="s">
        <v>3324</v>
      </c>
      <c r="I840" s="54">
        <v>1164000</v>
      </c>
      <c r="J840" s="54">
        <v>0</v>
      </c>
      <c r="K840" s="54">
        <v>31000</v>
      </c>
      <c r="L840" s="54">
        <v>0</v>
      </c>
      <c r="M840" s="54">
        <v>0</v>
      </c>
      <c r="N840" s="54">
        <v>0</v>
      </c>
      <c r="O840" s="54">
        <v>0</v>
      </c>
      <c r="P840" s="54">
        <v>0</v>
      </c>
      <c r="Q840" s="54">
        <v>0</v>
      </c>
      <c r="R840" s="54">
        <v>0</v>
      </c>
      <c r="S840" s="54">
        <v>0</v>
      </c>
      <c r="T840" s="54">
        <v>0</v>
      </c>
      <c r="U840" s="54">
        <v>1968</v>
      </c>
      <c r="V840" s="54">
        <v>0</v>
      </c>
      <c r="W840" s="54">
        <v>0</v>
      </c>
      <c r="X840" s="54">
        <v>0</v>
      </c>
      <c r="Y840" s="54">
        <v>0</v>
      </c>
      <c r="Z840" s="54">
        <v>0</v>
      </c>
      <c r="AA840" s="54">
        <v>0</v>
      </c>
      <c r="AB840" s="54">
        <v>0</v>
      </c>
      <c r="AC840" s="54">
        <v>0</v>
      </c>
      <c r="AD840" s="54">
        <v>0</v>
      </c>
      <c r="AE840" s="54">
        <v>0</v>
      </c>
      <c r="AF840" s="54">
        <v>0</v>
      </c>
      <c r="AG840" s="54">
        <v>0</v>
      </c>
      <c r="AH840" s="54">
        <v>0</v>
      </c>
      <c r="AI840" s="54">
        <v>0</v>
      </c>
      <c r="AJ840" s="54">
        <v>0</v>
      </c>
      <c r="AK840" s="54">
        <v>0</v>
      </c>
      <c r="AL840" s="54">
        <v>0</v>
      </c>
      <c r="AM840" s="54" t="str">
        <f>I840-J840-K840-L840-M840-N840-O840-P840-Q840-R840-S840-T840-U840-V840-W840-X840-Y840-Z840-AA840-AB840-AC840-AD840-AE840-AF840-AG840+AH840-AI840+AJ840+AK840-AL840</f>
        <v>0</v>
      </c>
      <c r="AN840" s="54"/>
      <c r="AO840" s="27"/>
    </row>
    <row r="841" spans="1:41">
      <c r="A841" s="44">
        <v>813</v>
      </c>
      <c r="B841" s="47" t="s">
        <v>3325</v>
      </c>
      <c r="C841" s="48" t="s">
        <v>3326</v>
      </c>
      <c r="D841" s="52" t="s">
        <v>62</v>
      </c>
      <c r="E841" s="52" t="s">
        <v>3181</v>
      </c>
      <c r="F841" s="55" t="s">
        <v>3327</v>
      </c>
      <c r="G841" s="51">
        <v>5.8</v>
      </c>
      <c r="H841" s="52" t="s">
        <v>3328</v>
      </c>
      <c r="I841" s="54">
        <v>0</v>
      </c>
      <c r="J841" s="54">
        <v>0</v>
      </c>
      <c r="K841" s="54">
        <v>31000</v>
      </c>
      <c r="L841" s="54">
        <v>0</v>
      </c>
      <c r="M841" s="54">
        <v>0</v>
      </c>
      <c r="N841" s="54">
        <v>0</v>
      </c>
      <c r="O841" s="54">
        <v>0</v>
      </c>
      <c r="P841" s="54">
        <v>0</v>
      </c>
      <c r="Q841" s="54">
        <v>0</v>
      </c>
      <c r="R841" s="54">
        <v>0</v>
      </c>
      <c r="S841" s="54">
        <v>0</v>
      </c>
      <c r="T841" s="54">
        <v>0</v>
      </c>
      <c r="U841" s="54">
        <v>1968</v>
      </c>
      <c r="V841" s="54">
        <v>0</v>
      </c>
      <c r="W841" s="54">
        <v>0</v>
      </c>
      <c r="X841" s="54">
        <v>0</v>
      </c>
      <c r="Y841" s="54">
        <v>15500</v>
      </c>
      <c r="Z841" s="54">
        <v>0</v>
      </c>
      <c r="AA841" s="54">
        <v>0</v>
      </c>
      <c r="AB841" s="54">
        <v>0</v>
      </c>
      <c r="AC841" s="54">
        <v>0</v>
      </c>
      <c r="AD841" s="54">
        <v>0</v>
      </c>
      <c r="AE841" s="54">
        <v>0</v>
      </c>
      <c r="AF841" s="54">
        <v>0</v>
      </c>
      <c r="AG841" s="54">
        <v>0</v>
      </c>
      <c r="AH841" s="54">
        <v>0</v>
      </c>
      <c r="AI841" s="54">
        <v>0</v>
      </c>
      <c r="AJ841" s="54">
        <v>0</v>
      </c>
      <c r="AK841" s="54">
        <v>0</v>
      </c>
      <c r="AL841" s="54">
        <v>0</v>
      </c>
      <c r="AM841" s="54" t="str">
        <f>I841-J841-K841-L841-M841-N841-O841-P841-Q841-R841-S841-T841-U841-V841-W841-X841-Y841-Z841-AA841-AB841-AC841-AD841-AE841-AF841-AG841+AH841-AI841+AJ841+AK841-AL841</f>
        <v>0</v>
      </c>
      <c r="AN841" s="54"/>
      <c r="AO841" s="27"/>
    </row>
    <row r="842" spans="1:41">
      <c r="A842" s="44">
        <v>814</v>
      </c>
      <c r="B842" s="47" t="s">
        <v>3329</v>
      </c>
      <c r="C842" s="48" t="s">
        <v>3330</v>
      </c>
      <c r="D842" s="52" t="s">
        <v>73</v>
      </c>
      <c r="E842" s="52" t="s">
        <v>3181</v>
      </c>
      <c r="F842" s="55" t="s">
        <v>3331</v>
      </c>
      <c r="G842" s="51">
        <v>5</v>
      </c>
      <c r="H842" s="52" t="s">
        <v>3332</v>
      </c>
      <c r="I842" s="54">
        <v>1620000</v>
      </c>
      <c r="J842" s="54">
        <v>0</v>
      </c>
      <c r="K842" s="54">
        <v>27000</v>
      </c>
      <c r="L842" s="54">
        <v>0</v>
      </c>
      <c r="M842" s="54">
        <v>0</v>
      </c>
      <c r="N842" s="54">
        <v>0</v>
      </c>
      <c r="O842" s="54">
        <v>0</v>
      </c>
      <c r="P842" s="54">
        <v>0</v>
      </c>
      <c r="Q842" s="54">
        <v>0</v>
      </c>
      <c r="R842" s="54">
        <v>0</v>
      </c>
      <c r="S842" s="54">
        <v>0</v>
      </c>
      <c r="T842" s="54">
        <v>0</v>
      </c>
      <c r="U842" s="54">
        <v>1714</v>
      </c>
      <c r="V842" s="54">
        <v>0</v>
      </c>
      <c r="W842" s="54">
        <v>0</v>
      </c>
      <c r="X842" s="54">
        <v>0</v>
      </c>
      <c r="Y842" s="54">
        <v>0</v>
      </c>
      <c r="Z842" s="54">
        <v>0</v>
      </c>
      <c r="AA842" s="54">
        <v>0</v>
      </c>
      <c r="AB842" s="54">
        <v>0</v>
      </c>
      <c r="AC842" s="54">
        <v>0</v>
      </c>
      <c r="AD842" s="54">
        <v>0</v>
      </c>
      <c r="AE842" s="54">
        <v>0</v>
      </c>
      <c r="AF842" s="54">
        <v>0</v>
      </c>
      <c r="AG842" s="54">
        <v>0</v>
      </c>
      <c r="AH842" s="54">
        <v>0</v>
      </c>
      <c r="AI842" s="54">
        <v>0</v>
      </c>
      <c r="AJ842" s="54">
        <v>0</v>
      </c>
      <c r="AK842" s="54">
        <v>0</v>
      </c>
      <c r="AL842" s="54">
        <v>0</v>
      </c>
      <c r="AM842" s="54" t="str">
        <f>I842-J842-K842-L842-M842-N842-O842-P842-Q842-R842-S842-T842-U842-V842-W842-X842-Y842-Z842-AA842-AB842-AC842-AD842-AE842-AF842-AG842+AH842-AI842+AJ842+AK842-AL842</f>
        <v>0</v>
      </c>
      <c r="AN842" s="54"/>
      <c r="AO842" s="27"/>
    </row>
    <row r="843" spans="1:41">
      <c r="A843" s="44">
        <v>815</v>
      </c>
      <c r="B843" s="47" t="s">
        <v>3333</v>
      </c>
      <c r="C843" s="48" t="s">
        <v>3334</v>
      </c>
      <c r="D843" s="52" t="s">
        <v>73</v>
      </c>
      <c r="E843" s="52" t="s">
        <v>3181</v>
      </c>
      <c r="F843" s="55" t="s">
        <v>3335</v>
      </c>
      <c r="G843" s="51">
        <v>15</v>
      </c>
      <c r="H843" s="52" t="s">
        <v>3336</v>
      </c>
      <c r="I843" s="54">
        <v>4600000</v>
      </c>
      <c r="J843" s="54">
        <v>23000</v>
      </c>
      <c r="K843" s="54">
        <v>60000</v>
      </c>
      <c r="L843" s="54">
        <v>0</v>
      </c>
      <c r="M843" s="54">
        <v>0</v>
      </c>
      <c r="N843" s="54">
        <v>0</v>
      </c>
      <c r="O843" s="54">
        <v>0</v>
      </c>
      <c r="P843" s="54">
        <v>0</v>
      </c>
      <c r="Q843" s="54">
        <v>0</v>
      </c>
      <c r="R843" s="54">
        <v>0</v>
      </c>
      <c r="S843" s="54">
        <v>0</v>
      </c>
      <c r="T843" s="54">
        <v>0</v>
      </c>
      <c r="U843" s="54">
        <v>3810</v>
      </c>
      <c r="V843" s="54">
        <v>0</v>
      </c>
      <c r="W843" s="54">
        <v>0</v>
      </c>
      <c r="X843" s="54">
        <v>0</v>
      </c>
      <c r="Y843" s="54">
        <v>0</v>
      </c>
      <c r="Z843" s="54">
        <v>0</v>
      </c>
      <c r="AA843" s="54">
        <v>0</v>
      </c>
      <c r="AB843" s="54">
        <v>0</v>
      </c>
      <c r="AC843" s="54">
        <v>0</v>
      </c>
      <c r="AD843" s="54">
        <v>0</v>
      </c>
      <c r="AE843" s="54">
        <v>0</v>
      </c>
      <c r="AF843" s="54">
        <v>0</v>
      </c>
      <c r="AG843" s="54">
        <v>0</v>
      </c>
      <c r="AH843" s="54">
        <v>0</v>
      </c>
      <c r="AI843" s="54">
        <v>0</v>
      </c>
      <c r="AJ843" s="54">
        <v>0</v>
      </c>
      <c r="AK843" s="54">
        <v>0</v>
      </c>
      <c r="AL843" s="54">
        <v>0</v>
      </c>
      <c r="AM843" s="54" t="str">
        <f>I843-J843-K843-L843-M843-N843-O843-P843-Q843-R843-S843-T843-U843-V843-W843-X843-Y843-Z843-AA843-AB843-AC843-AD843-AE843-AF843-AG843+AH843-AI843+AJ843+AK843-AL843</f>
        <v>0</v>
      </c>
      <c r="AN843" s="54"/>
      <c r="AO843" s="27"/>
    </row>
    <row r="844" spans="1:41">
      <c r="A844" s="44">
        <v>816</v>
      </c>
      <c r="B844" s="47" t="s">
        <v>3337</v>
      </c>
      <c r="C844" s="48" t="s">
        <v>3338</v>
      </c>
      <c r="D844" s="52" t="s">
        <v>73</v>
      </c>
      <c r="E844" s="52" t="s">
        <v>3181</v>
      </c>
      <c r="F844" s="55" t="s">
        <v>3339</v>
      </c>
      <c r="G844" s="51">
        <v>6</v>
      </c>
      <c r="H844" s="52" t="s">
        <v>3340</v>
      </c>
      <c r="I844" s="54">
        <v>1429000</v>
      </c>
      <c r="J844" s="54">
        <v>0</v>
      </c>
      <c r="K844" s="54">
        <v>31000</v>
      </c>
      <c r="L844" s="54">
        <v>0</v>
      </c>
      <c r="M844" s="54">
        <v>0</v>
      </c>
      <c r="N844" s="54">
        <v>0</v>
      </c>
      <c r="O844" s="54">
        <v>0</v>
      </c>
      <c r="P844" s="54">
        <v>0</v>
      </c>
      <c r="Q844" s="54">
        <v>0</v>
      </c>
      <c r="R844" s="54">
        <v>0</v>
      </c>
      <c r="S844" s="54">
        <v>0</v>
      </c>
      <c r="T844" s="54">
        <v>0</v>
      </c>
      <c r="U844" s="54">
        <v>1968</v>
      </c>
      <c r="V844" s="54">
        <v>0</v>
      </c>
      <c r="W844" s="54">
        <v>0</v>
      </c>
      <c r="X844" s="54">
        <v>0</v>
      </c>
      <c r="Y844" s="54">
        <v>0</v>
      </c>
      <c r="Z844" s="54">
        <v>0</v>
      </c>
      <c r="AA844" s="54">
        <v>0</v>
      </c>
      <c r="AB844" s="54">
        <v>0</v>
      </c>
      <c r="AC844" s="54">
        <v>0</v>
      </c>
      <c r="AD844" s="54">
        <v>0</v>
      </c>
      <c r="AE844" s="54">
        <v>0</v>
      </c>
      <c r="AF844" s="54">
        <v>0</v>
      </c>
      <c r="AG844" s="54">
        <v>0</v>
      </c>
      <c r="AH844" s="54">
        <v>0</v>
      </c>
      <c r="AI844" s="54">
        <v>0</v>
      </c>
      <c r="AJ844" s="54">
        <v>0</v>
      </c>
      <c r="AK844" s="54">
        <v>0</v>
      </c>
      <c r="AL844" s="54">
        <v>0</v>
      </c>
      <c r="AM844" s="54" t="str">
        <f>I844-J844-K844-L844-M844-N844-O844-P844-Q844-R844-S844-T844-U844-V844-W844-X844-Y844-Z844-AA844-AB844-AC844-AD844-AE844-AF844-AG844+AH844-AI844+AJ844+AK844-AL844</f>
        <v>0</v>
      </c>
      <c r="AN844" s="54"/>
      <c r="AO844" s="27"/>
    </row>
    <row r="845" spans="1:41">
      <c r="A845" s="44">
        <v>817</v>
      </c>
      <c r="B845" s="47" t="s">
        <v>3341</v>
      </c>
      <c r="C845" s="48" t="s">
        <v>3342</v>
      </c>
      <c r="D845" s="52" t="s">
        <v>62</v>
      </c>
      <c r="E845" s="52" t="s">
        <v>3181</v>
      </c>
      <c r="F845" s="55" t="s">
        <v>3220</v>
      </c>
      <c r="G845" s="51">
        <v>5.8</v>
      </c>
      <c r="H845" s="52" t="s">
        <v>3343</v>
      </c>
      <c r="I845" s="54">
        <v>0</v>
      </c>
      <c r="J845" s="54">
        <v>0</v>
      </c>
      <c r="K845" s="54">
        <v>31000</v>
      </c>
      <c r="L845" s="54">
        <v>0</v>
      </c>
      <c r="M845" s="54">
        <v>0</v>
      </c>
      <c r="N845" s="54">
        <v>0</v>
      </c>
      <c r="O845" s="54">
        <v>0</v>
      </c>
      <c r="P845" s="54">
        <v>0</v>
      </c>
      <c r="Q845" s="54">
        <v>0</v>
      </c>
      <c r="R845" s="54">
        <v>0</v>
      </c>
      <c r="S845" s="54">
        <v>0</v>
      </c>
      <c r="T845" s="54">
        <v>0</v>
      </c>
      <c r="U845" s="54">
        <v>1968</v>
      </c>
      <c r="V845" s="54">
        <v>0</v>
      </c>
      <c r="W845" s="54">
        <v>0</v>
      </c>
      <c r="X845" s="54">
        <v>0</v>
      </c>
      <c r="Y845" s="54">
        <v>5000</v>
      </c>
      <c r="Z845" s="54">
        <v>0</v>
      </c>
      <c r="AA845" s="54">
        <v>0</v>
      </c>
      <c r="AB845" s="54">
        <v>0</v>
      </c>
      <c r="AC845" s="54">
        <v>0</v>
      </c>
      <c r="AD845" s="54">
        <v>0</v>
      </c>
      <c r="AE845" s="54">
        <v>0</v>
      </c>
      <c r="AF845" s="54">
        <v>0</v>
      </c>
      <c r="AG845" s="54">
        <v>0</v>
      </c>
      <c r="AH845" s="54">
        <v>0</v>
      </c>
      <c r="AI845" s="54">
        <v>0</v>
      </c>
      <c r="AJ845" s="54">
        <v>0</v>
      </c>
      <c r="AK845" s="54">
        <v>0</v>
      </c>
      <c r="AL845" s="54">
        <v>0</v>
      </c>
      <c r="AM845" s="54" t="str">
        <f>I845-J845-K845-L845-M845-N845-O845-P845-Q845-R845-S845-T845-U845-V845-W845-X845-Y845-Z845-AA845-AB845-AC845-AD845-AE845-AF845-AG845+AH845-AI845+AJ845+AK845-AL845</f>
        <v>0</v>
      </c>
      <c r="AN845" s="54"/>
      <c r="AO845" s="27"/>
    </row>
    <row r="846" spans="1:41">
      <c r="A846" s="44">
        <v>818</v>
      </c>
      <c r="B846" s="47" t="s">
        <v>3344</v>
      </c>
      <c r="C846" s="48" t="s">
        <v>3345</v>
      </c>
      <c r="D846" s="52" t="s">
        <v>73</v>
      </c>
      <c r="E846" s="52" t="s">
        <v>3181</v>
      </c>
      <c r="F846" s="55" t="s">
        <v>2301</v>
      </c>
      <c r="G846" s="51">
        <v>4</v>
      </c>
      <c r="H846" s="52" t="s">
        <v>3346</v>
      </c>
      <c r="I846" s="54">
        <v>1860000</v>
      </c>
      <c r="J846" s="54">
        <v>0</v>
      </c>
      <c r="K846" s="54">
        <v>25000</v>
      </c>
      <c r="L846" s="54">
        <v>0</v>
      </c>
      <c r="M846" s="54">
        <v>0</v>
      </c>
      <c r="N846" s="54">
        <v>0</v>
      </c>
      <c r="O846" s="54">
        <v>0</v>
      </c>
      <c r="P846" s="54">
        <v>0</v>
      </c>
      <c r="Q846" s="54">
        <v>0</v>
      </c>
      <c r="R846" s="54">
        <v>0</v>
      </c>
      <c r="S846" s="54">
        <v>0</v>
      </c>
      <c r="T846" s="54">
        <v>0</v>
      </c>
      <c r="U846" s="54">
        <v>1587</v>
      </c>
      <c r="V846" s="54">
        <v>0</v>
      </c>
      <c r="W846" s="54">
        <v>0</v>
      </c>
      <c r="X846" s="54">
        <v>0</v>
      </c>
      <c r="Y846" s="54">
        <v>0</v>
      </c>
      <c r="Z846" s="54">
        <v>0</v>
      </c>
      <c r="AA846" s="54">
        <v>0</v>
      </c>
      <c r="AB846" s="54">
        <v>0</v>
      </c>
      <c r="AC846" s="54">
        <v>0</v>
      </c>
      <c r="AD846" s="54">
        <v>0</v>
      </c>
      <c r="AE846" s="54">
        <v>0</v>
      </c>
      <c r="AF846" s="54">
        <v>0</v>
      </c>
      <c r="AG846" s="54">
        <v>0</v>
      </c>
      <c r="AH846" s="54">
        <v>0</v>
      </c>
      <c r="AI846" s="54">
        <v>0</v>
      </c>
      <c r="AJ846" s="54">
        <v>0</v>
      </c>
      <c r="AK846" s="54">
        <v>0</v>
      </c>
      <c r="AL846" s="54">
        <v>0</v>
      </c>
      <c r="AM846" s="54" t="str">
        <f>I846-J846-K846-L846-M846-N846-O846-P846-Q846-R846-S846-T846-U846-V846-W846-X846-Y846-Z846-AA846-AB846-AC846-AD846-AE846-AF846-AG846+AH846-AI846+AJ846+AK846-AL846</f>
        <v>0</v>
      </c>
      <c r="AN846" s="54"/>
      <c r="AO846" s="27"/>
    </row>
    <row r="847" spans="1:41">
      <c r="A847" s="44">
        <v>819</v>
      </c>
      <c r="B847" s="47" t="s">
        <v>3347</v>
      </c>
      <c r="C847" s="48" t="s">
        <v>3348</v>
      </c>
      <c r="D847" s="52" t="s">
        <v>73</v>
      </c>
      <c r="E847" s="52" t="s">
        <v>3181</v>
      </c>
      <c r="F847" s="55" t="s">
        <v>3349</v>
      </c>
      <c r="G847" s="51">
        <v>6</v>
      </c>
      <c r="H847" s="52" t="s">
        <v>3350</v>
      </c>
      <c r="I847" s="54">
        <v>1429000</v>
      </c>
      <c r="J847" s="54">
        <v>0</v>
      </c>
      <c r="K847" s="54">
        <v>31000</v>
      </c>
      <c r="L847" s="54">
        <v>0</v>
      </c>
      <c r="M847" s="54">
        <v>0</v>
      </c>
      <c r="N847" s="54">
        <v>0</v>
      </c>
      <c r="O847" s="54">
        <v>0</v>
      </c>
      <c r="P847" s="54">
        <v>0</v>
      </c>
      <c r="Q847" s="54">
        <v>0</v>
      </c>
      <c r="R847" s="54">
        <v>0</v>
      </c>
      <c r="S847" s="54">
        <v>0</v>
      </c>
      <c r="T847" s="54">
        <v>0</v>
      </c>
      <c r="U847" s="54">
        <v>1968</v>
      </c>
      <c r="V847" s="54">
        <v>0</v>
      </c>
      <c r="W847" s="54">
        <v>0</v>
      </c>
      <c r="X847" s="54">
        <v>0</v>
      </c>
      <c r="Y847" s="54">
        <v>0</v>
      </c>
      <c r="Z847" s="54">
        <v>0</v>
      </c>
      <c r="AA847" s="54">
        <v>0</v>
      </c>
      <c r="AB847" s="54">
        <v>0</v>
      </c>
      <c r="AC847" s="54">
        <v>0</v>
      </c>
      <c r="AD847" s="54">
        <v>0</v>
      </c>
      <c r="AE847" s="54">
        <v>0</v>
      </c>
      <c r="AF847" s="54">
        <v>0</v>
      </c>
      <c r="AG847" s="54">
        <v>0</v>
      </c>
      <c r="AH847" s="54">
        <v>0</v>
      </c>
      <c r="AI847" s="54">
        <v>0</v>
      </c>
      <c r="AJ847" s="54">
        <v>0</v>
      </c>
      <c r="AK847" s="54">
        <v>0</v>
      </c>
      <c r="AL847" s="54">
        <v>0</v>
      </c>
      <c r="AM847" s="54" t="str">
        <f>I847-J847-K847-L847-M847-N847-O847-P847-Q847-R847-S847-T847-U847-V847-W847-X847-Y847-Z847-AA847-AB847-AC847-AD847-AE847-AF847-AG847+AH847-AI847+AJ847+AK847-AL847</f>
        <v>0</v>
      </c>
      <c r="AN847" s="54"/>
      <c r="AO847" s="27"/>
    </row>
    <row r="848" spans="1:41">
      <c r="A848" s="44">
        <v>820</v>
      </c>
      <c r="B848" s="47" t="s">
        <v>3351</v>
      </c>
      <c r="C848" s="48" t="s">
        <v>3352</v>
      </c>
      <c r="D848" s="52" t="s">
        <v>73</v>
      </c>
      <c r="E848" s="52" t="s">
        <v>3181</v>
      </c>
      <c r="F848" s="55" t="s">
        <v>1387</v>
      </c>
      <c r="G848" s="51">
        <v>5.8</v>
      </c>
      <c r="H848" s="52" t="s">
        <v>3353</v>
      </c>
      <c r="I848" s="54">
        <v>634000</v>
      </c>
      <c r="J848" s="54">
        <v>0</v>
      </c>
      <c r="K848" s="54">
        <v>31000</v>
      </c>
      <c r="L848" s="54">
        <v>0</v>
      </c>
      <c r="M848" s="54">
        <v>0</v>
      </c>
      <c r="N848" s="54">
        <v>0</v>
      </c>
      <c r="O848" s="54">
        <v>0</v>
      </c>
      <c r="P848" s="54">
        <v>0</v>
      </c>
      <c r="Q848" s="54">
        <v>0</v>
      </c>
      <c r="R848" s="54">
        <v>0</v>
      </c>
      <c r="S848" s="54">
        <v>0</v>
      </c>
      <c r="T848" s="54">
        <v>0</v>
      </c>
      <c r="U848" s="54">
        <v>1968</v>
      </c>
      <c r="V848" s="54">
        <v>0</v>
      </c>
      <c r="W848" s="54">
        <v>0</v>
      </c>
      <c r="X848" s="54">
        <v>0</v>
      </c>
      <c r="Y848" s="54">
        <v>0</v>
      </c>
      <c r="Z848" s="54">
        <v>0</v>
      </c>
      <c r="AA848" s="54">
        <v>0</v>
      </c>
      <c r="AB848" s="54">
        <v>0</v>
      </c>
      <c r="AC848" s="54">
        <v>0</v>
      </c>
      <c r="AD848" s="54">
        <v>0</v>
      </c>
      <c r="AE848" s="54">
        <v>0</v>
      </c>
      <c r="AF848" s="54">
        <v>0</v>
      </c>
      <c r="AG848" s="54">
        <v>0</v>
      </c>
      <c r="AH848" s="54">
        <v>0</v>
      </c>
      <c r="AI848" s="54">
        <v>0</v>
      </c>
      <c r="AJ848" s="54">
        <v>0</v>
      </c>
      <c r="AK848" s="54">
        <v>0</v>
      </c>
      <c r="AL848" s="54">
        <v>0</v>
      </c>
      <c r="AM848" s="54" t="str">
        <f>I848-J848-K848-L848-M848-N848-O848-P848-Q848-R848-S848-T848-U848-V848-W848-X848-Y848-Z848-AA848-AB848-AC848-AD848-AE848-AF848-AG848+AH848-AI848+AJ848+AK848-AL848</f>
        <v>0</v>
      </c>
      <c r="AN848" s="54"/>
      <c r="AO848" s="27"/>
    </row>
    <row r="849" spans="1:41">
      <c r="A849" s="44">
        <v>821</v>
      </c>
      <c r="B849" s="47" t="s">
        <v>3354</v>
      </c>
      <c r="C849" s="48" t="s">
        <v>3355</v>
      </c>
      <c r="D849" s="52" t="s">
        <v>73</v>
      </c>
      <c r="E849" s="52" t="s">
        <v>3181</v>
      </c>
      <c r="F849" s="55" t="s">
        <v>3356</v>
      </c>
      <c r="G849" s="51">
        <v>5.2</v>
      </c>
      <c r="H849" s="52" t="s">
        <v>3357</v>
      </c>
      <c r="I849" s="54">
        <v>805000</v>
      </c>
      <c r="J849" s="54">
        <v>0</v>
      </c>
      <c r="K849" s="54">
        <v>31000</v>
      </c>
      <c r="L849" s="54">
        <v>0</v>
      </c>
      <c r="M849" s="54">
        <v>0</v>
      </c>
      <c r="N849" s="54">
        <v>0</v>
      </c>
      <c r="O849" s="54">
        <v>0</v>
      </c>
      <c r="P849" s="54">
        <v>0</v>
      </c>
      <c r="Q849" s="54">
        <v>0</v>
      </c>
      <c r="R849" s="54">
        <v>0</v>
      </c>
      <c r="S849" s="54">
        <v>0</v>
      </c>
      <c r="T849" s="54">
        <v>0</v>
      </c>
      <c r="U849" s="54">
        <v>1968</v>
      </c>
      <c r="V849" s="54">
        <v>0</v>
      </c>
      <c r="W849" s="54">
        <v>0</v>
      </c>
      <c r="X849" s="54">
        <v>0</v>
      </c>
      <c r="Y849" s="54">
        <v>0</v>
      </c>
      <c r="Z849" s="54">
        <v>0</v>
      </c>
      <c r="AA849" s="54">
        <v>0</v>
      </c>
      <c r="AB849" s="54">
        <v>0</v>
      </c>
      <c r="AC849" s="54">
        <v>0</v>
      </c>
      <c r="AD849" s="54">
        <v>0</v>
      </c>
      <c r="AE849" s="54">
        <v>0</v>
      </c>
      <c r="AF849" s="54">
        <v>0</v>
      </c>
      <c r="AG849" s="54">
        <v>0</v>
      </c>
      <c r="AH849" s="54">
        <v>0</v>
      </c>
      <c r="AI849" s="54">
        <v>0</v>
      </c>
      <c r="AJ849" s="54">
        <v>0</v>
      </c>
      <c r="AK849" s="54">
        <v>0</v>
      </c>
      <c r="AL849" s="54">
        <v>0</v>
      </c>
      <c r="AM849" s="54" t="str">
        <f>I849-J849-K849-L849-M849-N849-O849-P849-Q849-R849-S849-T849-U849-V849-W849-X849-Y849-Z849-AA849-AB849-AC849-AD849-AE849-AF849-AG849+AH849-AI849+AJ849+AK849-AL849</f>
        <v>0</v>
      </c>
      <c r="AN849" s="54"/>
      <c r="AO849" s="27"/>
    </row>
    <row r="850" spans="1:41">
      <c r="A850" s="44">
        <v>822</v>
      </c>
      <c r="B850" s="47" t="s">
        <v>3358</v>
      </c>
      <c r="C850" s="48" t="s">
        <v>3359</v>
      </c>
      <c r="D850" s="52" t="s">
        <v>73</v>
      </c>
      <c r="E850" s="52" t="s">
        <v>3181</v>
      </c>
      <c r="F850" s="55" t="s">
        <v>3360</v>
      </c>
      <c r="G850" s="51">
        <v>2</v>
      </c>
      <c r="H850" s="52" t="s">
        <v>3361</v>
      </c>
      <c r="I850" s="54">
        <v>144000</v>
      </c>
      <c r="J850" s="54">
        <v>0</v>
      </c>
      <c r="K850" s="54">
        <v>22000</v>
      </c>
      <c r="L850" s="54">
        <v>0</v>
      </c>
      <c r="M850" s="54">
        <v>0</v>
      </c>
      <c r="N850" s="54">
        <v>0</v>
      </c>
      <c r="O850" s="54">
        <v>0</v>
      </c>
      <c r="P850" s="54">
        <v>0</v>
      </c>
      <c r="Q850" s="54">
        <v>0</v>
      </c>
      <c r="R850" s="54">
        <v>0</v>
      </c>
      <c r="S850" s="54">
        <v>0</v>
      </c>
      <c r="T850" s="54">
        <v>0</v>
      </c>
      <c r="U850" s="54">
        <v>1397</v>
      </c>
      <c r="V850" s="54">
        <v>0</v>
      </c>
      <c r="W850" s="54">
        <v>0</v>
      </c>
      <c r="X850" s="54">
        <v>0</v>
      </c>
      <c r="Y850" s="54">
        <v>0</v>
      </c>
      <c r="Z850" s="54">
        <v>0</v>
      </c>
      <c r="AA850" s="54">
        <v>0</v>
      </c>
      <c r="AB850" s="54">
        <v>0</v>
      </c>
      <c r="AC850" s="54">
        <v>0</v>
      </c>
      <c r="AD850" s="54">
        <v>0</v>
      </c>
      <c r="AE850" s="54">
        <v>0</v>
      </c>
      <c r="AF850" s="54">
        <v>0</v>
      </c>
      <c r="AG850" s="54">
        <v>0</v>
      </c>
      <c r="AH850" s="54">
        <v>0</v>
      </c>
      <c r="AI850" s="54">
        <v>0</v>
      </c>
      <c r="AJ850" s="54">
        <v>0</v>
      </c>
      <c r="AK850" s="54">
        <v>0</v>
      </c>
      <c r="AL850" s="54">
        <v>0</v>
      </c>
      <c r="AM850" s="54" t="str">
        <f>I850-J850-K850-L850-M850-N850-O850-P850-Q850-R850-S850-T850-U850-V850-W850-X850-Y850-Z850-AA850-AB850-AC850-AD850-AE850-AF850-AG850+AH850-AI850+AJ850+AK850-AL850</f>
        <v>0</v>
      </c>
      <c r="AN850" s="54"/>
      <c r="AO850" s="27"/>
    </row>
    <row r="851" spans="1:41">
      <c r="A851" s="44">
        <v>823</v>
      </c>
      <c r="B851" s="47" t="s">
        <v>3362</v>
      </c>
      <c r="C851" s="48" t="s">
        <v>3363</v>
      </c>
      <c r="D851" s="52" t="s">
        <v>73</v>
      </c>
      <c r="E851" s="52" t="s">
        <v>3364</v>
      </c>
      <c r="F851" s="55" t="s">
        <v>3365</v>
      </c>
      <c r="G851" s="51">
        <v>2</v>
      </c>
      <c r="H851" s="52" t="s">
        <v>3366</v>
      </c>
      <c r="I851" s="54">
        <v>144000</v>
      </c>
      <c r="J851" s="54">
        <v>0</v>
      </c>
      <c r="K851" s="54">
        <v>22000</v>
      </c>
      <c r="L851" s="54">
        <v>0</v>
      </c>
      <c r="M851" s="54">
        <v>0</v>
      </c>
      <c r="N851" s="54">
        <v>0</v>
      </c>
      <c r="O851" s="54">
        <v>0</v>
      </c>
      <c r="P851" s="54">
        <v>0</v>
      </c>
      <c r="Q851" s="54">
        <v>0</v>
      </c>
      <c r="R851" s="54">
        <v>0</v>
      </c>
      <c r="S851" s="54">
        <v>0</v>
      </c>
      <c r="T851" s="54">
        <v>0</v>
      </c>
      <c r="U851" s="54">
        <v>1397</v>
      </c>
      <c r="V851" s="54">
        <v>0</v>
      </c>
      <c r="W851" s="54">
        <v>0</v>
      </c>
      <c r="X851" s="54">
        <v>0</v>
      </c>
      <c r="Y851" s="54">
        <v>0</v>
      </c>
      <c r="Z851" s="54">
        <v>0</v>
      </c>
      <c r="AA851" s="54">
        <v>0</v>
      </c>
      <c r="AB851" s="54">
        <v>0</v>
      </c>
      <c r="AC851" s="54">
        <v>0</v>
      </c>
      <c r="AD851" s="54">
        <v>0</v>
      </c>
      <c r="AE851" s="54">
        <v>0</v>
      </c>
      <c r="AF851" s="54">
        <v>0</v>
      </c>
      <c r="AG851" s="54">
        <v>0</v>
      </c>
      <c r="AH851" s="54">
        <v>0</v>
      </c>
      <c r="AI851" s="54">
        <v>0</v>
      </c>
      <c r="AJ851" s="54">
        <v>0</v>
      </c>
      <c r="AK851" s="54">
        <v>0</v>
      </c>
      <c r="AL851" s="54">
        <v>0</v>
      </c>
      <c r="AM851" s="54" t="str">
        <f>I851-J851-K851-L851-M851-N851-O851-P851-Q851-R851-S851-T851-U851-V851-W851-X851-Y851-Z851-AA851-AB851-AC851-AD851-AE851-AF851-AG851+AH851-AI851+AJ851+AK851-AL851</f>
        <v>0</v>
      </c>
      <c r="AN851" s="54"/>
      <c r="AO851" s="27"/>
    </row>
    <row r="852" spans="1:41">
      <c r="A852" s="44">
        <v>824</v>
      </c>
      <c r="B852" s="47" t="s">
        <v>3367</v>
      </c>
      <c r="C852" s="48" t="s">
        <v>3368</v>
      </c>
      <c r="D852" s="52" t="s">
        <v>73</v>
      </c>
      <c r="E852" s="52" t="s">
        <v>3364</v>
      </c>
      <c r="F852" s="55" t="s">
        <v>3369</v>
      </c>
      <c r="G852" s="51">
        <v>3</v>
      </c>
      <c r="H852" s="52" t="s">
        <v>3370</v>
      </c>
      <c r="I852" s="54">
        <v>334000</v>
      </c>
      <c r="J852" s="54">
        <v>0</v>
      </c>
      <c r="K852" s="54">
        <v>22000</v>
      </c>
      <c r="L852" s="54">
        <v>0</v>
      </c>
      <c r="M852" s="54">
        <v>0</v>
      </c>
      <c r="N852" s="54">
        <v>0</v>
      </c>
      <c r="O852" s="54">
        <v>0</v>
      </c>
      <c r="P852" s="54">
        <v>0</v>
      </c>
      <c r="Q852" s="54">
        <v>0</v>
      </c>
      <c r="R852" s="54">
        <v>0</v>
      </c>
      <c r="S852" s="54">
        <v>0</v>
      </c>
      <c r="T852" s="54">
        <v>0</v>
      </c>
      <c r="U852" s="54">
        <v>1397</v>
      </c>
      <c r="V852" s="54">
        <v>0</v>
      </c>
      <c r="W852" s="54">
        <v>0</v>
      </c>
      <c r="X852" s="54">
        <v>0</v>
      </c>
      <c r="Y852" s="54">
        <v>0</v>
      </c>
      <c r="Z852" s="54">
        <v>0</v>
      </c>
      <c r="AA852" s="54">
        <v>0</v>
      </c>
      <c r="AB852" s="54">
        <v>0</v>
      </c>
      <c r="AC852" s="54">
        <v>0</v>
      </c>
      <c r="AD852" s="54">
        <v>0</v>
      </c>
      <c r="AE852" s="54">
        <v>0</v>
      </c>
      <c r="AF852" s="54">
        <v>0</v>
      </c>
      <c r="AG852" s="54">
        <v>0</v>
      </c>
      <c r="AH852" s="54">
        <v>0</v>
      </c>
      <c r="AI852" s="54">
        <v>0</v>
      </c>
      <c r="AJ852" s="54">
        <v>0</v>
      </c>
      <c r="AK852" s="54">
        <v>0</v>
      </c>
      <c r="AL852" s="54">
        <v>0</v>
      </c>
      <c r="AM852" s="54" t="str">
        <f>I852-J852-K852-L852-M852-N852-O852-P852-Q852-R852-S852-T852-U852-V852-W852-X852-Y852-Z852-AA852-AB852-AC852-AD852-AE852-AF852-AG852+AH852-AI852+AJ852+AK852-AL852</f>
        <v>0</v>
      </c>
      <c r="AN852" s="54"/>
      <c r="AO852" s="27"/>
    </row>
    <row r="853" spans="1:41">
      <c r="A853" s="44">
        <v>825</v>
      </c>
      <c r="B853" s="47" t="s">
        <v>3371</v>
      </c>
      <c r="C853" s="48" t="s">
        <v>3372</v>
      </c>
      <c r="D853" s="52" t="s">
        <v>73</v>
      </c>
      <c r="E853" s="52" t="s">
        <v>3364</v>
      </c>
      <c r="F853" s="55" t="s">
        <v>3373</v>
      </c>
      <c r="G853" s="51">
        <v>2</v>
      </c>
      <c r="H853" s="52" t="s">
        <v>3374</v>
      </c>
      <c r="I853" s="54">
        <v>434000</v>
      </c>
      <c r="J853" s="54">
        <v>0</v>
      </c>
      <c r="K853" s="54">
        <v>22000</v>
      </c>
      <c r="L853" s="54">
        <v>0</v>
      </c>
      <c r="M853" s="54">
        <v>0</v>
      </c>
      <c r="N853" s="54">
        <v>0</v>
      </c>
      <c r="O853" s="54">
        <v>0</v>
      </c>
      <c r="P853" s="54">
        <v>0</v>
      </c>
      <c r="Q853" s="54">
        <v>0</v>
      </c>
      <c r="R853" s="54">
        <v>0</v>
      </c>
      <c r="S853" s="54">
        <v>0</v>
      </c>
      <c r="T853" s="54">
        <v>0</v>
      </c>
      <c r="U853" s="54">
        <v>1397</v>
      </c>
      <c r="V853" s="54">
        <v>0</v>
      </c>
      <c r="W853" s="54">
        <v>0</v>
      </c>
      <c r="X853" s="54">
        <v>0</v>
      </c>
      <c r="Y853" s="54">
        <v>0</v>
      </c>
      <c r="Z853" s="54">
        <v>0</v>
      </c>
      <c r="AA853" s="54">
        <v>0</v>
      </c>
      <c r="AB853" s="54">
        <v>0</v>
      </c>
      <c r="AC853" s="54">
        <v>0</v>
      </c>
      <c r="AD853" s="54">
        <v>0</v>
      </c>
      <c r="AE853" s="54">
        <v>0</v>
      </c>
      <c r="AF853" s="54">
        <v>0</v>
      </c>
      <c r="AG853" s="54">
        <v>0</v>
      </c>
      <c r="AH853" s="54">
        <v>0</v>
      </c>
      <c r="AI853" s="54">
        <v>0</v>
      </c>
      <c r="AJ853" s="54">
        <v>0</v>
      </c>
      <c r="AK853" s="54">
        <v>0</v>
      </c>
      <c r="AL853" s="54">
        <v>0</v>
      </c>
      <c r="AM853" s="54" t="str">
        <f>I853-J853-K853-L853-M853-N853-O853-P853-Q853-R853-S853-T853-U853-V853-W853-X853-Y853-Z853-AA853-AB853-AC853-AD853-AE853-AF853-AG853+AH853-AI853+AJ853+AK853-AL853</f>
        <v>0</v>
      </c>
      <c r="AN853" s="54"/>
      <c r="AO853" s="27"/>
    </row>
    <row r="854" spans="1:41">
      <c r="A854" s="44">
        <v>826</v>
      </c>
      <c r="B854" s="47" t="s">
        <v>3375</v>
      </c>
      <c r="C854" s="48" t="s">
        <v>3376</v>
      </c>
      <c r="D854" s="52" t="s">
        <v>73</v>
      </c>
      <c r="E854" s="52" t="s">
        <v>3364</v>
      </c>
      <c r="F854" s="55" t="s">
        <v>3377</v>
      </c>
      <c r="G854" s="51">
        <v>9.1</v>
      </c>
      <c r="H854" s="52" t="s">
        <v>3378</v>
      </c>
      <c r="I854" s="54">
        <v>1737000</v>
      </c>
      <c r="J854" s="54">
        <v>0</v>
      </c>
      <c r="K854" s="54">
        <v>49000</v>
      </c>
      <c r="L854" s="54">
        <v>0</v>
      </c>
      <c r="M854" s="54">
        <v>0</v>
      </c>
      <c r="N854" s="54">
        <v>0</v>
      </c>
      <c r="O854" s="54">
        <v>0</v>
      </c>
      <c r="P854" s="54">
        <v>0</v>
      </c>
      <c r="Q854" s="54">
        <v>0</v>
      </c>
      <c r="R854" s="54">
        <v>0</v>
      </c>
      <c r="S854" s="54">
        <v>0</v>
      </c>
      <c r="T854" s="54">
        <v>0</v>
      </c>
      <c r="U854" s="54">
        <v>3111</v>
      </c>
      <c r="V854" s="54">
        <v>0</v>
      </c>
      <c r="W854" s="54">
        <v>0</v>
      </c>
      <c r="X854" s="54">
        <v>0</v>
      </c>
      <c r="Y854" s="54">
        <v>0</v>
      </c>
      <c r="Z854" s="54">
        <v>0</v>
      </c>
      <c r="AA854" s="54">
        <v>0</v>
      </c>
      <c r="AB854" s="54">
        <v>0</v>
      </c>
      <c r="AC854" s="54">
        <v>0</v>
      </c>
      <c r="AD854" s="54">
        <v>0</v>
      </c>
      <c r="AE854" s="54">
        <v>0</v>
      </c>
      <c r="AF854" s="54">
        <v>0</v>
      </c>
      <c r="AG854" s="54">
        <v>0</v>
      </c>
      <c r="AH854" s="54">
        <v>0</v>
      </c>
      <c r="AI854" s="54">
        <v>0</v>
      </c>
      <c r="AJ854" s="54">
        <v>0</v>
      </c>
      <c r="AK854" s="54">
        <v>0</v>
      </c>
      <c r="AL854" s="54">
        <v>0</v>
      </c>
      <c r="AM854" s="54" t="str">
        <f>I854-J854-K854-L854-M854-N854-O854-P854-Q854-R854-S854-T854-U854-V854-W854-X854-Y854-Z854-AA854-AB854-AC854-AD854-AE854-AF854-AG854+AH854-AI854+AJ854+AK854-AL854</f>
        <v>0</v>
      </c>
      <c r="AN854" s="54"/>
      <c r="AO854" s="27"/>
    </row>
    <row r="855" spans="1:41">
      <c r="A855" s="44">
        <v>827</v>
      </c>
      <c r="B855" s="47" t="s">
        <v>3379</v>
      </c>
      <c r="C855" s="48" t="s">
        <v>3380</v>
      </c>
      <c r="D855" s="52" t="s">
        <v>73</v>
      </c>
      <c r="E855" s="52" t="s">
        <v>3364</v>
      </c>
      <c r="F855" s="55" t="s">
        <v>3381</v>
      </c>
      <c r="G855" s="51">
        <v>2</v>
      </c>
      <c r="H855" s="52" t="s">
        <v>3382</v>
      </c>
      <c r="I855" s="54">
        <v>434000</v>
      </c>
      <c r="J855" s="54">
        <v>0</v>
      </c>
      <c r="K855" s="54">
        <v>22000</v>
      </c>
      <c r="L855" s="54">
        <v>0</v>
      </c>
      <c r="M855" s="54">
        <v>0</v>
      </c>
      <c r="N855" s="54">
        <v>0</v>
      </c>
      <c r="O855" s="54">
        <v>0</v>
      </c>
      <c r="P855" s="54">
        <v>0</v>
      </c>
      <c r="Q855" s="54">
        <v>0</v>
      </c>
      <c r="R855" s="54">
        <v>0</v>
      </c>
      <c r="S855" s="54">
        <v>0</v>
      </c>
      <c r="T855" s="54">
        <v>0</v>
      </c>
      <c r="U855" s="54">
        <v>1397</v>
      </c>
      <c r="V855" s="54">
        <v>0</v>
      </c>
      <c r="W855" s="54">
        <v>0</v>
      </c>
      <c r="X855" s="54">
        <v>0</v>
      </c>
      <c r="Y855" s="54">
        <v>0</v>
      </c>
      <c r="Z855" s="54">
        <v>0</v>
      </c>
      <c r="AA855" s="54">
        <v>0</v>
      </c>
      <c r="AB855" s="54">
        <v>0</v>
      </c>
      <c r="AC855" s="54">
        <v>0</v>
      </c>
      <c r="AD855" s="54">
        <v>0</v>
      </c>
      <c r="AE855" s="54">
        <v>0</v>
      </c>
      <c r="AF855" s="54">
        <v>0</v>
      </c>
      <c r="AG855" s="54">
        <v>0</v>
      </c>
      <c r="AH855" s="54">
        <v>0</v>
      </c>
      <c r="AI855" s="54">
        <v>0</v>
      </c>
      <c r="AJ855" s="54">
        <v>0</v>
      </c>
      <c r="AK855" s="54">
        <v>0</v>
      </c>
      <c r="AL855" s="54">
        <v>0</v>
      </c>
      <c r="AM855" s="54" t="str">
        <f>I855-J855-K855-L855-M855-N855-O855-P855-Q855-R855-S855-T855-U855-V855-W855-X855-Y855-Z855-AA855-AB855-AC855-AD855-AE855-AF855-AG855+AH855-AI855+AJ855+AK855-AL855</f>
        <v>0</v>
      </c>
      <c r="AN855" s="54"/>
      <c r="AO855" s="27"/>
    </row>
    <row r="856" spans="1:41">
      <c r="A856" s="44">
        <v>828</v>
      </c>
      <c r="B856" s="47" t="s">
        <v>3383</v>
      </c>
      <c r="C856" s="48" t="s">
        <v>3384</v>
      </c>
      <c r="D856" s="52" t="s">
        <v>73</v>
      </c>
      <c r="E856" s="52" t="s">
        <v>3364</v>
      </c>
      <c r="F856" s="55" t="s">
        <v>677</v>
      </c>
      <c r="G856" s="51">
        <v>6</v>
      </c>
      <c r="H856" s="52" t="s">
        <v>3385</v>
      </c>
      <c r="I856" s="54">
        <v>984000</v>
      </c>
      <c r="J856" s="54">
        <v>0</v>
      </c>
      <c r="K856" s="54">
        <v>31000</v>
      </c>
      <c r="L856" s="54">
        <v>0</v>
      </c>
      <c r="M856" s="54">
        <v>0</v>
      </c>
      <c r="N856" s="54">
        <v>0</v>
      </c>
      <c r="O856" s="54">
        <v>0</v>
      </c>
      <c r="P856" s="54">
        <v>0</v>
      </c>
      <c r="Q856" s="54">
        <v>0</v>
      </c>
      <c r="R856" s="54">
        <v>0</v>
      </c>
      <c r="S856" s="54">
        <v>0</v>
      </c>
      <c r="T856" s="54">
        <v>0</v>
      </c>
      <c r="U856" s="54">
        <v>1968</v>
      </c>
      <c r="V856" s="54">
        <v>0</v>
      </c>
      <c r="W856" s="54">
        <v>0</v>
      </c>
      <c r="X856" s="54">
        <v>0</v>
      </c>
      <c r="Y856" s="54">
        <v>0</v>
      </c>
      <c r="Z856" s="54">
        <v>0</v>
      </c>
      <c r="AA856" s="54">
        <v>0</v>
      </c>
      <c r="AB856" s="54">
        <v>0</v>
      </c>
      <c r="AC856" s="54">
        <v>0</v>
      </c>
      <c r="AD856" s="54">
        <v>0</v>
      </c>
      <c r="AE856" s="54">
        <v>0</v>
      </c>
      <c r="AF856" s="54">
        <v>0</v>
      </c>
      <c r="AG856" s="54">
        <v>0</v>
      </c>
      <c r="AH856" s="54">
        <v>0</v>
      </c>
      <c r="AI856" s="54">
        <v>0</v>
      </c>
      <c r="AJ856" s="54">
        <v>0</v>
      </c>
      <c r="AK856" s="54">
        <v>0</v>
      </c>
      <c r="AL856" s="54">
        <v>0</v>
      </c>
      <c r="AM856" s="54" t="str">
        <f>I856-J856-K856-L856-M856-N856-O856-P856-Q856-R856-S856-T856-U856-V856-W856-X856-Y856-Z856-AA856-AB856-AC856-AD856-AE856-AF856-AG856+AH856-AI856+AJ856+AK856-AL856</f>
        <v>0</v>
      </c>
      <c r="AN856" s="54"/>
      <c r="AO856" s="27"/>
    </row>
    <row r="857" spans="1:41">
      <c r="A857" s="44">
        <v>829</v>
      </c>
      <c r="B857" s="47" t="s">
        <v>3386</v>
      </c>
      <c r="C857" s="48" t="s">
        <v>3387</v>
      </c>
      <c r="D857" s="52" t="s">
        <v>73</v>
      </c>
      <c r="E857" s="52" t="s">
        <v>3364</v>
      </c>
      <c r="F857" s="55" t="s">
        <v>3388</v>
      </c>
      <c r="G857" s="51">
        <v>2</v>
      </c>
      <c r="H857" s="52" t="s">
        <v>3389</v>
      </c>
      <c r="I857" s="54">
        <v>434000</v>
      </c>
      <c r="J857" s="54">
        <v>0</v>
      </c>
      <c r="K857" s="54">
        <v>22000</v>
      </c>
      <c r="L857" s="54">
        <v>0</v>
      </c>
      <c r="M857" s="54">
        <v>0</v>
      </c>
      <c r="N857" s="54">
        <v>0</v>
      </c>
      <c r="O857" s="54">
        <v>0</v>
      </c>
      <c r="P857" s="54">
        <v>0</v>
      </c>
      <c r="Q857" s="54">
        <v>0</v>
      </c>
      <c r="R857" s="54">
        <v>0</v>
      </c>
      <c r="S857" s="54">
        <v>0</v>
      </c>
      <c r="T857" s="54">
        <v>0</v>
      </c>
      <c r="U857" s="54">
        <v>1397</v>
      </c>
      <c r="V857" s="54">
        <v>0</v>
      </c>
      <c r="W857" s="54">
        <v>0</v>
      </c>
      <c r="X857" s="54">
        <v>0</v>
      </c>
      <c r="Y857" s="54">
        <v>0</v>
      </c>
      <c r="Z857" s="54">
        <v>0</v>
      </c>
      <c r="AA857" s="54">
        <v>0</v>
      </c>
      <c r="AB857" s="54">
        <v>0</v>
      </c>
      <c r="AC857" s="54">
        <v>0</v>
      </c>
      <c r="AD857" s="54">
        <v>0</v>
      </c>
      <c r="AE857" s="54">
        <v>0</v>
      </c>
      <c r="AF857" s="54">
        <v>0</v>
      </c>
      <c r="AG857" s="54">
        <v>0</v>
      </c>
      <c r="AH857" s="54">
        <v>0</v>
      </c>
      <c r="AI857" s="54">
        <v>0</v>
      </c>
      <c r="AJ857" s="54">
        <v>0</v>
      </c>
      <c r="AK857" s="54">
        <v>0</v>
      </c>
      <c r="AL857" s="54">
        <v>0</v>
      </c>
      <c r="AM857" s="54" t="str">
        <f>I857-J857-K857-L857-M857-N857-O857-P857-Q857-R857-S857-T857-U857-V857-W857-X857-Y857-Z857-AA857-AB857-AC857-AD857-AE857-AF857-AG857+AH857-AI857+AJ857+AK857-AL857</f>
        <v>0</v>
      </c>
      <c r="AN857" s="54"/>
      <c r="AO857" s="27"/>
    </row>
    <row r="858" spans="1:41">
      <c r="A858" s="44">
        <v>830</v>
      </c>
      <c r="B858" s="47" t="s">
        <v>3390</v>
      </c>
      <c r="C858" s="48" t="s">
        <v>3391</v>
      </c>
      <c r="D858" s="52" t="s">
        <v>73</v>
      </c>
      <c r="E858" s="52" t="s">
        <v>3364</v>
      </c>
      <c r="F858" s="55" t="s">
        <v>3392</v>
      </c>
      <c r="G858" s="51">
        <v>3</v>
      </c>
      <c r="H858" s="52" t="s">
        <v>3393</v>
      </c>
      <c r="I858" s="54">
        <v>334000</v>
      </c>
      <c r="J858" s="54">
        <v>0</v>
      </c>
      <c r="K858" s="54">
        <v>22000</v>
      </c>
      <c r="L858" s="54">
        <v>0</v>
      </c>
      <c r="M858" s="54">
        <v>0</v>
      </c>
      <c r="N858" s="54">
        <v>0</v>
      </c>
      <c r="O858" s="54">
        <v>0</v>
      </c>
      <c r="P858" s="54">
        <v>0</v>
      </c>
      <c r="Q858" s="54">
        <v>0</v>
      </c>
      <c r="R858" s="54">
        <v>0</v>
      </c>
      <c r="S858" s="54">
        <v>0</v>
      </c>
      <c r="T858" s="54">
        <v>0</v>
      </c>
      <c r="U858" s="54">
        <v>1397</v>
      </c>
      <c r="V858" s="54">
        <v>0</v>
      </c>
      <c r="W858" s="54">
        <v>0</v>
      </c>
      <c r="X858" s="54">
        <v>0</v>
      </c>
      <c r="Y858" s="54">
        <v>0</v>
      </c>
      <c r="Z858" s="54">
        <v>0</v>
      </c>
      <c r="AA858" s="54">
        <v>0</v>
      </c>
      <c r="AB858" s="54">
        <v>0</v>
      </c>
      <c r="AC858" s="54">
        <v>0</v>
      </c>
      <c r="AD858" s="54">
        <v>0</v>
      </c>
      <c r="AE858" s="54">
        <v>0</v>
      </c>
      <c r="AF858" s="54">
        <v>0</v>
      </c>
      <c r="AG858" s="54">
        <v>0</v>
      </c>
      <c r="AH858" s="54">
        <v>0</v>
      </c>
      <c r="AI858" s="54">
        <v>0</v>
      </c>
      <c r="AJ858" s="54">
        <v>0</v>
      </c>
      <c r="AK858" s="54">
        <v>0</v>
      </c>
      <c r="AL858" s="54">
        <v>0</v>
      </c>
      <c r="AM858" s="54" t="str">
        <f>I858-J858-K858-L858-M858-N858-O858-P858-Q858-R858-S858-T858-U858-V858-W858-X858-Y858-Z858-AA858-AB858-AC858-AD858-AE858-AF858-AG858+AH858-AI858+AJ858+AK858-AL858</f>
        <v>0</v>
      </c>
      <c r="AN858" s="54"/>
      <c r="AO858" s="27"/>
    </row>
    <row r="859" spans="1:41">
      <c r="A859" s="44">
        <v>831</v>
      </c>
      <c r="B859" s="47" t="s">
        <v>3394</v>
      </c>
      <c r="C859" s="48" t="s">
        <v>3395</v>
      </c>
      <c r="D859" s="52" t="s">
        <v>73</v>
      </c>
      <c r="E859" s="52" t="s">
        <v>3364</v>
      </c>
      <c r="F859" s="55" t="s">
        <v>3396</v>
      </c>
      <c r="G859" s="51">
        <v>5</v>
      </c>
      <c r="H859" s="52" t="s">
        <v>3397</v>
      </c>
      <c r="I859" s="54">
        <v>1520000</v>
      </c>
      <c r="J859" s="54">
        <v>0</v>
      </c>
      <c r="K859" s="54">
        <v>27000</v>
      </c>
      <c r="L859" s="54">
        <v>0</v>
      </c>
      <c r="M859" s="54">
        <v>0</v>
      </c>
      <c r="N859" s="54">
        <v>0</v>
      </c>
      <c r="O859" s="54">
        <v>0</v>
      </c>
      <c r="P859" s="54">
        <v>0</v>
      </c>
      <c r="Q859" s="54">
        <v>0</v>
      </c>
      <c r="R859" s="54">
        <v>0</v>
      </c>
      <c r="S859" s="54">
        <v>0</v>
      </c>
      <c r="T859" s="54">
        <v>0</v>
      </c>
      <c r="U859" s="54">
        <v>1714</v>
      </c>
      <c r="V859" s="54">
        <v>0</v>
      </c>
      <c r="W859" s="54">
        <v>0</v>
      </c>
      <c r="X859" s="54">
        <v>0</v>
      </c>
      <c r="Y859" s="54">
        <v>0</v>
      </c>
      <c r="Z859" s="54">
        <v>0</v>
      </c>
      <c r="AA859" s="54">
        <v>0</v>
      </c>
      <c r="AB859" s="54">
        <v>0</v>
      </c>
      <c r="AC859" s="54">
        <v>0</v>
      </c>
      <c r="AD859" s="54">
        <v>0</v>
      </c>
      <c r="AE859" s="54">
        <v>0</v>
      </c>
      <c r="AF859" s="54">
        <v>0</v>
      </c>
      <c r="AG859" s="54">
        <v>0</v>
      </c>
      <c r="AH859" s="54">
        <v>0</v>
      </c>
      <c r="AI859" s="54">
        <v>0</v>
      </c>
      <c r="AJ859" s="54">
        <v>0</v>
      </c>
      <c r="AK859" s="54">
        <v>0</v>
      </c>
      <c r="AL859" s="54">
        <v>0</v>
      </c>
      <c r="AM859" s="54" t="str">
        <f>I859-J859-K859-L859-M859-N859-O859-P859-Q859-R859-S859-T859-U859-V859-W859-X859-Y859-Z859-AA859-AB859-AC859-AD859-AE859-AF859-AG859+AH859-AI859+AJ859+AK859-AL859</f>
        <v>0</v>
      </c>
      <c r="AN859" s="54"/>
      <c r="AO859" s="27"/>
    </row>
    <row r="860" spans="1:41">
      <c r="A860" s="44">
        <v>832</v>
      </c>
      <c r="B860" s="47" t="s">
        <v>3398</v>
      </c>
      <c r="C860" s="48" t="s">
        <v>3399</v>
      </c>
      <c r="D860" s="52" t="s">
        <v>73</v>
      </c>
      <c r="E860" s="52" t="s">
        <v>3364</v>
      </c>
      <c r="F860" s="55" t="s">
        <v>3400</v>
      </c>
      <c r="G860" s="51">
        <v>4</v>
      </c>
      <c r="H860" s="52" t="s">
        <v>3401</v>
      </c>
      <c r="I860" s="54">
        <v>680000</v>
      </c>
      <c r="J860" s="54">
        <v>0</v>
      </c>
      <c r="K860" s="54">
        <v>25000</v>
      </c>
      <c r="L860" s="54">
        <v>0</v>
      </c>
      <c r="M860" s="54">
        <v>0</v>
      </c>
      <c r="N860" s="54">
        <v>0</v>
      </c>
      <c r="O860" s="54">
        <v>0</v>
      </c>
      <c r="P860" s="54">
        <v>0</v>
      </c>
      <c r="Q860" s="54">
        <v>0</v>
      </c>
      <c r="R860" s="54">
        <v>0</v>
      </c>
      <c r="S860" s="54">
        <v>0</v>
      </c>
      <c r="T860" s="54">
        <v>0</v>
      </c>
      <c r="U860" s="54">
        <v>1587</v>
      </c>
      <c r="V860" s="54">
        <v>0</v>
      </c>
      <c r="W860" s="54">
        <v>0</v>
      </c>
      <c r="X860" s="54">
        <v>0</v>
      </c>
      <c r="Y860" s="54">
        <v>0</v>
      </c>
      <c r="Z860" s="54">
        <v>0</v>
      </c>
      <c r="AA860" s="54">
        <v>0</v>
      </c>
      <c r="AB860" s="54">
        <v>0</v>
      </c>
      <c r="AC860" s="54">
        <v>0</v>
      </c>
      <c r="AD860" s="54">
        <v>0</v>
      </c>
      <c r="AE860" s="54">
        <v>0</v>
      </c>
      <c r="AF860" s="54">
        <v>0</v>
      </c>
      <c r="AG860" s="54">
        <v>0</v>
      </c>
      <c r="AH860" s="54">
        <v>0</v>
      </c>
      <c r="AI860" s="54">
        <v>0</v>
      </c>
      <c r="AJ860" s="54">
        <v>0</v>
      </c>
      <c r="AK860" s="54">
        <v>0</v>
      </c>
      <c r="AL860" s="54">
        <v>0</v>
      </c>
      <c r="AM860" s="54" t="str">
        <f>I860-J860-K860-L860-M860-N860-O860-P860-Q860-R860-S860-T860-U860-V860-W860-X860-Y860-Z860-AA860-AB860-AC860-AD860-AE860-AF860-AG860+AH860-AI860+AJ860+AK860-AL860</f>
        <v>0</v>
      </c>
      <c r="AN860" s="54"/>
      <c r="AO860" s="27"/>
    </row>
    <row r="861" spans="1:41">
      <c r="A861" s="44">
        <v>833</v>
      </c>
      <c r="B861" s="47" t="s">
        <v>3402</v>
      </c>
      <c r="C861" s="48" t="s">
        <v>3403</v>
      </c>
      <c r="D861" s="52" t="s">
        <v>73</v>
      </c>
      <c r="E861" s="52" t="s">
        <v>3364</v>
      </c>
      <c r="F861" s="55" t="s">
        <v>3404</v>
      </c>
      <c r="G861" s="51">
        <v>5</v>
      </c>
      <c r="H861" s="52" t="s">
        <v>3405</v>
      </c>
      <c r="I861" s="54">
        <v>434000</v>
      </c>
      <c r="J861" s="54">
        <v>0</v>
      </c>
      <c r="K861" s="54">
        <v>27000</v>
      </c>
      <c r="L861" s="54">
        <v>0</v>
      </c>
      <c r="M861" s="54">
        <v>0</v>
      </c>
      <c r="N861" s="54">
        <v>0</v>
      </c>
      <c r="O861" s="54">
        <v>0</v>
      </c>
      <c r="P861" s="54">
        <v>0</v>
      </c>
      <c r="Q861" s="54">
        <v>0</v>
      </c>
      <c r="R861" s="54">
        <v>0</v>
      </c>
      <c r="S861" s="54">
        <v>0</v>
      </c>
      <c r="T861" s="54">
        <v>0</v>
      </c>
      <c r="U861" s="54">
        <v>1714</v>
      </c>
      <c r="V861" s="54">
        <v>0</v>
      </c>
      <c r="W861" s="54">
        <v>0</v>
      </c>
      <c r="X861" s="54">
        <v>0</v>
      </c>
      <c r="Y861" s="54">
        <v>0</v>
      </c>
      <c r="Z861" s="54">
        <v>0</v>
      </c>
      <c r="AA861" s="54">
        <v>0</v>
      </c>
      <c r="AB861" s="54">
        <v>0</v>
      </c>
      <c r="AC861" s="54">
        <v>0</v>
      </c>
      <c r="AD861" s="54">
        <v>0</v>
      </c>
      <c r="AE861" s="54">
        <v>0</v>
      </c>
      <c r="AF861" s="54">
        <v>0</v>
      </c>
      <c r="AG861" s="54">
        <v>0</v>
      </c>
      <c r="AH861" s="54">
        <v>0</v>
      </c>
      <c r="AI861" s="54">
        <v>0</v>
      </c>
      <c r="AJ861" s="54">
        <v>0</v>
      </c>
      <c r="AK861" s="54">
        <v>0</v>
      </c>
      <c r="AL861" s="54">
        <v>0</v>
      </c>
      <c r="AM861" s="54" t="str">
        <f>I861-J861-K861-L861-M861-N861-O861-P861-Q861-R861-S861-T861-U861-V861-W861-X861-Y861-Z861-AA861-AB861-AC861-AD861-AE861-AF861-AG861+AH861-AI861+AJ861+AK861-AL861</f>
        <v>0</v>
      </c>
      <c r="AN861" s="54"/>
      <c r="AO861" s="27"/>
    </row>
    <row r="862" spans="1:41">
      <c r="A862" s="44">
        <v>834</v>
      </c>
      <c r="B862" s="47" t="s">
        <v>3406</v>
      </c>
      <c r="C862" s="48" t="s">
        <v>3407</v>
      </c>
      <c r="D862" s="52" t="s">
        <v>73</v>
      </c>
      <c r="E862" s="52" t="s">
        <v>3408</v>
      </c>
      <c r="F862" s="55" t="s">
        <v>3409</v>
      </c>
      <c r="G862" s="51">
        <v>3</v>
      </c>
      <c r="H862" s="52" t="s">
        <v>3410</v>
      </c>
      <c r="I862" s="54">
        <v>560000</v>
      </c>
      <c r="J862" s="54">
        <v>0</v>
      </c>
      <c r="K862" s="54">
        <v>22000</v>
      </c>
      <c r="L862" s="54">
        <v>0</v>
      </c>
      <c r="M862" s="54">
        <v>0</v>
      </c>
      <c r="N862" s="54">
        <v>0</v>
      </c>
      <c r="O862" s="54">
        <v>0</v>
      </c>
      <c r="P862" s="54">
        <v>0</v>
      </c>
      <c r="Q862" s="54">
        <v>0</v>
      </c>
      <c r="R862" s="54">
        <v>0</v>
      </c>
      <c r="S862" s="54">
        <v>0</v>
      </c>
      <c r="T862" s="54">
        <v>0</v>
      </c>
      <c r="U862" s="54">
        <v>1397</v>
      </c>
      <c r="V862" s="54">
        <v>0</v>
      </c>
      <c r="W862" s="54">
        <v>0</v>
      </c>
      <c r="X862" s="54">
        <v>0</v>
      </c>
      <c r="Y862" s="54">
        <v>0</v>
      </c>
      <c r="Z862" s="54">
        <v>0</v>
      </c>
      <c r="AA862" s="54">
        <v>0</v>
      </c>
      <c r="AB862" s="54">
        <v>0</v>
      </c>
      <c r="AC862" s="54">
        <v>0</v>
      </c>
      <c r="AD862" s="54">
        <v>0</v>
      </c>
      <c r="AE862" s="54">
        <v>0</v>
      </c>
      <c r="AF862" s="54">
        <v>0</v>
      </c>
      <c r="AG862" s="54">
        <v>0</v>
      </c>
      <c r="AH862" s="54">
        <v>0</v>
      </c>
      <c r="AI862" s="54">
        <v>0</v>
      </c>
      <c r="AJ862" s="54">
        <v>0</v>
      </c>
      <c r="AK862" s="54">
        <v>0</v>
      </c>
      <c r="AL862" s="54">
        <v>0</v>
      </c>
      <c r="AM862" s="54" t="str">
        <f>I862-J862-K862-L862-M862-N862-O862-P862-Q862-R862-S862-T862-U862-V862-W862-X862-Y862-Z862-AA862-AB862-AC862-AD862-AE862-AF862-AG862+AH862-AI862+AJ862+AK862-AL862</f>
        <v>0</v>
      </c>
      <c r="AN862" s="54"/>
      <c r="AO862" s="27"/>
    </row>
    <row r="863" spans="1:41">
      <c r="A863" s="44">
        <v>835</v>
      </c>
      <c r="B863" s="47" t="s">
        <v>3411</v>
      </c>
      <c r="C863" s="48" t="s">
        <v>3412</v>
      </c>
      <c r="D863" s="52" t="s">
        <v>73</v>
      </c>
      <c r="E863" s="52" t="s">
        <v>3413</v>
      </c>
      <c r="F863" s="55" t="s">
        <v>2625</v>
      </c>
      <c r="G863" s="51">
        <v>8</v>
      </c>
      <c r="H863" s="52" t="s">
        <v>3414</v>
      </c>
      <c r="I863" s="54">
        <v>0</v>
      </c>
      <c r="J863" s="54">
        <v>0</v>
      </c>
      <c r="K863" s="54">
        <v>39000</v>
      </c>
      <c r="L863" s="54">
        <v>0</v>
      </c>
      <c r="M863" s="54">
        <v>0</v>
      </c>
      <c r="N863" s="54">
        <v>0</v>
      </c>
      <c r="O863" s="54">
        <v>0</v>
      </c>
      <c r="P863" s="54">
        <v>0</v>
      </c>
      <c r="Q863" s="54">
        <v>0</v>
      </c>
      <c r="R863" s="54">
        <v>0</v>
      </c>
      <c r="S863" s="54">
        <v>0</v>
      </c>
      <c r="T863" s="54">
        <v>0</v>
      </c>
      <c r="U863" s="54">
        <v>2476</v>
      </c>
      <c r="V863" s="54">
        <v>0</v>
      </c>
      <c r="W863" s="54">
        <v>0</v>
      </c>
      <c r="X863" s="54">
        <v>0</v>
      </c>
      <c r="Y863" s="54">
        <v>0</v>
      </c>
      <c r="Z863" s="54">
        <v>0</v>
      </c>
      <c r="AA863" s="54">
        <v>0</v>
      </c>
      <c r="AB863" s="54">
        <v>0</v>
      </c>
      <c r="AC863" s="54">
        <v>0</v>
      </c>
      <c r="AD863" s="54">
        <v>0</v>
      </c>
      <c r="AE863" s="54">
        <v>0</v>
      </c>
      <c r="AF863" s="54">
        <v>0</v>
      </c>
      <c r="AG863" s="54">
        <v>0</v>
      </c>
      <c r="AH863" s="54">
        <v>0</v>
      </c>
      <c r="AI863" s="54">
        <v>0</v>
      </c>
      <c r="AJ863" s="54">
        <v>0</v>
      </c>
      <c r="AK863" s="54">
        <v>0</v>
      </c>
      <c r="AL863" s="54">
        <v>0</v>
      </c>
      <c r="AM863" s="54" t="str">
        <f>I863-J863-K863-L863-M863-N863-O863-P863-Q863-R863-S863-T863-U863-V863-W863-X863-Y863-Z863-AA863-AB863-AC863-AD863-AE863-AF863-AG863+AH863-AI863+AJ863+AK863-AL863</f>
        <v>0</v>
      </c>
      <c r="AN863" s="54"/>
      <c r="AO863" s="27"/>
    </row>
    <row r="864" spans="1:41">
      <c r="A864" s="44">
        <v>836</v>
      </c>
      <c r="B864" s="47" t="s">
        <v>3415</v>
      </c>
      <c r="C864" s="48" t="s">
        <v>3416</v>
      </c>
      <c r="D864" s="52" t="s">
        <v>73</v>
      </c>
      <c r="E864" s="52" t="s">
        <v>3417</v>
      </c>
      <c r="F864" s="55" t="s">
        <v>3418</v>
      </c>
      <c r="G864" s="51">
        <v>8</v>
      </c>
      <c r="H864" s="52" t="s">
        <v>2751</v>
      </c>
      <c r="I864" s="54">
        <v>1324000</v>
      </c>
      <c r="J864" s="54">
        <v>0</v>
      </c>
      <c r="K864" s="54">
        <v>39000</v>
      </c>
      <c r="L864" s="54">
        <v>0</v>
      </c>
      <c r="M864" s="54">
        <v>0</v>
      </c>
      <c r="N864" s="54">
        <v>0</v>
      </c>
      <c r="O864" s="54">
        <v>0</v>
      </c>
      <c r="P864" s="54">
        <v>0</v>
      </c>
      <c r="Q864" s="54">
        <v>0</v>
      </c>
      <c r="R864" s="54">
        <v>0</v>
      </c>
      <c r="S864" s="54">
        <v>0</v>
      </c>
      <c r="T864" s="54">
        <v>0</v>
      </c>
      <c r="U864" s="54">
        <v>2476</v>
      </c>
      <c r="V864" s="54">
        <v>0</v>
      </c>
      <c r="W864" s="54">
        <v>0</v>
      </c>
      <c r="X864" s="54">
        <v>0</v>
      </c>
      <c r="Y864" s="54">
        <v>0</v>
      </c>
      <c r="Z864" s="54">
        <v>0</v>
      </c>
      <c r="AA864" s="54">
        <v>0</v>
      </c>
      <c r="AB864" s="54">
        <v>0</v>
      </c>
      <c r="AC864" s="54">
        <v>0</v>
      </c>
      <c r="AD864" s="54">
        <v>0</v>
      </c>
      <c r="AE864" s="54">
        <v>0</v>
      </c>
      <c r="AF864" s="54">
        <v>0</v>
      </c>
      <c r="AG864" s="54">
        <v>0</v>
      </c>
      <c r="AH864" s="54">
        <v>0</v>
      </c>
      <c r="AI864" s="54">
        <v>0</v>
      </c>
      <c r="AJ864" s="54">
        <v>0</v>
      </c>
      <c r="AK864" s="54">
        <v>0</v>
      </c>
      <c r="AL864" s="54">
        <v>0</v>
      </c>
      <c r="AM864" s="54" t="str">
        <f>I864-J864-K864-L864-M864-N864-O864-P864-Q864-R864-S864-T864-U864-V864-W864-X864-Y864-Z864-AA864-AB864-AC864-AD864-AE864-AF864-AG864+AH864-AI864+AJ864+AK864-AL864</f>
        <v>0</v>
      </c>
      <c r="AN864" s="54"/>
      <c r="AO864" s="27"/>
    </row>
    <row r="865" spans="1:41">
      <c r="A865" s="44">
        <v>837</v>
      </c>
      <c r="B865" s="47" t="s">
        <v>3419</v>
      </c>
      <c r="C865" s="48" t="s">
        <v>3420</v>
      </c>
      <c r="D865" s="52" t="s">
        <v>73</v>
      </c>
      <c r="E865" s="52" t="s">
        <v>3417</v>
      </c>
      <c r="F865" s="55" t="s">
        <v>3421</v>
      </c>
      <c r="G865" s="51">
        <v>5</v>
      </c>
      <c r="H865" s="52" t="s">
        <v>3422</v>
      </c>
      <c r="I865" s="54">
        <v>473000</v>
      </c>
      <c r="J865" s="54">
        <v>0</v>
      </c>
      <c r="K865" s="54">
        <v>27000</v>
      </c>
      <c r="L865" s="54">
        <v>0</v>
      </c>
      <c r="M865" s="54">
        <v>0</v>
      </c>
      <c r="N865" s="54">
        <v>0</v>
      </c>
      <c r="O865" s="54">
        <v>0</v>
      </c>
      <c r="P865" s="54">
        <v>0</v>
      </c>
      <c r="Q865" s="54">
        <v>0</v>
      </c>
      <c r="R865" s="54">
        <v>0</v>
      </c>
      <c r="S865" s="54">
        <v>0</v>
      </c>
      <c r="T865" s="54">
        <v>0</v>
      </c>
      <c r="U865" s="54">
        <v>1714</v>
      </c>
      <c r="V865" s="54">
        <v>0</v>
      </c>
      <c r="W865" s="54">
        <v>0</v>
      </c>
      <c r="X865" s="54">
        <v>0</v>
      </c>
      <c r="Y865" s="54">
        <v>0</v>
      </c>
      <c r="Z865" s="54">
        <v>0</v>
      </c>
      <c r="AA865" s="54">
        <v>0</v>
      </c>
      <c r="AB865" s="54">
        <v>0</v>
      </c>
      <c r="AC865" s="54">
        <v>0</v>
      </c>
      <c r="AD865" s="54">
        <v>0</v>
      </c>
      <c r="AE865" s="54">
        <v>0</v>
      </c>
      <c r="AF865" s="54">
        <v>0</v>
      </c>
      <c r="AG865" s="54">
        <v>0</v>
      </c>
      <c r="AH865" s="54">
        <v>0</v>
      </c>
      <c r="AI865" s="54">
        <v>0</v>
      </c>
      <c r="AJ865" s="54">
        <v>0</v>
      </c>
      <c r="AK865" s="54">
        <v>0</v>
      </c>
      <c r="AL865" s="54">
        <v>0</v>
      </c>
      <c r="AM865" s="54" t="str">
        <f>I865-J865-K865-L865-M865-N865-O865-P865-Q865-R865-S865-T865-U865-V865-W865-X865-Y865-Z865-AA865-AB865-AC865-AD865-AE865-AF865-AG865+AH865-AI865+AJ865+AK865-AL865</f>
        <v>0</v>
      </c>
      <c r="AN865" s="54"/>
      <c r="AO865" s="27"/>
    </row>
    <row r="866" spans="1:41">
      <c r="A866" s="44">
        <v>838</v>
      </c>
      <c r="B866" s="47" t="s">
        <v>3423</v>
      </c>
      <c r="C866" s="48" t="s">
        <v>3424</v>
      </c>
      <c r="D866" s="52" t="s">
        <v>73</v>
      </c>
      <c r="E866" s="52" t="s">
        <v>3417</v>
      </c>
      <c r="F866" s="55" t="s">
        <v>3425</v>
      </c>
      <c r="G866" s="51">
        <v>4</v>
      </c>
      <c r="H866" s="52" t="s">
        <v>3426</v>
      </c>
      <c r="I866" s="54">
        <v>510000</v>
      </c>
      <c r="J866" s="54">
        <v>0</v>
      </c>
      <c r="K866" s="54">
        <v>25000</v>
      </c>
      <c r="L866" s="54">
        <v>0</v>
      </c>
      <c r="M866" s="54">
        <v>0</v>
      </c>
      <c r="N866" s="54">
        <v>0</v>
      </c>
      <c r="O866" s="54">
        <v>0</v>
      </c>
      <c r="P866" s="54">
        <v>0</v>
      </c>
      <c r="Q866" s="54">
        <v>0</v>
      </c>
      <c r="R866" s="54">
        <v>0</v>
      </c>
      <c r="S866" s="54">
        <v>0</v>
      </c>
      <c r="T866" s="54">
        <v>0</v>
      </c>
      <c r="U866" s="54">
        <v>1587</v>
      </c>
      <c r="V866" s="54">
        <v>0</v>
      </c>
      <c r="W866" s="54">
        <v>0</v>
      </c>
      <c r="X866" s="54">
        <v>0</v>
      </c>
      <c r="Y866" s="54">
        <v>0</v>
      </c>
      <c r="Z866" s="54">
        <v>0</v>
      </c>
      <c r="AA866" s="54">
        <v>0</v>
      </c>
      <c r="AB866" s="54">
        <v>0</v>
      </c>
      <c r="AC866" s="54">
        <v>0</v>
      </c>
      <c r="AD866" s="54">
        <v>0</v>
      </c>
      <c r="AE866" s="54">
        <v>0</v>
      </c>
      <c r="AF866" s="54">
        <v>0</v>
      </c>
      <c r="AG866" s="54">
        <v>0</v>
      </c>
      <c r="AH866" s="54">
        <v>0</v>
      </c>
      <c r="AI866" s="54">
        <v>0</v>
      </c>
      <c r="AJ866" s="54">
        <v>0</v>
      </c>
      <c r="AK866" s="54">
        <v>0</v>
      </c>
      <c r="AL866" s="54">
        <v>0</v>
      </c>
      <c r="AM866" s="54" t="str">
        <f>I866-J866-K866-L866-M866-N866-O866-P866-Q866-R866-S866-T866-U866-V866-W866-X866-Y866-Z866-AA866-AB866-AC866-AD866-AE866-AF866-AG866+AH866-AI866+AJ866+AK866-AL866</f>
        <v>0</v>
      </c>
      <c r="AN866" s="54"/>
      <c r="AO866" s="27"/>
    </row>
    <row r="867" spans="1:41">
      <c r="A867" s="44">
        <v>839</v>
      </c>
      <c r="B867" s="47" t="s">
        <v>3427</v>
      </c>
      <c r="C867" s="48" t="s">
        <v>3428</v>
      </c>
      <c r="D867" s="52" t="s">
        <v>73</v>
      </c>
      <c r="E867" s="52" t="s">
        <v>3417</v>
      </c>
      <c r="F867" s="55" t="s">
        <v>3429</v>
      </c>
      <c r="G867" s="51">
        <v>3</v>
      </c>
      <c r="H867" s="52" t="s">
        <v>3430</v>
      </c>
      <c r="I867" s="54">
        <v>245000</v>
      </c>
      <c r="J867" s="54">
        <v>0</v>
      </c>
      <c r="K867" s="54">
        <v>22000</v>
      </c>
      <c r="L867" s="54">
        <v>0</v>
      </c>
      <c r="M867" s="54">
        <v>0</v>
      </c>
      <c r="N867" s="54">
        <v>0</v>
      </c>
      <c r="O867" s="54">
        <v>0</v>
      </c>
      <c r="P867" s="54">
        <v>0</v>
      </c>
      <c r="Q867" s="54">
        <v>0</v>
      </c>
      <c r="R867" s="54">
        <v>0</v>
      </c>
      <c r="S867" s="54">
        <v>0</v>
      </c>
      <c r="T867" s="54">
        <v>0</v>
      </c>
      <c r="U867" s="54">
        <v>1397</v>
      </c>
      <c r="V867" s="54">
        <v>0</v>
      </c>
      <c r="W867" s="54">
        <v>0</v>
      </c>
      <c r="X867" s="54">
        <v>0</v>
      </c>
      <c r="Y867" s="54">
        <v>0</v>
      </c>
      <c r="Z867" s="54">
        <v>0</v>
      </c>
      <c r="AA867" s="54">
        <v>0</v>
      </c>
      <c r="AB867" s="54">
        <v>0</v>
      </c>
      <c r="AC867" s="54">
        <v>0</v>
      </c>
      <c r="AD867" s="54">
        <v>0</v>
      </c>
      <c r="AE867" s="54">
        <v>0</v>
      </c>
      <c r="AF867" s="54">
        <v>0</v>
      </c>
      <c r="AG867" s="54">
        <v>0</v>
      </c>
      <c r="AH867" s="54">
        <v>0</v>
      </c>
      <c r="AI867" s="54">
        <v>0</v>
      </c>
      <c r="AJ867" s="54">
        <v>0</v>
      </c>
      <c r="AK867" s="54">
        <v>0</v>
      </c>
      <c r="AL867" s="54">
        <v>0</v>
      </c>
      <c r="AM867" s="54" t="str">
        <f>I867-J867-K867-L867-M867-N867-O867-P867-Q867-R867-S867-T867-U867-V867-W867-X867-Y867-Z867-AA867-AB867-AC867-AD867-AE867-AF867-AG867+AH867-AI867+AJ867+AK867-AL867</f>
        <v>0</v>
      </c>
      <c r="AN867" s="54"/>
      <c r="AO867" s="27"/>
    </row>
    <row r="868" spans="1:41">
      <c r="A868" s="44">
        <v>840</v>
      </c>
      <c r="B868" s="47" t="s">
        <v>3431</v>
      </c>
      <c r="C868" s="48" t="s">
        <v>3432</v>
      </c>
      <c r="D868" s="52" t="s">
        <v>73</v>
      </c>
      <c r="E868" s="52" t="s">
        <v>3417</v>
      </c>
      <c r="F868" s="55" t="s">
        <v>3433</v>
      </c>
      <c r="G868" s="51">
        <v>2</v>
      </c>
      <c r="H868" s="52" t="s">
        <v>3434</v>
      </c>
      <c r="I868" s="54">
        <v>235000</v>
      </c>
      <c r="J868" s="54">
        <v>0</v>
      </c>
      <c r="K868" s="54">
        <v>22000</v>
      </c>
      <c r="L868" s="54">
        <v>0</v>
      </c>
      <c r="M868" s="54">
        <v>0</v>
      </c>
      <c r="N868" s="54">
        <v>0</v>
      </c>
      <c r="O868" s="54">
        <v>0</v>
      </c>
      <c r="P868" s="54">
        <v>0</v>
      </c>
      <c r="Q868" s="54">
        <v>0</v>
      </c>
      <c r="R868" s="54">
        <v>0</v>
      </c>
      <c r="S868" s="54">
        <v>0</v>
      </c>
      <c r="T868" s="54">
        <v>0</v>
      </c>
      <c r="U868" s="54">
        <v>1397</v>
      </c>
      <c r="V868" s="54">
        <v>0</v>
      </c>
      <c r="W868" s="54">
        <v>0</v>
      </c>
      <c r="X868" s="54">
        <v>0</v>
      </c>
      <c r="Y868" s="54">
        <v>0</v>
      </c>
      <c r="Z868" s="54">
        <v>0</v>
      </c>
      <c r="AA868" s="54">
        <v>0</v>
      </c>
      <c r="AB868" s="54">
        <v>0</v>
      </c>
      <c r="AC868" s="54">
        <v>0</v>
      </c>
      <c r="AD868" s="54">
        <v>0</v>
      </c>
      <c r="AE868" s="54">
        <v>0</v>
      </c>
      <c r="AF868" s="54">
        <v>0</v>
      </c>
      <c r="AG868" s="54">
        <v>0</v>
      </c>
      <c r="AH868" s="54">
        <v>0</v>
      </c>
      <c r="AI868" s="54">
        <v>0</v>
      </c>
      <c r="AJ868" s="54">
        <v>0</v>
      </c>
      <c r="AK868" s="54">
        <v>0</v>
      </c>
      <c r="AL868" s="54">
        <v>0</v>
      </c>
      <c r="AM868" s="54" t="str">
        <f>I868-J868-K868-L868-M868-N868-O868-P868-Q868-R868-S868-T868-U868-V868-W868-X868-Y868-Z868-AA868-AB868-AC868-AD868-AE868-AF868-AG868+AH868-AI868+AJ868+AK868-AL868</f>
        <v>0</v>
      </c>
      <c r="AN868" s="54"/>
      <c r="AO868" s="27"/>
    </row>
    <row r="869" spans="1:41">
      <c r="A869" s="44">
        <v>841</v>
      </c>
      <c r="B869" s="47" t="s">
        <v>3435</v>
      </c>
      <c r="C869" s="48" t="s">
        <v>3436</v>
      </c>
      <c r="D869" s="52" t="s">
        <v>73</v>
      </c>
      <c r="E869" s="52" t="s">
        <v>3417</v>
      </c>
      <c r="F869" s="55" t="s">
        <v>3437</v>
      </c>
      <c r="G869" s="51">
        <v>3</v>
      </c>
      <c r="H869" s="52" t="s">
        <v>3438</v>
      </c>
      <c r="I869" s="54">
        <v>1050000</v>
      </c>
      <c r="J869" s="54">
        <v>0</v>
      </c>
      <c r="K869" s="54">
        <v>22000</v>
      </c>
      <c r="L869" s="54">
        <v>0</v>
      </c>
      <c r="M869" s="54">
        <v>0</v>
      </c>
      <c r="N869" s="54">
        <v>0</v>
      </c>
      <c r="O869" s="54">
        <v>0</v>
      </c>
      <c r="P869" s="54">
        <v>0</v>
      </c>
      <c r="Q869" s="54">
        <v>0</v>
      </c>
      <c r="R869" s="54">
        <v>0</v>
      </c>
      <c r="S869" s="54">
        <v>0</v>
      </c>
      <c r="T869" s="54">
        <v>0</v>
      </c>
      <c r="U869" s="54">
        <v>1397</v>
      </c>
      <c r="V869" s="54">
        <v>0</v>
      </c>
      <c r="W869" s="54">
        <v>0</v>
      </c>
      <c r="X869" s="54">
        <v>0</v>
      </c>
      <c r="Y869" s="54">
        <v>0</v>
      </c>
      <c r="Z869" s="54">
        <v>0</v>
      </c>
      <c r="AA869" s="54">
        <v>0</v>
      </c>
      <c r="AB869" s="54">
        <v>0</v>
      </c>
      <c r="AC869" s="54">
        <v>0</v>
      </c>
      <c r="AD869" s="54">
        <v>0</v>
      </c>
      <c r="AE869" s="54">
        <v>0</v>
      </c>
      <c r="AF869" s="54">
        <v>0</v>
      </c>
      <c r="AG869" s="54">
        <v>0</v>
      </c>
      <c r="AH869" s="54">
        <v>0</v>
      </c>
      <c r="AI869" s="54">
        <v>0</v>
      </c>
      <c r="AJ869" s="54">
        <v>0</v>
      </c>
      <c r="AK869" s="54">
        <v>0</v>
      </c>
      <c r="AL869" s="54">
        <v>0</v>
      </c>
      <c r="AM869" s="54" t="str">
        <f>I869-J869-K869-L869-M869-N869-O869-P869-Q869-R869-S869-T869-U869-V869-W869-X869-Y869-Z869-AA869-AB869-AC869-AD869-AE869-AF869-AG869+AH869-AI869+AJ869+AK869-AL869</f>
        <v>0</v>
      </c>
      <c r="AN869" s="54"/>
      <c r="AO869" s="27"/>
    </row>
    <row r="870" spans="1:41">
      <c r="A870" s="44">
        <v>842</v>
      </c>
      <c r="B870" s="47" t="s">
        <v>3439</v>
      </c>
      <c r="C870" s="48" t="s">
        <v>3440</v>
      </c>
      <c r="D870" s="52" t="s">
        <v>73</v>
      </c>
      <c r="E870" s="52" t="s">
        <v>3417</v>
      </c>
      <c r="F870" s="55" t="s">
        <v>3441</v>
      </c>
      <c r="G870" s="51">
        <v>2</v>
      </c>
      <c r="H870" s="52" t="s">
        <v>3442</v>
      </c>
      <c r="I870" s="54">
        <v>265000</v>
      </c>
      <c r="J870" s="54">
        <v>0</v>
      </c>
      <c r="K870" s="54">
        <v>22000</v>
      </c>
      <c r="L870" s="54">
        <v>0</v>
      </c>
      <c r="M870" s="54">
        <v>0</v>
      </c>
      <c r="N870" s="54">
        <v>0</v>
      </c>
      <c r="O870" s="54">
        <v>0</v>
      </c>
      <c r="P870" s="54">
        <v>0</v>
      </c>
      <c r="Q870" s="54">
        <v>0</v>
      </c>
      <c r="R870" s="54">
        <v>0</v>
      </c>
      <c r="S870" s="54">
        <v>0</v>
      </c>
      <c r="T870" s="54">
        <v>0</v>
      </c>
      <c r="U870" s="54">
        <v>1397</v>
      </c>
      <c r="V870" s="54">
        <v>0</v>
      </c>
      <c r="W870" s="54">
        <v>0</v>
      </c>
      <c r="X870" s="54">
        <v>0</v>
      </c>
      <c r="Y870" s="54">
        <v>0</v>
      </c>
      <c r="Z870" s="54">
        <v>0</v>
      </c>
      <c r="AA870" s="54">
        <v>0</v>
      </c>
      <c r="AB870" s="54">
        <v>0</v>
      </c>
      <c r="AC870" s="54">
        <v>0</v>
      </c>
      <c r="AD870" s="54">
        <v>0</v>
      </c>
      <c r="AE870" s="54">
        <v>0</v>
      </c>
      <c r="AF870" s="54">
        <v>0</v>
      </c>
      <c r="AG870" s="54">
        <v>0</v>
      </c>
      <c r="AH870" s="54">
        <v>0</v>
      </c>
      <c r="AI870" s="54">
        <v>0</v>
      </c>
      <c r="AJ870" s="54">
        <v>0</v>
      </c>
      <c r="AK870" s="54">
        <v>0</v>
      </c>
      <c r="AL870" s="54">
        <v>0</v>
      </c>
      <c r="AM870" s="54" t="str">
        <f>I870-J870-K870-L870-M870-N870-O870-P870-Q870-R870-S870-T870-U870-V870-W870-X870-Y870-Z870-AA870-AB870-AC870-AD870-AE870-AF870-AG870+AH870-AI870+AJ870+AK870-AL870</f>
        <v>0</v>
      </c>
      <c r="AN870" s="54"/>
      <c r="AO870" s="27"/>
    </row>
    <row r="871" spans="1:41">
      <c r="A871" s="44">
        <v>843</v>
      </c>
      <c r="B871" s="47" t="s">
        <v>3443</v>
      </c>
      <c r="C871" s="48" t="s">
        <v>3444</v>
      </c>
      <c r="D871" s="52" t="s">
        <v>73</v>
      </c>
      <c r="E871" s="52" t="s">
        <v>3417</v>
      </c>
      <c r="F871" s="55" t="s">
        <v>3201</v>
      </c>
      <c r="G871" s="51">
        <v>3</v>
      </c>
      <c r="H871" s="52" t="s">
        <v>3445</v>
      </c>
      <c r="I871" s="54">
        <v>834000</v>
      </c>
      <c r="J871" s="54">
        <v>0</v>
      </c>
      <c r="K871" s="54">
        <v>22000</v>
      </c>
      <c r="L871" s="54">
        <v>0</v>
      </c>
      <c r="M871" s="54">
        <v>0</v>
      </c>
      <c r="N871" s="54">
        <v>0</v>
      </c>
      <c r="O871" s="54">
        <v>0</v>
      </c>
      <c r="P871" s="54">
        <v>0</v>
      </c>
      <c r="Q871" s="54">
        <v>0</v>
      </c>
      <c r="R871" s="54">
        <v>0</v>
      </c>
      <c r="S871" s="54">
        <v>0</v>
      </c>
      <c r="T871" s="54">
        <v>0</v>
      </c>
      <c r="U871" s="54">
        <v>1397</v>
      </c>
      <c r="V871" s="54">
        <v>0</v>
      </c>
      <c r="W871" s="54">
        <v>0</v>
      </c>
      <c r="X871" s="54">
        <v>0</v>
      </c>
      <c r="Y871" s="54">
        <v>0</v>
      </c>
      <c r="Z871" s="54">
        <v>0</v>
      </c>
      <c r="AA871" s="54">
        <v>0</v>
      </c>
      <c r="AB871" s="54">
        <v>0</v>
      </c>
      <c r="AC871" s="54">
        <v>0</v>
      </c>
      <c r="AD871" s="54">
        <v>0</v>
      </c>
      <c r="AE871" s="54">
        <v>0</v>
      </c>
      <c r="AF871" s="54">
        <v>0</v>
      </c>
      <c r="AG871" s="54">
        <v>0</v>
      </c>
      <c r="AH871" s="54">
        <v>0</v>
      </c>
      <c r="AI871" s="54">
        <v>0</v>
      </c>
      <c r="AJ871" s="54">
        <v>0</v>
      </c>
      <c r="AK871" s="54">
        <v>0</v>
      </c>
      <c r="AL871" s="54">
        <v>0</v>
      </c>
      <c r="AM871" s="54" t="str">
        <f>I871-J871-K871-L871-M871-N871-O871-P871-Q871-R871-S871-T871-U871-V871-W871-X871-Y871-Z871-AA871-AB871-AC871-AD871-AE871-AF871-AG871+AH871-AI871+AJ871+AK871-AL871</f>
        <v>0</v>
      </c>
      <c r="AN871" s="54"/>
      <c r="AO871" s="27"/>
    </row>
    <row r="872" spans="1:41">
      <c r="A872" s="44">
        <v>844</v>
      </c>
      <c r="B872" s="47" t="s">
        <v>3446</v>
      </c>
      <c r="C872" s="48" t="s">
        <v>3447</v>
      </c>
      <c r="D872" s="52" t="s">
        <v>73</v>
      </c>
      <c r="E872" s="52" t="s">
        <v>3448</v>
      </c>
      <c r="F872" s="55" t="s">
        <v>3449</v>
      </c>
      <c r="G872" s="51">
        <v>6</v>
      </c>
      <c r="H872" s="52" t="s">
        <v>3450</v>
      </c>
      <c r="I872" s="54">
        <v>1035000</v>
      </c>
      <c r="J872" s="54">
        <v>0</v>
      </c>
      <c r="K872" s="54">
        <v>31000</v>
      </c>
      <c r="L872" s="54">
        <v>0</v>
      </c>
      <c r="M872" s="54">
        <v>0</v>
      </c>
      <c r="N872" s="54">
        <v>0</v>
      </c>
      <c r="O872" s="54">
        <v>0</v>
      </c>
      <c r="P872" s="54">
        <v>0</v>
      </c>
      <c r="Q872" s="54">
        <v>0</v>
      </c>
      <c r="R872" s="54">
        <v>0</v>
      </c>
      <c r="S872" s="54">
        <v>0</v>
      </c>
      <c r="T872" s="54">
        <v>0</v>
      </c>
      <c r="U872" s="54">
        <v>1968</v>
      </c>
      <c r="V872" s="54">
        <v>0</v>
      </c>
      <c r="W872" s="54">
        <v>0</v>
      </c>
      <c r="X872" s="54">
        <v>0</v>
      </c>
      <c r="Y872" s="54">
        <v>0</v>
      </c>
      <c r="Z872" s="54">
        <v>0</v>
      </c>
      <c r="AA872" s="54">
        <v>0</v>
      </c>
      <c r="AB872" s="54">
        <v>0</v>
      </c>
      <c r="AC872" s="54">
        <v>0</v>
      </c>
      <c r="AD872" s="54">
        <v>0</v>
      </c>
      <c r="AE872" s="54">
        <v>0</v>
      </c>
      <c r="AF872" s="54">
        <v>0</v>
      </c>
      <c r="AG872" s="54">
        <v>0</v>
      </c>
      <c r="AH872" s="54">
        <v>0</v>
      </c>
      <c r="AI872" s="54">
        <v>0</v>
      </c>
      <c r="AJ872" s="54">
        <v>0</v>
      </c>
      <c r="AK872" s="54">
        <v>0</v>
      </c>
      <c r="AL872" s="54">
        <v>0</v>
      </c>
      <c r="AM872" s="54" t="str">
        <f>I872-J872-K872-L872-M872-N872-O872-P872-Q872-R872-S872-T872-U872-V872-W872-X872-Y872-Z872-AA872-AB872-AC872-AD872-AE872-AF872-AG872+AH872-AI872+AJ872+AK872-AL872</f>
        <v>0</v>
      </c>
      <c r="AN872" s="54"/>
      <c r="AO872" s="27"/>
    </row>
    <row r="873" spans="1:41">
      <c r="A873" s="44">
        <v>845</v>
      </c>
      <c r="B873" s="47" t="s">
        <v>3451</v>
      </c>
      <c r="C873" s="48" t="s">
        <v>3452</v>
      </c>
      <c r="D873" s="52" t="s">
        <v>73</v>
      </c>
      <c r="E873" s="52" t="s">
        <v>3453</v>
      </c>
      <c r="F873" s="55" t="s">
        <v>893</v>
      </c>
      <c r="G873" s="51">
        <v>8</v>
      </c>
      <c r="H873" s="52" t="s">
        <v>3454</v>
      </c>
      <c r="I873" s="54">
        <v>1583000</v>
      </c>
      <c r="J873" s="54">
        <v>0</v>
      </c>
      <c r="K873" s="54">
        <v>39000</v>
      </c>
      <c r="L873" s="54">
        <v>0</v>
      </c>
      <c r="M873" s="54">
        <v>0</v>
      </c>
      <c r="N873" s="54">
        <v>0</v>
      </c>
      <c r="O873" s="54">
        <v>0</v>
      </c>
      <c r="P873" s="54">
        <v>0</v>
      </c>
      <c r="Q873" s="54">
        <v>0</v>
      </c>
      <c r="R873" s="54">
        <v>0</v>
      </c>
      <c r="S873" s="54">
        <v>0</v>
      </c>
      <c r="T873" s="54">
        <v>0</v>
      </c>
      <c r="U873" s="54">
        <v>2476</v>
      </c>
      <c r="V873" s="54">
        <v>0</v>
      </c>
      <c r="W873" s="54">
        <v>0</v>
      </c>
      <c r="X873" s="54">
        <v>0</v>
      </c>
      <c r="Y873" s="54">
        <v>0</v>
      </c>
      <c r="Z873" s="54">
        <v>0</v>
      </c>
      <c r="AA873" s="54">
        <v>0</v>
      </c>
      <c r="AB873" s="54">
        <v>0</v>
      </c>
      <c r="AC873" s="54">
        <v>0</v>
      </c>
      <c r="AD873" s="54">
        <v>0</v>
      </c>
      <c r="AE873" s="54">
        <v>0</v>
      </c>
      <c r="AF873" s="54">
        <v>0</v>
      </c>
      <c r="AG873" s="54">
        <v>0</v>
      </c>
      <c r="AH873" s="54">
        <v>0</v>
      </c>
      <c r="AI873" s="54">
        <v>0</v>
      </c>
      <c r="AJ873" s="54">
        <v>0</v>
      </c>
      <c r="AK873" s="54">
        <v>0</v>
      </c>
      <c r="AL873" s="54">
        <v>0</v>
      </c>
      <c r="AM873" s="54" t="str">
        <f>I873-J873-K873-L873-M873-N873-O873-P873-Q873-R873-S873-T873-U873-V873-W873-X873-Y873-Z873-AA873-AB873-AC873-AD873-AE873-AF873-AG873+AH873-AI873+AJ873+AK873-AL873</f>
        <v>0</v>
      </c>
      <c r="AN873" s="54"/>
      <c r="AO873" s="27"/>
    </row>
    <row r="874" spans="1:41">
      <c r="A874" s="44">
        <v>846</v>
      </c>
      <c r="B874" s="47" t="s">
        <v>3455</v>
      </c>
      <c r="C874" s="48" t="s">
        <v>3456</v>
      </c>
      <c r="D874" s="52" t="s">
        <v>73</v>
      </c>
      <c r="E874" s="52" t="s">
        <v>3457</v>
      </c>
      <c r="F874" s="55" t="s">
        <v>3458</v>
      </c>
      <c r="G874" s="51">
        <v>1</v>
      </c>
      <c r="H874" s="52" t="s">
        <v>3459</v>
      </c>
      <c r="I874" s="54">
        <v>0</v>
      </c>
      <c r="J874" s="54">
        <v>0</v>
      </c>
      <c r="K874" s="54">
        <v>22000</v>
      </c>
      <c r="L874" s="54">
        <v>0</v>
      </c>
      <c r="M874" s="54">
        <v>0</v>
      </c>
      <c r="N874" s="54">
        <v>0</v>
      </c>
      <c r="O874" s="54">
        <v>0</v>
      </c>
      <c r="P874" s="54">
        <v>0</v>
      </c>
      <c r="Q874" s="54">
        <v>0</v>
      </c>
      <c r="R874" s="54">
        <v>0</v>
      </c>
      <c r="S874" s="54">
        <v>0</v>
      </c>
      <c r="T874" s="54">
        <v>0</v>
      </c>
      <c r="U874" s="54">
        <v>1397</v>
      </c>
      <c r="V874" s="54">
        <v>0</v>
      </c>
      <c r="W874" s="54">
        <v>0</v>
      </c>
      <c r="X874" s="54">
        <v>0</v>
      </c>
      <c r="Y874" s="54">
        <v>0</v>
      </c>
      <c r="Z874" s="54">
        <v>0</v>
      </c>
      <c r="AA874" s="54">
        <v>0</v>
      </c>
      <c r="AB874" s="54">
        <v>0</v>
      </c>
      <c r="AC874" s="54">
        <v>0</v>
      </c>
      <c r="AD874" s="54">
        <v>0</v>
      </c>
      <c r="AE874" s="54">
        <v>0</v>
      </c>
      <c r="AF874" s="54">
        <v>0</v>
      </c>
      <c r="AG874" s="54">
        <v>0</v>
      </c>
      <c r="AH874" s="54">
        <v>0</v>
      </c>
      <c r="AI874" s="54">
        <v>0</v>
      </c>
      <c r="AJ874" s="54">
        <v>0</v>
      </c>
      <c r="AK874" s="54">
        <v>0</v>
      </c>
      <c r="AL874" s="54">
        <v>0</v>
      </c>
      <c r="AM874" s="54" t="str">
        <f>I874-J874-K874-L874-M874-N874-O874-P874-Q874-R874-S874-T874-U874-V874-W874-X874-Y874-Z874-AA874-AB874-AC874-AD874-AE874-AF874-AG874+AH874-AI874+AJ874+AK874-AL874</f>
        <v>0</v>
      </c>
      <c r="AN874" s="54"/>
      <c r="AO874" s="27"/>
    </row>
    <row r="875" spans="1:41">
      <c r="A875" s="44">
        <v>847</v>
      </c>
      <c r="B875" s="47" t="s">
        <v>3460</v>
      </c>
      <c r="C875" s="48" t="s">
        <v>3461</v>
      </c>
      <c r="D875" s="52" t="s">
        <v>73</v>
      </c>
      <c r="E875" s="52" t="s">
        <v>3457</v>
      </c>
      <c r="F875" s="55" t="s">
        <v>3462</v>
      </c>
      <c r="G875" s="51">
        <v>3</v>
      </c>
      <c r="H875" s="52" t="s">
        <v>3463</v>
      </c>
      <c r="I875" s="54">
        <v>0</v>
      </c>
      <c r="J875" s="54">
        <v>0</v>
      </c>
      <c r="K875" s="54">
        <v>22000</v>
      </c>
      <c r="L875" s="54">
        <v>0</v>
      </c>
      <c r="M875" s="54">
        <v>0</v>
      </c>
      <c r="N875" s="54">
        <v>0</v>
      </c>
      <c r="O875" s="54">
        <v>0</v>
      </c>
      <c r="P875" s="54">
        <v>0</v>
      </c>
      <c r="Q875" s="54">
        <v>0</v>
      </c>
      <c r="R875" s="54">
        <v>0</v>
      </c>
      <c r="S875" s="54">
        <v>0</v>
      </c>
      <c r="T875" s="54">
        <v>0</v>
      </c>
      <c r="U875" s="54">
        <v>1397</v>
      </c>
      <c r="V875" s="54">
        <v>0</v>
      </c>
      <c r="W875" s="54">
        <v>0</v>
      </c>
      <c r="X875" s="54">
        <v>0</v>
      </c>
      <c r="Y875" s="54">
        <v>0</v>
      </c>
      <c r="Z875" s="54">
        <v>0</v>
      </c>
      <c r="AA875" s="54">
        <v>0</v>
      </c>
      <c r="AB875" s="54">
        <v>0</v>
      </c>
      <c r="AC875" s="54">
        <v>0</v>
      </c>
      <c r="AD875" s="54">
        <v>0</v>
      </c>
      <c r="AE875" s="54">
        <v>0</v>
      </c>
      <c r="AF875" s="54">
        <v>0</v>
      </c>
      <c r="AG875" s="54">
        <v>0</v>
      </c>
      <c r="AH875" s="54">
        <v>0</v>
      </c>
      <c r="AI875" s="54">
        <v>0</v>
      </c>
      <c r="AJ875" s="54">
        <v>0</v>
      </c>
      <c r="AK875" s="54">
        <v>0</v>
      </c>
      <c r="AL875" s="54">
        <v>0</v>
      </c>
      <c r="AM875" s="54" t="str">
        <f>I875-J875-K875-L875-M875-N875-O875-P875-Q875-R875-S875-T875-U875-V875-W875-X875-Y875-Z875-AA875-AB875-AC875-AD875-AE875-AF875-AG875+AH875-AI875+AJ875+AK875-AL875</f>
        <v>0</v>
      </c>
      <c r="AN875" s="54"/>
      <c r="AO875" s="27"/>
    </row>
    <row r="876" spans="1:41">
      <c r="A876" s="44">
        <v>848</v>
      </c>
      <c r="B876" s="47" t="s">
        <v>3464</v>
      </c>
      <c r="C876" s="48" t="s">
        <v>3465</v>
      </c>
      <c r="D876" s="52" t="s">
        <v>73</v>
      </c>
      <c r="E876" s="52" t="s">
        <v>3457</v>
      </c>
      <c r="F876" s="55" t="s">
        <v>3466</v>
      </c>
      <c r="G876" s="51">
        <v>3</v>
      </c>
      <c r="H876" s="52" t="s">
        <v>3467</v>
      </c>
      <c r="I876" s="54">
        <v>0</v>
      </c>
      <c r="J876" s="54">
        <v>0</v>
      </c>
      <c r="K876" s="54">
        <v>22000</v>
      </c>
      <c r="L876" s="54">
        <v>0</v>
      </c>
      <c r="M876" s="54">
        <v>0</v>
      </c>
      <c r="N876" s="54">
        <v>0</v>
      </c>
      <c r="O876" s="54">
        <v>0</v>
      </c>
      <c r="P876" s="54">
        <v>0</v>
      </c>
      <c r="Q876" s="54">
        <v>0</v>
      </c>
      <c r="R876" s="54">
        <v>0</v>
      </c>
      <c r="S876" s="54">
        <v>0</v>
      </c>
      <c r="T876" s="54">
        <v>0</v>
      </c>
      <c r="U876" s="54">
        <v>1397</v>
      </c>
      <c r="V876" s="54">
        <v>0</v>
      </c>
      <c r="W876" s="54">
        <v>0</v>
      </c>
      <c r="X876" s="54">
        <v>0</v>
      </c>
      <c r="Y876" s="54">
        <v>0</v>
      </c>
      <c r="Z876" s="54">
        <v>0</v>
      </c>
      <c r="AA876" s="54">
        <v>0</v>
      </c>
      <c r="AB876" s="54">
        <v>0</v>
      </c>
      <c r="AC876" s="54">
        <v>0</v>
      </c>
      <c r="AD876" s="54">
        <v>0</v>
      </c>
      <c r="AE876" s="54">
        <v>0</v>
      </c>
      <c r="AF876" s="54">
        <v>0</v>
      </c>
      <c r="AG876" s="54">
        <v>0</v>
      </c>
      <c r="AH876" s="54">
        <v>0</v>
      </c>
      <c r="AI876" s="54">
        <v>0</v>
      </c>
      <c r="AJ876" s="54">
        <v>0</v>
      </c>
      <c r="AK876" s="54">
        <v>0</v>
      </c>
      <c r="AL876" s="54">
        <v>0</v>
      </c>
      <c r="AM876" s="54" t="str">
        <f>I876-J876-K876-L876-M876-N876-O876-P876-Q876-R876-S876-T876-U876-V876-W876-X876-Y876-Z876-AA876-AB876-AC876-AD876-AE876-AF876-AG876+AH876-AI876+AJ876+AK876-AL876</f>
        <v>0</v>
      </c>
      <c r="AN876" s="54"/>
      <c r="AO876" s="27"/>
    </row>
    <row r="877" spans="1:41">
      <c r="A877" s="44">
        <v>849</v>
      </c>
      <c r="B877" s="47" t="s">
        <v>3468</v>
      </c>
      <c r="C877" s="48" t="s">
        <v>3469</v>
      </c>
      <c r="D877" s="52" t="s">
        <v>73</v>
      </c>
      <c r="E877" s="52" t="s">
        <v>3457</v>
      </c>
      <c r="F877" s="55" t="s">
        <v>3470</v>
      </c>
      <c r="G877" s="51">
        <v>1</v>
      </c>
      <c r="H877" s="52" t="s">
        <v>3471</v>
      </c>
      <c r="I877" s="54">
        <v>0</v>
      </c>
      <c r="J877" s="54">
        <v>0</v>
      </c>
      <c r="K877" s="54">
        <v>22000</v>
      </c>
      <c r="L877" s="54">
        <v>0</v>
      </c>
      <c r="M877" s="54">
        <v>0</v>
      </c>
      <c r="N877" s="54">
        <v>0</v>
      </c>
      <c r="O877" s="54">
        <v>0</v>
      </c>
      <c r="P877" s="54">
        <v>0</v>
      </c>
      <c r="Q877" s="54">
        <v>0</v>
      </c>
      <c r="R877" s="54">
        <v>0</v>
      </c>
      <c r="S877" s="54">
        <v>0</v>
      </c>
      <c r="T877" s="54">
        <v>0</v>
      </c>
      <c r="U877" s="54">
        <v>1397</v>
      </c>
      <c r="V877" s="54">
        <v>0</v>
      </c>
      <c r="W877" s="54">
        <v>0</v>
      </c>
      <c r="X877" s="54">
        <v>0</v>
      </c>
      <c r="Y877" s="54">
        <v>0</v>
      </c>
      <c r="Z877" s="54">
        <v>0</v>
      </c>
      <c r="AA877" s="54">
        <v>0</v>
      </c>
      <c r="AB877" s="54">
        <v>0</v>
      </c>
      <c r="AC877" s="54">
        <v>0</v>
      </c>
      <c r="AD877" s="54">
        <v>0</v>
      </c>
      <c r="AE877" s="54">
        <v>0</v>
      </c>
      <c r="AF877" s="54">
        <v>0</v>
      </c>
      <c r="AG877" s="54">
        <v>0</v>
      </c>
      <c r="AH877" s="54">
        <v>0</v>
      </c>
      <c r="AI877" s="54">
        <v>0</v>
      </c>
      <c r="AJ877" s="54">
        <v>0</v>
      </c>
      <c r="AK877" s="54">
        <v>0</v>
      </c>
      <c r="AL877" s="54">
        <v>0</v>
      </c>
      <c r="AM877" s="54" t="str">
        <f>I877-J877-K877-L877-M877-N877-O877-P877-Q877-R877-S877-T877-U877-V877-W877-X877-Y877-Z877-AA877-AB877-AC877-AD877-AE877-AF877-AG877+AH877-AI877+AJ877+AK877-AL877</f>
        <v>0</v>
      </c>
      <c r="AN877" s="54"/>
      <c r="AO877" s="27"/>
    </row>
    <row r="878" spans="1:41">
      <c r="A878" s="44">
        <v>850</v>
      </c>
      <c r="B878" s="47" t="s">
        <v>3472</v>
      </c>
      <c r="C878" s="48" t="s">
        <v>3473</v>
      </c>
      <c r="D878" s="52" t="s">
        <v>73</v>
      </c>
      <c r="E878" s="52" t="s">
        <v>3457</v>
      </c>
      <c r="F878" s="55" t="s">
        <v>3474</v>
      </c>
      <c r="G878" s="51">
        <v>3</v>
      </c>
      <c r="H878" s="52" t="s">
        <v>3475</v>
      </c>
      <c r="I878" s="54">
        <v>0</v>
      </c>
      <c r="J878" s="54">
        <v>0</v>
      </c>
      <c r="K878" s="54">
        <v>22000</v>
      </c>
      <c r="L878" s="54">
        <v>0</v>
      </c>
      <c r="M878" s="54">
        <v>0</v>
      </c>
      <c r="N878" s="54">
        <v>0</v>
      </c>
      <c r="O878" s="54">
        <v>0</v>
      </c>
      <c r="P878" s="54">
        <v>0</v>
      </c>
      <c r="Q878" s="54">
        <v>0</v>
      </c>
      <c r="R878" s="54">
        <v>0</v>
      </c>
      <c r="S878" s="54">
        <v>0</v>
      </c>
      <c r="T878" s="54">
        <v>0</v>
      </c>
      <c r="U878" s="54">
        <v>1397</v>
      </c>
      <c r="V878" s="54">
        <v>0</v>
      </c>
      <c r="W878" s="54">
        <v>0</v>
      </c>
      <c r="X878" s="54">
        <v>0</v>
      </c>
      <c r="Y878" s="54">
        <v>0</v>
      </c>
      <c r="Z878" s="54">
        <v>0</v>
      </c>
      <c r="AA878" s="54">
        <v>0</v>
      </c>
      <c r="AB878" s="54">
        <v>0</v>
      </c>
      <c r="AC878" s="54">
        <v>0</v>
      </c>
      <c r="AD878" s="54">
        <v>0</v>
      </c>
      <c r="AE878" s="54">
        <v>0</v>
      </c>
      <c r="AF878" s="54">
        <v>0</v>
      </c>
      <c r="AG878" s="54">
        <v>0</v>
      </c>
      <c r="AH878" s="54">
        <v>0</v>
      </c>
      <c r="AI878" s="54">
        <v>0</v>
      </c>
      <c r="AJ878" s="54">
        <v>0</v>
      </c>
      <c r="AK878" s="54">
        <v>0</v>
      </c>
      <c r="AL878" s="54">
        <v>0</v>
      </c>
      <c r="AM878" s="54" t="str">
        <f>I878-J878-K878-L878-M878-N878-O878-P878-Q878-R878-S878-T878-U878-V878-W878-X878-Y878-Z878-AA878-AB878-AC878-AD878-AE878-AF878-AG878+AH878-AI878+AJ878+AK878-AL878</f>
        <v>0</v>
      </c>
      <c r="AN878" s="54"/>
      <c r="AO878" s="27"/>
    </row>
    <row r="879" spans="1:41">
      <c r="A879" s="44">
        <v>851</v>
      </c>
      <c r="B879" s="47" t="s">
        <v>3476</v>
      </c>
      <c r="C879" s="48" t="s">
        <v>3477</v>
      </c>
      <c r="D879" s="52" t="s">
        <v>73</v>
      </c>
      <c r="E879" s="52" t="s">
        <v>3457</v>
      </c>
      <c r="F879" s="55" t="s">
        <v>3478</v>
      </c>
      <c r="G879" s="51">
        <v>1</v>
      </c>
      <c r="H879" s="52" t="s">
        <v>3479</v>
      </c>
      <c r="I879" s="54">
        <v>0</v>
      </c>
      <c r="J879" s="54">
        <v>0</v>
      </c>
      <c r="K879" s="54">
        <v>22000</v>
      </c>
      <c r="L879" s="54">
        <v>0</v>
      </c>
      <c r="M879" s="54">
        <v>0</v>
      </c>
      <c r="N879" s="54">
        <v>0</v>
      </c>
      <c r="O879" s="54">
        <v>0</v>
      </c>
      <c r="P879" s="54">
        <v>0</v>
      </c>
      <c r="Q879" s="54">
        <v>0</v>
      </c>
      <c r="R879" s="54">
        <v>0</v>
      </c>
      <c r="S879" s="54">
        <v>0</v>
      </c>
      <c r="T879" s="54">
        <v>0</v>
      </c>
      <c r="U879" s="54">
        <v>1397</v>
      </c>
      <c r="V879" s="54">
        <v>0</v>
      </c>
      <c r="W879" s="54">
        <v>0</v>
      </c>
      <c r="X879" s="54">
        <v>0</v>
      </c>
      <c r="Y879" s="54">
        <v>0</v>
      </c>
      <c r="Z879" s="54">
        <v>0</v>
      </c>
      <c r="AA879" s="54">
        <v>0</v>
      </c>
      <c r="AB879" s="54">
        <v>0</v>
      </c>
      <c r="AC879" s="54">
        <v>0</v>
      </c>
      <c r="AD879" s="54">
        <v>0</v>
      </c>
      <c r="AE879" s="54">
        <v>0</v>
      </c>
      <c r="AF879" s="54">
        <v>0</v>
      </c>
      <c r="AG879" s="54">
        <v>0</v>
      </c>
      <c r="AH879" s="54">
        <v>0</v>
      </c>
      <c r="AI879" s="54">
        <v>0</v>
      </c>
      <c r="AJ879" s="54">
        <v>0</v>
      </c>
      <c r="AK879" s="54">
        <v>0</v>
      </c>
      <c r="AL879" s="54">
        <v>0</v>
      </c>
      <c r="AM879" s="54" t="str">
        <f>I879-J879-K879-L879-M879-N879-O879-P879-Q879-R879-S879-T879-U879-V879-W879-X879-Y879-Z879-AA879-AB879-AC879-AD879-AE879-AF879-AG879+AH879-AI879+AJ879+AK879-AL879</f>
        <v>0</v>
      </c>
      <c r="AN879" s="54"/>
      <c r="AO879" s="27"/>
    </row>
    <row r="880" spans="1:41">
      <c r="A880" s="44">
        <v>852</v>
      </c>
      <c r="B880" s="47" t="s">
        <v>3480</v>
      </c>
      <c r="C880" s="48" t="s">
        <v>3481</v>
      </c>
      <c r="D880" s="52" t="s">
        <v>73</v>
      </c>
      <c r="E880" s="52" t="s">
        <v>3457</v>
      </c>
      <c r="F880" s="55" t="s">
        <v>3482</v>
      </c>
      <c r="G880" s="51">
        <v>3</v>
      </c>
      <c r="H880" s="52" t="s">
        <v>3483</v>
      </c>
      <c r="I880" s="54">
        <v>0</v>
      </c>
      <c r="J880" s="54">
        <v>0</v>
      </c>
      <c r="K880" s="54">
        <v>22000</v>
      </c>
      <c r="L880" s="54">
        <v>0</v>
      </c>
      <c r="M880" s="54">
        <v>0</v>
      </c>
      <c r="N880" s="54">
        <v>0</v>
      </c>
      <c r="O880" s="54">
        <v>0</v>
      </c>
      <c r="P880" s="54">
        <v>0</v>
      </c>
      <c r="Q880" s="54">
        <v>0</v>
      </c>
      <c r="R880" s="54">
        <v>0</v>
      </c>
      <c r="S880" s="54">
        <v>0</v>
      </c>
      <c r="T880" s="54">
        <v>0</v>
      </c>
      <c r="U880" s="54">
        <v>1397</v>
      </c>
      <c r="V880" s="54">
        <v>0</v>
      </c>
      <c r="W880" s="54">
        <v>0</v>
      </c>
      <c r="X880" s="54">
        <v>0</v>
      </c>
      <c r="Y880" s="54">
        <v>0</v>
      </c>
      <c r="Z880" s="54">
        <v>0</v>
      </c>
      <c r="AA880" s="54">
        <v>0</v>
      </c>
      <c r="AB880" s="54">
        <v>0</v>
      </c>
      <c r="AC880" s="54">
        <v>0</v>
      </c>
      <c r="AD880" s="54">
        <v>0</v>
      </c>
      <c r="AE880" s="54">
        <v>0</v>
      </c>
      <c r="AF880" s="54">
        <v>0</v>
      </c>
      <c r="AG880" s="54">
        <v>0</v>
      </c>
      <c r="AH880" s="54">
        <v>0</v>
      </c>
      <c r="AI880" s="54">
        <v>0</v>
      </c>
      <c r="AJ880" s="54">
        <v>0</v>
      </c>
      <c r="AK880" s="54">
        <v>0</v>
      </c>
      <c r="AL880" s="54">
        <v>0</v>
      </c>
      <c r="AM880" s="54" t="str">
        <f>I880-J880-K880-L880-M880-N880-O880-P880-Q880-R880-S880-T880-U880-V880-W880-X880-Y880-Z880-AA880-AB880-AC880-AD880-AE880-AF880-AG880+AH880-AI880+AJ880+AK880-AL880</f>
        <v>0</v>
      </c>
      <c r="AN880" s="54"/>
      <c r="AO880" s="27"/>
    </row>
    <row r="881" spans="1:41">
      <c r="A881" s="44">
        <v>853</v>
      </c>
      <c r="B881" s="47" t="s">
        <v>3484</v>
      </c>
      <c r="C881" s="48" t="s">
        <v>3485</v>
      </c>
      <c r="D881" s="52" t="s">
        <v>73</v>
      </c>
      <c r="E881" s="52" t="s">
        <v>3457</v>
      </c>
      <c r="F881" s="55" t="s">
        <v>3486</v>
      </c>
      <c r="G881" s="51">
        <v>2</v>
      </c>
      <c r="H881" s="52" t="s">
        <v>3487</v>
      </c>
      <c r="I881" s="54">
        <v>0</v>
      </c>
      <c r="J881" s="54">
        <v>0</v>
      </c>
      <c r="K881" s="54">
        <v>22000</v>
      </c>
      <c r="L881" s="54">
        <v>0</v>
      </c>
      <c r="M881" s="54">
        <v>0</v>
      </c>
      <c r="N881" s="54">
        <v>0</v>
      </c>
      <c r="O881" s="54">
        <v>0</v>
      </c>
      <c r="P881" s="54">
        <v>0</v>
      </c>
      <c r="Q881" s="54">
        <v>0</v>
      </c>
      <c r="R881" s="54">
        <v>0</v>
      </c>
      <c r="S881" s="54">
        <v>0</v>
      </c>
      <c r="T881" s="54">
        <v>0</v>
      </c>
      <c r="U881" s="54">
        <v>1397</v>
      </c>
      <c r="V881" s="54">
        <v>0</v>
      </c>
      <c r="W881" s="54">
        <v>0</v>
      </c>
      <c r="X881" s="54">
        <v>0</v>
      </c>
      <c r="Y881" s="54">
        <v>0</v>
      </c>
      <c r="Z881" s="54">
        <v>0</v>
      </c>
      <c r="AA881" s="54">
        <v>0</v>
      </c>
      <c r="AB881" s="54">
        <v>0</v>
      </c>
      <c r="AC881" s="54">
        <v>0</v>
      </c>
      <c r="AD881" s="54">
        <v>0</v>
      </c>
      <c r="AE881" s="54">
        <v>0</v>
      </c>
      <c r="AF881" s="54">
        <v>0</v>
      </c>
      <c r="AG881" s="54">
        <v>0</v>
      </c>
      <c r="AH881" s="54">
        <v>0</v>
      </c>
      <c r="AI881" s="54">
        <v>0</v>
      </c>
      <c r="AJ881" s="54">
        <v>0</v>
      </c>
      <c r="AK881" s="54">
        <v>0</v>
      </c>
      <c r="AL881" s="54">
        <v>0</v>
      </c>
      <c r="AM881" s="54" t="str">
        <f>I881-J881-K881-L881-M881-N881-O881-P881-Q881-R881-S881-T881-U881-V881-W881-X881-Y881-Z881-AA881-AB881-AC881-AD881-AE881-AF881-AG881+AH881-AI881+AJ881+AK881-AL881</f>
        <v>0</v>
      </c>
      <c r="AN881" s="54"/>
      <c r="AO881" s="27"/>
    </row>
    <row r="882" spans="1:41">
      <c r="A882" s="44">
        <v>854</v>
      </c>
      <c r="B882" s="47" t="s">
        <v>3488</v>
      </c>
      <c r="C882" s="48" t="s">
        <v>3489</v>
      </c>
      <c r="D882" s="52" t="s">
        <v>73</v>
      </c>
      <c r="E882" s="52" t="s">
        <v>3490</v>
      </c>
      <c r="F882" s="55" t="s">
        <v>3491</v>
      </c>
      <c r="G882" s="51">
        <v>4</v>
      </c>
      <c r="H882" s="52" t="s">
        <v>3492</v>
      </c>
      <c r="I882" s="54">
        <v>0</v>
      </c>
      <c r="J882" s="54">
        <v>0</v>
      </c>
      <c r="K882" s="54">
        <v>25000</v>
      </c>
      <c r="L882" s="54">
        <v>0</v>
      </c>
      <c r="M882" s="54">
        <v>0</v>
      </c>
      <c r="N882" s="54">
        <v>0</v>
      </c>
      <c r="O882" s="54">
        <v>0</v>
      </c>
      <c r="P882" s="54">
        <v>0</v>
      </c>
      <c r="Q882" s="54">
        <v>0</v>
      </c>
      <c r="R882" s="54">
        <v>0</v>
      </c>
      <c r="S882" s="54">
        <v>0</v>
      </c>
      <c r="T882" s="54">
        <v>0</v>
      </c>
      <c r="U882" s="54">
        <v>1587</v>
      </c>
      <c r="V882" s="54">
        <v>0</v>
      </c>
      <c r="W882" s="54">
        <v>0</v>
      </c>
      <c r="X882" s="54">
        <v>0</v>
      </c>
      <c r="Y882" s="54">
        <v>5000</v>
      </c>
      <c r="Z882" s="54">
        <v>0</v>
      </c>
      <c r="AA882" s="54">
        <v>0</v>
      </c>
      <c r="AB882" s="54">
        <v>0</v>
      </c>
      <c r="AC882" s="54">
        <v>0</v>
      </c>
      <c r="AD882" s="54">
        <v>0</v>
      </c>
      <c r="AE882" s="54">
        <v>0</v>
      </c>
      <c r="AF882" s="54">
        <v>0</v>
      </c>
      <c r="AG882" s="54">
        <v>0</v>
      </c>
      <c r="AH882" s="54">
        <v>0</v>
      </c>
      <c r="AI882" s="54">
        <v>0</v>
      </c>
      <c r="AJ882" s="54">
        <v>0</v>
      </c>
      <c r="AK882" s="54">
        <v>0</v>
      </c>
      <c r="AL882" s="54">
        <v>0</v>
      </c>
      <c r="AM882" s="54" t="str">
        <f>I882-J882-K882-L882-M882-N882-O882-P882-Q882-R882-S882-T882-U882-V882-W882-X882-Y882-Z882-AA882-AB882-AC882-AD882-AE882-AF882-AG882+AH882-AI882+AJ882+AK882-AL882</f>
        <v>0</v>
      </c>
      <c r="AN882" s="54"/>
      <c r="AO882" s="27"/>
    </row>
    <row r="883" spans="1:41">
      <c r="A883" s="44">
        <v>855</v>
      </c>
      <c r="B883" s="47" t="s">
        <v>3493</v>
      </c>
      <c r="C883" s="48" t="s">
        <v>3494</v>
      </c>
      <c r="D883" s="52" t="s">
        <v>73</v>
      </c>
      <c r="E883" s="52" t="s">
        <v>3490</v>
      </c>
      <c r="F883" s="55" t="s">
        <v>3495</v>
      </c>
      <c r="G883" s="51">
        <v>1</v>
      </c>
      <c r="H883" s="52" t="s">
        <v>3496</v>
      </c>
      <c r="I883" s="54">
        <v>0</v>
      </c>
      <c r="J883" s="54">
        <v>0</v>
      </c>
      <c r="K883" s="54">
        <v>22000</v>
      </c>
      <c r="L883" s="54">
        <v>0</v>
      </c>
      <c r="M883" s="54">
        <v>0</v>
      </c>
      <c r="N883" s="54">
        <v>0</v>
      </c>
      <c r="O883" s="54">
        <v>0</v>
      </c>
      <c r="P883" s="54">
        <v>0</v>
      </c>
      <c r="Q883" s="54">
        <v>0</v>
      </c>
      <c r="R883" s="54">
        <v>0</v>
      </c>
      <c r="S883" s="54">
        <v>0</v>
      </c>
      <c r="T883" s="54">
        <v>0</v>
      </c>
      <c r="U883" s="54">
        <v>1397</v>
      </c>
      <c r="V883" s="54">
        <v>0</v>
      </c>
      <c r="W883" s="54">
        <v>0</v>
      </c>
      <c r="X883" s="54">
        <v>0</v>
      </c>
      <c r="Y883" s="54">
        <v>11000</v>
      </c>
      <c r="Z883" s="54">
        <v>0</v>
      </c>
      <c r="AA883" s="54">
        <v>0</v>
      </c>
      <c r="AB883" s="54">
        <v>0</v>
      </c>
      <c r="AC883" s="54">
        <v>0</v>
      </c>
      <c r="AD883" s="54">
        <v>0</v>
      </c>
      <c r="AE883" s="54">
        <v>0</v>
      </c>
      <c r="AF883" s="54">
        <v>0</v>
      </c>
      <c r="AG883" s="54">
        <v>0</v>
      </c>
      <c r="AH883" s="54">
        <v>0</v>
      </c>
      <c r="AI883" s="54">
        <v>0</v>
      </c>
      <c r="AJ883" s="54">
        <v>0</v>
      </c>
      <c r="AK883" s="54">
        <v>0</v>
      </c>
      <c r="AL883" s="54">
        <v>0</v>
      </c>
      <c r="AM883" s="54" t="str">
        <f>I883-J883-K883-L883-M883-N883-O883-P883-Q883-R883-S883-T883-U883-V883-W883-X883-Y883-Z883-AA883-AB883-AC883-AD883-AE883-AF883-AG883+AH883-AI883+AJ883+AK883-AL883</f>
        <v>0</v>
      </c>
      <c r="AN883" s="54"/>
      <c r="AO883" s="27"/>
    </row>
    <row r="884" spans="1:41">
      <c r="A884" s="44">
        <v>856</v>
      </c>
      <c r="B884" s="47" t="s">
        <v>3497</v>
      </c>
      <c r="C884" s="48" t="s">
        <v>3498</v>
      </c>
      <c r="D884" s="52" t="s">
        <v>73</v>
      </c>
      <c r="E884" s="52" t="s">
        <v>3490</v>
      </c>
      <c r="F884" s="55" t="s">
        <v>3499</v>
      </c>
      <c r="G884" s="51">
        <v>3</v>
      </c>
      <c r="H884" s="52" t="s">
        <v>3500</v>
      </c>
      <c r="I884" s="54">
        <v>0</v>
      </c>
      <c r="J884" s="54">
        <v>0</v>
      </c>
      <c r="K884" s="54">
        <v>22000</v>
      </c>
      <c r="L884" s="54">
        <v>0</v>
      </c>
      <c r="M884" s="54">
        <v>0</v>
      </c>
      <c r="N884" s="54">
        <v>0</v>
      </c>
      <c r="O884" s="54">
        <v>0</v>
      </c>
      <c r="P884" s="54">
        <v>0</v>
      </c>
      <c r="Q884" s="54">
        <v>0</v>
      </c>
      <c r="R884" s="54">
        <v>0</v>
      </c>
      <c r="S884" s="54">
        <v>0</v>
      </c>
      <c r="T884" s="54">
        <v>0</v>
      </c>
      <c r="U884" s="54">
        <v>1397</v>
      </c>
      <c r="V884" s="54">
        <v>0</v>
      </c>
      <c r="W884" s="54">
        <v>0</v>
      </c>
      <c r="X884" s="54">
        <v>0</v>
      </c>
      <c r="Y884" s="54">
        <v>11000</v>
      </c>
      <c r="Z884" s="54">
        <v>0</v>
      </c>
      <c r="AA884" s="54">
        <v>0</v>
      </c>
      <c r="AB884" s="54">
        <v>0</v>
      </c>
      <c r="AC884" s="54">
        <v>0</v>
      </c>
      <c r="AD884" s="54">
        <v>0</v>
      </c>
      <c r="AE884" s="54">
        <v>0</v>
      </c>
      <c r="AF884" s="54">
        <v>0</v>
      </c>
      <c r="AG884" s="54">
        <v>0</v>
      </c>
      <c r="AH884" s="54">
        <v>0</v>
      </c>
      <c r="AI884" s="54">
        <v>0</v>
      </c>
      <c r="AJ884" s="54">
        <v>0</v>
      </c>
      <c r="AK884" s="54">
        <v>0</v>
      </c>
      <c r="AL884" s="54">
        <v>0</v>
      </c>
      <c r="AM884" s="54" t="str">
        <f>I884-J884-K884-L884-M884-N884-O884-P884-Q884-R884-S884-T884-U884-V884-W884-X884-Y884-Z884-AA884-AB884-AC884-AD884-AE884-AF884-AG884+AH884-AI884+AJ884+AK884-AL884</f>
        <v>0</v>
      </c>
      <c r="AN884" s="54"/>
      <c r="AO884" s="27"/>
    </row>
    <row r="885" spans="1:41">
      <c r="A885" s="44">
        <v>857</v>
      </c>
      <c r="B885" s="47" t="s">
        <v>3501</v>
      </c>
      <c r="C885" s="48" t="s">
        <v>3502</v>
      </c>
      <c r="D885" s="52" t="s">
        <v>73</v>
      </c>
      <c r="E885" s="52" t="s">
        <v>3490</v>
      </c>
      <c r="F885" s="55" t="s">
        <v>3189</v>
      </c>
      <c r="G885" s="51">
        <v>14</v>
      </c>
      <c r="H885" s="52" t="s">
        <v>3503</v>
      </c>
      <c r="I885" s="54">
        <v>0</v>
      </c>
      <c r="J885" s="54">
        <v>59500</v>
      </c>
      <c r="K885" s="54">
        <v>56000</v>
      </c>
      <c r="L885" s="54">
        <v>0</v>
      </c>
      <c r="M885" s="54">
        <v>0</v>
      </c>
      <c r="N885" s="54">
        <v>0</v>
      </c>
      <c r="O885" s="54">
        <v>0</v>
      </c>
      <c r="P885" s="54">
        <v>0</v>
      </c>
      <c r="Q885" s="54">
        <v>0</v>
      </c>
      <c r="R885" s="54">
        <v>0</v>
      </c>
      <c r="S885" s="54">
        <v>0</v>
      </c>
      <c r="T885" s="54">
        <v>0</v>
      </c>
      <c r="U885" s="54">
        <v>3556</v>
      </c>
      <c r="V885" s="54">
        <v>0</v>
      </c>
      <c r="W885" s="54">
        <v>0</v>
      </c>
      <c r="X885" s="54">
        <v>0</v>
      </c>
      <c r="Y885" s="54">
        <v>28000</v>
      </c>
      <c r="Z885" s="54">
        <v>0</v>
      </c>
      <c r="AA885" s="54">
        <v>0</v>
      </c>
      <c r="AB885" s="54">
        <v>0</v>
      </c>
      <c r="AC885" s="54">
        <v>0</v>
      </c>
      <c r="AD885" s="54">
        <v>0</v>
      </c>
      <c r="AE885" s="54">
        <v>0</v>
      </c>
      <c r="AF885" s="54">
        <v>0</v>
      </c>
      <c r="AG885" s="54">
        <v>0</v>
      </c>
      <c r="AH885" s="54">
        <v>0</v>
      </c>
      <c r="AI885" s="54">
        <v>0</v>
      </c>
      <c r="AJ885" s="54">
        <v>0</v>
      </c>
      <c r="AK885" s="54">
        <v>0</v>
      </c>
      <c r="AL885" s="54">
        <v>0</v>
      </c>
      <c r="AM885" s="54" t="str">
        <f>I885-J885-K885-L885-M885-N885-O885-P885-Q885-R885-S885-T885-U885-V885-W885-X885-Y885-Z885-AA885-AB885-AC885-AD885-AE885-AF885-AG885+AH885-AI885+AJ885+AK885-AL885</f>
        <v>0</v>
      </c>
      <c r="AN885" s="54"/>
      <c r="AO885" s="27"/>
    </row>
    <row r="886" spans="1:41">
      <c r="A886" s="44">
        <v>858</v>
      </c>
      <c r="B886" s="47" t="s">
        <v>3504</v>
      </c>
      <c r="C886" s="48" t="s">
        <v>3505</v>
      </c>
      <c r="D886" s="52" t="s">
        <v>73</v>
      </c>
      <c r="E886" s="52" t="s">
        <v>3490</v>
      </c>
      <c r="F886" s="55" t="s">
        <v>3506</v>
      </c>
      <c r="G886" s="51">
        <v>3</v>
      </c>
      <c r="H886" s="52" t="s">
        <v>3507</v>
      </c>
      <c r="I886" s="54">
        <v>0</v>
      </c>
      <c r="J886" s="54">
        <v>0</v>
      </c>
      <c r="K886" s="54">
        <v>22000</v>
      </c>
      <c r="L886" s="54">
        <v>0</v>
      </c>
      <c r="M886" s="54">
        <v>0</v>
      </c>
      <c r="N886" s="54">
        <v>0</v>
      </c>
      <c r="O886" s="54">
        <v>0</v>
      </c>
      <c r="P886" s="54">
        <v>0</v>
      </c>
      <c r="Q886" s="54">
        <v>0</v>
      </c>
      <c r="R886" s="54">
        <v>0</v>
      </c>
      <c r="S886" s="54">
        <v>0</v>
      </c>
      <c r="T886" s="54">
        <v>0</v>
      </c>
      <c r="U886" s="54">
        <v>1397</v>
      </c>
      <c r="V886" s="54">
        <v>0</v>
      </c>
      <c r="W886" s="54">
        <v>0</v>
      </c>
      <c r="X886" s="54">
        <v>0</v>
      </c>
      <c r="Y886" s="54">
        <v>11000</v>
      </c>
      <c r="Z886" s="54">
        <v>0</v>
      </c>
      <c r="AA886" s="54">
        <v>0</v>
      </c>
      <c r="AB886" s="54">
        <v>0</v>
      </c>
      <c r="AC886" s="54">
        <v>0</v>
      </c>
      <c r="AD886" s="54">
        <v>0</v>
      </c>
      <c r="AE886" s="54">
        <v>0</v>
      </c>
      <c r="AF886" s="54">
        <v>0</v>
      </c>
      <c r="AG886" s="54">
        <v>0</v>
      </c>
      <c r="AH886" s="54">
        <v>0</v>
      </c>
      <c r="AI886" s="54">
        <v>0</v>
      </c>
      <c r="AJ886" s="54">
        <v>0</v>
      </c>
      <c r="AK886" s="54">
        <v>0</v>
      </c>
      <c r="AL886" s="54">
        <v>0</v>
      </c>
      <c r="AM886" s="54" t="str">
        <f>I886-J886-K886-L886-M886-N886-O886-P886-Q886-R886-S886-T886-U886-V886-W886-X886-Y886-Z886-AA886-AB886-AC886-AD886-AE886-AF886-AG886+AH886-AI886+AJ886+AK886-AL886</f>
        <v>0</v>
      </c>
      <c r="AN886" s="54"/>
      <c r="AO886" s="27"/>
    </row>
    <row r="887" spans="1:41">
      <c r="A887" s="44">
        <v>859</v>
      </c>
      <c r="B887" s="47" t="s">
        <v>3508</v>
      </c>
      <c r="C887" s="48" t="s">
        <v>3509</v>
      </c>
      <c r="D887" s="52" t="s">
        <v>73</v>
      </c>
      <c r="E887" s="52" t="s">
        <v>3490</v>
      </c>
      <c r="F887" s="55" t="s">
        <v>3510</v>
      </c>
      <c r="G887" s="51">
        <v>8</v>
      </c>
      <c r="H887" s="52" t="s">
        <v>3511</v>
      </c>
      <c r="I887" s="54">
        <v>0</v>
      </c>
      <c r="J887" s="54">
        <v>0</v>
      </c>
      <c r="K887" s="54">
        <v>39000</v>
      </c>
      <c r="L887" s="54">
        <v>0</v>
      </c>
      <c r="M887" s="54">
        <v>0</v>
      </c>
      <c r="N887" s="54">
        <v>0</v>
      </c>
      <c r="O887" s="54">
        <v>0</v>
      </c>
      <c r="P887" s="54">
        <v>0</v>
      </c>
      <c r="Q887" s="54">
        <v>0</v>
      </c>
      <c r="R887" s="54">
        <v>0</v>
      </c>
      <c r="S887" s="54">
        <v>0</v>
      </c>
      <c r="T887" s="54">
        <v>0</v>
      </c>
      <c r="U887" s="54">
        <v>2476</v>
      </c>
      <c r="V887" s="54">
        <v>0</v>
      </c>
      <c r="W887" s="54">
        <v>0</v>
      </c>
      <c r="X887" s="54">
        <v>0</v>
      </c>
      <c r="Y887" s="54">
        <v>5000</v>
      </c>
      <c r="Z887" s="54">
        <v>0</v>
      </c>
      <c r="AA887" s="54">
        <v>0</v>
      </c>
      <c r="AB887" s="54">
        <v>0</v>
      </c>
      <c r="AC887" s="54">
        <v>0</v>
      </c>
      <c r="AD887" s="54">
        <v>0</v>
      </c>
      <c r="AE887" s="54">
        <v>0</v>
      </c>
      <c r="AF887" s="54">
        <v>0</v>
      </c>
      <c r="AG887" s="54">
        <v>0</v>
      </c>
      <c r="AH887" s="54">
        <v>0</v>
      </c>
      <c r="AI887" s="54">
        <v>0</v>
      </c>
      <c r="AJ887" s="54">
        <v>0</v>
      </c>
      <c r="AK887" s="54">
        <v>0</v>
      </c>
      <c r="AL887" s="54">
        <v>0</v>
      </c>
      <c r="AM887" s="54" t="str">
        <f>I887-J887-K887-L887-M887-N887-O887-P887-Q887-R887-S887-T887-U887-V887-W887-X887-Y887-Z887-AA887-AB887-AC887-AD887-AE887-AF887-AG887+AH887-AI887+AJ887+AK887-AL887</f>
        <v>0</v>
      </c>
      <c r="AN887" s="54"/>
      <c r="AO887" s="27"/>
    </row>
    <row r="888" spans="1:41">
      <c r="A888" s="44">
        <v>860</v>
      </c>
      <c r="B888" s="47" t="s">
        <v>3512</v>
      </c>
      <c r="C888" s="48" t="s">
        <v>3513</v>
      </c>
      <c r="D888" s="52" t="s">
        <v>73</v>
      </c>
      <c r="E888" s="52" t="s">
        <v>3490</v>
      </c>
      <c r="F888" s="55" t="s">
        <v>3514</v>
      </c>
      <c r="G888" s="51">
        <v>3</v>
      </c>
      <c r="H888" s="52" t="s">
        <v>3515</v>
      </c>
      <c r="I888" s="54">
        <v>0</v>
      </c>
      <c r="J888" s="54">
        <v>0</v>
      </c>
      <c r="K888" s="54">
        <v>22000</v>
      </c>
      <c r="L888" s="54">
        <v>0</v>
      </c>
      <c r="M888" s="54">
        <v>0</v>
      </c>
      <c r="N888" s="54">
        <v>0</v>
      </c>
      <c r="O888" s="54">
        <v>0</v>
      </c>
      <c r="P888" s="54">
        <v>0</v>
      </c>
      <c r="Q888" s="54">
        <v>0</v>
      </c>
      <c r="R888" s="54">
        <v>0</v>
      </c>
      <c r="S888" s="54">
        <v>0</v>
      </c>
      <c r="T888" s="54">
        <v>0</v>
      </c>
      <c r="U888" s="54">
        <v>1397</v>
      </c>
      <c r="V888" s="54">
        <v>0</v>
      </c>
      <c r="W888" s="54">
        <v>0</v>
      </c>
      <c r="X888" s="54">
        <v>0</v>
      </c>
      <c r="Y888" s="54">
        <v>11000</v>
      </c>
      <c r="Z888" s="54">
        <v>0</v>
      </c>
      <c r="AA888" s="54">
        <v>0</v>
      </c>
      <c r="AB888" s="54">
        <v>0</v>
      </c>
      <c r="AC888" s="54">
        <v>0</v>
      </c>
      <c r="AD888" s="54">
        <v>0</v>
      </c>
      <c r="AE888" s="54">
        <v>0</v>
      </c>
      <c r="AF888" s="54">
        <v>0</v>
      </c>
      <c r="AG888" s="54">
        <v>0</v>
      </c>
      <c r="AH888" s="54">
        <v>0</v>
      </c>
      <c r="AI888" s="54">
        <v>0</v>
      </c>
      <c r="AJ888" s="54">
        <v>0</v>
      </c>
      <c r="AK888" s="54">
        <v>0</v>
      </c>
      <c r="AL888" s="54">
        <v>0</v>
      </c>
      <c r="AM888" s="54" t="str">
        <f>I888-J888-K888-L888-M888-N888-O888-P888-Q888-R888-S888-T888-U888-V888-W888-X888-Y888-Z888-AA888-AB888-AC888-AD888-AE888-AF888-AG888+AH888-AI888+AJ888+AK888-AL888</f>
        <v>0</v>
      </c>
      <c r="AN888" s="54"/>
      <c r="AO888" s="27"/>
    </row>
    <row r="889" spans="1:41">
      <c r="A889" s="44">
        <v>861</v>
      </c>
      <c r="B889" s="47" t="s">
        <v>3516</v>
      </c>
      <c r="C889" s="48" t="s">
        <v>3517</v>
      </c>
      <c r="D889" s="52" t="s">
        <v>73</v>
      </c>
      <c r="E889" s="52" t="s">
        <v>3490</v>
      </c>
      <c r="F889" s="55" t="s">
        <v>2581</v>
      </c>
      <c r="G889" s="51">
        <v>5</v>
      </c>
      <c r="H889" s="52" t="s">
        <v>3518</v>
      </c>
      <c r="I889" s="54">
        <v>0</v>
      </c>
      <c r="J889" s="54">
        <v>0</v>
      </c>
      <c r="K889" s="54">
        <v>27000</v>
      </c>
      <c r="L889" s="54">
        <v>0</v>
      </c>
      <c r="M889" s="54">
        <v>0</v>
      </c>
      <c r="N889" s="54">
        <v>0</v>
      </c>
      <c r="O889" s="54">
        <v>0</v>
      </c>
      <c r="P889" s="54">
        <v>0</v>
      </c>
      <c r="Q889" s="54">
        <v>0</v>
      </c>
      <c r="R889" s="54">
        <v>0</v>
      </c>
      <c r="S889" s="54">
        <v>0</v>
      </c>
      <c r="T889" s="54">
        <v>0</v>
      </c>
      <c r="U889" s="54">
        <v>1714</v>
      </c>
      <c r="V889" s="54">
        <v>0</v>
      </c>
      <c r="W889" s="54">
        <v>0</v>
      </c>
      <c r="X889" s="54">
        <v>0</v>
      </c>
      <c r="Y889" s="54">
        <v>5000</v>
      </c>
      <c r="Z889" s="54">
        <v>0</v>
      </c>
      <c r="AA889" s="54">
        <v>0</v>
      </c>
      <c r="AB889" s="54">
        <v>0</v>
      </c>
      <c r="AC889" s="54">
        <v>0</v>
      </c>
      <c r="AD889" s="54">
        <v>0</v>
      </c>
      <c r="AE889" s="54">
        <v>0</v>
      </c>
      <c r="AF889" s="54">
        <v>0</v>
      </c>
      <c r="AG889" s="54">
        <v>0</v>
      </c>
      <c r="AH889" s="54">
        <v>0</v>
      </c>
      <c r="AI889" s="54">
        <v>0</v>
      </c>
      <c r="AJ889" s="54">
        <v>0</v>
      </c>
      <c r="AK889" s="54">
        <v>0</v>
      </c>
      <c r="AL889" s="54">
        <v>0</v>
      </c>
      <c r="AM889" s="54" t="str">
        <f>I889-J889-K889-L889-M889-N889-O889-P889-Q889-R889-S889-T889-U889-V889-W889-X889-Y889-Z889-AA889-AB889-AC889-AD889-AE889-AF889-AG889+AH889-AI889+AJ889+AK889-AL889</f>
        <v>0</v>
      </c>
      <c r="AN889" s="54"/>
      <c r="AO889" s="27"/>
    </row>
    <row r="890" spans="1:41">
      <c r="A890" s="44">
        <v>862</v>
      </c>
      <c r="B890" s="47" t="s">
        <v>3519</v>
      </c>
      <c r="C890" s="48" t="s">
        <v>3520</v>
      </c>
      <c r="D890" s="52" t="s">
        <v>73</v>
      </c>
      <c r="E890" s="52" t="s">
        <v>3490</v>
      </c>
      <c r="F890" s="55" t="s">
        <v>3521</v>
      </c>
      <c r="G890" s="51">
        <v>2</v>
      </c>
      <c r="H890" s="52" t="s">
        <v>3522</v>
      </c>
      <c r="I890" s="54">
        <v>0</v>
      </c>
      <c r="J890" s="54">
        <v>0</v>
      </c>
      <c r="K890" s="54">
        <v>22000</v>
      </c>
      <c r="L890" s="54">
        <v>0</v>
      </c>
      <c r="M890" s="54">
        <v>0</v>
      </c>
      <c r="N890" s="54">
        <v>0</v>
      </c>
      <c r="O890" s="54">
        <v>0</v>
      </c>
      <c r="P890" s="54">
        <v>0</v>
      </c>
      <c r="Q890" s="54">
        <v>0</v>
      </c>
      <c r="R890" s="54">
        <v>0</v>
      </c>
      <c r="S890" s="54">
        <v>0</v>
      </c>
      <c r="T890" s="54">
        <v>0</v>
      </c>
      <c r="U890" s="54">
        <v>1397</v>
      </c>
      <c r="V890" s="54">
        <v>0</v>
      </c>
      <c r="W890" s="54">
        <v>0</v>
      </c>
      <c r="X890" s="54">
        <v>0</v>
      </c>
      <c r="Y890" s="54">
        <v>11000</v>
      </c>
      <c r="Z890" s="54">
        <v>0</v>
      </c>
      <c r="AA890" s="54">
        <v>0</v>
      </c>
      <c r="AB890" s="54">
        <v>0</v>
      </c>
      <c r="AC890" s="54">
        <v>0</v>
      </c>
      <c r="AD890" s="54">
        <v>0</v>
      </c>
      <c r="AE890" s="54">
        <v>0</v>
      </c>
      <c r="AF890" s="54">
        <v>0</v>
      </c>
      <c r="AG890" s="54">
        <v>0</v>
      </c>
      <c r="AH890" s="54">
        <v>0</v>
      </c>
      <c r="AI890" s="54">
        <v>0</v>
      </c>
      <c r="AJ890" s="54">
        <v>0</v>
      </c>
      <c r="AK890" s="54">
        <v>0</v>
      </c>
      <c r="AL890" s="54">
        <v>0</v>
      </c>
      <c r="AM890" s="54" t="str">
        <f>I890-J890-K890-L890-M890-N890-O890-P890-Q890-R890-S890-T890-U890-V890-W890-X890-Y890-Z890-AA890-AB890-AC890-AD890-AE890-AF890-AG890+AH890-AI890+AJ890+AK890-AL890</f>
        <v>0</v>
      </c>
      <c r="AN890" s="54"/>
      <c r="AO890" s="27"/>
    </row>
    <row r="891" spans="1:41">
      <c r="A891" s="44">
        <v>863</v>
      </c>
      <c r="B891" s="47" t="s">
        <v>3523</v>
      </c>
      <c r="C891" s="48" t="s">
        <v>3524</v>
      </c>
      <c r="D891" s="52" t="s">
        <v>73</v>
      </c>
      <c r="E891" s="52" t="s">
        <v>3490</v>
      </c>
      <c r="F891" s="55" t="s">
        <v>3525</v>
      </c>
      <c r="G891" s="51">
        <v>3</v>
      </c>
      <c r="H891" s="52" t="s">
        <v>3526</v>
      </c>
      <c r="I891" s="54">
        <v>0</v>
      </c>
      <c r="J891" s="54">
        <v>0</v>
      </c>
      <c r="K891" s="54">
        <v>22000</v>
      </c>
      <c r="L891" s="54">
        <v>0</v>
      </c>
      <c r="M891" s="54">
        <v>0</v>
      </c>
      <c r="N891" s="54">
        <v>0</v>
      </c>
      <c r="O891" s="54">
        <v>0</v>
      </c>
      <c r="P891" s="54">
        <v>0</v>
      </c>
      <c r="Q891" s="54">
        <v>0</v>
      </c>
      <c r="R891" s="54">
        <v>0</v>
      </c>
      <c r="S891" s="54">
        <v>0</v>
      </c>
      <c r="T891" s="54">
        <v>0</v>
      </c>
      <c r="U891" s="54">
        <v>1397</v>
      </c>
      <c r="V891" s="54">
        <v>0</v>
      </c>
      <c r="W891" s="54">
        <v>0</v>
      </c>
      <c r="X891" s="54">
        <v>0</v>
      </c>
      <c r="Y891" s="54">
        <v>5000</v>
      </c>
      <c r="Z891" s="54">
        <v>0</v>
      </c>
      <c r="AA891" s="54">
        <v>0</v>
      </c>
      <c r="AB891" s="54">
        <v>0</v>
      </c>
      <c r="AC891" s="54">
        <v>0</v>
      </c>
      <c r="AD891" s="54">
        <v>0</v>
      </c>
      <c r="AE891" s="54">
        <v>0</v>
      </c>
      <c r="AF891" s="54">
        <v>0</v>
      </c>
      <c r="AG891" s="54">
        <v>0</v>
      </c>
      <c r="AH891" s="54">
        <v>0</v>
      </c>
      <c r="AI891" s="54">
        <v>0</v>
      </c>
      <c r="AJ891" s="54">
        <v>0</v>
      </c>
      <c r="AK891" s="54">
        <v>0</v>
      </c>
      <c r="AL891" s="54">
        <v>0</v>
      </c>
      <c r="AM891" s="54" t="str">
        <f>I891-J891-K891-L891-M891-N891-O891-P891-Q891-R891-S891-T891-U891-V891-W891-X891-Y891-Z891-AA891-AB891-AC891-AD891-AE891-AF891-AG891+AH891-AI891+AJ891+AK891-AL891</f>
        <v>0</v>
      </c>
      <c r="AN891" s="54"/>
      <c r="AO891" s="27"/>
    </row>
    <row r="892" spans="1:41">
      <c r="A892" s="44">
        <v>864</v>
      </c>
      <c r="B892" s="47" t="s">
        <v>3527</v>
      </c>
      <c r="C892" s="48" t="s">
        <v>3528</v>
      </c>
      <c r="D892" s="52" t="s">
        <v>73</v>
      </c>
      <c r="E892" s="52" t="s">
        <v>3529</v>
      </c>
      <c r="F892" s="55" t="s">
        <v>3530</v>
      </c>
      <c r="G892" s="51">
        <v>8</v>
      </c>
      <c r="H892" s="52" t="s">
        <v>3531</v>
      </c>
      <c r="I892" s="54">
        <v>0</v>
      </c>
      <c r="J892" s="54">
        <v>0</v>
      </c>
      <c r="K892" s="54">
        <v>39000</v>
      </c>
      <c r="L892" s="54">
        <v>0</v>
      </c>
      <c r="M892" s="54">
        <v>0</v>
      </c>
      <c r="N892" s="54">
        <v>0</v>
      </c>
      <c r="O892" s="54">
        <v>0</v>
      </c>
      <c r="P892" s="54">
        <v>0</v>
      </c>
      <c r="Q892" s="54">
        <v>0</v>
      </c>
      <c r="R892" s="54">
        <v>0</v>
      </c>
      <c r="S892" s="54">
        <v>0</v>
      </c>
      <c r="T892" s="54">
        <v>0</v>
      </c>
      <c r="U892" s="54">
        <v>2476</v>
      </c>
      <c r="V892" s="54">
        <v>0</v>
      </c>
      <c r="W892" s="54">
        <v>0</v>
      </c>
      <c r="X892" s="54">
        <v>0</v>
      </c>
      <c r="Y892" s="54">
        <v>19500</v>
      </c>
      <c r="Z892" s="54">
        <v>0</v>
      </c>
      <c r="AA892" s="54">
        <v>0</v>
      </c>
      <c r="AB892" s="54">
        <v>0</v>
      </c>
      <c r="AC892" s="54">
        <v>0</v>
      </c>
      <c r="AD892" s="54">
        <v>0</v>
      </c>
      <c r="AE892" s="54">
        <v>0</v>
      </c>
      <c r="AF892" s="54">
        <v>0</v>
      </c>
      <c r="AG892" s="54">
        <v>0</v>
      </c>
      <c r="AH892" s="54">
        <v>0</v>
      </c>
      <c r="AI892" s="54">
        <v>0</v>
      </c>
      <c r="AJ892" s="54">
        <v>0</v>
      </c>
      <c r="AK892" s="54">
        <v>0</v>
      </c>
      <c r="AL892" s="54">
        <v>0</v>
      </c>
      <c r="AM892" s="54" t="str">
        <f>I892-J892-K892-L892-M892-N892-O892-P892-Q892-R892-S892-T892-U892-V892-W892-X892-Y892-Z892-AA892-AB892-AC892-AD892-AE892-AF892-AG892+AH892-AI892+AJ892+AK892-AL892</f>
        <v>0</v>
      </c>
      <c r="AN892" s="54"/>
      <c r="AO892" s="27"/>
    </row>
    <row r="893" spans="1:41">
      <c r="A893" s="44">
        <v>865</v>
      </c>
      <c r="B893" s="47" t="s">
        <v>3532</v>
      </c>
      <c r="C893" s="48" t="s">
        <v>3533</v>
      </c>
      <c r="D893" s="52" t="s">
        <v>73</v>
      </c>
      <c r="E893" s="52" t="s">
        <v>3529</v>
      </c>
      <c r="F893" s="55" t="s">
        <v>3534</v>
      </c>
      <c r="G893" s="51">
        <v>5</v>
      </c>
      <c r="H893" s="52" t="s">
        <v>3535</v>
      </c>
      <c r="I893" s="54">
        <v>0</v>
      </c>
      <c r="J893" s="54">
        <v>0</v>
      </c>
      <c r="K893" s="54">
        <v>27000</v>
      </c>
      <c r="L893" s="54">
        <v>0</v>
      </c>
      <c r="M893" s="54">
        <v>0</v>
      </c>
      <c r="N893" s="54">
        <v>0</v>
      </c>
      <c r="O893" s="54">
        <v>0</v>
      </c>
      <c r="P893" s="54">
        <v>0</v>
      </c>
      <c r="Q893" s="54">
        <v>0</v>
      </c>
      <c r="R893" s="54">
        <v>0</v>
      </c>
      <c r="S893" s="54">
        <v>0</v>
      </c>
      <c r="T893" s="54">
        <v>0</v>
      </c>
      <c r="U893" s="54">
        <v>1714</v>
      </c>
      <c r="V893" s="54">
        <v>0</v>
      </c>
      <c r="W893" s="54">
        <v>0</v>
      </c>
      <c r="X893" s="54">
        <v>0</v>
      </c>
      <c r="Y893" s="54">
        <v>13500</v>
      </c>
      <c r="Z893" s="54">
        <v>0</v>
      </c>
      <c r="AA893" s="54">
        <v>0</v>
      </c>
      <c r="AB893" s="54">
        <v>0</v>
      </c>
      <c r="AC893" s="54">
        <v>0</v>
      </c>
      <c r="AD893" s="54">
        <v>0</v>
      </c>
      <c r="AE893" s="54">
        <v>0</v>
      </c>
      <c r="AF893" s="54">
        <v>0</v>
      </c>
      <c r="AG893" s="54">
        <v>0</v>
      </c>
      <c r="AH893" s="54">
        <v>0</v>
      </c>
      <c r="AI893" s="54">
        <v>0</v>
      </c>
      <c r="AJ893" s="54">
        <v>0</v>
      </c>
      <c r="AK893" s="54">
        <v>0</v>
      </c>
      <c r="AL893" s="54">
        <v>0</v>
      </c>
      <c r="AM893" s="54" t="str">
        <f>I893-J893-K893-L893-M893-N893-O893-P893-Q893-R893-S893-T893-U893-V893-W893-X893-Y893-Z893-AA893-AB893-AC893-AD893-AE893-AF893-AG893+AH893-AI893+AJ893+AK893-AL893</f>
        <v>0</v>
      </c>
      <c r="AN893" s="54"/>
      <c r="AO893" s="27"/>
    </row>
    <row r="894" spans="1:41">
      <c r="A894" s="44">
        <v>866</v>
      </c>
      <c r="B894" s="47" t="s">
        <v>3536</v>
      </c>
      <c r="C894" s="48" t="s">
        <v>3537</v>
      </c>
      <c r="D894" s="52" t="s">
        <v>73</v>
      </c>
      <c r="E894" s="52" t="s">
        <v>3529</v>
      </c>
      <c r="F894" s="55" t="s">
        <v>3538</v>
      </c>
      <c r="G894" s="51">
        <v>3</v>
      </c>
      <c r="H894" s="52" t="s">
        <v>3539</v>
      </c>
      <c r="I894" s="54">
        <v>0</v>
      </c>
      <c r="J894" s="54">
        <v>0</v>
      </c>
      <c r="K894" s="54">
        <v>22000</v>
      </c>
      <c r="L894" s="54">
        <v>0</v>
      </c>
      <c r="M894" s="54">
        <v>0</v>
      </c>
      <c r="N894" s="54">
        <v>0</v>
      </c>
      <c r="O894" s="54">
        <v>0</v>
      </c>
      <c r="P894" s="54">
        <v>0</v>
      </c>
      <c r="Q894" s="54">
        <v>0</v>
      </c>
      <c r="R894" s="54">
        <v>0</v>
      </c>
      <c r="S894" s="54">
        <v>0</v>
      </c>
      <c r="T894" s="54">
        <v>0</v>
      </c>
      <c r="U894" s="54">
        <v>1397</v>
      </c>
      <c r="V894" s="54">
        <v>0</v>
      </c>
      <c r="W894" s="54">
        <v>0</v>
      </c>
      <c r="X894" s="54">
        <v>0</v>
      </c>
      <c r="Y894" s="54">
        <v>11000</v>
      </c>
      <c r="Z894" s="54">
        <v>0</v>
      </c>
      <c r="AA894" s="54">
        <v>0</v>
      </c>
      <c r="AB894" s="54">
        <v>0</v>
      </c>
      <c r="AC894" s="54">
        <v>0</v>
      </c>
      <c r="AD894" s="54">
        <v>0</v>
      </c>
      <c r="AE894" s="54">
        <v>0</v>
      </c>
      <c r="AF894" s="54">
        <v>0</v>
      </c>
      <c r="AG894" s="54">
        <v>0</v>
      </c>
      <c r="AH894" s="54">
        <v>0</v>
      </c>
      <c r="AI894" s="54">
        <v>0</v>
      </c>
      <c r="AJ894" s="54">
        <v>0</v>
      </c>
      <c r="AK894" s="54">
        <v>0</v>
      </c>
      <c r="AL894" s="54">
        <v>0</v>
      </c>
      <c r="AM894" s="54" t="str">
        <f>I894-J894-K894-L894-M894-N894-O894-P894-Q894-R894-S894-T894-U894-V894-W894-X894-Y894-Z894-AA894-AB894-AC894-AD894-AE894-AF894-AG894+AH894-AI894+AJ894+AK894-AL894</f>
        <v>0</v>
      </c>
      <c r="AN894" s="54"/>
      <c r="AO894" s="27"/>
    </row>
    <row r="895" spans="1:41">
      <c r="A895" s="44">
        <v>867</v>
      </c>
      <c r="B895" s="47" t="s">
        <v>3540</v>
      </c>
      <c r="C895" s="48" t="s">
        <v>3541</v>
      </c>
      <c r="D895" s="52" t="s">
        <v>73</v>
      </c>
      <c r="E895" s="52" t="s">
        <v>3529</v>
      </c>
      <c r="F895" s="55" t="s">
        <v>3542</v>
      </c>
      <c r="G895" s="51">
        <v>3</v>
      </c>
      <c r="H895" s="52" t="s">
        <v>3543</v>
      </c>
      <c r="I895" s="54">
        <v>0</v>
      </c>
      <c r="J895" s="54">
        <v>0</v>
      </c>
      <c r="K895" s="54">
        <v>22000</v>
      </c>
      <c r="L895" s="54">
        <v>0</v>
      </c>
      <c r="M895" s="54">
        <v>0</v>
      </c>
      <c r="N895" s="54">
        <v>0</v>
      </c>
      <c r="O895" s="54">
        <v>0</v>
      </c>
      <c r="P895" s="54">
        <v>0</v>
      </c>
      <c r="Q895" s="54">
        <v>0</v>
      </c>
      <c r="R895" s="54">
        <v>0</v>
      </c>
      <c r="S895" s="54">
        <v>0</v>
      </c>
      <c r="T895" s="54">
        <v>0</v>
      </c>
      <c r="U895" s="54">
        <v>1397</v>
      </c>
      <c r="V895" s="54">
        <v>0</v>
      </c>
      <c r="W895" s="54">
        <v>0</v>
      </c>
      <c r="X895" s="54">
        <v>0</v>
      </c>
      <c r="Y895" s="54">
        <v>11000</v>
      </c>
      <c r="Z895" s="54">
        <v>0</v>
      </c>
      <c r="AA895" s="54">
        <v>0</v>
      </c>
      <c r="AB895" s="54">
        <v>0</v>
      </c>
      <c r="AC895" s="54">
        <v>0</v>
      </c>
      <c r="AD895" s="54">
        <v>0</v>
      </c>
      <c r="AE895" s="54">
        <v>0</v>
      </c>
      <c r="AF895" s="54">
        <v>0</v>
      </c>
      <c r="AG895" s="54">
        <v>0</v>
      </c>
      <c r="AH895" s="54">
        <v>0</v>
      </c>
      <c r="AI895" s="54">
        <v>0</v>
      </c>
      <c r="AJ895" s="54">
        <v>0</v>
      </c>
      <c r="AK895" s="54">
        <v>0</v>
      </c>
      <c r="AL895" s="54">
        <v>0</v>
      </c>
      <c r="AM895" s="54" t="str">
        <f>I895-J895-K895-L895-M895-N895-O895-P895-Q895-R895-S895-T895-U895-V895-W895-X895-Y895-Z895-AA895-AB895-AC895-AD895-AE895-AF895-AG895+AH895-AI895+AJ895+AK895-AL895</f>
        <v>0</v>
      </c>
      <c r="AN895" s="54"/>
      <c r="AO895" s="27"/>
    </row>
    <row r="896" spans="1:41">
      <c r="A896" s="44">
        <v>868</v>
      </c>
      <c r="B896" s="47" t="s">
        <v>3544</v>
      </c>
      <c r="C896" s="48" t="s">
        <v>3545</v>
      </c>
      <c r="D896" s="52" t="s">
        <v>73</v>
      </c>
      <c r="E896" s="52" t="s">
        <v>3529</v>
      </c>
      <c r="F896" s="55" t="s">
        <v>3546</v>
      </c>
      <c r="G896" s="51">
        <v>2</v>
      </c>
      <c r="H896" s="52" t="s">
        <v>3547</v>
      </c>
      <c r="I896" s="54">
        <v>0</v>
      </c>
      <c r="J896" s="54">
        <v>0</v>
      </c>
      <c r="K896" s="54">
        <v>22000</v>
      </c>
      <c r="L896" s="54">
        <v>0</v>
      </c>
      <c r="M896" s="54">
        <v>0</v>
      </c>
      <c r="N896" s="54">
        <v>0</v>
      </c>
      <c r="O896" s="54">
        <v>0</v>
      </c>
      <c r="P896" s="54">
        <v>0</v>
      </c>
      <c r="Q896" s="54">
        <v>0</v>
      </c>
      <c r="R896" s="54">
        <v>0</v>
      </c>
      <c r="S896" s="54">
        <v>0</v>
      </c>
      <c r="T896" s="54">
        <v>0</v>
      </c>
      <c r="U896" s="54">
        <v>1397</v>
      </c>
      <c r="V896" s="54">
        <v>0</v>
      </c>
      <c r="W896" s="54">
        <v>0</v>
      </c>
      <c r="X896" s="54">
        <v>0</v>
      </c>
      <c r="Y896" s="54">
        <v>5000</v>
      </c>
      <c r="Z896" s="54">
        <v>0</v>
      </c>
      <c r="AA896" s="54">
        <v>0</v>
      </c>
      <c r="AB896" s="54">
        <v>0</v>
      </c>
      <c r="AC896" s="54">
        <v>0</v>
      </c>
      <c r="AD896" s="54">
        <v>0</v>
      </c>
      <c r="AE896" s="54">
        <v>0</v>
      </c>
      <c r="AF896" s="54">
        <v>0</v>
      </c>
      <c r="AG896" s="54">
        <v>0</v>
      </c>
      <c r="AH896" s="54">
        <v>0</v>
      </c>
      <c r="AI896" s="54">
        <v>0</v>
      </c>
      <c r="AJ896" s="54">
        <v>0</v>
      </c>
      <c r="AK896" s="54">
        <v>0</v>
      </c>
      <c r="AL896" s="54">
        <v>0</v>
      </c>
      <c r="AM896" s="54" t="str">
        <f>I896-J896-K896-L896-M896-N896-O896-P896-Q896-R896-S896-T896-U896-V896-W896-X896-Y896-Z896-AA896-AB896-AC896-AD896-AE896-AF896-AG896+AH896-AI896+AJ896+AK896-AL896</f>
        <v>0</v>
      </c>
      <c r="AN896" s="54"/>
      <c r="AO896" s="27"/>
    </row>
    <row r="897" spans="1:41">
      <c r="A897" s="44">
        <v>869</v>
      </c>
      <c r="B897" s="47" t="s">
        <v>3548</v>
      </c>
      <c r="C897" s="48" t="s">
        <v>3549</v>
      </c>
      <c r="D897" s="52" t="s">
        <v>73</v>
      </c>
      <c r="E897" s="52" t="s">
        <v>3529</v>
      </c>
      <c r="F897" s="55" t="s">
        <v>2901</v>
      </c>
      <c r="G897" s="51">
        <v>4</v>
      </c>
      <c r="H897" s="52" t="s">
        <v>3550</v>
      </c>
      <c r="I897" s="54">
        <v>0</v>
      </c>
      <c r="J897" s="54">
        <v>0</v>
      </c>
      <c r="K897" s="54">
        <v>25000</v>
      </c>
      <c r="L897" s="54">
        <v>0</v>
      </c>
      <c r="M897" s="54">
        <v>0</v>
      </c>
      <c r="N897" s="54">
        <v>0</v>
      </c>
      <c r="O897" s="54">
        <v>0</v>
      </c>
      <c r="P897" s="54">
        <v>0</v>
      </c>
      <c r="Q897" s="54">
        <v>0</v>
      </c>
      <c r="R897" s="54">
        <v>0</v>
      </c>
      <c r="S897" s="54">
        <v>0</v>
      </c>
      <c r="T897" s="54">
        <v>0</v>
      </c>
      <c r="U897" s="54">
        <v>1587</v>
      </c>
      <c r="V897" s="54">
        <v>0</v>
      </c>
      <c r="W897" s="54">
        <v>0</v>
      </c>
      <c r="X897" s="54">
        <v>0</v>
      </c>
      <c r="Y897" s="54">
        <v>12500</v>
      </c>
      <c r="Z897" s="54">
        <v>0</v>
      </c>
      <c r="AA897" s="54">
        <v>0</v>
      </c>
      <c r="AB897" s="54">
        <v>0</v>
      </c>
      <c r="AC897" s="54">
        <v>0</v>
      </c>
      <c r="AD897" s="54">
        <v>0</v>
      </c>
      <c r="AE897" s="54">
        <v>0</v>
      </c>
      <c r="AF897" s="54">
        <v>0</v>
      </c>
      <c r="AG897" s="54">
        <v>0</v>
      </c>
      <c r="AH897" s="54">
        <v>0</v>
      </c>
      <c r="AI897" s="54">
        <v>0</v>
      </c>
      <c r="AJ897" s="54">
        <v>0</v>
      </c>
      <c r="AK897" s="54">
        <v>0</v>
      </c>
      <c r="AL897" s="54">
        <v>0</v>
      </c>
      <c r="AM897" s="54" t="str">
        <f>I897-J897-K897-L897-M897-N897-O897-P897-Q897-R897-S897-T897-U897-V897-W897-X897-Y897-Z897-AA897-AB897-AC897-AD897-AE897-AF897-AG897+AH897-AI897+AJ897+AK897-AL897</f>
        <v>0</v>
      </c>
      <c r="AN897" s="54"/>
      <c r="AO897" s="27"/>
    </row>
    <row r="898" spans="1:41">
      <c r="A898" s="44">
        <v>870</v>
      </c>
      <c r="B898" s="47" t="s">
        <v>3551</v>
      </c>
      <c r="C898" s="48" t="s">
        <v>3552</v>
      </c>
      <c r="D898" s="52" t="s">
        <v>73</v>
      </c>
      <c r="E898" s="52" t="s">
        <v>3529</v>
      </c>
      <c r="F898" s="55" t="s">
        <v>3553</v>
      </c>
      <c r="G898" s="51">
        <v>5</v>
      </c>
      <c r="H898" s="52" t="s">
        <v>3554</v>
      </c>
      <c r="I898" s="54">
        <v>0</v>
      </c>
      <c r="J898" s="54">
        <v>0</v>
      </c>
      <c r="K898" s="54">
        <v>27000</v>
      </c>
      <c r="L898" s="54">
        <v>0</v>
      </c>
      <c r="M898" s="54">
        <v>0</v>
      </c>
      <c r="N898" s="54">
        <v>0</v>
      </c>
      <c r="O898" s="54">
        <v>0</v>
      </c>
      <c r="P898" s="54">
        <v>0</v>
      </c>
      <c r="Q898" s="54">
        <v>0</v>
      </c>
      <c r="R898" s="54">
        <v>0</v>
      </c>
      <c r="S898" s="54">
        <v>0</v>
      </c>
      <c r="T898" s="54">
        <v>0</v>
      </c>
      <c r="U898" s="54">
        <v>1714</v>
      </c>
      <c r="V898" s="54">
        <v>0</v>
      </c>
      <c r="W898" s="54">
        <v>0</v>
      </c>
      <c r="X898" s="54">
        <v>0</v>
      </c>
      <c r="Y898" s="54">
        <v>13500</v>
      </c>
      <c r="Z898" s="54">
        <v>0</v>
      </c>
      <c r="AA898" s="54">
        <v>0</v>
      </c>
      <c r="AB898" s="54">
        <v>0</v>
      </c>
      <c r="AC898" s="54">
        <v>0</v>
      </c>
      <c r="AD898" s="54">
        <v>0</v>
      </c>
      <c r="AE898" s="54">
        <v>0</v>
      </c>
      <c r="AF898" s="54">
        <v>0</v>
      </c>
      <c r="AG898" s="54">
        <v>0</v>
      </c>
      <c r="AH898" s="54">
        <v>0</v>
      </c>
      <c r="AI898" s="54">
        <v>0</v>
      </c>
      <c r="AJ898" s="54">
        <v>0</v>
      </c>
      <c r="AK898" s="54">
        <v>0</v>
      </c>
      <c r="AL898" s="54">
        <v>0</v>
      </c>
      <c r="AM898" s="54" t="str">
        <f>I898-J898-K898-L898-M898-N898-O898-P898-Q898-R898-S898-T898-U898-V898-W898-X898-Y898-Z898-AA898-AB898-AC898-AD898-AE898-AF898-AG898+AH898-AI898+AJ898+AK898-AL898</f>
        <v>0</v>
      </c>
      <c r="AN898" s="54"/>
      <c r="AO898" s="27"/>
    </row>
    <row r="899" spans="1:41">
      <c r="A899" s="44">
        <v>871</v>
      </c>
      <c r="B899" s="47" t="s">
        <v>3555</v>
      </c>
      <c r="C899" s="48" t="s">
        <v>3556</v>
      </c>
      <c r="D899" s="52" t="s">
        <v>73</v>
      </c>
      <c r="E899" s="52" t="s">
        <v>3529</v>
      </c>
      <c r="F899" s="55" t="s">
        <v>737</v>
      </c>
      <c r="G899" s="51">
        <v>4</v>
      </c>
      <c r="H899" s="52" t="s">
        <v>3557</v>
      </c>
      <c r="I899" s="54">
        <v>0</v>
      </c>
      <c r="J899" s="54">
        <v>0</v>
      </c>
      <c r="K899" s="54">
        <v>25000</v>
      </c>
      <c r="L899" s="54">
        <v>0</v>
      </c>
      <c r="M899" s="54">
        <v>0</v>
      </c>
      <c r="N899" s="54">
        <v>0</v>
      </c>
      <c r="O899" s="54">
        <v>0</v>
      </c>
      <c r="P899" s="54">
        <v>0</v>
      </c>
      <c r="Q899" s="54">
        <v>0</v>
      </c>
      <c r="R899" s="54">
        <v>0</v>
      </c>
      <c r="S899" s="54">
        <v>0</v>
      </c>
      <c r="T899" s="54">
        <v>0</v>
      </c>
      <c r="U899" s="54">
        <v>1587</v>
      </c>
      <c r="V899" s="54">
        <v>0</v>
      </c>
      <c r="W899" s="54">
        <v>0</v>
      </c>
      <c r="X899" s="54">
        <v>0</v>
      </c>
      <c r="Y899" s="54">
        <v>0</v>
      </c>
      <c r="Z899" s="54">
        <v>0</v>
      </c>
      <c r="AA899" s="54">
        <v>0</v>
      </c>
      <c r="AB899" s="54">
        <v>0</v>
      </c>
      <c r="AC899" s="54">
        <v>0</v>
      </c>
      <c r="AD899" s="54">
        <v>0</v>
      </c>
      <c r="AE899" s="54">
        <v>0</v>
      </c>
      <c r="AF899" s="54">
        <v>0</v>
      </c>
      <c r="AG899" s="54">
        <v>0</v>
      </c>
      <c r="AH899" s="54">
        <v>0</v>
      </c>
      <c r="AI899" s="54">
        <v>0</v>
      </c>
      <c r="AJ899" s="54">
        <v>0</v>
      </c>
      <c r="AK899" s="54">
        <v>0</v>
      </c>
      <c r="AL899" s="54">
        <v>0</v>
      </c>
      <c r="AM899" s="54" t="str">
        <f>I899-J899-K899-L899-M899-N899-O899-P899-Q899-R899-S899-T899-U899-V899-W899-X899-Y899-Z899-AA899-AB899-AC899-AD899-AE899-AF899-AG899+AH899-AI899+AJ899+AK899-AL899</f>
        <v>0</v>
      </c>
      <c r="AN899" s="54"/>
      <c r="AO899" s="27"/>
    </row>
    <row r="900" spans="1:41">
      <c r="A900" s="44">
        <v>872</v>
      </c>
      <c r="B900" s="47" t="s">
        <v>3558</v>
      </c>
      <c r="C900" s="48" t="s">
        <v>3559</v>
      </c>
      <c r="D900" s="52" t="s">
        <v>73</v>
      </c>
      <c r="E900" s="52" t="s">
        <v>3529</v>
      </c>
      <c r="F900" s="55" t="s">
        <v>3560</v>
      </c>
      <c r="G900" s="51">
        <v>3</v>
      </c>
      <c r="H900" s="52" t="s">
        <v>3561</v>
      </c>
      <c r="I900" s="54">
        <v>0</v>
      </c>
      <c r="J900" s="54">
        <v>0</v>
      </c>
      <c r="K900" s="54">
        <v>22000</v>
      </c>
      <c r="L900" s="54">
        <v>0</v>
      </c>
      <c r="M900" s="54">
        <v>0</v>
      </c>
      <c r="N900" s="54">
        <v>0</v>
      </c>
      <c r="O900" s="54">
        <v>0</v>
      </c>
      <c r="P900" s="54">
        <v>0</v>
      </c>
      <c r="Q900" s="54">
        <v>0</v>
      </c>
      <c r="R900" s="54">
        <v>0</v>
      </c>
      <c r="S900" s="54">
        <v>0</v>
      </c>
      <c r="T900" s="54">
        <v>0</v>
      </c>
      <c r="U900" s="54">
        <v>1397</v>
      </c>
      <c r="V900" s="54">
        <v>0</v>
      </c>
      <c r="W900" s="54">
        <v>0</v>
      </c>
      <c r="X900" s="54">
        <v>0</v>
      </c>
      <c r="Y900" s="54">
        <v>11000</v>
      </c>
      <c r="Z900" s="54">
        <v>0</v>
      </c>
      <c r="AA900" s="54">
        <v>0</v>
      </c>
      <c r="AB900" s="54">
        <v>0</v>
      </c>
      <c r="AC900" s="54">
        <v>0</v>
      </c>
      <c r="AD900" s="54">
        <v>0</v>
      </c>
      <c r="AE900" s="54">
        <v>0</v>
      </c>
      <c r="AF900" s="54">
        <v>0</v>
      </c>
      <c r="AG900" s="54">
        <v>0</v>
      </c>
      <c r="AH900" s="54">
        <v>0</v>
      </c>
      <c r="AI900" s="54">
        <v>0</v>
      </c>
      <c r="AJ900" s="54">
        <v>0</v>
      </c>
      <c r="AK900" s="54">
        <v>0</v>
      </c>
      <c r="AL900" s="54">
        <v>0</v>
      </c>
      <c r="AM900" s="54" t="str">
        <f>I900-J900-K900-L900-M900-N900-O900-P900-Q900-R900-S900-T900-U900-V900-W900-X900-Y900-Z900-AA900-AB900-AC900-AD900-AE900-AF900-AG900+AH900-AI900+AJ900+AK900-AL900</f>
        <v>0</v>
      </c>
      <c r="AN900" s="54"/>
      <c r="AO900" s="27"/>
    </row>
    <row r="901" spans="1:41">
      <c r="A901" s="44">
        <v>873</v>
      </c>
      <c r="B901" s="47" t="s">
        <v>3562</v>
      </c>
      <c r="C901" s="48" t="s">
        <v>3563</v>
      </c>
      <c r="D901" s="52" t="s">
        <v>73</v>
      </c>
      <c r="E901" s="52" t="s">
        <v>3529</v>
      </c>
      <c r="F901" s="55" t="s">
        <v>3564</v>
      </c>
      <c r="G901" s="51">
        <v>3</v>
      </c>
      <c r="H901" s="52" t="s">
        <v>3565</v>
      </c>
      <c r="I901" s="54">
        <v>0</v>
      </c>
      <c r="J901" s="54">
        <v>0</v>
      </c>
      <c r="K901" s="54">
        <v>22000</v>
      </c>
      <c r="L901" s="54">
        <v>0</v>
      </c>
      <c r="M901" s="54">
        <v>0</v>
      </c>
      <c r="N901" s="54">
        <v>0</v>
      </c>
      <c r="O901" s="54">
        <v>0</v>
      </c>
      <c r="P901" s="54">
        <v>0</v>
      </c>
      <c r="Q901" s="54">
        <v>0</v>
      </c>
      <c r="R901" s="54">
        <v>0</v>
      </c>
      <c r="S901" s="54">
        <v>0</v>
      </c>
      <c r="T901" s="54">
        <v>0</v>
      </c>
      <c r="U901" s="54">
        <v>1397</v>
      </c>
      <c r="V901" s="54">
        <v>0</v>
      </c>
      <c r="W901" s="54">
        <v>0</v>
      </c>
      <c r="X901" s="54">
        <v>0</v>
      </c>
      <c r="Y901" s="54">
        <v>5000</v>
      </c>
      <c r="Z901" s="54">
        <v>0</v>
      </c>
      <c r="AA901" s="54">
        <v>0</v>
      </c>
      <c r="AB901" s="54">
        <v>0</v>
      </c>
      <c r="AC901" s="54">
        <v>0</v>
      </c>
      <c r="AD901" s="54">
        <v>0</v>
      </c>
      <c r="AE901" s="54">
        <v>0</v>
      </c>
      <c r="AF901" s="54">
        <v>0</v>
      </c>
      <c r="AG901" s="54">
        <v>0</v>
      </c>
      <c r="AH901" s="54">
        <v>0</v>
      </c>
      <c r="AI901" s="54">
        <v>0</v>
      </c>
      <c r="AJ901" s="54">
        <v>0</v>
      </c>
      <c r="AK901" s="54">
        <v>0</v>
      </c>
      <c r="AL901" s="54">
        <v>0</v>
      </c>
      <c r="AM901" s="54" t="str">
        <f>I901-J901-K901-L901-M901-N901-O901-P901-Q901-R901-S901-T901-U901-V901-W901-X901-Y901-Z901-AA901-AB901-AC901-AD901-AE901-AF901-AG901+AH901-AI901+AJ901+AK901-AL901</f>
        <v>0</v>
      </c>
      <c r="AN901" s="54"/>
      <c r="AO901" s="27"/>
    </row>
    <row r="902" spans="1:41">
      <c r="A902" s="44">
        <v>874</v>
      </c>
      <c r="B902" s="47" t="s">
        <v>3566</v>
      </c>
      <c r="C902" s="48" t="s">
        <v>3567</v>
      </c>
      <c r="D902" s="52" t="s">
        <v>73</v>
      </c>
      <c r="E902" s="52" t="s">
        <v>3529</v>
      </c>
      <c r="F902" s="55" t="s">
        <v>3568</v>
      </c>
      <c r="G902" s="51">
        <v>2</v>
      </c>
      <c r="H902" s="52" t="s">
        <v>3569</v>
      </c>
      <c r="I902" s="54">
        <v>0</v>
      </c>
      <c r="J902" s="54">
        <v>0</v>
      </c>
      <c r="K902" s="54">
        <v>22000</v>
      </c>
      <c r="L902" s="54">
        <v>0</v>
      </c>
      <c r="M902" s="54">
        <v>0</v>
      </c>
      <c r="N902" s="54">
        <v>0</v>
      </c>
      <c r="O902" s="54">
        <v>0</v>
      </c>
      <c r="P902" s="54">
        <v>0</v>
      </c>
      <c r="Q902" s="54">
        <v>0</v>
      </c>
      <c r="R902" s="54">
        <v>0</v>
      </c>
      <c r="S902" s="54">
        <v>0</v>
      </c>
      <c r="T902" s="54">
        <v>0</v>
      </c>
      <c r="U902" s="54">
        <v>1397</v>
      </c>
      <c r="V902" s="54">
        <v>0</v>
      </c>
      <c r="W902" s="54">
        <v>0</v>
      </c>
      <c r="X902" s="54">
        <v>0</v>
      </c>
      <c r="Y902" s="54">
        <v>11000</v>
      </c>
      <c r="Z902" s="54">
        <v>0</v>
      </c>
      <c r="AA902" s="54">
        <v>0</v>
      </c>
      <c r="AB902" s="54">
        <v>0</v>
      </c>
      <c r="AC902" s="54">
        <v>0</v>
      </c>
      <c r="AD902" s="54">
        <v>0</v>
      </c>
      <c r="AE902" s="54">
        <v>0</v>
      </c>
      <c r="AF902" s="54">
        <v>0</v>
      </c>
      <c r="AG902" s="54">
        <v>0</v>
      </c>
      <c r="AH902" s="54">
        <v>0</v>
      </c>
      <c r="AI902" s="54">
        <v>0</v>
      </c>
      <c r="AJ902" s="54">
        <v>0</v>
      </c>
      <c r="AK902" s="54">
        <v>0</v>
      </c>
      <c r="AL902" s="54">
        <v>0</v>
      </c>
      <c r="AM902" s="54" t="str">
        <f>I902-J902-K902-L902-M902-N902-O902-P902-Q902-R902-S902-T902-U902-V902-W902-X902-Y902-Z902-AA902-AB902-AC902-AD902-AE902-AF902-AG902+AH902-AI902+AJ902+AK902-AL902</f>
        <v>0</v>
      </c>
      <c r="AN902" s="54"/>
      <c r="AO902" s="27"/>
    </row>
    <row r="903" spans="1:41">
      <c r="A903" s="44">
        <v>875</v>
      </c>
      <c r="B903" s="47" t="s">
        <v>3570</v>
      </c>
      <c r="C903" s="48" t="s">
        <v>3571</v>
      </c>
      <c r="D903" s="52" t="s">
        <v>73</v>
      </c>
      <c r="E903" s="52" t="s">
        <v>3529</v>
      </c>
      <c r="F903" s="55" t="s">
        <v>3251</v>
      </c>
      <c r="G903" s="51">
        <v>4</v>
      </c>
      <c r="H903" s="52" t="s">
        <v>3572</v>
      </c>
      <c r="I903" s="54">
        <v>0</v>
      </c>
      <c r="J903" s="54">
        <v>0</v>
      </c>
      <c r="K903" s="54">
        <v>25000</v>
      </c>
      <c r="L903" s="54">
        <v>0</v>
      </c>
      <c r="M903" s="54">
        <v>0</v>
      </c>
      <c r="N903" s="54">
        <v>0</v>
      </c>
      <c r="O903" s="54">
        <v>0</v>
      </c>
      <c r="P903" s="54">
        <v>0</v>
      </c>
      <c r="Q903" s="54">
        <v>0</v>
      </c>
      <c r="R903" s="54">
        <v>0</v>
      </c>
      <c r="S903" s="54">
        <v>0</v>
      </c>
      <c r="T903" s="54">
        <v>0</v>
      </c>
      <c r="U903" s="54">
        <v>1587</v>
      </c>
      <c r="V903" s="54">
        <v>0</v>
      </c>
      <c r="W903" s="54">
        <v>0</v>
      </c>
      <c r="X903" s="54">
        <v>0</v>
      </c>
      <c r="Y903" s="54">
        <v>5000</v>
      </c>
      <c r="Z903" s="54">
        <v>0</v>
      </c>
      <c r="AA903" s="54">
        <v>0</v>
      </c>
      <c r="AB903" s="54">
        <v>0</v>
      </c>
      <c r="AC903" s="54">
        <v>0</v>
      </c>
      <c r="AD903" s="54">
        <v>0</v>
      </c>
      <c r="AE903" s="54">
        <v>0</v>
      </c>
      <c r="AF903" s="54">
        <v>0</v>
      </c>
      <c r="AG903" s="54">
        <v>0</v>
      </c>
      <c r="AH903" s="54">
        <v>0</v>
      </c>
      <c r="AI903" s="54">
        <v>0</v>
      </c>
      <c r="AJ903" s="54">
        <v>0</v>
      </c>
      <c r="AK903" s="54">
        <v>0</v>
      </c>
      <c r="AL903" s="54">
        <v>0</v>
      </c>
      <c r="AM903" s="54" t="str">
        <f>I903-J903-K903-L903-M903-N903-O903-P903-Q903-R903-S903-T903-U903-V903-W903-X903-Y903-Z903-AA903-AB903-AC903-AD903-AE903-AF903-AG903+AH903-AI903+AJ903+AK903-AL903</f>
        <v>0</v>
      </c>
      <c r="AN903" s="54"/>
      <c r="AO903" s="27"/>
    </row>
    <row r="904" spans="1:41">
      <c r="A904" s="44">
        <v>876</v>
      </c>
      <c r="B904" s="47" t="s">
        <v>3573</v>
      </c>
      <c r="C904" s="48" t="s">
        <v>3574</v>
      </c>
      <c r="D904" s="52" t="s">
        <v>73</v>
      </c>
      <c r="E904" s="52" t="s">
        <v>3529</v>
      </c>
      <c r="F904" s="55" t="s">
        <v>3510</v>
      </c>
      <c r="G904" s="51">
        <v>3</v>
      </c>
      <c r="H904" s="52" t="s">
        <v>3575</v>
      </c>
      <c r="I904" s="54">
        <v>0</v>
      </c>
      <c r="J904" s="54">
        <v>0</v>
      </c>
      <c r="K904" s="54">
        <v>22000</v>
      </c>
      <c r="L904" s="54">
        <v>0</v>
      </c>
      <c r="M904" s="54">
        <v>0</v>
      </c>
      <c r="N904" s="54">
        <v>0</v>
      </c>
      <c r="O904" s="54">
        <v>0</v>
      </c>
      <c r="P904" s="54">
        <v>0</v>
      </c>
      <c r="Q904" s="54">
        <v>0</v>
      </c>
      <c r="R904" s="54">
        <v>0</v>
      </c>
      <c r="S904" s="54">
        <v>0</v>
      </c>
      <c r="T904" s="54">
        <v>0</v>
      </c>
      <c r="U904" s="54">
        <v>1397</v>
      </c>
      <c r="V904" s="54">
        <v>0</v>
      </c>
      <c r="W904" s="54">
        <v>0</v>
      </c>
      <c r="X904" s="54">
        <v>0</v>
      </c>
      <c r="Y904" s="54">
        <v>5000</v>
      </c>
      <c r="Z904" s="54">
        <v>0</v>
      </c>
      <c r="AA904" s="54">
        <v>0</v>
      </c>
      <c r="AB904" s="54">
        <v>0</v>
      </c>
      <c r="AC904" s="54">
        <v>0</v>
      </c>
      <c r="AD904" s="54">
        <v>0</v>
      </c>
      <c r="AE904" s="54">
        <v>0</v>
      </c>
      <c r="AF904" s="54">
        <v>0</v>
      </c>
      <c r="AG904" s="54">
        <v>0</v>
      </c>
      <c r="AH904" s="54">
        <v>0</v>
      </c>
      <c r="AI904" s="54">
        <v>0</v>
      </c>
      <c r="AJ904" s="54">
        <v>0</v>
      </c>
      <c r="AK904" s="54">
        <v>0</v>
      </c>
      <c r="AL904" s="54">
        <v>0</v>
      </c>
      <c r="AM904" s="54" t="str">
        <f>I904-J904-K904-L904-M904-N904-O904-P904-Q904-R904-S904-T904-U904-V904-W904-X904-Y904-Z904-AA904-AB904-AC904-AD904-AE904-AF904-AG904+AH904-AI904+AJ904+AK904-AL904</f>
        <v>0</v>
      </c>
      <c r="AN904" s="54"/>
      <c r="AO904" s="27"/>
    </row>
    <row r="905" spans="1:41">
      <c r="A905" s="44">
        <v>877</v>
      </c>
      <c r="B905" s="47" t="s">
        <v>3576</v>
      </c>
      <c r="C905" s="48" t="s">
        <v>3577</v>
      </c>
      <c r="D905" s="52" t="s">
        <v>73</v>
      </c>
      <c r="E905" s="52" t="s">
        <v>3529</v>
      </c>
      <c r="F905" s="55" t="s">
        <v>3578</v>
      </c>
      <c r="G905" s="51">
        <v>5</v>
      </c>
      <c r="H905" s="52" t="s">
        <v>3579</v>
      </c>
      <c r="I905" s="54">
        <v>0</v>
      </c>
      <c r="J905" s="54">
        <v>0</v>
      </c>
      <c r="K905" s="54">
        <v>27000</v>
      </c>
      <c r="L905" s="54">
        <v>0</v>
      </c>
      <c r="M905" s="54">
        <v>0</v>
      </c>
      <c r="N905" s="54">
        <v>0</v>
      </c>
      <c r="O905" s="54">
        <v>0</v>
      </c>
      <c r="P905" s="54">
        <v>0</v>
      </c>
      <c r="Q905" s="54">
        <v>0</v>
      </c>
      <c r="R905" s="54">
        <v>0</v>
      </c>
      <c r="S905" s="54">
        <v>0</v>
      </c>
      <c r="T905" s="54">
        <v>0</v>
      </c>
      <c r="U905" s="54">
        <v>1714</v>
      </c>
      <c r="V905" s="54">
        <v>0</v>
      </c>
      <c r="W905" s="54">
        <v>0</v>
      </c>
      <c r="X905" s="54">
        <v>0</v>
      </c>
      <c r="Y905" s="54">
        <v>5000</v>
      </c>
      <c r="Z905" s="54">
        <v>0</v>
      </c>
      <c r="AA905" s="54">
        <v>0</v>
      </c>
      <c r="AB905" s="54">
        <v>0</v>
      </c>
      <c r="AC905" s="54">
        <v>0</v>
      </c>
      <c r="AD905" s="54">
        <v>0</v>
      </c>
      <c r="AE905" s="54">
        <v>0</v>
      </c>
      <c r="AF905" s="54">
        <v>0</v>
      </c>
      <c r="AG905" s="54">
        <v>0</v>
      </c>
      <c r="AH905" s="54">
        <v>0</v>
      </c>
      <c r="AI905" s="54">
        <v>0</v>
      </c>
      <c r="AJ905" s="54">
        <v>0</v>
      </c>
      <c r="AK905" s="54">
        <v>0</v>
      </c>
      <c r="AL905" s="54">
        <v>0</v>
      </c>
      <c r="AM905" s="54" t="str">
        <f>I905-J905-K905-L905-M905-N905-O905-P905-Q905-R905-S905-T905-U905-V905-W905-X905-Y905-Z905-AA905-AB905-AC905-AD905-AE905-AF905-AG905+AH905-AI905+AJ905+AK905-AL905</f>
        <v>0</v>
      </c>
      <c r="AN905" s="54"/>
      <c r="AO905" s="27"/>
    </row>
    <row r="906" spans="1:41">
      <c r="A906" s="44">
        <v>878</v>
      </c>
      <c r="B906" s="47" t="s">
        <v>3580</v>
      </c>
      <c r="C906" s="48" t="s">
        <v>3581</v>
      </c>
      <c r="D906" s="52" t="s">
        <v>73</v>
      </c>
      <c r="E906" s="52" t="s">
        <v>3529</v>
      </c>
      <c r="F906" s="55" t="s">
        <v>3582</v>
      </c>
      <c r="G906" s="51">
        <v>3</v>
      </c>
      <c r="H906" s="52" t="s">
        <v>3583</v>
      </c>
      <c r="I906" s="54">
        <v>0</v>
      </c>
      <c r="J906" s="54">
        <v>0</v>
      </c>
      <c r="K906" s="54">
        <v>22000</v>
      </c>
      <c r="L906" s="54">
        <v>0</v>
      </c>
      <c r="M906" s="54">
        <v>0</v>
      </c>
      <c r="N906" s="54">
        <v>0</v>
      </c>
      <c r="O906" s="54">
        <v>0</v>
      </c>
      <c r="P906" s="54">
        <v>0</v>
      </c>
      <c r="Q906" s="54">
        <v>0</v>
      </c>
      <c r="R906" s="54">
        <v>0</v>
      </c>
      <c r="S906" s="54">
        <v>0</v>
      </c>
      <c r="T906" s="54">
        <v>0</v>
      </c>
      <c r="U906" s="54">
        <v>1397</v>
      </c>
      <c r="V906" s="54">
        <v>0</v>
      </c>
      <c r="W906" s="54">
        <v>0</v>
      </c>
      <c r="X906" s="54">
        <v>0</v>
      </c>
      <c r="Y906" s="54">
        <v>5000</v>
      </c>
      <c r="Z906" s="54">
        <v>0</v>
      </c>
      <c r="AA906" s="54">
        <v>0</v>
      </c>
      <c r="AB906" s="54">
        <v>0</v>
      </c>
      <c r="AC906" s="54">
        <v>0</v>
      </c>
      <c r="AD906" s="54">
        <v>0</v>
      </c>
      <c r="AE906" s="54">
        <v>0</v>
      </c>
      <c r="AF906" s="54">
        <v>0</v>
      </c>
      <c r="AG906" s="54">
        <v>0</v>
      </c>
      <c r="AH906" s="54">
        <v>0</v>
      </c>
      <c r="AI906" s="54">
        <v>0</v>
      </c>
      <c r="AJ906" s="54">
        <v>0</v>
      </c>
      <c r="AK906" s="54">
        <v>0</v>
      </c>
      <c r="AL906" s="54">
        <v>0</v>
      </c>
      <c r="AM906" s="54" t="str">
        <f>I906-J906-K906-L906-M906-N906-O906-P906-Q906-R906-S906-T906-U906-V906-W906-X906-Y906-Z906-AA906-AB906-AC906-AD906-AE906-AF906-AG906+AH906-AI906+AJ906+AK906-AL906</f>
        <v>0</v>
      </c>
      <c r="AN906" s="54"/>
      <c r="AO906" s="27"/>
    </row>
    <row r="907" spans="1:41">
      <c r="A907" s="44">
        <v>879</v>
      </c>
      <c r="B907" s="47" t="s">
        <v>3584</v>
      </c>
      <c r="C907" s="48" t="s">
        <v>3585</v>
      </c>
      <c r="D907" s="52" t="s">
        <v>73</v>
      </c>
      <c r="E907" s="52" t="s">
        <v>3586</v>
      </c>
      <c r="F907" s="55" t="s">
        <v>3587</v>
      </c>
      <c r="G907" s="51">
        <v>2</v>
      </c>
      <c r="H907" s="52" t="s">
        <v>3588</v>
      </c>
      <c r="I907" s="54">
        <v>0</v>
      </c>
      <c r="J907" s="54">
        <v>0</v>
      </c>
      <c r="K907" s="54">
        <v>22000</v>
      </c>
      <c r="L907" s="54">
        <v>0</v>
      </c>
      <c r="M907" s="54">
        <v>0</v>
      </c>
      <c r="N907" s="54">
        <v>0</v>
      </c>
      <c r="O907" s="54">
        <v>0</v>
      </c>
      <c r="P907" s="54">
        <v>0</v>
      </c>
      <c r="Q907" s="54">
        <v>0</v>
      </c>
      <c r="R907" s="54">
        <v>0</v>
      </c>
      <c r="S907" s="54">
        <v>0</v>
      </c>
      <c r="T907" s="54">
        <v>0</v>
      </c>
      <c r="U907" s="54">
        <v>1397</v>
      </c>
      <c r="V907" s="54">
        <v>0</v>
      </c>
      <c r="W907" s="54">
        <v>0</v>
      </c>
      <c r="X907" s="54">
        <v>0</v>
      </c>
      <c r="Y907" s="54">
        <v>11000</v>
      </c>
      <c r="Z907" s="54">
        <v>0</v>
      </c>
      <c r="AA907" s="54">
        <v>0</v>
      </c>
      <c r="AB907" s="54">
        <v>0</v>
      </c>
      <c r="AC907" s="54">
        <v>0</v>
      </c>
      <c r="AD907" s="54">
        <v>0</v>
      </c>
      <c r="AE907" s="54">
        <v>0</v>
      </c>
      <c r="AF907" s="54">
        <v>0</v>
      </c>
      <c r="AG907" s="54">
        <v>0</v>
      </c>
      <c r="AH907" s="54">
        <v>0</v>
      </c>
      <c r="AI907" s="54">
        <v>0</v>
      </c>
      <c r="AJ907" s="54">
        <v>0</v>
      </c>
      <c r="AK907" s="54">
        <v>0</v>
      </c>
      <c r="AL907" s="54">
        <v>0</v>
      </c>
      <c r="AM907" s="54" t="str">
        <f>I907-J907-K907-L907-M907-N907-O907-P907-Q907-R907-S907-T907-U907-V907-W907-X907-Y907-Z907-AA907-AB907-AC907-AD907-AE907-AF907-AG907+AH907-AI907+AJ907+AK907-AL907</f>
        <v>0</v>
      </c>
      <c r="AN907" s="54"/>
      <c r="AO907" s="27"/>
    </row>
    <row r="908" spans="1:41">
      <c r="A908" s="44">
        <v>880</v>
      </c>
      <c r="B908" s="47" t="s">
        <v>3589</v>
      </c>
      <c r="C908" s="48" t="s">
        <v>3590</v>
      </c>
      <c r="D908" s="52" t="s">
        <v>73</v>
      </c>
      <c r="E908" s="52" t="s">
        <v>3586</v>
      </c>
      <c r="F908" s="55" t="s">
        <v>340</v>
      </c>
      <c r="G908" s="51">
        <v>2</v>
      </c>
      <c r="H908" s="52" t="s">
        <v>3591</v>
      </c>
      <c r="I908" s="54">
        <v>0</v>
      </c>
      <c r="J908" s="54">
        <v>0</v>
      </c>
      <c r="K908" s="54">
        <v>22000</v>
      </c>
      <c r="L908" s="54">
        <v>0</v>
      </c>
      <c r="M908" s="54">
        <v>0</v>
      </c>
      <c r="N908" s="54">
        <v>0</v>
      </c>
      <c r="O908" s="54">
        <v>0</v>
      </c>
      <c r="P908" s="54">
        <v>0</v>
      </c>
      <c r="Q908" s="54">
        <v>0</v>
      </c>
      <c r="R908" s="54">
        <v>0</v>
      </c>
      <c r="S908" s="54">
        <v>0</v>
      </c>
      <c r="T908" s="54">
        <v>0</v>
      </c>
      <c r="U908" s="54">
        <v>1397</v>
      </c>
      <c r="V908" s="54">
        <v>0</v>
      </c>
      <c r="W908" s="54">
        <v>0</v>
      </c>
      <c r="X908" s="54">
        <v>0</v>
      </c>
      <c r="Y908" s="54">
        <v>11000</v>
      </c>
      <c r="Z908" s="54">
        <v>0</v>
      </c>
      <c r="AA908" s="54">
        <v>0</v>
      </c>
      <c r="AB908" s="54">
        <v>0</v>
      </c>
      <c r="AC908" s="54">
        <v>0</v>
      </c>
      <c r="AD908" s="54">
        <v>0</v>
      </c>
      <c r="AE908" s="54">
        <v>0</v>
      </c>
      <c r="AF908" s="54">
        <v>0</v>
      </c>
      <c r="AG908" s="54">
        <v>0</v>
      </c>
      <c r="AH908" s="54">
        <v>0</v>
      </c>
      <c r="AI908" s="54">
        <v>0</v>
      </c>
      <c r="AJ908" s="54">
        <v>0</v>
      </c>
      <c r="AK908" s="54">
        <v>0</v>
      </c>
      <c r="AL908" s="54">
        <v>0</v>
      </c>
      <c r="AM908" s="54" t="str">
        <f>I908-J908-K908-L908-M908-N908-O908-P908-Q908-R908-S908-T908-U908-V908-W908-X908-Y908-Z908-AA908-AB908-AC908-AD908-AE908-AF908-AG908+AH908-AI908+AJ908+AK908-AL908</f>
        <v>0</v>
      </c>
      <c r="AN908" s="54"/>
      <c r="AO908" s="27"/>
    </row>
    <row r="909" spans="1:41">
      <c r="A909" s="44">
        <v>881</v>
      </c>
      <c r="B909" s="47" t="s">
        <v>3592</v>
      </c>
      <c r="C909" s="48" t="s">
        <v>3593</v>
      </c>
      <c r="D909" s="52" t="s">
        <v>73</v>
      </c>
      <c r="E909" s="52" t="s">
        <v>3594</v>
      </c>
      <c r="F909" s="55" t="s">
        <v>3595</v>
      </c>
      <c r="G909" s="51">
        <v>2</v>
      </c>
      <c r="H909" s="52" t="s">
        <v>3596</v>
      </c>
      <c r="I909" s="54">
        <v>295000</v>
      </c>
      <c r="J909" s="54">
        <v>0</v>
      </c>
      <c r="K909" s="54">
        <v>22000</v>
      </c>
      <c r="L909" s="54">
        <v>0</v>
      </c>
      <c r="M909" s="54">
        <v>0</v>
      </c>
      <c r="N909" s="54">
        <v>0</v>
      </c>
      <c r="O909" s="54">
        <v>0</v>
      </c>
      <c r="P909" s="54">
        <v>0</v>
      </c>
      <c r="Q909" s="54">
        <v>0</v>
      </c>
      <c r="R909" s="54">
        <v>0</v>
      </c>
      <c r="S909" s="54">
        <v>0</v>
      </c>
      <c r="T909" s="54">
        <v>0</v>
      </c>
      <c r="U909" s="54">
        <v>1397</v>
      </c>
      <c r="V909" s="54">
        <v>0</v>
      </c>
      <c r="W909" s="54">
        <v>0</v>
      </c>
      <c r="X909" s="54">
        <v>0</v>
      </c>
      <c r="Y909" s="54">
        <v>0</v>
      </c>
      <c r="Z909" s="54">
        <v>0</v>
      </c>
      <c r="AA909" s="54">
        <v>0</v>
      </c>
      <c r="AB909" s="54">
        <v>0</v>
      </c>
      <c r="AC909" s="54">
        <v>0</v>
      </c>
      <c r="AD909" s="54">
        <v>0</v>
      </c>
      <c r="AE909" s="54">
        <v>0</v>
      </c>
      <c r="AF909" s="54">
        <v>0</v>
      </c>
      <c r="AG909" s="54">
        <v>0</v>
      </c>
      <c r="AH909" s="54">
        <v>0</v>
      </c>
      <c r="AI909" s="54">
        <v>0</v>
      </c>
      <c r="AJ909" s="54">
        <v>0</v>
      </c>
      <c r="AK909" s="54">
        <v>0</v>
      </c>
      <c r="AL909" s="54">
        <v>0</v>
      </c>
      <c r="AM909" s="54" t="str">
        <f>I909-J909-K909-L909-M909-N909-O909-P909-Q909-R909-S909-T909-U909-V909-W909-X909-Y909-Z909-AA909-AB909-AC909-AD909-AE909-AF909-AG909+AH909-AI909+AJ909+AK909-AL909</f>
        <v>0</v>
      </c>
      <c r="AN909" s="54"/>
      <c r="AO909" s="27"/>
    </row>
    <row r="910" spans="1:41">
      <c r="A910" s="44">
        <v>882</v>
      </c>
      <c r="B910" s="47" t="s">
        <v>3597</v>
      </c>
      <c r="C910" s="48" t="s">
        <v>3598</v>
      </c>
      <c r="D910" s="52" t="s">
        <v>73</v>
      </c>
      <c r="E910" s="52" t="s">
        <v>3594</v>
      </c>
      <c r="F910" s="55" t="s">
        <v>3599</v>
      </c>
      <c r="G910" s="51">
        <v>4</v>
      </c>
      <c r="H910" s="52" t="s">
        <v>3600</v>
      </c>
      <c r="I910" s="54">
        <v>364000</v>
      </c>
      <c r="J910" s="54">
        <v>0</v>
      </c>
      <c r="K910" s="54">
        <v>25000</v>
      </c>
      <c r="L910" s="54">
        <v>0</v>
      </c>
      <c r="M910" s="54">
        <v>0</v>
      </c>
      <c r="N910" s="54">
        <v>0</v>
      </c>
      <c r="O910" s="54">
        <v>0</v>
      </c>
      <c r="P910" s="54">
        <v>0</v>
      </c>
      <c r="Q910" s="54">
        <v>0</v>
      </c>
      <c r="R910" s="54">
        <v>0</v>
      </c>
      <c r="S910" s="54">
        <v>0</v>
      </c>
      <c r="T910" s="54">
        <v>0</v>
      </c>
      <c r="U910" s="54">
        <v>1587</v>
      </c>
      <c r="V910" s="54">
        <v>0</v>
      </c>
      <c r="W910" s="54">
        <v>0</v>
      </c>
      <c r="X910" s="54">
        <v>0</v>
      </c>
      <c r="Y910" s="54">
        <v>0</v>
      </c>
      <c r="Z910" s="54">
        <v>0</v>
      </c>
      <c r="AA910" s="54">
        <v>0</v>
      </c>
      <c r="AB910" s="54">
        <v>0</v>
      </c>
      <c r="AC910" s="54">
        <v>0</v>
      </c>
      <c r="AD910" s="54">
        <v>0</v>
      </c>
      <c r="AE910" s="54">
        <v>0</v>
      </c>
      <c r="AF910" s="54">
        <v>0</v>
      </c>
      <c r="AG910" s="54">
        <v>0</v>
      </c>
      <c r="AH910" s="54">
        <v>0</v>
      </c>
      <c r="AI910" s="54">
        <v>0</v>
      </c>
      <c r="AJ910" s="54">
        <v>0</v>
      </c>
      <c r="AK910" s="54">
        <v>0</v>
      </c>
      <c r="AL910" s="54">
        <v>0</v>
      </c>
      <c r="AM910" s="54" t="str">
        <f>I910-J910-K910-L910-M910-N910-O910-P910-Q910-R910-S910-T910-U910-V910-W910-X910-Y910-Z910-AA910-AB910-AC910-AD910-AE910-AF910-AG910+AH910-AI910+AJ910+AK910-AL910</f>
        <v>0</v>
      </c>
      <c r="AN910" s="54"/>
      <c r="AO910" s="27"/>
    </row>
    <row r="911" spans="1:41">
      <c r="A911" s="44">
        <v>883</v>
      </c>
      <c r="B911" s="47" t="s">
        <v>3601</v>
      </c>
      <c r="C911" s="48" t="s">
        <v>3602</v>
      </c>
      <c r="D911" s="52" t="s">
        <v>73</v>
      </c>
      <c r="E911" s="52" t="s">
        <v>3594</v>
      </c>
      <c r="F911" s="55" t="s">
        <v>3603</v>
      </c>
      <c r="G911" s="51">
        <v>4</v>
      </c>
      <c r="H911" s="52" t="s">
        <v>3604</v>
      </c>
      <c r="I911" s="54">
        <v>434000</v>
      </c>
      <c r="J911" s="54">
        <v>0</v>
      </c>
      <c r="K911" s="54">
        <v>25000</v>
      </c>
      <c r="L911" s="54">
        <v>0</v>
      </c>
      <c r="M911" s="54">
        <v>0</v>
      </c>
      <c r="N911" s="54">
        <v>0</v>
      </c>
      <c r="O911" s="54">
        <v>0</v>
      </c>
      <c r="P911" s="54">
        <v>0</v>
      </c>
      <c r="Q911" s="54">
        <v>0</v>
      </c>
      <c r="R911" s="54">
        <v>0</v>
      </c>
      <c r="S911" s="54">
        <v>0</v>
      </c>
      <c r="T911" s="54">
        <v>0</v>
      </c>
      <c r="U911" s="54">
        <v>1587</v>
      </c>
      <c r="V911" s="54">
        <v>0</v>
      </c>
      <c r="W911" s="54">
        <v>0</v>
      </c>
      <c r="X911" s="54">
        <v>0</v>
      </c>
      <c r="Y911" s="54">
        <v>0</v>
      </c>
      <c r="Z911" s="54">
        <v>0</v>
      </c>
      <c r="AA911" s="54">
        <v>0</v>
      </c>
      <c r="AB911" s="54">
        <v>0</v>
      </c>
      <c r="AC911" s="54">
        <v>0</v>
      </c>
      <c r="AD911" s="54">
        <v>0</v>
      </c>
      <c r="AE911" s="54">
        <v>0</v>
      </c>
      <c r="AF911" s="54">
        <v>0</v>
      </c>
      <c r="AG911" s="54">
        <v>0</v>
      </c>
      <c r="AH911" s="54">
        <v>0</v>
      </c>
      <c r="AI911" s="54">
        <v>0</v>
      </c>
      <c r="AJ911" s="54">
        <v>0</v>
      </c>
      <c r="AK911" s="54">
        <v>0</v>
      </c>
      <c r="AL911" s="54">
        <v>0</v>
      </c>
      <c r="AM911" s="54" t="str">
        <f>I911-J911-K911-L911-M911-N911-O911-P911-Q911-R911-S911-T911-U911-V911-W911-X911-Y911-Z911-AA911-AB911-AC911-AD911-AE911-AF911-AG911+AH911-AI911+AJ911+AK911-AL911</f>
        <v>0</v>
      </c>
      <c r="AN911" s="54"/>
      <c r="AO911" s="27"/>
    </row>
    <row r="912" spans="1:41">
      <c r="A912" s="44">
        <v>884</v>
      </c>
      <c r="B912" s="47" t="s">
        <v>3605</v>
      </c>
      <c r="C912" s="48" t="s">
        <v>3606</v>
      </c>
      <c r="D912" s="52" t="s">
        <v>73</v>
      </c>
      <c r="E912" s="52" t="s">
        <v>3594</v>
      </c>
      <c r="F912" s="55" t="s">
        <v>3607</v>
      </c>
      <c r="G912" s="51">
        <v>2</v>
      </c>
      <c r="H912" s="52" t="s">
        <v>3608</v>
      </c>
      <c r="I912" s="54">
        <v>1799000</v>
      </c>
      <c r="J912" s="54">
        <v>0</v>
      </c>
      <c r="K912" s="54">
        <v>22000</v>
      </c>
      <c r="L912" s="54">
        <v>0</v>
      </c>
      <c r="M912" s="54">
        <v>0</v>
      </c>
      <c r="N912" s="54">
        <v>0</v>
      </c>
      <c r="O912" s="54">
        <v>0</v>
      </c>
      <c r="P912" s="54">
        <v>0</v>
      </c>
      <c r="Q912" s="54">
        <v>0</v>
      </c>
      <c r="R912" s="54">
        <v>0</v>
      </c>
      <c r="S912" s="54">
        <v>0</v>
      </c>
      <c r="T912" s="54">
        <v>0</v>
      </c>
      <c r="U912" s="54">
        <v>1397</v>
      </c>
      <c r="V912" s="54">
        <v>0</v>
      </c>
      <c r="W912" s="54">
        <v>0</v>
      </c>
      <c r="X912" s="54">
        <v>0</v>
      </c>
      <c r="Y912" s="54">
        <v>0</v>
      </c>
      <c r="Z912" s="54">
        <v>0</v>
      </c>
      <c r="AA912" s="54">
        <v>0</v>
      </c>
      <c r="AB912" s="54">
        <v>0</v>
      </c>
      <c r="AC912" s="54">
        <v>0</v>
      </c>
      <c r="AD912" s="54">
        <v>0</v>
      </c>
      <c r="AE912" s="54">
        <v>0</v>
      </c>
      <c r="AF912" s="54">
        <v>0</v>
      </c>
      <c r="AG912" s="54">
        <v>0</v>
      </c>
      <c r="AH912" s="54">
        <v>0</v>
      </c>
      <c r="AI912" s="54">
        <v>0</v>
      </c>
      <c r="AJ912" s="54">
        <v>0</v>
      </c>
      <c r="AK912" s="54">
        <v>0</v>
      </c>
      <c r="AL912" s="54">
        <v>0</v>
      </c>
      <c r="AM912" s="54" t="str">
        <f>I912-J912-K912-L912-M912-N912-O912-P912-Q912-R912-S912-T912-U912-V912-W912-X912-Y912-Z912-AA912-AB912-AC912-AD912-AE912-AF912-AG912+AH912-AI912+AJ912+AK912-AL912</f>
        <v>0</v>
      </c>
      <c r="AN912" s="54"/>
      <c r="AO912" s="27"/>
    </row>
    <row r="913" spans="1:41">
      <c r="A913" s="44">
        <v>885</v>
      </c>
      <c r="B913" s="47" t="s">
        <v>3609</v>
      </c>
      <c r="C913" s="48" t="s">
        <v>3610</v>
      </c>
      <c r="D913" s="52" t="s">
        <v>73</v>
      </c>
      <c r="E913" s="52" t="s">
        <v>3594</v>
      </c>
      <c r="F913" s="55" t="s">
        <v>3611</v>
      </c>
      <c r="G913" s="51">
        <v>7</v>
      </c>
      <c r="H913" s="52" t="s">
        <v>3612</v>
      </c>
      <c r="I913" s="54">
        <v>1339000</v>
      </c>
      <c r="J913" s="54">
        <v>0</v>
      </c>
      <c r="K913" s="54">
        <v>35000</v>
      </c>
      <c r="L913" s="54">
        <v>0</v>
      </c>
      <c r="M913" s="54">
        <v>0</v>
      </c>
      <c r="N913" s="54">
        <v>0</v>
      </c>
      <c r="O913" s="54">
        <v>0</v>
      </c>
      <c r="P913" s="54">
        <v>0</v>
      </c>
      <c r="Q913" s="54">
        <v>0</v>
      </c>
      <c r="R913" s="54">
        <v>0</v>
      </c>
      <c r="S913" s="54">
        <v>0</v>
      </c>
      <c r="T913" s="54">
        <v>0</v>
      </c>
      <c r="U913" s="54">
        <v>2222</v>
      </c>
      <c r="V913" s="54">
        <v>0</v>
      </c>
      <c r="W913" s="54">
        <v>0</v>
      </c>
      <c r="X913" s="54">
        <v>0</v>
      </c>
      <c r="Y913" s="54">
        <v>0</v>
      </c>
      <c r="Z913" s="54">
        <v>0</v>
      </c>
      <c r="AA913" s="54">
        <v>0</v>
      </c>
      <c r="AB913" s="54">
        <v>0</v>
      </c>
      <c r="AC913" s="54">
        <v>0</v>
      </c>
      <c r="AD913" s="54">
        <v>0</v>
      </c>
      <c r="AE913" s="54">
        <v>0</v>
      </c>
      <c r="AF913" s="54">
        <v>0</v>
      </c>
      <c r="AG913" s="54">
        <v>0</v>
      </c>
      <c r="AH913" s="54">
        <v>0</v>
      </c>
      <c r="AI913" s="54">
        <v>0</v>
      </c>
      <c r="AJ913" s="54">
        <v>0</v>
      </c>
      <c r="AK913" s="54">
        <v>0</v>
      </c>
      <c r="AL913" s="54">
        <v>0</v>
      </c>
      <c r="AM913" s="54" t="str">
        <f>I913-J913-K913-L913-M913-N913-O913-P913-Q913-R913-S913-T913-U913-V913-W913-X913-Y913-Z913-AA913-AB913-AC913-AD913-AE913-AF913-AG913+AH913-AI913+AJ913+AK913-AL913</f>
        <v>0</v>
      </c>
      <c r="AN913" s="54"/>
      <c r="AO913" s="27"/>
    </row>
    <row r="914" spans="1:41">
      <c r="A914" s="44">
        <v>886</v>
      </c>
      <c r="B914" s="47" t="s">
        <v>3613</v>
      </c>
      <c r="C914" s="48" t="s">
        <v>3614</v>
      </c>
      <c r="D914" s="52" t="s">
        <v>73</v>
      </c>
      <c r="E914" s="52" t="s">
        <v>3594</v>
      </c>
      <c r="F914" s="55" t="s">
        <v>3615</v>
      </c>
      <c r="G914" s="51">
        <v>4</v>
      </c>
      <c r="H914" s="52" t="s">
        <v>3616</v>
      </c>
      <c r="I914" s="54">
        <v>680000</v>
      </c>
      <c r="J914" s="54">
        <v>0</v>
      </c>
      <c r="K914" s="54">
        <v>25000</v>
      </c>
      <c r="L914" s="54">
        <v>0</v>
      </c>
      <c r="M914" s="54">
        <v>0</v>
      </c>
      <c r="N914" s="54">
        <v>0</v>
      </c>
      <c r="O914" s="54">
        <v>0</v>
      </c>
      <c r="P914" s="54">
        <v>0</v>
      </c>
      <c r="Q914" s="54">
        <v>0</v>
      </c>
      <c r="R914" s="54">
        <v>0</v>
      </c>
      <c r="S914" s="54">
        <v>0</v>
      </c>
      <c r="T914" s="54">
        <v>0</v>
      </c>
      <c r="U914" s="54">
        <v>1587</v>
      </c>
      <c r="V914" s="54">
        <v>0</v>
      </c>
      <c r="W914" s="54">
        <v>0</v>
      </c>
      <c r="X914" s="54">
        <v>0</v>
      </c>
      <c r="Y914" s="54">
        <v>0</v>
      </c>
      <c r="Z914" s="54">
        <v>0</v>
      </c>
      <c r="AA914" s="54">
        <v>0</v>
      </c>
      <c r="AB914" s="54">
        <v>0</v>
      </c>
      <c r="AC914" s="54">
        <v>0</v>
      </c>
      <c r="AD914" s="54">
        <v>0</v>
      </c>
      <c r="AE914" s="54">
        <v>0</v>
      </c>
      <c r="AF914" s="54">
        <v>0</v>
      </c>
      <c r="AG914" s="54">
        <v>0</v>
      </c>
      <c r="AH914" s="54">
        <v>0</v>
      </c>
      <c r="AI914" s="54">
        <v>0</v>
      </c>
      <c r="AJ914" s="54">
        <v>0</v>
      </c>
      <c r="AK914" s="54">
        <v>0</v>
      </c>
      <c r="AL914" s="54">
        <v>0</v>
      </c>
      <c r="AM914" s="54" t="str">
        <f>I914-J914-K914-L914-M914-N914-O914-P914-Q914-R914-S914-T914-U914-V914-W914-X914-Y914-Z914-AA914-AB914-AC914-AD914-AE914-AF914-AG914+AH914-AI914+AJ914+AK914-AL914</f>
        <v>0</v>
      </c>
      <c r="AN914" s="54"/>
      <c r="AO914" s="27"/>
    </row>
    <row r="915" spans="1:41">
      <c r="A915" s="44">
        <v>887</v>
      </c>
      <c r="B915" s="47" t="s">
        <v>3617</v>
      </c>
      <c r="C915" s="48" t="s">
        <v>3618</v>
      </c>
      <c r="D915" s="52" t="s">
        <v>73</v>
      </c>
      <c r="E915" s="52" t="s">
        <v>3594</v>
      </c>
      <c r="F915" s="55" t="s">
        <v>3619</v>
      </c>
      <c r="G915" s="51">
        <v>2</v>
      </c>
      <c r="H915" s="52" t="s">
        <v>3620</v>
      </c>
      <c r="I915" s="54">
        <v>305000</v>
      </c>
      <c r="J915" s="54">
        <v>0</v>
      </c>
      <c r="K915" s="54">
        <v>22000</v>
      </c>
      <c r="L915" s="54">
        <v>0</v>
      </c>
      <c r="M915" s="54">
        <v>0</v>
      </c>
      <c r="N915" s="54">
        <v>0</v>
      </c>
      <c r="O915" s="54">
        <v>0</v>
      </c>
      <c r="P915" s="54">
        <v>0</v>
      </c>
      <c r="Q915" s="54">
        <v>0</v>
      </c>
      <c r="R915" s="54">
        <v>0</v>
      </c>
      <c r="S915" s="54">
        <v>0</v>
      </c>
      <c r="T915" s="54">
        <v>0</v>
      </c>
      <c r="U915" s="54">
        <v>1397</v>
      </c>
      <c r="V915" s="54">
        <v>0</v>
      </c>
      <c r="W915" s="54">
        <v>0</v>
      </c>
      <c r="X915" s="54">
        <v>0</v>
      </c>
      <c r="Y915" s="54">
        <v>0</v>
      </c>
      <c r="Z915" s="54">
        <v>0</v>
      </c>
      <c r="AA915" s="54">
        <v>0</v>
      </c>
      <c r="AB915" s="54">
        <v>0</v>
      </c>
      <c r="AC915" s="54">
        <v>0</v>
      </c>
      <c r="AD915" s="54">
        <v>0</v>
      </c>
      <c r="AE915" s="54">
        <v>0</v>
      </c>
      <c r="AF915" s="54">
        <v>0</v>
      </c>
      <c r="AG915" s="54">
        <v>0</v>
      </c>
      <c r="AH915" s="54">
        <v>0</v>
      </c>
      <c r="AI915" s="54">
        <v>0</v>
      </c>
      <c r="AJ915" s="54">
        <v>0</v>
      </c>
      <c r="AK915" s="54">
        <v>0</v>
      </c>
      <c r="AL915" s="54">
        <v>0</v>
      </c>
      <c r="AM915" s="54" t="str">
        <f>I915-J915-K915-L915-M915-N915-O915-P915-Q915-R915-S915-T915-U915-V915-W915-X915-Y915-Z915-AA915-AB915-AC915-AD915-AE915-AF915-AG915+AH915-AI915+AJ915+AK915-AL915</f>
        <v>0</v>
      </c>
      <c r="AN915" s="54"/>
      <c r="AO915" s="27"/>
    </row>
    <row r="916" spans="1:41">
      <c r="A916" s="44">
        <v>888</v>
      </c>
      <c r="B916" s="47" t="s">
        <v>3621</v>
      </c>
      <c r="C916" s="48" t="s">
        <v>3622</v>
      </c>
      <c r="D916" s="52" t="s">
        <v>73</v>
      </c>
      <c r="E916" s="52" t="s">
        <v>3594</v>
      </c>
      <c r="F916" s="55" t="s">
        <v>206</v>
      </c>
      <c r="G916" s="51">
        <v>2</v>
      </c>
      <c r="H916" s="52" t="s">
        <v>3623</v>
      </c>
      <c r="I916" s="54">
        <v>384000</v>
      </c>
      <c r="J916" s="54">
        <v>0</v>
      </c>
      <c r="K916" s="54">
        <v>22000</v>
      </c>
      <c r="L916" s="54">
        <v>0</v>
      </c>
      <c r="M916" s="54">
        <v>0</v>
      </c>
      <c r="N916" s="54">
        <v>0</v>
      </c>
      <c r="O916" s="54">
        <v>0</v>
      </c>
      <c r="P916" s="54">
        <v>0</v>
      </c>
      <c r="Q916" s="54">
        <v>0</v>
      </c>
      <c r="R916" s="54">
        <v>0</v>
      </c>
      <c r="S916" s="54">
        <v>0</v>
      </c>
      <c r="T916" s="54">
        <v>0</v>
      </c>
      <c r="U916" s="54">
        <v>1397</v>
      </c>
      <c r="V916" s="54">
        <v>0</v>
      </c>
      <c r="W916" s="54">
        <v>0</v>
      </c>
      <c r="X916" s="54">
        <v>0</v>
      </c>
      <c r="Y916" s="54">
        <v>0</v>
      </c>
      <c r="Z916" s="54">
        <v>0</v>
      </c>
      <c r="AA916" s="54">
        <v>0</v>
      </c>
      <c r="AB916" s="54">
        <v>0</v>
      </c>
      <c r="AC916" s="54">
        <v>0</v>
      </c>
      <c r="AD916" s="54">
        <v>0</v>
      </c>
      <c r="AE916" s="54">
        <v>0</v>
      </c>
      <c r="AF916" s="54">
        <v>0</v>
      </c>
      <c r="AG916" s="54">
        <v>0</v>
      </c>
      <c r="AH916" s="54">
        <v>0</v>
      </c>
      <c r="AI916" s="54">
        <v>0</v>
      </c>
      <c r="AJ916" s="54">
        <v>0</v>
      </c>
      <c r="AK916" s="54">
        <v>0</v>
      </c>
      <c r="AL916" s="54">
        <v>0</v>
      </c>
      <c r="AM916" s="54" t="str">
        <f>I916-J916-K916-L916-M916-N916-O916-P916-Q916-R916-S916-T916-U916-V916-W916-X916-Y916-Z916-AA916-AB916-AC916-AD916-AE916-AF916-AG916+AH916-AI916+AJ916+AK916-AL916</f>
        <v>0</v>
      </c>
      <c r="AN916" s="54"/>
      <c r="AO916" s="27"/>
    </row>
    <row r="917" spans="1:41">
      <c r="A917" s="44">
        <v>889</v>
      </c>
      <c r="B917" s="47" t="s">
        <v>3624</v>
      </c>
      <c r="C917" s="48" t="s">
        <v>3625</v>
      </c>
      <c r="D917" s="52" t="s">
        <v>73</v>
      </c>
      <c r="E917" s="52" t="s">
        <v>3594</v>
      </c>
      <c r="F917" s="55" t="s">
        <v>1069</v>
      </c>
      <c r="G917" s="51">
        <v>4</v>
      </c>
      <c r="H917" s="52" t="s">
        <v>3626</v>
      </c>
      <c r="I917" s="54">
        <v>784000</v>
      </c>
      <c r="J917" s="54">
        <v>0</v>
      </c>
      <c r="K917" s="54">
        <v>25000</v>
      </c>
      <c r="L917" s="54">
        <v>0</v>
      </c>
      <c r="M917" s="54">
        <v>0</v>
      </c>
      <c r="N917" s="54">
        <v>0</v>
      </c>
      <c r="O917" s="54">
        <v>0</v>
      </c>
      <c r="P917" s="54">
        <v>0</v>
      </c>
      <c r="Q917" s="54">
        <v>0</v>
      </c>
      <c r="R917" s="54">
        <v>0</v>
      </c>
      <c r="S917" s="54">
        <v>0</v>
      </c>
      <c r="T917" s="54">
        <v>0</v>
      </c>
      <c r="U917" s="54">
        <v>1587</v>
      </c>
      <c r="V917" s="54">
        <v>0</v>
      </c>
      <c r="W917" s="54">
        <v>0</v>
      </c>
      <c r="X917" s="54">
        <v>0</v>
      </c>
      <c r="Y917" s="54">
        <v>0</v>
      </c>
      <c r="Z917" s="54">
        <v>0</v>
      </c>
      <c r="AA917" s="54">
        <v>0</v>
      </c>
      <c r="AB917" s="54">
        <v>0</v>
      </c>
      <c r="AC917" s="54">
        <v>0</v>
      </c>
      <c r="AD917" s="54">
        <v>0</v>
      </c>
      <c r="AE917" s="54">
        <v>0</v>
      </c>
      <c r="AF917" s="54">
        <v>0</v>
      </c>
      <c r="AG917" s="54">
        <v>0</v>
      </c>
      <c r="AH917" s="54">
        <v>0</v>
      </c>
      <c r="AI917" s="54">
        <v>0</v>
      </c>
      <c r="AJ917" s="54">
        <v>0</v>
      </c>
      <c r="AK917" s="54">
        <v>0</v>
      </c>
      <c r="AL917" s="54">
        <v>0</v>
      </c>
      <c r="AM917" s="54" t="str">
        <f>I917-J917-K917-L917-M917-N917-O917-P917-Q917-R917-S917-T917-U917-V917-W917-X917-Y917-Z917-AA917-AB917-AC917-AD917-AE917-AF917-AG917+AH917-AI917+AJ917+AK917-AL917</f>
        <v>0</v>
      </c>
      <c r="AN917" s="54"/>
      <c r="AO917" s="27"/>
    </row>
    <row r="918" spans="1:41">
      <c r="A918" s="44">
        <v>890</v>
      </c>
      <c r="B918" s="47" t="s">
        <v>3627</v>
      </c>
      <c r="C918" s="48" t="s">
        <v>3628</v>
      </c>
      <c r="D918" s="52" t="s">
        <v>73</v>
      </c>
      <c r="E918" s="52" t="s">
        <v>3594</v>
      </c>
      <c r="F918" s="55" t="s">
        <v>3629</v>
      </c>
      <c r="G918" s="51">
        <v>8</v>
      </c>
      <c r="H918" s="52" t="s">
        <v>3630</v>
      </c>
      <c r="I918" s="54">
        <v>860000</v>
      </c>
      <c r="J918" s="54">
        <v>0</v>
      </c>
      <c r="K918" s="54">
        <v>39000</v>
      </c>
      <c r="L918" s="54">
        <v>0</v>
      </c>
      <c r="M918" s="54">
        <v>0</v>
      </c>
      <c r="N918" s="54">
        <v>0</v>
      </c>
      <c r="O918" s="54">
        <v>0</v>
      </c>
      <c r="P918" s="54">
        <v>0</v>
      </c>
      <c r="Q918" s="54">
        <v>0</v>
      </c>
      <c r="R918" s="54">
        <v>0</v>
      </c>
      <c r="S918" s="54">
        <v>0</v>
      </c>
      <c r="T918" s="54">
        <v>0</v>
      </c>
      <c r="U918" s="54">
        <v>2476</v>
      </c>
      <c r="V918" s="54">
        <v>0</v>
      </c>
      <c r="W918" s="54">
        <v>0</v>
      </c>
      <c r="X918" s="54">
        <v>0</v>
      </c>
      <c r="Y918" s="54">
        <v>0</v>
      </c>
      <c r="Z918" s="54">
        <v>0</v>
      </c>
      <c r="AA918" s="54">
        <v>0</v>
      </c>
      <c r="AB918" s="54">
        <v>0</v>
      </c>
      <c r="AC918" s="54">
        <v>0</v>
      </c>
      <c r="AD918" s="54">
        <v>0</v>
      </c>
      <c r="AE918" s="54">
        <v>0</v>
      </c>
      <c r="AF918" s="54">
        <v>0</v>
      </c>
      <c r="AG918" s="54">
        <v>0</v>
      </c>
      <c r="AH918" s="54">
        <v>0</v>
      </c>
      <c r="AI918" s="54">
        <v>0</v>
      </c>
      <c r="AJ918" s="54">
        <v>0</v>
      </c>
      <c r="AK918" s="54">
        <v>0</v>
      </c>
      <c r="AL918" s="54">
        <v>0</v>
      </c>
      <c r="AM918" s="54" t="str">
        <f>I918-J918-K918-L918-M918-N918-O918-P918-Q918-R918-S918-T918-U918-V918-W918-X918-Y918-Z918-AA918-AB918-AC918-AD918-AE918-AF918-AG918+AH918-AI918+AJ918+AK918-AL918</f>
        <v>0</v>
      </c>
      <c r="AN918" s="54"/>
      <c r="AO918" s="27"/>
    </row>
    <row r="919" spans="1:41">
      <c r="A919" s="44">
        <v>891</v>
      </c>
      <c r="B919" s="47" t="s">
        <v>3631</v>
      </c>
      <c r="C919" s="48" t="s">
        <v>3632</v>
      </c>
      <c r="D919" s="52" t="s">
        <v>73</v>
      </c>
      <c r="E919" s="52" t="s">
        <v>3594</v>
      </c>
      <c r="F919" s="55" t="s">
        <v>2894</v>
      </c>
      <c r="G919" s="51">
        <v>2</v>
      </c>
      <c r="H919" s="52" t="s">
        <v>3633</v>
      </c>
      <c r="I919" s="54">
        <v>434000</v>
      </c>
      <c r="J919" s="54">
        <v>0</v>
      </c>
      <c r="K919" s="54">
        <v>22000</v>
      </c>
      <c r="L919" s="54">
        <v>0</v>
      </c>
      <c r="M919" s="54">
        <v>0</v>
      </c>
      <c r="N919" s="54">
        <v>0</v>
      </c>
      <c r="O919" s="54">
        <v>0</v>
      </c>
      <c r="P919" s="54">
        <v>0</v>
      </c>
      <c r="Q919" s="54">
        <v>0</v>
      </c>
      <c r="R919" s="54">
        <v>0</v>
      </c>
      <c r="S919" s="54">
        <v>0</v>
      </c>
      <c r="T919" s="54">
        <v>0</v>
      </c>
      <c r="U919" s="54">
        <v>1397</v>
      </c>
      <c r="V919" s="54">
        <v>0</v>
      </c>
      <c r="W919" s="54">
        <v>0</v>
      </c>
      <c r="X919" s="54">
        <v>0</v>
      </c>
      <c r="Y919" s="54">
        <v>0</v>
      </c>
      <c r="Z919" s="54">
        <v>0</v>
      </c>
      <c r="AA919" s="54">
        <v>0</v>
      </c>
      <c r="AB919" s="54">
        <v>0</v>
      </c>
      <c r="AC919" s="54">
        <v>0</v>
      </c>
      <c r="AD919" s="54">
        <v>0</v>
      </c>
      <c r="AE919" s="54">
        <v>0</v>
      </c>
      <c r="AF919" s="54">
        <v>0</v>
      </c>
      <c r="AG919" s="54">
        <v>0</v>
      </c>
      <c r="AH919" s="54">
        <v>0</v>
      </c>
      <c r="AI919" s="54">
        <v>0</v>
      </c>
      <c r="AJ919" s="54">
        <v>0</v>
      </c>
      <c r="AK919" s="54">
        <v>0</v>
      </c>
      <c r="AL919" s="54">
        <v>0</v>
      </c>
      <c r="AM919" s="54" t="str">
        <f>I919-J919-K919-L919-M919-N919-O919-P919-Q919-R919-S919-T919-U919-V919-W919-X919-Y919-Z919-AA919-AB919-AC919-AD919-AE919-AF919-AG919+AH919-AI919+AJ919+AK919-AL919</f>
        <v>0</v>
      </c>
      <c r="AN919" s="54"/>
      <c r="AO919" s="27"/>
    </row>
    <row r="920" spans="1:41">
      <c r="A920" s="44">
        <v>892</v>
      </c>
      <c r="B920" s="47" t="s">
        <v>3634</v>
      </c>
      <c r="C920" s="48" t="s">
        <v>3635</v>
      </c>
      <c r="D920" s="52" t="s">
        <v>73</v>
      </c>
      <c r="E920" s="52" t="s">
        <v>3594</v>
      </c>
      <c r="F920" s="55" t="s">
        <v>2894</v>
      </c>
      <c r="G920" s="51">
        <v>2</v>
      </c>
      <c r="H920" s="52" t="s">
        <v>3636</v>
      </c>
      <c r="I920" s="54">
        <v>575000</v>
      </c>
      <c r="J920" s="54">
        <v>0</v>
      </c>
      <c r="K920" s="54">
        <v>22000</v>
      </c>
      <c r="L920" s="54">
        <v>0</v>
      </c>
      <c r="M920" s="54">
        <v>0</v>
      </c>
      <c r="N920" s="54">
        <v>0</v>
      </c>
      <c r="O920" s="54">
        <v>0</v>
      </c>
      <c r="P920" s="54">
        <v>0</v>
      </c>
      <c r="Q920" s="54">
        <v>0</v>
      </c>
      <c r="R920" s="54">
        <v>0</v>
      </c>
      <c r="S920" s="54">
        <v>0</v>
      </c>
      <c r="T920" s="54">
        <v>0</v>
      </c>
      <c r="U920" s="54">
        <v>1397</v>
      </c>
      <c r="V920" s="54">
        <v>0</v>
      </c>
      <c r="W920" s="54">
        <v>0</v>
      </c>
      <c r="X920" s="54">
        <v>0</v>
      </c>
      <c r="Y920" s="54">
        <v>0</v>
      </c>
      <c r="Z920" s="54">
        <v>0</v>
      </c>
      <c r="AA920" s="54">
        <v>0</v>
      </c>
      <c r="AB920" s="54">
        <v>0</v>
      </c>
      <c r="AC920" s="54">
        <v>0</v>
      </c>
      <c r="AD920" s="54">
        <v>0</v>
      </c>
      <c r="AE920" s="54">
        <v>0</v>
      </c>
      <c r="AF920" s="54">
        <v>0</v>
      </c>
      <c r="AG920" s="54">
        <v>0</v>
      </c>
      <c r="AH920" s="54">
        <v>0</v>
      </c>
      <c r="AI920" s="54">
        <v>0</v>
      </c>
      <c r="AJ920" s="54">
        <v>0</v>
      </c>
      <c r="AK920" s="54">
        <v>0</v>
      </c>
      <c r="AL920" s="54">
        <v>0</v>
      </c>
      <c r="AM920" s="54" t="str">
        <f>I920-J920-K920-L920-M920-N920-O920-P920-Q920-R920-S920-T920-U920-V920-W920-X920-Y920-Z920-AA920-AB920-AC920-AD920-AE920-AF920-AG920+AH920-AI920+AJ920+AK920-AL920</f>
        <v>0</v>
      </c>
      <c r="AN920" s="54"/>
      <c r="AO920" s="27"/>
    </row>
    <row r="921" spans="1:41">
      <c r="A921" s="44">
        <v>893</v>
      </c>
      <c r="B921" s="47" t="s">
        <v>3637</v>
      </c>
      <c r="C921" s="48" t="s">
        <v>3638</v>
      </c>
      <c r="D921" s="52" t="s">
        <v>73</v>
      </c>
      <c r="E921" s="52" t="s">
        <v>3594</v>
      </c>
      <c r="F921" s="55" t="s">
        <v>3639</v>
      </c>
      <c r="G921" s="51">
        <v>2</v>
      </c>
      <c r="H921" s="52" t="s">
        <v>3640</v>
      </c>
      <c r="I921" s="54">
        <v>144000</v>
      </c>
      <c r="J921" s="54">
        <v>0</v>
      </c>
      <c r="K921" s="54">
        <v>22000</v>
      </c>
      <c r="L921" s="54">
        <v>0</v>
      </c>
      <c r="M921" s="54">
        <v>0</v>
      </c>
      <c r="N921" s="54">
        <v>0</v>
      </c>
      <c r="O921" s="54">
        <v>0</v>
      </c>
      <c r="P921" s="54">
        <v>0</v>
      </c>
      <c r="Q921" s="54">
        <v>0</v>
      </c>
      <c r="R921" s="54">
        <v>0</v>
      </c>
      <c r="S921" s="54">
        <v>0</v>
      </c>
      <c r="T921" s="54">
        <v>0</v>
      </c>
      <c r="U921" s="54">
        <v>1397</v>
      </c>
      <c r="V921" s="54">
        <v>0</v>
      </c>
      <c r="W921" s="54">
        <v>0</v>
      </c>
      <c r="X921" s="54">
        <v>0</v>
      </c>
      <c r="Y921" s="54">
        <v>0</v>
      </c>
      <c r="Z921" s="54">
        <v>0</v>
      </c>
      <c r="AA921" s="54">
        <v>0</v>
      </c>
      <c r="AB921" s="54">
        <v>0</v>
      </c>
      <c r="AC921" s="54">
        <v>0</v>
      </c>
      <c r="AD921" s="54">
        <v>0</v>
      </c>
      <c r="AE921" s="54">
        <v>0</v>
      </c>
      <c r="AF921" s="54">
        <v>0</v>
      </c>
      <c r="AG921" s="54">
        <v>0</v>
      </c>
      <c r="AH921" s="54">
        <v>0</v>
      </c>
      <c r="AI921" s="54">
        <v>0</v>
      </c>
      <c r="AJ921" s="54">
        <v>0</v>
      </c>
      <c r="AK921" s="54">
        <v>0</v>
      </c>
      <c r="AL921" s="54">
        <v>0</v>
      </c>
      <c r="AM921" s="54" t="str">
        <f>I921-J921-K921-L921-M921-N921-O921-P921-Q921-R921-S921-T921-U921-V921-W921-X921-Y921-Z921-AA921-AB921-AC921-AD921-AE921-AF921-AG921+AH921-AI921+AJ921+AK921-AL921</f>
        <v>0</v>
      </c>
      <c r="AN921" s="54"/>
      <c r="AO921" s="27"/>
    </row>
    <row r="922" spans="1:41">
      <c r="A922" s="44">
        <v>894</v>
      </c>
      <c r="B922" s="47" t="s">
        <v>3641</v>
      </c>
      <c r="C922" s="48" t="s">
        <v>3642</v>
      </c>
      <c r="D922" s="52" t="s">
        <v>73</v>
      </c>
      <c r="E922" s="52" t="s">
        <v>3594</v>
      </c>
      <c r="F922" s="55" t="s">
        <v>3458</v>
      </c>
      <c r="G922" s="51">
        <v>6</v>
      </c>
      <c r="H922" s="52" t="s">
        <v>3643</v>
      </c>
      <c r="I922" s="54">
        <v>30000</v>
      </c>
      <c r="J922" s="54">
        <v>0</v>
      </c>
      <c r="K922" s="54">
        <v>31000</v>
      </c>
      <c r="L922" s="54">
        <v>0</v>
      </c>
      <c r="M922" s="54">
        <v>0</v>
      </c>
      <c r="N922" s="54">
        <v>0</v>
      </c>
      <c r="O922" s="54">
        <v>0</v>
      </c>
      <c r="P922" s="54">
        <v>0</v>
      </c>
      <c r="Q922" s="54">
        <v>0</v>
      </c>
      <c r="R922" s="54">
        <v>0</v>
      </c>
      <c r="S922" s="54">
        <v>0</v>
      </c>
      <c r="T922" s="54">
        <v>0</v>
      </c>
      <c r="U922" s="54">
        <v>1968</v>
      </c>
      <c r="V922" s="54">
        <v>0</v>
      </c>
      <c r="W922" s="54">
        <v>0</v>
      </c>
      <c r="X922" s="54">
        <v>0</v>
      </c>
      <c r="Y922" s="54">
        <v>5000</v>
      </c>
      <c r="Z922" s="54">
        <v>0</v>
      </c>
      <c r="AA922" s="54">
        <v>0</v>
      </c>
      <c r="AB922" s="54">
        <v>0</v>
      </c>
      <c r="AC922" s="54">
        <v>0</v>
      </c>
      <c r="AD922" s="54">
        <v>0</v>
      </c>
      <c r="AE922" s="54">
        <v>0</v>
      </c>
      <c r="AF922" s="54">
        <v>0</v>
      </c>
      <c r="AG922" s="54">
        <v>0</v>
      </c>
      <c r="AH922" s="54">
        <v>0</v>
      </c>
      <c r="AI922" s="54">
        <v>0</v>
      </c>
      <c r="AJ922" s="54">
        <v>0</v>
      </c>
      <c r="AK922" s="54">
        <v>0</v>
      </c>
      <c r="AL922" s="54">
        <v>0</v>
      </c>
      <c r="AM922" s="54" t="str">
        <f>I922-J922-K922-L922-M922-N922-O922-P922-Q922-R922-S922-T922-U922-V922-W922-X922-Y922-Z922-AA922-AB922-AC922-AD922-AE922-AF922-AG922+AH922-AI922+AJ922+AK922-AL922</f>
        <v>0</v>
      </c>
      <c r="AN922" s="54"/>
      <c r="AO922" s="27"/>
    </row>
    <row r="923" spans="1:41">
      <c r="A923" s="44">
        <v>895</v>
      </c>
      <c r="B923" s="47" t="s">
        <v>3644</v>
      </c>
      <c r="C923" s="48" t="s">
        <v>3645</v>
      </c>
      <c r="D923" s="52" t="s">
        <v>73</v>
      </c>
      <c r="E923" s="52" t="s">
        <v>3594</v>
      </c>
      <c r="F923" s="55" t="s">
        <v>3646</v>
      </c>
      <c r="G923" s="51">
        <v>15</v>
      </c>
      <c r="H923" s="52" t="s">
        <v>3647</v>
      </c>
      <c r="I923" s="54">
        <v>3591000</v>
      </c>
      <c r="J923" s="54">
        <v>17955</v>
      </c>
      <c r="K923" s="54">
        <v>60000</v>
      </c>
      <c r="L923" s="54">
        <v>0</v>
      </c>
      <c r="M923" s="54">
        <v>0</v>
      </c>
      <c r="N923" s="54">
        <v>0</v>
      </c>
      <c r="O923" s="54">
        <v>0</v>
      </c>
      <c r="P923" s="54">
        <v>0</v>
      </c>
      <c r="Q923" s="54">
        <v>0</v>
      </c>
      <c r="R923" s="54">
        <v>0</v>
      </c>
      <c r="S923" s="54">
        <v>0</v>
      </c>
      <c r="T923" s="54">
        <v>0</v>
      </c>
      <c r="U923" s="54">
        <v>3810</v>
      </c>
      <c r="V923" s="54">
        <v>0</v>
      </c>
      <c r="W923" s="54">
        <v>0</v>
      </c>
      <c r="X923" s="54">
        <v>0</v>
      </c>
      <c r="Y923" s="54">
        <v>0</v>
      </c>
      <c r="Z923" s="54">
        <v>0</v>
      </c>
      <c r="AA923" s="54">
        <v>0</v>
      </c>
      <c r="AB923" s="54">
        <v>0</v>
      </c>
      <c r="AC923" s="54">
        <v>0</v>
      </c>
      <c r="AD923" s="54">
        <v>0</v>
      </c>
      <c r="AE923" s="54">
        <v>0</v>
      </c>
      <c r="AF923" s="54">
        <v>0</v>
      </c>
      <c r="AG923" s="54">
        <v>0</v>
      </c>
      <c r="AH923" s="54">
        <v>0</v>
      </c>
      <c r="AI923" s="54">
        <v>0</v>
      </c>
      <c r="AJ923" s="54">
        <v>0</v>
      </c>
      <c r="AK923" s="54">
        <v>0</v>
      </c>
      <c r="AL923" s="54">
        <v>0</v>
      </c>
      <c r="AM923" s="54" t="str">
        <f>I923-J923-K923-L923-M923-N923-O923-P923-Q923-R923-S923-T923-U923-V923-W923-X923-Y923-Z923-AA923-AB923-AC923-AD923-AE923-AF923-AG923+AH923-AI923+AJ923+AK923-AL923</f>
        <v>0</v>
      </c>
      <c r="AN923" s="54"/>
      <c r="AO923" s="27"/>
    </row>
    <row r="924" spans="1:41">
      <c r="A924" s="44">
        <v>896</v>
      </c>
      <c r="B924" s="47" t="s">
        <v>3648</v>
      </c>
      <c r="C924" s="48" t="s">
        <v>3649</v>
      </c>
      <c r="D924" s="52" t="s">
        <v>73</v>
      </c>
      <c r="E924" s="52" t="s">
        <v>3594</v>
      </c>
      <c r="F924" s="55" t="s">
        <v>3646</v>
      </c>
      <c r="G924" s="51">
        <v>15</v>
      </c>
      <c r="H924" s="52" t="s">
        <v>3647</v>
      </c>
      <c r="I924" s="54">
        <v>3591000</v>
      </c>
      <c r="J924" s="54">
        <v>17955</v>
      </c>
      <c r="K924" s="54">
        <v>60000</v>
      </c>
      <c r="L924" s="54">
        <v>0</v>
      </c>
      <c r="M924" s="54">
        <v>0</v>
      </c>
      <c r="N924" s="54">
        <v>0</v>
      </c>
      <c r="O924" s="54">
        <v>0</v>
      </c>
      <c r="P924" s="54">
        <v>0</v>
      </c>
      <c r="Q924" s="54">
        <v>0</v>
      </c>
      <c r="R924" s="54">
        <v>0</v>
      </c>
      <c r="S924" s="54">
        <v>0</v>
      </c>
      <c r="T924" s="54">
        <v>0</v>
      </c>
      <c r="U924" s="54">
        <v>3810</v>
      </c>
      <c r="V924" s="54">
        <v>0</v>
      </c>
      <c r="W924" s="54">
        <v>0</v>
      </c>
      <c r="X924" s="54">
        <v>0</v>
      </c>
      <c r="Y924" s="54">
        <v>0</v>
      </c>
      <c r="Z924" s="54">
        <v>0</v>
      </c>
      <c r="AA924" s="54">
        <v>0</v>
      </c>
      <c r="AB924" s="54">
        <v>0</v>
      </c>
      <c r="AC924" s="54">
        <v>0</v>
      </c>
      <c r="AD924" s="54">
        <v>0</v>
      </c>
      <c r="AE924" s="54">
        <v>0</v>
      </c>
      <c r="AF924" s="54">
        <v>0</v>
      </c>
      <c r="AG924" s="54">
        <v>0</v>
      </c>
      <c r="AH924" s="54">
        <v>0</v>
      </c>
      <c r="AI924" s="54">
        <v>0</v>
      </c>
      <c r="AJ924" s="54">
        <v>0</v>
      </c>
      <c r="AK924" s="54">
        <v>0</v>
      </c>
      <c r="AL924" s="54">
        <v>0</v>
      </c>
      <c r="AM924" s="54" t="str">
        <f>I924-J924-K924-L924-M924-N924-O924-P924-Q924-R924-S924-T924-U924-V924-W924-X924-Y924-Z924-AA924-AB924-AC924-AD924-AE924-AF924-AG924+AH924-AI924+AJ924+AK924-AL924</f>
        <v>0</v>
      </c>
      <c r="AN924" s="54"/>
      <c r="AO924" s="27"/>
    </row>
    <row r="925" spans="1:41">
      <c r="A925" s="44">
        <v>897</v>
      </c>
      <c r="B925" s="47" t="s">
        <v>3650</v>
      </c>
      <c r="C925" s="48" t="s">
        <v>3651</v>
      </c>
      <c r="D925" s="52" t="s">
        <v>73</v>
      </c>
      <c r="E925" s="52" t="s">
        <v>3594</v>
      </c>
      <c r="F925" s="55" t="s">
        <v>3652</v>
      </c>
      <c r="G925" s="51">
        <v>3</v>
      </c>
      <c r="H925" s="52" t="s">
        <v>3653</v>
      </c>
      <c r="I925" s="54">
        <v>585000</v>
      </c>
      <c r="J925" s="54">
        <v>0</v>
      </c>
      <c r="K925" s="54">
        <v>22000</v>
      </c>
      <c r="L925" s="54">
        <v>0</v>
      </c>
      <c r="M925" s="54">
        <v>0</v>
      </c>
      <c r="N925" s="54">
        <v>0</v>
      </c>
      <c r="O925" s="54">
        <v>0</v>
      </c>
      <c r="P925" s="54">
        <v>0</v>
      </c>
      <c r="Q925" s="54">
        <v>0</v>
      </c>
      <c r="R925" s="54">
        <v>0</v>
      </c>
      <c r="S925" s="54">
        <v>0</v>
      </c>
      <c r="T925" s="54">
        <v>0</v>
      </c>
      <c r="U925" s="54">
        <v>1397</v>
      </c>
      <c r="V925" s="54">
        <v>0</v>
      </c>
      <c r="W925" s="54">
        <v>0</v>
      </c>
      <c r="X925" s="54">
        <v>0</v>
      </c>
      <c r="Y925" s="54">
        <v>0</v>
      </c>
      <c r="Z925" s="54">
        <v>0</v>
      </c>
      <c r="AA925" s="54">
        <v>0</v>
      </c>
      <c r="AB925" s="54">
        <v>0</v>
      </c>
      <c r="AC925" s="54">
        <v>0</v>
      </c>
      <c r="AD925" s="54">
        <v>0</v>
      </c>
      <c r="AE925" s="54">
        <v>0</v>
      </c>
      <c r="AF925" s="54">
        <v>0</v>
      </c>
      <c r="AG925" s="54">
        <v>0</v>
      </c>
      <c r="AH925" s="54">
        <v>0</v>
      </c>
      <c r="AI925" s="54">
        <v>0</v>
      </c>
      <c r="AJ925" s="54">
        <v>0</v>
      </c>
      <c r="AK925" s="54">
        <v>0</v>
      </c>
      <c r="AL925" s="54">
        <v>0</v>
      </c>
      <c r="AM925" s="54" t="str">
        <f>I925-J925-K925-L925-M925-N925-O925-P925-Q925-R925-S925-T925-U925-V925-W925-X925-Y925-Z925-AA925-AB925-AC925-AD925-AE925-AF925-AG925+AH925-AI925+AJ925+AK925-AL925</f>
        <v>0</v>
      </c>
      <c r="AN925" s="54"/>
      <c r="AO925" s="27"/>
    </row>
    <row r="926" spans="1:41">
      <c r="A926" s="44">
        <v>898</v>
      </c>
      <c r="B926" s="47" t="s">
        <v>3654</v>
      </c>
      <c r="C926" s="48" t="s">
        <v>3655</v>
      </c>
      <c r="D926" s="52" t="s">
        <v>73</v>
      </c>
      <c r="E926" s="52" t="s">
        <v>3594</v>
      </c>
      <c r="F926" s="55" t="s">
        <v>1238</v>
      </c>
      <c r="G926" s="51">
        <v>3</v>
      </c>
      <c r="H926" s="52" t="s">
        <v>3656</v>
      </c>
      <c r="I926" s="54">
        <v>320000</v>
      </c>
      <c r="J926" s="54">
        <v>0</v>
      </c>
      <c r="K926" s="54">
        <v>22000</v>
      </c>
      <c r="L926" s="54">
        <v>0</v>
      </c>
      <c r="M926" s="54">
        <v>0</v>
      </c>
      <c r="N926" s="54">
        <v>0</v>
      </c>
      <c r="O926" s="54">
        <v>0</v>
      </c>
      <c r="P926" s="54">
        <v>0</v>
      </c>
      <c r="Q926" s="54">
        <v>0</v>
      </c>
      <c r="R926" s="54">
        <v>0</v>
      </c>
      <c r="S926" s="54">
        <v>0</v>
      </c>
      <c r="T926" s="54">
        <v>0</v>
      </c>
      <c r="U926" s="54">
        <v>1397</v>
      </c>
      <c r="V926" s="54">
        <v>0</v>
      </c>
      <c r="W926" s="54">
        <v>0</v>
      </c>
      <c r="X926" s="54">
        <v>0</v>
      </c>
      <c r="Y926" s="54">
        <v>0</v>
      </c>
      <c r="Z926" s="54">
        <v>0</v>
      </c>
      <c r="AA926" s="54">
        <v>0</v>
      </c>
      <c r="AB926" s="54">
        <v>0</v>
      </c>
      <c r="AC926" s="54">
        <v>0</v>
      </c>
      <c r="AD926" s="54">
        <v>0</v>
      </c>
      <c r="AE926" s="54">
        <v>0</v>
      </c>
      <c r="AF926" s="54">
        <v>0</v>
      </c>
      <c r="AG926" s="54">
        <v>0</v>
      </c>
      <c r="AH926" s="54">
        <v>0</v>
      </c>
      <c r="AI926" s="54">
        <v>0</v>
      </c>
      <c r="AJ926" s="54">
        <v>0</v>
      </c>
      <c r="AK926" s="54">
        <v>0</v>
      </c>
      <c r="AL926" s="54">
        <v>0</v>
      </c>
      <c r="AM926" s="54" t="str">
        <f>I926-J926-K926-L926-M926-N926-O926-P926-Q926-R926-S926-T926-U926-V926-W926-X926-Y926-Z926-AA926-AB926-AC926-AD926-AE926-AF926-AG926+AH926-AI926+AJ926+AK926-AL926</f>
        <v>0</v>
      </c>
      <c r="AN926" s="54"/>
      <c r="AO926" s="27"/>
    </row>
    <row r="927" spans="1:41">
      <c r="A927" s="44">
        <v>899</v>
      </c>
      <c r="B927" s="47" t="s">
        <v>3657</v>
      </c>
      <c r="C927" s="48" t="s">
        <v>3658</v>
      </c>
      <c r="D927" s="52" t="s">
        <v>73</v>
      </c>
      <c r="E927" s="52" t="s">
        <v>3594</v>
      </c>
      <c r="F927" s="55" t="s">
        <v>3009</v>
      </c>
      <c r="G927" s="51">
        <v>3</v>
      </c>
      <c r="H927" s="52" t="s">
        <v>3659</v>
      </c>
      <c r="I927" s="54">
        <v>585000</v>
      </c>
      <c r="J927" s="54">
        <v>0</v>
      </c>
      <c r="K927" s="54">
        <v>22000</v>
      </c>
      <c r="L927" s="54">
        <v>0</v>
      </c>
      <c r="M927" s="54">
        <v>0</v>
      </c>
      <c r="N927" s="54">
        <v>0</v>
      </c>
      <c r="O927" s="54">
        <v>0</v>
      </c>
      <c r="P927" s="54">
        <v>0</v>
      </c>
      <c r="Q927" s="54">
        <v>0</v>
      </c>
      <c r="R927" s="54">
        <v>0</v>
      </c>
      <c r="S927" s="54">
        <v>0</v>
      </c>
      <c r="T927" s="54">
        <v>0</v>
      </c>
      <c r="U927" s="54">
        <v>1397</v>
      </c>
      <c r="V927" s="54">
        <v>0</v>
      </c>
      <c r="W927" s="54">
        <v>0</v>
      </c>
      <c r="X927" s="54">
        <v>0</v>
      </c>
      <c r="Y927" s="54">
        <v>0</v>
      </c>
      <c r="Z927" s="54">
        <v>0</v>
      </c>
      <c r="AA927" s="54">
        <v>0</v>
      </c>
      <c r="AB927" s="54">
        <v>0</v>
      </c>
      <c r="AC927" s="54">
        <v>0</v>
      </c>
      <c r="AD927" s="54">
        <v>0</v>
      </c>
      <c r="AE927" s="54">
        <v>0</v>
      </c>
      <c r="AF927" s="54">
        <v>0</v>
      </c>
      <c r="AG927" s="54">
        <v>0</v>
      </c>
      <c r="AH927" s="54">
        <v>0</v>
      </c>
      <c r="AI927" s="54">
        <v>0</v>
      </c>
      <c r="AJ927" s="54">
        <v>0</v>
      </c>
      <c r="AK927" s="54">
        <v>0</v>
      </c>
      <c r="AL927" s="54">
        <v>0</v>
      </c>
      <c r="AM927" s="54" t="str">
        <f>I927-J927-K927-L927-M927-N927-O927-P927-Q927-R927-S927-T927-U927-V927-W927-X927-Y927-Z927-AA927-AB927-AC927-AD927-AE927-AF927-AG927+AH927-AI927+AJ927+AK927-AL927</f>
        <v>0</v>
      </c>
      <c r="AN927" s="54"/>
      <c r="AO927" s="27"/>
    </row>
    <row r="928" spans="1:41">
      <c r="A928" s="44">
        <v>900</v>
      </c>
      <c r="B928" s="47" t="s">
        <v>3660</v>
      </c>
      <c r="C928" s="48" t="s">
        <v>3661</v>
      </c>
      <c r="D928" s="52" t="s">
        <v>73</v>
      </c>
      <c r="E928" s="52" t="s">
        <v>3594</v>
      </c>
      <c r="F928" s="55" t="s">
        <v>3177</v>
      </c>
      <c r="G928" s="51">
        <v>6</v>
      </c>
      <c r="H928" s="52" t="s">
        <v>3662</v>
      </c>
      <c r="I928" s="54">
        <v>0</v>
      </c>
      <c r="J928" s="54">
        <v>0</v>
      </c>
      <c r="K928" s="54">
        <v>31000</v>
      </c>
      <c r="L928" s="54">
        <v>0</v>
      </c>
      <c r="M928" s="54">
        <v>0</v>
      </c>
      <c r="N928" s="54">
        <v>0</v>
      </c>
      <c r="O928" s="54">
        <v>0</v>
      </c>
      <c r="P928" s="54">
        <v>0</v>
      </c>
      <c r="Q928" s="54">
        <v>0</v>
      </c>
      <c r="R928" s="54">
        <v>0</v>
      </c>
      <c r="S928" s="54">
        <v>0</v>
      </c>
      <c r="T928" s="54">
        <v>0</v>
      </c>
      <c r="U928" s="54">
        <v>1968</v>
      </c>
      <c r="V928" s="54">
        <v>0</v>
      </c>
      <c r="W928" s="54">
        <v>0</v>
      </c>
      <c r="X928" s="54">
        <v>0</v>
      </c>
      <c r="Y928" s="54">
        <v>0</v>
      </c>
      <c r="Z928" s="54">
        <v>0</v>
      </c>
      <c r="AA928" s="54">
        <v>0</v>
      </c>
      <c r="AB928" s="54">
        <v>0</v>
      </c>
      <c r="AC928" s="54">
        <v>0</v>
      </c>
      <c r="AD928" s="54">
        <v>0</v>
      </c>
      <c r="AE928" s="54">
        <v>0</v>
      </c>
      <c r="AF928" s="54">
        <v>0</v>
      </c>
      <c r="AG928" s="54">
        <v>0</v>
      </c>
      <c r="AH928" s="54">
        <v>0</v>
      </c>
      <c r="AI928" s="54">
        <v>0</v>
      </c>
      <c r="AJ928" s="54">
        <v>0</v>
      </c>
      <c r="AK928" s="54">
        <v>0</v>
      </c>
      <c r="AL928" s="54">
        <v>0</v>
      </c>
      <c r="AM928" s="54" t="str">
        <f>I928-J928-K928-L928-M928-N928-O928-P928-Q928-R928-S928-T928-U928-V928-W928-X928-Y928-Z928-AA928-AB928-AC928-AD928-AE928-AF928-AG928+AH928-AI928+AJ928+AK928-AL928</f>
        <v>0</v>
      </c>
      <c r="AN928" s="54"/>
      <c r="AO928" s="27"/>
    </row>
    <row r="929" spans="1:41">
      <c r="A929" s="44">
        <v>901</v>
      </c>
      <c r="B929" s="47" t="s">
        <v>3663</v>
      </c>
      <c r="C929" s="48" t="s">
        <v>3664</v>
      </c>
      <c r="D929" s="52" t="s">
        <v>73</v>
      </c>
      <c r="E929" s="52" t="s">
        <v>3594</v>
      </c>
      <c r="F929" s="55" t="s">
        <v>2078</v>
      </c>
      <c r="G929" s="51">
        <v>10</v>
      </c>
      <c r="H929" s="52" t="s">
        <v>3665</v>
      </c>
      <c r="I929" s="54">
        <v>1696000</v>
      </c>
      <c r="J929" s="54">
        <v>0</v>
      </c>
      <c r="K929" s="54">
        <v>40000</v>
      </c>
      <c r="L929" s="54">
        <v>0</v>
      </c>
      <c r="M929" s="54">
        <v>0</v>
      </c>
      <c r="N929" s="54">
        <v>0</v>
      </c>
      <c r="O929" s="54">
        <v>0</v>
      </c>
      <c r="P929" s="54">
        <v>0</v>
      </c>
      <c r="Q929" s="54">
        <v>0</v>
      </c>
      <c r="R929" s="54">
        <v>0</v>
      </c>
      <c r="S929" s="54">
        <v>0</v>
      </c>
      <c r="T929" s="54">
        <v>0</v>
      </c>
      <c r="U929" s="54">
        <v>2540</v>
      </c>
      <c r="V929" s="54">
        <v>0</v>
      </c>
      <c r="W929" s="54">
        <v>0</v>
      </c>
      <c r="X929" s="54">
        <v>0</v>
      </c>
      <c r="Y929" s="54">
        <v>0</v>
      </c>
      <c r="Z929" s="54">
        <v>0</v>
      </c>
      <c r="AA929" s="54">
        <v>0</v>
      </c>
      <c r="AB929" s="54">
        <v>0</v>
      </c>
      <c r="AC929" s="54">
        <v>0</v>
      </c>
      <c r="AD929" s="54">
        <v>0</v>
      </c>
      <c r="AE929" s="54">
        <v>0</v>
      </c>
      <c r="AF929" s="54">
        <v>0</v>
      </c>
      <c r="AG929" s="54">
        <v>0</v>
      </c>
      <c r="AH929" s="54">
        <v>0</v>
      </c>
      <c r="AI929" s="54">
        <v>0</v>
      </c>
      <c r="AJ929" s="54">
        <v>0</v>
      </c>
      <c r="AK929" s="54">
        <v>0</v>
      </c>
      <c r="AL929" s="54">
        <v>0</v>
      </c>
      <c r="AM929" s="54" t="str">
        <f>I929-J929-K929-L929-M929-N929-O929-P929-Q929-R929-S929-T929-U929-V929-W929-X929-Y929-Z929-AA929-AB929-AC929-AD929-AE929-AF929-AG929+AH929-AI929+AJ929+AK929-AL929</f>
        <v>0</v>
      </c>
      <c r="AN929" s="54"/>
      <c r="AO929" s="27"/>
    </row>
    <row r="930" spans="1:41">
      <c r="A930" s="44">
        <v>902</v>
      </c>
      <c r="B930" s="47" t="s">
        <v>3666</v>
      </c>
      <c r="C930" s="48" t="s">
        <v>3667</v>
      </c>
      <c r="D930" s="52" t="s">
        <v>62</v>
      </c>
      <c r="E930" s="52" t="s">
        <v>3668</v>
      </c>
      <c r="F930" s="55" t="s">
        <v>3669</v>
      </c>
      <c r="G930" s="51">
        <v>0.1</v>
      </c>
      <c r="H930" s="52" t="s">
        <v>3670</v>
      </c>
      <c r="I930" s="54">
        <v>0</v>
      </c>
      <c r="J930" s="54">
        <v>0</v>
      </c>
      <c r="K930" s="54">
        <v>22000</v>
      </c>
      <c r="L930" s="54">
        <v>0</v>
      </c>
      <c r="M930" s="54">
        <v>0</v>
      </c>
      <c r="N930" s="54">
        <v>0</v>
      </c>
      <c r="O930" s="54">
        <v>0</v>
      </c>
      <c r="P930" s="54">
        <v>0</v>
      </c>
      <c r="Q930" s="54">
        <v>0</v>
      </c>
      <c r="R930" s="54">
        <v>0</v>
      </c>
      <c r="S930" s="54">
        <v>0</v>
      </c>
      <c r="T930" s="54">
        <v>0</v>
      </c>
      <c r="U930" s="54">
        <v>1397</v>
      </c>
      <c r="V930" s="54">
        <v>0</v>
      </c>
      <c r="W930" s="54">
        <v>0</v>
      </c>
      <c r="X930" s="54">
        <v>0</v>
      </c>
      <c r="Y930" s="54">
        <v>5000</v>
      </c>
      <c r="Z930" s="54">
        <v>0</v>
      </c>
      <c r="AA930" s="54">
        <v>0</v>
      </c>
      <c r="AB930" s="54">
        <v>0</v>
      </c>
      <c r="AC930" s="54">
        <v>0</v>
      </c>
      <c r="AD930" s="54">
        <v>0</v>
      </c>
      <c r="AE930" s="54">
        <v>0</v>
      </c>
      <c r="AF930" s="54">
        <v>0</v>
      </c>
      <c r="AG930" s="54">
        <v>0</v>
      </c>
      <c r="AH930" s="54">
        <v>0</v>
      </c>
      <c r="AI930" s="54">
        <v>0</v>
      </c>
      <c r="AJ930" s="54">
        <v>0</v>
      </c>
      <c r="AK930" s="54">
        <v>0</v>
      </c>
      <c r="AL930" s="54">
        <v>0</v>
      </c>
      <c r="AM930" s="54" t="str">
        <f>I930-J930-K930-L930-M930-N930-O930-P930-Q930-R930-S930-T930-U930-V930-W930-X930-Y930-Z930-AA930-AB930-AC930-AD930-AE930-AF930-AG930+AH930-AI930+AJ930+AK930-AL930</f>
        <v>0</v>
      </c>
      <c r="AN930" s="54"/>
      <c r="AO930" s="27"/>
    </row>
    <row r="931" spans="1:41">
      <c r="A931" s="44">
        <v>903</v>
      </c>
      <c r="B931" s="47" t="s">
        <v>3671</v>
      </c>
      <c r="C931" s="48" t="s">
        <v>3672</v>
      </c>
      <c r="D931" s="52" t="s">
        <v>73</v>
      </c>
      <c r="E931" s="52" t="s">
        <v>3673</v>
      </c>
      <c r="F931" s="55" t="s">
        <v>3674</v>
      </c>
      <c r="G931" s="51">
        <v>5</v>
      </c>
      <c r="H931" s="52" t="s">
        <v>3675</v>
      </c>
      <c r="I931" s="54">
        <v>560000</v>
      </c>
      <c r="J931" s="54">
        <v>0</v>
      </c>
      <c r="K931" s="54">
        <v>27000</v>
      </c>
      <c r="L931" s="54">
        <v>0</v>
      </c>
      <c r="M931" s="54">
        <v>0</v>
      </c>
      <c r="N931" s="54">
        <v>0</v>
      </c>
      <c r="O931" s="54">
        <v>0</v>
      </c>
      <c r="P931" s="54">
        <v>0</v>
      </c>
      <c r="Q931" s="54">
        <v>0</v>
      </c>
      <c r="R931" s="54">
        <v>0</v>
      </c>
      <c r="S931" s="54">
        <v>0</v>
      </c>
      <c r="T931" s="54">
        <v>0</v>
      </c>
      <c r="U931" s="54">
        <v>1714</v>
      </c>
      <c r="V931" s="54">
        <v>0</v>
      </c>
      <c r="W931" s="54">
        <v>0</v>
      </c>
      <c r="X931" s="54">
        <v>0</v>
      </c>
      <c r="Y931" s="54">
        <v>0</v>
      </c>
      <c r="Z931" s="54">
        <v>0</v>
      </c>
      <c r="AA931" s="54">
        <v>0</v>
      </c>
      <c r="AB931" s="54">
        <v>0</v>
      </c>
      <c r="AC931" s="54">
        <v>0</v>
      </c>
      <c r="AD931" s="54">
        <v>0</v>
      </c>
      <c r="AE931" s="54">
        <v>0</v>
      </c>
      <c r="AF931" s="54">
        <v>0</v>
      </c>
      <c r="AG931" s="54">
        <v>0</v>
      </c>
      <c r="AH931" s="54">
        <v>0</v>
      </c>
      <c r="AI931" s="54">
        <v>0</v>
      </c>
      <c r="AJ931" s="54">
        <v>0</v>
      </c>
      <c r="AK931" s="54">
        <v>0</v>
      </c>
      <c r="AL931" s="54">
        <v>0</v>
      </c>
      <c r="AM931" s="54" t="str">
        <f>I931-J931-K931-L931-M931-N931-O931-P931-Q931-R931-S931-T931-U931-V931-W931-X931-Y931-Z931-AA931-AB931-AC931-AD931-AE931-AF931-AG931+AH931-AI931+AJ931+AK931-AL931</f>
        <v>0</v>
      </c>
      <c r="AN931" s="54"/>
      <c r="AO931" s="27"/>
    </row>
    <row r="932" spans="1:41">
      <c r="A932" s="44">
        <v>904</v>
      </c>
      <c r="B932" s="47" t="s">
        <v>3676</v>
      </c>
      <c r="C932" s="48" t="s">
        <v>3677</v>
      </c>
      <c r="D932" s="52" t="s">
        <v>73</v>
      </c>
      <c r="E932" s="52" t="s">
        <v>3673</v>
      </c>
      <c r="F932" s="55" t="s">
        <v>1084</v>
      </c>
      <c r="G932" s="51">
        <v>2</v>
      </c>
      <c r="H932" s="52" t="s">
        <v>3678</v>
      </c>
      <c r="I932" s="54">
        <v>334000</v>
      </c>
      <c r="J932" s="54">
        <v>0</v>
      </c>
      <c r="K932" s="54">
        <v>22000</v>
      </c>
      <c r="L932" s="54">
        <v>0</v>
      </c>
      <c r="M932" s="54">
        <v>0</v>
      </c>
      <c r="N932" s="54">
        <v>0</v>
      </c>
      <c r="O932" s="54">
        <v>0</v>
      </c>
      <c r="P932" s="54">
        <v>0</v>
      </c>
      <c r="Q932" s="54">
        <v>0</v>
      </c>
      <c r="R932" s="54">
        <v>0</v>
      </c>
      <c r="S932" s="54">
        <v>0</v>
      </c>
      <c r="T932" s="54">
        <v>0</v>
      </c>
      <c r="U932" s="54">
        <v>1397</v>
      </c>
      <c r="V932" s="54">
        <v>0</v>
      </c>
      <c r="W932" s="54">
        <v>0</v>
      </c>
      <c r="X932" s="54">
        <v>0</v>
      </c>
      <c r="Y932" s="54">
        <v>0</v>
      </c>
      <c r="Z932" s="54">
        <v>0</v>
      </c>
      <c r="AA932" s="54">
        <v>0</v>
      </c>
      <c r="AB932" s="54">
        <v>0</v>
      </c>
      <c r="AC932" s="54">
        <v>0</v>
      </c>
      <c r="AD932" s="54">
        <v>0</v>
      </c>
      <c r="AE932" s="54">
        <v>0</v>
      </c>
      <c r="AF932" s="54">
        <v>0</v>
      </c>
      <c r="AG932" s="54">
        <v>0</v>
      </c>
      <c r="AH932" s="54">
        <v>0</v>
      </c>
      <c r="AI932" s="54">
        <v>0</v>
      </c>
      <c r="AJ932" s="54">
        <v>0</v>
      </c>
      <c r="AK932" s="54">
        <v>0</v>
      </c>
      <c r="AL932" s="54">
        <v>0</v>
      </c>
      <c r="AM932" s="54" t="str">
        <f>I932-J932-K932-L932-M932-N932-O932-P932-Q932-R932-S932-T932-U932-V932-W932-X932-Y932-Z932-AA932-AB932-AC932-AD932-AE932-AF932-AG932+AH932-AI932+AJ932+AK932-AL932</f>
        <v>0</v>
      </c>
      <c r="AN932" s="54"/>
      <c r="AO932" s="27"/>
    </row>
    <row r="933" spans="1:41">
      <c r="A933" s="44">
        <v>905</v>
      </c>
      <c r="B933" s="47" t="s">
        <v>3679</v>
      </c>
      <c r="C933" s="48" t="s">
        <v>3680</v>
      </c>
      <c r="D933" s="52" t="s">
        <v>73</v>
      </c>
      <c r="E933" s="52" t="s">
        <v>3673</v>
      </c>
      <c r="F933" s="55" t="s">
        <v>1100</v>
      </c>
      <c r="G933" s="51">
        <v>4</v>
      </c>
      <c r="H933" s="52" t="s">
        <v>3681</v>
      </c>
      <c r="I933" s="54">
        <v>433000</v>
      </c>
      <c r="J933" s="54">
        <v>0</v>
      </c>
      <c r="K933" s="54">
        <v>25000</v>
      </c>
      <c r="L933" s="54">
        <v>0</v>
      </c>
      <c r="M933" s="54">
        <v>0</v>
      </c>
      <c r="N933" s="54">
        <v>0</v>
      </c>
      <c r="O933" s="54">
        <v>0</v>
      </c>
      <c r="P933" s="54">
        <v>0</v>
      </c>
      <c r="Q933" s="54">
        <v>0</v>
      </c>
      <c r="R933" s="54">
        <v>0</v>
      </c>
      <c r="S933" s="54">
        <v>0</v>
      </c>
      <c r="T933" s="54">
        <v>0</v>
      </c>
      <c r="U933" s="54">
        <v>1587</v>
      </c>
      <c r="V933" s="54">
        <v>0</v>
      </c>
      <c r="W933" s="54">
        <v>0</v>
      </c>
      <c r="X933" s="54">
        <v>0</v>
      </c>
      <c r="Y933" s="54">
        <v>0</v>
      </c>
      <c r="Z933" s="54">
        <v>0</v>
      </c>
      <c r="AA933" s="54">
        <v>0</v>
      </c>
      <c r="AB933" s="54">
        <v>0</v>
      </c>
      <c r="AC933" s="54">
        <v>0</v>
      </c>
      <c r="AD933" s="54">
        <v>0</v>
      </c>
      <c r="AE933" s="54">
        <v>0</v>
      </c>
      <c r="AF933" s="54">
        <v>0</v>
      </c>
      <c r="AG933" s="54">
        <v>0</v>
      </c>
      <c r="AH933" s="54">
        <v>0</v>
      </c>
      <c r="AI933" s="54">
        <v>0</v>
      </c>
      <c r="AJ933" s="54">
        <v>0</v>
      </c>
      <c r="AK933" s="54">
        <v>0</v>
      </c>
      <c r="AL933" s="54">
        <v>0</v>
      </c>
      <c r="AM933" s="54" t="str">
        <f>I933-J933-K933-L933-M933-N933-O933-P933-Q933-R933-S933-T933-U933-V933-W933-X933-Y933-Z933-AA933-AB933-AC933-AD933-AE933-AF933-AG933+AH933-AI933+AJ933+AK933-AL933</f>
        <v>0</v>
      </c>
      <c r="AN933" s="54"/>
      <c r="AO933" s="27"/>
    </row>
    <row r="934" spans="1:41">
      <c r="A934" s="44">
        <v>906</v>
      </c>
      <c r="B934" s="47" t="s">
        <v>3682</v>
      </c>
      <c r="C934" s="48" t="s">
        <v>3683</v>
      </c>
      <c r="D934" s="52" t="s">
        <v>73</v>
      </c>
      <c r="E934" s="52" t="s">
        <v>3673</v>
      </c>
      <c r="F934" s="55" t="s">
        <v>1705</v>
      </c>
      <c r="G934" s="51">
        <v>3</v>
      </c>
      <c r="H934" s="52" t="s">
        <v>3684</v>
      </c>
      <c r="I934" s="54">
        <v>485000</v>
      </c>
      <c r="J934" s="54">
        <v>0</v>
      </c>
      <c r="K934" s="54">
        <v>22000</v>
      </c>
      <c r="L934" s="54">
        <v>0</v>
      </c>
      <c r="M934" s="54">
        <v>0</v>
      </c>
      <c r="N934" s="54">
        <v>0</v>
      </c>
      <c r="O934" s="54">
        <v>0</v>
      </c>
      <c r="P934" s="54">
        <v>0</v>
      </c>
      <c r="Q934" s="54">
        <v>0</v>
      </c>
      <c r="R934" s="54">
        <v>0</v>
      </c>
      <c r="S934" s="54">
        <v>0</v>
      </c>
      <c r="T934" s="54">
        <v>0</v>
      </c>
      <c r="U934" s="54">
        <v>1397</v>
      </c>
      <c r="V934" s="54">
        <v>0</v>
      </c>
      <c r="W934" s="54">
        <v>0</v>
      </c>
      <c r="X934" s="54">
        <v>0</v>
      </c>
      <c r="Y934" s="54">
        <v>0</v>
      </c>
      <c r="Z934" s="54">
        <v>0</v>
      </c>
      <c r="AA934" s="54">
        <v>0</v>
      </c>
      <c r="AB934" s="54">
        <v>0</v>
      </c>
      <c r="AC934" s="54">
        <v>0</v>
      </c>
      <c r="AD934" s="54">
        <v>0</v>
      </c>
      <c r="AE934" s="54">
        <v>0</v>
      </c>
      <c r="AF934" s="54">
        <v>0</v>
      </c>
      <c r="AG934" s="54">
        <v>0</v>
      </c>
      <c r="AH934" s="54">
        <v>0</v>
      </c>
      <c r="AI934" s="54">
        <v>0</v>
      </c>
      <c r="AJ934" s="54">
        <v>0</v>
      </c>
      <c r="AK934" s="54">
        <v>0</v>
      </c>
      <c r="AL934" s="54">
        <v>0</v>
      </c>
      <c r="AM934" s="54" t="str">
        <f>I934-J934-K934-L934-M934-N934-O934-P934-Q934-R934-S934-T934-U934-V934-W934-X934-Y934-Z934-AA934-AB934-AC934-AD934-AE934-AF934-AG934+AH934-AI934+AJ934+AK934-AL934</f>
        <v>0</v>
      </c>
      <c r="AN934" s="54"/>
      <c r="AO934" s="27"/>
    </row>
    <row r="935" spans="1:41">
      <c r="A935" s="44">
        <v>907</v>
      </c>
      <c r="B935" s="47" t="s">
        <v>3685</v>
      </c>
      <c r="C935" s="48" t="s">
        <v>3686</v>
      </c>
      <c r="D935" s="52" t="s">
        <v>73</v>
      </c>
      <c r="E935" s="52" t="s">
        <v>3673</v>
      </c>
      <c r="F935" s="55" t="s">
        <v>1493</v>
      </c>
      <c r="G935" s="51">
        <v>2</v>
      </c>
      <c r="H935" s="52" t="s">
        <v>3687</v>
      </c>
      <c r="I935" s="54">
        <v>314000</v>
      </c>
      <c r="J935" s="54">
        <v>0</v>
      </c>
      <c r="K935" s="54">
        <v>22000</v>
      </c>
      <c r="L935" s="54">
        <v>0</v>
      </c>
      <c r="M935" s="54">
        <v>0</v>
      </c>
      <c r="N935" s="54">
        <v>0</v>
      </c>
      <c r="O935" s="54">
        <v>0</v>
      </c>
      <c r="P935" s="54">
        <v>0</v>
      </c>
      <c r="Q935" s="54">
        <v>0</v>
      </c>
      <c r="R935" s="54">
        <v>0</v>
      </c>
      <c r="S935" s="54">
        <v>0</v>
      </c>
      <c r="T935" s="54">
        <v>0</v>
      </c>
      <c r="U935" s="54">
        <v>1397</v>
      </c>
      <c r="V935" s="54">
        <v>0</v>
      </c>
      <c r="W935" s="54">
        <v>0</v>
      </c>
      <c r="X935" s="54">
        <v>0</v>
      </c>
      <c r="Y935" s="54">
        <v>0</v>
      </c>
      <c r="Z935" s="54">
        <v>0</v>
      </c>
      <c r="AA935" s="54">
        <v>0</v>
      </c>
      <c r="AB935" s="54">
        <v>0</v>
      </c>
      <c r="AC935" s="54">
        <v>0</v>
      </c>
      <c r="AD935" s="54">
        <v>0</v>
      </c>
      <c r="AE935" s="54">
        <v>0</v>
      </c>
      <c r="AF935" s="54">
        <v>0</v>
      </c>
      <c r="AG935" s="54">
        <v>0</v>
      </c>
      <c r="AH935" s="54">
        <v>0</v>
      </c>
      <c r="AI935" s="54">
        <v>0</v>
      </c>
      <c r="AJ935" s="54">
        <v>0</v>
      </c>
      <c r="AK935" s="54">
        <v>0</v>
      </c>
      <c r="AL935" s="54">
        <v>0</v>
      </c>
      <c r="AM935" s="54" t="str">
        <f>I935-J935-K935-L935-M935-N935-O935-P935-Q935-R935-S935-T935-U935-V935-W935-X935-Y935-Z935-AA935-AB935-AC935-AD935-AE935-AF935-AG935+AH935-AI935+AJ935+AK935-AL935</f>
        <v>0</v>
      </c>
      <c r="AN935" s="54"/>
      <c r="AO935" s="27"/>
    </row>
    <row r="936" spans="1:41">
      <c r="A936" s="44">
        <v>908</v>
      </c>
      <c r="B936" s="47" t="s">
        <v>3688</v>
      </c>
      <c r="C936" s="48" t="s">
        <v>3689</v>
      </c>
      <c r="D936" s="52" t="s">
        <v>62</v>
      </c>
      <c r="E936" s="52" t="s">
        <v>3673</v>
      </c>
      <c r="F936" s="55" t="s">
        <v>3275</v>
      </c>
      <c r="G936" s="51">
        <v>6</v>
      </c>
      <c r="H936" s="52" t="s">
        <v>3690</v>
      </c>
      <c r="I936" s="54">
        <v>0</v>
      </c>
      <c r="J936" s="54">
        <v>0</v>
      </c>
      <c r="K936" s="54">
        <v>24000</v>
      </c>
      <c r="L936" s="54">
        <v>0</v>
      </c>
      <c r="M936" s="54">
        <v>0</v>
      </c>
      <c r="N936" s="54">
        <v>0</v>
      </c>
      <c r="O936" s="54">
        <v>0</v>
      </c>
      <c r="P936" s="54">
        <v>0</v>
      </c>
      <c r="Q936" s="54">
        <v>0</v>
      </c>
      <c r="R936" s="54">
        <v>0</v>
      </c>
      <c r="S936" s="54">
        <v>0</v>
      </c>
      <c r="T936" s="54">
        <v>0</v>
      </c>
      <c r="U936" s="54">
        <v>1524</v>
      </c>
      <c r="V936" s="54">
        <v>0</v>
      </c>
      <c r="W936" s="54">
        <v>0</v>
      </c>
      <c r="X936" s="54">
        <v>0</v>
      </c>
      <c r="Y936" s="54">
        <v>5000</v>
      </c>
      <c r="Z936" s="54">
        <v>0</v>
      </c>
      <c r="AA936" s="54">
        <v>0</v>
      </c>
      <c r="AB936" s="54">
        <v>0</v>
      </c>
      <c r="AC936" s="54">
        <v>0</v>
      </c>
      <c r="AD936" s="54">
        <v>0</v>
      </c>
      <c r="AE936" s="54">
        <v>0</v>
      </c>
      <c r="AF936" s="54">
        <v>0</v>
      </c>
      <c r="AG936" s="54">
        <v>0</v>
      </c>
      <c r="AH936" s="54">
        <v>0</v>
      </c>
      <c r="AI936" s="54">
        <v>0</v>
      </c>
      <c r="AJ936" s="54">
        <v>0</v>
      </c>
      <c r="AK936" s="54">
        <v>0</v>
      </c>
      <c r="AL936" s="54">
        <v>0</v>
      </c>
      <c r="AM936" s="54" t="str">
        <f>I936-J936-K936-L936-M936-N936-O936-P936-Q936-R936-S936-T936-U936-V936-W936-X936-Y936-Z936-AA936-AB936-AC936-AD936-AE936-AF936-AG936+AH936-AI936+AJ936+AK936-AL936</f>
        <v>0</v>
      </c>
      <c r="AN936" s="54"/>
      <c r="AO936" s="27"/>
    </row>
    <row r="937" spans="1:41">
      <c r="A937" s="44">
        <v>909</v>
      </c>
      <c r="B937" s="47" t="s">
        <v>3691</v>
      </c>
      <c r="C937" s="48" t="s">
        <v>3692</v>
      </c>
      <c r="D937" s="52" t="s">
        <v>73</v>
      </c>
      <c r="E937" s="52" t="s">
        <v>3693</v>
      </c>
      <c r="F937" s="55" t="s">
        <v>1600</v>
      </c>
      <c r="G937" s="51">
        <v>2</v>
      </c>
      <c r="H937" s="52" t="s">
        <v>3694</v>
      </c>
      <c r="I937" s="54">
        <v>314000</v>
      </c>
      <c r="J937" s="54">
        <v>0</v>
      </c>
      <c r="K937" s="54">
        <v>22000</v>
      </c>
      <c r="L937" s="54">
        <v>0</v>
      </c>
      <c r="M937" s="54">
        <v>0</v>
      </c>
      <c r="N937" s="54">
        <v>0</v>
      </c>
      <c r="O937" s="54">
        <v>0</v>
      </c>
      <c r="P937" s="54">
        <v>0</v>
      </c>
      <c r="Q937" s="54">
        <v>0</v>
      </c>
      <c r="R937" s="54">
        <v>0</v>
      </c>
      <c r="S937" s="54">
        <v>0</v>
      </c>
      <c r="T937" s="54">
        <v>0</v>
      </c>
      <c r="U937" s="54">
        <v>1397</v>
      </c>
      <c r="V937" s="54">
        <v>0</v>
      </c>
      <c r="W937" s="54">
        <v>0</v>
      </c>
      <c r="X937" s="54">
        <v>0</v>
      </c>
      <c r="Y937" s="54">
        <v>0</v>
      </c>
      <c r="Z937" s="54">
        <v>0</v>
      </c>
      <c r="AA937" s="54">
        <v>0</v>
      </c>
      <c r="AB937" s="54">
        <v>0</v>
      </c>
      <c r="AC937" s="54">
        <v>0</v>
      </c>
      <c r="AD937" s="54">
        <v>0</v>
      </c>
      <c r="AE937" s="54">
        <v>0</v>
      </c>
      <c r="AF937" s="54">
        <v>0</v>
      </c>
      <c r="AG937" s="54">
        <v>0</v>
      </c>
      <c r="AH937" s="54">
        <v>0</v>
      </c>
      <c r="AI937" s="54">
        <v>0</v>
      </c>
      <c r="AJ937" s="54">
        <v>0</v>
      </c>
      <c r="AK937" s="54">
        <v>0</v>
      </c>
      <c r="AL937" s="54">
        <v>0</v>
      </c>
      <c r="AM937" s="54" t="str">
        <f>I937-J937-K937-L937-M937-N937-O937-P937-Q937-R937-S937-T937-U937-V937-W937-X937-Y937-Z937-AA937-AB937-AC937-AD937-AE937-AF937-AG937+AH937-AI937+AJ937+AK937-AL937</f>
        <v>0</v>
      </c>
      <c r="AN937" s="54"/>
      <c r="AO937" s="27"/>
    </row>
    <row r="938" spans="1:41">
      <c r="A938" s="44">
        <v>910</v>
      </c>
      <c r="B938" s="47" t="s">
        <v>3695</v>
      </c>
      <c r="C938" s="48" t="s">
        <v>3696</v>
      </c>
      <c r="D938" s="52" t="s">
        <v>73</v>
      </c>
      <c r="E938" s="52" t="s">
        <v>3693</v>
      </c>
      <c r="F938" s="55" t="s">
        <v>3177</v>
      </c>
      <c r="G938" s="51">
        <v>3</v>
      </c>
      <c r="H938" s="52" t="s">
        <v>3697</v>
      </c>
      <c r="I938" s="54">
        <v>224000</v>
      </c>
      <c r="J938" s="54">
        <v>0</v>
      </c>
      <c r="K938" s="54">
        <v>23000</v>
      </c>
      <c r="L938" s="54">
        <v>0</v>
      </c>
      <c r="M938" s="54">
        <v>0</v>
      </c>
      <c r="N938" s="54">
        <v>0</v>
      </c>
      <c r="O938" s="54">
        <v>0</v>
      </c>
      <c r="P938" s="54">
        <v>0</v>
      </c>
      <c r="Q938" s="54">
        <v>0</v>
      </c>
      <c r="R938" s="54">
        <v>0</v>
      </c>
      <c r="S938" s="54">
        <v>0</v>
      </c>
      <c r="T938" s="54">
        <v>0</v>
      </c>
      <c r="U938" s="54">
        <v>1460</v>
      </c>
      <c r="V938" s="54">
        <v>0</v>
      </c>
      <c r="W938" s="54">
        <v>0</v>
      </c>
      <c r="X938" s="54">
        <v>0</v>
      </c>
      <c r="Y938" s="54">
        <v>0</v>
      </c>
      <c r="Z938" s="54">
        <v>0</v>
      </c>
      <c r="AA938" s="54">
        <v>0</v>
      </c>
      <c r="AB938" s="54">
        <v>0</v>
      </c>
      <c r="AC938" s="54">
        <v>0</v>
      </c>
      <c r="AD938" s="54">
        <v>0</v>
      </c>
      <c r="AE938" s="54">
        <v>0</v>
      </c>
      <c r="AF938" s="54">
        <v>0</v>
      </c>
      <c r="AG938" s="54">
        <v>0</v>
      </c>
      <c r="AH938" s="54">
        <v>0</v>
      </c>
      <c r="AI938" s="54">
        <v>0</v>
      </c>
      <c r="AJ938" s="54">
        <v>0</v>
      </c>
      <c r="AK938" s="54">
        <v>0</v>
      </c>
      <c r="AL938" s="54">
        <v>0</v>
      </c>
      <c r="AM938" s="54" t="str">
        <f>I938-J938-K938-L938-M938-N938-O938-P938-Q938-R938-S938-T938-U938-V938-W938-X938-Y938-Z938-AA938-AB938-AC938-AD938-AE938-AF938-AG938+AH938-AI938+AJ938+AK938-AL938</f>
        <v>0</v>
      </c>
      <c r="AN938" s="54"/>
      <c r="AO938" s="27"/>
    </row>
    <row r="939" spans="1:41">
      <c r="A939" s="44">
        <v>911</v>
      </c>
      <c r="B939" s="47" t="s">
        <v>3698</v>
      </c>
      <c r="C939" s="48" t="s">
        <v>3699</v>
      </c>
      <c r="D939" s="52" t="s">
        <v>73</v>
      </c>
      <c r="E939" s="52" t="s">
        <v>3693</v>
      </c>
      <c r="F939" s="55" t="s">
        <v>376</v>
      </c>
      <c r="G939" s="51">
        <v>3</v>
      </c>
      <c r="H939" s="52" t="s">
        <v>3700</v>
      </c>
      <c r="I939" s="54">
        <v>1380000</v>
      </c>
      <c r="J939" s="54">
        <v>0</v>
      </c>
      <c r="K939" s="54">
        <v>22000</v>
      </c>
      <c r="L939" s="54">
        <v>0</v>
      </c>
      <c r="M939" s="54">
        <v>0</v>
      </c>
      <c r="N939" s="54">
        <v>0</v>
      </c>
      <c r="O939" s="54">
        <v>0</v>
      </c>
      <c r="P939" s="54">
        <v>0</v>
      </c>
      <c r="Q939" s="54">
        <v>0</v>
      </c>
      <c r="R939" s="54">
        <v>0</v>
      </c>
      <c r="S939" s="54">
        <v>0</v>
      </c>
      <c r="T939" s="54">
        <v>0</v>
      </c>
      <c r="U939" s="54">
        <v>1397</v>
      </c>
      <c r="V939" s="54">
        <v>0</v>
      </c>
      <c r="W939" s="54">
        <v>0</v>
      </c>
      <c r="X939" s="54">
        <v>0</v>
      </c>
      <c r="Y939" s="54">
        <v>0</v>
      </c>
      <c r="Z939" s="54">
        <v>0</v>
      </c>
      <c r="AA939" s="54">
        <v>0</v>
      </c>
      <c r="AB939" s="54">
        <v>0</v>
      </c>
      <c r="AC939" s="54">
        <v>0</v>
      </c>
      <c r="AD939" s="54">
        <v>0</v>
      </c>
      <c r="AE939" s="54">
        <v>0</v>
      </c>
      <c r="AF939" s="54">
        <v>0</v>
      </c>
      <c r="AG939" s="54">
        <v>0</v>
      </c>
      <c r="AH939" s="54">
        <v>0</v>
      </c>
      <c r="AI939" s="54">
        <v>0</v>
      </c>
      <c r="AJ939" s="54">
        <v>0</v>
      </c>
      <c r="AK939" s="54">
        <v>0</v>
      </c>
      <c r="AL939" s="54">
        <v>0</v>
      </c>
      <c r="AM939" s="54" t="str">
        <f>I939-J939-K939-L939-M939-N939-O939-P939-Q939-R939-S939-T939-U939-V939-W939-X939-Y939-Z939-AA939-AB939-AC939-AD939-AE939-AF939-AG939+AH939-AI939+AJ939+AK939-AL939</f>
        <v>0</v>
      </c>
      <c r="AN939" s="54"/>
      <c r="AO939" s="27"/>
    </row>
    <row r="940" spans="1:41">
      <c r="A940" s="44">
        <v>912</v>
      </c>
      <c r="B940" s="47" t="s">
        <v>3701</v>
      </c>
      <c r="C940" s="48" t="s">
        <v>3702</v>
      </c>
      <c r="D940" s="52" t="s">
        <v>73</v>
      </c>
      <c r="E940" s="52" t="s">
        <v>3693</v>
      </c>
      <c r="F940" s="55" t="s">
        <v>750</v>
      </c>
      <c r="G940" s="51">
        <v>3</v>
      </c>
      <c r="H940" s="52" t="s">
        <v>3703</v>
      </c>
      <c r="I940" s="54">
        <v>334000</v>
      </c>
      <c r="J940" s="54">
        <v>0</v>
      </c>
      <c r="K940" s="54">
        <v>22000</v>
      </c>
      <c r="L940" s="54">
        <v>0</v>
      </c>
      <c r="M940" s="54">
        <v>0</v>
      </c>
      <c r="N940" s="54">
        <v>0</v>
      </c>
      <c r="O940" s="54">
        <v>0</v>
      </c>
      <c r="P940" s="54">
        <v>0</v>
      </c>
      <c r="Q940" s="54">
        <v>0</v>
      </c>
      <c r="R940" s="54">
        <v>0</v>
      </c>
      <c r="S940" s="54">
        <v>0</v>
      </c>
      <c r="T940" s="54">
        <v>0</v>
      </c>
      <c r="U940" s="54">
        <v>1397</v>
      </c>
      <c r="V940" s="54">
        <v>0</v>
      </c>
      <c r="W940" s="54">
        <v>0</v>
      </c>
      <c r="X940" s="54">
        <v>0</v>
      </c>
      <c r="Y940" s="54">
        <v>0</v>
      </c>
      <c r="Z940" s="54">
        <v>0</v>
      </c>
      <c r="AA940" s="54">
        <v>0</v>
      </c>
      <c r="AB940" s="54">
        <v>0</v>
      </c>
      <c r="AC940" s="54">
        <v>0</v>
      </c>
      <c r="AD940" s="54">
        <v>0</v>
      </c>
      <c r="AE940" s="54">
        <v>0</v>
      </c>
      <c r="AF940" s="54">
        <v>0</v>
      </c>
      <c r="AG940" s="54">
        <v>0</v>
      </c>
      <c r="AH940" s="54">
        <v>0</v>
      </c>
      <c r="AI940" s="54">
        <v>0</v>
      </c>
      <c r="AJ940" s="54">
        <v>0</v>
      </c>
      <c r="AK940" s="54">
        <v>0</v>
      </c>
      <c r="AL940" s="54">
        <v>0</v>
      </c>
      <c r="AM940" s="54" t="str">
        <f>I940-J940-K940-L940-M940-N940-O940-P940-Q940-R940-S940-T940-U940-V940-W940-X940-Y940-Z940-AA940-AB940-AC940-AD940-AE940-AF940-AG940+AH940-AI940+AJ940+AK940-AL940</f>
        <v>0</v>
      </c>
      <c r="AN940" s="54"/>
      <c r="AO940" s="27"/>
    </row>
    <row r="941" spans="1:41">
      <c r="A941" s="44">
        <v>913</v>
      </c>
      <c r="B941" s="47" t="s">
        <v>3704</v>
      </c>
      <c r="C941" s="48" t="s">
        <v>3705</v>
      </c>
      <c r="D941" s="52" t="s">
        <v>73</v>
      </c>
      <c r="E941" s="52" t="s">
        <v>3693</v>
      </c>
      <c r="F941" s="55" t="s">
        <v>2128</v>
      </c>
      <c r="G941" s="51">
        <v>2</v>
      </c>
      <c r="H941" s="52" t="s">
        <v>3706</v>
      </c>
      <c r="I941" s="54">
        <v>225000</v>
      </c>
      <c r="J941" s="54">
        <v>0</v>
      </c>
      <c r="K941" s="54">
        <v>22000</v>
      </c>
      <c r="L941" s="54">
        <v>0</v>
      </c>
      <c r="M941" s="54">
        <v>0</v>
      </c>
      <c r="N941" s="54">
        <v>0</v>
      </c>
      <c r="O941" s="54">
        <v>0</v>
      </c>
      <c r="P941" s="54">
        <v>0</v>
      </c>
      <c r="Q941" s="54">
        <v>0</v>
      </c>
      <c r="R941" s="54">
        <v>0</v>
      </c>
      <c r="S941" s="54">
        <v>0</v>
      </c>
      <c r="T941" s="54">
        <v>0</v>
      </c>
      <c r="U941" s="54">
        <v>1397</v>
      </c>
      <c r="V941" s="54">
        <v>0</v>
      </c>
      <c r="W941" s="54">
        <v>0</v>
      </c>
      <c r="X941" s="54">
        <v>0</v>
      </c>
      <c r="Y941" s="54">
        <v>0</v>
      </c>
      <c r="Z941" s="54">
        <v>0</v>
      </c>
      <c r="AA941" s="54">
        <v>0</v>
      </c>
      <c r="AB941" s="54">
        <v>0</v>
      </c>
      <c r="AC941" s="54">
        <v>0</v>
      </c>
      <c r="AD941" s="54">
        <v>0</v>
      </c>
      <c r="AE941" s="54">
        <v>0</v>
      </c>
      <c r="AF941" s="54">
        <v>0</v>
      </c>
      <c r="AG941" s="54">
        <v>0</v>
      </c>
      <c r="AH941" s="54">
        <v>0</v>
      </c>
      <c r="AI941" s="54">
        <v>0</v>
      </c>
      <c r="AJ941" s="54">
        <v>0</v>
      </c>
      <c r="AK941" s="54">
        <v>0</v>
      </c>
      <c r="AL941" s="54">
        <v>0</v>
      </c>
      <c r="AM941" s="54" t="str">
        <f>I941-J941-K941-L941-M941-N941-O941-P941-Q941-R941-S941-T941-U941-V941-W941-X941-Y941-Z941-AA941-AB941-AC941-AD941-AE941-AF941-AG941+AH941-AI941+AJ941+AK941-AL941</f>
        <v>0</v>
      </c>
      <c r="AN941" s="54"/>
      <c r="AO941" s="27"/>
    </row>
    <row r="942" spans="1:41">
      <c r="A942" s="44">
        <v>914</v>
      </c>
      <c r="B942" s="47" t="s">
        <v>3707</v>
      </c>
      <c r="C942" s="48" t="s">
        <v>3708</v>
      </c>
      <c r="D942" s="52" t="s">
        <v>73</v>
      </c>
      <c r="E942" s="52" t="s">
        <v>161</v>
      </c>
      <c r="F942" s="55" t="s">
        <v>3709</v>
      </c>
      <c r="G942" s="51">
        <v>15</v>
      </c>
      <c r="H942" s="52" t="s">
        <v>3710</v>
      </c>
      <c r="I942" s="54">
        <v>3790000</v>
      </c>
      <c r="J942" s="54">
        <v>18950</v>
      </c>
      <c r="K942" s="54">
        <v>33000</v>
      </c>
      <c r="L942" s="54">
        <v>0</v>
      </c>
      <c r="M942" s="54">
        <v>0</v>
      </c>
      <c r="N942" s="54">
        <v>0</v>
      </c>
      <c r="O942" s="54">
        <v>0</v>
      </c>
      <c r="P942" s="54">
        <v>0</v>
      </c>
      <c r="Q942" s="54">
        <v>0</v>
      </c>
      <c r="R942" s="54">
        <v>0</v>
      </c>
      <c r="S942" s="54">
        <v>0</v>
      </c>
      <c r="T942" s="54">
        <v>0</v>
      </c>
      <c r="U942" s="54">
        <v>2095</v>
      </c>
      <c r="V942" s="54">
        <v>0</v>
      </c>
      <c r="W942" s="54">
        <v>0</v>
      </c>
      <c r="X942" s="54">
        <v>0</v>
      </c>
      <c r="Y942" s="54">
        <v>0</v>
      </c>
      <c r="Z942" s="54">
        <v>0</v>
      </c>
      <c r="AA942" s="54">
        <v>0</v>
      </c>
      <c r="AB942" s="54">
        <v>0</v>
      </c>
      <c r="AC942" s="54">
        <v>0</v>
      </c>
      <c r="AD942" s="54">
        <v>0</v>
      </c>
      <c r="AE942" s="54">
        <v>0</v>
      </c>
      <c r="AF942" s="54">
        <v>0</v>
      </c>
      <c r="AG942" s="54">
        <v>0</v>
      </c>
      <c r="AH942" s="54">
        <v>0</v>
      </c>
      <c r="AI942" s="54">
        <v>0</v>
      </c>
      <c r="AJ942" s="54">
        <v>0</v>
      </c>
      <c r="AK942" s="54">
        <v>0</v>
      </c>
      <c r="AL942" s="54">
        <v>0</v>
      </c>
      <c r="AM942" s="54" t="str">
        <f>I942-J942-K942-L942-M942-N942-O942-P942-Q942-R942-S942-T942-U942-V942-W942-X942-Y942-Z942-AA942-AB942-AC942-AD942-AE942-AF942-AG942+AH942-AI942+AJ942+AK942-AL942</f>
        <v>0</v>
      </c>
      <c r="AN942" s="54"/>
      <c r="AO942" s="27"/>
    </row>
    <row r="943" spans="1:41">
      <c r="A943" s="44">
        <v>915</v>
      </c>
      <c r="B943" s="47" t="s">
        <v>3711</v>
      </c>
      <c r="C943" s="48" t="s">
        <v>3712</v>
      </c>
      <c r="D943" s="52" t="s">
        <v>73</v>
      </c>
      <c r="E943" s="52" t="s">
        <v>161</v>
      </c>
      <c r="F943" s="55" t="s">
        <v>3713</v>
      </c>
      <c r="G943" s="51">
        <v>5</v>
      </c>
      <c r="H943" s="52" t="s">
        <v>3714</v>
      </c>
      <c r="I943" s="54">
        <v>594000</v>
      </c>
      <c r="J943" s="54">
        <v>0</v>
      </c>
      <c r="K943" s="54">
        <v>27000</v>
      </c>
      <c r="L943" s="54">
        <v>0</v>
      </c>
      <c r="M943" s="54">
        <v>0</v>
      </c>
      <c r="N943" s="54">
        <v>0</v>
      </c>
      <c r="O943" s="54">
        <v>0</v>
      </c>
      <c r="P943" s="54">
        <v>0</v>
      </c>
      <c r="Q943" s="54">
        <v>0</v>
      </c>
      <c r="R943" s="54">
        <v>0</v>
      </c>
      <c r="S943" s="54">
        <v>0</v>
      </c>
      <c r="T943" s="54">
        <v>0</v>
      </c>
      <c r="U943" s="54">
        <v>1714</v>
      </c>
      <c r="V943" s="54">
        <v>0</v>
      </c>
      <c r="W943" s="54">
        <v>0</v>
      </c>
      <c r="X943" s="54">
        <v>0</v>
      </c>
      <c r="Y943" s="54">
        <v>0</v>
      </c>
      <c r="Z943" s="54">
        <v>0</v>
      </c>
      <c r="AA943" s="54">
        <v>0</v>
      </c>
      <c r="AB943" s="54">
        <v>0</v>
      </c>
      <c r="AC943" s="54">
        <v>0</v>
      </c>
      <c r="AD943" s="54">
        <v>0</v>
      </c>
      <c r="AE943" s="54">
        <v>0</v>
      </c>
      <c r="AF943" s="54">
        <v>0</v>
      </c>
      <c r="AG943" s="54">
        <v>0</v>
      </c>
      <c r="AH943" s="54">
        <v>0</v>
      </c>
      <c r="AI943" s="54">
        <v>0</v>
      </c>
      <c r="AJ943" s="54">
        <v>0</v>
      </c>
      <c r="AK943" s="54">
        <v>0</v>
      </c>
      <c r="AL943" s="54">
        <v>0</v>
      </c>
      <c r="AM943" s="54" t="str">
        <f>I943-J943-K943-L943-M943-N943-O943-P943-Q943-R943-S943-T943-U943-V943-W943-X943-Y943-Z943-AA943-AB943-AC943-AD943-AE943-AF943-AG943+AH943-AI943+AJ943+AK943-AL943</f>
        <v>0</v>
      </c>
      <c r="AN943" s="54"/>
      <c r="AO943" s="27"/>
    </row>
    <row r="944" spans="1:41">
      <c r="A944" s="44">
        <v>916</v>
      </c>
      <c r="B944" s="47" t="s">
        <v>3715</v>
      </c>
      <c r="C944" s="48" t="s">
        <v>3716</v>
      </c>
      <c r="D944" s="52" t="s">
        <v>62</v>
      </c>
      <c r="E944" s="52" t="s">
        <v>161</v>
      </c>
      <c r="F944" s="55" t="s">
        <v>3717</v>
      </c>
      <c r="G944" s="51">
        <v>4</v>
      </c>
      <c r="H944" s="52" t="s">
        <v>3718</v>
      </c>
      <c r="I944" s="54">
        <v>0</v>
      </c>
      <c r="J944" s="54">
        <v>0</v>
      </c>
      <c r="K944" s="54">
        <v>25000</v>
      </c>
      <c r="L944" s="54">
        <v>0</v>
      </c>
      <c r="M944" s="54">
        <v>0</v>
      </c>
      <c r="N944" s="54">
        <v>0</v>
      </c>
      <c r="O944" s="54">
        <v>0</v>
      </c>
      <c r="P944" s="54">
        <v>0</v>
      </c>
      <c r="Q944" s="54">
        <v>0</v>
      </c>
      <c r="R944" s="54">
        <v>0</v>
      </c>
      <c r="S944" s="54">
        <v>0</v>
      </c>
      <c r="T944" s="54">
        <v>0</v>
      </c>
      <c r="U944" s="54">
        <v>1587</v>
      </c>
      <c r="V944" s="54">
        <v>0</v>
      </c>
      <c r="W944" s="54">
        <v>0</v>
      </c>
      <c r="X944" s="54">
        <v>0</v>
      </c>
      <c r="Y944" s="54">
        <v>5000</v>
      </c>
      <c r="Z944" s="54">
        <v>0</v>
      </c>
      <c r="AA944" s="54">
        <v>0</v>
      </c>
      <c r="AB944" s="54">
        <v>0</v>
      </c>
      <c r="AC944" s="54">
        <v>0</v>
      </c>
      <c r="AD944" s="54">
        <v>0</v>
      </c>
      <c r="AE944" s="54">
        <v>0</v>
      </c>
      <c r="AF944" s="54">
        <v>0</v>
      </c>
      <c r="AG944" s="54">
        <v>0</v>
      </c>
      <c r="AH944" s="54">
        <v>0</v>
      </c>
      <c r="AI944" s="54">
        <v>0</v>
      </c>
      <c r="AJ944" s="54">
        <v>0</v>
      </c>
      <c r="AK944" s="54">
        <v>0</v>
      </c>
      <c r="AL944" s="54">
        <v>0</v>
      </c>
      <c r="AM944" s="54" t="str">
        <f>I944-J944-K944-L944-M944-N944-O944-P944-Q944-R944-S944-T944-U944-V944-W944-X944-Y944-Z944-AA944-AB944-AC944-AD944-AE944-AF944-AG944+AH944-AI944+AJ944+AK944-AL944</f>
        <v>0</v>
      </c>
      <c r="AN944" s="54"/>
      <c r="AO944" s="27"/>
    </row>
    <row r="945" spans="1:41">
      <c r="A945" s="44">
        <v>917</v>
      </c>
      <c r="B945" s="47" t="s">
        <v>3719</v>
      </c>
      <c r="C945" s="48" t="s">
        <v>3720</v>
      </c>
      <c r="D945" s="52" t="s">
        <v>62</v>
      </c>
      <c r="E945" s="52" t="s">
        <v>161</v>
      </c>
      <c r="F945" s="55" t="s">
        <v>930</v>
      </c>
      <c r="G945" s="51">
        <v>2</v>
      </c>
      <c r="H945" s="52" t="s">
        <v>3721</v>
      </c>
      <c r="I945" s="54">
        <v>0</v>
      </c>
      <c r="J945" s="54">
        <v>0</v>
      </c>
      <c r="K945" s="54">
        <v>23000</v>
      </c>
      <c r="L945" s="54">
        <v>0</v>
      </c>
      <c r="M945" s="54">
        <v>0</v>
      </c>
      <c r="N945" s="54">
        <v>0</v>
      </c>
      <c r="O945" s="54">
        <v>0</v>
      </c>
      <c r="P945" s="54">
        <v>0</v>
      </c>
      <c r="Q945" s="54">
        <v>0</v>
      </c>
      <c r="R945" s="54">
        <v>0</v>
      </c>
      <c r="S945" s="54">
        <v>0</v>
      </c>
      <c r="T945" s="54">
        <v>0</v>
      </c>
      <c r="U945" s="54">
        <v>1460</v>
      </c>
      <c r="V945" s="54">
        <v>0</v>
      </c>
      <c r="W945" s="54">
        <v>0</v>
      </c>
      <c r="X945" s="54">
        <v>0</v>
      </c>
      <c r="Y945" s="54">
        <v>5000</v>
      </c>
      <c r="Z945" s="54">
        <v>0</v>
      </c>
      <c r="AA945" s="54">
        <v>0</v>
      </c>
      <c r="AB945" s="54">
        <v>0</v>
      </c>
      <c r="AC945" s="54">
        <v>0</v>
      </c>
      <c r="AD945" s="54">
        <v>0</v>
      </c>
      <c r="AE945" s="54">
        <v>0</v>
      </c>
      <c r="AF945" s="54">
        <v>0</v>
      </c>
      <c r="AG945" s="54">
        <v>0</v>
      </c>
      <c r="AH945" s="54">
        <v>0</v>
      </c>
      <c r="AI945" s="54">
        <v>0</v>
      </c>
      <c r="AJ945" s="54">
        <v>0</v>
      </c>
      <c r="AK945" s="54">
        <v>0</v>
      </c>
      <c r="AL945" s="54">
        <v>0</v>
      </c>
      <c r="AM945" s="54" t="str">
        <f>I945-J945-K945-L945-M945-N945-O945-P945-Q945-R945-S945-T945-U945-V945-W945-X945-Y945-Z945-AA945-AB945-AC945-AD945-AE945-AF945-AG945+AH945-AI945+AJ945+AK945-AL945</f>
        <v>0</v>
      </c>
      <c r="AN945" s="54"/>
      <c r="AO945" s="27"/>
    </row>
    <row r="946" spans="1:41">
      <c r="A946" s="44">
        <v>918</v>
      </c>
      <c r="B946" s="47" t="s">
        <v>3722</v>
      </c>
      <c r="C946" s="48" t="s">
        <v>3723</v>
      </c>
      <c r="D946" s="52" t="s">
        <v>62</v>
      </c>
      <c r="E946" s="52" t="s">
        <v>161</v>
      </c>
      <c r="F946" s="55" t="s">
        <v>3433</v>
      </c>
      <c r="G946" s="51">
        <v>2</v>
      </c>
      <c r="H946" s="52" t="s">
        <v>3724</v>
      </c>
      <c r="I946" s="54">
        <v>0</v>
      </c>
      <c r="J946" s="54">
        <v>0</v>
      </c>
      <c r="K946" s="54">
        <v>23000</v>
      </c>
      <c r="L946" s="54">
        <v>0</v>
      </c>
      <c r="M946" s="54">
        <v>0</v>
      </c>
      <c r="N946" s="54">
        <v>0</v>
      </c>
      <c r="O946" s="54">
        <v>0</v>
      </c>
      <c r="P946" s="54">
        <v>0</v>
      </c>
      <c r="Q946" s="54">
        <v>0</v>
      </c>
      <c r="R946" s="54">
        <v>0</v>
      </c>
      <c r="S946" s="54">
        <v>0</v>
      </c>
      <c r="T946" s="54">
        <v>0</v>
      </c>
      <c r="U946" s="54">
        <v>1460</v>
      </c>
      <c r="V946" s="54">
        <v>0</v>
      </c>
      <c r="W946" s="54">
        <v>0</v>
      </c>
      <c r="X946" s="54">
        <v>0</v>
      </c>
      <c r="Y946" s="54">
        <v>5000</v>
      </c>
      <c r="Z946" s="54">
        <v>0</v>
      </c>
      <c r="AA946" s="54">
        <v>0</v>
      </c>
      <c r="AB946" s="54">
        <v>0</v>
      </c>
      <c r="AC946" s="54">
        <v>0</v>
      </c>
      <c r="AD946" s="54">
        <v>0</v>
      </c>
      <c r="AE946" s="54">
        <v>0</v>
      </c>
      <c r="AF946" s="54">
        <v>0</v>
      </c>
      <c r="AG946" s="54">
        <v>0</v>
      </c>
      <c r="AH946" s="54">
        <v>0</v>
      </c>
      <c r="AI946" s="54">
        <v>0</v>
      </c>
      <c r="AJ946" s="54">
        <v>0</v>
      </c>
      <c r="AK946" s="54">
        <v>0</v>
      </c>
      <c r="AL946" s="54">
        <v>0</v>
      </c>
      <c r="AM946" s="54" t="str">
        <f>I946-J946-K946-L946-M946-N946-O946-P946-Q946-R946-S946-T946-U946-V946-W946-X946-Y946-Z946-AA946-AB946-AC946-AD946-AE946-AF946-AG946+AH946-AI946+AJ946+AK946-AL946</f>
        <v>0</v>
      </c>
      <c r="AN946" s="54"/>
      <c r="AO946" s="27"/>
    </row>
    <row r="947" spans="1:41">
      <c r="A947" s="44">
        <v>919</v>
      </c>
      <c r="B947" s="47" t="s">
        <v>3725</v>
      </c>
      <c r="C947" s="48" t="s">
        <v>3726</v>
      </c>
      <c r="D947" s="52" t="s">
        <v>73</v>
      </c>
      <c r="E947" s="52" t="s">
        <v>518</v>
      </c>
      <c r="F947" s="55" t="s">
        <v>3727</v>
      </c>
      <c r="G947" s="51">
        <v>3</v>
      </c>
      <c r="H947" s="52" t="s">
        <v>3728</v>
      </c>
      <c r="I947" s="54">
        <v>0</v>
      </c>
      <c r="J947" s="54">
        <v>0</v>
      </c>
      <c r="K947" s="54">
        <v>22000</v>
      </c>
      <c r="L947" s="54">
        <v>0</v>
      </c>
      <c r="M947" s="54">
        <v>0</v>
      </c>
      <c r="N947" s="54">
        <v>0</v>
      </c>
      <c r="O947" s="54">
        <v>0</v>
      </c>
      <c r="P947" s="54">
        <v>0</v>
      </c>
      <c r="Q947" s="54">
        <v>0</v>
      </c>
      <c r="R947" s="54">
        <v>0</v>
      </c>
      <c r="S947" s="54">
        <v>0</v>
      </c>
      <c r="T947" s="54">
        <v>0</v>
      </c>
      <c r="U947" s="54">
        <v>1397</v>
      </c>
      <c r="V947" s="54">
        <v>0</v>
      </c>
      <c r="W947" s="54">
        <v>0</v>
      </c>
      <c r="X947" s="54">
        <v>0</v>
      </c>
      <c r="Y947" s="54">
        <v>11000</v>
      </c>
      <c r="Z947" s="54">
        <v>0</v>
      </c>
      <c r="AA947" s="54">
        <v>0</v>
      </c>
      <c r="AB947" s="54">
        <v>0</v>
      </c>
      <c r="AC947" s="54">
        <v>0</v>
      </c>
      <c r="AD947" s="54">
        <v>0</v>
      </c>
      <c r="AE947" s="54">
        <v>0</v>
      </c>
      <c r="AF947" s="54">
        <v>0</v>
      </c>
      <c r="AG947" s="54">
        <v>0</v>
      </c>
      <c r="AH947" s="54">
        <v>0</v>
      </c>
      <c r="AI947" s="54">
        <v>0</v>
      </c>
      <c r="AJ947" s="54">
        <v>0</v>
      </c>
      <c r="AK947" s="54">
        <v>0</v>
      </c>
      <c r="AL947" s="54">
        <v>0</v>
      </c>
      <c r="AM947" s="54" t="str">
        <f>I947-J947-K947-L947-M947-N947-O947-P947-Q947-R947-S947-T947-U947-V947-W947-X947-Y947-Z947-AA947-AB947-AC947-AD947-AE947-AF947-AG947+AH947-AI947+AJ947+AK947-AL947</f>
        <v>0</v>
      </c>
      <c r="AN947" s="54"/>
      <c r="AO947" s="27"/>
    </row>
    <row r="948" spans="1:41">
      <c r="A948" s="44">
        <v>920</v>
      </c>
      <c r="B948" s="47" t="s">
        <v>3729</v>
      </c>
      <c r="C948" s="48" t="s">
        <v>3730</v>
      </c>
      <c r="D948" s="52" t="s">
        <v>73</v>
      </c>
      <c r="E948" s="52" t="s">
        <v>3731</v>
      </c>
      <c r="F948" s="55" t="s">
        <v>2819</v>
      </c>
      <c r="G948" s="51">
        <v>2</v>
      </c>
      <c r="H948" s="52" t="s">
        <v>3732</v>
      </c>
      <c r="I948" s="54">
        <v>404000</v>
      </c>
      <c r="J948" s="54">
        <v>0</v>
      </c>
      <c r="K948" s="54">
        <v>22000</v>
      </c>
      <c r="L948" s="54">
        <v>0</v>
      </c>
      <c r="M948" s="54">
        <v>0</v>
      </c>
      <c r="N948" s="54">
        <v>0</v>
      </c>
      <c r="O948" s="54">
        <v>0</v>
      </c>
      <c r="P948" s="54">
        <v>0</v>
      </c>
      <c r="Q948" s="54">
        <v>0</v>
      </c>
      <c r="R948" s="54">
        <v>0</v>
      </c>
      <c r="S948" s="54">
        <v>0</v>
      </c>
      <c r="T948" s="54">
        <v>0</v>
      </c>
      <c r="U948" s="54">
        <v>1397</v>
      </c>
      <c r="V948" s="54">
        <v>0</v>
      </c>
      <c r="W948" s="54">
        <v>0</v>
      </c>
      <c r="X948" s="54">
        <v>0</v>
      </c>
      <c r="Y948" s="54">
        <v>0</v>
      </c>
      <c r="Z948" s="54">
        <v>0</v>
      </c>
      <c r="AA948" s="54">
        <v>0</v>
      </c>
      <c r="AB948" s="54">
        <v>0</v>
      </c>
      <c r="AC948" s="54">
        <v>0</v>
      </c>
      <c r="AD948" s="54">
        <v>0</v>
      </c>
      <c r="AE948" s="54">
        <v>0</v>
      </c>
      <c r="AF948" s="54">
        <v>0</v>
      </c>
      <c r="AG948" s="54">
        <v>0</v>
      </c>
      <c r="AH948" s="54">
        <v>0</v>
      </c>
      <c r="AI948" s="54">
        <v>0</v>
      </c>
      <c r="AJ948" s="54">
        <v>0</v>
      </c>
      <c r="AK948" s="54">
        <v>0</v>
      </c>
      <c r="AL948" s="54">
        <v>0</v>
      </c>
      <c r="AM948" s="54" t="str">
        <f>I948-J948-K948-L948-M948-N948-O948-P948-Q948-R948-S948-T948-U948-V948-W948-X948-Y948-Z948-AA948-AB948-AC948-AD948-AE948-AF948-AG948+AH948-AI948+AJ948+AK948-AL948</f>
        <v>0</v>
      </c>
      <c r="AN948" s="54"/>
      <c r="AO948" s="27"/>
    </row>
    <row r="949" spans="1:41">
      <c r="A949" s="44">
        <v>921</v>
      </c>
      <c r="B949" s="47" t="s">
        <v>3733</v>
      </c>
      <c r="C949" s="48" t="s">
        <v>3734</v>
      </c>
      <c r="D949" s="52" t="s">
        <v>73</v>
      </c>
      <c r="E949" s="52" t="s">
        <v>3731</v>
      </c>
      <c r="F949" s="55" t="s">
        <v>3735</v>
      </c>
      <c r="G949" s="51">
        <v>3</v>
      </c>
      <c r="H949" s="52" t="s">
        <v>3736</v>
      </c>
      <c r="I949" s="54">
        <v>354000</v>
      </c>
      <c r="J949" s="54">
        <v>0</v>
      </c>
      <c r="K949" s="54">
        <v>22000</v>
      </c>
      <c r="L949" s="54">
        <v>0</v>
      </c>
      <c r="M949" s="54">
        <v>0</v>
      </c>
      <c r="N949" s="54">
        <v>0</v>
      </c>
      <c r="O949" s="54">
        <v>0</v>
      </c>
      <c r="P949" s="54">
        <v>0</v>
      </c>
      <c r="Q949" s="54">
        <v>0</v>
      </c>
      <c r="R949" s="54">
        <v>0</v>
      </c>
      <c r="S949" s="54">
        <v>0</v>
      </c>
      <c r="T949" s="54">
        <v>0</v>
      </c>
      <c r="U949" s="54">
        <v>1397</v>
      </c>
      <c r="V949" s="54">
        <v>0</v>
      </c>
      <c r="W949" s="54">
        <v>0</v>
      </c>
      <c r="X949" s="54">
        <v>0</v>
      </c>
      <c r="Y949" s="54">
        <v>0</v>
      </c>
      <c r="Z949" s="54">
        <v>0</v>
      </c>
      <c r="AA949" s="54">
        <v>0</v>
      </c>
      <c r="AB949" s="54">
        <v>0</v>
      </c>
      <c r="AC949" s="54">
        <v>0</v>
      </c>
      <c r="AD949" s="54">
        <v>0</v>
      </c>
      <c r="AE949" s="54">
        <v>0</v>
      </c>
      <c r="AF949" s="54">
        <v>0</v>
      </c>
      <c r="AG949" s="54">
        <v>0</v>
      </c>
      <c r="AH949" s="54">
        <v>0</v>
      </c>
      <c r="AI949" s="54">
        <v>0</v>
      </c>
      <c r="AJ949" s="54">
        <v>0</v>
      </c>
      <c r="AK949" s="54">
        <v>0</v>
      </c>
      <c r="AL949" s="54">
        <v>0</v>
      </c>
      <c r="AM949" s="54" t="str">
        <f>I949-J949-K949-L949-M949-N949-O949-P949-Q949-R949-S949-T949-U949-V949-W949-X949-Y949-Z949-AA949-AB949-AC949-AD949-AE949-AF949-AG949+AH949-AI949+AJ949+AK949-AL949</f>
        <v>0</v>
      </c>
      <c r="AN949" s="54"/>
      <c r="AO949" s="27"/>
    </row>
    <row r="950" spans="1:41">
      <c r="A950" s="44">
        <v>922</v>
      </c>
      <c r="B950" s="47" t="s">
        <v>3737</v>
      </c>
      <c r="C950" s="48" t="s">
        <v>3738</v>
      </c>
      <c r="D950" s="52" t="s">
        <v>73</v>
      </c>
      <c r="E950" s="52" t="s">
        <v>3731</v>
      </c>
      <c r="F950" s="55" t="s">
        <v>3739</v>
      </c>
      <c r="G950" s="51">
        <v>3</v>
      </c>
      <c r="H950" s="52" t="s">
        <v>3740</v>
      </c>
      <c r="I950" s="54">
        <v>660000</v>
      </c>
      <c r="J950" s="54">
        <v>0</v>
      </c>
      <c r="K950" s="54">
        <v>22000</v>
      </c>
      <c r="L950" s="54">
        <v>0</v>
      </c>
      <c r="M950" s="54">
        <v>0</v>
      </c>
      <c r="N950" s="54">
        <v>0</v>
      </c>
      <c r="O950" s="54">
        <v>0</v>
      </c>
      <c r="P950" s="54">
        <v>0</v>
      </c>
      <c r="Q950" s="54">
        <v>0</v>
      </c>
      <c r="R950" s="54">
        <v>0</v>
      </c>
      <c r="S950" s="54">
        <v>0</v>
      </c>
      <c r="T950" s="54">
        <v>0</v>
      </c>
      <c r="U950" s="54">
        <v>1397</v>
      </c>
      <c r="V950" s="54">
        <v>0</v>
      </c>
      <c r="W950" s="54">
        <v>0</v>
      </c>
      <c r="X950" s="54">
        <v>0</v>
      </c>
      <c r="Y950" s="54">
        <v>0</v>
      </c>
      <c r="Z950" s="54">
        <v>0</v>
      </c>
      <c r="AA950" s="54">
        <v>0</v>
      </c>
      <c r="AB950" s="54">
        <v>0</v>
      </c>
      <c r="AC950" s="54">
        <v>0</v>
      </c>
      <c r="AD950" s="54">
        <v>0</v>
      </c>
      <c r="AE950" s="54">
        <v>0</v>
      </c>
      <c r="AF950" s="54">
        <v>0</v>
      </c>
      <c r="AG950" s="54">
        <v>0</v>
      </c>
      <c r="AH950" s="54">
        <v>0</v>
      </c>
      <c r="AI950" s="54">
        <v>0</v>
      </c>
      <c r="AJ950" s="54">
        <v>0</v>
      </c>
      <c r="AK950" s="54">
        <v>0</v>
      </c>
      <c r="AL950" s="54">
        <v>0</v>
      </c>
      <c r="AM950" s="54" t="str">
        <f>I950-J950-K950-L950-M950-N950-O950-P950-Q950-R950-S950-T950-U950-V950-W950-X950-Y950-Z950-AA950-AB950-AC950-AD950-AE950-AF950-AG950+AH950-AI950+AJ950+AK950-AL950</f>
        <v>0</v>
      </c>
      <c r="AN950" s="54"/>
      <c r="AO950" s="27"/>
    </row>
    <row r="951" spans="1:41">
      <c r="A951" s="44">
        <v>923</v>
      </c>
      <c r="B951" s="47" t="s">
        <v>3741</v>
      </c>
      <c r="C951" s="48" t="s">
        <v>3742</v>
      </c>
      <c r="D951" s="52" t="s">
        <v>73</v>
      </c>
      <c r="E951" s="52" t="s">
        <v>3731</v>
      </c>
      <c r="F951" s="55" t="s">
        <v>3743</v>
      </c>
      <c r="G951" s="51">
        <v>5</v>
      </c>
      <c r="H951" s="52" t="s">
        <v>3744</v>
      </c>
      <c r="I951" s="54">
        <v>906000</v>
      </c>
      <c r="J951" s="54">
        <v>0</v>
      </c>
      <c r="K951" s="54">
        <v>27000</v>
      </c>
      <c r="L951" s="54">
        <v>0</v>
      </c>
      <c r="M951" s="54">
        <v>0</v>
      </c>
      <c r="N951" s="54">
        <v>0</v>
      </c>
      <c r="O951" s="54">
        <v>0</v>
      </c>
      <c r="P951" s="54">
        <v>0</v>
      </c>
      <c r="Q951" s="54">
        <v>0</v>
      </c>
      <c r="R951" s="54">
        <v>0</v>
      </c>
      <c r="S951" s="54">
        <v>0</v>
      </c>
      <c r="T951" s="54">
        <v>0</v>
      </c>
      <c r="U951" s="54">
        <v>1714</v>
      </c>
      <c r="V951" s="54">
        <v>0</v>
      </c>
      <c r="W951" s="54">
        <v>0</v>
      </c>
      <c r="X951" s="54">
        <v>0</v>
      </c>
      <c r="Y951" s="54">
        <v>0</v>
      </c>
      <c r="Z951" s="54">
        <v>0</v>
      </c>
      <c r="AA951" s="54">
        <v>0</v>
      </c>
      <c r="AB951" s="54">
        <v>0</v>
      </c>
      <c r="AC951" s="54">
        <v>0</v>
      </c>
      <c r="AD951" s="54">
        <v>0</v>
      </c>
      <c r="AE951" s="54">
        <v>0</v>
      </c>
      <c r="AF951" s="54">
        <v>0</v>
      </c>
      <c r="AG951" s="54">
        <v>0</v>
      </c>
      <c r="AH951" s="54">
        <v>0</v>
      </c>
      <c r="AI951" s="54">
        <v>0</v>
      </c>
      <c r="AJ951" s="54">
        <v>0</v>
      </c>
      <c r="AK951" s="54">
        <v>0</v>
      </c>
      <c r="AL951" s="54">
        <v>0</v>
      </c>
      <c r="AM951" s="54" t="str">
        <f>I951-J951-K951-L951-M951-N951-O951-P951-Q951-R951-S951-T951-U951-V951-W951-X951-Y951-Z951-AA951-AB951-AC951-AD951-AE951-AF951-AG951+AH951-AI951+AJ951+AK951-AL951</f>
        <v>0</v>
      </c>
      <c r="AN951" s="54"/>
      <c r="AO951" s="27"/>
    </row>
    <row r="952" spans="1:41">
      <c r="A952" s="44">
        <v>924</v>
      </c>
      <c r="B952" s="47" t="s">
        <v>3745</v>
      </c>
      <c r="C952" s="48" t="s">
        <v>3746</v>
      </c>
      <c r="D952" s="52" t="s">
        <v>73</v>
      </c>
      <c r="E952" s="52" t="s">
        <v>3731</v>
      </c>
      <c r="F952" s="55" t="s">
        <v>3747</v>
      </c>
      <c r="G952" s="51">
        <v>3</v>
      </c>
      <c r="H952" s="52" t="s">
        <v>3748</v>
      </c>
      <c r="I952" s="54">
        <v>1074000</v>
      </c>
      <c r="J952" s="54">
        <v>0</v>
      </c>
      <c r="K952" s="54">
        <v>22000</v>
      </c>
      <c r="L952" s="54">
        <v>0</v>
      </c>
      <c r="M952" s="54">
        <v>0</v>
      </c>
      <c r="N952" s="54">
        <v>0</v>
      </c>
      <c r="O952" s="54">
        <v>0</v>
      </c>
      <c r="P952" s="54">
        <v>0</v>
      </c>
      <c r="Q952" s="54">
        <v>0</v>
      </c>
      <c r="R952" s="54">
        <v>0</v>
      </c>
      <c r="S952" s="54">
        <v>0</v>
      </c>
      <c r="T952" s="54">
        <v>0</v>
      </c>
      <c r="U952" s="54">
        <v>1397</v>
      </c>
      <c r="V952" s="54">
        <v>0</v>
      </c>
      <c r="W952" s="54">
        <v>0</v>
      </c>
      <c r="X952" s="54">
        <v>0</v>
      </c>
      <c r="Y952" s="54">
        <v>0</v>
      </c>
      <c r="Z952" s="54">
        <v>0</v>
      </c>
      <c r="AA952" s="54">
        <v>0</v>
      </c>
      <c r="AB952" s="54">
        <v>0</v>
      </c>
      <c r="AC952" s="54">
        <v>0</v>
      </c>
      <c r="AD952" s="54">
        <v>0</v>
      </c>
      <c r="AE952" s="54">
        <v>0</v>
      </c>
      <c r="AF952" s="54">
        <v>0</v>
      </c>
      <c r="AG952" s="54">
        <v>0</v>
      </c>
      <c r="AH952" s="54">
        <v>0</v>
      </c>
      <c r="AI952" s="54">
        <v>0</v>
      </c>
      <c r="AJ952" s="54">
        <v>0</v>
      </c>
      <c r="AK952" s="54">
        <v>0</v>
      </c>
      <c r="AL952" s="54">
        <v>0</v>
      </c>
      <c r="AM952" s="54" t="str">
        <f>I952-J952-K952-L952-M952-N952-O952-P952-Q952-R952-S952-T952-U952-V952-W952-X952-Y952-Z952-AA952-AB952-AC952-AD952-AE952-AF952-AG952+AH952-AI952+AJ952+AK952-AL952</f>
        <v>0</v>
      </c>
      <c r="AN952" s="54"/>
      <c r="AO952" s="27"/>
    </row>
    <row r="953" spans="1:41">
      <c r="A953" s="44">
        <v>925</v>
      </c>
      <c r="B953" s="47" t="s">
        <v>3749</v>
      </c>
      <c r="C953" s="48" t="s">
        <v>3750</v>
      </c>
      <c r="D953" s="52" t="s">
        <v>73</v>
      </c>
      <c r="E953" s="52" t="s">
        <v>3731</v>
      </c>
      <c r="F953" s="55" t="s">
        <v>647</v>
      </c>
      <c r="G953" s="51">
        <v>3</v>
      </c>
      <c r="H953" s="52" t="s">
        <v>3751</v>
      </c>
      <c r="I953" s="54">
        <v>785000</v>
      </c>
      <c r="J953" s="54">
        <v>0</v>
      </c>
      <c r="K953" s="54">
        <v>22000</v>
      </c>
      <c r="L953" s="54">
        <v>0</v>
      </c>
      <c r="M953" s="54">
        <v>0</v>
      </c>
      <c r="N953" s="54">
        <v>0</v>
      </c>
      <c r="O953" s="54">
        <v>0</v>
      </c>
      <c r="P953" s="54">
        <v>0</v>
      </c>
      <c r="Q953" s="54">
        <v>0</v>
      </c>
      <c r="R953" s="54">
        <v>0</v>
      </c>
      <c r="S953" s="54">
        <v>0</v>
      </c>
      <c r="T953" s="54">
        <v>0</v>
      </c>
      <c r="U953" s="54">
        <v>1397</v>
      </c>
      <c r="V953" s="54">
        <v>0</v>
      </c>
      <c r="W953" s="54">
        <v>0</v>
      </c>
      <c r="X953" s="54">
        <v>0</v>
      </c>
      <c r="Y953" s="54">
        <v>0</v>
      </c>
      <c r="Z953" s="54">
        <v>0</v>
      </c>
      <c r="AA953" s="54">
        <v>0</v>
      </c>
      <c r="AB953" s="54">
        <v>0</v>
      </c>
      <c r="AC953" s="54">
        <v>0</v>
      </c>
      <c r="AD953" s="54">
        <v>0</v>
      </c>
      <c r="AE953" s="54">
        <v>0</v>
      </c>
      <c r="AF953" s="54">
        <v>0</v>
      </c>
      <c r="AG953" s="54">
        <v>0</v>
      </c>
      <c r="AH953" s="54">
        <v>0</v>
      </c>
      <c r="AI953" s="54">
        <v>0</v>
      </c>
      <c r="AJ953" s="54">
        <v>0</v>
      </c>
      <c r="AK953" s="54">
        <v>0</v>
      </c>
      <c r="AL953" s="54">
        <v>0</v>
      </c>
      <c r="AM953" s="54" t="str">
        <f>I953-J953-K953-L953-M953-N953-O953-P953-Q953-R953-S953-T953-U953-V953-W953-X953-Y953-Z953-AA953-AB953-AC953-AD953-AE953-AF953-AG953+AH953-AI953+AJ953+AK953-AL953</f>
        <v>0</v>
      </c>
      <c r="AN953" s="54"/>
      <c r="AO953" s="27"/>
    </row>
    <row r="954" spans="1:41">
      <c r="A954" s="44">
        <v>926</v>
      </c>
      <c r="B954" s="47" t="s">
        <v>3752</v>
      </c>
      <c r="C954" s="48" t="s">
        <v>3753</v>
      </c>
      <c r="D954" s="52" t="s">
        <v>73</v>
      </c>
      <c r="E954" s="52" t="s">
        <v>3731</v>
      </c>
      <c r="F954" s="55" t="s">
        <v>3754</v>
      </c>
      <c r="G954" s="51">
        <v>4</v>
      </c>
      <c r="H954" s="52" t="s">
        <v>3755</v>
      </c>
      <c r="I954" s="54">
        <v>414000</v>
      </c>
      <c r="J954" s="54">
        <v>0</v>
      </c>
      <c r="K954" s="54">
        <v>25000</v>
      </c>
      <c r="L954" s="54">
        <v>0</v>
      </c>
      <c r="M954" s="54">
        <v>0</v>
      </c>
      <c r="N954" s="54">
        <v>0</v>
      </c>
      <c r="O954" s="54">
        <v>0</v>
      </c>
      <c r="P954" s="54">
        <v>0</v>
      </c>
      <c r="Q954" s="54">
        <v>0</v>
      </c>
      <c r="R954" s="54">
        <v>0</v>
      </c>
      <c r="S954" s="54">
        <v>0</v>
      </c>
      <c r="T954" s="54">
        <v>0</v>
      </c>
      <c r="U954" s="54">
        <v>1587</v>
      </c>
      <c r="V954" s="54">
        <v>0</v>
      </c>
      <c r="W954" s="54">
        <v>0</v>
      </c>
      <c r="X954" s="54">
        <v>0</v>
      </c>
      <c r="Y954" s="54">
        <v>0</v>
      </c>
      <c r="Z954" s="54">
        <v>0</v>
      </c>
      <c r="AA954" s="54">
        <v>0</v>
      </c>
      <c r="AB954" s="54">
        <v>0</v>
      </c>
      <c r="AC954" s="54">
        <v>0</v>
      </c>
      <c r="AD954" s="54">
        <v>0</v>
      </c>
      <c r="AE954" s="54">
        <v>0</v>
      </c>
      <c r="AF954" s="54">
        <v>0</v>
      </c>
      <c r="AG954" s="54">
        <v>0</v>
      </c>
      <c r="AH954" s="54">
        <v>0</v>
      </c>
      <c r="AI954" s="54">
        <v>0</v>
      </c>
      <c r="AJ954" s="54">
        <v>0</v>
      </c>
      <c r="AK954" s="54">
        <v>0</v>
      </c>
      <c r="AL954" s="54">
        <v>0</v>
      </c>
      <c r="AM954" s="54" t="str">
        <f>I954-J954-K954-L954-M954-N954-O954-P954-Q954-R954-S954-T954-U954-V954-W954-X954-Y954-Z954-AA954-AB954-AC954-AD954-AE954-AF954-AG954+AH954-AI954+AJ954+AK954-AL954</f>
        <v>0</v>
      </c>
      <c r="AN954" s="54"/>
      <c r="AO954" s="27"/>
    </row>
    <row r="955" spans="1:41">
      <c r="A955" s="44">
        <v>927</v>
      </c>
      <c r="B955" s="47" t="s">
        <v>3756</v>
      </c>
      <c r="C955" s="48" t="s">
        <v>3757</v>
      </c>
      <c r="D955" s="52" t="s">
        <v>73</v>
      </c>
      <c r="E955" s="52" t="s">
        <v>3731</v>
      </c>
      <c r="F955" s="55" t="s">
        <v>3758</v>
      </c>
      <c r="G955" s="51">
        <v>2</v>
      </c>
      <c r="H955" s="52" t="s">
        <v>3759</v>
      </c>
      <c r="I955" s="54">
        <v>264000</v>
      </c>
      <c r="J955" s="54">
        <v>0</v>
      </c>
      <c r="K955" s="54">
        <v>22000</v>
      </c>
      <c r="L955" s="54">
        <v>0</v>
      </c>
      <c r="M955" s="54">
        <v>0</v>
      </c>
      <c r="N955" s="54">
        <v>0</v>
      </c>
      <c r="O955" s="54">
        <v>0</v>
      </c>
      <c r="P955" s="54">
        <v>0</v>
      </c>
      <c r="Q955" s="54">
        <v>0</v>
      </c>
      <c r="R955" s="54">
        <v>0</v>
      </c>
      <c r="S955" s="54">
        <v>0</v>
      </c>
      <c r="T955" s="54">
        <v>0</v>
      </c>
      <c r="U955" s="54">
        <v>1397</v>
      </c>
      <c r="V955" s="54">
        <v>0</v>
      </c>
      <c r="W955" s="54">
        <v>0</v>
      </c>
      <c r="X955" s="54">
        <v>0</v>
      </c>
      <c r="Y955" s="54">
        <v>0</v>
      </c>
      <c r="Z955" s="54">
        <v>0</v>
      </c>
      <c r="AA955" s="54">
        <v>0</v>
      </c>
      <c r="AB955" s="54">
        <v>0</v>
      </c>
      <c r="AC955" s="54">
        <v>0</v>
      </c>
      <c r="AD955" s="54">
        <v>0</v>
      </c>
      <c r="AE955" s="54">
        <v>0</v>
      </c>
      <c r="AF955" s="54">
        <v>0</v>
      </c>
      <c r="AG955" s="54">
        <v>0</v>
      </c>
      <c r="AH955" s="54">
        <v>0</v>
      </c>
      <c r="AI955" s="54">
        <v>0</v>
      </c>
      <c r="AJ955" s="54">
        <v>0</v>
      </c>
      <c r="AK955" s="54">
        <v>0</v>
      </c>
      <c r="AL955" s="54">
        <v>0</v>
      </c>
      <c r="AM955" s="54" t="str">
        <f>I955-J955-K955-L955-M955-N955-O955-P955-Q955-R955-S955-T955-U955-V955-W955-X955-Y955-Z955-AA955-AB955-AC955-AD955-AE955-AF955-AG955+AH955-AI955+AJ955+AK955-AL955</f>
        <v>0</v>
      </c>
      <c r="AN955" s="54"/>
      <c r="AO955" s="27"/>
    </row>
    <row r="956" spans="1:41">
      <c r="A956" s="44">
        <v>928</v>
      </c>
      <c r="B956" s="47" t="s">
        <v>3760</v>
      </c>
      <c r="C956" s="48" t="s">
        <v>3761</v>
      </c>
      <c r="D956" s="52" t="s">
        <v>73</v>
      </c>
      <c r="E956" s="52" t="s">
        <v>3731</v>
      </c>
      <c r="F956" s="55" t="s">
        <v>3762</v>
      </c>
      <c r="G956" s="51">
        <v>2</v>
      </c>
      <c r="H956" s="52" t="s">
        <v>3763</v>
      </c>
      <c r="I956" s="54">
        <v>384000</v>
      </c>
      <c r="J956" s="54">
        <v>0</v>
      </c>
      <c r="K956" s="54">
        <v>22000</v>
      </c>
      <c r="L956" s="54">
        <v>0</v>
      </c>
      <c r="M956" s="54">
        <v>0</v>
      </c>
      <c r="N956" s="54">
        <v>0</v>
      </c>
      <c r="O956" s="54">
        <v>0</v>
      </c>
      <c r="P956" s="54">
        <v>0</v>
      </c>
      <c r="Q956" s="54">
        <v>0</v>
      </c>
      <c r="R956" s="54">
        <v>0</v>
      </c>
      <c r="S956" s="54">
        <v>0</v>
      </c>
      <c r="T956" s="54">
        <v>0</v>
      </c>
      <c r="U956" s="54">
        <v>1397</v>
      </c>
      <c r="V956" s="54">
        <v>0</v>
      </c>
      <c r="W956" s="54">
        <v>0</v>
      </c>
      <c r="X956" s="54">
        <v>0</v>
      </c>
      <c r="Y956" s="54">
        <v>0</v>
      </c>
      <c r="Z956" s="54">
        <v>0</v>
      </c>
      <c r="AA956" s="54">
        <v>0</v>
      </c>
      <c r="AB956" s="54">
        <v>0</v>
      </c>
      <c r="AC956" s="54">
        <v>0</v>
      </c>
      <c r="AD956" s="54">
        <v>0</v>
      </c>
      <c r="AE956" s="54">
        <v>0</v>
      </c>
      <c r="AF956" s="54">
        <v>0</v>
      </c>
      <c r="AG956" s="54">
        <v>0</v>
      </c>
      <c r="AH956" s="54">
        <v>0</v>
      </c>
      <c r="AI956" s="54">
        <v>0</v>
      </c>
      <c r="AJ956" s="54">
        <v>0</v>
      </c>
      <c r="AK956" s="54">
        <v>0</v>
      </c>
      <c r="AL956" s="54">
        <v>0</v>
      </c>
      <c r="AM956" s="54" t="str">
        <f>I956-J956-K956-L956-M956-N956-O956-P956-Q956-R956-S956-T956-U956-V956-W956-X956-Y956-Z956-AA956-AB956-AC956-AD956-AE956-AF956-AG956+AH956-AI956+AJ956+AK956-AL956</f>
        <v>0</v>
      </c>
      <c r="AN956" s="54"/>
      <c r="AO956" s="27"/>
    </row>
    <row r="957" spans="1:41">
      <c r="A957" s="44">
        <v>929</v>
      </c>
      <c r="B957" s="47" t="s">
        <v>3764</v>
      </c>
      <c r="C957" s="48" t="s">
        <v>3765</v>
      </c>
      <c r="D957" s="52" t="s">
        <v>73</v>
      </c>
      <c r="E957" s="52" t="s">
        <v>3731</v>
      </c>
      <c r="F957" s="55" t="s">
        <v>2837</v>
      </c>
      <c r="G957" s="51">
        <v>3</v>
      </c>
      <c r="H957" s="52" t="s">
        <v>3766</v>
      </c>
      <c r="I957" s="54">
        <v>784000</v>
      </c>
      <c r="J957" s="54">
        <v>0</v>
      </c>
      <c r="K957" s="54">
        <v>22000</v>
      </c>
      <c r="L957" s="54">
        <v>0</v>
      </c>
      <c r="M957" s="54">
        <v>0</v>
      </c>
      <c r="N957" s="54">
        <v>0</v>
      </c>
      <c r="O957" s="54">
        <v>0</v>
      </c>
      <c r="P957" s="54">
        <v>0</v>
      </c>
      <c r="Q957" s="54">
        <v>0</v>
      </c>
      <c r="R957" s="54">
        <v>0</v>
      </c>
      <c r="S957" s="54">
        <v>0</v>
      </c>
      <c r="T957" s="54">
        <v>0</v>
      </c>
      <c r="U957" s="54">
        <v>1397</v>
      </c>
      <c r="V957" s="54">
        <v>0</v>
      </c>
      <c r="W957" s="54">
        <v>0</v>
      </c>
      <c r="X957" s="54">
        <v>0</v>
      </c>
      <c r="Y957" s="54">
        <v>0</v>
      </c>
      <c r="Z957" s="54">
        <v>0</v>
      </c>
      <c r="AA957" s="54">
        <v>0</v>
      </c>
      <c r="AB957" s="54">
        <v>0</v>
      </c>
      <c r="AC957" s="54">
        <v>0</v>
      </c>
      <c r="AD957" s="54">
        <v>0</v>
      </c>
      <c r="AE957" s="54">
        <v>0</v>
      </c>
      <c r="AF957" s="54">
        <v>0</v>
      </c>
      <c r="AG957" s="54">
        <v>0</v>
      </c>
      <c r="AH957" s="54">
        <v>0</v>
      </c>
      <c r="AI957" s="54">
        <v>0</v>
      </c>
      <c r="AJ957" s="54">
        <v>0</v>
      </c>
      <c r="AK957" s="54">
        <v>0</v>
      </c>
      <c r="AL957" s="54">
        <v>0</v>
      </c>
      <c r="AM957" s="54" t="str">
        <f>I957-J957-K957-L957-M957-N957-O957-P957-Q957-R957-S957-T957-U957-V957-W957-X957-Y957-Z957-AA957-AB957-AC957-AD957-AE957-AF957-AG957+AH957-AI957+AJ957+AK957-AL957</f>
        <v>0</v>
      </c>
      <c r="AN957" s="54"/>
      <c r="AO957" s="27"/>
    </row>
    <row r="958" spans="1:41">
      <c r="A958" s="44">
        <v>930</v>
      </c>
      <c r="B958" s="47" t="s">
        <v>3767</v>
      </c>
      <c r="C958" s="48" t="s">
        <v>3768</v>
      </c>
      <c r="D958" s="52" t="s">
        <v>73</v>
      </c>
      <c r="E958" s="52" t="s">
        <v>3731</v>
      </c>
      <c r="F958" s="55" t="s">
        <v>3769</v>
      </c>
      <c r="G958" s="51">
        <v>0.1</v>
      </c>
      <c r="H958" s="52" t="s">
        <v>3770</v>
      </c>
      <c r="I958" s="54">
        <v>560000</v>
      </c>
      <c r="J958" s="54">
        <v>0</v>
      </c>
      <c r="K958" s="54">
        <v>22000</v>
      </c>
      <c r="L958" s="54">
        <v>0</v>
      </c>
      <c r="M958" s="54">
        <v>0</v>
      </c>
      <c r="N958" s="54">
        <v>0</v>
      </c>
      <c r="O958" s="54">
        <v>0</v>
      </c>
      <c r="P958" s="54">
        <v>0</v>
      </c>
      <c r="Q958" s="54">
        <v>0</v>
      </c>
      <c r="R958" s="54">
        <v>0</v>
      </c>
      <c r="S958" s="54">
        <v>0</v>
      </c>
      <c r="T958" s="54">
        <v>0</v>
      </c>
      <c r="U958" s="54">
        <v>1397</v>
      </c>
      <c r="V958" s="54">
        <v>0</v>
      </c>
      <c r="W958" s="54">
        <v>0</v>
      </c>
      <c r="X958" s="54">
        <v>0</v>
      </c>
      <c r="Y958" s="54">
        <v>0</v>
      </c>
      <c r="Z958" s="54">
        <v>0</v>
      </c>
      <c r="AA958" s="54">
        <v>0</v>
      </c>
      <c r="AB958" s="54">
        <v>0</v>
      </c>
      <c r="AC958" s="54">
        <v>0</v>
      </c>
      <c r="AD958" s="54">
        <v>0</v>
      </c>
      <c r="AE958" s="54">
        <v>0</v>
      </c>
      <c r="AF958" s="54">
        <v>0</v>
      </c>
      <c r="AG958" s="54">
        <v>0</v>
      </c>
      <c r="AH958" s="54">
        <v>0</v>
      </c>
      <c r="AI958" s="54">
        <v>0</v>
      </c>
      <c r="AJ958" s="54">
        <v>0</v>
      </c>
      <c r="AK958" s="54">
        <v>0</v>
      </c>
      <c r="AL958" s="54">
        <v>0</v>
      </c>
      <c r="AM958" s="54" t="str">
        <f>I958-J958-K958-L958-M958-N958-O958-P958-Q958-R958-S958-T958-U958-V958-W958-X958-Y958-Z958-AA958-AB958-AC958-AD958-AE958-AF958-AG958+AH958-AI958+AJ958+AK958-AL958</f>
        <v>0</v>
      </c>
      <c r="AN958" s="54"/>
      <c r="AO958" s="27"/>
    </row>
    <row r="959" spans="1:41">
      <c r="A959" s="44">
        <v>931</v>
      </c>
      <c r="B959" s="47" t="s">
        <v>3771</v>
      </c>
      <c r="C959" s="48" t="s">
        <v>3772</v>
      </c>
      <c r="D959" s="52" t="s">
        <v>73</v>
      </c>
      <c r="E959" s="52" t="s">
        <v>3731</v>
      </c>
      <c r="F959" s="55" t="s">
        <v>3773</v>
      </c>
      <c r="G959" s="51">
        <v>15</v>
      </c>
      <c r="H959" s="52" t="s">
        <v>3774</v>
      </c>
      <c r="I959" s="54">
        <v>3390000</v>
      </c>
      <c r="J959" s="54">
        <v>16950</v>
      </c>
      <c r="K959" s="54">
        <v>74000</v>
      </c>
      <c r="L959" s="54">
        <v>0</v>
      </c>
      <c r="M959" s="54">
        <v>0</v>
      </c>
      <c r="N959" s="54">
        <v>0</v>
      </c>
      <c r="O959" s="54">
        <v>0</v>
      </c>
      <c r="P959" s="54">
        <v>0</v>
      </c>
      <c r="Q959" s="54">
        <v>0</v>
      </c>
      <c r="R959" s="54">
        <v>0</v>
      </c>
      <c r="S959" s="54">
        <v>0</v>
      </c>
      <c r="T959" s="54">
        <v>0</v>
      </c>
      <c r="U959" s="54">
        <v>4699</v>
      </c>
      <c r="V959" s="54">
        <v>0</v>
      </c>
      <c r="W959" s="54">
        <v>0</v>
      </c>
      <c r="X959" s="54">
        <v>0</v>
      </c>
      <c r="Y959" s="54">
        <v>0</v>
      </c>
      <c r="Z959" s="54">
        <v>0</v>
      </c>
      <c r="AA959" s="54">
        <v>0</v>
      </c>
      <c r="AB959" s="54">
        <v>0</v>
      </c>
      <c r="AC959" s="54">
        <v>0</v>
      </c>
      <c r="AD959" s="54">
        <v>0</v>
      </c>
      <c r="AE959" s="54">
        <v>0</v>
      </c>
      <c r="AF959" s="54">
        <v>0</v>
      </c>
      <c r="AG959" s="54">
        <v>0</v>
      </c>
      <c r="AH959" s="54">
        <v>0</v>
      </c>
      <c r="AI959" s="54">
        <v>0</v>
      </c>
      <c r="AJ959" s="54">
        <v>0</v>
      </c>
      <c r="AK959" s="54">
        <v>0</v>
      </c>
      <c r="AL959" s="54">
        <v>0</v>
      </c>
      <c r="AM959" s="54" t="str">
        <f>I959-J959-K959-L959-M959-N959-O959-P959-Q959-R959-S959-T959-U959-V959-W959-X959-Y959-Z959-AA959-AB959-AC959-AD959-AE959-AF959-AG959+AH959-AI959+AJ959+AK959-AL959</f>
        <v>0</v>
      </c>
      <c r="AN959" s="54"/>
      <c r="AO959" s="27"/>
    </row>
    <row r="960" spans="1:41">
      <c r="A960" s="44">
        <v>932</v>
      </c>
      <c r="B960" s="47" t="s">
        <v>3775</v>
      </c>
      <c r="C960" s="48" t="s">
        <v>3776</v>
      </c>
      <c r="D960" s="52" t="s">
        <v>73</v>
      </c>
      <c r="E960" s="52" t="s">
        <v>3731</v>
      </c>
      <c r="F960" s="55" t="s">
        <v>3777</v>
      </c>
      <c r="G960" s="51">
        <v>6</v>
      </c>
      <c r="H960" s="52" t="s">
        <v>3778</v>
      </c>
      <c r="I960" s="54">
        <v>2190000</v>
      </c>
      <c r="J960" s="54">
        <v>0</v>
      </c>
      <c r="K960" s="54">
        <v>31000</v>
      </c>
      <c r="L960" s="54">
        <v>0</v>
      </c>
      <c r="M960" s="54">
        <v>0</v>
      </c>
      <c r="N960" s="54">
        <v>0</v>
      </c>
      <c r="O960" s="54">
        <v>0</v>
      </c>
      <c r="P960" s="54">
        <v>0</v>
      </c>
      <c r="Q960" s="54">
        <v>0</v>
      </c>
      <c r="R960" s="54">
        <v>0</v>
      </c>
      <c r="S960" s="54">
        <v>0</v>
      </c>
      <c r="T960" s="54">
        <v>0</v>
      </c>
      <c r="U960" s="54">
        <v>1968</v>
      </c>
      <c r="V960" s="54">
        <v>0</v>
      </c>
      <c r="W960" s="54">
        <v>0</v>
      </c>
      <c r="X960" s="54">
        <v>0</v>
      </c>
      <c r="Y960" s="54">
        <v>0</v>
      </c>
      <c r="Z960" s="54">
        <v>0</v>
      </c>
      <c r="AA960" s="54">
        <v>0</v>
      </c>
      <c r="AB960" s="54">
        <v>0</v>
      </c>
      <c r="AC960" s="54">
        <v>0</v>
      </c>
      <c r="AD960" s="54">
        <v>0</v>
      </c>
      <c r="AE960" s="54">
        <v>0</v>
      </c>
      <c r="AF960" s="54">
        <v>0</v>
      </c>
      <c r="AG960" s="54">
        <v>0</v>
      </c>
      <c r="AH960" s="54">
        <v>0</v>
      </c>
      <c r="AI960" s="54">
        <v>0</v>
      </c>
      <c r="AJ960" s="54">
        <v>0</v>
      </c>
      <c r="AK960" s="54">
        <v>0</v>
      </c>
      <c r="AL960" s="54">
        <v>0</v>
      </c>
      <c r="AM960" s="54" t="str">
        <f>I960-J960-K960-L960-M960-N960-O960-P960-Q960-R960-S960-T960-U960-V960-W960-X960-Y960-Z960-AA960-AB960-AC960-AD960-AE960-AF960-AG960+AH960-AI960+AJ960+AK960-AL960</f>
        <v>0</v>
      </c>
      <c r="AN960" s="54"/>
      <c r="AO960" s="27"/>
    </row>
    <row r="961" spans="1:41">
      <c r="A961" s="44">
        <v>933</v>
      </c>
      <c r="B961" s="47" t="s">
        <v>3779</v>
      </c>
      <c r="C961" s="48" t="s">
        <v>3780</v>
      </c>
      <c r="D961" s="52" t="s">
        <v>73</v>
      </c>
      <c r="E961" s="52" t="s">
        <v>3731</v>
      </c>
      <c r="F961" s="55" t="s">
        <v>3781</v>
      </c>
      <c r="G961" s="51">
        <v>4</v>
      </c>
      <c r="H961" s="52" t="s">
        <v>3782</v>
      </c>
      <c r="I961" s="54">
        <v>680000</v>
      </c>
      <c r="J961" s="54">
        <v>0</v>
      </c>
      <c r="K961" s="54">
        <v>25000</v>
      </c>
      <c r="L961" s="54">
        <v>0</v>
      </c>
      <c r="M961" s="54">
        <v>0</v>
      </c>
      <c r="N961" s="54">
        <v>0</v>
      </c>
      <c r="O961" s="54">
        <v>0</v>
      </c>
      <c r="P961" s="54">
        <v>0</v>
      </c>
      <c r="Q961" s="54">
        <v>0</v>
      </c>
      <c r="R961" s="54">
        <v>0</v>
      </c>
      <c r="S961" s="54">
        <v>0</v>
      </c>
      <c r="T961" s="54">
        <v>0</v>
      </c>
      <c r="U961" s="54">
        <v>1587</v>
      </c>
      <c r="V961" s="54">
        <v>0</v>
      </c>
      <c r="W961" s="54">
        <v>0</v>
      </c>
      <c r="X961" s="54">
        <v>0</v>
      </c>
      <c r="Y961" s="54">
        <v>0</v>
      </c>
      <c r="Z961" s="54">
        <v>0</v>
      </c>
      <c r="AA961" s="54">
        <v>0</v>
      </c>
      <c r="AB961" s="54">
        <v>0</v>
      </c>
      <c r="AC961" s="54">
        <v>0</v>
      </c>
      <c r="AD961" s="54">
        <v>0</v>
      </c>
      <c r="AE961" s="54">
        <v>0</v>
      </c>
      <c r="AF961" s="54">
        <v>0</v>
      </c>
      <c r="AG961" s="54">
        <v>0</v>
      </c>
      <c r="AH961" s="54">
        <v>0</v>
      </c>
      <c r="AI961" s="54">
        <v>0</v>
      </c>
      <c r="AJ961" s="54">
        <v>0</v>
      </c>
      <c r="AK961" s="54">
        <v>0</v>
      </c>
      <c r="AL961" s="54">
        <v>0</v>
      </c>
      <c r="AM961" s="54" t="str">
        <f>I961-J961-K961-L961-M961-N961-O961-P961-Q961-R961-S961-T961-U961-V961-W961-X961-Y961-Z961-AA961-AB961-AC961-AD961-AE961-AF961-AG961+AH961-AI961+AJ961+AK961-AL961</f>
        <v>0</v>
      </c>
      <c r="AN961" s="54"/>
      <c r="AO961" s="27"/>
    </row>
    <row r="962" spans="1:41">
      <c r="A962" s="44">
        <v>934</v>
      </c>
      <c r="B962" s="47" t="s">
        <v>3783</v>
      </c>
      <c r="C962" s="48" t="s">
        <v>3784</v>
      </c>
      <c r="D962" s="52" t="s">
        <v>73</v>
      </c>
      <c r="E962" s="52" t="s">
        <v>3731</v>
      </c>
      <c r="F962" s="55" t="s">
        <v>3785</v>
      </c>
      <c r="G962" s="51">
        <v>4</v>
      </c>
      <c r="H962" s="52" t="s">
        <v>3786</v>
      </c>
      <c r="I962" s="54">
        <v>323000</v>
      </c>
      <c r="J962" s="54">
        <v>0</v>
      </c>
      <c r="K962" s="54">
        <v>25000</v>
      </c>
      <c r="L962" s="54">
        <v>0</v>
      </c>
      <c r="M962" s="54">
        <v>0</v>
      </c>
      <c r="N962" s="54">
        <v>0</v>
      </c>
      <c r="O962" s="54">
        <v>0</v>
      </c>
      <c r="P962" s="54">
        <v>0</v>
      </c>
      <c r="Q962" s="54">
        <v>0</v>
      </c>
      <c r="R962" s="54">
        <v>0</v>
      </c>
      <c r="S962" s="54">
        <v>0</v>
      </c>
      <c r="T962" s="54">
        <v>0</v>
      </c>
      <c r="U962" s="54">
        <v>1587</v>
      </c>
      <c r="V962" s="54">
        <v>0</v>
      </c>
      <c r="W962" s="54">
        <v>0</v>
      </c>
      <c r="X962" s="54">
        <v>0</v>
      </c>
      <c r="Y962" s="54">
        <v>0</v>
      </c>
      <c r="Z962" s="54">
        <v>0</v>
      </c>
      <c r="AA962" s="54">
        <v>0</v>
      </c>
      <c r="AB962" s="54">
        <v>0</v>
      </c>
      <c r="AC962" s="54">
        <v>0</v>
      </c>
      <c r="AD962" s="54">
        <v>0</v>
      </c>
      <c r="AE962" s="54">
        <v>0</v>
      </c>
      <c r="AF962" s="54">
        <v>0</v>
      </c>
      <c r="AG962" s="54">
        <v>0</v>
      </c>
      <c r="AH962" s="54">
        <v>0</v>
      </c>
      <c r="AI962" s="54">
        <v>0</v>
      </c>
      <c r="AJ962" s="54">
        <v>0</v>
      </c>
      <c r="AK962" s="54">
        <v>0</v>
      </c>
      <c r="AL962" s="54">
        <v>0</v>
      </c>
      <c r="AM962" s="54" t="str">
        <f>I962-J962-K962-L962-M962-N962-O962-P962-Q962-R962-S962-T962-U962-V962-W962-X962-Y962-Z962-AA962-AB962-AC962-AD962-AE962-AF962-AG962+AH962-AI962+AJ962+AK962-AL962</f>
        <v>0</v>
      </c>
      <c r="AN962" s="54"/>
      <c r="AO962" s="27"/>
    </row>
    <row r="963" spans="1:41">
      <c r="A963" s="44">
        <v>935</v>
      </c>
      <c r="B963" s="47" t="s">
        <v>3787</v>
      </c>
      <c r="C963" s="48" t="s">
        <v>3788</v>
      </c>
      <c r="D963" s="52" t="s">
        <v>73</v>
      </c>
      <c r="E963" s="52" t="s">
        <v>3731</v>
      </c>
      <c r="F963" s="55" t="s">
        <v>3789</v>
      </c>
      <c r="G963" s="51">
        <v>2</v>
      </c>
      <c r="H963" s="52" t="s">
        <v>3790</v>
      </c>
      <c r="I963" s="54">
        <v>385000</v>
      </c>
      <c r="J963" s="54">
        <v>0</v>
      </c>
      <c r="K963" s="54">
        <v>22000</v>
      </c>
      <c r="L963" s="54">
        <v>0</v>
      </c>
      <c r="M963" s="54">
        <v>0</v>
      </c>
      <c r="N963" s="54">
        <v>0</v>
      </c>
      <c r="O963" s="54">
        <v>0</v>
      </c>
      <c r="P963" s="54">
        <v>0</v>
      </c>
      <c r="Q963" s="54">
        <v>0</v>
      </c>
      <c r="R963" s="54">
        <v>0</v>
      </c>
      <c r="S963" s="54">
        <v>0</v>
      </c>
      <c r="T963" s="54">
        <v>0</v>
      </c>
      <c r="U963" s="54">
        <v>1397</v>
      </c>
      <c r="V963" s="54">
        <v>0</v>
      </c>
      <c r="W963" s="54">
        <v>0</v>
      </c>
      <c r="X963" s="54">
        <v>0</v>
      </c>
      <c r="Y963" s="54">
        <v>0</v>
      </c>
      <c r="Z963" s="54">
        <v>0</v>
      </c>
      <c r="AA963" s="54">
        <v>0</v>
      </c>
      <c r="AB963" s="54">
        <v>0</v>
      </c>
      <c r="AC963" s="54">
        <v>0</v>
      </c>
      <c r="AD963" s="54">
        <v>0</v>
      </c>
      <c r="AE963" s="54">
        <v>0</v>
      </c>
      <c r="AF963" s="54">
        <v>0</v>
      </c>
      <c r="AG963" s="54">
        <v>0</v>
      </c>
      <c r="AH963" s="54">
        <v>0</v>
      </c>
      <c r="AI963" s="54">
        <v>0</v>
      </c>
      <c r="AJ963" s="54">
        <v>0</v>
      </c>
      <c r="AK963" s="54">
        <v>0</v>
      </c>
      <c r="AL963" s="54">
        <v>0</v>
      </c>
      <c r="AM963" s="54" t="str">
        <f>I963-J963-K963-L963-M963-N963-O963-P963-Q963-R963-S963-T963-U963-V963-W963-X963-Y963-Z963-AA963-AB963-AC963-AD963-AE963-AF963-AG963+AH963-AI963+AJ963+AK963-AL963</f>
        <v>0</v>
      </c>
      <c r="AN963" s="54"/>
      <c r="AO963" s="27"/>
    </row>
    <row r="964" spans="1:41">
      <c r="A964" s="44">
        <v>936</v>
      </c>
      <c r="B964" s="47" t="s">
        <v>3791</v>
      </c>
      <c r="C964" s="48" t="s">
        <v>3792</v>
      </c>
      <c r="D964" s="52" t="s">
        <v>73</v>
      </c>
      <c r="E964" s="52" t="s">
        <v>3731</v>
      </c>
      <c r="F964" s="55" t="s">
        <v>3793</v>
      </c>
      <c r="G964" s="51">
        <v>2</v>
      </c>
      <c r="H964" s="52" t="s">
        <v>3794</v>
      </c>
      <c r="I964" s="54">
        <v>470000</v>
      </c>
      <c r="J964" s="54">
        <v>0</v>
      </c>
      <c r="K964" s="54">
        <v>22000</v>
      </c>
      <c r="L964" s="54">
        <v>0</v>
      </c>
      <c r="M964" s="54">
        <v>0</v>
      </c>
      <c r="N964" s="54">
        <v>0</v>
      </c>
      <c r="O964" s="54">
        <v>0</v>
      </c>
      <c r="P964" s="54">
        <v>0</v>
      </c>
      <c r="Q964" s="54">
        <v>0</v>
      </c>
      <c r="R964" s="54">
        <v>0</v>
      </c>
      <c r="S964" s="54">
        <v>0</v>
      </c>
      <c r="T964" s="54">
        <v>0</v>
      </c>
      <c r="U964" s="54">
        <v>1397</v>
      </c>
      <c r="V964" s="54">
        <v>0</v>
      </c>
      <c r="W964" s="54">
        <v>0</v>
      </c>
      <c r="X964" s="54">
        <v>0</v>
      </c>
      <c r="Y964" s="54">
        <v>0</v>
      </c>
      <c r="Z964" s="54">
        <v>0</v>
      </c>
      <c r="AA964" s="54">
        <v>0</v>
      </c>
      <c r="AB964" s="54">
        <v>0</v>
      </c>
      <c r="AC964" s="54">
        <v>0</v>
      </c>
      <c r="AD964" s="54">
        <v>0</v>
      </c>
      <c r="AE964" s="54">
        <v>0</v>
      </c>
      <c r="AF964" s="54">
        <v>0</v>
      </c>
      <c r="AG964" s="54">
        <v>0</v>
      </c>
      <c r="AH964" s="54">
        <v>0</v>
      </c>
      <c r="AI964" s="54">
        <v>0</v>
      </c>
      <c r="AJ964" s="54">
        <v>0</v>
      </c>
      <c r="AK964" s="54">
        <v>0</v>
      </c>
      <c r="AL964" s="54">
        <v>0</v>
      </c>
      <c r="AM964" s="54" t="str">
        <f>I964-J964-K964-L964-M964-N964-O964-P964-Q964-R964-S964-T964-U964-V964-W964-X964-Y964-Z964-AA964-AB964-AC964-AD964-AE964-AF964-AG964+AH964-AI964+AJ964+AK964-AL964</f>
        <v>0</v>
      </c>
      <c r="AN964" s="54"/>
      <c r="AO964" s="27"/>
    </row>
    <row r="965" spans="1:41">
      <c r="A965" s="44">
        <v>937</v>
      </c>
      <c r="B965" s="47" t="s">
        <v>3795</v>
      </c>
      <c r="C965" s="48" t="s">
        <v>3796</v>
      </c>
      <c r="D965" s="52" t="s">
        <v>73</v>
      </c>
      <c r="E965" s="52" t="s">
        <v>3731</v>
      </c>
      <c r="F965" s="55" t="s">
        <v>1167</v>
      </c>
      <c r="G965" s="51">
        <v>5</v>
      </c>
      <c r="H965" s="52" t="s">
        <v>3797</v>
      </c>
      <c r="I965" s="54">
        <v>629000</v>
      </c>
      <c r="J965" s="54">
        <v>0</v>
      </c>
      <c r="K965" s="54">
        <v>27000</v>
      </c>
      <c r="L965" s="54">
        <v>0</v>
      </c>
      <c r="M965" s="54">
        <v>0</v>
      </c>
      <c r="N965" s="54">
        <v>0</v>
      </c>
      <c r="O965" s="54">
        <v>0</v>
      </c>
      <c r="P965" s="54">
        <v>0</v>
      </c>
      <c r="Q965" s="54">
        <v>0</v>
      </c>
      <c r="R965" s="54">
        <v>0</v>
      </c>
      <c r="S965" s="54">
        <v>0</v>
      </c>
      <c r="T965" s="54">
        <v>0</v>
      </c>
      <c r="U965" s="54">
        <v>1714</v>
      </c>
      <c r="V965" s="54">
        <v>0</v>
      </c>
      <c r="W965" s="54">
        <v>0</v>
      </c>
      <c r="X965" s="54">
        <v>0</v>
      </c>
      <c r="Y965" s="54">
        <v>0</v>
      </c>
      <c r="Z965" s="54">
        <v>0</v>
      </c>
      <c r="AA965" s="54">
        <v>0</v>
      </c>
      <c r="AB965" s="54">
        <v>0</v>
      </c>
      <c r="AC965" s="54">
        <v>0</v>
      </c>
      <c r="AD965" s="54">
        <v>0</v>
      </c>
      <c r="AE965" s="54">
        <v>0</v>
      </c>
      <c r="AF965" s="54">
        <v>0</v>
      </c>
      <c r="AG965" s="54">
        <v>0</v>
      </c>
      <c r="AH965" s="54">
        <v>0</v>
      </c>
      <c r="AI965" s="54">
        <v>0</v>
      </c>
      <c r="AJ965" s="54">
        <v>0</v>
      </c>
      <c r="AK965" s="54">
        <v>0</v>
      </c>
      <c r="AL965" s="54">
        <v>0</v>
      </c>
      <c r="AM965" s="54" t="str">
        <f>I965-J965-K965-L965-M965-N965-O965-P965-Q965-R965-S965-T965-U965-V965-W965-X965-Y965-Z965-AA965-AB965-AC965-AD965-AE965-AF965-AG965+AH965-AI965+AJ965+AK965-AL965</f>
        <v>0</v>
      </c>
      <c r="AN965" s="54"/>
      <c r="AO965" s="27"/>
    </row>
    <row r="966" spans="1:41">
      <c r="A966" s="44">
        <v>938</v>
      </c>
      <c r="B966" s="47" t="s">
        <v>3798</v>
      </c>
      <c r="C966" s="48" t="s">
        <v>3799</v>
      </c>
      <c r="D966" s="52" t="s">
        <v>73</v>
      </c>
      <c r="E966" s="52" t="s">
        <v>3731</v>
      </c>
      <c r="F966" s="55" t="s">
        <v>1642</v>
      </c>
      <c r="G966" s="51">
        <v>2</v>
      </c>
      <c r="H966" s="52" t="s">
        <v>3800</v>
      </c>
      <c r="I966" s="54">
        <v>334000</v>
      </c>
      <c r="J966" s="54">
        <v>0</v>
      </c>
      <c r="K966" s="54">
        <v>22000</v>
      </c>
      <c r="L966" s="54">
        <v>0</v>
      </c>
      <c r="M966" s="54">
        <v>0</v>
      </c>
      <c r="N966" s="54">
        <v>0</v>
      </c>
      <c r="O966" s="54">
        <v>0</v>
      </c>
      <c r="P966" s="54">
        <v>0</v>
      </c>
      <c r="Q966" s="54">
        <v>0</v>
      </c>
      <c r="R966" s="54">
        <v>0</v>
      </c>
      <c r="S966" s="54">
        <v>0</v>
      </c>
      <c r="T966" s="54">
        <v>0</v>
      </c>
      <c r="U966" s="54">
        <v>1397</v>
      </c>
      <c r="V966" s="54">
        <v>0</v>
      </c>
      <c r="W966" s="54">
        <v>0</v>
      </c>
      <c r="X966" s="54">
        <v>0</v>
      </c>
      <c r="Y966" s="54">
        <v>0</v>
      </c>
      <c r="Z966" s="54">
        <v>0</v>
      </c>
      <c r="AA966" s="54">
        <v>0</v>
      </c>
      <c r="AB966" s="54">
        <v>0</v>
      </c>
      <c r="AC966" s="54">
        <v>0</v>
      </c>
      <c r="AD966" s="54">
        <v>0</v>
      </c>
      <c r="AE966" s="54">
        <v>0</v>
      </c>
      <c r="AF966" s="54">
        <v>0</v>
      </c>
      <c r="AG966" s="54">
        <v>0</v>
      </c>
      <c r="AH966" s="54">
        <v>0</v>
      </c>
      <c r="AI966" s="54">
        <v>0</v>
      </c>
      <c r="AJ966" s="54">
        <v>0</v>
      </c>
      <c r="AK966" s="54">
        <v>0</v>
      </c>
      <c r="AL966" s="54">
        <v>0</v>
      </c>
      <c r="AM966" s="54" t="str">
        <f>I966-J966-K966-L966-M966-N966-O966-P966-Q966-R966-S966-T966-U966-V966-W966-X966-Y966-Z966-AA966-AB966-AC966-AD966-AE966-AF966-AG966+AH966-AI966+AJ966+AK966-AL966</f>
        <v>0</v>
      </c>
      <c r="AN966" s="54"/>
      <c r="AO966" s="27"/>
    </row>
    <row r="967" spans="1:41">
      <c r="A967" s="44">
        <v>939</v>
      </c>
      <c r="B967" s="47" t="s">
        <v>3801</v>
      </c>
      <c r="C967" s="48" t="s">
        <v>3802</v>
      </c>
      <c r="D967" s="52" t="s">
        <v>73</v>
      </c>
      <c r="E967" s="52" t="s">
        <v>3731</v>
      </c>
      <c r="F967" s="55" t="s">
        <v>3803</v>
      </c>
      <c r="G967" s="51">
        <v>2</v>
      </c>
      <c r="H967" s="52" t="s">
        <v>3804</v>
      </c>
      <c r="I967" s="54">
        <v>165000</v>
      </c>
      <c r="J967" s="54">
        <v>0</v>
      </c>
      <c r="K967" s="54">
        <v>22000</v>
      </c>
      <c r="L967" s="54">
        <v>0</v>
      </c>
      <c r="M967" s="54">
        <v>0</v>
      </c>
      <c r="N967" s="54">
        <v>0</v>
      </c>
      <c r="O967" s="54">
        <v>0</v>
      </c>
      <c r="P967" s="54">
        <v>0</v>
      </c>
      <c r="Q967" s="54">
        <v>0</v>
      </c>
      <c r="R967" s="54">
        <v>0</v>
      </c>
      <c r="S967" s="54">
        <v>0</v>
      </c>
      <c r="T967" s="54">
        <v>0</v>
      </c>
      <c r="U967" s="54">
        <v>1397</v>
      </c>
      <c r="V967" s="54">
        <v>0</v>
      </c>
      <c r="W967" s="54">
        <v>0</v>
      </c>
      <c r="X967" s="54">
        <v>0</v>
      </c>
      <c r="Y967" s="54">
        <v>0</v>
      </c>
      <c r="Z967" s="54">
        <v>0</v>
      </c>
      <c r="AA967" s="54">
        <v>0</v>
      </c>
      <c r="AB967" s="54">
        <v>0</v>
      </c>
      <c r="AC967" s="54">
        <v>0</v>
      </c>
      <c r="AD967" s="54">
        <v>0</v>
      </c>
      <c r="AE967" s="54">
        <v>0</v>
      </c>
      <c r="AF967" s="54">
        <v>0</v>
      </c>
      <c r="AG967" s="54">
        <v>0</v>
      </c>
      <c r="AH967" s="54">
        <v>0</v>
      </c>
      <c r="AI967" s="54">
        <v>0</v>
      </c>
      <c r="AJ967" s="54">
        <v>0</v>
      </c>
      <c r="AK967" s="54">
        <v>0</v>
      </c>
      <c r="AL967" s="54">
        <v>0</v>
      </c>
      <c r="AM967" s="54" t="str">
        <f>I967-J967-K967-L967-M967-N967-O967-P967-Q967-R967-S967-T967-U967-V967-W967-X967-Y967-Z967-AA967-AB967-AC967-AD967-AE967-AF967-AG967+AH967-AI967+AJ967+AK967-AL967</f>
        <v>0</v>
      </c>
      <c r="AN967" s="54"/>
      <c r="AO967" s="27"/>
    </row>
    <row r="968" spans="1:41">
      <c r="A968" s="44">
        <v>940</v>
      </c>
      <c r="B968" s="47" t="s">
        <v>3805</v>
      </c>
      <c r="C968" s="48" t="s">
        <v>3806</v>
      </c>
      <c r="D968" s="52" t="s">
        <v>73</v>
      </c>
      <c r="E968" s="52" t="s">
        <v>3731</v>
      </c>
      <c r="F968" s="55" t="s">
        <v>3807</v>
      </c>
      <c r="G968" s="51">
        <v>7</v>
      </c>
      <c r="H968" s="52" t="s">
        <v>3808</v>
      </c>
      <c r="I968" s="54">
        <v>1650000</v>
      </c>
      <c r="J968" s="54">
        <v>0</v>
      </c>
      <c r="K968" s="54">
        <v>35000</v>
      </c>
      <c r="L968" s="54">
        <v>0</v>
      </c>
      <c r="M968" s="54">
        <v>0</v>
      </c>
      <c r="N968" s="54">
        <v>0</v>
      </c>
      <c r="O968" s="54">
        <v>0</v>
      </c>
      <c r="P968" s="54">
        <v>0</v>
      </c>
      <c r="Q968" s="54">
        <v>0</v>
      </c>
      <c r="R968" s="54">
        <v>0</v>
      </c>
      <c r="S968" s="54">
        <v>0</v>
      </c>
      <c r="T968" s="54">
        <v>0</v>
      </c>
      <c r="U968" s="54">
        <v>2222</v>
      </c>
      <c r="V968" s="54">
        <v>0</v>
      </c>
      <c r="W968" s="54">
        <v>0</v>
      </c>
      <c r="X968" s="54">
        <v>0</v>
      </c>
      <c r="Y968" s="54">
        <v>0</v>
      </c>
      <c r="Z968" s="54">
        <v>0</v>
      </c>
      <c r="AA968" s="54">
        <v>0</v>
      </c>
      <c r="AB968" s="54">
        <v>0</v>
      </c>
      <c r="AC968" s="54">
        <v>0</v>
      </c>
      <c r="AD968" s="54">
        <v>0</v>
      </c>
      <c r="AE968" s="54">
        <v>0</v>
      </c>
      <c r="AF968" s="54">
        <v>0</v>
      </c>
      <c r="AG968" s="54">
        <v>0</v>
      </c>
      <c r="AH968" s="54">
        <v>0</v>
      </c>
      <c r="AI968" s="54">
        <v>0</v>
      </c>
      <c r="AJ968" s="54">
        <v>0</v>
      </c>
      <c r="AK968" s="54">
        <v>0</v>
      </c>
      <c r="AL968" s="54">
        <v>0</v>
      </c>
      <c r="AM968" s="54" t="str">
        <f>I968-J968-K968-L968-M968-N968-O968-P968-Q968-R968-S968-T968-U968-V968-W968-X968-Y968-Z968-AA968-AB968-AC968-AD968-AE968-AF968-AG968+AH968-AI968+AJ968+AK968-AL968</f>
        <v>0</v>
      </c>
      <c r="AN968" s="54"/>
      <c r="AO968" s="27"/>
    </row>
    <row r="969" spans="1:41">
      <c r="A969" s="44">
        <v>941</v>
      </c>
      <c r="B969" s="47" t="s">
        <v>3809</v>
      </c>
      <c r="C969" s="48" t="s">
        <v>3810</v>
      </c>
      <c r="D969" s="52" t="s">
        <v>73</v>
      </c>
      <c r="E969" s="52" t="s">
        <v>3731</v>
      </c>
      <c r="F969" s="55" t="s">
        <v>3811</v>
      </c>
      <c r="G969" s="51">
        <v>5</v>
      </c>
      <c r="H969" s="52" t="s">
        <v>3812</v>
      </c>
      <c r="I969" s="54">
        <v>1374000</v>
      </c>
      <c r="J969" s="54">
        <v>0</v>
      </c>
      <c r="K969" s="54">
        <v>27000</v>
      </c>
      <c r="L969" s="54">
        <v>0</v>
      </c>
      <c r="M969" s="54">
        <v>0</v>
      </c>
      <c r="N969" s="54">
        <v>0</v>
      </c>
      <c r="O969" s="54">
        <v>0</v>
      </c>
      <c r="P969" s="54">
        <v>0</v>
      </c>
      <c r="Q969" s="54">
        <v>0</v>
      </c>
      <c r="R969" s="54">
        <v>0</v>
      </c>
      <c r="S969" s="54">
        <v>0</v>
      </c>
      <c r="T969" s="54">
        <v>0</v>
      </c>
      <c r="U969" s="54">
        <v>1714</v>
      </c>
      <c r="V969" s="54">
        <v>0</v>
      </c>
      <c r="W969" s="54">
        <v>0</v>
      </c>
      <c r="X969" s="54">
        <v>0</v>
      </c>
      <c r="Y969" s="54">
        <v>0</v>
      </c>
      <c r="Z969" s="54">
        <v>0</v>
      </c>
      <c r="AA969" s="54">
        <v>0</v>
      </c>
      <c r="AB969" s="54">
        <v>0</v>
      </c>
      <c r="AC969" s="54">
        <v>0</v>
      </c>
      <c r="AD969" s="54">
        <v>0</v>
      </c>
      <c r="AE969" s="54">
        <v>0</v>
      </c>
      <c r="AF969" s="54">
        <v>0</v>
      </c>
      <c r="AG969" s="54">
        <v>0</v>
      </c>
      <c r="AH969" s="54">
        <v>0</v>
      </c>
      <c r="AI969" s="54">
        <v>0</v>
      </c>
      <c r="AJ969" s="54">
        <v>0</v>
      </c>
      <c r="AK969" s="54">
        <v>0</v>
      </c>
      <c r="AL969" s="54">
        <v>0</v>
      </c>
      <c r="AM969" s="54" t="str">
        <f>I969-J969-K969-L969-M969-N969-O969-P969-Q969-R969-S969-T969-U969-V969-W969-X969-Y969-Z969-AA969-AB969-AC969-AD969-AE969-AF969-AG969+AH969-AI969+AJ969+AK969-AL969</f>
        <v>0</v>
      </c>
      <c r="AN969" s="54"/>
      <c r="AO969" s="27"/>
    </row>
    <row r="970" spans="1:41">
      <c r="A970" s="44">
        <v>942</v>
      </c>
      <c r="B970" s="47" t="s">
        <v>3813</v>
      </c>
      <c r="C970" s="48" t="s">
        <v>3814</v>
      </c>
      <c r="D970" s="52" t="s">
        <v>73</v>
      </c>
      <c r="E970" s="52" t="s">
        <v>3731</v>
      </c>
      <c r="F970" s="55" t="s">
        <v>3815</v>
      </c>
      <c r="G970" s="51">
        <v>6</v>
      </c>
      <c r="H970" s="52" t="s">
        <v>3816</v>
      </c>
      <c r="I970" s="54">
        <v>1000000</v>
      </c>
      <c r="J970" s="54">
        <v>0</v>
      </c>
      <c r="K970" s="54">
        <v>31000</v>
      </c>
      <c r="L970" s="54">
        <v>0</v>
      </c>
      <c r="M970" s="54">
        <v>0</v>
      </c>
      <c r="N970" s="54">
        <v>0</v>
      </c>
      <c r="O970" s="54">
        <v>0</v>
      </c>
      <c r="P970" s="54">
        <v>0</v>
      </c>
      <c r="Q970" s="54">
        <v>0</v>
      </c>
      <c r="R970" s="54">
        <v>0</v>
      </c>
      <c r="S970" s="54">
        <v>0</v>
      </c>
      <c r="T970" s="54">
        <v>0</v>
      </c>
      <c r="U970" s="54">
        <v>1968</v>
      </c>
      <c r="V970" s="54">
        <v>0</v>
      </c>
      <c r="W970" s="54">
        <v>0</v>
      </c>
      <c r="X970" s="54">
        <v>0</v>
      </c>
      <c r="Y970" s="54">
        <v>0</v>
      </c>
      <c r="Z970" s="54">
        <v>0</v>
      </c>
      <c r="AA970" s="54">
        <v>0</v>
      </c>
      <c r="AB970" s="54">
        <v>0</v>
      </c>
      <c r="AC970" s="54">
        <v>0</v>
      </c>
      <c r="AD970" s="54">
        <v>0</v>
      </c>
      <c r="AE970" s="54">
        <v>0</v>
      </c>
      <c r="AF970" s="54">
        <v>0</v>
      </c>
      <c r="AG970" s="54">
        <v>0</v>
      </c>
      <c r="AH970" s="54">
        <v>0</v>
      </c>
      <c r="AI970" s="54">
        <v>0</v>
      </c>
      <c r="AJ970" s="54">
        <v>0</v>
      </c>
      <c r="AK970" s="54">
        <v>0</v>
      </c>
      <c r="AL970" s="54">
        <v>0</v>
      </c>
      <c r="AM970" s="54" t="str">
        <f>I970-J970-K970-L970-M970-N970-O970-P970-Q970-R970-S970-T970-U970-V970-W970-X970-Y970-Z970-AA970-AB970-AC970-AD970-AE970-AF970-AG970+AH970-AI970+AJ970+AK970-AL970</f>
        <v>0</v>
      </c>
      <c r="AN970" s="54"/>
      <c r="AO970" s="27"/>
    </row>
    <row r="971" spans="1:41">
      <c r="A971" s="44">
        <v>943</v>
      </c>
      <c r="B971" s="47" t="s">
        <v>3817</v>
      </c>
      <c r="C971" s="48" t="s">
        <v>3818</v>
      </c>
      <c r="D971" s="52" t="s">
        <v>73</v>
      </c>
      <c r="E971" s="52" t="s">
        <v>3731</v>
      </c>
      <c r="F971" s="55" t="s">
        <v>3819</v>
      </c>
      <c r="G971" s="51">
        <v>3</v>
      </c>
      <c r="H971" s="52" t="s">
        <v>3820</v>
      </c>
      <c r="I971" s="54">
        <v>630000</v>
      </c>
      <c r="J971" s="54">
        <v>0</v>
      </c>
      <c r="K971" s="54">
        <v>22000</v>
      </c>
      <c r="L971" s="54">
        <v>0</v>
      </c>
      <c r="M971" s="54">
        <v>0</v>
      </c>
      <c r="N971" s="54">
        <v>0</v>
      </c>
      <c r="O971" s="54">
        <v>0</v>
      </c>
      <c r="P971" s="54">
        <v>0</v>
      </c>
      <c r="Q971" s="54">
        <v>0</v>
      </c>
      <c r="R971" s="54">
        <v>0</v>
      </c>
      <c r="S971" s="54">
        <v>0</v>
      </c>
      <c r="T971" s="54">
        <v>0</v>
      </c>
      <c r="U971" s="54">
        <v>1397</v>
      </c>
      <c r="V971" s="54">
        <v>0</v>
      </c>
      <c r="W971" s="54">
        <v>0</v>
      </c>
      <c r="X971" s="54">
        <v>0</v>
      </c>
      <c r="Y971" s="54">
        <v>0</v>
      </c>
      <c r="Z971" s="54">
        <v>0</v>
      </c>
      <c r="AA971" s="54">
        <v>0</v>
      </c>
      <c r="AB971" s="54">
        <v>0</v>
      </c>
      <c r="AC971" s="54">
        <v>0</v>
      </c>
      <c r="AD971" s="54">
        <v>0</v>
      </c>
      <c r="AE971" s="54">
        <v>0</v>
      </c>
      <c r="AF971" s="54">
        <v>0</v>
      </c>
      <c r="AG971" s="54">
        <v>0</v>
      </c>
      <c r="AH971" s="54">
        <v>0</v>
      </c>
      <c r="AI971" s="54">
        <v>0</v>
      </c>
      <c r="AJ971" s="54">
        <v>0</v>
      </c>
      <c r="AK971" s="54">
        <v>0</v>
      </c>
      <c r="AL971" s="54">
        <v>0</v>
      </c>
      <c r="AM971" s="54" t="str">
        <f>I971-J971-K971-L971-M971-N971-O971-P971-Q971-R971-S971-T971-U971-V971-W971-X971-Y971-Z971-AA971-AB971-AC971-AD971-AE971-AF971-AG971+AH971-AI971+AJ971+AK971-AL971</f>
        <v>0</v>
      </c>
      <c r="AN971" s="54"/>
      <c r="AO971" s="27"/>
    </row>
    <row r="972" spans="1:41">
      <c r="A972" s="44">
        <v>944</v>
      </c>
      <c r="B972" s="47" t="s">
        <v>3821</v>
      </c>
      <c r="C972" s="48" t="s">
        <v>3822</v>
      </c>
      <c r="D972" s="52" t="s">
        <v>73</v>
      </c>
      <c r="E972" s="52" t="s">
        <v>3731</v>
      </c>
      <c r="F972" s="55" t="s">
        <v>2182</v>
      </c>
      <c r="G972" s="51">
        <v>3</v>
      </c>
      <c r="H972" s="52" t="s">
        <v>3823</v>
      </c>
      <c r="I972" s="54">
        <v>910000</v>
      </c>
      <c r="J972" s="54">
        <v>0</v>
      </c>
      <c r="K972" s="54">
        <v>22000</v>
      </c>
      <c r="L972" s="54">
        <v>0</v>
      </c>
      <c r="M972" s="54">
        <v>0</v>
      </c>
      <c r="N972" s="54">
        <v>0</v>
      </c>
      <c r="O972" s="54">
        <v>0</v>
      </c>
      <c r="P972" s="54">
        <v>0</v>
      </c>
      <c r="Q972" s="54">
        <v>0</v>
      </c>
      <c r="R972" s="54">
        <v>0</v>
      </c>
      <c r="S972" s="54">
        <v>0</v>
      </c>
      <c r="T972" s="54">
        <v>0</v>
      </c>
      <c r="U972" s="54">
        <v>1397</v>
      </c>
      <c r="V972" s="54">
        <v>0</v>
      </c>
      <c r="W972" s="54">
        <v>0</v>
      </c>
      <c r="X972" s="54">
        <v>0</v>
      </c>
      <c r="Y972" s="54">
        <v>0</v>
      </c>
      <c r="Z972" s="54">
        <v>0</v>
      </c>
      <c r="AA972" s="54">
        <v>0</v>
      </c>
      <c r="AB972" s="54">
        <v>0</v>
      </c>
      <c r="AC972" s="54">
        <v>0</v>
      </c>
      <c r="AD972" s="54">
        <v>0</v>
      </c>
      <c r="AE972" s="54">
        <v>0</v>
      </c>
      <c r="AF972" s="54">
        <v>0</v>
      </c>
      <c r="AG972" s="54">
        <v>0</v>
      </c>
      <c r="AH972" s="54">
        <v>0</v>
      </c>
      <c r="AI972" s="54">
        <v>0</v>
      </c>
      <c r="AJ972" s="54">
        <v>0</v>
      </c>
      <c r="AK972" s="54">
        <v>0</v>
      </c>
      <c r="AL972" s="54">
        <v>0</v>
      </c>
      <c r="AM972" s="54" t="str">
        <f>I972-J972-K972-L972-M972-N972-O972-P972-Q972-R972-S972-T972-U972-V972-W972-X972-Y972-Z972-AA972-AB972-AC972-AD972-AE972-AF972-AG972+AH972-AI972+AJ972+AK972-AL972</f>
        <v>0</v>
      </c>
      <c r="AN972" s="54"/>
      <c r="AO972" s="27"/>
    </row>
    <row r="973" spans="1:41">
      <c r="A973" s="44">
        <v>945</v>
      </c>
      <c r="B973" s="47" t="s">
        <v>3824</v>
      </c>
      <c r="C973" s="48" t="s">
        <v>3825</v>
      </c>
      <c r="D973" s="52" t="s">
        <v>73</v>
      </c>
      <c r="E973" s="52" t="s">
        <v>3731</v>
      </c>
      <c r="F973" s="55" t="s">
        <v>3815</v>
      </c>
      <c r="G973" s="51">
        <v>6</v>
      </c>
      <c r="H973" s="52" t="s">
        <v>3826</v>
      </c>
      <c r="I973" s="54">
        <v>783000</v>
      </c>
      <c r="J973" s="54">
        <v>0</v>
      </c>
      <c r="K973" s="54">
        <v>31000</v>
      </c>
      <c r="L973" s="54">
        <v>0</v>
      </c>
      <c r="M973" s="54">
        <v>0</v>
      </c>
      <c r="N973" s="54">
        <v>0</v>
      </c>
      <c r="O973" s="54">
        <v>0</v>
      </c>
      <c r="P973" s="54">
        <v>0</v>
      </c>
      <c r="Q973" s="54">
        <v>0</v>
      </c>
      <c r="R973" s="54">
        <v>0</v>
      </c>
      <c r="S973" s="54">
        <v>0</v>
      </c>
      <c r="T973" s="54">
        <v>0</v>
      </c>
      <c r="U973" s="54">
        <v>1968</v>
      </c>
      <c r="V973" s="54">
        <v>0</v>
      </c>
      <c r="W973" s="54">
        <v>0</v>
      </c>
      <c r="X973" s="54">
        <v>0</v>
      </c>
      <c r="Y973" s="54">
        <v>0</v>
      </c>
      <c r="Z973" s="54">
        <v>0</v>
      </c>
      <c r="AA973" s="54">
        <v>0</v>
      </c>
      <c r="AB973" s="54">
        <v>0</v>
      </c>
      <c r="AC973" s="54">
        <v>0</v>
      </c>
      <c r="AD973" s="54">
        <v>0</v>
      </c>
      <c r="AE973" s="54">
        <v>0</v>
      </c>
      <c r="AF973" s="54">
        <v>0</v>
      </c>
      <c r="AG973" s="54">
        <v>0</v>
      </c>
      <c r="AH973" s="54">
        <v>0</v>
      </c>
      <c r="AI973" s="54">
        <v>0</v>
      </c>
      <c r="AJ973" s="54">
        <v>0</v>
      </c>
      <c r="AK973" s="54">
        <v>0</v>
      </c>
      <c r="AL973" s="54">
        <v>0</v>
      </c>
      <c r="AM973" s="54" t="str">
        <f>I973-J973-K973-L973-M973-N973-O973-P973-Q973-R973-S973-T973-U973-V973-W973-X973-Y973-Z973-AA973-AB973-AC973-AD973-AE973-AF973-AG973+AH973-AI973+AJ973+AK973-AL973</f>
        <v>0</v>
      </c>
      <c r="AN973" s="54"/>
      <c r="AO973" s="27"/>
    </row>
    <row r="974" spans="1:41">
      <c r="A974" s="44">
        <v>946</v>
      </c>
      <c r="B974" s="47" t="s">
        <v>3827</v>
      </c>
      <c r="C974" s="48" t="s">
        <v>3828</v>
      </c>
      <c r="D974" s="52" t="s">
        <v>73</v>
      </c>
      <c r="E974" s="52" t="s">
        <v>3731</v>
      </c>
      <c r="F974" s="55" t="s">
        <v>3829</v>
      </c>
      <c r="G974" s="51">
        <v>5</v>
      </c>
      <c r="H974" s="52" t="s">
        <v>3830</v>
      </c>
      <c r="I974" s="54">
        <v>1140000</v>
      </c>
      <c r="J974" s="54">
        <v>0</v>
      </c>
      <c r="K974" s="54">
        <v>27000</v>
      </c>
      <c r="L974" s="54">
        <v>0</v>
      </c>
      <c r="M974" s="54">
        <v>0</v>
      </c>
      <c r="N974" s="54">
        <v>0</v>
      </c>
      <c r="O974" s="54">
        <v>0</v>
      </c>
      <c r="P974" s="54">
        <v>0</v>
      </c>
      <c r="Q974" s="54">
        <v>0</v>
      </c>
      <c r="R974" s="54">
        <v>0</v>
      </c>
      <c r="S974" s="54">
        <v>0</v>
      </c>
      <c r="T974" s="54">
        <v>0</v>
      </c>
      <c r="U974" s="54">
        <v>1714</v>
      </c>
      <c r="V974" s="54">
        <v>0</v>
      </c>
      <c r="W974" s="54">
        <v>0</v>
      </c>
      <c r="X974" s="54">
        <v>0</v>
      </c>
      <c r="Y974" s="54">
        <v>0</v>
      </c>
      <c r="Z974" s="54">
        <v>0</v>
      </c>
      <c r="AA974" s="54">
        <v>0</v>
      </c>
      <c r="AB974" s="54">
        <v>0</v>
      </c>
      <c r="AC974" s="54">
        <v>0</v>
      </c>
      <c r="AD974" s="54">
        <v>0</v>
      </c>
      <c r="AE974" s="54">
        <v>0</v>
      </c>
      <c r="AF974" s="54">
        <v>0</v>
      </c>
      <c r="AG974" s="54">
        <v>0</v>
      </c>
      <c r="AH974" s="54">
        <v>0</v>
      </c>
      <c r="AI974" s="54">
        <v>0</v>
      </c>
      <c r="AJ974" s="54">
        <v>0</v>
      </c>
      <c r="AK974" s="54">
        <v>0</v>
      </c>
      <c r="AL974" s="54">
        <v>0</v>
      </c>
      <c r="AM974" s="54" t="str">
        <f>I974-J974-K974-L974-M974-N974-O974-P974-Q974-R974-S974-T974-U974-V974-W974-X974-Y974-Z974-AA974-AB974-AC974-AD974-AE974-AF974-AG974+AH974-AI974+AJ974+AK974-AL974</f>
        <v>0</v>
      </c>
      <c r="AN974" s="54"/>
      <c r="AO974" s="27"/>
    </row>
    <row r="975" spans="1:41">
      <c r="A975" s="44">
        <v>947</v>
      </c>
      <c r="B975" s="47" t="s">
        <v>3831</v>
      </c>
      <c r="C975" s="48" t="s">
        <v>3832</v>
      </c>
      <c r="D975" s="52" t="s">
        <v>73</v>
      </c>
      <c r="E975" s="52" t="s">
        <v>3731</v>
      </c>
      <c r="F975" s="55" t="s">
        <v>638</v>
      </c>
      <c r="G975" s="51">
        <v>3</v>
      </c>
      <c r="H975" s="52" t="s">
        <v>3833</v>
      </c>
      <c r="I975" s="54">
        <v>354000</v>
      </c>
      <c r="J975" s="54">
        <v>0</v>
      </c>
      <c r="K975" s="54">
        <v>22000</v>
      </c>
      <c r="L975" s="54">
        <v>0</v>
      </c>
      <c r="M975" s="54">
        <v>0</v>
      </c>
      <c r="N975" s="54">
        <v>0</v>
      </c>
      <c r="O975" s="54">
        <v>0</v>
      </c>
      <c r="P975" s="54">
        <v>0</v>
      </c>
      <c r="Q975" s="54">
        <v>0</v>
      </c>
      <c r="R975" s="54">
        <v>0</v>
      </c>
      <c r="S975" s="54">
        <v>0</v>
      </c>
      <c r="T975" s="54">
        <v>0</v>
      </c>
      <c r="U975" s="54">
        <v>1397</v>
      </c>
      <c r="V975" s="54">
        <v>0</v>
      </c>
      <c r="W975" s="54">
        <v>0</v>
      </c>
      <c r="X975" s="54">
        <v>0</v>
      </c>
      <c r="Y975" s="54">
        <v>0</v>
      </c>
      <c r="Z975" s="54">
        <v>0</v>
      </c>
      <c r="AA975" s="54">
        <v>0</v>
      </c>
      <c r="AB975" s="54">
        <v>0</v>
      </c>
      <c r="AC975" s="54">
        <v>0</v>
      </c>
      <c r="AD975" s="54">
        <v>0</v>
      </c>
      <c r="AE975" s="54">
        <v>0</v>
      </c>
      <c r="AF975" s="54">
        <v>0</v>
      </c>
      <c r="AG975" s="54">
        <v>0</v>
      </c>
      <c r="AH975" s="54">
        <v>0</v>
      </c>
      <c r="AI975" s="54">
        <v>0</v>
      </c>
      <c r="AJ975" s="54">
        <v>0</v>
      </c>
      <c r="AK975" s="54">
        <v>0</v>
      </c>
      <c r="AL975" s="54">
        <v>0</v>
      </c>
      <c r="AM975" s="54" t="str">
        <f>I975-J975-K975-L975-M975-N975-O975-P975-Q975-R975-S975-T975-U975-V975-W975-X975-Y975-Z975-AA975-AB975-AC975-AD975-AE975-AF975-AG975+AH975-AI975+AJ975+AK975-AL975</f>
        <v>0</v>
      </c>
      <c r="AN975" s="54"/>
      <c r="AO975" s="27"/>
    </row>
    <row r="976" spans="1:41">
      <c r="A976" s="44">
        <v>948</v>
      </c>
      <c r="B976" s="47" t="s">
        <v>3834</v>
      </c>
      <c r="C976" s="48" t="s">
        <v>3835</v>
      </c>
      <c r="D976" s="52" t="s">
        <v>73</v>
      </c>
      <c r="E976" s="52" t="s">
        <v>3731</v>
      </c>
      <c r="F976" s="55" t="s">
        <v>3836</v>
      </c>
      <c r="G976" s="51">
        <v>2</v>
      </c>
      <c r="H976" s="52" t="s">
        <v>3837</v>
      </c>
      <c r="I976" s="54">
        <v>285000</v>
      </c>
      <c r="J976" s="54">
        <v>0</v>
      </c>
      <c r="K976" s="54">
        <v>22000</v>
      </c>
      <c r="L976" s="54">
        <v>0</v>
      </c>
      <c r="M976" s="54">
        <v>0</v>
      </c>
      <c r="N976" s="54">
        <v>0</v>
      </c>
      <c r="O976" s="54">
        <v>0</v>
      </c>
      <c r="P976" s="54">
        <v>0</v>
      </c>
      <c r="Q976" s="54">
        <v>0</v>
      </c>
      <c r="R976" s="54">
        <v>0</v>
      </c>
      <c r="S976" s="54">
        <v>0</v>
      </c>
      <c r="T976" s="54">
        <v>0</v>
      </c>
      <c r="U976" s="54">
        <v>1397</v>
      </c>
      <c r="V976" s="54">
        <v>0</v>
      </c>
      <c r="W976" s="54">
        <v>0</v>
      </c>
      <c r="X976" s="54">
        <v>0</v>
      </c>
      <c r="Y976" s="54">
        <v>0</v>
      </c>
      <c r="Z976" s="54">
        <v>0</v>
      </c>
      <c r="AA976" s="54">
        <v>0</v>
      </c>
      <c r="AB976" s="54">
        <v>0</v>
      </c>
      <c r="AC976" s="54">
        <v>0</v>
      </c>
      <c r="AD976" s="54">
        <v>0</v>
      </c>
      <c r="AE976" s="54">
        <v>0</v>
      </c>
      <c r="AF976" s="54">
        <v>0</v>
      </c>
      <c r="AG976" s="54">
        <v>0</v>
      </c>
      <c r="AH976" s="54">
        <v>0</v>
      </c>
      <c r="AI976" s="54">
        <v>0</v>
      </c>
      <c r="AJ976" s="54">
        <v>0</v>
      </c>
      <c r="AK976" s="54">
        <v>0</v>
      </c>
      <c r="AL976" s="54">
        <v>0</v>
      </c>
      <c r="AM976" s="54" t="str">
        <f>I976-J976-K976-L976-M976-N976-O976-P976-Q976-R976-S976-T976-U976-V976-W976-X976-Y976-Z976-AA976-AB976-AC976-AD976-AE976-AF976-AG976+AH976-AI976+AJ976+AK976-AL976</f>
        <v>0</v>
      </c>
      <c r="AN976" s="54"/>
      <c r="AO976" s="27"/>
    </row>
    <row r="977" spans="1:41">
      <c r="A977" s="44">
        <v>949</v>
      </c>
      <c r="B977" s="47" t="s">
        <v>3838</v>
      </c>
      <c r="C977" s="48" t="s">
        <v>3839</v>
      </c>
      <c r="D977" s="52" t="s">
        <v>73</v>
      </c>
      <c r="E977" s="52" t="s">
        <v>3731</v>
      </c>
      <c r="F977" s="55" t="s">
        <v>3840</v>
      </c>
      <c r="G977" s="51">
        <v>2</v>
      </c>
      <c r="H977" s="52" t="s">
        <v>3841</v>
      </c>
      <c r="I977" s="54">
        <v>310000</v>
      </c>
      <c r="J977" s="54">
        <v>0</v>
      </c>
      <c r="K977" s="54">
        <v>22000</v>
      </c>
      <c r="L977" s="54">
        <v>0</v>
      </c>
      <c r="M977" s="54">
        <v>0</v>
      </c>
      <c r="N977" s="54">
        <v>0</v>
      </c>
      <c r="O977" s="54">
        <v>0</v>
      </c>
      <c r="P977" s="54">
        <v>0</v>
      </c>
      <c r="Q977" s="54">
        <v>0</v>
      </c>
      <c r="R977" s="54">
        <v>0</v>
      </c>
      <c r="S977" s="54">
        <v>0</v>
      </c>
      <c r="T977" s="54">
        <v>0</v>
      </c>
      <c r="U977" s="54">
        <v>1397</v>
      </c>
      <c r="V977" s="54">
        <v>0</v>
      </c>
      <c r="W977" s="54">
        <v>0</v>
      </c>
      <c r="X977" s="54">
        <v>0</v>
      </c>
      <c r="Y977" s="54">
        <v>0</v>
      </c>
      <c r="Z977" s="54">
        <v>0</v>
      </c>
      <c r="AA977" s="54">
        <v>0</v>
      </c>
      <c r="AB977" s="54">
        <v>0</v>
      </c>
      <c r="AC977" s="54">
        <v>0</v>
      </c>
      <c r="AD977" s="54">
        <v>0</v>
      </c>
      <c r="AE977" s="54">
        <v>0</v>
      </c>
      <c r="AF977" s="54">
        <v>0</v>
      </c>
      <c r="AG977" s="54">
        <v>0</v>
      </c>
      <c r="AH977" s="54">
        <v>0</v>
      </c>
      <c r="AI977" s="54">
        <v>0</v>
      </c>
      <c r="AJ977" s="54">
        <v>0</v>
      </c>
      <c r="AK977" s="54">
        <v>0</v>
      </c>
      <c r="AL977" s="54">
        <v>0</v>
      </c>
      <c r="AM977" s="54" t="str">
        <f>I977-J977-K977-L977-M977-N977-O977-P977-Q977-R977-S977-T977-U977-V977-W977-X977-Y977-Z977-AA977-AB977-AC977-AD977-AE977-AF977-AG977+AH977-AI977+AJ977+AK977-AL977</f>
        <v>0</v>
      </c>
      <c r="AN977" s="54"/>
      <c r="AO977" s="27"/>
    </row>
    <row r="978" spans="1:41">
      <c r="A978" s="44">
        <v>950</v>
      </c>
      <c r="B978" s="47" t="s">
        <v>3842</v>
      </c>
      <c r="C978" s="48" t="s">
        <v>3843</v>
      </c>
      <c r="D978" s="52" t="s">
        <v>73</v>
      </c>
      <c r="E978" s="52" t="s">
        <v>3731</v>
      </c>
      <c r="F978" s="55" t="s">
        <v>3844</v>
      </c>
      <c r="G978" s="51">
        <v>3</v>
      </c>
      <c r="H978" s="52" t="s">
        <v>3845</v>
      </c>
      <c r="I978" s="54">
        <v>935000</v>
      </c>
      <c r="J978" s="54">
        <v>0</v>
      </c>
      <c r="K978" s="54">
        <v>22000</v>
      </c>
      <c r="L978" s="54">
        <v>0</v>
      </c>
      <c r="M978" s="54">
        <v>0</v>
      </c>
      <c r="N978" s="54">
        <v>0</v>
      </c>
      <c r="O978" s="54">
        <v>0</v>
      </c>
      <c r="P978" s="54">
        <v>0</v>
      </c>
      <c r="Q978" s="54">
        <v>0</v>
      </c>
      <c r="R978" s="54">
        <v>0</v>
      </c>
      <c r="S978" s="54">
        <v>0</v>
      </c>
      <c r="T978" s="54">
        <v>0</v>
      </c>
      <c r="U978" s="54">
        <v>1397</v>
      </c>
      <c r="V978" s="54">
        <v>0</v>
      </c>
      <c r="W978" s="54">
        <v>0</v>
      </c>
      <c r="X978" s="54">
        <v>0</v>
      </c>
      <c r="Y978" s="54">
        <v>0</v>
      </c>
      <c r="Z978" s="54">
        <v>0</v>
      </c>
      <c r="AA978" s="54">
        <v>0</v>
      </c>
      <c r="AB978" s="54">
        <v>0</v>
      </c>
      <c r="AC978" s="54">
        <v>0</v>
      </c>
      <c r="AD978" s="54">
        <v>0</v>
      </c>
      <c r="AE978" s="54">
        <v>0</v>
      </c>
      <c r="AF978" s="54">
        <v>0</v>
      </c>
      <c r="AG978" s="54">
        <v>0</v>
      </c>
      <c r="AH978" s="54">
        <v>0</v>
      </c>
      <c r="AI978" s="54">
        <v>0</v>
      </c>
      <c r="AJ978" s="54">
        <v>0</v>
      </c>
      <c r="AK978" s="54">
        <v>0</v>
      </c>
      <c r="AL978" s="54">
        <v>0</v>
      </c>
      <c r="AM978" s="54" t="str">
        <f>I978-J978-K978-L978-M978-N978-O978-P978-Q978-R978-S978-T978-U978-V978-W978-X978-Y978-Z978-AA978-AB978-AC978-AD978-AE978-AF978-AG978+AH978-AI978+AJ978+AK978-AL978</f>
        <v>0</v>
      </c>
      <c r="AN978" s="54"/>
      <c r="AO978" s="27"/>
    </row>
    <row r="979" spans="1:41">
      <c r="A979" s="44">
        <v>951</v>
      </c>
      <c r="B979" s="47" t="s">
        <v>3846</v>
      </c>
      <c r="C979" s="48" t="s">
        <v>3847</v>
      </c>
      <c r="D979" s="52" t="s">
        <v>73</v>
      </c>
      <c r="E979" s="52" t="s">
        <v>3731</v>
      </c>
      <c r="F979" s="55" t="s">
        <v>2517</v>
      </c>
      <c r="G979" s="51">
        <v>2</v>
      </c>
      <c r="H979" s="52" t="s">
        <v>3848</v>
      </c>
      <c r="I979" s="54">
        <v>590000</v>
      </c>
      <c r="J979" s="54">
        <v>0</v>
      </c>
      <c r="K979" s="54">
        <v>22000</v>
      </c>
      <c r="L979" s="54">
        <v>0</v>
      </c>
      <c r="M979" s="54">
        <v>0</v>
      </c>
      <c r="N979" s="54">
        <v>0</v>
      </c>
      <c r="O979" s="54">
        <v>0</v>
      </c>
      <c r="P979" s="54">
        <v>0</v>
      </c>
      <c r="Q979" s="54">
        <v>0</v>
      </c>
      <c r="R979" s="54">
        <v>0</v>
      </c>
      <c r="S979" s="54">
        <v>0</v>
      </c>
      <c r="T979" s="54">
        <v>0</v>
      </c>
      <c r="U979" s="54">
        <v>1397</v>
      </c>
      <c r="V979" s="54">
        <v>0</v>
      </c>
      <c r="W979" s="54">
        <v>0</v>
      </c>
      <c r="X979" s="54">
        <v>0</v>
      </c>
      <c r="Y979" s="54">
        <v>0</v>
      </c>
      <c r="Z979" s="54">
        <v>0</v>
      </c>
      <c r="AA979" s="54">
        <v>0</v>
      </c>
      <c r="AB979" s="54">
        <v>0</v>
      </c>
      <c r="AC979" s="54">
        <v>0</v>
      </c>
      <c r="AD979" s="54">
        <v>0</v>
      </c>
      <c r="AE979" s="54">
        <v>0</v>
      </c>
      <c r="AF979" s="54">
        <v>0</v>
      </c>
      <c r="AG979" s="54">
        <v>0</v>
      </c>
      <c r="AH979" s="54">
        <v>0</v>
      </c>
      <c r="AI979" s="54">
        <v>0</v>
      </c>
      <c r="AJ979" s="54">
        <v>0</v>
      </c>
      <c r="AK979" s="54">
        <v>0</v>
      </c>
      <c r="AL979" s="54">
        <v>0</v>
      </c>
      <c r="AM979" s="54" t="str">
        <f>I979-J979-K979-L979-M979-N979-O979-P979-Q979-R979-S979-T979-U979-V979-W979-X979-Y979-Z979-AA979-AB979-AC979-AD979-AE979-AF979-AG979+AH979-AI979+AJ979+AK979-AL979</f>
        <v>0</v>
      </c>
      <c r="AN979" s="54"/>
      <c r="AO979" s="27"/>
    </row>
    <row r="980" spans="1:41">
      <c r="A980" s="44">
        <v>952</v>
      </c>
      <c r="B980" s="47" t="s">
        <v>3849</v>
      </c>
      <c r="C980" s="48" t="s">
        <v>3850</v>
      </c>
      <c r="D980" s="52" t="s">
        <v>73</v>
      </c>
      <c r="E980" s="52" t="s">
        <v>3731</v>
      </c>
      <c r="F980" s="55" t="s">
        <v>3713</v>
      </c>
      <c r="G980" s="51">
        <v>3</v>
      </c>
      <c r="H980" s="52" t="s">
        <v>3851</v>
      </c>
      <c r="I980" s="54">
        <v>720000</v>
      </c>
      <c r="J980" s="54">
        <v>0</v>
      </c>
      <c r="K980" s="54">
        <v>22000</v>
      </c>
      <c r="L980" s="54">
        <v>0</v>
      </c>
      <c r="M980" s="54">
        <v>0</v>
      </c>
      <c r="N980" s="54">
        <v>0</v>
      </c>
      <c r="O980" s="54">
        <v>0</v>
      </c>
      <c r="P980" s="54">
        <v>0</v>
      </c>
      <c r="Q980" s="54">
        <v>0</v>
      </c>
      <c r="R980" s="54">
        <v>0</v>
      </c>
      <c r="S980" s="54">
        <v>0</v>
      </c>
      <c r="T980" s="54">
        <v>0</v>
      </c>
      <c r="U980" s="54">
        <v>1397</v>
      </c>
      <c r="V980" s="54">
        <v>0</v>
      </c>
      <c r="W980" s="54">
        <v>0</v>
      </c>
      <c r="X980" s="54">
        <v>0</v>
      </c>
      <c r="Y980" s="54">
        <v>0</v>
      </c>
      <c r="Z980" s="54">
        <v>0</v>
      </c>
      <c r="AA980" s="54">
        <v>0</v>
      </c>
      <c r="AB980" s="54">
        <v>0</v>
      </c>
      <c r="AC980" s="54">
        <v>0</v>
      </c>
      <c r="AD980" s="54">
        <v>0</v>
      </c>
      <c r="AE980" s="54">
        <v>0</v>
      </c>
      <c r="AF980" s="54">
        <v>0</v>
      </c>
      <c r="AG980" s="54">
        <v>0</v>
      </c>
      <c r="AH980" s="54">
        <v>0</v>
      </c>
      <c r="AI980" s="54">
        <v>0</v>
      </c>
      <c r="AJ980" s="54">
        <v>0</v>
      </c>
      <c r="AK980" s="54">
        <v>0</v>
      </c>
      <c r="AL980" s="54">
        <v>0</v>
      </c>
      <c r="AM980" s="54" t="str">
        <f>I980-J980-K980-L980-M980-N980-O980-P980-Q980-R980-S980-T980-U980-V980-W980-X980-Y980-Z980-AA980-AB980-AC980-AD980-AE980-AF980-AG980+AH980-AI980+AJ980+AK980-AL980</f>
        <v>0</v>
      </c>
      <c r="AN980" s="54"/>
      <c r="AO980" s="27"/>
    </row>
    <row r="981" spans="1:41">
      <c r="A981" s="44">
        <v>953</v>
      </c>
      <c r="B981" s="47" t="s">
        <v>3852</v>
      </c>
      <c r="C981" s="48" t="s">
        <v>3853</v>
      </c>
      <c r="D981" s="52" t="s">
        <v>73</v>
      </c>
      <c r="E981" s="52" t="s">
        <v>3731</v>
      </c>
      <c r="F981" s="55" t="s">
        <v>3854</v>
      </c>
      <c r="G981" s="51">
        <v>2</v>
      </c>
      <c r="H981" s="52" t="s">
        <v>3855</v>
      </c>
      <c r="I981" s="54">
        <v>454000</v>
      </c>
      <c r="J981" s="54">
        <v>0</v>
      </c>
      <c r="K981" s="54">
        <v>22000</v>
      </c>
      <c r="L981" s="54">
        <v>0</v>
      </c>
      <c r="M981" s="54">
        <v>0</v>
      </c>
      <c r="N981" s="54">
        <v>0</v>
      </c>
      <c r="O981" s="54">
        <v>0</v>
      </c>
      <c r="P981" s="54">
        <v>0</v>
      </c>
      <c r="Q981" s="54">
        <v>0</v>
      </c>
      <c r="R981" s="54">
        <v>0</v>
      </c>
      <c r="S981" s="54">
        <v>0</v>
      </c>
      <c r="T981" s="54">
        <v>0</v>
      </c>
      <c r="U981" s="54">
        <v>1397</v>
      </c>
      <c r="V981" s="54">
        <v>0</v>
      </c>
      <c r="W981" s="54">
        <v>0</v>
      </c>
      <c r="X981" s="54">
        <v>0</v>
      </c>
      <c r="Y981" s="54">
        <v>0</v>
      </c>
      <c r="Z981" s="54">
        <v>0</v>
      </c>
      <c r="AA981" s="54">
        <v>0</v>
      </c>
      <c r="AB981" s="54">
        <v>0</v>
      </c>
      <c r="AC981" s="54">
        <v>0</v>
      </c>
      <c r="AD981" s="54">
        <v>0</v>
      </c>
      <c r="AE981" s="54">
        <v>0</v>
      </c>
      <c r="AF981" s="54">
        <v>0</v>
      </c>
      <c r="AG981" s="54">
        <v>0</v>
      </c>
      <c r="AH981" s="54">
        <v>0</v>
      </c>
      <c r="AI981" s="54">
        <v>0</v>
      </c>
      <c r="AJ981" s="54">
        <v>0</v>
      </c>
      <c r="AK981" s="54">
        <v>0</v>
      </c>
      <c r="AL981" s="54">
        <v>0</v>
      </c>
      <c r="AM981" s="54" t="str">
        <f>I981-J981-K981-L981-M981-N981-O981-P981-Q981-R981-S981-T981-U981-V981-W981-X981-Y981-Z981-AA981-AB981-AC981-AD981-AE981-AF981-AG981+AH981-AI981+AJ981+AK981-AL981</f>
        <v>0</v>
      </c>
      <c r="AN981" s="54"/>
      <c r="AO981" s="27"/>
    </row>
    <row r="982" spans="1:41">
      <c r="A982" s="44">
        <v>954</v>
      </c>
      <c r="B982" s="47" t="s">
        <v>3856</v>
      </c>
      <c r="C982" s="48" t="s">
        <v>3857</v>
      </c>
      <c r="D982" s="52" t="s">
        <v>73</v>
      </c>
      <c r="E982" s="52" t="s">
        <v>3731</v>
      </c>
      <c r="F982" s="55" t="s">
        <v>3858</v>
      </c>
      <c r="G982" s="51">
        <v>12</v>
      </c>
      <c r="H982" s="52" t="s">
        <v>3859</v>
      </c>
      <c r="I982" s="54">
        <v>2198000</v>
      </c>
      <c r="J982" s="54">
        <v>0</v>
      </c>
      <c r="K982" s="54">
        <v>48000</v>
      </c>
      <c r="L982" s="54">
        <v>0</v>
      </c>
      <c r="M982" s="54">
        <v>0</v>
      </c>
      <c r="N982" s="54">
        <v>0</v>
      </c>
      <c r="O982" s="54">
        <v>0</v>
      </c>
      <c r="P982" s="54">
        <v>0</v>
      </c>
      <c r="Q982" s="54">
        <v>0</v>
      </c>
      <c r="R982" s="54">
        <v>0</v>
      </c>
      <c r="S982" s="54">
        <v>0</v>
      </c>
      <c r="T982" s="54">
        <v>0</v>
      </c>
      <c r="U982" s="54">
        <v>3048</v>
      </c>
      <c r="V982" s="54">
        <v>0</v>
      </c>
      <c r="W982" s="54">
        <v>0</v>
      </c>
      <c r="X982" s="54">
        <v>0</v>
      </c>
      <c r="Y982" s="54">
        <v>0</v>
      </c>
      <c r="Z982" s="54">
        <v>0</v>
      </c>
      <c r="AA982" s="54">
        <v>0</v>
      </c>
      <c r="AB982" s="54">
        <v>0</v>
      </c>
      <c r="AC982" s="54">
        <v>0</v>
      </c>
      <c r="AD982" s="54">
        <v>0</v>
      </c>
      <c r="AE982" s="54">
        <v>0</v>
      </c>
      <c r="AF982" s="54">
        <v>0</v>
      </c>
      <c r="AG982" s="54">
        <v>0</v>
      </c>
      <c r="AH982" s="54">
        <v>0</v>
      </c>
      <c r="AI982" s="54">
        <v>0</v>
      </c>
      <c r="AJ982" s="54">
        <v>0</v>
      </c>
      <c r="AK982" s="54">
        <v>0</v>
      </c>
      <c r="AL982" s="54">
        <v>0</v>
      </c>
      <c r="AM982" s="54" t="str">
        <f>I982-J982-K982-L982-M982-N982-O982-P982-Q982-R982-S982-T982-U982-V982-W982-X982-Y982-Z982-AA982-AB982-AC982-AD982-AE982-AF982-AG982+AH982-AI982+AJ982+AK982-AL982</f>
        <v>0</v>
      </c>
      <c r="AN982" s="54"/>
      <c r="AO982" s="27"/>
    </row>
    <row r="983" spans="1:41">
      <c r="A983" s="44">
        <v>955</v>
      </c>
      <c r="B983" s="47" t="s">
        <v>3860</v>
      </c>
      <c r="C983" s="48" t="s">
        <v>3861</v>
      </c>
      <c r="D983" s="52" t="s">
        <v>73</v>
      </c>
      <c r="E983" s="52" t="s">
        <v>3731</v>
      </c>
      <c r="F983" s="55" t="s">
        <v>3862</v>
      </c>
      <c r="G983" s="51">
        <v>3</v>
      </c>
      <c r="H983" s="52" t="s">
        <v>3863</v>
      </c>
      <c r="I983" s="54">
        <v>534000</v>
      </c>
      <c r="J983" s="54">
        <v>0</v>
      </c>
      <c r="K983" s="54">
        <v>22000</v>
      </c>
      <c r="L983" s="54">
        <v>0</v>
      </c>
      <c r="M983" s="54">
        <v>0</v>
      </c>
      <c r="N983" s="54">
        <v>0</v>
      </c>
      <c r="O983" s="54">
        <v>0</v>
      </c>
      <c r="P983" s="54">
        <v>0</v>
      </c>
      <c r="Q983" s="54">
        <v>0</v>
      </c>
      <c r="R983" s="54">
        <v>0</v>
      </c>
      <c r="S983" s="54">
        <v>0</v>
      </c>
      <c r="T983" s="54">
        <v>0</v>
      </c>
      <c r="U983" s="54">
        <v>1397</v>
      </c>
      <c r="V983" s="54">
        <v>0</v>
      </c>
      <c r="W983" s="54">
        <v>0</v>
      </c>
      <c r="X983" s="54">
        <v>0</v>
      </c>
      <c r="Y983" s="54">
        <v>0</v>
      </c>
      <c r="Z983" s="54">
        <v>0</v>
      </c>
      <c r="AA983" s="54">
        <v>0</v>
      </c>
      <c r="AB983" s="54">
        <v>0</v>
      </c>
      <c r="AC983" s="54">
        <v>0</v>
      </c>
      <c r="AD983" s="54">
        <v>0</v>
      </c>
      <c r="AE983" s="54">
        <v>0</v>
      </c>
      <c r="AF983" s="54">
        <v>0</v>
      </c>
      <c r="AG983" s="54">
        <v>0</v>
      </c>
      <c r="AH983" s="54">
        <v>0</v>
      </c>
      <c r="AI983" s="54">
        <v>0</v>
      </c>
      <c r="AJ983" s="54">
        <v>0</v>
      </c>
      <c r="AK983" s="54">
        <v>0</v>
      </c>
      <c r="AL983" s="54">
        <v>0</v>
      </c>
      <c r="AM983" s="54" t="str">
        <f>I983-J983-K983-L983-M983-N983-O983-P983-Q983-R983-S983-T983-U983-V983-W983-X983-Y983-Z983-AA983-AB983-AC983-AD983-AE983-AF983-AG983+AH983-AI983+AJ983+AK983-AL983</f>
        <v>0</v>
      </c>
      <c r="AN983" s="54"/>
      <c r="AO983" s="27"/>
    </row>
    <row r="984" spans="1:41">
      <c r="A984" s="44">
        <v>956</v>
      </c>
      <c r="B984" s="47" t="s">
        <v>3864</v>
      </c>
      <c r="C984" s="48" t="s">
        <v>3865</v>
      </c>
      <c r="D984" s="52" t="s">
        <v>73</v>
      </c>
      <c r="E984" s="52" t="s">
        <v>3731</v>
      </c>
      <c r="F984" s="55" t="s">
        <v>3866</v>
      </c>
      <c r="G984" s="51">
        <v>3</v>
      </c>
      <c r="H984" s="52" t="s">
        <v>3867</v>
      </c>
      <c r="I984" s="54">
        <v>274000</v>
      </c>
      <c r="J984" s="54">
        <v>0</v>
      </c>
      <c r="K984" s="54">
        <v>22000</v>
      </c>
      <c r="L984" s="54">
        <v>0</v>
      </c>
      <c r="M984" s="54">
        <v>0</v>
      </c>
      <c r="N984" s="54">
        <v>0</v>
      </c>
      <c r="O984" s="54">
        <v>0</v>
      </c>
      <c r="P984" s="54">
        <v>0</v>
      </c>
      <c r="Q984" s="54">
        <v>0</v>
      </c>
      <c r="R984" s="54">
        <v>0</v>
      </c>
      <c r="S984" s="54">
        <v>0</v>
      </c>
      <c r="T984" s="54">
        <v>0</v>
      </c>
      <c r="U984" s="54">
        <v>1397</v>
      </c>
      <c r="V984" s="54">
        <v>0</v>
      </c>
      <c r="W984" s="54">
        <v>0</v>
      </c>
      <c r="X984" s="54">
        <v>0</v>
      </c>
      <c r="Y984" s="54">
        <v>0</v>
      </c>
      <c r="Z984" s="54">
        <v>0</v>
      </c>
      <c r="AA984" s="54">
        <v>0</v>
      </c>
      <c r="AB984" s="54">
        <v>0</v>
      </c>
      <c r="AC984" s="54">
        <v>0</v>
      </c>
      <c r="AD984" s="54">
        <v>0</v>
      </c>
      <c r="AE984" s="54">
        <v>0</v>
      </c>
      <c r="AF984" s="54">
        <v>0</v>
      </c>
      <c r="AG984" s="54">
        <v>0</v>
      </c>
      <c r="AH984" s="54">
        <v>0</v>
      </c>
      <c r="AI984" s="54">
        <v>0</v>
      </c>
      <c r="AJ984" s="54">
        <v>0</v>
      </c>
      <c r="AK984" s="54">
        <v>0</v>
      </c>
      <c r="AL984" s="54">
        <v>0</v>
      </c>
      <c r="AM984" s="54" t="str">
        <f>I984-J984-K984-L984-M984-N984-O984-P984-Q984-R984-S984-T984-U984-V984-W984-X984-Y984-Z984-AA984-AB984-AC984-AD984-AE984-AF984-AG984+AH984-AI984+AJ984+AK984-AL984</f>
        <v>0</v>
      </c>
      <c r="AN984" s="54"/>
      <c r="AO984" s="27"/>
    </row>
    <row r="985" spans="1:41">
      <c r="A985" s="44">
        <v>957</v>
      </c>
      <c r="B985" s="47" t="s">
        <v>3868</v>
      </c>
      <c r="C985" s="48" t="s">
        <v>3869</v>
      </c>
      <c r="D985" s="52" t="s">
        <v>73</v>
      </c>
      <c r="E985" s="52" t="s">
        <v>3731</v>
      </c>
      <c r="F985" s="55" t="s">
        <v>3870</v>
      </c>
      <c r="G985" s="51">
        <v>3</v>
      </c>
      <c r="H985" s="52" t="s">
        <v>3871</v>
      </c>
      <c r="I985" s="54">
        <v>1252000</v>
      </c>
      <c r="J985" s="54">
        <v>0</v>
      </c>
      <c r="K985" s="54">
        <v>22000</v>
      </c>
      <c r="L985" s="54">
        <v>0</v>
      </c>
      <c r="M985" s="54">
        <v>0</v>
      </c>
      <c r="N985" s="54">
        <v>0</v>
      </c>
      <c r="O985" s="54">
        <v>0</v>
      </c>
      <c r="P985" s="54">
        <v>0</v>
      </c>
      <c r="Q985" s="54">
        <v>0</v>
      </c>
      <c r="R985" s="54">
        <v>0</v>
      </c>
      <c r="S985" s="54">
        <v>0</v>
      </c>
      <c r="T985" s="54">
        <v>0</v>
      </c>
      <c r="U985" s="54">
        <v>1397</v>
      </c>
      <c r="V985" s="54">
        <v>0</v>
      </c>
      <c r="W985" s="54">
        <v>0</v>
      </c>
      <c r="X985" s="54">
        <v>0</v>
      </c>
      <c r="Y985" s="54">
        <v>0</v>
      </c>
      <c r="Z985" s="54">
        <v>0</v>
      </c>
      <c r="AA985" s="54">
        <v>0</v>
      </c>
      <c r="AB985" s="54">
        <v>0</v>
      </c>
      <c r="AC985" s="54">
        <v>0</v>
      </c>
      <c r="AD985" s="54">
        <v>0</v>
      </c>
      <c r="AE985" s="54">
        <v>0</v>
      </c>
      <c r="AF985" s="54">
        <v>0</v>
      </c>
      <c r="AG985" s="54">
        <v>0</v>
      </c>
      <c r="AH985" s="54">
        <v>0</v>
      </c>
      <c r="AI985" s="54">
        <v>0</v>
      </c>
      <c r="AJ985" s="54">
        <v>0</v>
      </c>
      <c r="AK985" s="54">
        <v>0</v>
      </c>
      <c r="AL985" s="54">
        <v>0</v>
      </c>
      <c r="AM985" s="54" t="str">
        <f>I985-J985-K985-L985-M985-N985-O985-P985-Q985-R985-S985-T985-U985-V985-W985-X985-Y985-Z985-AA985-AB985-AC985-AD985-AE985-AF985-AG985+AH985-AI985+AJ985+AK985-AL985</f>
        <v>0</v>
      </c>
      <c r="AN985" s="54"/>
      <c r="AO985" s="27"/>
    </row>
    <row r="986" spans="1:41">
      <c r="A986" s="44">
        <v>958</v>
      </c>
      <c r="B986" s="47" t="s">
        <v>3872</v>
      </c>
      <c r="C986" s="48" t="s">
        <v>3873</v>
      </c>
      <c r="D986" s="52" t="s">
        <v>73</v>
      </c>
      <c r="E986" s="52" t="s">
        <v>3731</v>
      </c>
      <c r="F986" s="55" t="s">
        <v>485</v>
      </c>
      <c r="G986" s="51">
        <v>5</v>
      </c>
      <c r="H986" s="52" t="s">
        <v>3874</v>
      </c>
      <c r="I986" s="54">
        <v>410000</v>
      </c>
      <c r="J986" s="54">
        <v>0</v>
      </c>
      <c r="K986" s="54">
        <v>27000</v>
      </c>
      <c r="L986" s="54">
        <v>0</v>
      </c>
      <c r="M986" s="54">
        <v>0</v>
      </c>
      <c r="N986" s="54">
        <v>0</v>
      </c>
      <c r="O986" s="54">
        <v>0</v>
      </c>
      <c r="P986" s="54">
        <v>0</v>
      </c>
      <c r="Q986" s="54">
        <v>0</v>
      </c>
      <c r="R986" s="54">
        <v>0</v>
      </c>
      <c r="S986" s="54">
        <v>0</v>
      </c>
      <c r="T986" s="54">
        <v>0</v>
      </c>
      <c r="U986" s="54">
        <v>1714</v>
      </c>
      <c r="V986" s="54">
        <v>0</v>
      </c>
      <c r="W986" s="54">
        <v>0</v>
      </c>
      <c r="X986" s="54">
        <v>0</v>
      </c>
      <c r="Y986" s="54">
        <v>0</v>
      </c>
      <c r="Z986" s="54">
        <v>0</v>
      </c>
      <c r="AA986" s="54">
        <v>0</v>
      </c>
      <c r="AB986" s="54">
        <v>0</v>
      </c>
      <c r="AC986" s="54">
        <v>0</v>
      </c>
      <c r="AD986" s="54">
        <v>0</v>
      </c>
      <c r="AE986" s="54">
        <v>0</v>
      </c>
      <c r="AF986" s="54">
        <v>0</v>
      </c>
      <c r="AG986" s="54">
        <v>0</v>
      </c>
      <c r="AH986" s="54">
        <v>0</v>
      </c>
      <c r="AI986" s="54">
        <v>0</v>
      </c>
      <c r="AJ986" s="54">
        <v>0</v>
      </c>
      <c r="AK986" s="54">
        <v>0</v>
      </c>
      <c r="AL986" s="54">
        <v>0</v>
      </c>
      <c r="AM986" s="54" t="str">
        <f>I986-J986-K986-L986-M986-N986-O986-P986-Q986-R986-S986-T986-U986-V986-W986-X986-Y986-Z986-AA986-AB986-AC986-AD986-AE986-AF986-AG986+AH986-AI986+AJ986+AK986-AL986</f>
        <v>0</v>
      </c>
      <c r="AN986" s="54"/>
      <c r="AO986" s="27"/>
    </row>
    <row r="987" spans="1:41">
      <c r="A987" s="44">
        <v>959</v>
      </c>
      <c r="B987" s="47" t="s">
        <v>3875</v>
      </c>
      <c r="C987" s="48" t="s">
        <v>3876</v>
      </c>
      <c r="D987" s="52" t="s">
        <v>73</v>
      </c>
      <c r="E987" s="52" t="s">
        <v>3731</v>
      </c>
      <c r="F987" s="55" t="s">
        <v>3877</v>
      </c>
      <c r="G987" s="51">
        <v>2</v>
      </c>
      <c r="H987" s="52" t="s">
        <v>3878</v>
      </c>
      <c r="I987" s="54">
        <v>290000</v>
      </c>
      <c r="J987" s="54">
        <v>0</v>
      </c>
      <c r="K987" s="54">
        <v>22000</v>
      </c>
      <c r="L987" s="54">
        <v>0</v>
      </c>
      <c r="M987" s="54">
        <v>0</v>
      </c>
      <c r="N987" s="54">
        <v>0</v>
      </c>
      <c r="O987" s="54">
        <v>0</v>
      </c>
      <c r="P987" s="54">
        <v>0</v>
      </c>
      <c r="Q987" s="54">
        <v>0</v>
      </c>
      <c r="R987" s="54">
        <v>0</v>
      </c>
      <c r="S987" s="54">
        <v>0</v>
      </c>
      <c r="T987" s="54">
        <v>0</v>
      </c>
      <c r="U987" s="54">
        <v>1397</v>
      </c>
      <c r="V987" s="54">
        <v>0</v>
      </c>
      <c r="W987" s="54">
        <v>0</v>
      </c>
      <c r="X987" s="54">
        <v>0</v>
      </c>
      <c r="Y987" s="54">
        <v>0</v>
      </c>
      <c r="Z987" s="54">
        <v>0</v>
      </c>
      <c r="AA987" s="54">
        <v>0</v>
      </c>
      <c r="AB987" s="54">
        <v>0</v>
      </c>
      <c r="AC987" s="54">
        <v>0</v>
      </c>
      <c r="AD987" s="54">
        <v>0</v>
      </c>
      <c r="AE987" s="54">
        <v>0</v>
      </c>
      <c r="AF987" s="54">
        <v>0</v>
      </c>
      <c r="AG987" s="54">
        <v>0</v>
      </c>
      <c r="AH987" s="54">
        <v>0</v>
      </c>
      <c r="AI987" s="54">
        <v>0</v>
      </c>
      <c r="AJ987" s="54">
        <v>0</v>
      </c>
      <c r="AK987" s="54">
        <v>0</v>
      </c>
      <c r="AL987" s="54">
        <v>0</v>
      </c>
      <c r="AM987" s="54" t="str">
        <f>I987-J987-K987-L987-M987-N987-O987-P987-Q987-R987-S987-T987-U987-V987-W987-X987-Y987-Z987-AA987-AB987-AC987-AD987-AE987-AF987-AG987+AH987-AI987+AJ987+AK987-AL987</f>
        <v>0</v>
      </c>
      <c r="AN987" s="54"/>
      <c r="AO987" s="27"/>
    </row>
    <row r="988" spans="1:41">
      <c r="A988" s="44">
        <v>960</v>
      </c>
      <c r="B988" s="47" t="s">
        <v>3879</v>
      </c>
      <c r="C988" s="48" t="s">
        <v>3880</v>
      </c>
      <c r="D988" s="52" t="s">
        <v>73</v>
      </c>
      <c r="E988" s="52" t="s">
        <v>3731</v>
      </c>
      <c r="F988" s="55" t="s">
        <v>3881</v>
      </c>
      <c r="G988" s="51">
        <v>4</v>
      </c>
      <c r="H988" s="52" t="s">
        <v>3882</v>
      </c>
      <c r="I988" s="54">
        <v>488000</v>
      </c>
      <c r="J988" s="54">
        <v>0</v>
      </c>
      <c r="K988" s="54">
        <v>25000</v>
      </c>
      <c r="L988" s="54">
        <v>0</v>
      </c>
      <c r="M988" s="54">
        <v>0</v>
      </c>
      <c r="N988" s="54">
        <v>0</v>
      </c>
      <c r="O988" s="54">
        <v>0</v>
      </c>
      <c r="P988" s="54">
        <v>0</v>
      </c>
      <c r="Q988" s="54">
        <v>0</v>
      </c>
      <c r="R988" s="54">
        <v>0</v>
      </c>
      <c r="S988" s="54">
        <v>0</v>
      </c>
      <c r="T988" s="54">
        <v>0</v>
      </c>
      <c r="U988" s="54">
        <v>1587</v>
      </c>
      <c r="V988" s="54">
        <v>0</v>
      </c>
      <c r="W988" s="54">
        <v>0</v>
      </c>
      <c r="X988" s="54">
        <v>0</v>
      </c>
      <c r="Y988" s="54">
        <v>0</v>
      </c>
      <c r="Z988" s="54">
        <v>0</v>
      </c>
      <c r="AA988" s="54">
        <v>0</v>
      </c>
      <c r="AB988" s="54">
        <v>0</v>
      </c>
      <c r="AC988" s="54">
        <v>0</v>
      </c>
      <c r="AD988" s="54">
        <v>0</v>
      </c>
      <c r="AE988" s="54">
        <v>0</v>
      </c>
      <c r="AF988" s="54">
        <v>0</v>
      </c>
      <c r="AG988" s="54">
        <v>0</v>
      </c>
      <c r="AH988" s="54">
        <v>0</v>
      </c>
      <c r="AI988" s="54">
        <v>0</v>
      </c>
      <c r="AJ988" s="54">
        <v>0</v>
      </c>
      <c r="AK988" s="54">
        <v>0</v>
      </c>
      <c r="AL988" s="54">
        <v>0</v>
      </c>
      <c r="AM988" s="54" t="str">
        <f>I988-J988-K988-L988-M988-N988-O988-P988-Q988-R988-S988-T988-U988-V988-W988-X988-Y988-Z988-AA988-AB988-AC988-AD988-AE988-AF988-AG988+AH988-AI988+AJ988+AK988-AL988</f>
        <v>0</v>
      </c>
      <c r="AN988" s="54"/>
      <c r="AO988" s="27"/>
    </row>
    <row r="989" spans="1:41">
      <c r="A989" s="44">
        <v>961</v>
      </c>
      <c r="B989" s="47" t="s">
        <v>3883</v>
      </c>
      <c r="C989" s="48" t="s">
        <v>3884</v>
      </c>
      <c r="D989" s="52" t="s">
        <v>73</v>
      </c>
      <c r="E989" s="52" t="s">
        <v>3731</v>
      </c>
      <c r="F989" s="55" t="s">
        <v>3885</v>
      </c>
      <c r="G989" s="51">
        <v>5</v>
      </c>
      <c r="H989" s="52" t="s">
        <v>3886</v>
      </c>
      <c r="I989" s="54">
        <v>1699000</v>
      </c>
      <c r="J989" s="54">
        <v>0</v>
      </c>
      <c r="K989" s="54">
        <v>27000</v>
      </c>
      <c r="L989" s="54">
        <v>0</v>
      </c>
      <c r="M989" s="54">
        <v>0</v>
      </c>
      <c r="N989" s="54">
        <v>0</v>
      </c>
      <c r="O989" s="54">
        <v>0</v>
      </c>
      <c r="P989" s="54">
        <v>0</v>
      </c>
      <c r="Q989" s="54">
        <v>0</v>
      </c>
      <c r="R989" s="54">
        <v>0</v>
      </c>
      <c r="S989" s="54">
        <v>0</v>
      </c>
      <c r="T989" s="54">
        <v>0</v>
      </c>
      <c r="U989" s="54">
        <v>1714</v>
      </c>
      <c r="V989" s="54">
        <v>0</v>
      </c>
      <c r="W989" s="54">
        <v>0</v>
      </c>
      <c r="X989" s="54">
        <v>0</v>
      </c>
      <c r="Y989" s="54">
        <v>0</v>
      </c>
      <c r="Z989" s="54">
        <v>0</v>
      </c>
      <c r="AA989" s="54">
        <v>0</v>
      </c>
      <c r="AB989" s="54">
        <v>0</v>
      </c>
      <c r="AC989" s="54">
        <v>0</v>
      </c>
      <c r="AD989" s="54">
        <v>0</v>
      </c>
      <c r="AE989" s="54">
        <v>0</v>
      </c>
      <c r="AF989" s="54">
        <v>0</v>
      </c>
      <c r="AG989" s="54">
        <v>0</v>
      </c>
      <c r="AH989" s="54">
        <v>0</v>
      </c>
      <c r="AI989" s="54">
        <v>0</v>
      </c>
      <c r="AJ989" s="54">
        <v>0</v>
      </c>
      <c r="AK989" s="54">
        <v>0</v>
      </c>
      <c r="AL989" s="54">
        <v>0</v>
      </c>
      <c r="AM989" s="54" t="str">
        <f>I989-J989-K989-L989-M989-N989-O989-P989-Q989-R989-S989-T989-U989-V989-W989-X989-Y989-Z989-AA989-AB989-AC989-AD989-AE989-AF989-AG989+AH989-AI989+AJ989+AK989-AL989</f>
        <v>0</v>
      </c>
      <c r="AN989" s="54"/>
      <c r="AO989" s="27"/>
    </row>
    <row r="990" spans="1:41">
      <c r="A990" s="44">
        <v>962</v>
      </c>
      <c r="B990" s="47" t="s">
        <v>3887</v>
      </c>
      <c r="C990" s="48" t="s">
        <v>3888</v>
      </c>
      <c r="D990" s="52" t="s">
        <v>73</v>
      </c>
      <c r="E990" s="52" t="s">
        <v>3731</v>
      </c>
      <c r="F990" s="55" t="s">
        <v>1574</v>
      </c>
      <c r="G990" s="51">
        <v>2</v>
      </c>
      <c r="H990" s="52" t="s">
        <v>3889</v>
      </c>
      <c r="I990" s="54">
        <v>264000</v>
      </c>
      <c r="J990" s="54">
        <v>0</v>
      </c>
      <c r="K990" s="54">
        <v>22000</v>
      </c>
      <c r="L990" s="54">
        <v>0</v>
      </c>
      <c r="M990" s="54">
        <v>0</v>
      </c>
      <c r="N990" s="54">
        <v>0</v>
      </c>
      <c r="O990" s="54">
        <v>0</v>
      </c>
      <c r="P990" s="54">
        <v>0</v>
      </c>
      <c r="Q990" s="54">
        <v>0</v>
      </c>
      <c r="R990" s="54">
        <v>0</v>
      </c>
      <c r="S990" s="54">
        <v>0</v>
      </c>
      <c r="T990" s="54">
        <v>0</v>
      </c>
      <c r="U990" s="54">
        <v>1397</v>
      </c>
      <c r="V990" s="54">
        <v>0</v>
      </c>
      <c r="W990" s="54">
        <v>0</v>
      </c>
      <c r="X990" s="54">
        <v>0</v>
      </c>
      <c r="Y990" s="54">
        <v>0</v>
      </c>
      <c r="Z990" s="54">
        <v>0</v>
      </c>
      <c r="AA990" s="54">
        <v>0</v>
      </c>
      <c r="AB990" s="54">
        <v>0</v>
      </c>
      <c r="AC990" s="54">
        <v>0</v>
      </c>
      <c r="AD990" s="54">
        <v>0</v>
      </c>
      <c r="AE990" s="54">
        <v>0</v>
      </c>
      <c r="AF990" s="54">
        <v>0</v>
      </c>
      <c r="AG990" s="54">
        <v>0</v>
      </c>
      <c r="AH990" s="54">
        <v>0</v>
      </c>
      <c r="AI990" s="54">
        <v>0</v>
      </c>
      <c r="AJ990" s="54">
        <v>0</v>
      </c>
      <c r="AK990" s="54">
        <v>0</v>
      </c>
      <c r="AL990" s="54">
        <v>0</v>
      </c>
      <c r="AM990" s="54" t="str">
        <f>I990-J990-K990-L990-M990-N990-O990-P990-Q990-R990-S990-T990-U990-V990-W990-X990-Y990-Z990-AA990-AB990-AC990-AD990-AE990-AF990-AG990+AH990-AI990+AJ990+AK990-AL990</f>
        <v>0</v>
      </c>
      <c r="AN990" s="54"/>
      <c r="AO990" s="27"/>
    </row>
    <row r="991" spans="1:41">
      <c r="A991" s="44">
        <v>963</v>
      </c>
      <c r="B991" s="47" t="s">
        <v>3890</v>
      </c>
      <c r="C991" s="48" t="s">
        <v>3891</v>
      </c>
      <c r="D991" s="52" t="s">
        <v>62</v>
      </c>
      <c r="E991" s="52" t="s">
        <v>3731</v>
      </c>
      <c r="F991" s="55" t="s">
        <v>3892</v>
      </c>
      <c r="G991" s="51">
        <v>2</v>
      </c>
      <c r="H991" s="52" t="s">
        <v>3893</v>
      </c>
      <c r="I991" s="54">
        <v>0</v>
      </c>
      <c r="J991" s="54">
        <v>0</v>
      </c>
      <c r="K991" s="54">
        <v>22000</v>
      </c>
      <c r="L991" s="54">
        <v>0</v>
      </c>
      <c r="M991" s="54">
        <v>0</v>
      </c>
      <c r="N991" s="54">
        <v>0</v>
      </c>
      <c r="O991" s="54">
        <v>0</v>
      </c>
      <c r="P991" s="54">
        <v>0</v>
      </c>
      <c r="Q991" s="54">
        <v>0</v>
      </c>
      <c r="R991" s="54">
        <v>0</v>
      </c>
      <c r="S991" s="54">
        <v>0</v>
      </c>
      <c r="T991" s="54">
        <v>0</v>
      </c>
      <c r="U991" s="54">
        <v>1397</v>
      </c>
      <c r="V991" s="54">
        <v>0</v>
      </c>
      <c r="W991" s="54">
        <v>0</v>
      </c>
      <c r="X991" s="54">
        <v>0</v>
      </c>
      <c r="Y991" s="54">
        <v>5000</v>
      </c>
      <c r="Z991" s="54">
        <v>0</v>
      </c>
      <c r="AA991" s="54">
        <v>0</v>
      </c>
      <c r="AB991" s="54">
        <v>0</v>
      </c>
      <c r="AC991" s="54">
        <v>0</v>
      </c>
      <c r="AD991" s="54">
        <v>0</v>
      </c>
      <c r="AE991" s="54">
        <v>0</v>
      </c>
      <c r="AF991" s="54">
        <v>0</v>
      </c>
      <c r="AG991" s="54">
        <v>0</v>
      </c>
      <c r="AH991" s="54">
        <v>0</v>
      </c>
      <c r="AI991" s="54">
        <v>0</v>
      </c>
      <c r="AJ991" s="54">
        <v>0</v>
      </c>
      <c r="AK991" s="54">
        <v>0</v>
      </c>
      <c r="AL991" s="54">
        <v>0</v>
      </c>
      <c r="AM991" s="54" t="str">
        <f>I991-J991-K991-L991-M991-N991-O991-P991-Q991-R991-S991-T991-U991-V991-W991-X991-Y991-Z991-AA991-AB991-AC991-AD991-AE991-AF991-AG991+AH991-AI991+AJ991+AK991-AL991</f>
        <v>0</v>
      </c>
      <c r="AN991" s="54"/>
      <c r="AO991" s="27"/>
    </row>
    <row r="992" spans="1:41">
      <c r="A992" s="44">
        <v>964</v>
      </c>
      <c r="B992" s="47" t="s">
        <v>3894</v>
      </c>
      <c r="C992" s="48" t="s">
        <v>3895</v>
      </c>
      <c r="D992" s="52" t="s">
        <v>73</v>
      </c>
      <c r="E992" s="52" t="s">
        <v>3731</v>
      </c>
      <c r="F992" s="55" t="s">
        <v>3896</v>
      </c>
      <c r="G992" s="51">
        <v>2</v>
      </c>
      <c r="H992" s="52" t="s">
        <v>3897</v>
      </c>
      <c r="I992" s="54">
        <v>339000</v>
      </c>
      <c r="J992" s="54">
        <v>0</v>
      </c>
      <c r="K992" s="54">
        <v>22000</v>
      </c>
      <c r="L992" s="54">
        <v>0</v>
      </c>
      <c r="M992" s="54">
        <v>0</v>
      </c>
      <c r="N992" s="54">
        <v>0</v>
      </c>
      <c r="O992" s="54">
        <v>0</v>
      </c>
      <c r="P992" s="54">
        <v>0</v>
      </c>
      <c r="Q992" s="54">
        <v>0</v>
      </c>
      <c r="R992" s="54">
        <v>0</v>
      </c>
      <c r="S992" s="54">
        <v>0</v>
      </c>
      <c r="T992" s="54">
        <v>0</v>
      </c>
      <c r="U992" s="54">
        <v>1397</v>
      </c>
      <c r="V992" s="54">
        <v>0</v>
      </c>
      <c r="W992" s="54">
        <v>0</v>
      </c>
      <c r="X992" s="54">
        <v>0</v>
      </c>
      <c r="Y992" s="54">
        <v>0</v>
      </c>
      <c r="Z992" s="54">
        <v>0</v>
      </c>
      <c r="AA992" s="54">
        <v>0</v>
      </c>
      <c r="AB992" s="54">
        <v>0</v>
      </c>
      <c r="AC992" s="54">
        <v>0</v>
      </c>
      <c r="AD992" s="54">
        <v>0</v>
      </c>
      <c r="AE992" s="54">
        <v>0</v>
      </c>
      <c r="AF992" s="54">
        <v>0</v>
      </c>
      <c r="AG992" s="54">
        <v>0</v>
      </c>
      <c r="AH992" s="54">
        <v>0</v>
      </c>
      <c r="AI992" s="54">
        <v>0</v>
      </c>
      <c r="AJ992" s="54">
        <v>0</v>
      </c>
      <c r="AK992" s="54">
        <v>0</v>
      </c>
      <c r="AL992" s="54">
        <v>0</v>
      </c>
      <c r="AM992" s="54" t="str">
        <f>I992-J992-K992-L992-M992-N992-O992-P992-Q992-R992-S992-T992-U992-V992-W992-X992-Y992-Z992-AA992-AB992-AC992-AD992-AE992-AF992-AG992+AH992-AI992+AJ992+AK992-AL992</f>
        <v>0</v>
      </c>
      <c r="AN992" s="54"/>
      <c r="AO992" s="27"/>
    </row>
    <row r="993" spans="1:41">
      <c r="A993" s="44">
        <v>965</v>
      </c>
      <c r="B993" s="47" t="s">
        <v>3898</v>
      </c>
      <c r="C993" s="48" t="s">
        <v>3899</v>
      </c>
      <c r="D993" s="52" t="s">
        <v>73</v>
      </c>
      <c r="E993" s="52" t="s">
        <v>3731</v>
      </c>
      <c r="F993" s="55" t="s">
        <v>3900</v>
      </c>
      <c r="G993" s="51">
        <v>7</v>
      </c>
      <c r="H993" s="52" t="s">
        <v>3901</v>
      </c>
      <c r="I993" s="54">
        <v>1690000</v>
      </c>
      <c r="J993" s="54">
        <v>0</v>
      </c>
      <c r="K993" s="54">
        <v>35000</v>
      </c>
      <c r="L993" s="54">
        <v>0</v>
      </c>
      <c r="M993" s="54">
        <v>0</v>
      </c>
      <c r="N993" s="54">
        <v>0</v>
      </c>
      <c r="O993" s="54">
        <v>0</v>
      </c>
      <c r="P993" s="54">
        <v>0</v>
      </c>
      <c r="Q993" s="54">
        <v>0</v>
      </c>
      <c r="R993" s="54">
        <v>0</v>
      </c>
      <c r="S993" s="54">
        <v>0</v>
      </c>
      <c r="T993" s="54">
        <v>0</v>
      </c>
      <c r="U993" s="54">
        <v>2222</v>
      </c>
      <c r="V993" s="54">
        <v>0</v>
      </c>
      <c r="W993" s="54">
        <v>0</v>
      </c>
      <c r="X993" s="54">
        <v>0</v>
      </c>
      <c r="Y993" s="54">
        <v>0</v>
      </c>
      <c r="Z993" s="54">
        <v>0</v>
      </c>
      <c r="AA993" s="54">
        <v>0</v>
      </c>
      <c r="AB993" s="54">
        <v>0</v>
      </c>
      <c r="AC993" s="54">
        <v>0</v>
      </c>
      <c r="AD993" s="54">
        <v>0</v>
      </c>
      <c r="AE993" s="54">
        <v>0</v>
      </c>
      <c r="AF993" s="54">
        <v>0</v>
      </c>
      <c r="AG993" s="54">
        <v>0</v>
      </c>
      <c r="AH993" s="54">
        <v>0</v>
      </c>
      <c r="AI993" s="54">
        <v>0</v>
      </c>
      <c r="AJ993" s="54">
        <v>0</v>
      </c>
      <c r="AK993" s="54">
        <v>0</v>
      </c>
      <c r="AL993" s="54">
        <v>0</v>
      </c>
      <c r="AM993" s="54" t="str">
        <f>I993-J993-K993-L993-M993-N993-O993-P993-Q993-R993-S993-T993-U993-V993-W993-X993-Y993-Z993-AA993-AB993-AC993-AD993-AE993-AF993-AG993+AH993-AI993+AJ993+AK993-AL993</f>
        <v>0</v>
      </c>
      <c r="AN993" s="54"/>
      <c r="AO993" s="27"/>
    </row>
    <row r="994" spans="1:41">
      <c r="A994" s="44">
        <v>966</v>
      </c>
      <c r="B994" s="47" t="s">
        <v>3902</v>
      </c>
      <c r="C994" s="48" t="s">
        <v>3903</v>
      </c>
      <c r="D994" s="52" t="s">
        <v>73</v>
      </c>
      <c r="E994" s="52" t="s">
        <v>3731</v>
      </c>
      <c r="F994" s="55" t="s">
        <v>3904</v>
      </c>
      <c r="G994" s="51">
        <v>5</v>
      </c>
      <c r="H994" s="52" t="s">
        <v>3905</v>
      </c>
      <c r="I994" s="54">
        <v>1799000</v>
      </c>
      <c r="J994" s="54">
        <v>0</v>
      </c>
      <c r="K994" s="54">
        <v>27000</v>
      </c>
      <c r="L994" s="54">
        <v>0</v>
      </c>
      <c r="M994" s="54">
        <v>0</v>
      </c>
      <c r="N994" s="54">
        <v>0</v>
      </c>
      <c r="O994" s="54">
        <v>0</v>
      </c>
      <c r="P994" s="54">
        <v>0</v>
      </c>
      <c r="Q994" s="54">
        <v>0</v>
      </c>
      <c r="R994" s="54">
        <v>0</v>
      </c>
      <c r="S994" s="54">
        <v>0</v>
      </c>
      <c r="T994" s="54">
        <v>0</v>
      </c>
      <c r="U994" s="54">
        <v>1714</v>
      </c>
      <c r="V994" s="54">
        <v>0</v>
      </c>
      <c r="W994" s="54">
        <v>0</v>
      </c>
      <c r="X994" s="54">
        <v>0</v>
      </c>
      <c r="Y994" s="54">
        <v>0</v>
      </c>
      <c r="Z994" s="54">
        <v>0</v>
      </c>
      <c r="AA994" s="54">
        <v>0</v>
      </c>
      <c r="AB994" s="54">
        <v>0</v>
      </c>
      <c r="AC994" s="54">
        <v>0</v>
      </c>
      <c r="AD994" s="54">
        <v>0</v>
      </c>
      <c r="AE994" s="54">
        <v>0</v>
      </c>
      <c r="AF994" s="54">
        <v>0</v>
      </c>
      <c r="AG994" s="54">
        <v>0</v>
      </c>
      <c r="AH994" s="54">
        <v>0</v>
      </c>
      <c r="AI994" s="54">
        <v>0</v>
      </c>
      <c r="AJ994" s="54">
        <v>0</v>
      </c>
      <c r="AK994" s="54">
        <v>0</v>
      </c>
      <c r="AL994" s="54">
        <v>0</v>
      </c>
      <c r="AM994" s="54" t="str">
        <f>I994-J994-K994-L994-M994-N994-O994-P994-Q994-R994-S994-T994-U994-V994-W994-X994-Y994-Z994-AA994-AB994-AC994-AD994-AE994-AF994-AG994+AH994-AI994+AJ994+AK994-AL994</f>
        <v>0</v>
      </c>
      <c r="AN994" s="54"/>
      <c r="AO994" s="27"/>
    </row>
    <row r="995" spans="1:41">
      <c r="A995" s="44">
        <v>967</v>
      </c>
      <c r="B995" s="47" t="s">
        <v>3906</v>
      </c>
      <c r="C995" s="48" t="s">
        <v>3907</v>
      </c>
      <c r="D995" s="52" t="s">
        <v>73</v>
      </c>
      <c r="E995" s="52" t="s">
        <v>3908</v>
      </c>
      <c r="F995" s="55" t="s">
        <v>3909</v>
      </c>
      <c r="G995" s="51">
        <v>3</v>
      </c>
      <c r="H995" s="52" t="s">
        <v>3910</v>
      </c>
      <c r="I995" s="54">
        <v>0</v>
      </c>
      <c r="J995" s="54">
        <v>0</v>
      </c>
      <c r="K995" s="54">
        <v>22000</v>
      </c>
      <c r="L995" s="54">
        <v>0</v>
      </c>
      <c r="M995" s="54">
        <v>0</v>
      </c>
      <c r="N995" s="54">
        <v>0</v>
      </c>
      <c r="O995" s="54">
        <v>0</v>
      </c>
      <c r="P995" s="54">
        <v>0</v>
      </c>
      <c r="Q995" s="54">
        <v>0</v>
      </c>
      <c r="R995" s="54">
        <v>0</v>
      </c>
      <c r="S995" s="54">
        <v>0</v>
      </c>
      <c r="T995" s="54">
        <v>0</v>
      </c>
      <c r="U995" s="54">
        <v>1397</v>
      </c>
      <c r="V995" s="54">
        <v>0</v>
      </c>
      <c r="W995" s="54">
        <v>0</v>
      </c>
      <c r="X995" s="54">
        <v>0</v>
      </c>
      <c r="Y995" s="54">
        <v>0</v>
      </c>
      <c r="Z995" s="54">
        <v>0</v>
      </c>
      <c r="AA995" s="54">
        <v>0</v>
      </c>
      <c r="AB995" s="54">
        <v>0</v>
      </c>
      <c r="AC995" s="54">
        <v>0</v>
      </c>
      <c r="AD995" s="54">
        <v>0</v>
      </c>
      <c r="AE995" s="54">
        <v>0</v>
      </c>
      <c r="AF995" s="54">
        <v>0</v>
      </c>
      <c r="AG995" s="54">
        <v>0</v>
      </c>
      <c r="AH995" s="54">
        <v>0</v>
      </c>
      <c r="AI995" s="54">
        <v>0</v>
      </c>
      <c r="AJ995" s="54">
        <v>0</v>
      </c>
      <c r="AK995" s="54">
        <v>0</v>
      </c>
      <c r="AL995" s="54">
        <v>0</v>
      </c>
      <c r="AM995" s="54" t="str">
        <f>I995-J995-K995-L995-M995-N995-O995-P995-Q995-R995-S995-T995-U995-V995-W995-X995-Y995-Z995-AA995-AB995-AC995-AD995-AE995-AF995-AG995+AH995-AI995+AJ995+AK995-AL995</f>
        <v>0</v>
      </c>
      <c r="AN995" s="54"/>
      <c r="AO995" s="27"/>
    </row>
    <row r="996" spans="1:41">
      <c r="A996" s="44">
        <v>968</v>
      </c>
      <c r="B996" s="47" t="s">
        <v>3911</v>
      </c>
      <c r="C996" s="48" t="s">
        <v>3912</v>
      </c>
      <c r="D996" s="52" t="s">
        <v>73</v>
      </c>
      <c r="E996" s="52" t="s">
        <v>3908</v>
      </c>
      <c r="F996" s="55" t="s">
        <v>2193</v>
      </c>
      <c r="G996" s="51">
        <v>3</v>
      </c>
      <c r="H996" s="52" t="s">
        <v>3913</v>
      </c>
      <c r="I996" s="54">
        <v>435000</v>
      </c>
      <c r="J996" s="54">
        <v>0</v>
      </c>
      <c r="K996" s="54">
        <v>22000</v>
      </c>
      <c r="L996" s="54">
        <v>0</v>
      </c>
      <c r="M996" s="54">
        <v>0</v>
      </c>
      <c r="N996" s="54">
        <v>0</v>
      </c>
      <c r="O996" s="54">
        <v>0</v>
      </c>
      <c r="P996" s="54">
        <v>0</v>
      </c>
      <c r="Q996" s="54">
        <v>0</v>
      </c>
      <c r="R996" s="54">
        <v>0</v>
      </c>
      <c r="S996" s="54">
        <v>0</v>
      </c>
      <c r="T996" s="54">
        <v>0</v>
      </c>
      <c r="U996" s="54">
        <v>1397</v>
      </c>
      <c r="V996" s="54">
        <v>0</v>
      </c>
      <c r="W996" s="54">
        <v>0</v>
      </c>
      <c r="X996" s="54">
        <v>0</v>
      </c>
      <c r="Y996" s="54">
        <v>0</v>
      </c>
      <c r="Z996" s="54">
        <v>0</v>
      </c>
      <c r="AA996" s="54">
        <v>0</v>
      </c>
      <c r="AB996" s="54">
        <v>0</v>
      </c>
      <c r="AC996" s="54">
        <v>0</v>
      </c>
      <c r="AD996" s="54">
        <v>0</v>
      </c>
      <c r="AE996" s="54">
        <v>0</v>
      </c>
      <c r="AF996" s="54">
        <v>0</v>
      </c>
      <c r="AG996" s="54">
        <v>0</v>
      </c>
      <c r="AH996" s="54">
        <v>0</v>
      </c>
      <c r="AI996" s="54">
        <v>0</v>
      </c>
      <c r="AJ996" s="54">
        <v>0</v>
      </c>
      <c r="AK996" s="54">
        <v>0</v>
      </c>
      <c r="AL996" s="54">
        <v>0</v>
      </c>
      <c r="AM996" s="54" t="str">
        <f>I996-J996-K996-L996-M996-N996-O996-P996-Q996-R996-S996-T996-U996-V996-W996-X996-Y996-Z996-AA996-AB996-AC996-AD996-AE996-AF996-AG996+AH996-AI996+AJ996+AK996-AL996</f>
        <v>0</v>
      </c>
      <c r="AN996" s="54"/>
      <c r="AO996" s="27"/>
    </row>
    <row r="997" spans="1:41">
      <c r="A997" s="44">
        <v>969</v>
      </c>
      <c r="B997" s="47" t="s">
        <v>3914</v>
      </c>
      <c r="C997" s="48" t="s">
        <v>3915</v>
      </c>
      <c r="D997" s="52" t="s">
        <v>73</v>
      </c>
      <c r="E997" s="52" t="s">
        <v>3908</v>
      </c>
      <c r="F997" s="55" t="s">
        <v>3506</v>
      </c>
      <c r="G997" s="51">
        <v>5</v>
      </c>
      <c r="H997" s="52" t="s">
        <v>3916</v>
      </c>
      <c r="I997" s="54">
        <v>961000</v>
      </c>
      <c r="J997" s="54">
        <v>0</v>
      </c>
      <c r="K997" s="54">
        <v>27000</v>
      </c>
      <c r="L997" s="54">
        <v>0</v>
      </c>
      <c r="M997" s="54">
        <v>0</v>
      </c>
      <c r="N997" s="54">
        <v>0</v>
      </c>
      <c r="O997" s="54">
        <v>0</v>
      </c>
      <c r="P997" s="54">
        <v>0</v>
      </c>
      <c r="Q997" s="54">
        <v>0</v>
      </c>
      <c r="R997" s="54">
        <v>0</v>
      </c>
      <c r="S997" s="54">
        <v>0</v>
      </c>
      <c r="T997" s="54">
        <v>0</v>
      </c>
      <c r="U997" s="54">
        <v>1714</v>
      </c>
      <c r="V997" s="54">
        <v>0</v>
      </c>
      <c r="W997" s="54">
        <v>0</v>
      </c>
      <c r="X997" s="54">
        <v>0</v>
      </c>
      <c r="Y997" s="54">
        <v>0</v>
      </c>
      <c r="Z997" s="54">
        <v>0</v>
      </c>
      <c r="AA997" s="54">
        <v>0</v>
      </c>
      <c r="AB997" s="54">
        <v>0</v>
      </c>
      <c r="AC997" s="54">
        <v>0</v>
      </c>
      <c r="AD997" s="54">
        <v>0</v>
      </c>
      <c r="AE997" s="54">
        <v>0</v>
      </c>
      <c r="AF997" s="54">
        <v>0</v>
      </c>
      <c r="AG997" s="54">
        <v>0</v>
      </c>
      <c r="AH997" s="54">
        <v>0</v>
      </c>
      <c r="AI997" s="54">
        <v>0</v>
      </c>
      <c r="AJ997" s="54">
        <v>0</v>
      </c>
      <c r="AK997" s="54">
        <v>0</v>
      </c>
      <c r="AL997" s="54">
        <v>0</v>
      </c>
      <c r="AM997" s="54" t="str">
        <f>I997-J997-K997-L997-M997-N997-O997-P997-Q997-R997-S997-T997-U997-V997-W997-X997-Y997-Z997-AA997-AB997-AC997-AD997-AE997-AF997-AG997+AH997-AI997+AJ997+AK997-AL997</f>
        <v>0</v>
      </c>
      <c r="AN997" s="54"/>
      <c r="AO997" s="27"/>
    </row>
    <row r="998" spans="1:41">
      <c r="A998" s="44">
        <v>970</v>
      </c>
      <c r="B998" s="47" t="s">
        <v>3917</v>
      </c>
      <c r="C998" s="48" t="s">
        <v>3918</v>
      </c>
      <c r="D998" s="52" t="s">
        <v>73</v>
      </c>
      <c r="E998" s="52" t="s">
        <v>3908</v>
      </c>
      <c r="F998" s="55" t="s">
        <v>3919</v>
      </c>
      <c r="G998" s="51">
        <v>2</v>
      </c>
      <c r="H998" s="52" t="s">
        <v>3920</v>
      </c>
      <c r="I998" s="54">
        <v>264000</v>
      </c>
      <c r="J998" s="54">
        <v>0</v>
      </c>
      <c r="K998" s="54">
        <v>22000</v>
      </c>
      <c r="L998" s="54">
        <v>0</v>
      </c>
      <c r="M998" s="54">
        <v>0</v>
      </c>
      <c r="N998" s="54">
        <v>0</v>
      </c>
      <c r="O998" s="54">
        <v>0</v>
      </c>
      <c r="P998" s="54">
        <v>0</v>
      </c>
      <c r="Q998" s="54">
        <v>0</v>
      </c>
      <c r="R998" s="54">
        <v>0</v>
      </c>
      <c r="S998" s="54">
        <v>0</v>
      </c>
      <c r="T998" s="54">
        <v>0</v>
      </c>
      <c r="U998" s="54">
        <v>1397</v>
      </c>
      <c r="V998" s="54">
        <v>0</v>
      </c>
      <c r="W998" s="54">
        <v>0</v>
      </c>
      <c r="X998" s="54">
        <v>0</v>
      </c>
      <c r="Y998" s="54">
        <v>0</v>
      </c>
      <c r="Z998" s="54">
        <v>0</v>
      </c>
      <c r="AA998" s="54">
        <v>0</v>
      </c>
      <c r="AB998" s="54">
        <v>0</v>
      </c>
      <c r="AC998" s="54">
        <v>0</v>
      </c>
      <c r="AD998" s="54">
        <v>0</v>
      </c>
      <c r="AE998" s="54">
        <v>0</v>
      </c>
      <c r="AF998" s="54">
        <v>0</v>
      </c>
      <c r="AG998" s="54">
        <v>0</v>
      </c>
      <c r="AH998" s="54">
        <v>0</v>
      </c>
      <c r="AI998" s="54">
        <v>0</v>
      </c>
      <c r="AJ998" s="54">
        <v>0</v>
      </c>
      <c r="AK998" s="54">
        <v>0</v>
      </c>
      <c r="AL998" s="54">
        <v>0</v>
      </c>
      <c r="AM998" s="54" t="str">
        <f>I998-J998-K998-L998-M998-N998-O998-P998-Q998-R998-S998-T998-U998-V998-W998-X998-Y998-Z998-AA998-AB998-AC998-AD998-AE998-AF998-AG998+AH998-AI998+AJ998+AK998-AL998</f>
        <v>0</v>
      </c>
      <c r="AN998" s="54"/>
      <c r="AO998" s="27"/>
    </row>
    <row r="999" spans="1:41">
      <c r="A999" s="44">
        <v>971</v>
      </c>
      <c r="B999" s="47" t="s">
        <v>3921</v>
      </c>
      <c r="C999" s="48" t="s">
        <v>3922</v>
      </c>
      <c r="D999" s="52" t="s">
        <v>73</v>
      </c>
      <c r="E999" s="52" t="s">
        <v>3908</v>
      </c>
      <c r="F999" s="55" t="s">
        <v>3923</v>
      </c>
      <c r="G999" s="51">
        <v>6</v>
      </c>
      <c r="H999" s="52" t="s">
        <v>3924</v>
      </c>
      <c r="I999" s="54">
        <v>1429000</v>
      </c>
      <c r="J999" s="54">
        <v>0</v>
      </c>
      <c r="K999" s="54">
        <v>31000</v>
      </c>
      <c r="L999" s="54">
        <v>0</v>
      </c>
      <c r="M999" s="54">
        <v>0</v>
      </c>
      <c r="N999" s="54">
        <v>0</v>
      </c>
      <c r="O999" s="54">
        <v>0</v>
      </c>
      <c r="P999" s="54">
        <v>0</v>
      </c>
      <c r="Q999" s="54">
        <v>0</v>
      </c>
      <c r="R999" s="54">
        <v>0</v>
      </c>
      <c r="S999" s="54">
        <v>0</v>
      </c>
      <c r="T999" s="54">
        <v>0</v>
      </c>
      <c r="U999" s="54">
        <v>1968</v>
      </c>
      <c r="V999" s="54">
        <v>0</v>
      </c>
      <c r="W999" s="54">
        <v>0</v>
      </c>
      <c r="X999" s="54">
        <v>0</v>
      </c>
      <c r="Y999" s="54">
        <v>0</v>
      </c>
      <c r="Z999" s="54">
        <v>0</v>
      </c>
      <c r="AA999" s="54">
        <v>0</v>
      </c>
      <c r="AB999" s="54">
        <v>0</v>
      </c>
      <c r="AC999" s="54">
        <v>0</v>
      </c>
      <c r="AD999" s="54">
        <v>0</v>
      </c>
      <c r="AE999" s="54">
        <v>0</v>
      </c>
      <c r="AF999" s="54">
        <v>0</v>
      </c>
      <c r="AG999" s="54">
        <v>0</v>
      </c>
      <c r="AH999" s="54">
        <v>0</v>
      </c>
      <c r="AI999" s="54">
        <v>0</v>
      </c>
      <c r="AJ999" s="54">
        <v>0</v>
      </c>
      <c r="AK999" s="54">
        <v>0</v>
      </c>
      <c r="AL999" s="54">
        <v>0</v>
      </c>
      <c r="AM999" s="54" t="str">
        <f>I999-J999-K999-L999-M999-N999-O999-P999-Q999-R999-S999-T999-U999-V999-W999-X999-Y999-Z999-AA999-AB999-AC999-AD999-AE999-AF999-AG999+AH999-AI999+AJ999+AK999-AL999</f>
        <v>0</v>
      </c>
      <c r="AN999" s="54"/>
      <c r="AO999" s="27"/>
    </row>
    <row r="1000" spans="1:41">
      <c r="A1000" s="44">
        <v>972</v>
      </c>
      <c r="B1000" s="47" t="s">
        <v>3925</v>
      </c>
      <c r="C1000" s="48" t="s">
        <v>3926</v>
      </c>
      <c r="D1000" s="52" t="s">
        <v>73</v>
      </c>
      <c r="E1000" s="52" t="s">
        <v>3908</v>
      </c>
      <c r="F1000" s="55" t="s">
        <v>3177</v>
      </c>
      <c r="G1000" s="51">
        <v>5</v>
      </c>
      <c r="H1000" s="52" t="s">
        <v>3927</v>
      </c>
      <c r="I1000" s="54">
        <v>850000</v>
      </c>
      <c r="J1000" s="54">
        <v>0</v>
      </c>
      <c r="K1000" s="54">
        <v>27000</v>
      </c>
      <c r="L1000" s="54">
        <v>0</v>
      </c>
      <c r="M1000" s="54">
        <v>0</v>
      </c>
      <c r="N1000" s="54">
        <v>0</v>
      </c>
      <c r="O1000" s="54">
        <v>0</v>
      </c>
      <c r="P1000" s="54">
        <v>0</v>
      </c>
      <c r="Q1000" s="54">
        <v>0</v>
      </c>
      <c r="R1000" s="54">
        <v>0</v>
      </c>
      <c r="S1000" s="54">
        <v>0</v>
      </c>
      <c r="T1000" s="54">
        <v>0</v>
      </c>
      <c r="U1000" s="54">
        <v>1714</v>
      </c>
      <c r="V1000" s="54">
        <v>0</v>
      </c>
      <c r="W1000" s="54">
        <v>0</v>
      </c>
      <c r="X1000" s="54">
        <v>0</v>
      </c>
      <c r="Y1000" s="54">
        <v>0</v>
      </c>
      <c r="Z1000" s="54">
        <v>0</v>
      </c>
      <c r="AA1000" s="54">
        <v>0</v>
      </c>
      <c r="AB1000" s="54">
        <v>0</v>
      </c>
      <c r="AC1000" s="54">
        <v>0</v>
      </c>
      <c r="AD1000" s="54">
        <v>0</v>
      </c>
      <c r="AE1000" s="54">
        <v>0</v>
      </c>
      <c r="AF1000" s="54">
        <v>0</v>
      </c>
      <c r="AG1000" s="54">
        <v>0</v>
      </c>
      <c r="AH1000" s="54">
        <v>0</v>
      </c>
      <c r="AI1000" s="54">
        <v>0</v>
      </c>
      <c r="AJ1000" s="54">
        <v>0</v>
      </c>
      <c r="AK1000" s="54">
        <v>0</v>
      </c>
      <c r="AL1000" s="54">
        <v>0</v>
      </c>
      <c r="AM1000" s="54" t="str">
        <f>I1000-J1000-K1000-L1000-M1000-N1000-O1000-P1000-Q1000-R1000-S1000-T1000-U1000-V1000-W1000-X1000-Y1000-Z1000-AA1000-AB1000-AC1000-AD1000-AE1000-AF1000-AG1000+AH1000-AI1000+AJ1000+AK1000-AL1000</f>
        <v>0</v>
      </c>
      <c r="AN1000" s="54"/>
      <c r="AO1000" s="27"/>
    </row>
    <row r="1001" spans="1:41">
      <c r="A1001" s="44">
        <v>973</v>
      </c>
      <c r="B1001" s="47" t="s">
        <v>3928</v>
      </c>
      <c r="C1001" s="48" t="s">
        <v>3929</v>
      </c>
      <c r="D1001" s="52" t="s">
        <v>73</v>
      </c>
      <c r="E1001" s="52" t="s">
        <v>3908</v>
      </c>
      <c r="F1001" s="55" t="s">
        <v>3930</v>
      </c>
      <c r="G1001" s="51">
        <v>5.8</v>
      </c>
      <c r="H1001" s="52" t="s">
        <v>3931</v>
      </c>
      <c r="I1001" s="54">
        <v>634000</v>
      </c>
      <c r="J1001" s="54">
        <v>0</v>
      </c>
      <c r="K1001" s="54">
        <v>31000</v>
      </c>
      <c r="L1001" s="54">
        <v>0</v>
      </c>
      <c r="M1001" s="54">
        <v>0</v>
      </c>
      <c r="N1001" s="54">
        <v>0</v>
      </c>
      <c r="O1001" s="54">
        <v>0</v>
      </c>
      <c r="P1001" s="54">
        <v>0</v>
      </c>
      <c r="Q1001" s="54">
        <v>0</v>
      </c>
      <c r="R1001" s="54">
        <v>0</v>
      </c>
      <c r="S1001" s="54">
        <v>0</v>
      </c>
      <c r="T1001" s="54">
        <v>0</v>
      </c>
      <c r="U1001" s="54">
        <v>1968</v>
      </c>
      <c r="V1001" s="54">
        <v>0</v>
      </c>
      <c r="W1001" s="54">
        <v>0</v>
      </c>
      <c r="X1001" s="54">
        <v>0</v>
      </c>
      <c r="Y1001" s="54">
        <v>0</v>
      </c>
      <c r="Z1001" s="54">
        <v>0</v>
      </c>
      <c r="AA1001" s="54">
        <v>0</v>
      </c>
      <c r="AB1001" s="54">
        <v>0</v>
      </c>
      <c r="AC1001" s="54">
        <v>0</v>
      </c>
      <c r="AD1001" s="54">
        <v>0</v>
      </c>
      <c r="AE1001" s="54">
        <v>0</v>
      </c>
      <c r="AF1001" s="54">
        <v>0</v>
      </c>
      <c r="AG1001" s="54">
        <v>0</v>
      </c>
      <c r="AH1001" s="54">
        <v>0</v>
      </c>
      <c r="AI1001" s="54">
        <v>0</v>
      </c>
      <c r="AJ1001" s="54">
        <v>0</v>
      </c>
      <c r="AK1001" s="54">
        <v>0</v>
      </c>
      <c r="AL1001" s="54">
        <v>0</v>
      </c>
      <c r="AM1001" s="54" t="str">
        <f>I1001-J1001-K1001-L1001-M1001-N1001-O1001-P1001-Q1001-R1001-S1001-T1001-U1001-V1001-W1001-X1001-Y1001-Z1001-AA1001-AB1001-AC1001-AD1001-AE1001-AF1001-AG1001+AH1001-AI1001+AJ1001+AK1001-AL1001</f>
        <v>0</v>
      </c>
      <c r="AN1001" s="54"/>
      <c r="AO1001" s="27"/>
    </row>
    <row r="1002" spans="1:41">
      <c r="A1002" s="44">
        <v>974</v>
      </c>
      <c r="B1002" s="47" t="s">
        <v>3932</v>
      </c>
      <c r="C1002" s="48" t="s">
        <v>3933</v>
      </c>
      <c r="D1002" s="52" t="s">
        <v>73</v>
      </c>
      <c r="E1002" s="52" t="s">
        <v>3908</v>
      </c>
      <c r="F1002" s="55" t="s">
        <v>2699</v>
      </c>
      <c r="G1002" s="51">
        <v>2</v>
      </c>
      <c r="H1002" s="52" t="s">
        <v>3934</v>
      </c>
      <c r="I1002" s="54">
        <v>264000</v>
      </c>
      <c r="J1002" s="54">
        <v>0</v>
      </c>
      <c r="K1002" s="54">
        <v>22000</v>
      </c>
      <c r="L1002" s="54">
        <v>0</v>
      </c>
      <c r="M1002" s="54">
        <v>0</v>
      </c>
      <c r="N1002" s="54">
        <v>0</v>
      </c>
      <c r="O1002" s="54">
        <v>0</v>
      </c>
      <c r="P1002" s="54">
        <v>0</v>
      </c>
      <c r="Q1002" s="54">
        <v>0</v>
      </c>
      <c r="R1002" s="54">
        <v>0</v>
      </c>
      <c r="S1002" s="54">
        <v>0</v>
      </c>
      <c r="T1002" s="54">
        <v>0</v>
      </c>
      <c r="U1002" s="54">
        <v>1397</v>
      </c>
      <c r="V1002" s="54">
        <v>0</v>
      </c>
      <c r="W1002" s="54">
        <v>0</v>
      </c>
      <c r="X1002" s="54">
        <v>0</v>
      </c>
      <c r="Y1002" s="54">
        <v>0</v>
      </c>
      <c r="Z1002" s="54">
        <v>0</v>
      </c>
      <c r="AA1002" s="54">
        <v>0</v>
      </c>
      <c r="AB1002" s="54">
        <v>0</v>
      </c>
      <c r="AC1002" s="54">
        <v>0</v>
      </c>
      <c r="AD1002" s="54">
        <v>0</v>
      </c>
      <c r="AE1002" s="54">
        <v>0</v>
      </c>
      <c r="AF1002" s="54">
        <v>0</v>
      </c>
      <c r="AG1002" s="54">
        <v>0</v>
      </c>
      <c r="AH1002" s="54">
        <v>0</v>
      </c>
      <c r="AI1002" s="54">
        <v>0</v>
      </c>
      <c r="AJ1002" s="54">
        <v>0</v>
      </c>
      <c r="AK1002" s="54">
        <v>0</v>
      </c>
      <c r="AL1002" s="54">
        <v>0</v>
      </c>
      <c r="AM1002" s="54" t="str">
        <f>I1002-J1002-K1002-L1002-M1002-N1002-O1002-P1002-Q1002-R1002-S1002-T1002-U1002-V1002-W1002-X1002-Y1002-Z1002-AA1002-AB1002-AC1002-AD1002-AE1002-AF1002-AG1002+AH1002-AI1002+AJ1002+AK1002-AL1002</f>
        <v>0</v>
      </c>
      <c r="AN1002" s="54"/>
      <c r="AO1002" s="27"/>
    </row>
    <row r="1003" spans="1:41">
      <c r="A1003" s="45">
        <v>975</v>
      </c>
      <c r="B1003" s="45" t="s">
        <v>3935</v>
      </c>
      <c r="C1003" s="49" t="s">
        <v>3936</v>
      </c>
      <c r="D1003" s="53" t="s">
        <v>73</v>
      </c>
      <c r="E1003" s="45" t="s">
        <v>3908</v>
      </c>
      <c r="F1003" s="45" t="s">
        <v>3937</v>
      </c>
      <c r="G1003" s="45">
        <v>6</v>
      </c>
      <c r="H1003" s="53" t="s">
        <v>3938</v>
      </c>
      <c r="I1003" s="45">
        <v>1529000</v>
      </c>
      <c r="J1003" s="45">
        <v>0</v>
      </c>
      <c r="K1003" s="45">
        <v>31000</v>
      </c>
      <c r="L1003" s="45">
        <v>0</v>
      </c>
      <c r="M1003" s="45">
        <v>0</v>
      </c>
      <c r="N1003" s="45">
        <v>0</v>
      </c>
      <c r="O1003" s="45">
        <v>0</v>
      </c>
      <c r="P1003" s="45">
        <v>0</v>
      </c>
      <c r="Q1003" s="45">
        <v>0</v>
      </c>
      <c r="R1003" s="45">
        <v>0</v>
      </c>
      <c r="S1003" s="45">
        <v>0</v>
      </c>
      <c r="T1003" s="45">
        <v>0</v>
      </c>
      <c r="U1003" s="45">
        <v>1968</v>
      </c>
      <c r="V1003" s="45">
        <v>0</v>
      </c>
      <c r="W1003" s="45">
        <v>0</v>
      </c>
      <c r="X1003" s="45">
        <v>0</v>
      </c>
      <c r="Y1003" s="45">
        <v>0</v>
      </c>
      <c r="Z1003" s="45">
        <v>0</v>
      </c>
      <c r="AA1003" s="45">
        <v>0</v>
      </c>
      <c r="AB1003" s="45">
        <v>0</v>
      </c>
      <c r="AC1003" s="45">
        <v>0</v>
      </c>
      <c r="AD1003" s="45">
        <v>0</v>
      </c>
      <c r="AE1003" s="45">
        <v>0</v>
      </c>
      <c r="AF1003" s="45">
        <v>0</v>
      </c>
      <c r="AG1003" s="45">
        <v>0</v>
      </c>
      <c r="AH1003" s="45">
        <v>0</v>
      </c>
      <c r="AI1003" s="45">
        <v>0</v>
      </c>
      <c r="AJ1003" s="45">
        <v>0</v>
      </c>
      <c r="AK1003" s="45">
        <v>0</v>
      </c>
      <c r="AL1003" s="45">
        <v>0</v>
      </c>
      <c r="AM1003" s="57" t="str">
        <f>I1003-J1003-K1003-L1003-M1003-N1003-O1003-P1003-Q1003-R1003-S1003-T1003-U1003-V1003-W1003-X1003-Y1003-Z1003-AA1003-AB1003-AC1003-AD1003-AE1003-AF1003-AG1003+AH1003-AI1003+AJ1003+AK1003-AL1003</f>
        <v>0</v>
      </c>
      <c r="AN1003" s="45"/>
    </row>
    <row r="1004" spans="1:41">
      <c r="A1004" s="45">
        <v>976</v>
      </c>
      <c r="B1004" s="45" t="s">
        <v>3939</v>
      </c>
      <c r="C1004" s="49" t="s">
        <v>3940</v>
      </c>
      <c r="D1004" s="53" t="s">
        <v>73</v>
      </c>
      <c r="E1004" s="45" t="s">
        <v>3908</v>
      </c>
      <c r="F1004" s="45" t="s">
        <v>3941</v>
      </c>
      <c r="G1004" s="45">
        <v>7</v>
      </c>
      <c r="H1004" s="53" t="s">
        <v>3942</v>
      </c>
      <c r="I1004" s="45">
        <v>1005000</v>
      </c>
      <c r="J1004" s="45">
        <v>0</v>
      </c>
      <c r="K1004" s="45">
        <v>35000</v>
      </c>
      <c r="L1004" s="45">
        <v>0</v>
      </c>
      <c r="M1004" s="45">
        <v>0</v>
      </c>
      <c r="N1004" s="45">
        <v>0</v>
      </c>
      <c r="O1004" s="45">
        <v>0</v>
      </c>
      <c r="P1004" s="45">
        <v>0</v>
      </c>
      <c r="Q1004" s="45">
        <v>0</v>
      </c>
      <c r="R1004" s="45">
        <v>0</v>
      </c>
      <c r="S1004" s="45">
        <v>0</v>
      </c>
      <c r="T1004" s="45">
        <v>0</v>
      </c>
      <c r="U1004" s="45">
        <v>2222</v>
      </c>
      <c r="V1004" s="45">
        <v>0</v>
      </c>
      <c r="W1004" s="45">
        <v>0</v>
      </c>
      <c r="X1004" s="45">
        <v>0</v>
      </c>
      <c r="Y1004" s="45">
        <v>0</v>
      </c>
      <c r="Z1004" s="45">
        <v>0</v>
      </c>
      <c r="AA1004" s="45">
        <v>0</v>
      </c>
      <c r="AB1004" s="45">
        <v>0</v>
      </c>
      <c r="AC1004" s="45">
        <v>0</v>
      </c>
      <c r="AD1004" s="45">
        <v>0</v>
      </c>
      <c r="AE1004" s="45">
        <v>0</v>
      </c>
      <c r="AF1004" s="45">
        <v>0</v>
      </c>
      <c r="AG1004" s="45">
        <v>0</v>
      </c>
      <c r="AH1004" s="45">
        <v>0</v>
      </c>
      <c r="AI1004" s="45">
        <v>0</v>
      </c>
      <c r="AJ1004" s="45">
        <v>0</v>
      </c>
      <c r="AK1004" s="45">
        <v>0</v>
      </c>
      <c r="AL1004" s="45">
        <v>0</v>
      </c>
      <c r="AM1004" s="57" t="str">
        <f>I1004-J1004-K1004-L1004-M1004-N1004-O1004-P1004-Q1004-R1004-S1004-T1004-U1004-V1004-W1004-X1004-Y1004-Z1004-AA1004-AB1004-AC1004-AD1004-AE1004-AF1004-AG1004+AH1004-AI1004+AJ1004+AK1004-AL1004</f>
        <v>0</v>
      </c>
      <c r="AN1004" s="45"/>
    </row>
    <row r="1005" spans="1:41">
      <c r="A1005" s="45">
        <v>977</v>
      </c>
      <c r="B1005" s="45" t="s">
        <v>3943</v>
      </c>
      <c r="C1005" s="49" t="s">
        <v>3944</v>
      </c>
      <c r="D1005" s="53" t="s">
        <v>73</v>
      </c>
      <c r="E1005" s="45" t="s">
        <v>3908</v>
      </c>
      <c r="F1005" s="45" t="s">
        <v>638</v>
      </c>
      <c r="G1005" s="45">
        <v>4</v>
      </c>
      <c r="H1005" s="53" t="s">
        <v>3945</v>
      </c>
      <c r="I1005" s="45">
        <v>320000</v>
      </c>
      <c r="J1005" s="45">
        <v>0</v>
      </c>
      <c r="K1005" s="45">
        <v>25000</v>
      </c>
      <c r="L1005" s="45">
        <v>0</v>
      </c>
      <c r="M1005" s="45">
        <v>0</v>
      </c>
      <c r="N1005" s="45">
        <v>0</v>
      </c>
      <c r="O1005" s="45">
        <v>0</v>
      </c>
      <c r="P1005" s="45">
        <v>0</v>
      </c>
      <c r="Q1005" s="45">
        <v>0</v>
      </c>
      <c r="R1005" s="45">
        <v>0</v>
      </c>
      <c r="S1005" s="45">
        <v>0</v>
      </c>
      <c r="T1005" s="45">
        <v>0</v>
      </c>
      <c r="U1005" s="45">
        <v>1587</v>
      </c>
      <c r="V1005" s="45">
        <v>0</v>
      </c>
      <c r="W1005" s="45">
        <v>0</v>
      </c>
      <c r="X1005" s="45">
        <v>0</v>
      </c>
      <c r="Y1005" s="45">
        <v>0</v>
      </c>
      <c r="Z1005" s="45">
        <v>0</v>
      </c>
      <c r="AA1005" s="45">
        <v>0</v>
      </c>
      <c r="AB1005" s="45">
        <v>0</v>
      </c>
      <c r="AC1005" s="45">
        <v>0</v>
      </c>
      <c r="AD1005" s="45">
        <v>0</v>
      </c>
      <c r="AE1005" s="45">
        <v>0</v>
      </c>
      <c r="AF1005" s="45">
        <v>0</v>
      </c>
      <c r="AG1005" s="45">
        <v>0</v>
      </c>
      <c r="AH1005" s="45">
        <v>0</v>
      </c>
      <c r="AI1005" s="45">
        <v>0</v>
      </c>
      <c r="AJ1005" s="45">
        <v>0</v>
      </c>
      <c r="AK1005" s="45">
        <v>0</v>
      </c>
      <c r="AL1005" s="45">
        <v>0</v>
      </c>
      <c r="AM1005" s="57" t="str">
        <f>I1005-J1005-K1005-L1005-M1005-N1005-O1005-P1005-Q1005-R1005-S1005-T1005-U1005-V1005-W1005-X1005-Y1005-Z1005-AA1005-AB1005-AC1005-AD1005-AE1005-AF1005-AG1005+AH1005-AI1005+AJ1005+AK1005-AL1005</f>
        <v>0</v>
      </c>
      <c r="AN1005" s="45"/>
    </row>
    <row r="1006" spans="1:41">
      <c r="A1006" s="45">
        <v>978</v>
      </c>
      <c r="B1006" s="45" t="s">
        <v>3946</v>
      </c>
      <c r="C1006" s="49" t="s">
        <v>3947</v>
      </c>
      <c r="D1006" s="53" t="s">
        <v>73</v>
      </c>
      <c r="E1006" s="45" t="s">
        <v>3908</v>
      </c>
      <c r="F1006" s="45" t="s">
        <v>3948</v>
      </c>
      <c r="G1006" s="45">
        <v>3</v>
      </c>
      <c r="H1006" s="53" t="s">
        <v>3949</v>
      </c>
      <c r="I1006" s="45">
        <v>291500</v>
      </c>
      <c r="J1006" s="45">
        <v>0</v>
      </c>
      <c r="K1006" s="45">
        <v>22000</v>
      </c>
      <c r="L1006" s="45">
        <v>0</v>
      </c>
      <c r="M1006" s="45">
        <v>0</v>
      </c>
      <c r="N1006" s="45">
        <v>0</v>
      </c>
      <c r="O1006" s="45">
        <v>0</v>
      </c>
      <c r="P1006" s="45">
        <v>0</v>
      </c>
      <c r="Q1006" s="45">
        <v>0</v>
      </c>
      <c r="R1006" s="45">
        <v>0</v>
      </c>
      <c r="S1006" s="45">
        <v>0</v>
      </c>
      <c r="T1006" s="45">
        <v>0</v>
      </c>
      <c r="U1006" s="45">
        <v>1397</v>
      </c>
      <c r="V1006" s="45">
        <v>0</v>
      </c>
      <c r="W1006" s="45">
        <v>0</v>
      </c>
      <c r="X1006" s="45">
        <v>0</v>
      </c>
      <c r="Y1006" s="45">
        <v>0</v>
      </c>
      <c r="Z1006" s="45">
        <v>0</v>
      </c>
      <c r="AA1006" s="45">
        <v>0</v>
      </c>
      <c r="AB1006" s="45">
        <v>0</v>
      </c>
      <c r="AC1006" s="45">
        <v>0</v>
      </c>
      <c r="AD1006" s="45">
        <v>0</v>
      </c>
      <c r="AE1006" s="45">
        <v>0</v>
      </c>
      <c r="AF1006" s="45">
        <v>0</v>
      </c>
      <c r="AG1006" s="45">
        <v>0</v>
      </c>
      <c r="AH1006" s="45">
        <v>0</v>
      </c>
      <c r="AI1006" s="45">
        <v>0</v>
      </c>
      <c r="AJ1006" s="45">
        <v>0</v>
      </c>
      <c r="AK1006" s="45">
        <v>0</v>
      </c>
      <c r="AL1006" s="45">
        <v>0</v>
      </c>
      <c r="AM1006" s="57" t="str">
        <f>I1006-J1006-K1006-L1006-M1006-N1006-O1006-P1006-Q1006-R1006-S1006-T1006-U1006-V1006-W1006-X1006-Y1006-Z1006-AA1006-AB1006-AC1006-AD1006-AE1006-AF1006-AG1006+AH1006-AI1006+AJ1006+AK1006-AL1006</f>
        <v>0</v>
      </c>
      <c r="AN1006" s="45"/>
    </row>
    <row r="1007" spans="1:41">
      <c r="A1007" s="45">
        <v>979</v>
      </c>
      <c r="B1007" s="45" t="s">
        <v>3950</v>
      </c>
      <c r="C1007" s="49" t="s">
        <v>3951</v>
      </c>
      <c r="D1007" s="53" t="s">
        <v>73</v>
      </c>
      <c r="E1007" s="45" t="s">
        <v>3908</v>
      </c>
      <c r="F1007" s="45" t="s">
        <v>3952</v>
      </c>
      <c r="G1007" s="45">
        <v>2</v>
      </c>
      <c r="H1007" s="53" t="s">
        <v>3953</v>
      </c>
      <c r="I1007" s="45">
        <v>335000</v>
      </c>
      <c r="J1007" s="45">
        <v>0</v>
      </c>
      <c r="K1007" s="45">
        <v>22000</v>
      </c>
      <c r="L1007" s="45">
        <v>0</v>
      </c>
      <c r="M1007" s="45">
        <v>0</v>
      </c>
      <c r="N1007" s="45">
        <v>0</v>
      </c>
      <c r="O1007" s="45">
        <v>0</v>
      </c>
      <c r="P1007" s="45">
        <v>0</v>
      </c>
      <c r="Q1007" s="45">
        <v>0</v>
      </c>
      <c r="R1007" s="45">
        <v>0</v>
      </c>
      <c r="S1007" s="45">
        <v>0</v>
      </c>
      <c r="T1007" s="45">
        <v>0</v>
      </c>
      <c r="U1007" s="45">
        <v>1397</v>
      </c>
      <c r="V1007" s="45">
        <v>0</v>
      </c>
      <c r="W1007" s="45">
        <v>0</v>
      </c>
      <c r="X1007" s="45">
        <v>0</v>
      </c>
      <c r="Y1007" s="45">
        <v>0</v>
      </c>
      <c r="Z1007" s="45">
        <v>0</v>
      </c>
      <c r="AA1007" s="45">
        <v>0</v>
      </c>
      <c r="AB1007" s="45">
        <v>0</v>
      </c>
      <c r="AC1007" s="45">
        <v>0</v>
      </c>
      <c r="AD1007" s="45">
        <v>0</v>
      </c>
      <c r="AE1007" s="45">
        <v>0</v>
      </c>
      <c r="AF1007" s="45">
        <v>0</v>
      </c>
      <c r="AG1007" s="45">
        <v>0</v>
      </c>
      <c r="AH1007" s="45">
        <v>0</v>
      </c>
      <c r="AI1007" s="45">
        <v>0</v>
      </c>
      <c r="AJ1007" s="45">
        <v>0</v>
      </c>
      <c r="AK1007" s="45">
        <v>0</v>
      </c>
      <c r="AL1007" s="45">
        <v>0</v>
      </c>
      <c r="AM1007" s="57" t="str">
        <f>I1007-J1007-K1007-L1007-M1007-N1007-O1007-P1007-Q1007-R1007-S1007-T1007-U1007-V1007-W1007-X1007-Y1007-Z1007-AA1007-AB1007-AC1007-AD1007-AE1007-AF1007-AG1007+AH1007-AI1007+AJ1007+AK1007-AL1007</f>
        <v>0</v>
      </c>
      <c r="AN1007" s="45"/>
    </row>
    <row r="1008" spans="1:41">
      <c r="A1008" s="45">
        <v>980</v>
      </c>
      <c r="B1008" s="45" t="s">
        <v>3954</v>
      </c>
      <c r="C1008" s="49" t="s">
        <v>3955</v>
      </c>
      <c r="D1008" s="53" t="s">
        <v>73</v>
      </c>
      <c r="E1008" s="45" t="s">
        <v>3908</v>
      </c>
      <c r="F1008" s="45" t="s">
        <v>1132</v>
      </c>
      <c r="G1008" s="45">
        <v>6</v>
      </c>
      <c r="H1008" s="53" t="s">
        <v>3956</v>
      </c>
      <c r="I1008" s="45">
        <v>579000</v>
      </c>
      <c r="J1008" s="45">
        <v>0</v>
      </c>
      <c r="K1008" s="45">
        <v>31000</v>
      </c>
      <c r="L1008" s="45">
        <v>0</v>
      </c>
      <c r="M1008" s="45">
        <v>0</v>
      </c>
      <c r="N1008" s="45">
        <v>0</v>
      </c>
      <c r="O1008" s="45">
        <v>0</v>
      </c>
      <c r="P1008" s="45">
        <v>0</v>
      </c>
      <c r="Q1008" s="45">
        <v>0</v>
      </c>
      <c r="R1008" s="45">
        <v>0</v>
      </c>
      <c r="S1008" s="45">
        <v>0</v>
      </c>
      <c r="T1008" s="45">
        <v>0</v>
      </c>
      <c r="U1008" s="45">
        <v>1968</v>
      </c>
      <c r="V1008" s="45">
        <v>0</v>
      </c>
      <c r="W1008" s="45">
        <v>0</v>
      </c>
      <c r="X1008" s="45">
        <v>0</v>
      </c>
      <c r="Y1008" s="45">
        <v>0</v>
      </c>
      <c r="Z1008" s="45">
        <v>0</v>
      </c>
      <c r="AA1008" s="45">
        <v>0</v>
      </c>
      <c r="AB1008" s="45">
        <v>0</v>
      </c>
      <c r="AC1008" s="45">
        <v>0</v>
      </c>
      <c r="AD1008" s="45">
        <v>0</v>
      </c>
      <c r="AE1008" s="45">
        <v>0</v>
      </c>
      <c r="AF1008" s="45">
        <v>0</v>
      </c>
      <c r="AG1008" s="45">
        <v>0</v>
      </c>
      <c r="AH1008" s="45">
        <v>0</v>
      </c>
      <c r="AI1008" s="45">
        <v>0</v>
      </c>
      <c r="AJ1008" s="45">
        <v>0</v>
      </c>
      <c r="AK1008" s="45">
        <v>0</v>
      </c>
      <c r="AL1008" s="45">
        <v>0</v>
      </c>
      <c r="AM1008" s="57" t="str">
        <f>I1008-J1008-K1008-L1008-M1008-N1008-O1008-P1008-Q1008-R1008-S1008-T1008-U1008-V1008-W1008-X1008-Y1008-Z1008-AA1008-AB1008-AC1008-AD1008-AE1008-AF1008-AG1008+AH1008-AI1008+AJ1008+AK1008-AL1008</f>
        <v>0</v>
      </c>
      <c r="AN1008" s="45"/>
    </row>
    <row r="1009" spans="1:41">
      <c r="A1009" s="45">
        <v>981</v>
      </c>
      <c r="B1009" s="45" t="s">
        <v>3957</v>
      </c>
      <c r="C1009" s="49" t="s">
        <v>3958</v>
      </c>
      <c r="D1009" s="53" t="s">
        <v>73</v>
      </c>
      <c r="E1009" s="45" t="s">
        <v>3908</v>
      </c>
      <c r="F1009" s="45" t="s">
        <v>3959</v>
      </c>
      <c r="G1009" s="45">
        <v>5</v>
      </c>
      <c r="H1009" s="53" t="s">
        <v>3960</v>
      </c>
      <c r="I1009" s="45">
        <v>573200</v>
      </c>
      <c r="J1009" s="45">
        <v>0</v>
      </c>
      <c r="K1009" s="45">
        <v>27000</v>
      </c>
      <c r="L1009" s="45">
        <v>0</v>
      </c>
      <c r="M1009" s="45">
        <v>0</v>
      </c>
      <c r="N1009" s="45">
        <v>0</v>
      </c>
      <c r="O1009" s="45">
        <v>0</v>
      </c>
      <c r="P1009" s="45">
        <v>0</v>
      </c>
      <c r="Q1009" s="45">
        <v>0</v>
      </c>
      <c r="R1009" s="45">
        <v>0</v>
      </c>
      <c r="S1009" s="45">
        <v>0</v>
      </c>
      <c r="T1009" s="45">
        <v>0</v>
      </c>
      <c r="U1009" s="45">
        <v>1714</v>
      </c>
      <c r="V1009" s="45">
        <v>0</v>
      </c>
      <c r="W1009" s="45">
        <v>0</v>
      </c>
      <c r="X1009" s="45">
        <v>0</v>
      </c>
      <c r="Y1009" s="45">
        <v>0</v>
      </c>
      <c r="Z1009" s="45">
        <v>0</v>
      </c>
      <c r="AA1009" s="45">
        <v>0</v>
      </c>
      <c r="AB1009" s="45">
        <v>0</v>
      </c>
      <c r="AC1009" s="45">
        <v>0</v>
      </c>
      <c r="AD1009" s="45">
        <v>0</v>
      </c>
      <c r="AE1009" s="45">
        <v>0</v>
      </c>
      <c r="AF1009" s="45">
        <v>0</v>
      </c>
      <c r="AG1009" s="45">
        <v>0</v>
      </c>
      <c r="AH1009" s="45">
        <v>0</v>
      </c>
      <c r="AI1009" s="45">
        <v>0</v>
      </c>
      <c r="AJ1009" s="45">
        <v>0</v>
      </c>
      <c r="AK1009" s="45">
        <v>0</v>
      </c>
      <c r="AL1009" s="45">
        <v>0</v>
      </c>
      <c r="AM1009" s="57" t="str">
        <f>I1009-J1009-K1009-L1009-M1009-N1009-O1009-P1009-Q1009-R1009-S1009-T1009-U1009-V1009-W1009-X1009-Y1009-Z1009-AA1009-AB1009-AC1009-AD1009-AE1009-AF1009-AG1009+AH1009-AI1009+AJ1009+AK1009-AL1009</f>
        <v>0</v>
      </c>
      <c r="AN1009" s="45"/>
    </row>
    <row r="1010" spans="1:41">
      <c r="A1010" s="45">
        <v>982</v>
      </c>
      <c r="B1010" s="45" t="s">
        <v>3961</v>
      </c>
      <c r="C1010" s="49" t="s">
        <v>3962</v>
      </c>
      <c r="D1010" s="53" t="s">
        <v>73</v>
      </c>
      <c r="E1010" s="45" t="s">
        <v>3908</v>
      </c>
      <c r="F1010" s="45" t="s">
        <v>3963</v>
      </c>
      <c r="G1010" s="45">
        <v>2</v>
      </c>
      <c r="H1010" s="53" t="s">
        <v>3964</v>
      </c>
      <c r="I1010" s="45">
        <v>144000</v>
      </c>
      <c r="J1010" s="45">
        <v>0</v>
      </c>
      <c r="K1010" s="45">
        <v>22000</v>
      </c>
      <c r="L1010" s="45">
        <v>0</v>
      </c>
      <c r="M1010" s="45">
        <v>0</v>
      </c>
      <c r="N1010" s="45">
        <v>0</v>
      </c>
      <c r="O1010" s="45">
        <v>0</v>
      </c>
      <c r="P1010" s="45">
        <v>0</v>
      </c>
      <c r="Q1010" s="45">
        <v>0</v>
      </c>
      <c r="R1010" s="45">
        <v>0</v>
      </c>
      <c r="S1010" s="45">
        <v>0</v>
      </c>
      <c r="T1010" s="45">
        <v>0</v>
      </c>
      <c r="U1010" s="45">
        <v>1397</v>
      </c>
      <c r="V1010" s="45">
        <v>0</v>
      </c>
      <c r="W1010" s="45">
        <v>0</v>
      </c>
      <c r="X1010" s="45">
        <v>0</v>
      </c>
      <c r="Y1010" s="45">
        <v>0</v>
      </c>
      <c r="Z1010" s="45">
        <v>0</v>
      </c>
      <c r="AA1010" s="45">
        <v>0</v>
      </c>
      <c r="AB1010" s="45">
        <v>0</v>
      </c>
      <c r="AC1010" s="45">
        <v>0</v>
      </c>
      <c r="AD1010" s="45">
        <v>0</v>
      </c>
      <c r="AE1010" s="45">
        <v>0</v>
      </c>
      <c r="AF1010" s="45">
        <v>0</v>
      </c>
      <c r="AG1010" s="45">
        <v>0</v>
      </c>
      <c r="AH1010" s="45">
        <v>0</v>
      </c>
      <c r="AI1010" s="45">
        <v>0</v>
      </c>
      <c r="AJ1010" s="45">
        <v>0</v>
      </c>
      <c r="AK1010" s="45">
        <v>0</v>
      </c>
      <c r="AL1010" s="45">
        <v>0</v>
      </c>
      <c r="AM1010" s="57" t="str">
        <f>I1010-J1010-K1010-L1010-M1010-N1010-O1010-P1010-Q1010-R1010-S1010-T1010-U1010-V1010-W1010-X1010-Y1010-Z1010-AA1010-AB1010-AC1010-AD1010-AE1010-AF1010-AG1010+AH1010-AI1010+AJ1010+AK1010-AL1010</f>
        <v>0</v>
      </c>
      <c r="AN1010" s="45"/>
    </row>
    <row r="1011" spans="1:41">
      <c r="A1011" s="45">
        <v>983</v>
      </c>
      <c r="B1011" s="45" t="s">
        <v>3965</v>
      </c>
      <c r="C1011" s="49" t="s">
        <v>3966</v>
      </c>
      <c r="D1011" s="53" t="s">
        <v>73</v>
      </c>
      <c r="E1011" s="45" t="s">
        <v>3908</v>
      </c>
      <c r="F1011" s="45" t="s">
        <v>3967</v>
      </c>
      <c r="G1011" s="45">
        <v>10</v>
      </c>
      <c r="H1011" s="53" t="s">
        <v>3968</v>
      </c>
      <c r="I1011" s="45">
        <v>1119000</v>
      </c>
      <c r="J1011" s="45">
        <v>0</v>
      </c>
      <c r="K1011" s="45">
        <v>49000</v>
      </c>
      <c r="L1011" s="45">
        <v>0</v>
      </c>
      <c r="M1011" s="45">
        <v>0</v>
      </c>
      <c r="N1011" s="45">
        <v>0</v>
      </c>
      <c r="O1011" s="45">
        <v>0</v>
      </c>
      <c r="P1011" s="45">
        <v>0</v>
      </c>
      <c r="Q1011" s="45">
        <v>0</v>
      </c>
      <c r="R1011" s="45">
        <v>0</v>
      </c>
      <c r="S1011" s="45">
        <v>0</v>
      </c>
      <c r="T1011" s="45">
        <v>0</v>
      </c>
      <c r="U1011" s="45">
        <v>3111</v>
      </c>
      <c r="V1011" s="45">
        <v>0</v>
      </c>
      <c r="W1011" s="45">
        <v>0</v>
      </c>
      <c r="X1011" s="45">
        <v>0</v>
      </c>
      <c r="Y1011" s="45">
        <v>0</v>
      </c>
      <c r="Z1011" s="45">
        <v>0</v>
      </c>
      <c r="AA1011" s="45">
        <v>0</v>
      </c>
      <c r="AB1011" s="45">
        <v>0</v>
      </c>
      <c r="AC1011" s="45">
        <v>0</v>
      </c>
      <c r="AD1011" s="45">
        <v>0</v>
      </c>
      <c r="AE1011" s="45">
        <v>0</v>
      </c>
      <c r="AF1011" s="45">
        <v>0</v>
      </c>
      <c r="AG1011" s="45">
        <v>0</v>
      </c>
      <c r="AH1011" s="45">
        <v>0</v>
      </c>
      <c r="AI1011" s="45">
        <v>0</v>
      </c>
      <c r="AJ1011" s="45">
        <v>0</v>
      </c>
      <c r="AK1011" s="45">
        <v>0</v>
      </c>
      <c r="AL1011" s="45">
        <v>0</v>
      </c>
      <c r="AM1011" s="57" t="str">
        <f>I1011-J1011-K1011-L1011-M1011-N1011-O1011-P1011-Q1011-R1011-S1011-T1011-U1011-V1011-W1011-X1011-Y1011-Z1011-AA1011-AB1011-AC1011-AD1011-AE1011-AF1011-AG1011+AH1011-AI1011+AJ1011+AK1011-AL1011</f>
        <v>0</v>
      </c>
      <c r="AN1011" s="45"/>
    </row>
    <row r="1012" spans="1:41">
      <c r="A1012" s="45">
        <v>984</v>
      </c>
      <c r="B1012" s="45" t="s">
        <v>3969</v>
      </c>
      <c r="C1012" s="49" t="s">
        <v>3970</v>
      </c>
      <c r="D1012" s="53" t="s">
        <v>73</v>
      </c>
      <c r="E1012" s="45" t="s">
        <v>3908</v>
      </c>
      <c r="F1012" s="45" t="s">
        <v>2105</v>
      </c>
      <c r="G1012" s="45">
        <v>6</v>
      </c>
      <c r="H1012" s="53" t="s">
        <v>3971</v>
      </c>
      <c r="I1012" s="45">
        <v>613000</v>
      </c>
      <c r="J1012" s="45">
        <v>0</v>
      </c>
      <c r="K1012" s="45">
        <v>31000</v>
      </c>
      <c r="L1012" s="45">
        <v>0</v>
      </c>
      <c r="M1012" s="45">
        <v>0</v>
      </c>
      <c r="N1012" s="45">
        <v>0</v>
      </c>
      <c r="O1012" s="45">
        <v>0</v>
      </c>
      <c r="P1012" s="45">
        <v>0</v>
      </c>
      <c r="Q1012" s="45">
        <v>0</v>
      </c>
      <c r="R1012" s="45">
        <v>0</v>
      </c>
      <c r="S1012" s="45">
        <v>0</v>
      </c>
      <c r="T1012" s="45">
        <v>0</v>
      </c>
      <c r="U1012" s="45">
        <v>1968</v>
      </c>
      <c r="V1012" s="45">
        <v>0</v>
      </c>
      <c r="W1012" s="45">
        <v>0</v>
      </c>
      <c r="X1012" s="45">
        <v>0</v>
      </c>
      <c r="Y1012" s="45">
        <v>0</v>
      </c>
      <c r="Z1012" s="45">
        <v>0</v>
      </c>
      <c r="AA1012" s="45">
        <v>0</v>
      </c>
      <c r="AB1012" s="45">
        <v>0</v>
      </c>
      <c r="AC1012" s="45">
        <v>0</v>
      </c>
      <c r="AD1012" s="45">
        <v>0</v>
      </c>
      <c r="AE1012" s="45">
        <v>0</v>
      </c>
      <c r="AF1012" s="45">
        <v>0</v>
      </c>
      <c r="AG1012" s="45">
        <v>0</v>
      </c>
      <c r="AH1012" s="45">
        <v>0</v>
      </c>
      <c r="AI1012" s="45">
        <v>0</v>
      </c>
      <c r="AJ1012" s="45">
        <v>0</v>
      </c>
      <c r="AK1012" s="45">
        <v>0</v>
      </c>
      <c r="AL1012" s="45">
        <v>0</v>
      </c>
      <c r="AM1012" s="57" t="str">
        <f>I1012-J1012-K1012-L1012-M1012-N1012-O1012-P1012-Q1012-R1012-S1012-T1012-U1012-V1012-W1012-X1012-Y1012-Z1012-AA1012-AB1012-AC1012-AD1012-AE1012-AF1012-AG1012+AH1012-AI1012+AJ1012+AK1012-AL1012</f>
        <v>0</v>
      </c>
      <c r="AN1012" s="45"/>
    </row>
    <row r="1013" spans="1:41">
      <c r="A1013" s="45">
        <v>985</v>
      </c>
      <c r="B1013" s="45" t="s">
        <v>3972</v>
      </c>
      <c r="C1013" s="49" t="s">
        <v>3973</v>
      </c>
      <c r="D1013" s="53" t="s">
        <v>73</v>
      </c>
      <c r="E1013" s="45" t="s">
        <v>3908</v>
      </c>
      <c r="F1013" s="45" t="s">
        <v>1092</v>
      </c>
      <c r="G1013" s="45">
        <v>3</v>
      </c>
      <c r="H1013" s="53" t="s">
        <v>3974</v>
      </c>
      <c r="I1013" s="45">
        <v>585000</v>
      </c>
      <c r="J1013" s="45">
        <v>0</v>
      </c>
      <c r="K1013" s="45">
        <v>22000</v>
      </c>
      <c r="L1013" s="45">
        <v>0</v>
      </c>
      <c r="M1013" s="45">
        <v>0</v>
      </c>
      <c r="N1013" s="45">
        <v>0</v>
      </c>
      <c r="O1013" s="45">
        <v>0</v>
      </c>
      <c r="P1013" s="45">
        <v>0</v>
      </c>
      <c r="Q1013" s="45">
        <v>0</v>
      </c>
      <c r="R1013" s="45">
        <v>0</v>
      </c>
      <c r="S1013" s="45">
        <v>0</v>
      </c>
      <c r="T1013" s="45">
        <v>0</v>
      </c>
      <c r="U1013" s="45">
        <v>1397</v>
      </c>
      <c r="V1013" s="45">
        <v>0</v>
      </c>
      <c r="W1013" s="45">
        <v>0</v>
      </c>
      <c r="X1013" s="45">
        <v>0</v>
      </c>
      <c r="Y1013" s="45">
        <v>0</v>
      </c>
      <c r="Z1013" s="45">
        <v>0</v>
      </c>
      <c r="AA1013" s="45">
        <v>0</v>
      </c>
      <c r="AB1013" s="45">
        <v>0</v>
      </c>
      <c r="AC1013" s="45">
        <v>0</v>
      </c>
      <c r="AD1013" s="45">
        <v>0</v>
      </c>
      <c r="AE1013" s="45">
        <v>0</v>
      </c>
      <c r="AF1013" s="45">
        <v>0</v>
      </c>
      <c r="AG1013" s="45">
        <v>0</v>
      </c>
      <c r="AH1013" s="45">
        <v>0</v>
      </c>
      <c r="AI1013" s="45">
        <v>0</v>
      </c>
      <c r="AJ1013" s="45">
        <v>0</v>
      </c>
      <c r="AK1013" s="45">
        <v>0</v>
      </c>
      <c r="AL1013" s="45">
        <v>0</v>
      </c>
      <c r="AM1013" s="57" t="str">
        <f>I1013-J1013-K1013-L1013-M1013-N1013-O1013-P1013-Q1013-R1013-S1013-T1013-U1013-V1013-W1013-X1013-Y1013-Z1013-AA1013-AB1013-AC1013-AD1013-AE1013-AF1013-AG1013+AH1013-AI1013+AJ1013+AK1013-AL1013</f>
        <v>0</v>
      </c>
      <c r="AN1013" s="45"/>
    </row>
    <row r="1014" spans="1:41">
      <c r="A1014" s="45">
        <v>986</v>
      </c>
      <c r="B1014" s="45" t="s">
        <v>3975</v>
      </c>
      <c r="C1014" s="49" t="s">
        <v>3976</v>
      </c>
      <c r="D1014" s="53" t="s">
        <v>73</v>
      </c>
      <c r="E1014" s="45" t="s">
        <v>3908</v>
      </c>
      <c r="F1014" s="45" t="s">
        <v>2158</v>
      </c>
      <c r="G1014" s="45">
        <v>2</v>
      </c>
      <c r="H1014" s="53" t="s">
        <v>3977</v>
      </c>
      <c r="I1014" s="45">
        <v>280000</v>
      </c>
      <c r="J1014" s="45">
        <v>0</v>
      </c>
      <c r="K1014" s="45">
        <v>22000</v>
      </c>
      <c r="L1014" s="45">
        <v>0</v>
      </c>
      <c r="M1014" s="45">
        <v>0</v>
      </c>
      <c r="N1014" s="45">
        <v>0</v>
      </c>
      <c r="O1014" s="45">
        <v>0</v>
      </c>
      <c r="P1014" s="45">
        <v>0</v>
      </c>
      <c r="Q1014" s="45">
        <v>0</v>
      </c>
      <c r="R1014" s="45">
        <v>0</v>
      </c>
      <c r="S1014" s="45">
        <v>0</v>
      </c>
      <c r="T1014" s="45">
        <v>0</v>
      </c>
      <c r="U1014" s="45">
        <v>1397</v>
      </c>
      <c r="V1014" s="45">
        <v>0</v>
      </c>
      <c r="W1014" s="45">
        <v>0</v>
      </c>
      <c r="X1014" s="45">
        <v>0</v>
      </c>
      <c r="Y1014" s="45">
        <v>0</v>
      </c>
      <c r="Z1014" s="45">
        <v>0</v>
      </c>
      <c r="AA1014" s="45">
        <v>0</v>
      </c>
      <c r="AB1014" s="45">
        <v>0</v>
      </c>
      <c r="AC1014" s="45">
        <v>0</v>
      </c>
      <c r="AD1014" s="45">
        <v>0</v>
      </c>
      <c r="AE1014" s="45">
        <v>0</v>
      </c>
      <c r="AF1014" s="45">
        <v>0</v>
      </c>
      <c r="AG1014" s="45">
        <v>0</v>
      </c>
      <c r="AH1014" s="45">
        <v>0</v>
      </c>
      <c r="AI1014" s="45">
        <v>0</v>
      </c>
      <c r="AJ1014" s="45">
        <v>0</v>
      </c>
      <c r="AK1014" s="45">
        <v>0</v>
      </c>
      <c r="AL1014" s="45">
        <v>0</v>
      </c>
      <c r="AM1014" s="57" t="str">
        <f>I1014-J1014-K1014-L1014-M1014-N1014-O1014-P1014-Q1014-R1014-S1014-T1014-U1014-V1014-W1014-X1014-Y1014-Z1014-AA1014-AB1014-AC1014-AD1014-AE1014-AF1014-AG1014+AH1014-AI1014+AJ1014+AK1014-AL1014</f>
        <v>0</v>
      </c>
      <c r="AN1014" s="45"/>
    </row>
    <row r="1015" spans="1:41">
      <c r="A1015" s="45">
        <v>987</v>
      </c>
      <c r="B1015" s="45" t="s">
        <v>3978</v>
      </c>
      <c r="C1015" s="49" t="s">
        <v>3979</v>
      </c>
      <c r="D1015" s="53" t="s">
        <v>73</v>
      </c>
      <c r="E1015" s="45" t="s">
        <v>3908</v>
      </c>
      <c r="F1015" s="45" t="s">
        <v>3980</v>
      </c>
      <c r="G1015" s="45">
        <v>7</v>
      </c>
      <c r="H1015" s="53" t="s">
        <v>3981</v>
      </c>
      <c r="I1015" s="45">
        <v>1540000</v>
      </c>
      <c r="J1015" s="45">
        <v>0</v>
      </c>
      <c r="K1015" s="45">
        <v>35000</v>
      </c>
      <c r="L1015" s="45">
        <v>0</v>
      </c>
      <c r="M1015" s="45">
        <v>0</v>
      </c>
      <c r="N1015" s="45">
        <v>0</v>
      </c>
      <c r="O1015" s="45">
        <v>0</v>
      </c>
      <c r="P1015" s="45">
        <v>0</v>
      </c>
      <c r="Q1015" s="45">
        <v>0</v>
      </c>
      <c r="R1015" s="45">
        <v>0</v>
      </c>
      <c r="S1015" s="45">
        <v>0</v>
      </c>
      <c r="T1015" s="45">
        <v>0</v>
      </c>
      <c r="U1015" s="45">
        <v>2222</v>
      </c>
      <c r="V1015" s="45">
        <v>0</v>
      </c>
      <c r="W1015" s="45">
        <v>0</v>
      </c>
      <c r="X1015" s="45">
        <v>0</v>
      </c>
      <c r="Y1015" s="45">
        <v>0</v>
      </c>
      <c r="Z1015" s="45">
        <v>0</v>
      </c>
      <c r="AA1015" s="45">
        <v>0</v>
      </c>
      <c r="AB1015" s="45">
        <v>0</v>
      </c>
      <c r="AC1015" s="45">
        <v>0</v>
      </c>
      <c r="AD1015" s="45">
        <v>0</v>
      </c>
      <c r="AE1015" s="45">
        <v>0</v>
      </c>
      <c r="AF1015" s="45">
        <v>0</v>
      </c>
      <c r="AG1015" s="45">
        <v>0</v>
      </c>
      <c r="AH1015" s="45">
        <v>0</v>
      </c>
      <c r="AI1015" s="45">
        <v>0</v>
      </c>
      <c r="AJ1015" s="45">
        <v>0</v>
      </c>
      <c r="AK1015" s="45">
        <v>0</v>
      </c>
      <c r="AL1015" s="45">
        <v>0</v>
      </c>
      <c r="AM1015" s="57" t="str">
        <f>I1015-J1015-K1015-L1015-M1015-N1015-O1015-P1015-Q1015-R1015-S1015-T1015-U1015-V1015-W1015-X1015-Y1015-Z1015-AA1015-AB1015-AC1015-AD1015-AE1015-AF1015-AG1015+AH1015-AI1015+AJ1015+AK1015-AL1015</f>
        <v>0</v>
      </c>
      <c r="AN1015" s="45"/>
    </row>
    <row r="1016" spans="1:41">
      <c r="A1016" s="45">
        <v>988</v>
      </c>
      <c r="B1016" s="45" t="s">
        <v>3982</v>
      </c>
      <c r="C1016" s="49" t="s">
        <v>3983</v>
      </c>
      <c r="D1016" s="53" t="s">
        <v>73</v>
      </c>
      <c r="E1016" s="45" t="s">
        <v>3908</v>
      </c>
      <c r="F1016" s="45" t="s">
        <v>3984</v>
      </c>
      <c r="G1016" s="45">
        <v>2</v>
      </c>
      <c r="H1016" s="53" t="s">
        <v>3985</v>
      </c>
      <c r="I1016" s="45">
        <v>334000</v>
      </c>
      <c r="J1016" s="45">
        <v>0</v>
      </c>
      <c r="K1016" s="45">
        <v>22000</v>
      </c>
      <c r="L1016" s="45">
        <v>0</v>
      </c>
      <c r="M1016" s="45">
        <v>0</v>
      </c>
      <c r="N1016" s="45">
        <v>0</v>
      </c>
      <c r="O1016" s="45">
        <v>0</v>
      </c>
      <c r="P1016" s="45">
        <v>0</v>
      </c>
      <c r="Q1016" s="45">
        <v>0</v>
      </c>
      <c r="R1016" s="45">
        <v>0</v>
      </c>
      <c r="S1016" s="45">
        <v>0</v>
      </c>
      <c r="T1016" s="45">
        <v>0</v>
      </c>
      <c r="U1016" s="45">
        <v>1397</v>
      </c>
      <c r="V1016" s="45">
        <v>0</v>
      </c>
      <c r="W1016" s="45">
        <v>0</v>
      </c>
      <c r="X1016" s="45">
        <v>0</v>
      </c>
      <c r="Y1016" s="45">
        <v>0</v>
      </c>
      <c r="Z1016" s="45">
        <v>0</v>
      </c>
      <c r="AA1016" s="45">
        <v>0</v>
      </c>
      <c r="AB1016" s="45">
        <v>0</v>
      </c>
      <c r="AC1016" s="45">
        <v>0</v>
      </c>
      <c r="AD1016" s="45">
        <v>0</v>
      </c>
      <c r="AE1016" s="45">
        <v>0</v>
      </c>
      <c r="AF1016" s="45">
        <v>0</v>
      </c>
      <c r="AG1016" s="45">
        <v>0</v>
      </c>
      <c r="AH1016" s="45">
        <v>0</v>
      </c>
      <c r="AI1016" s="45">
        <v>0</v>
      </c>
      <c r="AJ1016" s="45">
        <v>0</v>
      </c>
      <c r="AK1016" s="45">
        <v>0</v>
      </c>
      <c r="AL1016" s="45">
        <v>0</v>
      </c>
      <c r="AM1016" s="57" t="str">
        <f>I1016-J1016-K1016-L1016-M1016-N1016-O1016-P1016-Q1016-R1016-S1016-T1016-U1016-V1016-W1016-X1016-Y1016-Z1016-AA1016-AB1016-AC1016-AD1016-AE1016-AF1016-AG1016+AH1016-AI1016+AJ1016+AK1016-AL1016</f>
        <v>0</v>
      </c>
      <c r="AN1016" s="45"/>
    </row>
    <row r="1017" spans="1:41">
      <c r="A1017" s="45">
        <v>989</v>
      </c>
      <c r="B1017" s="45" t="s">
        <v>3986</v>
      </c>
      <c r="C1017" s="49" t="s">
        <v>3987</v>
      </c>
      <c r="D1017" s="53" t="s">
        <v>73</v>
      </c>
      <c r="E1017" s="45" t="s">
        <v>3908</v>
      </c>
      <c r="F1017" s="45" t="s">
        <v>3988</v>
      </c>
      <c r="G1017" s="45">
        <v>5.8</v>
      </c>
      <c r="H1017" s="53" t="s">
        <v>3989</v>
      </c>
      <c r="I1017" s="45">
        <v>584000</v>
      </c>
      <c r="J1017" s="45">
        <v>0</v>
      </c>
      <c r="K1017" s="45">
        <v>31000</v>
      </c>
      <c r="L1017" s="45">
        <v>0</v>
      </c>
      <c r="M1017" s="45">
        <v>0</v>
      </c>
      <c r="N1017" s="45">
        <v>0</v>
      </c>
      <c r="O1017" s="45">
        <v>0</v>
      </c>
      <c r="P1017" s="45">
        <v>0</v>
      </c>
      <c r="Q1017" s="45">
        <v>0</v>
      </c>
      <c r="R1017" s="45">
        <v>0</v>
      </c>
      <c r="S1017" s="45">
        <v>0</v>
      </c>
      <c r="T1017" s="45">
        <v>0</v>
      </c>
      <c r="U1017" s="45">
        <v>1968</v>
      </c>
      <c r="V1017" s="45">
        <v>0</v>
      </c>
      <c r="W1017" s="45">
        <v>0</v>
      </c>
      <c r="X1017" s="45">
        <v>0</v>
      </c>
      <c r="Y1017" s="45">
        <v>0</v>
      </c>
      <c r="Z1017" s="45">
        <v>0</v>
      </c>
      <c r="AA1017" s="45">
        <v>0</v>
      </c>
      <c r="AB1017" s="45">
        <v>0</v>
      </c>
      <c r="AC1017" s="45">
        <v>0</v>
      </c>
      <c r="AD1017" s="45">
        <v>0</v>
      </c>
      <c r="AE1017" s="45">
        <v>0</v>
      </c>
      <c r="AF1017" s="45">
        <v>0</v>
      </c>
      <c r="AG1017" s="45">
        <v>0</v>
      </c>
      <c r="AH1017" s="45">
        <v>0</v>
      </c>
      <c r="AI1017" s="45">
        <v>0</v>
      </c>
      <c r="AJ1017" s="45">
        <v>0</v>
      </c>
      <c r="AK1017" s="45">
        <v>0</v>
      </c>
      <c r="AL1017" s="45">
        <v>0</v>
      </c>
      <c r="AM1017" s="57" t="str">
        <f>I1017-J1017-K1017-L1017-M1017-N1017-O1017-P1017-Q1017-R1017-S1017-T1017-U1017-V1017-W1017-X1017-Y1017-Z1017-AA1017-AB1017-AC1017-AD1017-AE1017-AF1017-AG1017+AH1017-AI1017+AJ1017+AK1017-AL1017</f>
        <v>0</v>
      </c>
      <c r="AN1017" s="45"/>
    </row>
    <row r="1018" spans="1:41">
      <c r="A1018" s="45">
        <v>990</v>
      </c>
      <c r="B1018" s="45" t="s">
        <v>3990</v>
      </c>
      <c r="C1018" s="49" t="s">
        <v>3991</v>
      </c>
      <c r="D1018" s="53" t="s">
        <v>73</v>
      </c>
      <c r="E1018" s="45" t="s">
        <v>3908</v>
      </c>
      <c r="F1018" s="45" t="s">
        <v>3992</v>
      </c>
      <c r="G1018" s="45">
        <v>14</v>
      </c>
      <c r="H1018" s="53" t="s">
        <v>3993</v>
      </c>
      <c r="I1018" s="45">
        <v>1065000</v>
      </c>
      <c r="J1018" s="45">
        <v>0</v>
      </c>
      <c r="K1018" s="45">
        <v>69000</v>
      </c>
      <c r="L1018" s="45">
        <v>0</v>
      </c>
      <c r="M1018" s="45">
        <v>0</v>
      </c>
      <c r="N1018" s="45">
        <v>0</v>
      </c>
      <c r="O1018" s="45">
        <v>0</v>
      </c>
      <c r="P1018" s="45">
        <v>0</v>
      </c>
      <c r="Q1018" s="45">
        <v>0</v>
      </c>
      <c r="R1018" s="45">
        <v>0</v>
      </c>
      <c r="S1018" s="45">
        <v>0</v>
      </c>
      <c r="T1018" s="45">
        <v>0</v>
      </c>
      <c r="U1018" s="45">
        <v>4381</v>
      </c>
      <c r="V1018" s="45">
        <v>0</v>
      </c>
      <c r="W1018" s="45">
        <v>0</v>
      </c>
      <c r="X1018" s="45">
        <v>0</v>
      </c>
      <c r="Y1018" s="45">
        <v>0</v>
      </c>
      <c r="Z1018" s="45">
        <v>0</v>
      </c>
      <c r="AA1018" s="45">
        <v>0</v>
      </c>
      <c r="AB1018" s="45">
        <v>0</v>
      </c>
      <c r="AC1018" s="45">
        <v>0</v>
      </c>
      <c r="AD1018" s="45">
        <v>0</v>
      </c>
      <c r="AE1018" s="45">
        <v>0</v>
      </c>
      <c r="AF1018" s="45">
        <v>0</v>
      </c>
      <c r="AG1018" s="45">
        <v>0</v>
      </c>
      <c r="AH1018" s="45">
        <v>0</v>
      </c>
      <c r="AI1018" s="45">
        <v>0</v>
      </c>
      <c r="AJ1018" s="45">
        <v>0</v>
      </c>
      <c r="AK1018" s="45">
        <v>0</v>
      </c>
      <c r="AL1018" s="45">
        <v>0</v>
      </c>
      <c r="AM1018" s="57" t="str">
        <f>I1018-J1018-K1018-L1018-M1018-N1018-O1018-P1018-Q1018-R1018-S1018-T1018-U1018-V1018-W1018-X1018-Y1018-Z1018-AA1018-AB1018-AC1018-AD1018-AE1018-AF1018-AG1018+AH1018-AI1018+AJ1018+AK1018-AL1018</f>
        <v>0</v>
      </c>
      <c r="AN1018" s="45"/>
    </row>
    <row r="1019" spans="1:41">
      <c r="A1019" s="45">
        <v>991</v>
      </c>
      <c r="B1019" s="45" t="s">
        <v>3994</v>
      </c>
      <c r="C1019" s="49" t="s">
        <v>3995</v>
      </c>
      <c r="D1019" s="53" t="s">
        <v>73</v>
      </c>
      <c r="E1019" s="45" t="s">
        <v>3908</v>
      </c>
      <c r="F1019" s="45" t="s">
        <v>3996</v>
      </c>
      <c r="G1019" s="45">
        <v>5.8</v>
      </c>
      <c r="H1019" s="53" t="s">
        <v>3997</v>
      </c>
      <c r="I1019" s="45">
        <v>634000</v>
      </c>
      <c r="J1019" s="45">
        <v>0</v>
      </c>
      <c r="K1019" s="45">
        <v>31000</v>
      </c>
      <c r="L1019" s="45">
        <v>0</v>
      </c>
      <c r="M1019" s="45">
        <v>0</v>
      </c>
      <c r="N1019" s="45">
        <v>0</v>
      </c>
      <c r="O1019" s="45">
        <v>0</v>
      </c>
      <c r="P1019" s="45">
        <v>0</v>
      </c>
      <c r="Q1019" s="45">
        <v>0</v>
      </c>
      <c r="R1019" s="45">
        <v>0</v>
      </c>
      <c r="S1019" s="45">
        <v>0</v>
      </c>
      <c r="T1019" s="45">
        <v>0</v>
      </c>
      <c r="U1019" s="45">
        <v>1968</v>
      </c>
      <c r="V1019" s="45">
        <v>0</v>
      </c>
      <c r="W1019" s="45">
        <v>0</v>
      </c>
      <c r="X1019" s="45">
        <v>0</v>
      </c>
      <c r="Y1019" s="45">
        <v>0</v>
      </c>
      <c r="Z1019" s="45">
        <v>0</v>
      </c>
      <c r="AA1019" s="45">
        <v>0</v>
      </c>
      <c r="AB1019" s="45">
        <v>0</v>
      </c>
      <c r="AC1019" s="45">
        <v>0</v>
      </c>
      <c r="AD1019" s="45">
        <v>0</v>
      </c>
      <c r="AE1019" s="45">
        <v>0</v>
      </c>
      <c r="AF1019" s="45">
        <v>0</v>
      </c>
      <c r="AG1019" s="45">
        <v>0</v>
      </c>
      <c r="AH1019" s="45">
        <v>0</v>
      </c>
      <c r="AI1019" s="45">
        <v>0</v>
      </c>
      <c r="AJ1019" s="45">
        <v>0</v>
      </c>
      <c r="AK1019" s="45">
        <v>0</v>
      </c>
      <c r="AL1019" s="45">
        <v>0</v>
      </c>
      <c r="AM1019" s="57" t="str">
        <f>I1019-J1019-K1019-L1019-M1019-N1019-O1019-P1019-Q1019-R1019-S1019-T1019-U1019-V1019-W1019-X1019-Y1019-Z1019-AA1019-AB1019-AC1019-AD1019-AE1019-AF1019-AG1019+AH1019-AI1019+AJ1019+AK1019-AL1019</f>
        <v>0</v>
      </c>
      <c r="AN1019" s="45"/>
    </row>
    <row r="1020" spans="1:41">
      <c r="A1020" s="45">
        <v>992</v>
      </c>
      <c r="B1020" s="45" t="s">
        <v>3998</v>
      </c>
      <c r="C1020" s="49" t="s">
        <v>3999</v>
      </c>
      <c r="D1020" s="53" t="s">
        <v>73</v>
      </c>
      <c r="E1020" s="45" t="s">
        <v>4000</v>
      </c>
      <c r="F1020" s="45" t="s">
        <v>1885</v>
      </c>
      <c r="G1020" s="45">
        <v>5.8</v>
      </c>
      <c r="H1020" s="53" t="s">
        <v>4001</v>
      </c>
      <c r="I1020" s="45">
        <v>584000</v>
      </c>
      <c r="J1020" s="45">
        <v>0</v>
      </c>
      <c r="K1020" s="45">
        <v>31000</v>
      </c>
      <c r="L1020" s="45">
        <v>0</v>
      </c>
      <c r="M1020" s="45">
        <v>0</v>
      </c>
      <c r="N1020" s="45">
        <v>0</v>
      </c>
      <c r="O1020" s="45">
        <v>0</v>
      </c>
      <c r="P1020" s="45">
        <v>0</v>
      </c>
      <c r="Q1020" s="45">
        <v>0</v>
      </c>
      <c r="R1020" s="45">
        <v>0</v>
      </c>
      <c r="S1020" s="45">
        <v>0</v>
      </c>
      <c r="T1020" s="45">
        <v>0</v>
      </c>
      <c r="U1020" s="45">
        <v>1968</v>
      </c>
      <c r="V1020" s="45">
        <v>0</v>
      </c>
      <c r="W1020" s="45">
        <v>0</v>
      </c>
      <c r="X1020" s="45">
        <v>0</v>
      </c>
      <c r="Y1020" s="45">
        <v>0</v>
      </c>
      <c r="Z1020" s="45">
        <v>0</v>
      </c>
      <c r="AA1020" s="45">
        <v>0</v>
      </c>
      <c r="AB1020" s="45">
        <v>0</v>
      </c>
      <c r="AC1020" s="45">
        <v>0</v>
      </c>
      <c r="AD1020" s="45">
        <v>0</v>
      </c>
      <c r="AE1020" s="45">
        <v>0</v>
      </c>
      <c r="AF1020" s="45">
        <v>0</v>
      </c>
      <c r="AG1020" s="45">
        <v>0</v>
      </c>
      <c r="AH1020" s="45">
        <v>0</v>
      </c>
      <c r="AI1020" s="45">
        <v>0</v>
      </c>
      <c r="AJ1020" s="45">
        <v>0</v>
      </c>
      <c r="AK1020" s="45">
        <v>0</v>
      </c>
      <c r="AL1020" s="45">
        <v>0</v>
      </c>
      <c r="AM1020" s="57" t="str">
        <f>I1020-J1020-K1020-L1020-M1020-N1020-O1020-P1020-Q1020-R1020-S1020-T1020-U1020-V1020-W1020-X1020-Y1020-Z1020-AA1020-AB1020-AC1020-AD1020-AE1020-AF1020-AG1020+AH1020-AI1020+AJ1020+AK1020-AL1020</f>
        <v>0</v>
      </c>
      <c r="AN1020" s="45"/>
    </row>
    <row r="1021" spans="1:41">
      <c r="A1021" s="45">
        <v>993</v>
      </c>
      <c r="B1021" s="45" t="s">
        <v>4002</v>
      </c>
      <c r="C1021" s="49" t="s">
        <v>4003</v>
      </c>
      <c r="D1021" s="53" t="s">
        <v>62</v>
      </c>
      <c r="E1021" s="45" t="s">
        <v>4000</v>
      </c>
      <c r="F1021" s="45" t="s">
        <v>4004</v>
      </c>
      <c r="G1021" s="45">
        <v>6</v>
      </c>
      <c r="H1021" s="53" t="s">
        <v>4005</v>
      </c>
      <c r="I1021" s="45">
        <v>0</v>
      </c>
      <c r="J1021" s="45">
        <v>0</v>
      </c>
      <c r="K1021" s="45">
        <v>31000</v>
      </c>
      <c r="L1021" s="45">
        <v>0</v>
      </c>
      <c r="M1021" s="45">
        <v>0</v>
      </c>
      <c r="N1021" s="45">
        <v>0</v>
      </c>
      <c r="O1021" s="45">
        <v>0</v>
      </c>
      <c r="P1021" s="45">
        <v>0</v>
      </c>
      <c r="Q1021" s="45">
        <v>0</v>
      </c>
      <c r="R1021" s="45">
        <v>0</v>
      </c>
      <c r="S1021" s="45">
        <v>0</v>
      </c>
      <c r="T1021" s="45">
        <v>0</v>
      </c>
      <c r="U1021" s="45">
        <v>1968</v>
      </c>
      <c r="V1021" s="45">
        <v>0</v>
      </c>
      <c r="W1021" s="45">
        <v>0</v>
      </c>
      <c r="X1021" s="45">
        <v>0</v>
      </c>
      <c r="Y1021" s="45">
        <v>15500</v>
      </c>
      <c r="Z1021" s="45">
        <v>0</v>
      </c>
      <c r="AA1021" s="45">
        <v>0</v>
      </c>
      <c r="AB1021" s="45">
        <v>0</v>
      </c>
      <c r="AC1021" s="45">
        <v>0</v>
      </c>
      <c r="AD1021" s="45">
        <v>0</v>
      </c>
      <c r="AE1021" s="45">
        <v>0</v>
      </c>
      <c r="AF1021" s="45">
        <v>0</v>
      </c>
      <c r="AG1021" s="45">
        <v>0</v>
      </c>
      <c r="AH1021" s="45">
        <v>0</v>
      </c>
      <c r="AI1021" s="45">
        <v>0</v>
      </c>
      <c r="AJ1021" s="45">
        <v>0</v>
      </c>
      <c r="AK1021" s="45">
        <v>0</v>
      </c>
      <c r="AL1021" s="45">
        <v>0</v>
      </c>
      <c r="AM1021" s="57" t="str">
        <f>I1021-J1021-K1021-L1021-M1021-N1021-O1021-P1021-Q1021-R1021-S1021-T1021-U1021-V1021-W1021-X1021-Y1021-Z1021-AA1021-AB1021-AC1021-AD1021-AE1021-AF1021-AG1021+AH1021-AI1021+AJ1021+AK1021-AL1021</f>
        <v>0</v>
      </c>
      <c r="AN1021" s="45"/>
    </row>
    <row r="1022" spans="1:41">
      <c r="A1022" s="45">
        <v>994</v>
      </c>
      <c r="B1022" s="45" t="s">
        <v>4006</v>
      </c>
      <c r="C1022" s="49" t="s">
        <v>4007</v>
      </c>
      <c r="D1022" s="53" t="s">
        <v>73</v>
      </c>
      <c r="E1022" s="45" t="s">
        <v>4000</v>
      </c>
      <c r="F1022" s="45" t="s">
        <v>1793</v>
      </c>
      <c r="G1022" s="45">
        <v>9</v>
      </c>
      <c r="H1022" s="53" t="s">
        <v>4008</v>
      </c>
      <c r="I1022" s="45">
        <v>1890000</v>
      </c>
      <c r="J1022" s="45">
        <v>0</v>
      </c>
      <c r="K1022" s="45">
        <v>40000</v>
      </c>
      <c r="L1022" s="45">
        <v>0</v>
      </c>
      <c r="M1022" s="45">
        <v>0</v>
      </c>
      <c r="N1022" s="45">
        <v>0</v>
      </c>
      <c r="O1022" s="45">
        <v>0</v>
      </c>
      <c r="P1022" s="45">
        <v>0</v>
      </c>
      <c r="Q1022" s="45">
        <v>0</v>
      </c>
      <c r="R1022" s="45">
        <v>0</v>
      </c>
      <c r="S1022" s="45">
        <v>0</v>
      </c>
      <c r="T1022" s="45">
        <v>0</v>
      </c>
      <c r="U1022" s="45">
        <v>2540</v>
      </c>
      <c r="V1022" s="45">
        <v>0</v>
      </c>
      <c r="W1022" s="45">
        <v>0</v>
      </c>
      <c r="X1022" s="45">
        <v>0</v>
      </c>
      <c r="Y1022" s="45">
        <v>0</v>
      </c>
      <c r="Z1022" s="45">
        <v>0</v>
      </c>
      <c r="AA1022" s="45">
        <v>0</v>
      </c>
      <c r="AB1022" s="45">
        <v>0</v>
      </c>
      <c r="AC1022" s="45">
        <v>0</v>
      </c>
      <c r="AD1022" s="45">
        <v>0</v>
      </c>
      <c r="AE1022" s="45">
        <v>0</v>
      </c>
      <c r="AF1022" s="45">
        <v>0</v>
      </c>
      <c r="AG1022" s="45">
        <v>0</v>
      </c>
      <c r="AH1022" s="45">
        <v>0</v>
      </c>
      <c r="AI1022" s="45">
        <v>0</v>
      </c>
      <c r="AJ1022" s="45">
        <v>0</v>
      </c>
      <c r="AK1022" s="45">
        <v>0</v>
      </c>
      <c r="AL1022" s="45">
        <v>0</v>
      </c>
      <c r="AM1022" s="57" t="str">
        <f>I1022-J1022-K1022-L1022-M1022-N1022-O1022-P1022-Q1022-R1022-S1022-T1022-U1022-V1022-W1022-X1022-Y1022-Z1022-AA1022-AB1022-AC1022-AD1022-AE1022-AF1022-AG1022+AH1022-AI1022+AJ1022+AK1022-AL1022</f>
        <v>0</v>
      </c>
      <c r="AN1022" s="45"/>
    </row>
    <row r="1023" spans="1:41">
      <c r="A1023" s="45">
        <v>995</v>
      </c>
      <c r="B1023" s="45" t="s">
        <v>4009</v>
      </c>
      <c r="C1023" s="49" t="s">
        <v>4010</v>
      </c>
      <c r="D1023" s="53" t="s">
        <v>73</v>
      </c>
      <c r="E1023" s="45" t="s">
        <v>4000</v>
      </c>
      <c r="F1023" s="45" t="s">
        <v>4011</v>
      </c>
      <c r="G1023" s="45">
        <v>2</v>
      </c>
      <c r="H1023" s="53" t="s">
        <v>4012</v>
      </c>
      <c r="I1023" s="45">
        <v>264000</v>
      </c>
      <c r="J1023" s="45">
        <v>0</v>
      </c>
      <c r="K1023" s="45">
        <v>22000</v>
      </c>
      <c r="L1023" s="45">
        <v>0</v>
      </c>
      <c r="M1023" s="45">
        <v>0</v>
      </c>
      <c r="N1023" s="45">
        <v>0</v>
      </c>
      <c r="O1023" s="45">
        <v>0</v>
      </c>
      <c r="P1023" s="45">
        <v>0</v>
      </c>
      <c r="Q1023" s="45">
        <v>0</v>
      </c>
      <c r="R1023" s="45">
        <v>0</v>
      </c>
      <c r="S1023" s="45">
        <v>0</v>
      </c>
      <c r="T1023" s="45">
        <v>0</v>
      </c>
      <c r="U1023" s="45">
        <v>1397</v>
      </c>
      <c r="V1023" s="45">
        <v>0</v>
      </c>
      <c r="W1023" s="45">
        <v>0</v>
      </c>
      <c r="X1023" s="45">
        <v>0</v>
      </c>
      <c r="Y1023" s="45">
        <v>0</v>
      </c>
      <c r="Z1023" s="45">
        <v>0</v>
      </c>
      <c r="AA1023" s="45">
        <v>0</v>
      </c>
      <c r="AB1023" s="45">
        <v>0</v>
      </c>
      <c r="AC1023" s="45">
        <v>0</v>
      </c>
      <c r="AD1023" s="45">
        <v>0</v>
      </c>
      <c r="AE1023" s="45">
        <v>0</v>
      </c>
      <c r="AF1023" s="45">
        <v>0</v>
      </c>
      <c r="AG1023" s="45">
        <v>0</v>
      </c>
      <c r="AH1023" s="45">
        <v>0</v>
      </c>
      <c r="AI1023" s="45">
        <v>0</v>
      </c>
      <c r="AJ1023" s="45">
        <v>0</v>
      </c>
      <c r="AK1023" s="45">
        <v>0</v>
      </c>
      <c r="AL1023" s="45">
        <v>0</v>
      </c>
      <c r="AM1023" s="57" t="str">
        <f>I1023-J1023-K1023-L1023-M1023-N1023-O1023-P1023-Q1023-R1023-S1023-T1023-U1023-V1023-W1023-X1023-Y1023-Z1023-AA1023-AB1023-AC1023-AD1023-AE1023-AF1023-AG1023+AH1023-AI1023+AJ1023+AK1023-AL1023</f>
        <v>0</v>
      </c>
      <c r="AN1023" s="45"/>
    </row>
    <row r="1024" spans="1:41">
      <c r="A1024" s="45">
        <v>996</v>
      </c>
      <c r="B1024" s="45" t="s">
        <v>4013</v>
      </c>
      <c r="C1024" s="49" t="s">
        <v>4014</v>
      </c>
      <c r="D1024" s="53" t="s">
        <v>73</v>
      </c>
      <c r="E1024" s="45" t="s">
        <v>4000</v>
      </c>
      <c r="F1024" s="45" t="s">
        <v>4015</v>
      </c>
      <c r="G1024" s="45">
        <v>4</v>
      </c>
      <c r="H1024" s="53" t="s">
        <v>4016</v>
      </c>
      <c r="I1024" s="45">
        <v>255000</v>
      </c>
      <c r="J1024" s="45">
        <v>0</v>
      </c>
      <c r="K1024" s="45">
        <v>25000</v>
      </c>
      <c r="L1024" s="45">
        <v>0</v>
      </c>
      <c r="M1024" s="45">
        <v>0</v>
      </c>
      <c r="N1024" s="45">
        <v>0</v>
      </c>
      <c r="O1024" s="45">
        <v>0</v>
      </c>
      <c r="P1024" s="45">
        <v>0</v>
      </c>
      <c r="Q1024" s="45">
        <v>0</v>
      </c>
      <c r="R1024" s="45">
        <v>0</v>
      </c>
      <c r="S1024" s="45">
        <v>0</v>
      </c>
      <c r="T1024" s="45">
        <v>0</v>
      </c>
      <c r="U1024" s="45">
        <v>1587</v>
      </c>
      <c r="V1024" s="45">
        <v>0</v>
      </c>
      <c r="W1024" s="45">
        <v>0</v>
      </c>
      <c r="X1024" s="45">
        <v>0</v>
      </c>
      <c r="Y1024" s="45">
        <v>0</v>
      </c>
      <c r="Z1024" s="45">
        <v>0</v>
      </c>
      <c r="AA1024" s="45">
        <v>0</v>
      </c>
      <c r="AB1024" s="45">
        <v>0</v>
      </c>
      <c r="AC1024" s="45">
        <v>0</v>
      </c>
      <c r="AD1024" s="45">
        <v>0</v>
      </c>
      <c r="AE1024" s="45">
        <v>0</v>
      </c>
      <c r="AF1024" s="45">
        <v>0</v>
      </c>
      <c r="AG1024" s="45">
        <v>0</v>
      </c>
      <c r="AH1024" s="45">
        <v>0</v>
      </c>
      <c r="AI1024" s="45">
        <v>0</v>
      </c>
      <c r="AJ1024" s="45">
        <v>0</v>
      </c>
      <c r="AK1024" s="45">
        <v>0</v>
      </c>
      <c r="AL1024" s="45">
        <v>0</v>
      </c>
      <c r="AM1024" s="57" t="str">
        <f>I1024-J1024-K1024-L1024-M1024-N1024-O1024-P1024-Q1024-R1024-S1024-T1024-U1024-V1024-W1024-X1024-Y1024-Z1024-AA1024-AB1024-AC1024-AD1024-AE1024-AF1024-AG1024+AH1024-AI1024+AJ1024+AK1024-AL1024</f>
        <v>0</v>
      </c>
      <c r="AN1024" s="45"/>
    </row>
    <row r="1025" spans="1:41">
      <c r="A1025" s="45">
        <v>997</v>
      </c>
      <c r="B1025" s="45" t="s">
        <v>4017</v>
      </c>
      <c r="C1025" s="49" t="s">
        <v>4018</v>
      </c>
      <c r="D1025" s="53" t="s">
        <v>73</v>
      </c>
      <c r="E1025" s="45" t="s">
        <v>4000</v>
      </c>
      <c r="F1025" s="45" t="s">
        <v>4019</v>
      </c>
      <c r="G1025" s="45">
        <v>5.8</v>
      </c>
      <c r="H1025" s="53" t="s">
        <v>4020</v>
      </c>
      <c r="I1025" s="45">
        <v>584000</v>
      </c>
      <c r="J1025" s="45">
        <v>0</v>
      </c>
      <c r="K1025" s="45">
        <v>31000</v>
      </c>
      <c r="L1025" s="45">
        <v>0</v>
      </c>
      <c r="M1025" s="45">
        <v>0</v>
      </c>
      <c r="N1025" s="45">
        <v>0</v>
      </c>
      <c r="O1025" s="45">
        <v>0</v>
      </c>
      <c r="P1025" s="45">
        <v>0</v>
      </c>
      <c r="Q1025" s="45">
        <v>0</v>
      </c>
      <c r="R1025" s="45">
        <v>0</v>
      </c>
      <c r="S1025" s="45">
        <v>0</v>
      </c>
      <c r="T1025" s="45">
        <v>0</v>
      </c>
      <c r="U1025" s="45">
        <v>1968</v>
      </c>
      <c r="V1025" s="45">
        <v>0</v>
      </c>
      <c r="W1025" s="45">
        <v>0</v>
      </c>
      <c r="X1025" s="45">
        <v>0</v>
      </c>
      <c r="Y1025" s="45">
        <v>0</v>
      </c>
      <c r="Z1025" s="45">
        <v>0</v>
      </c>
      <c r="AA1025" s="45">
        <v>0</v>
      </c>
      <c r="AB1025" s="45">
        <v>0</v>
      </c>
      <c r="AC1025" s="45">
        <v>0</v>
      </c>
      <c r="AD1025" s="45">
        <v>0</v>
      </c>
      <c r="AE1025" s="45">
        <v>0</v>
      </c>
      <c r="AF1025" s="45">
        <v>0</v>
      </c>
      <c r="AG1025" s="45">
        <v>0</v>
      </c>
      <c r="AH1025" s="45">
        <v>0</v>
      </c>
      <c r="AI1025" s="45">
        <v>0</v>
      </c>
      <c r="AJ1025" s="45">
        <v>0</v>
      </c>
      <c r="AK1025" s="45">
        <v>0</v>
      </c>
      <c r="AL1025" s="45">
        <v>0</v>
      </c>
      <c r="AM1025" s="57" t="str">
        <f>I1025-J1025-K1025-L1025-M1025-N1025-O1025-P1025-Q1025-R1025-S1025-T1025-U1025-V1025-W1025-X1025-Y1025-Z1025-AA1025-AB1025-AC1025-AD1025-AE1025-AF1025-AG1025+AH1025-AI1025+AJ1025+AK1025-AL1025</f>
        <v>0</v>
      </c>
      <c r="AN1025" s="45"/>
    </row>
    <row r="1026" spans="1:41">
      <c r="A1026" s="45">
        <v>998</v>
      </c>
      <c r="B1026" s="45" t="s">
        <v>4021</v>
      </c>
      <c r="C1026" s="49" t="s">
        <v>4022</v>
      </c>
      <c r="D1026" s="53" t="s">
        <v>73</v>
      </c>
      <c r="E1026" s="45" t="s">
        <v>4000</v>
      </c>
      <c r="F1026" s="45" t="s">
        <v>4023</v>
      </c>
      <c r="G1026" s="45">
        <v>6</v>
      </c>
      <c r="H1026" s="53" t="s">
        <v>4024</v>
      </c>
      <c r="I1026" s="45">
        <v>649000</v>
      </c>
      <c r="J1026" s="45">
        <v>0</v>
      </c>
      <c r="K1026" s="45">
        <v>31000</v>
      </c>
      <c r="L1026" s="45">
        <v>0</v>
      </c>
      <c r="M1026" s="45">
        <v>0</v>
      </c>
      <c r="N1026" s="45">
        <v>0</v>
      </c>
      <c r="O1026" s="45">
        <v>0</v>
      </c>
      <c r="P1026" s="45">
        <v>0</v>
      </c>
      <c r="Q1026" s="45">
        <v>0</v>
      </c>
      <c r="R1026" s="45">
        <v>0</v>
      </c>
      <c r="S1026" s="45">
        <v>0</v>
      </c>
      <c r="T1026" s="45">
        <v>0</v>
      </c>
      <c r="U1026" s="45">
        <v>1968</v>
      </c>
      <c r="V1026" s="45">
        <v>0</v>
      </c>
      <c r="W1026" s="45">
        <v>0</v>
      </c>
      <c r="X1026" s="45">
        <v>0</v>
      </c>
      <c r="Y1026" s="45">
        <v>0</v>
      </c>
      <c r="Z1026" s="45">
        <v>0</v>
      </c>
      <c r="AA1026" s="45">
        <v>0</v>
      </c>
      <c r="AB1026" s="45">
        <v>0</v>
      </c>
      <c r="AC1026" s="45">
        <v>0</v>
      </c>
      <c r="AD1026" s="45">
        <v>0</v>
      </c>
      <c r="AE1026" s="45">
        <v>0</v>
      </c>
      <c r="AF1026" s="45">
        <v>0</v>
      </c>
      <c r="AG1026" s="45">
        <v>0</v>
      </c>
      <c r="AH1026" s="45">
        <v>0</v>
      </c>
      <c r="AI1026" s="45">
        <v>0</v>
      </c>
      <c r="AJ1026" s="45">
        <v>0</v>
      </c>
      <c r="AK1026" s="45">
        <v>0</v>
      </c>
      <c r="AL1026" s="45">
        <v>0</v>
      </c>
      <c r="AM1026" s="57" t="str">
        <f>I1026-J1026-K1026-L1026-M1026-N1026-O1026-P1026-Q1026-R1026-S1026-T1026-U1026-V1026-W1026-X1026-Y1026-Z1026-AA1026-AB1026-AC1026-AD1026-AE1026-AF1026-AG1026+AH1026-AI1026+AJ1026+AK1026-AL1026</f>
        <v>0</v>
      </c>
      <c r="AN1026" s="45"/>
    </row>
    <row r="1027" spans="1:41">
      <c r="A1027" s="45">
        <v>999</v>
      </c>
      <c r="B1027" s="45" t="s">
        <v>4025</v>
      </c>
      <c r="C1027" s="49" t="s">
        <v>4026</v>
      </c>
      <c r="D1027" s="53" t="s">
        <v>73</v>
      </c>
      <c r="E1027" s="45" t="s">
        <v>4000</v>
      </c>
      <c r="F1027" s="45" t="s">
        <v>2961</v>
      </c>
      <c r="G1027" s="45">
        <v>3</v>
      </c>
      <c r="H1027" s="53" t="s">
        <v>4027</v>
      </c>
      <c r="I1027" s="45">
        <v>585000</v>
      </c>
      <c r="J1027" s="45">
        <v>0</v>
      </c>
      <c r="K1027" s="45">
        <v>22000</v>
      </c>
      <c r="L1027" s="45">
        <v>0</v>
      </c>
      <c r="M1027" s="45">
        <v>0</v>
      </c>
      <c r="N1027" s="45">
        <v>0</v>
      </c>
      <c r="O1027" s="45">
        <v>0</v>
      </c>
      <c r="P1027" s="45">
        <v>0</v>
      </c>
      <c r="Q1027" s="45">
        <v>0</v>
      </c>
      <c r="R1027" s="45">
        <v>0</v>
      </c>
      <c r="S1027" s="45">
        <v>0</v>
      </c>
      <c r="T1027" s="45">
        <v>0</v>
      </c>
      <c r="U1027" s="45">
        <v>1397</v>
      </c>
      <c r="V1027" s="45">
        <v>0</v>
      </c>
      <c r="W1027" s="45">
        <v>0</v>
      </c>
      <c r="X1027" s="45">
        <v>0</v>
      </c>
      <c r="Y1027" s="45">
        <v>0</v>
      </c>
      <c r="Z1027" s="45">
        <v>0</v>
      </c>
      <c r="AA1027" s="45">
        <v>0</v>
      </c>
      <c r="AB1027" s="45">
        <v>0</v>
      </c>
      <c r="AC1027" s="45">
        <v>0</v>
      </c>
      <c r="AD1027" s="45">
        <v>0</v>
      </c>
      <c r="AE1027" s="45">
        <v>0</v>
      </c>
      <c r="AF1027" s="45">
        <v>0</v>
      </c>
      <c r="AG1027" s="45">
        <v>0</v>
      </c>
      <c r="AH1027" s="45">
        <v>0</v>
      </c>
      <c r="AI1027" s="45">
        <v>0</v>
      </c>
      <c r="AJ1027" s="45">
        <v>0</v>
      </c>
      <c r="AK1027" s="45">
        <v>0</v>
      </c>
      <c r="AL1027" s="45">
        <v>0</v>
      </c>
      <c r="AM1027" s="57" t="str">
        <f>I1027-J1027-K1027-L1027-M1027-N1027-O1027-P1027-Q1027-R1027-S1027-T1027-U1027-V1027-W1027-X1027-Y1027-Z1027-AA1027-AB1027-AC1027-AD1027-AE1027-AF1027-AG1027+AH1027-AI1027+AJ1027+AK1027-AL1027</f>
        <v>0</v>
      </c>
      <c r="AN1027" s="45"/>
    </row>
    <row r="1028" spans="1:41">
      <c r="A1028" s="45">
        <v>1000</v>
      </c>
      <c r="B1028" s="45" t="s">
        <v>4028</v>
      </c>
      <c r="C1028" s="49" t="s">
        <v>4029</v>
      </c>
      <c r="D1028" s="53" t="s">
        <v>73</v>
      </c>
      <c r="E1028" s="45" t="s">
        <v>4000</v>
      </c>
      <c r="F1028" s="45" t="s">
        <v>4030</v>
      </c>
      <c r="G1028" s="45">
        <v>3</v>
      </c>
      <c r="H1028" s="53" t="s">
        <v>4031</v>
      </c>
      <c r="I1028" s="45">
        <v>560000</v>
      </c>
      <c r="J1028" s="45">
        <v>0</v>
      </c>
      <c r="K1028" s="45">
        <v>22000</v>
      </c>
      <c r="L1028" s="45">
        <v>0</v>
      </c>
      <c r="M1028" s="45">
        <v>0</v>
      </c>
      <c r="N1028" s="45">
        <v>0</v>
      </c>
      <c r="O1028" s="45">
        <v>0</v>
      </c>
      <c r="P1028" s="45">
        <v>0</v>
      </c>
      <c r="Q1028" s="45">
        <v>0</v>
      </c>
      <c r="R1028" s="45">
        <v>0</v>
      </c>
      <c r="S1028" s="45">
        <v>0</v>
      </c>
      <c r="T1028" s="45">
        <v>0</v>
      </c>
      <c r="U1028" s="45">
        <v>1397</v>
      </c>
      <c r="V1028" s="45">
        <v>0</v>
      </c>
      <c r="W1028" s="45">
        <v>0</v>
      </c>
      <c r="X1028" s="45">
        <v>0</v>
      </c>
      <c r="Y1028" s="45">
        <v>0</v>
      </c>
      <c r="Z1028" s="45">
        <v>0</v>
      </c>
      <c r="AA1028" s="45">
        <v>0</v>
      </c>
      <c r="AB1028" s="45">
        <v>0</v>
      </c>
      <c r="AC1028" s="45">
        <v>0</v>
      </c>
      <c r="AD1028" s="45">
        <v>0</v>
      </c>
      <c r="AE1028" s="45">
        <v>0</v>
      </c>
      <c r="AF1028" s="45">
        <v>0</v>
      </c>
      <c r="AG1028" s="45">
        <v>0</v>
      </c>
      <c r="AH1028" s="45">
        <v>0</v>
      </c>
      <c r="AI1028" s="45">
        <v>0</v>
      </c>
      <c r="AJ1028" s="45">
        <v>0</v>
      </c>
      <c r="AK1028" s="45">
        <v>0</v>
      </c>
      <c r="AL1028" s="45">
        <v>0</v>
      </c>
      <c r="AM1028" s="57" t="str">
        <f>I1028-J1028-K1028-L1028-M1028-N1028-O1028-P1028-Q1028-R1028-S1028-T1028-U1028-V1028-W1028-X1028-Y1028-Z1028-AA1028-AB1028-AC1028-AD1028-AE1028-AF1028-AG1028+AH1028-AI1028+AJ1028+AK1028-AL1028</f>
        <v>0</v>
      </c>
      <c r="AN1028" s="45"/>
    </row>
    <row r="1029" spans="1:41">
      <c r="A1029" s="45">
        <v>1001</v>
      </c>
      <c r="B1029" s="45" t="s">
        <v>4032</v>
      </c>
      <c r="C1029" s="49" t="s">
        <v>4033</v>
      </c>
      <c r="D1029" s="53" t="s">
        <v>73</v>
      </c>
      <c r="E1029" s="45" t="s">
        <v>4000</v>
      </c>
      <c r="F1029" s="45" t="s">
        <v>4034</v>
      </c>
      <c r="G1029" s="45">
        <v>3</v>
      </c>
      <c r="H1029" s="53" t="s">
        <v>4035</v>
      </c>
      <c r="I1029" s="45">
        <v>585000</v>
      </c>
      <c r="J1029" s="45">
        <v>0</v>
      </c>
      <c r="K1029" s="45">
        <v>22000</v>
      </c>
      <c r="L1029" s="45">
        <v>0</v>
      </c>
      <c r="M1029" s="45">
        <v>0</v>
      </c>
      <c r="N1029" s="45">
        <v>0</v>
      </c>
      <c r="O1029" s="45">
        <v>0</v>
      </c>
      <c r="P1029" s="45">
        <v>0</v>
      </c>
      <c r="Q1029" s="45">
        <v>0</v>
      </c>
      <c r="R1029" s="45">
        <v>0</v>
      </c>
      <c r="S1029" s="45">
        <v>0</v>
      </c>
      <c r="T1029" s="45">
        <v>0</v>
      </c>
      <c r="U1029" s="45">
        <v>1397</v>
      </c>
      <c r="V1029" s="45">
        <v>0</v>
      </c>
      <c r="W1029" s="45">
        <v>0</v>
      </c>
      <c r="X1029" s="45">
        <v>0</v>
      </c>
      <c r="Y1029" s="45">
        <v>0</v>
      </c>
      <c r="Z1029" s="45">
        <v>0</v>
      </c>
      <c r="AA1029" s="45">
        <v>0</v>
      </c>
      <c r="AB1029" s="45">
        <v>0</v>
      </c>
      <c r="AC1029" s="45">
        <v>0</v>
      </c>
      <c r="AD1029" s="45">
        <v>0</v>
      </c>
      <c r="AE1029" s="45">
        <v>0</v>
      </c>
      <c r="AF1029" s="45">
        <v>0</v>
      </c>
      <c r="AG1029" s="45">
        <v>0</v>
      </c>
      <c r="AH1029" s="45">
        <v>0</v>
      </c>
      <c r="AI1029" s="45">
        <v>0</v>
      </c>
      <c r="AJ1029" s="45">
        <v>0</v>
      </c>
      <c r="AK1029" s="45">
        <v>0</v>
      </c>
      <c r="AL1029" s="45">
        <v>0</v>
      </c>
      <c r="AM1029" s="57" t="str">
        <f>I1029-J1029-K1029-L1029-M1029-N1029-O1029-P1029-Q1029-R1029-S1029-T1029-U1029-V1029-W1029-X1029-Y1029-Z1029-AA1029-AB1029-AC1029-AD1029-AE1029-AF1029-AG1029+AH1029-AI1029+AJ1029+AK1029-AL1029</f>
        <v>0</v>
      </c>
      <c r="AN1029" s="45"/>
    </row>
    <row r="1030" spans="1:41">
      <c r="A1030" s="45">
        <v>1002</v>
      </c>
      <c r="B1030" s="45" t="s">
        <v>4036</v>
      </c>
      <c r="C1030" s="49" t="s">
        <v>4037</v>
      </c>
      <c r="D1030" s="53" t="s">
        <v>73</v>
      </c>
      <c r="E1030" s="45" t="s">
        <v>4000</v>
      </c>
      <c r="F1030" s="45" t="s">
        <v>4038</v>
      </c>
      <c r="G1030" s="45">
        <v>3</v>
      </c>
      <c r="H1030" s="53" t="s">
        <v>4039</v>
      </c>
      <c r="I1030" s="45">
        <v>585000</v>
      </c>
      <c r="J1030" s="45">
        <v>0</v>
      </c>
      <c r="K1030" s="45">
        <v>22000</v>
      </c>
      <c r="L1030" s="45">
        <v>0</v>
      </c>
      <c r="M1030" s="45">
        <v>0</v>
      </c>
      <c r="N1030" s="45">
        <v>0</v>
      </c>
      <c r="O1030" s="45">
        <v>0</v>
      </c>
      <c r="P1030" s="45">
        <v>0</v>
      </c>
      <c r="Q1030" s="45">
        <v>0</v>
      </c>
      <c r="R1030" s="45">
        <v>0</v>
      </c>
      <c r="S1030" s="45">
        <v>0</v>
      </c>
      <c r="T1030" s="45">
        <v>0</v>
      </c>
      <c r="U1030" s="45">
        <v>1397</v>
      </c>
      <c r="V1030" s="45">
        <v>0</v>
      </c>
      <c r="W1030" s="45">
        <v>0</v>
      </c>
      <c r="X1030" s="45">
        <v>0</v>
      </c>
      <c r="Y1030" s="45">
        <v>0</v>
      </c>
      <c r="Z1030" s="45">
        <v>0</v>
      </c>
      <c r="AA1030" s="45">
        <v>0</v>
      </c>
      <c r="AB1030" s="45">
        <v>0</v>
      </c>
      <c r="AC1030" s="45">
        <v>0</v>
      </c>
      <c r="AD1030" s="45">
        <v>0</v>
      </c>
      <c r="AE1030" s="45">
        <v>0</v>
      </c>
      <c r="AF1030" s="45">
        <v>0</v>
      </c>
      <c r="AG1030" s="45">
        <v>0</v>
      </c>
      <c r="AH1030" s="45">
        <v>0</v>
      </c>
      <c r="AI1030" s="45">
        <v>0</v>
      </c>
      <c r="AJ1030" s="45">
        <v>0</v>
      </c>
      <c r="AK1030" s="45">
        <v>0</v>
      </c>
      <c r="AL1030" s="45">
        <v>0</v>
      </c>
      <c r="AM1030" s="57" t="str">
        <f>I1030-J1030-K1030-L1030-M1030-N1030-O1030-P1030-Q1030-R1030-S1030-T1030-U1030-V1030-W1030-X1030-Y1030-Z1030-AA1030-AB1030-AC1030-AD1030-AE1030-AF1030-AG1030+AH1030-AI1030+AJ1030+AK1030-AL1030</f>
        <v>0</v>
      </c>
      <c r="AN1030" s="45"/>
    </row>
    <row r="1031" spans="1:41">
      <c r="A1031" s="45">
        <v>1003</v>
      </c>
      <c r="B1031" s="45" t="s">
        <v>4040</v>
      </c>
      <c r="C1031" s="49" t="s">
        <v>4041</v>
      </c>
      <c r="D1031" s="53" t="s">
        <v>73</v>
      </c>
      <c r="E1031" s="45" t="s">
        <v>4000</v>
      </c>
      <c r="F1031" s="45" t="s">
        <v>4042</v>
      </c>
      <c r="G1031" s="45">
        <v>5.8</v>
      </c>
      <c r="H1031" s="53" t="s">
        <v>4043</v>
      </c>
      <c r="I1031" s="45">
        <v>30000</v>
      </c>
      <c r="J1031" s="45">
        <v>0</v>
      </c>
      <c r="K1031" s="45">
        <v>31000</v>
      </c>
      <c r="L1031" s="45">
        <v>0</v>
      </c>
      <c r="M1031" s="45">
        <v>0</v>
      </c>
      <c r="N1031" s="45">
        <v>0</v>
      </c>
      <c r="O1031" s="45">
        <v>0</v>
      </c>
      <c r="P1031" s="45">
        <v>0</v>
      </c>
      <c r="Q1031" s="45">
        <v>0</v>
      </c>
      <c r="R1031" s="45">
        <v>0</v>
      </c>
      <c r="S1031" s="45">
        <v>0</v>
      </c>
      <c r="T1031" s="45">
        <v>0</v>
      </c>
      <c r="U1031" s="45">
        <v>1968</v>
      </c>
      <c r="V1031" s="45">
        <v>0</v>
      </c>
      <c r="W1031" s="45">
        <v>0</v>
      </c>
      <c r="X1031" s="45">
        <v>0</v>
      </c>
      <c r="Y1031" s="45">
        <v>15500</v>
      </c>
      <c r="Z1031" s="45">
        <v>0</v>
      </c>
      <c r="AA1031" s="45">
        <v>0</v>
      </c>
      <c r="AB1031" s="45">
        <v>0</v>
      </c>
      <c r="AC1031" s="45">
        <v>0</v>
      </c>
      <c r="AD1031" s="45">
        <v>0</v>
      </c>
      <c r="AE1031" s="45">
        <v>0</v>
      </c>
      <c r="AF1031" s="45">
        <v>0</v>
      </c>
      <c r="AG1031" s="45">
        <v>0</v>
      </c>
      <c r="AH1031" s="45">
        <v>0</v>
      </c>
      <c r="AI1031" s="45">
        <v>0</v>
      </c>
      <c r="AJ1031" s="45">
        <v>0</v>
      </c>
      <c r="AK1031" s="45">
        <v>0</v>
      </c>
      <c r="AL1031" s="45">
        <v>0</v>
      </c>
      <c r="AM1031" s="57" t="str">
        <f>I1031-J1031-K1031-L1031-M1031-N1031-O1031-P1031-Q1031-R1031-S1031-T1031-U1031-V1031-W1031-X1031-Y1031-Z1031-AA1031-AB1031-AC1031-AD1031-AE1031-AF1031-AG1031+AH1031-AI1031+AJ1031+AK1031-AL1031</f>
        <v>0</v>
      </c>
      <c r="AN1031" s="45"/>
    </row>
    <row r="1032" spans="1:41">
      <c r="A1032" s="45">
        <v>1004</v>
      </c>
      <c r="B1032" s="45" t="s">
        <v>4044</v>
      </c>
      <c r="C1032" s="49" t="s">
        <v>4045</v>
      </c>
      <c r="D1032" s="53" t="s">
        <v>73</v>
      </c>
      <c r="E1032" s="45" t="s">
        <v>4000</v>
      </c>
      <c r="F1032" s="45" t="s">
        <v>4046</v>
      </c>
      <c r="G1032" s="45">
        <v>7</v>
      </c>
      <c r="H1032" s="53" t="s">
        <v>4047</v>
      </c>
      <c r="I1032" s="45">
        <v>798000</v>
      </c>
      <c r="J1032" s="45">
        <v>0</v>
      </c>
      <c r="K1032" s="45">
        <v>35000</v>
      </c>
      <c r="L1032" s="45">
        <v>0</v>
      </c>
      <c r="M1032" s="45">
        <v>0</v>
      </c>
      <c r="N1032" s="45">
        <v>0</v>
      </c>
      <c r="O1032" s="45">
        <v>0</v>
      </c>
      <c r="P1032" s="45">
        <v>0</v>
      </c>
      <c r="Q1032" s="45">
        <v>0</v>
      </c>
      <c r="R1032" s="45">
        <v>0</v>
      </c>
      <c r="S1032" s="45">
        <v>0</v>
      </c>
      <c r="T1032" s="45">
        <v>0</v>
      </c>
      <c r="U1032" s="45">
        <v>2222</v>
      </c>
      <c r="V1032" s="45">
        <v>0</v>
      </c>
      <c r="W1032" s="45">
        <v>0</v>
      </c>
      <c r="X1032" s="45">
        <v>0</v>
      </c>
      <c r="Y1032" s="45">
        <v>0</v>
      </c>
      <c r="Z1032" s="45">
        <v>0</v>
      </c>
      <c r="AA1032" s="45">
        <v>0</v>
      </c>
      <c r="AB1032" s="45">
        <v>0</v>
      </c>
      <c r="AC1032" s="45">
        <v>0</v>
      </c>
      <c r="AD1032" s="45">
        <v>0</v>
      </c>
      <c r="AE1032" s="45">
        <v>0</v>
      </c>
      <c r="AF1032" s="45">
        <v>0</v>
      </c>
      <c r="AG1032" s="45">
        <v>0</v>
      </c>
      <c r="AH1032" s="45">
        <v>0</v>
      </c>
      <c r="AI1032" s="45">
        <v>0</v>
      </c>
      <c r="AJ1032" s="45">
        <v>0</v>
      </c>
      <c r="AK1032" s="45">
        <v>0</v>
      </c>
      <c r="AL1032" s="45">
        <v>0</v>
      </c>
      <c r="AM1032" s="57" t="str">
        <f>I1032-J1032-K1032-L1032-M1032-N1032-O1032-P1032-Q1032-R1032-S1032-T1032-U1032-V1032-W1032-X1032-Y1032-Z1032-AA1032-AB1032-AC1032-AD1032-AE1032-AF1032-AG1032+AH1032-AI1032+AJ1032+AK1032-AL1032</f>
        <v>0</v>
      </c>
      <c r="AN1032" s="45"/>
    </row>
    <row r="1033" spans="1:41">
      <c r="A1033" s="45">
        <v>1005</v>
      </c>
      <c r="B1033" s="45" t="s">
        <v>4048</v>
      </c>
      <c r="C1033" s="49" t="s">
        <v>4049</v>
      </c>
      <c r="D1033" s="53" t="s">
        <v>73</v>
      </c>
      <c r="E1033" s="45" t="s">
        <v>4000</v>
      </c>
      <c r="F1033" s="45" t="s">
        <v>1080</v>
      </c>
      <c r="G1033" s="45">
        <v>3</v>
      </c>
      <c r="H1033" s="53" t="s">
        <v>4050</v>
      </c>
      <c r="I1033" s="45">
        <v>320000</v>
      </c>
      <c r="J1033" s="45">
        <v>0</v>
      </c>
      <c r="K1033" s="45">
        <v>22000</v>
      </c>
      <c r="L1033" s="45">
        <v>0</v>
      </c>
      <c r="M1033" s="45">
        <v>0</v>
      </c>
      <c r="N1033" s="45">
        <v>0</v>
      </c>
      <c r="O1033" s="45">
        <v>0</v>
      </c>
      <c r="P1033" s="45">
        <v>0</v>
      </c>
      <c r="Q1033" s="45">
        <v>0</v>
      </c>
      <c r="R1033" s="45">
        <v>0</v>
      </c>
      <c r="S1033" s="45">
        <v>0</v>
      </c>
      <c r="T1033" s="45">
        <v>0</v>
      </c>
      <c r="U1033" s="45">
        <v>1397</v>
      </c>
      <c r="V1033" s="45">
        <v>0</v>
      </c>
      <c r="W1033" s="45">
        <v>0</v>
      </c>
      <c r="X1033" s="45">
        <v>0</v>
      </c>
      <c r="Y1033" s="45">
        <v>0</v>
      </c>
      <c r="Z1033" s="45">
        <v>0</v>
      </c>
      <c r="AA1033" s="45">
        <v>0</v>
      </c>
      <c r="AB1033" s="45">
        <v>0</v>
      </c>
      <c r="AC1033" s="45">
        <v>0</v>
      </c>
      <c r="AD1033" s="45">
        <v>0</v>
      </c>
      <c r="AE1033" s="45">
        <v>0</v>
      </c>
      <c r="AF1033" s="45">
        <v>0</v>
      </c>
      <c r="AG1033" s="45">
        <v>0</v>
      </c>
      <c r="AH1033" s="45">
        <v>0</v>
      </c>
      <c r="AI1033" s="45">
        <v>0</v>
      </c>
      <c r="AJ1033" s="45">
        <v>0</v>
      </c>
      <c r="AK1033" s="45">
        <v>0</v>
      </c>
      <c r="AL1033" s="45">
        <v>0</v>
      </c>
      <c r="AM1033" s="57" t="str">
        <f>I1033-J1033-K1033-L1033-M1033-N1033-O1033-P1033-Q1033-R1033-S1033-T1033-U1033-V1033-W1033-X1033-Y1033-Z1033-AA1033-AB1033-AC1033-AD1033-AE1033-AF1033-AG1033+AH1033-AI1033+AJ1033+AK1033-AL1033</f>
        <v>0</v>
      </c>
      <c r="AN1033" s="45"/>
    </row>
    <row r="1034" spans="1:41">
      <c r="A1034" s="45">
        <v>1006</v>
      </c>
      <c r="B1034" s="45" t="s">
        <v>4051</v>
      </c>
      <c r="C1034" s="49" t="s">
        <v>4052</v>
      </c>
      <c r="D1034" s="53" t="s">
        <v>73</v>
      </c>
      <c r="E1034" s="45" t="s">
        <v>4000</v>
      </c>
      <c r="F1034" s="45" t="s">
        <v>4053</v>
      </c>
      <c r="G1034" s="45">
        <v>4</v>
      </c>
      <c r="H1034" s="53" t="s">
        <v>4054</v>
      </c>
      <c r="I1034" s="45">
        <v>333000</v>
      </c>
      <c r="J1034" s="45">
        <v>0</v>
      </c>
      <c r="K1034" s="45">
        <v>25000</v>
      </c>
      <c r="L1034" s="45">
        <v>0</v>
      </c>
      <c r="M1034" s="45">
        <v>0</v>
      </c>
      <c r="N1034" s="45">
        <v>0</v>
      </c>
      <c r="O1034" s="45">
        <v>0</v>
      </c>
      <c r="P1034" s="45">
        <v>0</v>
      </c>
      <c r="Q1034" s="45">
        <v>0</v>
      </c>
      <c r="R1034" s="45">
        <v>0</v>
      </c>
      <c r="S1034" s="45">
        <v>0</v>
      </c>
      <c r="T1034" s="45">
        <v>0</v>
      </c>
      <c r="U1034" s="45">
        <v>1587</v>
      </c>
      <c r="V1034" s="45">
        <v>0</v>
      </c>
      <c r="W1034" s="45">
        <v>0</v>
      </c>
      <c r="X1034" s="45">
        <v>0</v>
      </c>
      <c r="Y1034" s="45">
        <v>0</v>
      </c>
      <c r="Z1034" s="45">
        <v>0</v>
      </c>
      <c r="AA1034" s="45">
        <v>0</v>
      </c>
      <c r="AB1034" s="45">
        <v>0</v>
      </c>
      <c r="AC1034" s="45">
        <v>0</v>
      </c>
      <c r="AD1034" s="45">
        <v>0</v>
      </c>
      <c r="AE1034" s="45">
        <v>0</v>
      </c>
      <c r="AF1034" s="45">
        <v>0</v>
      </c>
      <c r="AG1034" s="45">
        <v>0</v>
      </c>
      <c r="AH1034" s="45">
        <v>0</v>
      </c>
      <c r="AI1034" s="45">
        <v>0</v>
      </c>
      <c r="AJ1034" s="45">
        <v>0</v>
      </c>
      <c r="AK1034" s="45">
        <v>0</v>
      </c>
      <c r="AL1034" s="45">
        <v>0</v>
      </c>
      <c r="AM1034" s="57" t="str">
        <f>I1034-J1034-K1034-L1034-M1034-N1034-O1034-P1034-Q1034-R1034-S1034-T1034-U1034-V1034-W1034-X1034-Y1034-Z1034-AA1034-AB1034-AC1034-AD1034-AE1034-AF1034-AG1034+AH1034-AI1034+AJ1034+AK1034-AL1034</f>
        <v>0</v>
      </c>
      <c r="AN1034" s="45"/>
    </row>
    <row r="1035" spans="1:41">
      <c r="A1035" s="45">
        <v>1007</v>
      </c>
      <c r="B1035" s="45" t="s">
        <v>4055</v>
      </c>
      <c r="C1035" s="49" t="s">
        <v>4056</v>
      </c>
      <c r="D1035" s="53" t="s">
        <v>73</v>
      </c>
      <c r="E1035" s="45" t="s">
        <v>4000</v>
      </c>
      <c r="F1035" s="45" t="s">
        <v>2368</v>
      </c>
      <c r="G1035" s="45">
        <v>5.8</v>
      </c>
      <c r="H1035" s="53" t="s">
        <v>4057</v>
      </c>
      <c r="I1035" s="45">
        <v>634000</v>
      </c>
      <c r="J1035" s="45">
        <v>0</v>
      </c>
      <c r="K1035" s="45">
        <v>31000</v>
      </c>
      <c r="L1035" s="45">
        <v>0</v>
      </c>
      <c r="M1035" s="45">
        <v>0</v>
      </c>
      <c r="N1035" s="45">
        <v>0</v>
      </c>
      <c r="O1035" s="45">
        <v>0</v>
      </c>
      <c r="P1035" s="45">
        <v>0</v>
      </c>
      <c r="Q1035" s="45">
        <v>0</v>
      </c>
      <c r="R1035" s="45">
        <v>0</v>
      </c>
      <c r="S1035" s="45">
        <v>0</v>
      </c>
      <c r="T1035" s="45">
        <v>0</v>
      </c>
      <c r="U1035" s="45">
        <v>1968</v>
      </c>
      <c r="V1035" s="45">
        <v>0</v>
      </c>
      <c r="W1035" s="45">
        <v>0</v>
      </c>
      <c r="X1035" s="45">
        <v>0</v>
      </c>
      <c r="Y1035" s="45">
        <v>0</v>
      </c>
      <c r="Z1035" s="45">
        <v>0</v>
      </c>
      <c r="AA1035" s="45">
        <v>0</v>
      </c>
      <c r="AB1035" s="45">
        <v>0</v>
      </c>
      <c r="AC1035" s="45">
        <v>0</v>
      </c>
      <c r="AD1035" s="45">
        <v>0</v>
      </c>
      <c r="AE1035" s="45">
        <v>0</v>
      </c>
      <c r="AF1035" s="45">
        <v>0</v>
      </c>
      <c r="AG1035" s="45">
        <v>0</v>
      </c>
      <c r="AH1035" s="45">
        <v>0</v>
      </c>
      <c r="AI1035" s="45">
        <v>0</v>
      </c>
      <c r="AJ1035" s="45">
        <v>0</v>
      </c>
      <c r="AK1035" s="45">
        <v>0</v>
      </c>
      <c r="AL1035" s="45">
        <v>0</v>
      </c>
      <c r="AM1035" s="57" t="str">
        <f>I1035-J1035-K1035-L1035-M1035-N1035-O1035-P1035-Q1035-R1035-S1035-T1035-U1035-V1035-W1035-X1035-Y1035-Z1035-AA1035-AB1035-AC1035-AD1035-AE1035-AF1035-AG1035+AH1035-AI1035+AJ1035+AK1035-AL1035</f>
        <v>0</v>
      </c>
      <c r="AN1035" s="45"/>
    </row>
    <row r="1036" spans="1:41">
      <c r="A1036" s="45">
        <v>1008</v>
      </c>
      <c r="B1036" s="45" t="s">
        <v>4058</v>
      </c>
      <c r="C1036" s="49" t="s">
        <v>4059</v>
      </c>
      <c r="D1036" s="53" t="s">
        <v>73</v>
      </c>
      <c r="E1036" s="45" t="s">
        <v>4000</v>
      </c>
      <c r="F1036" s="45" t="s">
        <v>3077</v>
      </c>
      <c r="G1036" s="45">
        <v>4</v>
      </c>
      <c r="H1036" s="53" t="s">
        <v>4060</v>
      </c>
      <c r="I1036" s="45">
        <v>434000</v>
      </c>
      <c r="J1036" s="45">
        <v>0</v>
      </c>
      <c r="K1036" s="45">
        <v>25000</v>
      </c>
      <c r="L1036" s="45">
        <v>0</v>
      </c>
      <c r="M1036" s="45">
        <v>0</v>
      </c>
      <c r="N1036" s="45">
        <v>0</v>
      </c>
      <c r="O1036" s="45">
        <v>0</v>
      </c>
      <c r="P1036" s="45">
        <v>0</v>
      </c>
      <c r="Q1036" s="45">
        <v>0</v>
      </c>
      <c r="R1036" s="45">
        <v>0</v>
      </c>
      <c r="S1036" s="45">
        <v>0</v>
      </c>
      <c r="T1036" s="45">
        <v>0</v>
      </c>
      <c r="U1036" s="45">
        <v>1587</v>
      </c>
      <c r="V1036" s="45">
        <v>0</v>
      </c>
      <c r="W1036" s="45">
        <v>0</v>
      </c>
      <c r="X1036" s="45">
        <v>0</v>
      </c>
      <c r="Y1036" s="45">
        <v>0</v>
      </c>
      <c r="Z1036" s="45">
        <v>0</v>
      </c>
      <c r="AA1036" s="45">
        <v>0</v>
      </c>
      <c r="AB1036" s="45">
        <v>0</v>
      </c>
      <c r="AC1036" s="45">
        <v>0</v>
      </c>
      <c r="AD1036" s="45">
        <v>0</v>
      </c>
      <c r="AE1036" s="45">
        <v>0</v>
      </c>
      <c r="AF1036" s="45">
        <v>0</v>
      </c>
      <c r="AG1036" s="45">
        <v>0</v>
      </c>
      <c r="AH1036" s="45">
        <v>0</v>
      </c>
      <c r="AI1036" s="45">
        <v>0</v>
      </c>
      <c r="AJ1036" s="45">
        <v>0</v>
      </c>
      <c r="AK1036" s="45">
        <v>0</v>
      </c>
      <c r="AL1036" s="45">
        <v>0</v>
      </c>
      <c r="AM1036" s="57" t="str">
        <f>I1036-J1036-K1036-L1036-M1036-N1036-O1036-P1036-Q1036-R1036-S1036-T1036-U1036-V1036-W1036-X1036-Y1036-Z1036-AA1036-AB1036-AC1036-AD1036-AE1036-AF1036-AG1036+AH1036-AI1036+AJ1036+AK1036-AL1036</f>
        <v>0</v>
      </c>
      <c r="AN1036" s="45"/>
    </row>
    <row r="1037" spans="1:41">
      <c r="A1037" s="45">
        <v>1009</v>
      </c>
      <c r="B1037" s="45" t="s">
        <v>4061</v>
      </c>
      <c r="C1037" s="49" t="s">
        <v>4062</v>
      </c>
      <c r="D1037" s="53" t="s">
        <v>73</v>
      </c>
      <c r="E1037" s="45" t="s">
        <v>4000</v>
      </c>
      <c r="F1037" s="45" t="s">
        <v>4063</v>
      </c>
      <c r="G1037" s="45">
        <v>5</v>
      </c>
      <c r="H1037" s="53" t="s">
        <v>4064</v>
      </c>
      <c r="I1037" s="45">
        <v>961000</v>
      </c>
      <c r="J1037" s="45">
        <v>0</v>
      </c>
      <c r="K1037" s="45">
        <v>27000</v>
      </c>
      <c r="L1037" s="45">
        <v>0</v>
      </c>
      <c r="M1037" s="45">
        <v>0</v>
      </c>
      <c r="N1037" s="45">
        <v>0</v>
      </c>
      <c r="O1037" s="45">
        <v>0</v>
      </c>
      <c r="P1037" s="45">
        <v>0</v>
      </c>
      <c r="Q1037" s="45">
        <v>0</v>
      </c>
      <c r="R1037" s="45">
        <v>0</v>
      </c>
      <c r="S1037" s="45">
        <v>0</v>
      </c>
      <c r="T1037" s="45">
        <v>0</v>
      </c>
      <c r="U1037" s="45">
        <v>1714</v>
      </c>
      <c r="V1037" s="45">
        <v>0</v>
      </c>
      <c r="W1037" s="45">
        <v>0</v>
      </c>
      <c r="X1037" s="45">
        <v>0</v>
      </c>
      <c r="Y1037" s="45">
        <v>0</v>
      </c>
      <c r="Z1037" s="45">
        <v>0</v>
      </c>
      <c r="AA1037" s="45">
        <v>0</v>
      </c>
      <c r="AB1037" s="45">
        <v>0</v>
      </c>
      <c r="AC1037" s="45">
        <v>0</v>
      </c>
      <c r="AD1037" s="45">
        <v>0</v>
      </c>
      <c r="AE1037" s="45">
        <v>0</v>
      </c>
      <c r="AF1037" s="45">
        <v>0</v>
      </c>
      <c r="AG1037" s="45">
        <v>0</v>
      </c>
      <c r="AH1037" s="45">
        <v>0</v>
      </c>
      <c r="AI1037" s="45">
        <v>0</v>
      </c>
      <c r="AJ1037" s="45">
        <v>0</v>
      </c>
      <c r="AK1037" s="45">
        <v>0</v>
      </c>
      <c r="AL1037" s="45">
        <v>0</v>
      </c>
      <c r="AM1037" s="57" t="str">
        <f>I1037-J1037-K1037-L1037-M1037-N1037-O1037-P1037-Q1037-R1037-S1037-T1037-U1037-V1037-W1037-X1037-Y1037-Z1037-AA1037-AB1037-AC1037-AD1037-AE1037-AF1037-AG1037+AH1037-AI1037+AJ1037+AK1037-AL1037</f>
        <v>0</v>
      </c>
      <c r="AN1037" s="45"/>
    </row>
    <row r="1038" spans="1:41">
      <c r="A1038" s="45">
        <v>1010</v>
      </c>
      <c r="B1038" s="45" t="s">
        <v>4065</v>
      </c>
      <c r="C1038" s="49" t="s">
        <v>4066</v>
      </c>
      <c r="D1038" s="53" t="s">
        <v>73</v>
      </c>
      <c r="E1038" s="45" t="s">
        <v>4000</v>
      </c>
      <c r="F1038" s="45" t="s">
        <v>4067</v>
      </c>
      <c r="G1038" s="45">
        <v>2</v>
      </c>
      <c r="H1038" s="53" t="s">
        <v>4068</v>
      </c>
      <c r="I1038" s="45">
        <v>500000</v>
      </c>
      <c r="J1038" s="45">
        <v>0</v>
      </c>
      <c r="K1038" s="45">
        <v>22000</v>
      </c>
      <c r="L1038" s="45">
        <v>0</v>
      </c>
      <c r="M1038" s="45">
        <v>0</v>
      </c>
      <c r="N1038" s="45">
        <v>0</v>
      </c>
      <c r="O1038" s="45">
        <v>0</v>
      </c>
      <c r="P1038" s="45">
        <v>0</v>
      </c>
      <c r="Q1038" s="45">
        <v>0</v>
      </c>
      <c r="R1038" s="45">
        <v>0</v>
      </c>
      <c r="S1038" s="45">
        <v>0</v>
      </c>
      <c r="T1038" s="45">
        <v>0</v>
      </c>
      <c r="U1038" s="45">
        <v>1397</v>
      </c>
      <c r="V1038" s="45">
        <v>0</v>
      </c>
      <c r="W1038" s="45">
        <v>0</v>
      </c>
      <c r="X1038" s="45">
        <v>0</v>
      </c>
      <c r="Y1038" s="45">
        <v>0</v>
      </c>
      <c r="Z1038" s="45">
        <v>0</v>
      </c>
      <c r="AA1038" s="45">
        <v>0</v>
      </c>
      <c r="AB1038" s="45">
        <v>0</v>
      </c>
      <c r="AC1038" s="45">
        <v>0</v>
      </c>
      <c r="AD1038" s="45">
        <v>0</v>
      </c>
      <c r="AE1038" s="45">
        <v>0</v>
      </c>
      <c r="AF1038" s="45">
        <v>0</v>
      </c>
      <c r="AG1038" s="45">
        <v>0</v>
      </c>
      <c r="AH1038" s="45">
        <v>0</v>
      </c>
      <c r="AI1038" s="45">
        <v>0</v>
      </c>
      <c r="AJ1038" s="45">
        <v>0</v>
      </c>
      <c r="AK1038" s="45">
        <v>0</v>
      </c>
      <c r="AL1038" s="45">
        <v>0</v>
      </c>
      <c r="AM1038" s="57" t="str">
        <f>I1038-J1038-K1038-L1038-M1038-N1038-O1038-P1038-Q1038-R1038-S1038-T1038-U1038-V1038-W1038-X1038-Y1038-Z1038-AA1038-AB1038-AC1038-AD1038-AE1038-AF1038-AG1038+AH1038-AI1038+AJ1038+AK1038-AL1038</f>
        <v>0</v>
      </c>
      <c r="AN1038" s="45"/>
    </row>
    <row r="1039" spans="1:41">
      <c r="A1039" s="45">
        <v>1011</v>
      </c>
      <c r="B1039" s="45" t="s">
        <v>4069</v>
      </c>
      <c r="C1039" s="49" t="s">
        <v>4070</v>
      </c>
      <c r="D1039" s="53" t="s">
        <v>73</v>
      </c>
      <c r="E1039" s="45" t="s">
        <v>4071</v>
      </c>
      <c r="F1039" s="45" t="s">
        <v>4072</v>
      </c>
      <c r="G1039" s="45">
        <v>3</v>
      </c>
      <c r="H1039" s="53" t="s">
        <v>4073</v>
      </c>
      <c r="I1039" s="45">
        <v>560000</v>
      </c>
      <c r="J1039" s="45">
        <v>0</v>
      </c>
      <c r="K1039" s="45">
        <v>22000</v>
      </c>
      <c r="L1039" s="45">
        <v>0</v>
      </c>
      <c r="M1039" s="45">
        <v>0</v>
      </c>
      <c r="N1039" s="45">
        <v>0</v>
      </c>
      <c r="O1039" s="45">
        <v>0</v>
      </c>
      <c r="P1039" s="45">
        <v>0</v>
      </c>
      <c r="Q1039" s="45">
        <v>0</v>
      </c>
      <c r="R1039" s="45">
        <v>0</v>
      </c>
      <c r="S1039" s="45">
        <v>0</v>
      </c>
      <c r="T1039" s="45">
        <v>0</v>
      </c>
      <c r="U1039" s="45">
        <v>1397</v>
      </c>
      <c r="V1039" s="45">
        <v>0</v>
      </c>
      <c r="W1039" s="45">
        <v>0</v>
      </c>
      <c r="X1039" s="45">
        <v>0</v>
      </c>
      <c r="Y1039" s="45">
        <v>0</v>
      </c>
      <c r="Z1039" s="45">
        <v>0</v>
      </c>
      <c r="AA1039" s="45">
        <v>0</v>
      </c>
      <c r="AB1039" s="45">
        <v>0</v>
      </c>
      <c r="AC1039" s="45">
        <v>0</v>
      </c>
      <c r="AD1039" s="45">
        <v>0</v>
      </c>
      <c r="AE1039" s="45">
        <v>0</v>
      </c>
      <c r="AF1039" s="45">
        <v>0</v>
      </c>
      <c r="AG1039" s="45">
        <v>0</v>
      </c>
      <c r="AH1039" s="45">
        <v>0</v>
      </c>
      <c r="AI1039" s="45">
        <v>0</v>
      </c>
      <c r="AJ1039" s="45">
        <v>0</v>
      </c>
      <c r="AK1039" s="45">
        <v>0</v>
      </c>
      <c r="AL1039" s="45">
        <v>0</v>
      </c>
      <c r="AM1039" s="57" t="str">
        <f>I1039-J1039-K1039-L1039-M1039-N1039-O1039-P1039-Q1039-R1039-S1039-T1039-U1039-V1039-W1039-X1039-Y1039-Z1039-AA1039-AB1039-AC1039-AD1039-AE1039-AF1039-AG1039+AH1039-AI1039+AJ1039+AK1039-AL1039</f>
        <v>0</v>
      </c>
      <c r="AN1039" s="45"/>
    </row>
    <row r="1040" spans="1:41">
      <c r="A1040" s="45">
        <v>1012</v>
      </c>
      <c r="B1040" s="45" t="s">
        <v>4074</v>
      </c>
      <c r="C1040" s="49" t="s">
        <v>4075</v>
      </c>
      <c r="D1040" s="53" t="s">
        <v>73</v>
      </c>
      <c r="E1040" s="45" t="s">
        <v>4076</v>
      </c>
      <c r="F1040" s="45" t="s">
        <v>4077</v>
      </c>
      <c r="G1040" s="45">
        <v>3</v>
      </c>
      <c r="H1040" s="53" t="s">
        <v>4078</v>
      </c>
      <c r="I1040" s="45">
        <v>0</v>
      </c>
      <c r="J1040" s="45">
        <v>0</v>
      </c>
      <c r="K1040" s="45">
        <v>22000</v>
      </c>
      <c r="L1040" s="45">
        <v>0</v>
      </c>
      <c r="M1040" s="45">
        <v>0</v>
      </c>
      <c r="N1040" s="45">
        <v>0</v>
      </c>
      <c r="O1040" s="45">
        <v>0</v>
      </c>
      <c r="P1040" s="45">
        <v>0</v>
      </c>
      <c r="Q1040" s="45">
        <v>0</v>
      </c>
      <c r="R1040" s="45">
        <v>0</v>
      </c>
      <c r="S1040" s="45">
        <v>0</v>
      </c>
      <c r="T1040" s="45">
        <v>0</v>
      </c>
      <c r="U1040" s="45">
        <v>1397</v>
      </c>
      <c r="V1040" s="45">
        <v>0</v>
      </c>
      <c r="W1040" s="45">
        <v>0</v>
      </c>
      <c r="X1040" s="45">
        <v>0</v>
      </c>
      <c r="Y1040" s="45">
        <v>11000</v>
      </c>
      <c r="Z1040" s="45">
        <v>0</v>
      </c>
      <c r="AA1040" s="45">
        <v>0</v>
      </c>
      <c r="AB1040" s="45">
        <v>0</v>
      </c>
      <c r="AC1040" s="45">
        <v>0</v>
      </c>
      <c r="AD1040" s="45">
        <v>0</v>
      </c>
      <c r="AE1040" s="45">
        <v>0</v>
      </c>
      <c r="AF1040" s="45">
        <v>0</v>
      </c>
      <c r="AG1040" s="45">
        <v>0</v>
      </c>
      <c r="AH1040" s="45">
        <v>0</v>
      </c>
      <c r="AI1040" s="45">
        <v>0</v>
      </c>
      <c r="AJ1040" s="45">
        <v>0</v>
      </c>
      <c r="AK1040" s="45">
        <v>0</v>
      </c>
      <c r="AL1040" s="45">
        <v>0</v>
      </c>
      <c r="AM1040" s="57" t="str">
        <f>I1040-J1040-K1040-L1040-M1040-N1040-O1040-P1040-Q1040-R1040-S1040-T1040-U1040-V1040-W1040-X1040-Y1040-Z1040-AA1040-AB1040-AC1040-AD1040-AE1040-AF1040-AG1040+AH1040-AI1040+AJ1040+AK1040-AL1040</f>
        <v>0</v>
      </c>
      <c r="AN1040" s="45"/>
    </row>
    <row r="1041" spans="1:41">
      <c r="A1041" s="45">
        <v>1013</v>
      </c>
      <c r="B1041" s="45" t="s">
        <v>4079</v>
      </c>
      <c r="C1041" s="49" t="s">
        <v>4080</v>
      </c>
      <c r="D1041" s="53" t="s">
        <v>73</v>
      </c>
      <c r="E1041" s="45" t="s">
        <v>4076</v>
      </c>
      <c r="F1041" s="45" t="s">
        <v>4081</v>
      </c>
      <c r="G1041" s="45">
        <v>3</v>
      </c>
      <c r="H1041" s="53" t="s">
        <v>4082</v>
      </c>
      <c r="I1041" s="45">
        <v>0</v>
      </c>
      <c r="J1041" s="45">
        <v>0</v>
      </c>
      <c r="K1041" s="45">
        <v>22000</v>
      </c>
      <c r="L1041" s="45">
        <v>0</v>
      </c>
      <c r="M1041" s="45">
        <v>0</v>
      </c>
      <c r="N1041" s="45">
        <v>0</v>
      </c>
      <c r="O1041" s="45">
        <v>0</v>
      </c>
      <c r="P1041" s="45">
        <v>0</v>
      </c>
      <c r="Q1041" s="45">
        <v>0</v>
      </c>
      <c r="R1041" s="45">
        <v>0</v>
      </c>
      <c r="S1041" s="45">
        <v>0</v>
      </c>
      <c r="T1041" s="45">
        <v>0</v>
      </c>
      <c r="U1041" s="45">
        <v>1397</v>
      </c>
      <c r="V1041" s="45">
        <v>0</v>
      </c>
      <c r="W1041" s="45">
        <v>0</v>
      </c>
      <c r="X1041" s="45">
        <v>0</v>
      </c>
      <c r="Y1041" s="45">
        <v>11000</v>
      </c>
      <c r="Z1041" s="45">
        <v>0</v>
      </c>
      <c r="AA1041" s="45">
        <v>0</v>
      </c>
      <c r="AB1041" s="45">
        <v>0</v>
      </c>
      <c r="AC1041" s="45">
        <v>0</v>
      </c>
      <c r="AD1041" s="45">
        <v>0</v>
      </c>
      <c r="AE1041" s="45">
        <v>0</v>
      </c>
      <c r="AF1041" s="45">
        <v>0</v>
      </c>
      <c r="AG1041" s="45">
        <v>0</v>
      </c>
      <c r="AH1041" s="45">
        <v>0</v>
      </c>
      <c r="AI1041" s="45">
        <v>0</v>
      </c>
      <c r="AJ1041" s="45">
        <v>0</v>
      </c>
      <c r="AK1041" s="45">
        <v>0</v>
      </c>
      <c r="AL1041" s="45">
        <v>0</v>
      </c>
      <c r="AM1041" s="57" t="str">
        <f>I1041-J1041-K1041-L1041-M1041-N1041-O1041-P1041-Q1041-R1041-S1041-T1041-U1041-V1041-W1041-X1041-Y1041-Z1041-AA1041-AB1041-AC1041-AD1041-AE1041-AF1041-AG1041+AH1041-AI1041+AJ1041+AK1041-AL1041</f>
        <v>0</v>
      </c>
      <c r="AN1041" s="45"/>
    </row>
    <row r="1042" spans="1:41">
      <c r="A1042" s="45">
        <v>1014</v>
      </c>
      <c r="B1042" s="45" t="s">
        <v>4083</v>
      </c>
      <c r="C1042" s="49" t="s">
        <v>4084</v>
      </c>
      <c r="D1042" s="53" t="s">
        <v>73</v>
      </c>
      <c r="E1042" s="45" t="s">
        <v>4076</v>
      </c>
      <c r="F1042" s="45" t="s">
        <v>4085</v>
      </c>
      <c r="G1042" s="45">
        <v>3</v>
      </c>
      <c r="H1042" s="53" t="s">
        <v>4086</v>
      </c>
      <c r="I1042" s="45">
        <v>0</v>
      </c>
      <c r="J1042" s="45">
        <v>0</v>
      </c>
      <c r="K1042" s="45">
        <v>22000</v>
      </c>
      <c r="L1042" s="45">
        <v>0</v>
      </c>
      <c r="M1042" s="45">
        <v>0</v>
      </c>
      <c r="N1042" s="45">
        <v>0</v>
      </c>
      <c r="O1042" s="45">
        <v>0</v>
      </c>
      <c r="P1042" s="45">
        <v>0</v>
      </c>
      <c r="Q1042" s="45">
        <v>0</v>
      </c>
      <c r="R1042" s="45">
        <v>0</v>
      </c>
      <c r="S1042" s="45">
        <v>0</v>
      </c>
      <c r="T1042" s="45">
        <v>0</v>
      </c>
      <c r="U1042" s="45">
        <v>1397</v>
      </c>
      <c r="V1042" s="45">
        <v>0</v>
      </c>
      <c r="W1042" s="45">
        <v>0</v>
      </c>
      <c r="X1042" s="45">
        <v>0</v>
      </c>
      <c r="Y1042" s="45">
        <v>5000</v>
      </c>
      <c r="Z1042" s="45">
        <v>0</v>
      </c>
      <c r="AA1042" s="45">
        <v>0</v>
      </c>
      <c r="AB1042" s="45">
        <v>0</v>
      </c>
      <c r="AC1042" s="45">
        <v>0</v>
      </c>
      <c r="AD1042" s="45">
        <v>0</v>
      </c>
      <c r="AE1042" s="45">
        <v>0</v>
      </c>
      <c r="AF1042" s="45">
        <v>0</v>
      </c>
      <c r="AG1042" s="45">
        <v>0</v>
      </c>
      <c r="AH1042" s="45">
        <v>0</v>
      </c>
      <c r="AI1042" s="45">
        <v>0</v>
      </c>
      <c r="AJ1042" s="45">
        <v>0</v>
      </c>
      <c r="AK1042" s="45">
        <v>0</v>
      </c>
      <c r="AL1042" s="45">
        <v>0</v>
      </c>
      <c r="AM1042" s="57" t="str">
        <f>I1042-J1042-K1042-L1042-M1042-N1042-O1042-P1042-Q1042-R1042-S1042-T1042-U1042-V1042-W1042-X1042-Y1042-Z1042-AA1042-AB1042-AC1042-AD1042-AE1042-AF1042-AG1042+AH1042-AI1042+AJ1042+AK1042-AL1042</f>
        <v>0</v>
      </c>
      <c r="AN1042" s="45"/>
    </row>
    <row r="1043" spans="1:41">
      <c r="A1043" s="45">
        <v>1015</v>
      </c>
      <c r="B1043" s="45" t="s">
        <v>4087</v>
      </c>
      <c r="C1043" s="49" t="s">
        <v>4088</v>
      </c>
      <c r="D1043" s="53" t="s">
        <v>73</v>
      </c>
      <c r="E1043" s="45" t="s">
        <v>4076</v>
      </c>
      <c r="F1043" s="45" t="s">
        <v>4089</v>
      </c>
      <c r="G1043" s="45">
        <v>3</v>
      </c>
      <c r="H1043" s="53" t="s">
        <v>4090</v>
      </c>
      <c r="I1043" s="45">
        <v>0</v>
      </c>
      <c r="J1043" s="45">
        <v>0</v>
      </c>
      <c r="K1043" s="45">
        <v>22000</v>
      </c>
      <c r="L1043" s="45">
        <v>0</v>
      </c>
      <c r="M1043" s="45">
        <v>0</v>
      </c>
      <c r="N1043" s="45">
        <v>0</v>
      </c>
      <c r="O1043" s="45">
        <v>0</v>
      </c>
      <c r="P1043" s="45">
        <v>0</v>
      </c>
      <c r="Q1043" s="45">
        <v>0</v>
      </c>
      <c r="R1043" s="45">
        <v>0</v>
      </c>
      <c r="S1043" s="45">
        <v>0</v>
      </c>
      <c r="T1043" s="45">
        <v>0</v>
      </c>
      <c r="U1043" s="45">
        <v>1397</v>
      </c>
      <c r="V1043" s="45">
        <v>0</v>
      </c>
      <c r="W1043" s="45">
        <v>0</v>
      </c>
      <c r="X1043" s="45">
        <v>0</v>
      </c>
      <c r="Y1043" s="45">
        <v>11000</v>
      </c>
      <c r="Z1043" s="45">
        <v>0</v>
      </c>
      <c r="AA1043" s="45">
        <v>0</v>
      </c>
      <c r="AB1043" s="45">
        <v>0</v>
      </c>
      <c r="AC1043" s="45">
        <v>0</v>
      </c>
      <c r="AD1043" s="45">
        <v>0</v>
      </c>
      <c r="AE1043" s="45">
        <v>0</v>
      </c>
      <c r="AF1043" s="45">
        <v>0</v>
      </c>
      <c r="AG1043" s="45">
        <v>0</v>
      </c>
      <c r="AH1043" s="45">
        <v>0</v>
      </c>
      <c r="AI1043" s="45">
        <v>0</v>
      </c>
      <c r="AJ1043" s="45">
        <v>0</v>
      </c>
      <c r="AK1043" s="45">
        <v>0</v>
      </c>
      <c r="AL1043" s="45">
        <v>0</v>
      </c>
      <c r="AM1043" s="57" t="str">
        <f>I1043-J1043-K1043-L1043-M1043-N1043-O1043-P1043-Q1043-R1043-S1043-T1043-U1043-V1043-W1043-X1043-Y1043-Z1043-AA1043-AB1043-AC1043-AD1043-AE1043-AF1043-AG1043+AH1043-AI1043+AJ1043+AK1043-AL1043</f>
        <v>0</v>
      </c>
      <c r="AN1043" s="45"/>
    </row>
    <row r="1044" spans="1:41">
      <c r="A1044" s="45">
        <v>1016</v>
      </c>
      <c r="B1044" s="45" t="s">
        <v>4091</v>
      </c>
      <c r="C1044" s="49" t="s">
        <v>4092</v>
      </c>
      <c r="D1044" s="53" t="s">
        <v>73</v>
      </c>
      <c r="E1044" s="45" t="s">
        <v>4076</v>
      </c>
      <c r="F1044" s="45" t="s">
        <v>4093</v>
      </c>
      <c r="G1044" s="45">
        <v>12</v>
      </c>
      <c r="H1044" s="53" t="s">
        <v>4094</v>
      </c>
      <c r="I1044" s="45">
        <v>999000</v>
      </c>
      <c r="J1044" s="45">
        <v>0</v>
      </c>
      <c r="K1044" s="45">
        <v>59000</v>
      </c>
      <c r="L1044" s="45">
        <v>0</v>
      </c>
      <c r="M1044" s="45">
        <v>0</v>
      </c>
      <c r="N1044" s="45">
        <v>0</v>
      </c>
      <c r="O1044" s="45">
        <v>0</v>
      </c>
      <c r="P1044" s="45">
        <v>0</v>
      </c>
      <c r="Q1044" s="45">
        <v>0</v>
      </c>
      <c r="R1044" s="45">
        <v>0</v>
      </c>
      <c r="S1044" s="45">
        <v>0</v>
      </c>
      <c r="T1044" s="45">
        <v>0</v>
      </c>
      <c r="U1044" s="45">
        <v>3746</v>
      </c>
      <c r="V1044" s="45">
        <v>0</v>
      </c>
      <c r="W1044" s="45">
        <v>0</v>
      </c>
      <c r="X1044" s="45">
        <v>0</v>
      </c>
      <c r="Y1044" s="45">
        <v>0</v>
      </c>
      <c r="Z1044" s="45">
        <v>0</v>
      </c>
      <c r="AA1044" s="45">
        <v>0</v>
      </c>
      <c r="AB1044" s="45">
        <v>0</v>
      </c>
      <c r="AC1044" s="45">
        <v>0</v>
      </c>
      <c r="AD1044" s="45">
        <v>0</v>
      </c>
      <c r="AE1044" s="45">
        <v>0</v>
      </c>
      <c r="AF1044" s="45">
        <v>0</v>
      </c>
      <c r="AG1044" s="45">
        <v>0</v>
      </c>
      <c r="AH1044" s="45">
        <v>0</v>
      </c>
      <c r="AI1044" s="45">
        <v>0</v>
      </c>
      <c r="AJ1044" s="45">
        <v>0</v>
      </c>
      <c r="AK1044" s="45">
        <v>0</v>
      </c>
      <c r="AL1044" s="45">
        <v>0</v>
      </c>
      <c r="AM1044" s="57" t="str">
        <f>I1044-J1044-K1044-L1044-M1044-N1044-O1044-P1044-Q1044-R1044-S1044-T1044-U1044-V1044-W1044-X1044-Y1044-Z1044-AA1044-AB1044-AC1044-AD1044-AE1044-AF1044-AG1044+AH1044-AI1044+AJ1044+AK1044-AL1044</f>
        <v>0</v>
      </c>
      <c r="AN1044" s="45"/>
    </row>
    <row r="1045" spans="1:41">
      <c r="A1045" s="45">
        <v>1017</v>
      </c>
      <c r="B1045" s="45" t="s">
        <v>4095</v>
      </c>
      <c r="C1045" s="49" t="s">
        <v>4096</v>
      </c>
      <c r="D1045" s="53" t="s">
        <v>73</v>
      </c>
      <c r="E1045" s="45" t="s">
        <v>4097</v>
      </c>
      <c r="F1045" s="45" t="s">
        <v>1805</v>
      </c>
      <c r="G1045" s="45">
        <v>5.8</v>
      </c>
      <c r="H1045" s="53" t="s">
        <v>4098</v>
      </c>
      <c r="I1045" s="45">
        <v>634000</v>
      </c>
      <c r="J1045" s="45">
        <v>0</v>
      </c>
      <c r="K1045" s="45">
        <v>31000</v>
      </c>
      <c r="L1045" s="45">
        <v>0</v>
      </c>
      <c r="M1045" s="45">
        <v>0</v>
      </c>
      <c r="N1045" s="45">
        <v>0</v>
      </c>
      <c r="O1045" s="45">
        <v>0</v>
      </c>
      <c r="P1045" s="45">
        <v>0</v>
      </c>
      <c r="Q1045" s="45">
        <v>0</v>
      </c>
      <c r="R1045" s="45">
        <v>0</v>
      </c>
      <c r="S1045" s="45">
        <v>0</v>
      </c>
      <c r="T1045" s="45">
        <v>0</v>
      </c>
      <c r="U1045" s="45">
        <v>1968</v>
      </c>
      <c r="V1045" s="45">
        <v>0</v>
      </c>
      <c r="W1045" s="45">
        <v>0</v>
      </c>
      <c r="X1045" s="45">
        <v>0</v>
      </c>
      <c r="Y1045" s="45">
        <v>0</v>
      </c>
      <c r="Z1045" s="45">
        <v>0</v>
      </c>
      <c r="AA1045" s="45">
        <v>0</v>
      </c>
      <c r="AB1045" s="45">
        <v>0</v>
      </c>
      <c r="AC1045" s="45">
        <v>0</v>
      </c>
      <c r="AD1045" s="45">
        <v>0</v>
      </c>
      <c r="AE1045" s="45">
        <v>0</v>
      </c>
      <c r="AF1045" s="45">
        <v>0</v>
      </c>
      <c r="AG1045" s="45">
        <v>0</v>
      </c>
      <c r="AH1045" s="45">
        <v>0</v>
      </c>
      <c r="AI1045" s="45">
        <v>0</v>
      </c>
      <c r="AJ1045" s="45">
        <v>0</v>
      </c>
      <c r="AK1045" s="45">
        <v>0</v>
      </c>
      <c r="AL1045" s="45">
        <v>0</v>
      </c>
      <c r="AM1045" s="57" t="str">
        <f>I1045-J1045-K1045-L1045-M1045-N1045-O1045-P1045-Q1045-R1045-S1045-T1045-U1045-V1045-W1045-X1045-Y1045-Z1045-AA1045-AB1045-AC1045-AD1045-AE1045-AF1045-AG1045+AH1045-AI1045+AJ1045+AK1045-AL1045</f>
        <v>0</v>
      </c>
      <c r="AN1045" s="45"/>
    </row>
    <row r="1046" spans="1:41">
      <c r="A1046" s="45">
        <v>1018</v>
      </c>
      <c r="B1046" s="45" t="s">
        <v>4099</v>
      </c>
      <c r="C1046" s="49" t="s">
        <v>4100</v>
      </c>
      <c r="D1046" s="53" t="s">
        <v>73</v>
      </c>
      <c r="E1046" s="45" t="s">
        <v>4097</v>
      </c>
      <c r="F1046" s="45" t="s">
        <v>4101</v>
      </c>
      <c r="G1046" s="45">
        <v>2</v>
      </c>
      <c r="H1046" s="53" t="s">
        <v>4102</v>
      </c>
      <c r="I1046" s="45">
        <v>290000</v>
      </c>
      <c r="J1046" s="45">
        <v>0</v>
      </c>
      <c r="K1046" s="45">
        <v>22000</v>
      </c>
      <c r="L1046" s="45">
        <v>0</v>
      </c>
      <c r="M1046" s="45">
        <v>0</v>
      </c>
      <c r="N1046" s="45">
        <v>0</v>
      </c>
      <c r="O1046" s="45">
        <v>0</v>
      </c>
      <c r="P1046" s="45">
        <v>0</v>
      </c>
      <c r="Q1046" s="45">
        <v>0</v>
      </c>
      <c r="R1046" s="45">
        <v>0</v>
      </c>
      <c r="S1046" s="45">
        <v>0</v>
      </c>
      <c r="T1046" s="45">
        <v>0</v>
      </c>
      <c r="U1046" s="45">
        <v>1397</v>
      </c>
      <c r="V1046" s="45">
        <v>0</v>
      </c>
      <c r="W1046" s="45">
        <v>0</v>
      </c>
      <c r="X1046" s="45">
        <v>0</v>
      </c>
      <c r="Y1046" s="45">
        <v>0</v>
      </c>
      <c r="Z1046" s="45">
        <v>0</v>
      </c>
      <c r="AA1046" s="45">
        <v>0</v>
      </c>
      <c r="AB1046" s="45">
        <v>0</v>
      </c>
      <c r="AC1046" s="45">
        <v>0</v>
      </c>
      <c r="AD1046" s="45">
        <v>0</v>
      </c>
      <c r="AE1046" s="45">
        <v>0</v>
      </c>
      <c r="AF1046" s="45">
        <v>0</v>
      </c>
      <c r="AG1046" s="45">
        <v>0</v>
      </c>
      <c r="AH1046" s="45">
        <v>0</v>
      </c>
      <c r="AI1046" s="45">
        <v>0</v>
      </c>
      <c r="AJ1046" s="45">
        <v>0</v>
      </c>
      <c r="AK1046" s="45">
        <v>0</v>
      </c>
      <c r="AL1046" s="45">
        <v>0</v>
      </c>
      <c r="AM1046" s="57" t="str">
        <f>I1046-J1046-K1046-L1046-M1046-N1046-O1046-P1046-Q1046-R1046-S1046-T1046-U1046-V1046-W1046-X1046-Y1046-Z1046-AA1046-AB1046-AC1046-AD1046-AE1046-AF1046-AG1046+AH1046-AI1046+AJ1046+AK1046-AL1046</f>
        <v>0</v>
      </c>
      <c r="AN1046" s="45"/>
    </row>
    <row r="1047" spans="1:41">
      <c r="A1047" s="45">
        <v>1019</v>
      </c>
      <c r="B1047" s="45" t="s">
        <v>4103</v>
      </c>
      <c r="C1047" s="49" t="s">
        <v>4104</v>
      </c>
      <c r="D1047" s="53" t="s">
        <v>73</v>
      </c>
      <c r="E1047" s="45" t="s">
        <v>4097</v>
      </c>
      <c r="F1047" s="45" t="s">
        <v>2918</v>
      </c>
      <c r="G1047" s="45">
        <v>2</v>
      </c>
      <c r="H1047" s="53" t="s">
        <v>4105</v>
      </c>
      <c r="I1047" s="45">
        <v>404000</v>
      </c>
      <c r="J1047" s="45">
        <v>0</v>
      </c>
      <c r="K1047" s="45">
        <v>22000</v>
      </c>
      <c r="L1047" s="45">
        <v>0</v>
      </c>
      <c r="M1047" s="45">
        <v>0</v>
      </c>
      <c r="N1047" s="45">
        <v>0</v>
      </c>
      <c r="O1047" s="45">
        <v>0</v>
      </c>
      <c r="P1047" s="45">
        <v>0</v>
      </c>
      <c r="Q1047" s="45">
        <v>0</v>
      </c>
      <c r="R1047" s="45">
        <v>0</v>
      </c>
      <c r="S1047" s="45">
        <v>0</v>
      </c>
      <c r="T1047" s="45">
        <v>0</v>
      </c>
      <c r="U1047" s="45">
        <v>1397</v>
      </c>
      <c r="V1047" s="45">
        <v>0</v>
      </c>
      <c r="W1047" s="45">
        <v>0</v>
      </c>
      <c r="X1047" s="45">
        <v>0</v>
      </c>
      <c r="Y1047" s="45">
        <v>0</v>
      </c>
      <c r="Z1047" s="45">
        <v>0</v>
      </c>
      <c r="AA1047" s="45">
        <v>0</v>
      </c>
      <c r="AB1047" s="45">
        <v>0</v>
      </c>
      <c r="AC1047" s="45">
        <v>0</v>
      </c>
      <c r="AD1047" s="45">
        <v>0</v>
      </c>
      <c r="AE1047" s="45">
        <v>0</v>
      </c>
      <c r="AF1047" s="45">
        <v>0</v>
      </c>
      <c r="AG1047" s="45">
        <v>0</v>
      </c>
      <c r="AH1047" s="45">
        <v>0</v>
      </c>
      <c r="AI1047" s="45">
        <v>0</v>
      </c>
      <c r="AJ1047" s="45">
        <v>0</v>
      </c>
      <c r="AK1047" s="45">
        <v>0</v>
      </c>
      <c r="AL1047" s="45">
        <v>0</v>
      </c>
      <c r="AM1047" s="57" t="str">
        <f>I1047-J1047-K1047-L1047-M1047-N1047-O1047-P1047-Q1047-R1047-S1047-T1047-U1047-V1047-W1047-X1047-Y1047-Z1047-AA1047-AB1047-AC1047-AD1047-AE1047-AF1047-AG1047+AH1047-AI1047+AJ1047+AK1047-AL1047</f>
        <v>0</v>
      </c>
      <c r="AN1047" s="45"/>
    </row>
    <row r="1048" spans="1:41">
      <c r="A1048" s="45">
        <v>1020</v>
      </c>
      <c r="B1048" s="45" t="s">
        <v>4106</v>
      </c>
      <c r="C1048" s="49" t="s">
        <v>4107</v>
      </c>
      <c r="D1048" s="53" t="s">
        <v>73</v>
      </c>
      <c r="E1048" s="45" t="s">
        <v>4097</v>
      </c>
      <c r="F1048" s="45" t="s">
        <v>2193</v>
      </c>
      <c r="G1048" s="45">
        <v>2</v>
      </c>
      <c r="H1048" s="53" t="s">
        <v>4108</v>
      </c>
      <c r="I1048" s="45">
        <v>500000</v>
      </c>
      <c r="J1048" s="45">
        <v>0</v>
      </c>
      <c r="K1048" s="45">
        <v>22000</v>
      </c>
      <c r="L1048" s="45">
        <v>0</v>
      </c>
      <c r="M1048" s="45">
        <v>0</v>
      </c>
      <c r="N1048" s="45">
        <v>0</v>
      </c>
      <c r="O1048" s="45">
        <v>0</v>
      </c>
      <c r="P1048" s="45">
        <v>0</v>
      </c>
      <c r="Q1048" s="45">
        <v>0</v>
      </c>
      <c r="R1048" s="45">
        <v>0</v>
      </c>
      <c r="S1048" s="45">
        <v>0</v>
      </c>
      <c r="T1048" s="45">
        <v>0</v>
      </c>
      <c r="U1048" s="45">
        <v>1397</v>
      </c>
      <c r="V1048" s="45">
        <v>0</v>
      </c>
      <c r="W1048" s="45">
        <v>0</v>
      </c>
      <c r="X1048" s="45">
        <v>0</v>
      </c>
      <c r="Y1048" s="45">
        <v>0</v>
      </c>
      <c r="Z1048" s="45">
        <v>0</v>
      </c>
      <c r="AA1048" s="45">
        <v>0</v>
      </c>
      <c r="AB1048" s="45">
        <v>0</v>
      </c>
      <c r="AC1048" s="45">
        <v>0</v>
      </c>
      <c r="AD1048" s="45">
        <v>0</v>
      </c>
      <c r="AE1048" s="45">
        <v>0</v>
      </c>
      <c r="AF1048" s="45">
        <v>0</v>
      </c>
      <c r="AG1048" s="45">
        <v>0</v>
      </c>
      <c r="AH1048" s="45">
        <v>0</v>
      </c>
      <c r="AI1048" s="45">
        <v>0</v>
      </c>
      <c r="AJ1048" s="45">
        <v>0</v>
      </c>
      <c r="AK1048" s="45">
        <v>0</v>
      </c>
      <c r="AL1048" s="45">
        <v>0</v>
      </c>
      <c r="AM1048" s="57" t="str">
        <f>I1048-J1048-K1048-L1048-M1048-N1048-O1048-P1048-Q1048-R1048-S1048-T1048-U1048-V1048-W1048-X1048-Y1048-Z1048-AA1048-AB1048-AC1048-AD1048-AE1048-AF1048-AG1048+AH1048-AI1048+AJ1048+AK1048-AL1048</f>
        <v>0</v>
      </c>
      <c r="AN1048" s="45"/>
    </row>
    <row r="1049" spans="1:41">
      <c r="A1049" s="45">
        <v>1021</v>
      </c>
      <c r="B1049" s="45" t="s">
        <v>4109</v>
      </c>
      <c r="C1049" s="49" t="s">
        <v>4110</v>
      </c>
      <c r="D1049" s="53" t="s">
        <v>73</v>
      </c>
      <c r="E1049" s="45" t="s">
        <v>4097</v>
      </c>
      <c r="F1049" s="45" t="s">
        <v>4111</v>
      </c>
      <c r="G1049" s="45">
        <v>2</v>
      </c>
      <c r="H1049" s="53" t="s">
        <v>4112</v>
      </c>
      <c r="I1049" s="45">
        <v>495000</v>
      </c>
      <c r="J1049" s="45">
        <v>0</v>
      </c>
      <c r="K1049" s="45">
        <v>22000</v>
      </c>
      <c r="L1049" s="45">
        <v>0</v>
      </c>
      <c r="M1049" s="45">
        <v>0</v>
      </c>
      <c r="N1049" s="45">
        <v>0</v>
      </c>
      <c r="O1049" s="45">
        <v>0</v>
      </c>
      <c r="P1049" s="45">
        <v>0</v>
      </c>
      <c r="Q1049" s="45">
        <v>0</v>
      </c>
      <c r="R1049" s="45">
        <v>0</v>
      </c>
      <c r="S1049" s="45">
        <v>0</v>
      </c>
      <c r="T1049" s="45">
        <v>0</v>
      </c>
      <c r="U1049" s="45">
        <v>1397</v>
      </c>
      <c r="V1049" s="45">
        <v>0</v>
      </c>
      <c r="W1049" s="45">
        <v>0</v>
      </c>
      <c r="X1049" s="45">
        <v>0</v>
      </c>
      <c r="Y1049" s="45">
        <v>0</v>
      </c>
      <c r="Z1049" s="45">
        <v>0</v>
      </c>
      <c r="AA1049" s="45">
        <v>0</v>
      </c>
      <c r="AB1049" s="45">
        <v>0</v>
      </c>
      <c r="AC1049" s="45">
        <v>0</v>
      </c>
      <c r="AD1049" s="45">
        <v>0</v>
      </c>
      <c r="AE1049" s="45">
        <v>0</v>
      </c>
      <c r="AF1049" s="45">
        <v>0</v>
      </c>
      <c r="AG1049" s="45">
        <v>0</v>
      </c>
      <c r="AH1049" s="45">
        <v>0</v>
      </c>
      <c r="AI1049" s="45">
        <v>0</v>
      </c>
      <c r="AJ1049" s="45">
        <v>0</v>
      </c>
      <c r="AK1049" s="45">
        <v>0</v>
      </c>
      <c r="AL1049" s="45">
        <v>0</v>
      </c>
      <c r="AM1049" s="57" t="str">
        <f>I1049-J1049-K1049-L1049-M1049-N1049-O1049-P1049-Q1049-R1049-S1049-T1049-U1049-V1049-W1049-X1049-Y1049-Z1049-AA1049-AB1049-AC1049-AD1049-AE1049-AF1049-AG1049+AH1049-AI1049+AJ1049+AK1049-AL1049</f>
        <v>0</v>
      </c>
      <c r="AN1049" s="45"/>
    </row>
    <row r="1050" spans="1:41">
      <c r="A1050" s="45">
        <v>1022</v>
      </c>
      <c r="B1050" s="45" t="s">
        <v>4113</v>
      </c>
      <c r="C1050" s="49" t="s">
        <v>4114</v>
      </c>
      <c r="D1050" s="53" t="s">
        <v>73</v>
      </c>
      <c r="E1050" s="45" t="s">
        <v>4097</v>
      </c>
      <c r="F1050" s="45" t="s">
        <v>4115</v>
      </c>
      <c r="G1050" s="45">
        <v>3</v>
      </c>
      <c r="H1050" s="53" t="s">
        <v>4116</v>
      </c>
      <c r="I1050" s="45">
        <v>245000</v>
      </c>
      <c r="J1050" s="45">
        <v>0</v>
      </c>
      <c r="K1050" s="45">
        <v>22000</v>
      </c>
      <c r="L1050" s="45">
        <v>0</v>
      </c>
      <c r="M1050" s="45">
        <v>0</v>
      </c>
      <c r="N1050" s="45">
        <v>0</v>
      </c>
      <c r="O1050" s="45">
        <v>0</v>
      </c>
      <c r="P1050" s="45">
        <v>0</v>
      </c>
      <c r="Q1050" s="45">
        <v>0</v>
      </c>
      <c r="R1050" s="45">
        <v>0</v>
      </c>
      <c r="S1050" s="45">
        <v>0</v>
      </c>
      <c r="T1050" s="45">
        <v>0</v>
      </c>
      <c r="U1050" s="45">
        <v>1397</v>
      </c>
      <c r="V1050" s="45">
        <v>0</v>
      </c>
      <c r="W1050" s="45">
        <v>0</v>
      </c>
      <c r="X1050" s="45">
        <v>0</v>
      </c>
      <c r="Y1050" s="45">
        <v>0</v>
      </c>
      <c r="Z1050" s="45">
        <v>0</v>
      </c>
      <c r="AA1050" s="45">
        <v>0</v>
      </c>
      <c r="AB1050" s="45">
        <v>0</v>
      </c>
      <c r="AC1050" s="45">
        <v>0</v>
      </c>
      <c r="AD1050" s="45">
        <v>0</v>
      </c>
      <c r="AE1050" s="45">
        <v>0</v>
      </c>
      <c r="AF1050" s="45">
        <v>0</v>
      </c>
      <c r="AG1050" s="45">
        <v>0</v>
      </c>
      <c r="AH1050" s="45">
        <v>0</v>
      </c>
      <c r="AI1050" s="45">
        <v>0</v>
      </c>
      <c r="AJ1050" s="45">
        <v>0</v>
      </c>
      <c r="AK1050" s="45">
        <v>0</v>
      </c>
      <c r="AL1050" s="45">
        <v>0</v>
      </c>
      <c r="AM1050" s="57" t="str">
        <f>I1050-J1050-K1050-L1050-M1050-N1050-O1050-P1050-Q1050-R1050-S1050-T1050-U1050-V1050-W1050-X1050-Y1050-Z1050-AA1050-AB1050-AC1050-AD1050-AE1050-AF1050-AG1050+AH1050-AI1050+AJ1050+AK1050-AL1050</f>
        <v>0</v>
      </c>
      <c r="AN1050" s="45"/>
    </row>
    <row r="1051" spans="1:41">
      <c r="A1051" s="45">
        <v>1023</v>
      </c>
      <c r="B1051" s="45" t="s">
        <v>4117</v>
      </c>
      <c r="C1051" s="49" t="s">
        <v>4118</v>
      </c>
      <c r="D1051" s="53" t="s">
        <v>73</v>
      </c>
      <c r="E1051" s="45" t="s">
        <v>4097</v>
      </c>
      <c r="F1051" s="45" t="s">
        <v>1759</v>
      </c>
      <c r="G1051" s="45">
        <v>4.1</v>
      </c>
      <c r="H1051" s="53" t="s">
        <v>4119</v>
      </c>
      <c r="I1051" s="45">
        <v>884000</v>
      </c>
      <c r="J1051" s="45">
        <v>0</v>
      </c>
      <c r="K1051" s="45">
        <v>27000</v>
      </c>
      <c r="L1051" s="45">
        <v>0</v>
      </c>
      <c r="M1051" s="45">
        <v>0</v>
      </c>
      <c r="N1051" s="45">
        <v>0</v>
      </c>
      <c r="O1051" s="45">
        <v>0</v>
      </c>
      <c r="P1051" s="45">
        <v>0</v>
      </c>
      <c r="Q1051" s="45">
        <v>0</v>
      </c>
      <c r="R1051" s="45">
        <v>0</v>
      </c>
      <c r="S1051" s="45">
        <v>0</v>
      </c>
      <c r="T1051" s="45">
        <v>0</v>
      </c>
      <c r="U1051" s="45">
        <v>1714</v>
      </c>
      <c r="V1051" s="45">
        <v>0</v>
      </c>
      <c r="W1051" s="45">
        <v>0</v>
      </c>
      <c r="X1051" s="45">
        <v>0</v>
      </c>
      <c r="Y1051" s="45">
        <v>0</v>
      </c>
      <c r="Z1051" s="45">
        <v>0</v>
      </c>
      <c r="AA1051" s="45">
        <v>0</v>
      </c>
      <c r="AB1051" s="45">
        <v>0</v>
      </c>
      <c r="AC1051" s="45">
        <v>0</v>
      </c>
      <c r="AD1051" s="45">
        <v>0</v>
      </c>
      <c r="AE1051" s="45">
        <v>0</v>
      </c>
      <c r="AF1051" s="45">
        <v>0</v>
      </c>
      <c r="AG1051" s="45">
        <v>0</v>
      </c>
      <c r="AH1051" s="45">
        <v>0</v>
      </c>
      <c r="AI1051" s="45">
        <v>0</v>
      </c>
      <c r="AJ1051" s="45">
        <v>0</v>
      </c>
      <c r="AK1051" s="45">
        <v>0</v>
      </c>
      <c r="AL1051" s="45">
        <v>0</v>
      </c>
      <c r="AM1051" s="57" t="str">
        <f>I1051-J1051-K1051-L1051-M1051-N1051-O1051-P1051-Q1051-R1051-S1051-T1051-U1051-V1051-W1051-X1051-Y1051-Z1051-AA1051-AB1051-AC1051-AD1051-AE1051-AF1051-AG1051+AH1051-AI1051+AJ1051+AK1051-AL1051</f>
        <v>0</v>
      </c>
      <c r="AN1051" s="45"/>
    </row>
    <row r="1052" spans="1:41">
      <c r="A1052" s="45">
        <v>1024</v>
      </c>
      <c r="B1052" s="45" t="s">
        <v>4120</v>
      </c>
      <c r="C1052" s="49" t="s">
        <v>4121</v>
      </c>
      <c r="D1052" s="53" t="s">
        <v>73</v>
      </c>
      <c r="E1052" s="45" t="s">
        <v>4097</v>
      </c>
      <c r="F1052" s="45" t="s">
        <v>4122</v>
      </c>
      <c r="G1052" s="45">
        <v>2</v>
      </c>
      <c r="H1052" s="53" t="s">
        <v>4123</v>
      </c>
      <c r="I1052" s="45">
        <v>590000</v>
      </c>
      <c r="J1052" s="45">
        <v>0</v>
      </c>
      <c r="K1052" s="45">
        <v>22000</v>
      </c>
      <c r="L1052" s="45">
        <v>0</v>
      </c>
      <c r="M1052" s="45">
        <v>0</v>
      </c>
      <c r="N1052" s="45">
        <v>0</v>
      </c>
      <c r="O1052" s="45">
        <v>0</v>
      </c>
      <c r="P1052" s="45">
        <v>0</v>
      </c>
      <c r="Q1052" s="45">
        <v>0</v>
      </c>
      <c r="R1052" s="45">
        <v>0</v>
      </c>
      <c r="S1052" s="45">
        <v>0</v>
      </c>
      <c r="T1052" s="45">
        <v>0</v>
      </c>
      <c r="U1052" s="45">
        <v>1397</v>
      </c>
      <c r="V1052" s="45">
        <v>0</v>
      </c>
      <c r="W1052" s="45">
        <v>0</v>
      </c>
      <c r="X1052" s="45">
        <v>0</v>
      </c>
      <c r="Y1052" s="45">
        <v>0</v>
      </c>
      <c r="Z1052" s="45">
        <v>0</v>
      </c>
      <c r="AA1052" s="45">
        <v>0</v>
      </c>
      <c r="AB1052" s="45">
        <v>0</v>
      </c>
      <c r="AC1052" s="45">
        <v>0</v>
      </c>
      <c r="AD1052" s="45">
        <v>0</v>
      </c>
      <c r="AE1052" s="45">
        <v>0</v>
      </c>
      <c r="AF1052" s="45">
        <v>0</v>
      </c>
      <c r="AG1052" s="45">
        <v>0</v>
      </c>
      <c r="AH1052" s="45">
        <v>0</v>
      </c>
      <c r="AI1052" s="45">
        <v>0</v>
      </c>
      <c r="AJ1052" s="45">
        <v>0</v>
      </c>
      <c r="AK1052" s="45">
        <v>0</v>
      </c>
      <c r="AL1052" s="45">
        <v>0</v>
      </c>
      <c r="AM1052" s="57" t="str">
        <f>I1052-J1052-K1052-L1052-M1052-N1052-O1052-P1052-Q1052-R1052-S1052-T1052-U1052-V1052-W1052-X1052-Y1052-Z1052-AA1052-AB1052-AC1052-AD1052-AE1052-AF1052-AG1052+AH1052-AI1052+AJ1052+AK1052-AL1052</f>
        <v>0</v>
      </c>
      <c r="AN1052" s="45"/>
    </row>
    <row r="1053" spans="1:41">
      <c r="A1053" s="45">
        <v>1025</v>
      </c>
      <c r="B1053" s="45" t="s">
        <v>4124</v>
      </c>
      <c r="C1053" s="49" t="s">
        <v>4125</v>
      </c>
      <c r="D1053" s="53" t="s">
        <v>73</v>
      </c>
      <c r="E1053" s="45" t="s">
        <v>4097</v>
      </c>
      <c r="F1053" s="45" t="s">
        <v>998</v>
      </c>
      <c r="G1053" s="45">
        <v>6</v>
      </c>
      <c r="H1053" s="53" t="s">
        <v>4126</v>
      </c>
      <c r="I1053" s="45">
        <v>1189000</v>
      </c>
      <c r="J1053" s="45">
        <v>0</v>
      </c>
      <c r="K1053" s="45">
        <v>31000</v>
      </c>
      <c r="L1053" s="45">
        <v>0</v>
      </c>
      <c r="M1053" s="45">
        <v>0</v>
      </c>
      <c r="N1053" s="45">
        <v>0</v>
      </c>
      <c r="O1053" s="45">
        <v>0</v>
      </c>
      <c r="P1053" s="45">
        <v>0</v>
      </c>
      <c r="Q1053" s="45">
        <v>0</v>
      </c>
      <c r="R1053" s="45">
        <v>0</v>
      </c>
      <c r="S1053" s="45">
        <v>0</v>
      </c>
      <c r="T1053" s="45">
        <v>0</v>
      </c>
      <c r="U1053" s="45">
        <v>1968</v>
      </c>
      <c r="V1053" s="45">
        <v>0</v>
      </c>
      <c r="W1053" s="45">
        <v>0</v>
      </c>
      <c r="X1053" s="45">
        <v>0</v>
      </c>
      <c r="Y1053" s="45">
        <v>0</v>
      </c>
      <c r="Z1053" s="45">
        <v>0</v>
      </c>
      <c r="AA1053" s="45">
        <v>0</v>
      </c>
      <c r="AB1053" s="45">
        <v>0</v>
      </c>
      <c r="AC1053" s="45">
        <v>0</v>
      </c>
      <c r="AD1053" s="45">
        <v>0</v>
      </c>
      <c r="AE1053" s="45">
        <v>0</v>
      </c>
      <c r="AF1053" s="45">
        <v>0</v>
      </c>
      <c r="AG1053" s="45">
        <v>0</v>
      </c>
      <c r="AH1053" s="45">
        <v>0</v>
      </c>
      <c r="AI1053" s="45">
        <v>0</v>
      </c>
      <c r="AJ1053" s="45">
        <v>0</v>
      </c>
      <c r="AK1053" s="45">
        <v>0</v>
      </c>
      <c r="AL1053" s="45">
        <v>0</v>
      </c>
      <c r="AM1053" s="57" t="str">
        <f>I1053-J1053-K1053-L1053-M1053-N1053-O1053-P1053-Q1053-R1053-S1053-T1053-U1053-V1053-W1053-X1053-Y1053-Z1053-AA1053-AB1053-AC1053-AD1053-AE1053-AF1053-AG1053+AH1053-AI1053+AJ1053+AK1053-AL1053</f>
        <v>0</v>
      </c>
      <c r="AN1053" s="45"/>
    </row>
    <row r="1054" spans="1:41">
      <c r="A1054" s="45">
        <v>1026</v>
      </c>
      <c r="B1054" s="45" t="s">
        <v>4127</v>
      </c>
      <c r="C1054" s="49" t="s">
        <v>4128</v>
      </c>
      <c r="D1054" s="53" t="s">
        <v>73</v>
      </c>
      <c r="E1054" s="45" t="s">
        <v>4097</v>
      </c>
      <c r="F1054" s="45" t="s">
        <v>4129</v>
      </c>
      <c r="G1054" s="45">
        <v>3</v>
      </c>
      <c r="H1054" s="53" t="s">
        <v>4130</v>
      </c>
      <c r="I1054" s="45">
        <v>835000</v>
      </c>
      <c r="J1054" s="45">
        <v>0</v>
      </c>
      <c r="K1054" s="45">
        <v>22000</v>
      </c>
      <c r="L1054" s="45">
        <v>0</v>
      </c>
      <c r="M1054" s="45">
        <v>0</v>
      </c>
      <c r="N1054" s="45">
        <v>0</v>
      </c>
      <c r="O1054" s="45">
        <v>0</v>
      </c>
      <c r="P1054" s="45">
        <v>0</v>
      </c>
      <c r="Q1054" s="45">
        <v>0</v>
      </c>
      <c r="R1054" s="45">
        <v>0</v>
      </c>
      <c r="S1054" s="45">
        <v>0</v>
      </c>
      <c r="T1054" s="45">
        <v>0</v>
      </c>
      <c r="U1054" s="45">
        <v>1397</v>
      </c>
      <c r="V1054" s="45">
        <v>0</v>
      </c>
      <c r="W1054" s="45">
        <v>0</v>
      </c>
      <c r="X1054" s="45">
        <v>0</v>
      </c>
      <c r="Y1054" s="45">
        <v>0</v>
      </c>
      <c r="Z1054" s="45">
        <v>0</v>
      </c>
      <c r="AA1054" s="45">
        <v>0</v>
      </c>
      <c r="AB1054" s="45">
        <v>0</v>
      </c>
      <c r="AC1054" s="45">
        <v>0</v>
      </c>
      <c r="AD1054" s="45">
        <v>0</v>
      </c>
      <c r="AE1054" s="45">
        <v>0</v>
      </c>
      <c r="AF1054" s="45">
        <v>0</v>
      </c>
      <c r="AG1054" s="45">
        <v>0</v>
      </c>
      <c r="AH1054" s="45">
        <v>0</v>
      </c>
      <c r="AI1054" s="45">
        <v>0</v>
      </c>
      <c r="AJ1054" s="45">
        <v>0</v>
      </c>
      <c r="AK1054" s="45">
        <v>0</v>
      </c>
      <c r="AL1054" s="45">
        <v>0</v>
      </c>
      <c r="AM1054" s="57" t="str">
        <f>I1054-J1054-K1054-L1054-M1054-N1054-O1054-P1054-Q1054-R1054-S1054-T1054-U1054-V1054-W1054-X1054-Y1054-Z1054-AA1054-AB1054-AC1054-AD1054-AE1054-AF1054-AG1054+AH1054-AI1054+AJ1054+AK1054-AL1054</f>
        <v>0</v>
      </c>
      <c r="AN1054" s="45"/>
    </row>
    <row r="1055" spans="1:41">
      <c r="A1055" s="45">
        <v>1027</v>
      </c>
      <c r="B1055" s="45" t="s">
        <v>4131</v>
      </c>
      <c r="C1055" s="49" t="s">
        <v>4132</v>
      </c>
      <c r="D1055" s="53" t="s">
        <v>73</v>
      </c>
      <c r="E1055" s="45" t="s">
        <v>4097</v>
      </c>
      <c r="F1055" s="45" t="s">
        <v>4133</v>
      </c>
      <c r="G1055" s="45">
        <v>2</v>
      </c>
      <c r="H1055" s="53" t="s">
        <v>4134</v>
      </c>
      <c r="I1055" s="45">
        <v>334000</v>
      </c>
      <c r="J1055" s="45">
        <v>0</v>
      </c>
      <c r="K1055" s="45">
        <v>22000</v>
      </c>
      <c r="L1055" s="45">
        <v>0</v>
      </c>
      <c r="M1055" s="45">
        <v>0</v>
      </c>
      <c r="N1055" s="45">
        <v>0</v>
      </c>
      <c r="O1055" s="45">
        <v>0</v>
      </c>
      <c r="P1055" s="45">
        <v>0</v>
      </c>
      <c r="Q1055" s="45">
        <v>0</v>
      </c>
      <c r="R1055" s="45">
        <v>0</v>
      </c>
      <c r="S1055" s="45">
        <v>0</v>
      </c>
      <c r="T1055" s="45">
        <v>0</v>
      </c>
      <c r="U1055" s="45">
        <v>1397</v>
      </c>
      <c r="V1055" s="45">
        <v>0</v>
      </c>
      <c r="W1055" s="45">
        <v>0</v>
      </c>
      <c r="X1055" s="45">
        <v>0</v>
      </c>
      <c r="Y1055" s="45">
        <v>0</v>
      </c>
      <c r="Z1055" s="45">
        <v>0</v>
      </c>
      <c r="AA1055" s="45">
        <v>0</v>
      </c>
      <c r="AB1055" s="45">
        <v>0</v>
      </c>
      <c r="AC1055" s="45">
        <v>0</v>
      </c>
      <c r="AD1055" s="45">
        <v>0</v>
      </c>
      <c r="AE1055" s="45">
        <v>0</v>
      </c>
      <c r="AF1055" s="45">
        <v>0</v>
      </c>
      <c r="AG1055" s="45">
        <v>0</v>
      </c>
      <c r="AH1055" s="45">
        <v>0</v>
      </c>
      <c r="AI1055" s="45">
        <v>0</v>
      </c>
      <c r="AJ1055" s="45">
        <v>0</v>
      </c>
      <c r="AK1055" s="45">
        <v>0</v>
      </c>
      <c r="AL1055" s="45">
        <v>0</v>
      </c>
      <c r="AM1055" s="57" t="str">
        <f>I1055-J1055-K1055-L1055-M1055-N1055-O1055-P1055-Q1055-R1055-S1055-T1055-U1055-V1055-W1055-X1055-Y1055-Z1055-AA1055-AB1055-AC1055-AD1055-AE1055-AF1055-AG1055+AH1055-AI1055+AJ1055+AK1055-AL1055</f>
        <v>0</v>
      </c>
      <c r="AN1055" s="45"/>
    </row>
    <row r="1056" spans="1:41">
      <c r="A1056" s="45">
        <v>1028</v>
      </c>
      <c r="B1056" s="45" t="s">
        <v>4135</v>
      </c>
      <c r="C1056" s="49" t="s">
        <v>4136</v>
      </c>
      <c r="D1056" s="53" t="s">
        <v>73</v>
      </c>
      <c r="E1056" s="45" t="s">
        <v>4097</v>
      </c>
      <c r="F1056" s="45" t="s">
        <v>4137</v>
      </c>
      <c r="G1056" s="45">
        <v>3</v>
      </c>
      <c r="H1056" s="53" t="s">
        <v>4138</v>
      </c>
      <c r="I1056" s="45">
        <v>785000</v>
      </c>
      <c r="J1056" s="45">
        <v>0</v>
      </c>
      <c r="K1056" s="45">
        <v>22000</v>
      </c>
      <c r="L1056" s="45">
        <v>0</v>
      </c>
      <c r="M1056" s="45">
        <v>0</v>
      </c>
      <c r="N1056" s="45">
        <v>0</v>
      </c>
      <c r="O1056" s="45">
        <v>0</v>
      </c>
      <c r="P1056" s="45">
        <v>0</v>
      </c>
      <c r="Q1056" s="45">
        <v>0</v>
      </c>
      <c r="R1056" s="45">
        <v>0</v>
      </c>
      <c r="S1056" s="45">
        <v>0</v>
      </c>
      <c r="T1056" s="45">
        <v>0</v>
      </c>
      <c r="U1056" s="45">
        <v>1397</v>
      </c>
      <c r="V1056" s="45">
        <v>0</v>
      </c>
      <c r="W1056" s="45">
        <v>0</v>
      </c>
      <c r="X1056" s="45">
        <v>0</v>
      </c>
      <c r="Y1056" s="45">
        <v>0</v>
      </c>
      <c r="Z1056" s="45">
        <v>0</v>
      </c>
      <c r="AA1056" s="45">
        <v>0</v>
      </c>
      <c r="AB1056" s="45">
        <v>0</v>
      </c>
      <c r="AC1056" s="45">
        <v>0</v>
      </c>
      <c r="AD1056" s="45">
        <v>0</v>
      </c>
      <c r="AE1056" s="45">
        <v>0</v>
      </c>
      <c r="AF1056" s="45">
        <v>0</v>
      </c>
      <c r="AG1056" s="45">
        <v>0</v>
      </c>
      <c r="AH1056" s="45">
        <v>0</v>
      </c>
      <c r="AI1056" s="45">
        <v>0</v>
      </c>
      <c r="AJ1056" s="45">
        <v>0</v>
      </c>
      <c r="AK1056" s="45">
        <v>0</v>
      </c>
      <c r="AL1056" s="45">
        <v>0</v>
      </c>
      <c r="AM1056" s="57" t="str">
        <f>I1056-J1056-K1056-L1056-M1056-N1056-O1056-P1056-Q1056-R1056-S1056-T1056-U1056-V1056-W1056-X1056-Y1056-Z1056-AA1056-AB1056-AC1056-AD1056-AE1056-AF1056-AG1056+AH1056-AI1056+AJ1056+AK1056-AL1056</f>
        <v>0</v>
      </c>
      <c r="AN1056" s="45"/>
    </row>
    <row r="1057" spans="1:41">
      <c r="A1057" s="45">
        <v>1029</v>
      </c>
      <c r="B1057" s="45" t="s">
        <v>4139</v>
      </c>
      <c r="C1057" s="49" t="s">
        <v>4140</v>
      </c>
      <c r="D1057" s="53" t="s">
        <v>73</v>
      </c>
      <c r="E1057" s="45" t="s">
        <v>4097</v>
      </c>
      <c r="F1057" s="45" t="s">
        <v>1194</v>
      </c>
      <c r="G1057" s="45">
        <v>2</v>
      </c>
      <c r="H1057" s="53" t="s">
        <v>4141</v>
      </c>
      <c r="I1057" s="45">
        <v>404000</v>
      </c>
      <c r="J1057" s="45">
        <v>0</v>
      </c>
      <c r="K1057" s="45">
        <v>22000</v>
      </c>
      <c r="L1057" s="45">
        <v>0</v>
      </c>
      <c r="M1057" s="45">
        <v>0</v>
      </c>
      <c r="N1057" s="45">
        <v>0</v>
      </c>
      <c r="O1057" s="45">
        <v>0</v>
      </c>
      <c r="P1057" s="45">
        <v>0</v>
      </c>
      <c r="Q1057" s="45">
        <v>0</v>
      </c>
      <c r="R1057" s="45">
        <v>0</v>
      </c>
      <c r="S1057" s="45">
        <v>0</v>
      </c>
      <c r="T1057" s="45">
        <v>0</v>
      </c>
      <c r="U1057" s="45">
        <v>1397</v>
      </c>
      <c r="V1057" s="45">
        <v>0</v>
      </c>
      <c r="W1057" s="45">
        <v>0</v>
      </c>
      <c r="X1057" s="45">
        <v>0</v>
      </c>
      <c r="Y1057" s="45">
        <v>0</v>
      </c>
      <c r="Z1057" s="45">
        <v>0</v>
      </c>
      <c r="AA1057" s="45">
        <v>0</v>
      </c>
      <c r="AB1057" s="45">
        <v>0</v>
      </c>
      <c r="AC1057" s="45">
        <v>0</v>
      </c>
      <c r="AD1057" s="45">
        <v>0</v>
      </c>
      <c r="AE1057" s="45">
        <v>0</v>
      </c>
      <c r="AF1057" s="45">
        <v>0</v>
      </c>
      <c r="AG1057" s="45">
        <v>0</v>
      </c>
      <c r="AH1057" s="45">
        <v>0</v>
      </c>
      <c r="AI1057" s="45">
        <v>0</v>
      </c>
      <c r="AJ1057" s="45">
        <v>0</v>
      </c>
      <c r="AK1057" s="45">
        <v>0</v>
      </c>
      <c r="AL1057" s="45">
        <v>0</v>
      </c>
      <c r="AM1057" s="57" t="str">
        <f>I1057-J1057-K1057-L1057-M1057-N1057-O1057-P1057-Q1057-R1057-S1057-T1057-U1057-V1057-W1057-X1057-Y1057-Z1057-AA1057-AB1057-AC1057-AD1057-AE1057-AF1057-AG1057+AH1057-AI1057+AJ1057+AK1057-AL1057</f>
        <v>0</v>
      </c>
      <c r="AN1057" s="45"/>
    </row>
    <row r="1058" spans="1:41">
      <c r="A1058" s="45">
        <v>1030</v>
      </c>
      <c r="B1058" s="45" t="s">
        <v>4142</v>
      </c>
      <c r="C1058" s="49" t="s">
        <v>4143</v>
      </c>
      <c r="D1058" s="53" t="s">
        <v>73</v>
      </c>
      <c r="E1058" s="45" t="s">
        <v>4097</v>
      </c>
      <c r="F1058" s="45" t="s">
        <v>4144</v>
      </c>
      <c r="G1058" s="45">
        <v>10</v>
      </c>
      <c r="H1058" s="53" t="s">
        <v>4145</v>
      </c>
      <c r="I1058" s="45">
        <v>629000</v>
      </c>
      <c r="J1058" s="45">
        <v>0</v>
      </c>
      <c r="K1058" s="45">
        <v>40000</v>
      </c>
      <c r="L1058" s="45">
        <v>0</v>
      </c>
      <c r="M1058" s="45">
        <v>0</v>
      </c>
      <c r="N1058" s="45">
        <v>0</v>
      </c>
      <c r="O1058" s="45">
        <v>0</v>
      </c>
      <c r="P1058" s="45">
        <v>0</v>
      </c>
      <c r="Q1058" s="45">
        <v>0</v>
      </c>
      <c r="R1058" s="45">
        <v>0</v>
      </c>
      <c r="S1058" s="45">
        <v>0</v>
      </c>
      <c r="T1058" s="45">
        <v>0</v>
      </c>
      <c r="U1058" s="45">
        <v>2540</v>
      </c>
      <c r="V1058" s="45">
        <v>0</v>
      </c>
      <c r="W1058" s="45">
        <v>0</v>
      </c>
      <c r="X1058" s="45">
        <v>0</v>
      </c>
      <c r="Y1058" s="45">
        <v>0</v>
      </c>
      <c r="Z1058" s="45">
        <v>0</v>
      </c>
      <c r="AA1058" s="45">
        <v>0</v>
      </c>
      <c r="AB1058" s="45">
        <v>0</v>
      </c>
      <c r="AC1058" s="45">
        <v>0</v>
      </c>
      <c r="AD1058" s="45">
        <v>0</v>
      </c>
      <c r="AE1058" s="45">
        <v>0</v>
      </c>
      <c r="AF1058" s="45">
        <v>0</v>
      </c>
      <c r="AG1058" s="45">
        <v>0</v>
      </c>
      <c r="AH1058" s="45">
        <v>0</v>
      </c>
      <c r="AI1058" s="45">
        <v>0</v>
      </c>
      <c r="AJ1058" s="45">
        <v>0</v>
      </c>
      <c r="AK1058" s="45">
        <v>0</v>
      </c>
      <c r="AL1058" s="45">
        <v>0</v>
      </c>
      <c r="AM1058" s="57" t="str">
        <f>I1058-J1058-K1058-L1058-M1058-N1058-O1058-P1058-Q1058-R1058-S1058-T1058-U1058-V1058-W1058-X1058-Y1058-Z1058-AA1058-AB1058-AC1058-AD1058-AE1058-AF1058-AG1058+AH1058-AI1058+AJ1058+AK1058-AL1058</f>
        <v>0</v>
      </c>
      <c r="AN1058" s="45"/>
    </row>
    <row r="1059" spans="1:41">
      <c r="A1059" s="45">
        <v>1031</v>
      </c>
      <c r="B1059" s="45" t="s">
        <v>4146</v>
      </c>
      <c r="C1059" s="49" t="s">
        <v>4147</v>
      </c>
      <c r="D1059" s="53" t="s">
        <v>73</v>
      </c>
      <c r="E1059" s="45" t="s">
        <v>4097</v>
      </c>
      <c r="F1059" s="45" t="s">
        <v>4148</v>
      </c>
      <c r="G1059" s="45">
        <v>2</v>
      </c>
      <c r="H1059" s="53" t="s">
        <v>4149</v>
      </c>
      <c r="I1059" s="45">
        <v>310000</v>
      </c>
      <c r="J1059" s="45">
        <v>0</v>
      </c>
      <c r="K1059" s="45">
        <v>22000</v>
      </c>
      <c r="L1059" s="45">
        <v>0</v>
      </c>
      <c r="M1059" s="45">
        <v>0</v>
      </c>
      <c r="N1059" s="45">
        <v>0</v>
      </c>
      <c r="O1059" s="45">
        <v>0</v>
      </c>
      <c r="P1059" s="45">
        <v>0</v>
      </c>
      <c r="Q1059" s="45">
        <v>0</v>
      </c>
      <c r="R1059" s="45">
        <v>0</v>
      </c>
      <c r="S1059" s="45">
        <v>0</v>
      </c>
      <c r="T1059" s="45">
        <v>0</v>
      </c>
      <c r="U1059" s="45">
        <v>1397</v>
      </c>
      <c r="V1059" s="45">
        <v>0</v>
      </c>
      <c r="W1059" s="45">
        <v>0</v>
      </c>
      <c r="X1059" s="45">
        <v>0</v>
      </c>
      <c r="Y1059" s="45">
        <v>0</v>
      </c>
      <c r="Z1059" s="45">
        <v>0</v>
      </c>
      <c r="AA1059" s="45">
        <v>0</v>
      </c>
      <c r="AB1059" s="45">
        <v>0</v>
      </c>
      <c r="AC1059" s="45">
        <v>0</v>
      </c>
      <c r="AD1059" s="45">
        <v>0</v>
      </c>
      <c r="AE1059" s="45">
        <v>0</v>
      </c>
      <c r="AF1059" s="45">
        <v>0</v>
      </c>
      <c r="AG1059" s="45">
        <v>0</v>
      </c>
      <c r="AH1059" s="45">
        <v>0</v>
      </c>
      <c r="AI1059" s="45">
        <v>0</v>
      </c>
      <c r="AJ1059" s="45">
        <v>0</v>
      </c>
      <c r="AK1059" s="45">
        <v>0</v>
      </c>
      <c r="AL1059" s="45">
        <v>0</v>
      </c>
      <c r="AM1059" s="57" t="str">
        <f>I1059-J1059-K1059-L1059-M1059-N1059-O1059-P1059-Q1059-R1059-S1059-T1059-U1059-V1059-W1059-X1059-Y1059-Z1059-AA1059-AB1059-AC1059-AD1059-AE1059-AF1059-AG1059+AH1059-AI1059+AJ1059+AK1059-AL1059</f>
        <v>0</v>
      </c>
      <c r="AN1059" s="45"/>
    </row>
    <row r="1060" spans="1:41">
      <c r="A1060" s="45">
        <v>1032</v>
      </c>
      <c r="B1060" s="45" t="s">
        <v>4150</v>
      </c>
      <c r="C1060" s="49" t="s">
        <v>4151</v>
      </c>
      <c r="D1060" s="53" t="s">
        <v>73</v>
      </c>
      <c r="E1060" s="45" t="s">
        <v>4097</v>
      </c>
      <c r="F1060" s="45" t="s">
        <v>4152</v>
      </c>
      <c r="G1060" s="45">
        <v>7</v>
      </c>
      <c r="H1060" s="53" t="s">
        <v>4153</v>
      </c>
      <c r="I1060" s="45">
        <v>1439000</v>
      </c>
      <c r="J1060" s="45">
        <v>0</v>
      </c>
      <c r="K1060" s="45">
        <v>35000</v>
      </c>
      <c r="L1060" s="45">
        <v>0</v>
      </c>
      <c r="M1060" s="45">
        <v>0</v>
      </c>
      <c r="N1060" s="45">
        <v>0</v>
      </c>
      <c r="O1060" s="45">
        <v>0</v>
      </c>
      <c r="P1060" s="45">
        <v>0</v>
      </c>
      <c r="Q1060" s="45">
        <v>0</v>
      </c>
      <c r="R1060" s="45">
        <v>0</v>
      </c>
      <c r="S1060" s="45">
        <v>0</v>
      </c>
      <c r="T1060" s="45">
        <v>0</v>
      </c>
      <c r="U1060" s="45">
        <v>2222</v>
      </c>
      <c r="V1060" s="45">
        <v>0</v>
      </c>
      <c r="W1060" s="45">
        <v>0</v>
      </c>
      <c r="X1060" s="45">
        <v>0</v>
      </c>
      <c r="Y1060" s="45">
        <v>0</v>
      </c>
      <c r="Z1060" s="45">
        <v>0</v>
      </c>
      <c r="AA1060" s="45">
        <v>0</v>
      </c>
      <c r="AB1060" s="45">
        <v>0</v>
      </c>
      <c r="AC1060" s="45">
        <v>0</v>
      </c>
      <c r="AD1060" s="45">
        <v>0</v>
      </c>
      <c r="AE1060" s="45">
        <v>0</v>
      </c>
      <c r="AF1060" s="45">
        <v>0</v>
      </c>
      <c r="AG1060" s="45">
        <v>0</v>
      </c>
      <c r="AH1060" s="45">
        <v>0</v>
      </c>
      <c r="AI1060" s="45">
        <v>0</v>
      </c>
      <c r="AJ1060" s="45">
        <v>0</v>
      </c>
      <c r="AK1060" s="45">
        <v>0</v>
      </c>
      <c r="AL1060" s="45">
        <v>0</v>
      </c>
      <c r="AM1060" s="57" t="str">
        <f>I1060-J1060-K1060-L1060-M1060-N1060-O1060-P1060-Q1060-R1060-S1060-T1060-U1060-V1060-W1060-X1060-Y1060-Z1060-AA1060-AB1060-AC1060-AD1060-AE1060-AF1060-AG1060+AH1060-AI1060+AJ1060+AK1060-AL1060</f>
        <v>0</v>
      </c>
      <c r="AN1060" s="45"/>
    </row>
    <row r="1061" spans="1:41">
      <c r="A1061" s="45">
        <v>1033</v>
      </c>
      <c r="B1061" s="45" t="s">
        <v>4154</v>
      </c>
      <c r="C1061" s="49" t="s">
        <v>4155</v>
      </c>
      <c r="D1061" s="53" t="s">
        <v>73</v>
      </c>
      <c r="E1061" s="45" t="s">
        <v>4097</v>
      </c>
      <c r="F1061" s="45" t="s">
        <v>1403</v>
      </c>
      <c r="G1061" s="45">
        <v>4</v>
      </c>
      <c r="H1061" s="53" t="s">
        <v>4156</v>
      </c>
      <c r="I1061" s="45">
        <v>504000</v>
      </c>
      <c r="J1061" s="45">
        <v>0</v>
      </c>
      <c r="K1061" s="45">
        <v>25000</v>
      </c>
      <c r="L1061" s="45">
        <v>0</v>
      </c>
      <c r="M1061" s="45">
        <v>0</v>
      </c>
      <c r="N1061" s="45">
        <v>0</v>
      </c>
      <c r="O1061" s="45">
        <v>0</v>
      </c>
      <c r="P1061" s="45">
        <v>0</v>
      </c>
      <c r="Q1061" s="45">
        <v>0</v>
      </c>
      <c r="R1061" s="45">
        <v>0</v>
      </c>
      <c r="S1061" s="45">
        <v>0</v>
      </c>
      <c r="T1061" s="45">
        <v>0</v>
      </c>
      <c r="U1061" s="45">
        <v>1587</v>
      </c>
      <c r="V1061" s="45">
        <v>0</v>
      </c>
      <c r="W1061" s="45">
        <v>0</v>
      </c>
      <c r="X1061" s="45">
        <v>0</v>
      </c>
      <c r="Y1061" s="45">
        <v>0</v>
      </c>
      <c r="Z1061" s="45">
        <v>0</v>
      </c>
      <c r="AA1061" s="45">
        <v>0</v>
      </c>
      <c r="AB1061" s="45">
        <v>0</v>
      </c>
      <c r="AC1061" s="45">
        <v>0</v>
      </c>
      <c r="AD1061" s="45">
        <v>0</v>
      </c>
      <c r="AE1061" s="45">
        <v>0</v>
      </c>
      <c r="AF1061" s="45">
        <v>0</v>
      </c>
      <c r="AG1061" s="45">
        <v>0</v>
      </c>
      <c r="AH1061" s="45">
        <v>0</v>
      </c>
      <c r="AI1061" s="45">
        <v>0</v>
      </c>
      <c r="AJ1061" s="45">
        <v>0</v>
      </c>
      <c r="AK1061" s="45">
        <v>0</v>
      </c>
      <c r="AL1061" s="45">
        <v>0</v>
      </c>
      <c r="AM1061" s="57" t="str">
        <f>I1061-J1061-K1061-L1061-M1061-N1061-O1061-P1061-Q1061-R1061-S1061-T1061-U1061-V1061-W1061-X1061-Y1061-Z1061-AA1061-AB1061-AC1061-AD1061-AE1061-AF1061-AG1061+AH1061-AI1061+AJ1061+AK1061-AL1061</f>
        <v>0</v>
      </c>
      <c r="AN1061" s="45"/>
    </row>
    <row r="1062" spans="1:41">
      <c r="A1062" s="45">
        <v>1034</v>
      </c>
      <c r="B1062" s="45" t="s">
        <v>4157</v>
      </c>
      <c r="C1062" s="49" t="s">
        <v>4158</v>
      </c>
      <c r="D1062" s="53" t="s">
        <v>73</v>
      </c>
      <c r="E1062" s="45" t="s">
        <v>4097</v>
      </c>
      <c r="F1062" s="45" t="s">
        <v>4159</v>
      </c>
      <c r="G1062" s="45">
        <v>12</v>
      </c>
      <c r="H1062" s="53" t="s">
        <v>4160</v>
      </c>
      <c r="I1062" s="45">
        <v>2349000</v>
      </c>
      <c r="J1062" s="45">
        <v>0</v>
      </c>
      <c r="K1062" s="45">
        <v>59000</v>
      </c>
      <c r="L1062" s="45">
        <v>0</v>
      </c>
      <c r="M1062" s="45">
        <v>0</v>
      </c>
      <c r="N1062" s="45">
        <v>0</v>
      </c>
      <c r="O1062" s="45">
        <v>0</v>
      </c>
      <c r="P1062" s="45">
        <v>0</v>
      </c>
      <c r="Q1062" s="45">
        <v>0</v>
      </c>
      <c r="R1062" s="45">
        <v>0</v>
      </c>
      <c r="S1062" s="45">
        <v>0</v>
      </c>
      <c r="T1062" s="45">
        <v>0</v>
      </c>
      <c r="U1062" s="45">
        <v>3746</v>
      </c>
      <c r="V1062" s="45">
        <v>0</v>
      </c>
      <c r="W1062" s="45">
        <v>0</v>
      </c>
      <c r="X1062" s="45">
        <v>0</v>
      </c>
      <c r="Y1062" s="45">
        <v>0</v>
      </c>
      <c r="Z1062" s="45">
        <v>0</v>
      </c>
      <c r="AA1062" s="45">
        <v>0</v>
      </c>
      <c r="AB1062" s="45">
        <v>0</v>
      </c>
      <c r="AC1062" s="45">
        <v>0</v>
      </c>
      <c r="AD1062" s="45">
        <v>0</v>
      </c>
      <c r="AE1062" s="45">
        <v>0</v>
      </c>
      <c r="AF1062" s="45">
        <v>0</v>
      </c>
      <c r="AG1062" s="45">
        <v>0</v>
      </c>
      <c r="AH1062" s="45">
        <v>0</v>
      </c>
      <c r="AI1062" s="45">
        <v>0</v>
      </c>
      <c r="AJ1062" s="45">
        <v>0</v>
      </c>
      <c r="AK1062" s="45">
        <v>0</v>
      </c>
      <c r="AL1062" s="45">
        <v>0</v>
      </c>
      <c r="AM1062" s="57" t="str">
        <f>I1062-J1062-K1062-L1062-M1062-N1062-O1062-P1062-Q1062-R1062-S1062-T1062-U1062-V1062-W1062-X1062-Y1062-Z1062-AA1062-AB1062-AC1062-AD1062-AE1062-AF1062-AG1062+AH1062-AI1062+AJ1062+AK1062-AL1062</f>
        <v>0</v>
      </c>
      <c r="AN1062" s="45"/>
    </row>
    <row r="1063" spans="1:41">
      <c r="A1063" s="45">
        <v>1035</v>
      </c>
      <c r="B1063" s="45" t="s">
        <v>4161</v>
      </c>
      <c r="C1063" s="49" t="s">
        <v>4162</v>
      </c>
      <c r="D1063" s="53" t="s">
        <v>73</v>
      </c>
      <c r="E1063" s="45" t="s">
        <v>4097</v>
      </c>
      <c r="F1063" s="45" t="s">
        <v>962</v>
      </c>
      <c r="G1063" s="45">
        <v>7</v>
      </c>
      <c r="H1063" s="53" t="s">
        <v>4163</v>
      </c>
      <c r="I1063" s="45">
        <v>1840000</v>
      </c>
      <c r="J1063" s="45">
        <v>0</v>
      </c>
      <c r="K1063" s="45">
        <v>35000</v>
      </c>
      <c r="L1063" s="45">
        <v>0</v>
      </c>
      <c r="M1063" s="45">
        <v>0</v>
      </c>
      <c r="N1063" s="45">
        <v>0</v>
      </c>
      <c r="O1063" s="45">
        <v>0</v>
      </c>
      <c r="P1063" s="45">
        <v>0</v>
      </c>
      <c r="Q1063" s="45">
        <v>0</v>
      </c>
      <c r="R1063" s="45">
        <v>0</v>
      </c>
      <c r="S1063" s="45">
        <v>0</v>
      </c>
      <c r="T1063" s="45">
        <v>0</v>
      </c>
      <c r="U1063" s="45">
        <v>2222</v>
      </c>
      <c r="V1063" s="45">
        <v>0</v>
      </c>
      <c r="W1063" s="45">
        <v>0</v>
      </c>
      <c r="X1063" s="45">
        <v>0</v>
      </c>
      <c r="Y1063" s="45">
        <v>0</v>
      </c>
      <c r="Z1063" s="45">
        <v>0</v>
      </c>
      <c r="AA1063" s="45">
        <v>0</v>
      </c>
      <c r="AB1063" s="45">
        <v>0</v>
      </c>
      <c r="AC1063" s="45">
        <v>0</v>
      </c>
      <c r="AD1063" s="45">
        <v>0</v>
      </c>
      <c r="AE1063" s="45">
        <v>0</v>
      </c>
      <c r="AF1063" s="45">
        <v>0</v>
      </c>
      <c r="AG1063" s="45">
        <v>0</v>
      </c>
      <c r="AH1063" s="45">
        <v>0</v>
      </c>
      <c r="AI1063" s="45">
        <v>0</v>
      </c>
      <c r="AJ1063" s="45">
        <v>0</v>
      </c>
      <c r="AK1063" s="45">
        <v>0</v>
      </c>
      <c r="AL1063" s="45">
        <v>0</v>
      </c>
      <c r="AM1063" s="57" t="str">
        <f>I1063-J1063-K1063-L1063-M1063-N1063-O1063-P1063-Q1063-R1063-S1063-T1063-U1063-V1063-W1063-X1063-Y1063-Z1063-AA1063-AB1063-AC1063-AD1063-AE1063-AF1063-AG1063+AH1063-AI1063+AJ1063+AK1063-AL1063</f>
        <v>0</v>
      </c>
      <c r="AN1063" s="45"/>
    </row>
    <row r="1064" spans="1:41">
      <c r="A1064" s="45">
        <v>1036</v>
      </c>
      <c r="B1064" s="45" t="s">
        <v>4164</v>
      </c>
      <c r="C1064" s="49" t="s">
        <v>4165</v>
      </c>
      <c r="D1064" s="53" t="s">
        <v>73</v>
      </c>
      <c r="E1064" s="45" t="s">
        <v>4097</v>
      </c>
      <c r="F1064" s="45" t="s">
        <v>4166</v>
      </c>
      <c r="G1064" s="45">
        <v>3</v>
      </c>
      <c r="H1064" s="53" t="s">
        <v>4167</v>
      </c>
      <c r="I1064" s="45">
        <v>560000</v>
      </c>
      <c r="J1064" s="45">
        <v>0</v>
      </c>
      <c r="K1064" s="45">
        <v>22000</v>
      </c>
      <c r="L1064" s="45">
        <v>0</v>
      </c>
      <c r="M1064" s="45">
        <v>0</v>
      </c>
      <c r="N1064" s="45">
        <v>0</v>
      </c>
      <c r="O1064" s="45">
        <v>0</v>
      </c>
      <c r="P1064" s="45">
        <v>0</v>
      </c>
      <c r="Q1064" s="45">
        <v>0</v>
      </c>
      <c r="R1064" s="45">
        <v>0</v>
      </c>
      <c r="S1064" s="45">
        <v>0</v>
      </c>
      <c r="T1064" s="45">
        <v>0</v>
      </c>
      <c r="U1064" s="45">
        <v>1397</v>
      </c>
      <c r="V1064" s="45">
        <v>0</v>
      </c>
      <c r="W1064" s="45">
        <v>0</v>
      </c>
      <c r="X1064" s="45">
        <v>0</v>
      </c>
      <c r="Y1064" s="45">
        <v>0</v>
      </c>
      <c r="Z1064" s="45">
        <v>0</v>
      </c>
      <c r="AA1064" s="45">
        <v>0</v>
      </c>
      <c r="AB1064" s="45">
        <v>0</v>
      </c>
      <c r="AC1064" s="45">
        <v>0</v>
      </c>
      <c r="AD1064" s="45">
        <v>0</v>
      </c>
      <c r="AE1064" s="45">
        <v>0</v>
      </c>
      <c r="AF1064" s="45">
        <v>0</v>
      </c>
      <c r="AG1064" s="45">
        <v>0</v>
      </c>
      <c r="AH1064" s="45">
        <v>0</v>
      </c>
      <c r="AI1064" s="45">
        <v>0</v>
      </c>
      <c r="AJ1064" s="45">
        <v>0</v>
      </c>
      <c r="AK1064" s="45">
        <v>0</v>
      </c>
      <c r="AL1064" s="45">
        <v>0</v>
      </c>
      <c r="AM1064" s="57" t="str">
        <f>I1064-J1064-K1064-L1064-M1064-N1064-O1064-P1064-Q1064-R1064-S1064-T1064-U1064-V1064-W1064-X1064-Y1064-Z1064-AA1064-AB1064-AC1064-AD1064-AE1064-AF1064-AG1064+AH1064-AI1064+AJ1064+AK1064-AL1064</f>
        <v>0</v>
      </c>
      <c r="AN1064" s="45"/>
    </row>
    <row r="1065" spans="1:41">
      <c r="A1065" s="45">
        <v>1037</v>
      </c>
      <c r="B1065" s="45" t="s">
        <v>4168</v>
      </c>
      <c r="C1065" s="49" t="s">
        <v>4169</v>
      </c>
      <c r="D1065" s="53" t="s">
        <v>73</v>
      </c>
      <c r="E1065" s="45" t="s">
        <v>4097</v>
      </c>
      <c r="F1065" s="45" t="s">
        <v>4170</v>
      </c>
      <c r="G1065" s="45">
        <v>5</v>
      </c>
      <c r="H1065" s="53" t="s">
        <v>4171</v>
      </c>
      <c r="I1065" s="45">
        <v>1860000</v>
      </c>
      <c r="J1065" s="45">
        <v>0</v>
      </c>
      <c r="K1065" s="45">
        <v>27000</v>
      </c>
      <c r="L1065" s="45">
        <v>0</v>
      </c>
      <c r="M1065" s="45">
        <v>0</v>
      </c>
      <c r="N1065" s="45">
        <v>0</v>
      </c>
      <c r="O1065" s="45">
        <v>0</v>
      </c>
      <c r="P1065" s="45">
        <v>0</v>
      </c>
      <c r="Q1065" s="45">
        <v>0</v>
      </c>
      <c r="R1065" s="45">
        <v>0</v>
      </c>
      <c r="S1065" s="45">
        <v>0</v>
      </c>
      <c r="T1065" s="45">
        <v>0</v>
      </c>
      <c r="U1065" s="45">
        <v>1714</v>
      </c>
      <c r="V1065" s="45">
        <v>0</v>
      </c>
      <c r="W1065" s="45">
        <v>0</v>
      </c>
      <c r="X1065" s="45">
        <v>0</v>
      </c>
      <c r="Y1065" s="45">
        <v>0</v>
      </c>
      <c r="Z1065" s="45">
        <v>0</v>
      </c>
      <c r="AA1065" s="45">
        <v>0</v>
      </c>
      <c r="AB1065" s="45">
        <v>0</v>
      </c>
      <c r="AC1065" s="45">
        <v>0</v>
      </c>
      <c r="AD1065" s="45">
        <v>0</v>
      </c>
      <c r="AE1065" s="45">
        <v>0</v>
      </c>
      <c r="AF1065" s="45">
        <v>0</v>
      </c>
      <c r="AG1065" s="45">
        <v>0</v>
      </c>
      <c r="AH1065" s="45">
        <v>0</v>
      </c>
      <c r="AI1065" s="45">
        <v>0</v>
      </c>
      <c r="AJ1065" s="45">
        <v>0</v>
      </c>
      <c r="AK1065" s="45">
        <v>0</v>
      </c>
      <c r="AL1065" s="45">
        <v>0</v>
      </c>
      <c r="AM1065" s="57" t="str">
        <f>I1065-J1065-K1065-L1065-M1065-N1065-O1065-P1065-Q1065-R1065-S1065-T1065-U1065-V1065-W1065-X1065-Y1065-Z1065-AA1065-AB1065-AC1065-AD1065-AE1065-AF1065-AG1065+AH1065-AI1065+AJ1065+AK1065-AL1065</f>
        <v>0</v>
      </c>
      <c r="AN1065" s="45"/>
    </row>
    <row r="1066" spans="1:41">
      <c r="A1066" s="45">
        <v>1038</v>
      </c>
      <c r="B1066" s="45" t="s">
        <v>4172</v>
      </c>
      <c r="C1066" s="49" t="s">
        <v>4173</v>
      </c>
      <c r="D1066" s="53" t="s">
        <v>73</v>
      </c>
      <c r="E1066" s="45" t="s">
        <v>4097</v>
      </c>
      <c r="F1066" s="45" t="s">
        <v>4174</v>
      </c>
      <c r="G1066" s="45">
        <v>2</v>
      </c>
      <c r="H1066" s="53" t="s">
        <v>4175</v>
      </c>
      <c r="I1066" s="45">
        <v>339000</v>
      </c>
      <c r="J1066" s="45">
        <v>0</v>
      </c>
      <c r="K1066" s="45">
        <v>22000</v>
      </c>
      <c r="L1066" s="45">
        <v>0</v>
      </c>
      <c r="M1066" s="45">
        <v>0</v>
      </c>
      <c r="N1066" s="45">
        <v>0</v>
      </c>
      <c r="O1066" s="45">
        <v>0</v>
      </c>
      <c r="P1066" s="45">
        <v>0</v>
      </c>
      <c r="Q1066" s="45">
        <v>0</v>
      </c>
      <c r="R1066" s="45">
        <v>0</v>
      </c>
      <c r="S1066" s="45">
        <v>0</v>
      </c>
      <c r="T1066" s="45">
        <v>0</v>
      </c>
      <c r="U1066" s="45">
        <v>1397</v>
      </c>
      <c r="V1066" s="45">
        <v>0</v>
      </c>
      <c r="W1066" s="45">
        <v>0</v>
      </c>
      <c r="X1066" s="45">
        <v>0</v>
      </c>
      <c r="Y1066" s="45">
        <v>0</v>
      </c>
      <c r="Z1066" s="45">
        <v>0</v>
      </c>
      <c r="AA1066" s="45">
        <v>0</v>
      </c>
      <c r="AB1066" s="45">
        <v>0</v>
      </c>
      <c r="AC1066" s="45">
        <v>0</v>
      </c>
      <c r="AD1066" s="45">
        <v>0</v>
      </c>
      <c r="AE1066" s="45">
        <v>0</v>
      </c>
      <c r="AF1066" s="45">
        <v>0</v>
      </c>
      <c r="AG1066" s="45">
        <v>0</v>
      </c>
      <c r="AH1066" s="45">
        <v>0</v>
      </c>
      <c r="AI1066" s="45">
        <v>0</v>
      </c>
      <c r="AJ1066" s="45">
        <v>0</v>
      </c>
      <c r="AK1066" s="45">
        <v>0</v>
      </c>
      <c r="AL1066" s="45">
        <v>0</v>
      </c>
      <c r="AM1066" s="57" t="str">
        <f>I1066-J1066-K1066-L1066-M1066-N1066-O1066-P1066-Q1066-R1066-S1066-T1066-U1066-V1066-W1066-X1066-Y1066-Z1066-AA1066-AB1066-AC1066-AD1066-AE1066-AF1066-AG1066+AH1066-AI1066+AJ1066+AK1066-AL1066</f>
        <v>0</v>
      </c>
      <c r="AN1066" s="45"/>
    </row>
    <row r="1067" spans="1:41">
      <c r="A1067" s="45">
        <v>1039</v>
      </c>
      <c r="B1067" s="45" t="s">
        <v>4176</v>
      </c>
      <c r="C1067" s="49" t="s">
        <v>4177</v>
      </c>
      <c r="D1067" s="53" t="s">
        <v>73</v>
      </c>
      <c r="E1067" s="45" t="s">
        <v>4097</v>
      </c>
      <c r="F1067" s="45" t="s">
        <v>4178</v>
      </c>
      <c r="G1067" s="45">
        <v>6</v>
      </c>
      <c r="H1067" s="53" t="s">
        <v>4179</v>
      </c>
      <c r="I1067" s="45">
        <v>985000</v>
      </c>
      <c r="J1067" s="45">
        <v>0</v>
      </c>
      <c r="K1067" s="45">
        <v>31000</v>
      </c>
      <c r="L1067" s="45">
        <v>0</v>
      </c>
      <c r="M1067" s="45">
        <v>0</v>
      </c>
      <c r="N1067" s="45">
        <v>0</v>
      </c>
      <c r="O1067" s="45">
        <v>0</v>
      </c>
      <c r="P1067" s="45">
        <v>0</v>
      </c>
      <c r="Q1067" s="45">
        <v>0</v>
      </c>
      <c r="R1067" s="45">
        <v>0</v>
      </c>
      <c r="S1067" s="45">
        <v>0</v>
      </c>
      <c r="T1067" s="45">
        <v>0</v>
      </c>
      <c r="U1067" s="45">
        <v>1968</v>
      </c>
      <c r="V1067" s="45">
        <v>0</v>
      </c>
      <c r="W1067" s="45">
        <v>0</v>
      </c>
      <c r="X1067" s="45">
        <v>0</v>
      </c>
      <c r="Y1067" s="45">
        <v>0</v>
      </c>
      <c r="Z1067" s="45">
        <v>0</v>
      </c>
      <c r="AA1067" s="45">
        <v>0</v>
      </c>
      <c r="AB1067" s="45">
        <v>0</v>
      </c>
      <c r="AC1067" s="45">
        <v>0</v>
      </c>
      <c r="AD1067" s="45">
        <v>0</v>
      </c>
      <c r="AE1067" s="45">
        <v>0</v>
      </c>
      <c r="AF1067" s="45">
        <v>0</v>
      </c>
      <c r="AG1067" s="45">
        <v>0</v>
      </c>
      <c r="AH1067" s="45">
        <v>0</v>
      </c>
      <c r="AI1067" s="45">
        <v>0</v>
      </c>
      <c r="AJ1067" s="45">
        <v>0</v>
      </c>
      <c r="AK1067" s="45">
        <v>0</v>
      </c>
      <c r="AL1067" s="45">
        <v>0</v>
      </c>
      <c r="AM1067" s="57" t="str">
        <f>I1067-J1067-K1067-L1067-M1067-N1067-O1067-P1067-Q1067-R1067-S1067-T1067-U1067-V1067-W1067-X1067-Y1067-Z1067-AA1067-AB1067-AC1067-AD1067-AE1067-AF1067-AG1067+AH1067-AI1067+AJ1067+AK1067-AL1067</f>
        <v>0</v>
      </c>
      <c r="AN1067" s="45"/>
    </row>
    <row r="1068" spans="1:41">
      <c r="A1068" s="45">
        <v>1040</v>
      </c>
      <c r="B1068" s="45" t="s">
        <v>4180</v>
      </c>
      <c r="C1068" s="49" t="s">
        <v>4181</v>
      </c>
      <c r="D1068" s="53" t="s">
        <v>73</v>
      </c>
      <c r="E1068" s="45" t="s">
        <v>4182</v>
      </c>
      <c r="F1068" s="45" t="s">
        <v>4183</v>
      </c>
      <c r="G1068" s="45">
        <v>4</v>
      </c>
      <c r="H1068" s="53" t="s">
        <v>4184</v>
      </c>
      <c r="I1068" s="45">
        <v>255000</v>
      </c>
      <c r="J1068" s="45">
        <v>0</v>
      </c>
      <c r="K1068" s="45">
        <v>25000</v>
      </c>
      <c r="L1068" s="45">
        <v>0</v>
      </c>
      <c r="M1068" s="45">
        <v>0</v>
      </c>
      <c r="N1068" s="45">
        <v>0</v>
      </c>
      <c r="O1068" s="45">
        <v>0</v>
      </c>
      <c r="P1068" s="45">
        <v>0</v>
      </c>
      <c r="Q1068" s="45">
        <v>0</v>
      </c>
      <c r="R1068" s="45">
        <v>0</v>
      </c>
      <c r="S1068" s="45">
        <v>0</v>
      </c>
      <c r="T1068" s="45">
        <v>0</v>
      </c>
      <c r="U1068" s="45">
        <v>1587</v>
      </c>
      <c r="V1068" s="45">
        <v>0</v>
      </c>
      <c r="W1068" s="45">
        <v>0</v>
      </c>
      <c r="X1068" s="45">
        <v>0</v>
      </c>
      <c r="Y1068" s="45">
        <v>0</v>
      </c>
      <c r="Z1068" s="45">
        <v>0</v>
      </c>
      <c r="AA1068" s="45">
        <v>0</v>
      </c>
      <c r="AB1068" s="45">
        <v>0</v>
      </c>
      <c r="AC1068" s="45">
        <v>0</v>
      </c>
      <c r="AD1068" s="45">
        <v>0</v>
      </c>
      <c r="AE1068" s="45">
        <v>0</v>
      </c>
      <c r="AF1068" s="45">
        <v>0</v>
      </c>
      <c r="AG1068" s="45">
        <v>0</v>
      </c>
      <c r="AH1068" s="45">
        <v>0</v>
      </c>
      <c r="AI1068" s="45">
        <v>0</v>
      </c>
      <c r="AJ1068" s="45">
        <v>0</v>
      </c>
      <c r="AK1068" s="45">
        <v>0</v>
      </c>
      <c r="AL1068" s="45">
        <v>0</v>
      </c>
      <c r="AM1068" s="57" t="str">
        <f>I1068-J1068-K1068-L1068-M1068-N1068-O1068-P1068-Q1068-R1068-S1068-T1068-U1068-V1068-W1068-X1068-Y1068-Z1068-AA1068-AB1068-AC1068-AD1068-AE1068-AF1068-AG1068+AH1068-AI1068+AJ1068+AK1068-AL1068</f>
        <v>0</v>
      </c>
      <c r="AN1068" s="45"/>
    </row>
    <row r="1069" spans="1:41">
      <c r="A1069" s="45">
        <v>1041</v>
      </c>
      <c r="B1069" s="45" t="s">
        <v>4185</v>
      </c>
      <c r="C1069" s="49" t="s">
        <v>4186</v>
      </c>
      <c r="D1069" s="53" t="s">
        <v>73</v>
      </c>
      <c r="E1069" s="45" t="s">
        <v>4182</v>
      </c>
      <c r="F1069" s="45" t="s">
        <v>4187</v>
      </c>
      <c r="G1069" s="45">
        <v>3</v>
      </c>
      <c r="H1069" s="53" t="s">
        <v>4188</v>
      </c>
      <c r="I1069" s="45">
        <v>560000</v>
      </c>
      <c r="J1069" s="45">
        <v>0</v>
      </c>
      <c r="K1069" s="45">
        <v>22000</v>
      </c>
      <c r="L1069" s="45">
        <v>0</v>
      </c>
      <c r="M1069" s="45">
        <v>0</v>
      </c>
      <c r="N1069" s="45">
        <v>0</v>
      </c>
      <c r="O1069" s="45">
        <v>0</v>
      </c>
      <c r="P1069" s="45">
        <v>0</v>
      </c>
      <c r="Q1069" s="45">
        <v>0</v>
      </c>
      <c r="R1069" s="45">
        <v>0</v>
      </c>
      <c r="S1069" s="45">
        <v>0</v>
      </c>
      <c r="T1069" s="45">
        <v>0</v>
      </c>
      <c r="U1069" s="45">
        <v>1397</v>
      </c>
      <c r="V1069" s="45">
        <v>0</v>
      </c>
      <c r="W1069" s="45">
        <v>0</v>
      </c>
      <c r="X1069" s="45">
        <v>0</v>
      </c>
      <c r="Y1069" s="45">
        <v>0</v>
      </c>
      <c r="Z1069" s="45">
        <v>0</v>
      </c>
      <c r="AA1069" s="45">
        <v>0</v>
      </c>
      <c r="AB1069" s="45">
        <v>0</v>
      </c>
      <c r="AC1069" s="45">
        <v>0</v>
      </c>
      <c r="AD1069" s="45">
        <v>0</v>
      </c>
      <c r="AE1069" s="45">
        <v>0</v>
      </c>
      <c r="AF1069" s="45">
        <v>0</v>
      </c>
      <c r="AG1069" s="45">
        <v>0</v>
      </c>
      <c r="AH1069" s="45">
        <v>0</v>
      </c>
      <c r="AI1069" s="45">
        <v>0</v>
      </c>
      <c r="AJ1069" s="45">
        <v>0</v>
      </c>
      <c r="AK1069" s="45">
        <v>0</v>
      </c>
      <c r="AL1069" s="45">
        <v>0</v>
      </c>
      <c r="AM1069" s="57" t="str">
        <f>I1069-J1069-K1069-L1069-M1069-N1069-O1069-P1069-Q1069-R1069-S1069-T1069-U1069-V1069-W1069-X1069-Y1069-Z1069-AA1069-AB1069-AC1069-AD1069-AE1069-AF1069-AG1069+AH1069-AI1069+AJ1069+AK1069-AL1069</f>
        <v>0</v>
      </c>
      <c r="AN1069" s="45"/>
    </row>
    <row r="1070" spans="1:41">
      <c r="A1070" s="45">
        <v>1042</v>
      </c>
      <c r="B1070" s="45" t="s">
        <v>4189</v>
      </c>
      <c r="C1070" s="49" t="s">
        <v>4190</v>
      </c>
      <c r="D1070" s="53" t="s">
        <v>73</v>
      </c>
      <c r="E1070" s="45" t="s">
        <v>4182</v>
      </c>
      <c r="F1070" s="45" t="s">
        <v>4191</v>
      </c>
      <c r="G1070" s="45">
        <v>9</v>
      </c>
      <c r="H1070" s="53" t="s">
        <v>4192</v>
      </c>
      <c r="I1070" s="45">
        <v>1374000</v>
      </c>
      <c r="J1070" s="45">
        <v>0</v>
      </c>
      <c r="K1070" s="45">
        <v>40000</v>
      </c>
      <c r="L1070" s="45">
        <v>0</v>
      </c>
      <c r="M1070" s="45">
        <v>0</v>
      </c>
      <c r="N1070" s="45">
        <v>0</v>
      </c>
      <c r="O1070" s="45">
        <v>0</v>
      </c>
      <c r="P1070" s="45">
        <v>0</v>
      </c>
      <c r="Q1070" s="45">
        <v>0</v>
      </c>
      <c r="R1070" s="45">
        <v>0</v>
      </c>
      <c r="S1070" s="45">
        <v>0</v>
      </c>
      <c r="T1070" s="45">
        <v>0</v>
      </c>
      <c r="U1070" s="45">
        <v>2540</v>
      </c>
      <c r="V1070" s="45">
        <v>0</v>
      </c>
      <c r="W1070" s="45">
        <v>0</v>
      </c>
      <c r="X1070" s="45">
        <v>0</v>
      </c>
      <c r="Y1070" s="45">
        <v>0</v>
      </c>
      <c r="Z1070" s="45">
        <v>0</v>
      </c>
      <c r="AA1070" s="45">
        <v>0</v>
      </c>
      <c r="AB1070" s="45">
        <v>0</v>
      </c>
      <c r="AC1070" s="45">
        <v>0</v>
      </c>
      <c r="AD1070" s="45">
        <v>0</v>
      </c>
      <c r="AE1070" s="45">
        <v>0</v>
      </c>
      <c r="AF1070" s="45">
        <v>0</v>
      </c>
      <c r="AG1070" s="45">
        <v>0</v>
      </c>
      <c r="AH1070" s="45">
        <v>0</v>
      </c>
      <c r="AI1070" s="45">
        <v>0</v>
      </c>
      <c r="AJ1070" s="45">
        <v>0</v>
      </c>
      <c r="AK1070" s="45">
        <v>0</v>
      </c>
      <c r="AL1070" s="45">
        <v>0</v>
      </c>
      <c r="AM1070" s="57" t="str">
        <f>I1070-J1070-K1070-L1070-M1070-N1070-O1070-P1070-Q1070-R1070-S1070-T1070-U1070-V1070-W1070-X1070-Y1070-Z1070-AA1070-AB1070-AC1070-AD1070-AE1070-AF1070-AG1070+AH1070-AI1070+AJ1070+AK1070-AL1070</f>
        <v>0</v>
      </c>
      <c r="AN1070" s="45"/>
    </row>
    <row r="1071" spans="1:41">
      <c r="A1071" s="45">
        <v>1043</v>
      </c>
      <c r="B1071" s="45" t="s">
        <v>4193</v>
      </c>
      <c r="C1071" s="49" t="s">
        <v>4194</v>
      </c>
      <c r="D1071" s="53" t="s">
        <v>62</v>
      </c>
      <c r="E1071" s="45" t="s">
        <v>4182</v>
      </c>
      <c r="F1071" s="45" t="s">
        <v>4195</v>
      </c>
      <c r="G1071" s="45">
        <v>9.8</v>
      </c>
      <c r="H1071" s="53" t="s">
        <v>4196</v>
      </c>
      <c r="I1071" s="45">
        <v>0</v>
      </c>
      <c r="J1071" s="45">
        <v>0</v>
      </c>
      <c r="K1071" s="45">
        <v>40000</v>
      </c>
      <c r="L1071" s="45">
        <v>0</v>
      </c>
      <c r="M1071" s="45">
        <v>0</v>
      </c>
      <c r="N1071" s="45">
        <v>0</v>
      </c>
      <c r="O1071" s="45">
        <v>0</v>
      </c>
      <c r="P1071" s="45">
        <v>0</v>
      </c>
      <c r="Q1071" s="45">
        <v>0</v>
      </c>
      <c r="R1071" s="45">
        <v>0</v>
      </c>
      <c r="S1071" s="45">
        <v>0</v>
      </c>
      <c r="T1071" s="45">
        <v>0</v>
      </c>
      <c r="U1071" s="45">
        <v>2540</v>
      </c>
      <c r="V1071" s="45">
        <v>0</v>
      </c>
      <c r="W1071" s="45">
        <v>0</v>
      </c>
      <c r="X1071" s="45">
        <v>0</v>
      </c>
      <c r="Y1071" s="45">
        <v>20000</v>
      </c>
      <c r="Z1071" s="45">
        <v>0</v>
      </c>
      <c r="AA1071" s="45">
        <v>0</v>
      </c>
      <c r="AB1071" s="45">
        <v>0</v>
      </c>
      <c r="AC1071" s="45">
        <v>0</v>
      </c>
      <c r="AD1071" s="45">
        <v>0</v>
      </c>
      <c r="AE1071" s="45">
        <v>0</v>
      </c>
      <c r="AF1071" s="45">
        <v>0</v>
      </c>
      <c r="AG1071" s="45">
        <v>0</v>
      </c>
      <c r="AH1071" s="45">
        <v>0</v>
      </c>
      <c r="AI1071" s="45">
        <v>0</v>
      </c>
      <c r="AJ1071" s="45">
        <v>0</v>
      </c>
      <c r="AK1071" s="45">
        <v>0</v>
      </c>
      <c r="AL1071" s="45">
        <v>0</v>
      </c>
      <c r="AM1071" s="57" t="str">
        <f>I1071-J1071-K1071-L1071-M1071-N1071-O1071-P1071-Q1071-R1071-S1071-T1071-U1071-V1071-W1071-X1071-Y1071-Z1071-AA1071-AB1071-AC1071-AD1071-AE1071-AF1071-AG1071+AH1071-AI1071+AJ1071+AK1071-AL1071</f>
        <v>0</v>
      </c>
      <c r="AN1071" s="45"/>
    </row>
    <row r="1072" spans="1:41">
      <c r="A1072" s="45">
        <v>1044</v>
      </c>
      <c r="B1072" s="45" t="s">
        <v>4197</v>
      </c>
      <c r="C1072" s="49" t="s">
        <v>4198</v>
      </c>
      <c r="D1072" s="53" t="s">
        <v>73</v>
      </c>
      <c r="E1072" s="45" t="s">
        <v>4182</v>
      </c>
      <c r="F1072" s="45" t="s">
        <v>4191</v>
      </c>
      <c r="G1072" s="45">
        <v>12</v>
      </c>
      <c r="H1072" s="53" t="s">
        <v>4192</v>
      </c>
      <c r="I1072" s="45">
        <v>1848000</v>
      </c>
      <c r="J1072" s="45">
        <v>0</v>
      </c>
      <c r="K1072" s="45">
        <v>48000</v>
      </c>
      <c r="L1072" s="45">
        <v>0</v>
      </c>
      <c r="M1072" s="45">
        <v>0</v>
      </c>
      <c r="N1072" s="45">
        <v>0</v>
      </c>
      <c r="O1072" s="45">
        <v>0</v>
      </c>
      <c r="P1072" s="45">
        <v>0</v>
      </c>
      <c r="Q1072" s="45">
        <v>0</v>
      </c>
      <c r="R1072" s="45">
        <v>0</v>
      </c>
      <c r="S1072" s="45">
        <v>0</v>
      </c>
      <c r="T1072" s="45">
        <v>0</v>
      </c>
      <c r="U1072" s="45">
        <v>3048</v>
      </c>
      <c r="V1072" s="45">
        <v>0</v>
      </c>
      <c r="W1072" s="45">
        <v>0</v>
      </c>
      <c r="X1072" s="45">
        <v>0</v>
      </c>
      <c r="Y1072" s="45">
        <v>0</v>
      </c>
      <c r="Z1072" s="45">
        <v>0</v>
      </c>
      <c r="AA1072" s="45">
        <v>0</v>
      </c>
      <c r="AB1072" s="45">
        <v>0</v>
      </c>
      <c r="AC1072" s="45">
        <v>0</v>
      </c>
      <c r="AD1072" s="45">
        <v>0</v>
      </c>
      <c r="AE1072" s="45">
        <v>0</v>
      </c>
      <c r="AF1072" s="45">
        <v>0</v>
      </c>
      <c r="AG1072" s="45">
        <v>0</v>
      </c>
      <c r="AH1072" s="45">
        <v>0</v>
      </c>
      <c r="AI1072" s="45">
        <v>0</v>
      </c>
      <c r="AJ1072" s="45">
        <v>0</v>
      </c>
      <c r="AK1072" s="45">
        <v>0</v>
      </c>
      <c r="AL1072" s="45">
        <v>0</v>
      </c>
      <c r="AM1072" s="57" t="str">
        <f>I1072-J1072-K1072-L1072-M1072-N1072-O1072-P1072-Q1072-R1072-S1072-T1072-U1072-V1072-W1072-X1072-Y1072-Z1072-AA1072-AB1072-AC1072-AD1072-AE1072-AF1072-AG1072+AH1072-AI1072+AJ1072+AK1072-AL1072</f>
        <v>0</v>
      </c>
      <c r="AN1072" s="45"/>
    </row>
    <row r="1073" spans="1:41">
      <c r="A1073" s="45">
        <v>1045</v>
      </c>
      <c r="B1073" s="45" t="s">
        <v>4199</v>
      </c>
      <c r="C1073" s="49" t="s">
        <v>4200</v>
      </c>
      <c r="D1073" s="53" t="s">
        <v>73</v>
      </c>
      <c r="E1073" s="45" t="s">
        <v>4201</v>
      </c>
      <c r="F1073" s="45" t="s">
        <v>4202</v>
      </c>
      <c r="G1073" s="45">
        <v>3</v>
      </c>
      <c r="H1073" s="53" t="s">
        <v>4203</v>
      </c>
      <c r="I1073" s="45">
        <v>834000</v>
      </c>
      <c r="J1073" s="45">
        <v>0</v>
      </c>
      <c r="K1073" s="45">
        <v>22000</v>
      </c>
      <c r="L1073" s="45">
        <v>0</v>
      </c>
      <c r="M1073" s="45">
        <v>0</v>
      </c>
      <c r="N1073" s="45">
        <v>0</v>
      </c>
      <c r="O1073" s="45">
        <v>0</v>
      </c>
      <c r="P1073" s="45">
        <v>0</v>
      </c>
      <c r="Q1073" s="45">
        <v>0</v>
      </c>
      <c r="R1073" s="45">
        <v>0</v>
      </c>
      <c r="S1073" s="45">
        <v>0</v>
      </c>
      <c r="T1073" s="45">
        <v>0</v>
      </c>
      <c r="U1073" s="45">
        <v>1397</v>
      </c>
      <c r="V1073" s="45">
        <v>0</v>
      </c>
      <c r="W1073" s="45">
        <v>0</v>
      </c>
      <c r="X1073" s="45">
        <v>0</v>
      </c>
      <c r="Y1073" s="45">
        <v>0</v>
      </c>
      <c r="Z1073" s="45">
        <v>0</v>
      </c>
      <c r="AA1073" s="45">
        <v>0</v>
      </c>
      <c r="AB1073" s="45">
        <v>0</v>
      </c>
      <c r="AC1073" s="45">
        <v>0</v>
      </c>
      <c r="AD1073" s="45">
        <v>0</v>
      </c>
      <c r="AE1073" s="45">
        <v>0</v>
      </c>
      <c r="AF1073" s="45">
        <v>0</v>
      </c>
      <c r="AG1073" s="45">
        <v>0</v>
      </c>
      <c r="AH1073" s="45">
        <v>0</v>
      </c>
      <c r="AI1073" s="45">
        <v>0</v>
      </c>
      <c r="AJ1073" s="45">
        <v>0</v>
      </c>
      <c r="AK1073" s="45">
        <v>0</v>
      </c>
      <c r="AL1073" s="45">
        <v>0</v>
      </c>
      <c r="AM1073" s="57" t="str">
        <f>I1073-J1073-K1073-L1073-M1073-N1073-O1073-P1073-Q1073-R1073-S1073-T1073-U1073-V1073-W1073-X1073-Y1073-Z1073-AA1073-AB1073-AC1073-AD1073-AE1073-AF1073-AG1073+AH1073-AI1073+AJ1073+AK1073-AL1073</f>
        <v>0</v>
      </c>
      <c r="AN1073" s="45"/>
    </row>
    <row r="1074" spans="1:41">
      <c r="A1074" s="45">
        <v>1046</v>
      </c>
      <c r="B1074" s="45" t="s">
        <v>4204</v>
      </c>
      <c r="C1074" s="49" t="s">
        <v>4205</v>
      </c>
      <c r="D1074" s="53" t="s">
        <v>73</v>
      </c>
      <c r="E1074" s="45" t="s">
        <v>4201</v>
      </c>
      <c r="F1074" s="45" t="s">
        <v>3177</v>
      </c>
      <c r="G1074" s="45">
        <v>8</v>
      </c>
      <c r="H1074" s="53" t="s">
        <v>4206</v>
      </c>
      <c r="I1074" s="45">
        <v>695000</v>
      </c>
      <c r="J1074" s="45">
        <v>0</v>
      </c>
      <c r="K1074" s="45">
        <v>39000</v>
      </c>
      <c r="L1074" s="45">
        <v>0</v>
      </c>
      <c r="M1074" s="45">
        <v>0</v>
      </c>
      <c r="N1074" s="45">
        <v>0</v>
      </c>
      <c r="O1074" s="45">
        <v>0</v>
      </c>
      <c r="P1074" s="45">
        <v>0</v>
      </c>
      <c r="Q1074" s="45">
        <v>0</v>
      </c>
      <c r="R1074" s="45">
        <v>0</v>
      </c>
      <c r="S1074" s="45">
        <v>0</v>
      </c>
      <c r="T1074" s="45">
        <v>0</v>
      </c>
      <c r="U1074" s="45">
        <v>2476</v>
      </c>
      <c r="V1074" s="45">
        <v>0</v>
      </c>
      <c r="W1074" s="45">
        <v>0</v>
      </c>
      <c r="X1074" s="45">
        <v>0</v>
      </c>
      <c r="Y1074" s="45">
        <v>0</v>
      </c>
      <c r="Z1074" s="45">
        <v>0</v>
      </c>
      <c r="AA1074" s="45">
        <v>0</v>
      </c>
      <c r="AB1074" s="45">
        <v>0</v>
      </c>
      <c r="AC1074" s="45">
        <v>0</v>
      </c>
      <c r="AD1074" s="45">
        <v>0</v>
      </c>
      <c r="AE1074" s="45">
        <v>0</v>
      </c>
      <c r="AF1074" s="45">
        <v>0</v>
      </c>
      <c r="AG1074" s="45">
        <v>0</v>
      </c>
      <c r="AH1074" s="45">
        <v>0</v>
      </c>
      <c r="AI1074" s="45">
        <v>0</v>
      </c>
      <c r="AJ1074" s="45">
        <v>0</v>
      </c>
      <c r="AK1074" s="45">
        <v>0</v>
      </c>
      <c r="AL1074" s="45">
        <v>0</v>
      </c>
      <c r="AM1074" s="57" t="str">
        <f>I1074-J1074-K1074-L1074-M1074-N1074-O1074-P1074-Q1074-R1074-S1074-T1074-U1074-V1074-W1074-X1074-Y1074-Z1074-AA1074-AB1074-AC1074-AD1074-AE1074-AF1074-AG1074+AH1074-AI1074+AJ1074+AK1074-AL1074</f>
        <v>0</v>
      </c>
      <c r="AN1074" s="45"/>
    </row>
    <row r="1075" spans="1:41">
      <c r="A1075" s="45">
        <v>1047</v>
      </c>
      <c r="B1075" s="45" t="s">
        <v>4207</v>
      </c>
      <c r="C1075" s="49" t="s">
        <v>4208</v>
      </c>
      <c r="D1075" s="53" t="s">
        <v>73</v>
      </c>
      <c r="E1075" s="45" t="s">
        <v>4201</v>
      </c>
      <c r="F1075" s="45" t="s">
        <v>4209</v>
      </c>
      <c r="G1075" s="45">
        <v>2</v>
      </c>
      <c r="H1075" s="53" t="s">
        <v>4210</v>
      </c>
      <c r="I1075" s="45">
        <v>616000</v>
      </c>
      <c r="J1075" s="45">
        <v>0</v>
      </c>
      <c r="K1075" s="45">
        <v>22000</v>
      </c>
      <c r="L1075" s="45">
        <v>0</v>
      </c>
      <c r="M1075" s="45">
        <v>0</v>
      </c>
      <c r="N1075" s="45">
        <v>0</v>
      </c>
      <c r="O1075" s="45">
        <v>0</v>
      </c>
      <c r="P1075" s="45">
        <v>0</v>
      </c>
      <c r="Q1075" s="45">
        <v>0</v>
      </c>
      <c r="R1075" s="45">
        <v>0</v>
      </c>
      <c r="S1075" s="45">
        <v>0</v>
      </c>
      <c r="T1075" s="45">
        <v>0</v>
      </c>
      <c r="U1075" s="45">
        <v>1397</v>
      </c>
      <c r="V1075" s="45">
        <v>0</v>
      </c>
      <c r="W1075" s="45">
        <v>0</v>
      </c>
      <c r="X1075" s="45">
        <v>0</v>
      </c>
      <c r="Y1075" s="45">
        <v>0</v>
      </c>
      <c r="Z1075" s="45">
        <v>0</v>
      </c>
      <c r="AA1075" s="45">
        <v>0</v>
      </c>
      <c r="AB1075" s="45">
        <v>0</v>
      </c>
      <c r="AC1075" s="45">
        <v>0</v>
      </c>
      <c r="AD1075" s="45">
        <v>0</v>
      </c>
      <c r="AE1075" s="45">
        <v>0</v>
      </c>
      <c r="AF1075" s="45">
        <v>0</v>
      </c>
      <c r="AG1075" s="45">
        <v>0</v>
      </c>
      <c r="AH1075" s="45">
        <v>0</v>
      </c>
      <c r="AI1075" s="45">
        <v>0</v>
      </c>
      <c r="AJ1075" s="45">
        <v>0</v>
      </c>
      <c r="AK1075" s="45">
        <v>0</v>
      </c>
      <c r="AL1075" s="45">
        <v>0</v>
      </c>
      <c r="AM1075" s="57" t="str">
        <f>I1075-J1075-K1075-L1075-M1075-N1075-O1075-P1075-Q1075-R1075-S1075-T1075-U1075-V1075-W1075-X1075-Y1075-Z1075-AA1075-AB1075-AC1075-AD1075-AE1075-AF1075-AG1075+AH1075-AI1075+AJ1075+AK1075-AL1075</f>
        <v>0</v>
      </c>
      <c r="AN1075" s="45"/>
    </row>
    <row r="1076" spans="1:41">
      <c r="A1076" s="45">
        <v>1048</v>
      </c>
      <c r="B1076" s="45" t="s">
        <v>4211</v>
      </c>
      <c r="C1076" s="49" t="s">
        <v>4212</v>
      </c>
      <c r="D1076" s="53" t="s">
        <v>73</v>
      </c>
      <c r="E1076" s="45" t="s">
        <v>4201</v>
      </c>
      <c r="F1076" s="45" t="s">
        <v>4213</v>
      </c>
      <c r="G1076" s="45">
        <v>7</v>
      </c>
      <c r="H1076" s="53" t="s">
        <v>4214</v>
      </c>
      <c r="I1076" s="45">
        <v>2090000</v>
      </c>
      <c r="J1076" s="45">
        <v>0</v>
      </c>
      <c r="K1076" s="45">
        <v>35000</v>
      </c>
      <c r="L1076" s="45">
        <v>0</v>
      </c>
      <c r="M1076" s="45">
        <v>0</v>
      </c>
      <c r="N1076" s="45">
        <v>0</v>
      </c>
      <c r="O1076" s="45">
        <v>0</v>
      </c>
      <c r="P1076" s="45">
        <v>0</v>
      </c>
      <c r="Q1076" s="45">
        <v>0</v>
      </c>
      <c r="R1076" s="45">
        <v>0</v>
      </c>
      <c r="S1076" s="45">
        <v>0</v>
      </c>
      <c r="T1076" s="45">
        <v>0</v>
      </c>
      <c r="U1076" s="45">
        <v>2222</v>
      </c>
      <c r="V1076" s="45">
        <v>0</v>
      </c>
      <c r="W1076" s="45">
        <v>0</v>
      </c>
      <c r="X1076" s="45">
        <v>0</v>
      </c>
      <c r="Y1076" s="45">
        <v>0</v>
      </c>
      <c r="Z1076" s="45">
        <v>0</v>
      </c>
      <c r="AA1076" s="45">
        <v>0</v>
      </c>
      <c r="AB1076" s="45">
        <v>0</v>
      </c>
      <c r="AC1076" s="45">
        <v>0</v>
      </c>
      <c r="AD1076" s="45">
        <v>0</v>
      </c>
      <c r="AE1076" s="45">
        <v>0</v>
      </c>
      <c r="AF1076" s="45">
        <v>0</v>
      </c>
      <c r="AG1076" s="45">
        <v>0</v>
      </c>
      <c r="AH1076" s="45">
        <v>0</v>
      </c>
      <c r="AI1076" s="45">
        <v>0</v>
      </c>
      <c r="AJ1076" s="45">
        <v>0</v>
      </c>
      <c r="AK1076" s="45">
        <v>0</v>
      </c>
      <c r="AL1076" s="45">
        <v>0</v>
      </c>
      <c r="AM1076" s="57" t="str">
        <f>I1076-J1076-K1076-L1076-M1076-N1076-O1076-P1076-Q1076-R1076-S1076-T1076-U1076-V1076-W1076-X1076-Y1076-Z1076-AA1076-AB1076-AC1076-AD1076-AE1076-AF1076-AG1076+AH1076-AI1076+AJ1076+AK1076-AL1076</f>
        <v>0</v>
      </c>
      <c r="AN1076" s="45"/>
    </row>
    <row r="1077" spans="1:41">
      <c r="A1077" s="45">
        <v>1049</v>
      </c>
      <c r="B1077" s="45" t="s">
        <v>4215</v>
      </c>
      <c r="C1077" s="49" t="s">
        <v>4216</v>
      </c>
      <c r="D1077" s="53" t="s">
        <v>73</v>
      </c>
      <c r="E1077" s="45" t="s">
        <v>4201</v>
      </c>
      <c r="F1077" s="45" t="s">
        <v>4217</v>
      </c>
      <c r="G1077" s="45">
        <v>6</v>
      </c>
      <c r="H1077" s="53" t="s">
        <v>4218</v>
      </c>
      <c r="I1077" s="45">
        <v>992000</v>
      </c>
      <c r="J1077" s="45">
        <v>0</v>
      </c>
      <c r="K1077" s="45">
        <v>31000</v>
      </c>
      <c r="L1077" s="45">
        <v>0</v>
      </c>
      <c r="M1077" s="45">
        <v>0</v>
      </c>
      <c r="N1077" s="45">
        <v>0</v>
      </c>
      <c r="O1077" s="45">
        <v>0</v>
      </c>
      <c r="P1077" s="45">
        <v>0</v>
      </c>
      <c r="Q1077" s="45">
        <v>0</v>
      </c>
      <c r="R1077" s="45">
        <v>0</v>
      </c>
      <c r="S1077" s="45">
        <v>0</v>
      </c>
      <c r="T1077" s="45">
        <v>0</v>
      </c>
      <c r="U1077" s="45">
        <v>1968</v>
      </c>
      <c r="V1077" s="45">
        <v>0</v>
      </c>
      <c r="W1077" s="45">
        <v>0</v>
      </c>
      <c r="X1077" s="45">
        <v>0</v>
      </c>
      <c r="Y1077" s="45">
        <v>0</v>
      </c>
      <c r="Z1077" s="45">
        <v>0</v>
      </c>
      <c r="AA1077" s="45">
        <v>0</v>
      </c>
      <c r="AB1077" s="45">
        <v>0</v>
      </c>
      <c r="AC1077" s="45">
        <v>0</v>
      </c>
      <c r="AD1077" s="45">
        <v>0</v>
      </c>
      <c r="AE1077" s="45">
        <v>0</v>
      </c>
      <c r="AF1077" s="45">
        <v>0</v>
      </c>
      <c r="AG1077" s="45">
        <v>0</v>
      </c>
      <c r="AH1077" s="45">
        <v>0</v>
      </c>
      <c r="AI1077" s="45">
        <v>0</v>
      </c>
      <c r="AJ1077" s="45">
        <v>0</v>
      </c>
      <c r="AK1077" s="45">
        <v>0</v>
      </c>
      <c r="AL1077" s="45">
        <v>0</v>
      </c>
      <c r="AM1077" s="57" t="str">
        <f>I1077-J1077-K1077-L1077-M1077-N1077-O1077-P1077-Q1077-R1077-S1077-T1077-U1077-V1077-W1077-X1077-Y1077-Z1077-AA1077-AB1077-AC1077-AD1077-AE1077-AF1077-AG1077+AH1077-AI1077+AJ1077+AK1077-AL1077</f>
        <v>0</v>
      </c>
      <c r="AN1077" s="45"/>
    </row>
    <row r="1078" spans="1:41">
      <c r="A1078" s="45">
        <v>1050</v>
      </c>
      <c r="B1078" s="45" t="s">
        <v>4219</v>
      </c>
      <c r="C1078" s="49" t="s">
        <v>4220</v>
      </c>
      <c r="D1078" s="53" t="s">
        <v>73</v>
      </c>
      <c r="E1078" s="45" t="s">
        <v>4201</v>
      </c>
      <c r="F1078" s="45" t="s">
        <v>1712</v>
      </c>
      <c r="G1078" s="45">
        <v>3</v>
      </c>
      <c r="H1078" s="53" t="s">
        <v>4221</v>
      </c>
      <c r="I1078" s="45">
        <v>1600000</v>
      </c>
      <c r="J1078" s="45">
        <v>0</v>
      </c>
      <c r="K1078" s="45">
        <v>22000</v>
      </c>
      <c r="L1078" s="45">
        <v>0</v>
      </c>
      <c r="M1078" s="45">
        <v>0</v>
      </c>
      <c r="N1078" s="45">
        <v>0</v>
      </c>
      <c r="O1078" s="45">
        <v>0</v>
      </c>
      <c r="P1078" s="45">
        <v>0</v>
      </c>
      <c r="Q1078" s="45">
        <v>0</v>
      </c>
      <c r="R1078" s="45">
        <v>0</v>
      </c>
      <c r="S1078" s="45">
        <v>0</v>
      </c>
      <c r="T1078" s="45">
        <v>0</v>
      </c>
      <c r="U1078" s="45">
        <v>1397</v>
      </c>
      <c r="V1078" s="45">
        <v>0</v>
      </c>
      <c r="W1078" s="45">
        <v>0</v>
      </c>
      <c r="X1078" s="45">
        <v>0</v>
      </c>
      <c r="Y1078" s="45">
        <v>0</v>
      </c>
      <c r="Z1078" s="45">
        <v>0</v>
      </c>
      <c r="AA1078" s="45">
        <v>0</v>
      </c>
      <c r="AB1078" s="45">
        <v>0</v>
      </c>
      <c r="AC1078" s="45">
        <v>0</v>
      </c>
      <c r="AD1078" s="45">
        <v>0</v>
      </c>
      <c r="AE1078" s="45">
        <v>0</v>
      </c>
      <c r="AF1078" s="45">
        <v>0</v>
      </c>
      <c r="AG1078" s="45">
        <v>0</v>
      </c>
      <c r="AH1078" s="45">
        <v>0</v>
      </c>
      <c r="AI1078" s="45">
        <v>0</v>
      </c>
      <c r="AJ1078" s="45">
        <v>0</v>
      </c>
      <c r="AK1078" s="45">
        <v>0</v>
      </c>
      <c r="AL1078" s="45">
        <v>0</v>
      </c>
      <c r="AM1078" s="57" t="str">
        <f>I1078-J1078-K1078-L1078-M1078-N1078-O1078-P1078-Q1078-R1078-S1078-T1078-U1078-V1078-W1078-X1078-Y1078-Z1078-AA1078-AB1078-AC1078-AD1078-AE1078-AF1078-AG1078+AH1078-AI1078+AJ1078+AK1078-AL1078</f>
        <v>0</v>
      </c>
      <c r="AN1078" s="45"/>
    </row>
    <row r="1079" spans="1:41">
      <c r="A1079" s="45">
        <v>1051</v>
      </c>
      <c r="B1079" s="45" t="s">
        <v>4222</v>
      </c>
      <c r="C1079" s="49" t="s">
        <v>4223</v>
      </c>
      <c r="D1079" s="53" t="s">
        <v>73</v>
      </c>
      <c r="E1079" s="45" t="s">
        <v>4201</v>
      </c>
      <c r="F1079" s="45" t="s">
        <v>2475</v>
      </c>
      <c r="G1079" s="45">
        <v>6</v>
      </c>
      <c r="H1079" s="53" t="s">
        <v>4224</v>
      </c>
      <c r="I1079" s="45">
        <v>1360000</v>
      </c>
      <c r="J1079" s="45">
        <v>0</v>
      </c>
      <c r="K1079" s="45">
        <v>31000</v>
      </c>
      <c r="L1079" s="45">
        <v>0</v>
      </c>
      <c r="M1079" s="45">
        <v>0</v>
      </c>
      <c r="N1079" s="45">
        <v>0</v>
      </c>
      <c r="O1079" s="45">
        <v>0</v>
      </c>
      <c r="P1079" s="45">
        <v>0</v>
      </c>
      <c r="Q1079" s="45">
        <v>0</v>
      </c>
      <c r="R1079" s="45">
        <v>0</v>
      </c>
      <c r="S1079" s="45">
        <v>0</v>
      </c>
      <c r="T1079" s="45">
        <v>0</v>
      </c>
      <c r="U1079" s="45">
        <v>1968</v>
      </c>
      <c r="V1079" s="45">
        <v>0</v>
      </c>
      <c r="W1079" s="45">
        <v>0</v>
      </c>
      <c r="X1079" s="45">
        <v>0</v>
      </c>
      <c r="Y1079" s="45">
        <v>0</v>
      </c>
      <c r="Z1079" s="45">
        <v>0</v>
      </c>
      <c r="AA1079" s="45">
        <v>0</v>
      </c>
      <c r="AB1079" s="45">
        <v>0</v>
      </c>
      <c r="AC1079" s="45">
        <v>0</v>
      </c>
      <c r="AD1079" s="45">
        <v>0</v>
      </c>
      <c r="AE1079" s="45">
        <v>0</v>
      </c>
      <c r="AF1079" s="45">
        <v>0</v>
      </c>
      <c r="AG1079" s="45">
        <v>0</v>
      </c>
      <c r="AH1079" s="45">
        <v>0</v>
      </c>
      <c r="AI1079" s="45">
        <v>0</v>
      </c>
      <c r="AJ1079" s="45">
        <v>0</v>
      </c>
      <c r="AK1079" s="45">
        <v>0</v>
      </c>
      <c r="AL1079" s="45">
        <v>0</v>
      </c>
      <c r="AM1079" s="57" t="str">
        <f>I1079-J1079-K1079-L1079-M1079-N1079-O1079-P1079-Q1079-R1079-S1079-T1079-U1079-V1079-W1079-X1079-Y1079-Z1079-AA1079-AB1079-AC1079-AD1079-AE1079-AF1079-AG1079+AH1079-AI1079+AJ1079+AK1079-AL1079</f>
        <v>0</v>
      </c>
      <c r="AN1079" s="45"/>
    </row>
    <row r="1080" spans="1:41">
      <c r="A1080" s="45">
        <v>1052</v>
      </c>
      <c r="B1080" s="45" t="s">
        <v>4225</v>
      </c>
      <c r="C1080" s="49" t="s">
        <v>4226</v>
      </c>
      <c r="D1080" s="53" t="s">
        <v>73</v>
      </c>
      <c r="E1080" s="45" t="s">
        <v>4201</v>
      </c>
      <c r="F1080" s="45" t="s">
        <v>4227</v>
      </c>
      <c r="G1080" s="45">
        <v>2</v>
      </c>
      <c r="H1080" s="53" t="s">
        <v>4228</v>
      </c>
      <c r="I1080" s="45">
        <v>326000</v>
      </c>
      <c r="J1080" s="45">
        <v>0</v>
      </c>
      <c r="K1080" s="45">
        <v>22000</v>
      </c>
      <c r="L1080" s="45">
        <v>0</v>
      </c>
      <c r="M1080" s="45">
        <v>0</v>
      </c>
      <c r="N1080" s="45">
        <v>0</v>
      </c>
      <c r="O1080" s="45">
        <v>0</v>
      </c>
      <c r="P1080" s="45">
        <v>0</v>
      </c>
      <c r="Q1080" s="45">
        <v>0</v>
      </c>
      <c r="R1080" s="45">
        <v>0</v>
      </c>
      <c r="S1080" s="45">
        <v>0</v>
      </c>
      <c r="T1080" s="45">
        <v>0</v>
      </c>
      <c r="U1080" s="45">
        <v>1397</v>
      </c>
      <c r="V1080" s="45">
        <v>0</v>
      </c>
      <c r="W1080" s="45">
        <v>0</v>
      </c>
      <c r="X1080" s="45">
        <v>0</v>
      </c>
      <c r="Y1080" s="45">
        <v>0</v>
      </c>
      <c r="Z1080" s="45">
        <v>0</v>
      </c>
      <c r="AA1080" s="45">
        <v>0</v>
      </c>
      <c r="AB1080" s="45">
        <v>0</v>
      </c>
      <c r="AC1080" s="45">
        <v>0</v>
      </c>
      <c r="AD1080" s="45">
        <v>0</v>
      </c>
      <c r="AE1080" s="45">
        <v>0</v>
      </c>
      <c r="AF1080" s="45">
        <v>0</v>
      </c>
      <c r="AG1080" s="45">
        <v>0</v>
      </c>
      <c r="AH1080" s="45">
        <v>0</v>
      </c>
      <c r="AI1080" s="45">
        <v>0</v>
      </c>
      <c r="AJ1080" s="45">
        <v>0</v>
      </c>
      <c r="AK1080" s="45">
        <v>0</v>
      </c>
      <c r="AL1080" s="45">
        <v>0</v>
      </c>
      <c r="AM1080" s="57" t="str">
        <f>I1080-J1080-K1080-L1080-M1080-N1080-O1080-P1080-Q1080-R1080-S1080-T1080-U1080-V1080-W1080-X1080-Y1080-Z1080-AA1080-AB1080-AC1080-AD1080-AE1080-AF1080-AG1080+AH1080-AI1080+AJ1080+AK1080-AL1080</f>
        <v>0</v>
      </c>
      <c r="AN1080" s="45"/>
    </row>
    <row r="1081" spans="1:41">
      <c r="A1081" s="45">
        <v>1053</v>
      </c>
      <c r="B1081" s="45" t="s">
        <v>4229</v>
      </c>
      <c r="C1081" s="49" t="s">
        <v>4230</v>
      </c>
      <c r="D1081" s="53" t="s">
        <v>73</v>
      </c>
      <c r="E1081" s="45" t="s">
        <v>4201</v>
      </c>
      <c r="F1081" s="45" t="s">
        <v>4231</v>
      </c>
      <c r="G1081" s="45">
        <v>9</v>
      </c>
      <c r="H1081" s="53" t="s">
        <v>4232</v>
      </c>
      <c r="I1081" s="45">
        <v>644000</v>
      </c>
      <c r="J1081" s="45">
        <v>0</v>
      </c>
      <c r="K1081" s="45">
        <v>44000</v>
      </c>
      <c r="L1081" s="45">
        <v>0</v>
      </c>
      <c r="M1081" s="45">
        <v>0</v>
      </c>
      <c r="N1081" s="45">
        <v>0</v>
      </c>
      <c r="O1081" s="45">
        <v>0</v>
      </c>
      <c r="P1081" s="45">
        <v>0</v>
      </c>
      <c r="Q1081" s="45">
        <v>0</v>
      </c>
      <c r="R1081" s="45">
        <v>0</v>
      </c>
      <c r="S1081" s="45">
        <v>0</v>
      </c>
      <c r="T1081" s="45">
        <v>0</v>
      </c>
      <c r="U1081" s="45">
        <v>2794</v>
      </c>
      <c r="V1081" s="45">
        <v>0</v>
      </c>
      <c r="W1081" s="45">
        <v>0</v>
      </c>
      <c r="X1081" s="45">
        <v>0</v>
      </c>
      <c r="Y1081" s="45">
        <v>0</v>
      </c>
      <c r="Z1081" s="45">
        <v>0</v>
      </c>
      <c r="AA1081" s="45">
        <v>0</v>
      </c>
      <c r="AB1081" s="45">
        <v>0</v>
      </c>
      <c r="AC1081" s="45">
        <v>0</v>
      </c>
      <c r="AD1081" s="45">
        <v>0</v>
      </c>
      <c r="AE1081" s="45">
        <v>0</v>
      </c>
      <c r="AF1081" s="45">
        <v>0</v>
      </c>
      <c r="AG1081" s="45">
        <v>0</v>
      </c>
      <c r="AH1081" s="45">
        <v>0</v>
      </c>
      <c r="AI1081" s="45">
        <v>0</v>
      </c>
      <c r="AJ1081" s="45">
        <v>0</v>
      </c>
      <c r="AK1081" s="45">
        <v>0</v>
      </c>
      <c r="AL1081" s="45">
        <v>0</v>
      </c>
      <c r="AM1081" s="57" t="str">
        <f>I1081-J1081-K1081-L1081-M1081-N1081-O1081-P1081-Q1081-R1081-S1081-T1081-U1081-V1081-W1081-X1081-Y1081-Z1081-AA1081-AB1081-AC1081-AD1081-AE1081-AF1081-AG1081+AH1081-AI1081+AJ1081+AK1081-AL1081</f>
        <v>0</v>
      </c>
      <c r="AN1081" s="45"/>
    </row>
    <row r="1082" spans="1:41">
      <c r="A1082" s="45">
        <v>1054</v>
      </c>
      <c r="B1082" s="45" t="s">
        <v>4233</v>
      </c>
      <c r="C1082" s="49" t="s">
        <v>4234</v>
      </c>
      <c r="D1082" s="53" t="s">
        <v>73</v>
      </c>
      <c r="E1082" s="45" t="s">
        <v>4201</v>
      </c>
      <c r="F1082" s="45" t="s">
        <v>4235</v>
      </c>
      <c r="G1082" s="45">
        <v>3</v>
      </c>
      <c r="H1082" s="53" t="s">
        <v>4236</v>
      </c>
      <c r="I1082" s="45">
        <v>540000</v>
      </c>
      <c r="J1082" s="45">
        <v>0</v>
      </c>
      <c r="K1082" s="45">
        <v>22000</v>
      </c>
      <c r="L1082" s="45">
        <v>0</v>
      </c>
      <c r="M1082" s="45">
        <v>0</v>
      </c>
      <c r="N1082" s="45">
        <v>0</v>
      </c>
      <c r="O1082" s="45">
        <v>0</v>
      </c>
      <c r="P1082" s="45">
        <v>0</v>
      </c>
      <c r="Q1082" s="45">
        <v>0</v>
      </c>
      <c r="R1082" s="45">
        <v>0</v>
      </c>
      <c r="S1082" s="45">
        <v>0</v>
      </c>
      <c r="T1082" s="45">
        <v>0</v>
      </c>
      <c r="U1082" s="45">
        <v>1397</v>
      </c>
      <c r="V1082" s="45">
        <v>0</v>
      </c>
      <c r="W1082" s="45">
        <v>0</v>
      </c>
      <c r="X1082" s="45">
        <v>0</v>
      </c>
      <c r="Y1082" s="45">
        <v>0</v>
      </c>
      <c r="Z1082" s="45">
        <v>0</v>
      </c>
      <c r="AA1082" s="45">
        <v>0</v>
      </c>
      <c r="AB1082" s="45">
        <v>0</v>
      </c>
      <c r="AC1082" s="45">
        <v>0</v>
      </c>
      <c r="AD1082" s="45">
        <v>0</v>
      </c>
      <c r="AE1082" s="45">
        <v>0</v>
      </c>
      <c r="AF1082" s="45">
        <v>0</v>
      </c>
      <c r="AG1082" s="45">
        <v>0</v>
      </c>
      <c r="AH1082" s="45">
        <v>0</v>
      </c>
      <c r="AI1082" s="45">
        <v>0</v>
      </c>
      <c r="AJ1082" s="45">
        <v>0</v>
      </c>
      <c r="AK1082" s="45">
        <v>0</v>
      </c>
      <c r="AL1082" s="45">
        <v>0</v>
      </c>
      <c r="AM1082" s="57" t="str">
        <f>I1082-J1082-K1082-L1082-M1082-N1082-O1082-P1082-Q1082-R1082-S1082-T1082-U1082-V1082-W1082-X1082-Y1082-Z1082-AA1082-AB1082-AC1082-AD1082-AE1082-AF1082-AG1082+AH1082-AI1082+AJ1082+AK1082-AL1082</f>
        <v>0</v>
      </c>
      <c r="AN1082" s="45"/>
    </row>
    <row r="1083" spans="1:41">
      <c r="A1083" s="45">
        <v>1055</v>
      </c>
      <c r="B1083" s="45" t="s">
        <v>4237</v>
      </c>
      <c r="C1083" s="49" t="s">
        <v>4238</v>
      </c>
      <c r="D1083" s="53" t="s">
        <v>73</v>
      </c>
      <c r="E1083" s="45" t="s">
        <v>4201</v>
      </c>
      <c r="F1083" s="45" t="s">
        <v>4239</v>
      </c>
      <c r="G1083" s="45">
        <v>4</v>
      </c>
      <c r="H1083" s="53" t="s">
        <v>4240</v>
      </c>
      <c r="I1083" s="45">
        <v>680000</v>
      </c>
      <c r="J1083" s="45">
        <v>0</v>
      </c>
      <c r="K1083" s="45">
        <v>25000</v>
      </c>
      <c r="L1083" s="45">
        <v>0</v>
      </c>
      <c r="M1083" s="45">
        <v>0</v>
      </c>
      <c r="N1083" s="45">
        <v>0</v>
      </c>
      <c r="O1083" s="45">
        <v>0</v>
      </c>
      <c r="P1083" s="45">
        <v>0</v>
      </c>
      <c r="Q1083" s="45">
        <v>0</v>
      </c>
      <c r="R1083" s="45">
        <v>0</v>
      </c>
      <c r="S1083" s="45">
        <v>0</v>
      </c>
      <c r="T1083" s="45">
        <v>0</v>
      </c>
      <c r="U1083" s="45">
        <v>1587</v>
      </c>
      <c r="V1083" s="45">
        <v>0</v>
      </c>
      <c r="W1083" s="45">
        <v>0</v>
      </c>
      <c r="X1083" s="45">
        <v>0</v>
      </c>
      <c r="Y1083" s="45">
        <v>0</v>
      </c>
      <c r="Z1083" s="45">
        <v>0</v>
      </c>
      <c r="AA1083" s="45">
        <v>0</v>
      </c>
      <c r="AB1083" s="45">
        <v>0</v>
      </c>
      <c r="AC1083" s="45">
        <v>0</v>
      </c>
      <c r="AD1083" s="45">
        <v>10000</v>
      </c>
      <c r="AE1083" s="45">
        <v>0</v>
      </c>
      <c r="AF1083" s="45">
        <v>0</v>
      </c>
      <c r="AG1083" s="45">
        <v>0</v>
      </c>
      <c r="AH1083" s="45">
        <v>0</v>
      </c>
      <c r="AI1083" s="45">
        <v>0</v>
      </c>
      <c r="AJ1083" s="45">
        <v>0</v>
      </c>
      <c r="AK1083" s="45">
        <v>0</v>
      </c>
      <c r="AL1083" s="45">
        <v>0</v>
      </c>
      <c r="AM1083" s="57" t="str">
        <f>I1083-J1083-K1083-L1083-M1083-N1083-O1083-P1083-Q1083-R1083-S1083-T1083-U1083-V1083-W1083-X1083-Y1083-Z1083-AA1083-AB1083-AC1083-AD1083-AE1083-AF1083-AG1083+AH1083-AI1083+AJ1083+AK1083-AL1083</f>
        <v>0</v>
      </c>
      <c r="AN1083" s="45"/>
    </row>
    <row r="1084" spans="1:41">
      <c r="A1084" s="45">
        <v>1056</v>
      </c>
      <c r="B1084" s="45" t="s">
        <v>4241</v>
      </c>
      <c r="C1084" s="49" t="s">
        <v>4242</v>
      </c>
      <c r="D1084" s="53" t="s">
        <v>73</v>
      </c>
      <c r="E1084" s="45" t="s">
        <v>4201</v>
      </c>
      <c r="F1084" s="45" t="s">
        <v>4243</v>
      </c>
      <c r="G1084" s="45">
        <v>3</v>
      </c>
      <c r="H1084" s="53" t="s">
        <v>4244</v>
      </c>
      <c r="I1084" s="45">
        <v>320000</v>
      </c>
      <c r="J1084" s="45">
        <v>0</v>
      </c>
      <c r="K1084" s="45">
        <v>22000</v>
      </c>
      <c r="L1084" s="45">
        <v>0</v>
      </c>
      <c r="M1084" s="45">
        <v>0</v>
      </c>
      <c r="N1084" s="45">
        <v>0</v>
      </c>
      <c r="O1084" s="45">
        <v>0</v>
      </c>
      <c r="P1084" s="45">
        <v>0</v>
      </c>
      <c r="Q1084" s="45">
        <v>0</v>
      </c>
      <c r="R1084" s="45">
        <v>0</v>
      </c>
      <c r="S1084" s="45">
        <v>0</v>
      </c>
      <c r="T1084" s="45">
        <v>0</v>
      </c>
      <c r="U1084" s="45">
        <v>1397</v>
      </c>
      <c r="V1084" s="45">
        <v>0</v>
      </c>
      <c r="W1084" s="45">
        <v>0</v>
      </c>
      <c r="X1084" s="45">
        <v>0</v>
      </c>
      <c r="Y1084" s="45">
        <v>0</v>
      </c>
      <c r="Z1084" s="45">
        <v>0</v>
      </c>
      <c r="AA1084" s="45">
        <v>0</v>
      </c>
      <c r="AB1084" s="45">
        <v>0</v>
      </c>
      <c r="AC1084" s="45">
        <v>0</v>
      </c>
      <c r="AD1084" s="45">
        <v>0</v>
      </c>
      <c r="AE1084" s="45">
        <v>0</v>
      </c>
      <c r="AF1084" s="45">
        <v>0</v>
      </c>
      <c r="AG1084" s="45">
        <v>0</v>
      </c>
      <c r="AH1084" s="45">
        <v>0</v>
      </c>
      <c r="AI1084" s="45">
        <v>0</v>
      </c>
      <c r="AJ1084" s="45">
        <v>0</v>
      </c>
      <c r="AK1084" s="45">
        <v>0</v>
      </c>
      <c r="AL1084" s="45">
        <v>0</v>
      </c>
      <c r="AM1084" s="57" t="str">
        <f>I1084-J1084-K1084-L1084-M1084-N1084-O1084-P1084-Q1084-R1084-S1084-T1084-U1084-V1084-W1084-X1084-Y1084-Z1084-AA1084-AB1084-AC1084-AD1084-AE1084-AF1084-AG1084+AH1084-AI1084+AJ1084+AK1084-AL1084</f>
        <v>0</v>
      </c>
      <c r="AN1084" s="45"/>
    </row>
    <row r="1085" spans="1:41">
      <c r="A1085" s="45">
        <v>1057</v>
      </c>
      <c r="B1085" s="45" t="s">
        <v>4245</v>
      </c>
      <c r="C1085" s="49" t="s">
        <v>4246</v>
      </c>
      <c r="D1085" s="53" t="s">
        <v>73</v>
      </c>
      <c r="E1085" s="45" t="s">
        <v>4201</v>
      </c>
      <c r="F1085" s="45" t="s">
        <v>1742</v>
      </c>
      <c r="G1085" s="45">
        <v>2</v>
      </c>
      <c r="H1085" s="53" t="s">
        <v>4247</v>
      </c>
      <c r="I1085" s="45">
        <v>704000</v>
      </c>
      <c r="J1085" s="45">
        <v>0</v>
      </c>
      <c r="K1085" s="45">
        <v>22000</v>
      </c>
      <c r="L1085" s="45">
        <v>0</v>
      </c>
      <c r="M1085" s="45">
        <v>0</v>
      </c>
      <c r="N1085" s="45">
        <v>0</v>
      </c>
      <c r="O1085" s="45">
        <v>0</v>
      </c>
      <c r="P1085" s="45">
        <v>0</v>
      </c>
      <c r="Q1085" s="45">
        <v>0</v>
      </c>
      <c r="R1085" s="45">
        <v>0</v>
      </c>
      <c r="S1085" s="45">
        <v>0</v>
      </c>
      <c r="T1085" s="45">
        <v>0</v>
      </c>
      <c r="U1085" s="45">
        <v>1397</v>
      </c>
      <c r="V1085" s="45">
        <v>0</v>
      </c>
      <c r="W1085" s="45">
        <v>0</v>
      </c>
      <c r="X1085" s="45">
        <v>0</v>
      </c>
      <c r="Y1085" s="45">
        <v>0</v>
      </c>
      <c r="Z1085" s="45">
        <v>0</v>
      </c>
      <c r="AA1085" s="45">
        <v>0</v>
      </c>
      <c r="AB1085" s="45">
        <v>0</v>
      </c>
      <c r="AC1085" s="45">
        <v>0</v>
      </c>
      <c r="AD1085" s="45">
        <v>0</v>
      </c>
      <c r="AE1085" s="45">
        <v>0</v>
      </c>
      <c r="AF1085" s="45">
        <v>0</v>
      </c>
      <c r="AG1085" s="45">
        <v>0</v>
      </c>
      <c r="AH1085" s="45">
        <v>0</v>
      </c>
      <c r="AI1085" s="45">
        <v>0</v>
      </c>
      <c r="AJ1085" s="45">
        <v>0</v>
      </c>
      <c r="AK1085" s="45">
        <v>0</v>
      </c>
      <c r="AL1085" s="45">
        <v>0</v>
      </c>
      <c r="AM1085" s="57" t="str">
        <f>I1085-J1085-K1085-L1085-M1085-N1085-O1085-P1085-Q1085-R1085-S1085-T1085-U1085-V1085-W1085-X1085-Y1085-Z1085-AA1085-AB1085-AC1085-AD1085-AE1085-AF1085-AG1085+AH1085-AI1085+AJ1085+AK1085-AL1085</f>
        <v>0</v>
      </c>
      <c r="AN1085" s="45"/>
    </row>
    <row r="1086" spans="1:41">
      <c r="A1086" s="45">
        <v>1058</v>
      </c>
      <c r="B1086" s="45" t="s">
        <v>4248</v>
      </c>
      <c r="C1086" s="49" t="s">
        <v>4249</v>
      </c>
      <c r="D1086" s="53" t="s">
        <v>73</v>
      </c>
      <c r="E1086" s="45" t="s">
        <v>4201</v>
      </c>
      <c r="F1086" s="45" t="s">
        <v>4250</v>
      </c>
      <c r="G1086" s="45">
        <v>3</v>
      </c>
      <c r="H1086" s="53" t="s">
        <v>4251</v>
      </c>
      <c r="I1086" s="45">
        <v>560000</v>
      </c>
      <c r="J1086" s="45">
        <v>0</v>
      </c>
      <c r="K1086" s="45">
        <v>22000</v>
      </c>
      <c r="L1086" s="45">
        <v>0</v>
      </c>
      <c r="M1086" s="45">
        <v>0</v>
      </c>
      <c r="N1086" s="45">
        <v>0</v>
      </c>
      <c r="O1086" s="45">
        <v>0</v>
      </c>
      <c r="P1086" s="45">
        <v>0</v>
      </c>
      <c r="Q1086" s="45">
        <v>0</v>
      </c>
      <c r="R1086" s="45">
        <v>0</v>
      </c>
      <c r="S1086" s="45">
        <v>0</v>
      </c>
      <c r="T1086" s="45">
        <v>0</v>
      </c>
      <c r="U1086" s="45">
        <v>1397</v>
      </c>
      <c r="V1086" s="45">
        <v>0</v>
      </c>
      <c r="W1086" s="45">
        <v>0</v>
      </c>
      <c r="X1086" s="45">
        <v>0</v>
      </c>
      <c r="Y1086" s="45">
        <v>0</v>
      </c>
      <c r="Z1086" s="45">
        <v>0</v>
      </c>
      <c r="AA1086" s="45">
        <v>0</v>
      </c>
      <c r="AB1086" s="45">
        <v>0</v>
      </c>
      <c r="AC1086" s="45">
        <v>0</v>
      </c>
      <c r="AD1086" s="45">
        <v>0</v>
      </c>
      <c r="AE1086" s="45">
        <v>0</v>
      </c>
      <c r="AF1086" s="45">
        <v>0</v>
      </c>
      <c r="AG1086" s="45">
        <v>0</v>
      </c>
      <c r="AH1086" s="45">
        <v>0</v>
      </c>
      <c r="AI1086" s="45">
        <v>0</v>
      </c>
      <c r="AJ1086" s="45">
        <v>0</v>
      </c>
      <c r="AK1086" s="45">
        <v>0</v>
      </c>
      <c r="AL1086" s="45">
        <v>0</v>
      </c>
      <c r="AM1086" s="57" t="str">
        <f>I1086-J1086-K1086-L1086-M1086-N1086-O1086-P1086-Q1086-R1086-S1086-T1086-U1086-V1086-W1086-X1086-Y1086-Z1086-AA1086-AB1086-AC1086-AD1086-AE1086-AF1086-AG1086+AH1086-AI1086+AJ1086+AK1086-AL1086</f>
        <v>0</v>
      </c>
      <c r="AN1086" s="45"/>
    </row>
    <row r="1087" spans="1:41">
      <c r="A1087" s="45">
        <v>1059</v>
      </c>
      <c r="B1087" s="45" t="s">
        <v>4252</v>
      </c>
      <c r="C1087" s="49" t="s">
        <v>4253</v>
      </c>
      <c r="D1087" s="53" t="s">
        <v>73</v>
      </c>
      <c r="E1087" s="45" t="s">
        <v>4254</v>
      </c>
      <c r="F1087" s="45" t="s">
        <v>3553</v>
      </c>
      <c r="G1087" s="45">
        <v>8</v>
      </c>
      <c r="H1087" s="53" t="s">
        <v>4255</v>
      </c>
      <c r="I1087" s="45">
        <v>2440000</v>
      </c>
      <c r="J1087" s="45">
        <v>0</v>
      </c>
      <c r="K1087" s="45">
        <v>39000</v>
      </c>
      <c r="L1087" s="45">
        <v>0</v>
      </c>
      <c r="M1087" s="45">
        <v>0</v>
      </c>
      <c r="N1087" s="45">
        <v>0</v>
      </c>
      <c r="O1087" s="45">
        <v>0</v>
      </c>
      <c r="P1087" s="45">
        <v>0</v>
      </c>
      <c r="Q1087" s="45">
        <v>0</v>
      </c>
      <c r="R1087" s="45">
        <v>0</v>
      </c>
      <c r="S1087" s="45">
        <v>0</v>
      </c>
      <c r="T1087" s="45">
        <v>0</v>
      </c>
      <c r="U1087" s="45">
        <v>2476</v>
      </c>
      <c r="V1087" s="45">
        <v>0</v>
      </c>
      <c r="W1087" s="45">
        <v>0</v>
      </c>
      <c r="X1087" s="45">
        <v>0</v>
      </c>
      <c r="Y1087" s="45">
        <v>0</v>
      </c>
      <c r="Z1087" s="45">
        <v>0</v>
      </c>
      <c r="AA1087" s="45">
        <v>0</v>
      </c>
      <c r="AB1087" s="45">
        <v>0</v>
      </c>
      <c r="AC1087" s="45">
        <v>0</v>
      </c>
      <c r="AD1087" s="45">
        <v>0</v>
      </c>
      <c r="AE1087" s="45">
        <v>0</v>
      </c>
      <c r="AF1087" s="45">
        <v>0</v>
      </c>
      <c r="AG1087" s="45">
        <v>0</v>
      </c>
      <c r="AH1087" s="45">
        <v>0</v>
      </c>
      <c r="AI1087" s="45">
        <v>0</v>
      </c>
      <c r="AJ1087" s="45">
        <v>0</v>
      </c>
      <c r="AK1087" s="45">
        <v>0</v>
      </c>
      <c r="AL1087" s="45">
        <v>0</v>
      </c>
      <c r="AM1087" s="57" t="str">
        <f>I1087-J1087-K1087-L1087-M1087-N1087-O1087-P1087-Q1087-R1087-S1087-T1087-U1087-V1087-W1087-X1087-Y1087-Z1087-AA1087-AB1087-AC1087-AD1087-AE1087-AF1087-AG1087+AH1087-AI1087+AJ1087+AK1087-AL1087</f>
        <v>0</v>
      </c>
      <c r="AN1087" s="45"/>
    </row>
    <row r="1088" spans="1:41">
      <c r="A1088" s="45">
        <v>1060</v>
      </c>
      <c r="B1088" s="45" t="s">
        <v>4256</v>
      </c>
      <c r="C1088" s="49" t="s">
        <v>4257</v>
      </c>
      <c r="D1088" s="53" t="s">
        <v>73</v>
      </c>
      <c r="E1088" s="45" t="s">
        <v>4254</v>
      </c>
      <c r="F1088" s="45" t="s">
        <v>3441</v>
      </c>
      <c r="G1088" s="45">
        <v>5.8</v>
      </c>
      <c r="H1088" s="53" t="s">
        <v>4258</v>
      </c>
      <c r="I1088" s="45">
        <v>634000</v>
      </c>
      <c r="J1088" s="45">
        <v>0</v>
      </c>
      <c r="K1088" s="45">
        <v>31000</v>
      </c>
      <c r="L1088" s="45">
        <v>0</v>
      </c>
      <c r="M1088" s="45">
        <v>0</v>
      </c>
      <c r="N1088" s="45">
        <v>0</v>
      </c>
      <c r="O1088" s="45">
        <v>0</v>
      </c>
      <c r="P1088" s="45">
        <v>0</v>
      </c>
      <c r="Q1088" s="45">
        <v>0</v>
      </c>
      <c r="R1088" s="45">
        <v>0</v>
      </c>
      <c r="S1088" s="45">
        <v>0</v>
      </c>
      <c r="T1088" s="45">
        <v>0</v>
      </c>
      <c r="U1088" s="45">
        <v>1968</v>
      </c>
      <c r="V1088" s="45">
        <v>0</v>
      </c>
      <c r="W1088" s="45">
        <v>0</v>
      </c>
      <c r="X1088" s="45">
        <v>0</v>
      </c>
      <c r="Y1088" s="45">
        <v>0</v>
      </c>
      <c r="Z1088" s="45">
        <v>0</v>
      </c>
      <c r="AA1088" s="45">
        <v>0</v>
      </c>
      <c r="AB1088" s="45">
        <v>0</v>
      </c>
      <c r="AC1088" s="45">
        <v>0</v>
      </c>
      <c r="AD1088" s="45">
        <v>0</v>
      </c>
      <c r="AE1088" s="45">
        <v>0</v>
      </c>
      <c r="AF1088" s="45">
        <v>0</v>
      </c>
      <c r="AG1088" s="45">
        <v>0</v>
      </c>
      <c r="AH1088" s="45">
        <v>0</v>
      </c>
      <c r="AI1088" s="45">
        <v>0</v>
      </c>
      <c r="AJ1088" s="45">
        <v>0</v>
      </c>
      <c r="AK1088" s="45">
        <v>0</v>
      </c>
      <c r="AL1088" s="45">
        <v>0</v>
      </c>
      <c r="AM1088" s="57" t="str">
        <f>I1088-J1088-K1088-L1088-M1088-N1088-O1088-P1088-Q1088-R1088-S1088-T1088-U1088-V1088-W1088-X1088-Y1088-Z1088-AA1088-AB1088-AC1088-AD1088-AE1088-AF1088-AG1088+AH1088-AI1088+AJ1088+AK1088-AL1088</f>
        <v>0</v>
      </c>
      <c r="AN1088" s="45"/>
    </row>
    <row r="1089" spans="1:41">
      <c r="A1089" s="45">
        <v>1061</v>
      </c>
      <c r="B1089" s="45" t="s">
        <v>4259</v>
      </c>
      <c r="C1089" s="49" t="s">
        <v>4260</v>
      </c>
      <c r="D1089" s="53" t="s">
        <v>73</v>
      </c>
      <c r="E1089" s="45" t="s">
        <v>4254</v>
      </c>
      <c r="F1089" s="45" t="s">
        <v>4261</v>
      </c>
      <c r="G1089" s="45">
        <v>11.5</v>
      </c>
      <c r="H1089" s="53" t="s">
        <v>4262</v>
      </c>
      <c r="I1089" s="45">
        <v>1098000</v>
      </c>
      <c r="J1089" s="45">
        <v>0</v>
      </c>
      <c r="K1089" s="45">
        <v>48000</v>
      </c>
      <c r="L1089" s="45">
        <v>0</v>
      </c>
      <c r="M1089" s="45">
        <v>0</v>
      </c>
      <c r="N1089" s="45">
        <v>0</v>
      </c>
      <c r="O1089" s="45">
        <v>0</v>
      </c>
      <c r="P1089" s="45">
        <v>0</v>
      </c>
      <c r="Q1089" s="45">
        <v>0</v>
      </c>
      <c r="R1089" s="45">
        <v>0</v>
      </c>
      <c r="S1089" s="45">
        <v>0</v>
      </c>
      <c r="T1089" s="45">
        <v>0</v>
      </c>
      <c r="U1089" s="45">
        <v>3048</v>
      </c>
      <c r="V1089" s="45">
        <v>0</v>
      </c>
      <c r="W1089" s="45">
        <v>0</v>
      </c>
      <c r="X1089" s="45">
        <v>0</v>
      </c>
      <c r="Y1089" s="45">
        <v>0</v>
      </c>
      <c r="Z1089" s="45">
        <v>0</v>
      </c>
      <c r="AA1089" s="45">
        <v>0</v>
      </c>
      <c r="AB1089" s="45">
        <v>0</v>
      </c>
      <c r="AC1089" s="45">
        <v>0</v>
      </c>
      <c r="AD1089" s="45">
        <v>0</v>
      </c>
      <c r="AE1089" s="45">
        <v>0</v>
      </c>
      <c r="AF1089" s="45">
        <v>0</v>
      </c>
      <c r="AG1089" s="45">
        <v>0</v>
      </c>
      <c r="AH1089" s="45">
        <v>0</v>
      </c>
      <c r="AI1089" s="45">
        <v>0</v>
      </c>
      <c r="AJ1089" s="45">
        <v>0</v>
      </c>
      <c r="AK1089" s="45">
        <v>0</v>
      </c>
      <c r="AL1089" s="45">
        <v>0</v>
      </c>
      <c r="AM1089" s="57" t="str">
        <f>I1089-J1089-K1089-L1089-M1089-N1089-O1089-P1089-Q1089-R1089-S1089-T1089-U1089-V1089-W1089-X1089-Y1089-Z1089-AA1089-AB1089-AC1089-AD1089-AE1089-AF1089-AG1089+AH1089-AI1089+AJ1089+AK1089-AL1089</f>
        <v>0</v>
      </c>
      <c r="AN1089" s="45"/>
    </row>
    <row r="1090" spans="1:41">
      <c r="A1090" s="45">
        <v>1062</v>
      </c>
      <c r="B1090" s="45" t="s">
        <v>4263</v>
      </c>
      <c r="C1090" s="49" t="s">
        <v>4264</v>
      </c>
      <c r="D1090" s="53" t="s">
        <v>73</v>
      </c>
      <c r="E1090" s="45" t="s">
        <v>4254</v>
      </c>
      <c r="F1090" s="45" t="s">
        <v>485</v>
      </c>
      <c r="G1090" s="45">
        <v>3</v>
      </c>
      <c r="H1090" s="53" t="s">
        <v>4265</v>
      </c>
      <c r="I1090" s="45">
        <v>560000</v>
      </c>
      <c r="J1090" s="45">
        <v>0</v>
      </c>
      <c r="K1090" s="45">
        <v>22000</v>
      </c>
      <c r="L1090" s="45">
        <v>0</v>
      </c>
      <c r="M1090" s="45">
        <v>0</v>
      </c>
      <c r="N1090" s="45">
        <v>0</v>
      </c>
      <c r="O1090" s="45">
        <v>0</v>
      </c>
      <c r="P1090" s="45">
        <v>0</v>
      </c>
      <c r="Q1090" s="45">
        <v>0</v>
      </c>
      <c r="R1090" s="45">
        <v>0</v>
      </c>
      <c r="S1090" s="45">
        <v>0</v>
      </c>
      <c r="T1090" s="45">
        <v>0</v>
      </c>
      <c r="U1090" s="45">
        <v>1397</v>
      </c>
      <c r="V1090" s="45">
        <v>0</v>
      </c>
      <c r="W1090" s="45">
        <v>0</v>
      </c>
      <c r="X1090" s="45">
        <v>0</v>
      </c>
      <c r="Y1090" s="45">
        <v>0</v>
      </c>
      <c r="Z1090" s="45">
        <v>0</v>
      </c>
      <c r="AA1090" s="45">
        <v>0</v>
      </c>
      <c r="AB1090" s="45">
        <v>0</v>
      </c>
      <c r="AC1090" s="45">
        <v>0</v>
      </c>
      <c r="AD1090" s="45">
        <v>0</v>
      </c>
      <c r="AE1090" s="45">
        <v>0</v>
      </c>
      <c r="AF1090" s="45">
        <v>0</v>
      </c>
      <c r="AG1090" s="45">
        <v>0</v>
      </c>
      <c r="AH1090" s="45">
        <v>0</v>
      </c>
      <c r="AI1090" s="45">
        <v>0</v>
      </c>
      <c r="AJ1090" s="45">
        <v>0</v>
      </c>
      <c r="AK1090" s="45">
        <v>0</v>
      </c>
      <c r="AL1090" s="45">
        <v>0</v>
      </c>
      <c r="AM1090" s="57" t="str">
        <f>I1090-J1090-K1090-L1090-M1090-N1090-O1090-P1090-Q1090-R1090-S1090-T1090-U1090-V1090-W1090-X1090-Y1090-Z1090-AA1090-AB1090-AC1090-AD1090-AE1090-AF1090-AG1090+AH1090-AI1090+AJ1090+AK1090-AL1090</f>
        <v>0</v>
      </c>
      <c r="AN1090" s="45"/>
    </row>
    <row r="1091" spans="1:41">
      <c r="A1091" s="45">
        <v>1063</v>
      </c>
      <c r="B1091" s="45" t="s">
        <v>4266</v>
      </c>
      <c r="C1091" s="49" t="s">
        <v>4267</v>
      </c>
      <c r="D1091" s="53" t="s">
        <v>73</v>
      </c>
      <c r="E1091" s="45" t="s">
        <v>4254</v>
      </c>
      <c r="F1091" s="45" t="s">
        <v>4268</v>
      </c>
      <c r="G1091" s="45">
        <v>5.8</v>
      </c>
      <c r="H1091" s="53" t="s">
        <v>4269</v>
      </c>
      <c r="I1091" s="45">
        <v>634000</v>
      </c>
      <c r="J1091" s="45">
        <v>0</v>
      </c>
      <c r="K1091" s="45">
        <v>31000</v>
      </c>
      <c r="L1091" s="45">
        <v>0</v>
      </c>
      <c r="M1091" s="45">
        <v>0</v>
      </c>
      <c r="N1091" s="45">
        <v>0</v>
      </c>
      <c r="O1091" s="45">
        <v>0</v>
      </c>
      <c r="P1091" s="45">
        <v>0</v>
      </c>
      <c r="Q1091" s="45">
        <v>0</v>
      </c>
      <c r="R1091" s="45">
        <v>0</v>
      </c>
      <c r="S1091" s="45">
        <v>0</v>
      </c>
      <c r="T1091" s="45">
        <v>0</v>
      </c>
      <c r="U1091" s="45">
        <v>1968</v>
      </c>
      <c r="V1091" s="45">
        <v>0</v>
      </c>
      <c r="W1091" s="45">
        <v>0</v>
      </c>
      <c r="X1091" s="45">
        <v>0</v>
      </c>
      <c r="Y1091" s="45">
        <v>0</v>
      </c>
      <c r="Z1091" s="45">
        <v>0</v>
      </c>
      <c r="AA1091" s="45">
        <v>0</v>
      </c>
      <c r="AB1091" s="45">
        <v>0</v>
      </c>
      <c r="AC1091" s="45">
        <v>0</v>
      </c>
      <c r="AD1091" s="45">
        <v>0</v>
      </c>
      <c r="AE1091" s="45">
        <v>0</v>
      </c>
      <c r="AF1091" s="45">
        <v>0</v>
      </c>
      <c r="AG1091" s="45">
        <v>0</v>
      </c>
      <c r="AH1091" s="45">
        <v>0</v>
      </c>
      <c r="AI1091" s="45">
        <v>0</v>
      </c>
      <c r="AJ1091" s="45">
        <v>0</v>
      </c>
      <c r="AK1091" s="45">
        <v>0</v>
      </c>
      <c r="AL1091" s="45">
        <v>0</v>
      </c>
      <c r="AM1091" s="57" t="str">
        <f>I1091-J1091-K1091-L1091-M1091-N1091-O1091-P1091-Q1091-R1091-S1091-T1091-U1091-V1091-W1091-X1091-Y1091-Z1091-AA1091-AB1091-AC1091-AD1091-AE1091-AF1091-AG1091+AH1091-AI1091+AJ1091+AK1091-AL1091</f>
        <v>0</v>
      </c>
      <c r="AN1091" s="45"/>
    </row>
    <row r="1092" spans="1:41">
      <c r="A1092" s="45">
        <v>1064</v>
      </c>
      <c r="B1092" s="45" t="s">
        <v>4270</v>
      </c>
      <c r="C1092" s="49" t="s">
        <v>4271</v>
      </c>
      <c r="D1092" s="53" t="s">
        <v>73</v>
      </c>
      <c r="E1092" s="45" t="s">
        <v>4254</v>
      </c>
      <c r="F1092" s="45" t="s">
        <v>4272</v>
      </c>
      <c r="G1092" s="45">
        <v>4</v>
      </c>
      <c r="H1092" s="53" t="s">
        <v>4273</v>
      </c>
      <c r="I1092" s="45">
        <v>1860000</v>
      </c>
      <c r="J1092" s="45">
        <v>0</v>
      </c>
      <c r="K1092" s="45">
        <v>25000</v>
      </c>
      <c r="L1092" s="45">
        <v>0</v>
      </c>
      <c r="M1092" s="45">
        <v>0</v>
      </c>
      <c r="N1092" s="45">
        <v>0</v>
      </c>
      <c r="O1092" s="45">
        <v>0</v>
      </c>
      <c r="P1092" s="45">
        <v>0</v>
      </c>
      <c r="Q1092" s="45">
        <v>0</v>
      </c>
      <c r="R1092" s="45">
        <v>0</v>
      </c>
      <c r="S1092" s="45">
        <v>0</v>
      </c>
      <c r="T1092" s="45">
        <v>0</v>
      </c>
      <c r="U1092" s="45">
        <v>1587</v>
      </c>
      <c r="V1092" s="45">
        <v>0</v>
      </c>
      <c r="W1092" s="45">
        <v>0</v>
      </c>
      <c r="X1092" s="45">
        <v>0</v>
      </c>
      <c r="Y1092" s="45">
        <v>0</v>
      </c>
      <c r="Z1092" s="45">
        <v>0</v>
      </c>
      <c r="AA1092" s="45">
        <v>0</v>
      </c>
      <c r="AB1092" s="45">
        <v>0</v>
      </c>
      <c r="AC1092" s="45">
        <v>0</v>
      </c>
      <c r="AD1092" s="45">
        <v>0</v>
      </c>
      <c r="AE1092" s="45">
        <v>0</v>
      </c>
      <c r="AF1092" s="45">
        <v>0</v>
      </c>
      <c r="AG1092" s="45">
        <v>0</v>
      </c>
      <c r="AH1092" s="45">
        <v>0</v>
      </c>
      <c r="AI1092" s="45">
        <v>0</v>
      </c>
      <c r="AJ1092" s="45">
        <v>0</v>
      </c>
      <c r="AK1092" s="45">
        <v>0</v>
      </c>
      <c r="AL1092" s="45">
        <v>0</v>
      </c>
      <c r="AM1092" s="57" t="str">
        <f>I1092-J1092-K1092-L1092-M1092-N1092-O1092-P1092-Q1092-R1092-S1092-T1092-U1092-V1092-W1092-X1092-Y1092-Z1092-AA1092-AB1092-AC1092-AD1092-AE1092-AF1092-AG1092+AH1092-AI1092+AJ1092+AK1092-AL1092</f>
        <v>0</v>
      </c>
      <c r="AN1092" s="45"/>
    </row>
    <row r="1093" spans="1:41">
      <c r="A1093" s="45">
        <v>1065</v>
      </c>
      <c r="B1093" s="45" t="s">
        <v>4274</v>
      </c>
      <c r="C1093" s="49" t="s">
        <v>4275</v>
      </c>
      <c r="D1093" s="53" t="s">
        <v>73</v>
      </c>
      <c r="E1093" s="45" t="s">
        <v>4254</v>
      </c>
      <c r="F1093" s="45" t="s">
        <v>4276</v>
      </c>
      <c r="G1093" s="45">
        <v>2</v>
      </c>
      <c r="H1093" s="53" t="s">
        <v>4277</v>
      </c>
      <c r="I1093" s="45">
        <v>330000</v>
      </c>
      <c r="J1093" s="45">
        <v>0</v>
      </c>
      <c r="K1093" s="45">
        <v>22000</v>
      </c>
      <c r="L1093" s="45">
        <v>0</v>
      </c>
      <c r="M1093" s="45">
        <v>0</v>
      </c>
      <c r="N1093" s="45">
        <v>0</v>
      </c>
      <c r="O1093" s="45">
        <v>0</v>
      </c>
      <c r="P1093" s="45">
        <v>0</v>
      </c>
      <c r="Q1093" s="45">
        <v>0</v>
      </c>
      <c r="R1093" s="45">
        <v>0</v>
      </c>
      <c r="S1093" s="45">
        <v>0</v>
      </c>
      <c r="T1093" s="45">
        <v>0</v>
      </c>
      <c r="U1093" s="45">
        <v>1397</v>
      </c>
      <c r="V1093" s="45">
        <v>0</v>
      </c>
      <c r="W1093" s="45">
        <v>0</v>
      </c>
      <c r="X1093" s="45">
        <v>0</v>
      </c>
      <c r="Y1093" s="45">
        <v>0</v>
      </c>
      <c r="Z1093" s="45">
        <v>0</v>
      </c>
      <c r="AA1093" s="45">
        <v>0</v>
      </c>
      <c r="AB1093" s="45">
        <v>0</v>
      </c>
      <c r="AC1093" s="45">
        <v>0</v>
      </c>
      <c r="AD1093" s="45">
        <v>0</v>
      </c>
      <c r="AE1093" s="45">
        <v>0</v>
      </c>
      <c r="AF1093" s="45">
        <v>0</v>
      </c>
      <c r="AG1093" s="45">
        <v>0</v>
      </c>
      <c r="AH1093" s="45">
        <v>0</v>
      </c>
      <c r="AI1093" s="45">
        <v>0</v>
      </c>
      <c r="AJ1093" s="45">
        <v>0</v>
      </c>
      <c r="AK1093" s="45">
        <v>0</v>
      </c>
      <c r="AL1093" s="45">
        <v>0</v>
      </c>
      <c r="AM1093" s="57" t="str">
        <f>I1093-J1093-K1093-L1093-M1093-N1093-O1093-P1093-Q1093-R1093-S1093-T1093-U1093-V1093-W1093-X1093-Y1093-Z1093-AA1093-AB1093-AC1093-AD1093-AE1093-AF1093-AG1093+AH1093-AI1093+AJ1093+AK1093-AL1093</f>
        <v>0</v>
      </c>
      <c r="AN1093" s="45"/>
    </row>
    <row r="1094" spans="1:41">
      <c r="A1094" s="45">
        <v>1066</v>
      </c>
      <c r="B1094" s="45" t="s">
        <v>4278</v>
      </c>
      <c r="C1094" s="49" t="s">
        <v>4279</v>
      </c>
      <c r="D1094" s="53" t="s">
        <v>73</v>
      </c>
      <c r="E1094" s="45" t="s">
        <v>4254</v>
      </c>
      <c r="F1094" s="45" t="s">
        <v>4280</v>
      </c>
      <c r="G1094" s="45">
        <v>5.8</v>
      </c>
      <c r="H1094" s="53" t="s">
        <v>4281</v>
      </c>
      <c r="I1094" s="45">
        <v>634000</v>
      </c>
      <c r="J1094" s="45">
        <v>0</v>
      </c>
      <c r="K1094" s="45">
        <v>31000</v>
      </c>
      <c r="L1094" s="45">
        <v>0</v>
      </c>
      <c r="M1094" s="45">
        <v>0</v>
      </c>
      <c r="N1094" s="45">
        <v>0</v>
      </c>
      <c r="O1094" s="45">
        <v>0</v>
      </c>
      <c r="P1094" s="45">
        <v>0</v>
      </c>
      <c r="Q1094" s="45">
        <v>0</v>
      </c>
      <c r="R1094" s="45">
        <v>0</v>
      </c>
      <c r="S1094" s="45">
        <v>0</v>
      </c>
      <c r="T1094" s="45">
        <v>0</v>
      </c>
      <c r="U1094" s="45">
        <v>1968</v>
      </c>
      <c r="V1094" s="45">
        <v>0</v>
      </c>
      <c r="W1094" s="45">
        <v>0</v>
      </c>
      <c r="X1094" s="45">
        <v>0</v>
      </c>
      <c r="Y1094" s="45">
        <v>0</v>
      </c>
      <c r="Z1094" s="45">
        <v>0</v>
      </c>
      <c r="AA1094" s="45">
        <v>0</v>
      </c>
      <c r="AB1094" s="45">
        <v>0</v>
      </c>
      <c r="AC1094" s="45">
        <v>0</v>
      </c>
      <c r="AD1094" s="45">
        <v>0</v>
      </c>
      <c r="AE1094" s="45">
        <v>0</v>
      </c>
      <c r="AF1094" s="45">
        <v>0</v>
      </c>
      <c r="AG1094" s="45">
        <v>0</v>
      </c>
      <c r="AH1094" s="45">
        <v>0</v>
      </c>
      <c r="AI1094" s="45">
        <v>0</v>
      </c>
      <c r="AJ1094" s="45">
        <v>0</v>
      </c>
      <c r="AK1094" s="45">
        <v>0</v>
      </c>
      <c r="AL1094" s="45">
        <v>0</v>
      </c>
      <c r="AM1094" s="57" t="str">
        <f>I1094-J1094-K1094-L1094-M1094-N1094-O1094-P1094-Q1094-R1094-S1094-T1094-U1094-V1094-W1094-X1094-Y1094-Z1094-AA1094-AB1094-AC1094-AD1094-AE1094-AF1094-AG1094+AH1094-AI1094+AJ1094+AK1094-AL1094</f>
        <v>0</v>
      </c>
      <c r="AN1094" s="45"/>
    </row>
    <row r="1095" spans="1:41">
      <c r="A1095" s="45">
        <v>1067</v>
      </c>
      <c r="B1095" s="45" t="s">
        <v>4282</v>
      </c>
      <c r="C1095" s="49" t="s">
        <v>4283</v>
      </c>
      <c r="D1095" s="53" t="s">
        <v>73</v>
      </c>
      <c r="E1095" s="45" t="s">
        <v>4254</v>
      </c>
      <c r="F1095" s="45" t="s">
        <v>4284</v>
      </c>
      <c r="G1095" s="45">
        <v>3</v>
      </c>
      <c r="H1095" s="53" t="s">
        <v>4285</v>
      </c>
      <c r="I1095" s="45">
        <v>560000</v>
      </c>
      <c r="J1095" s="45">
        <v>0</v>
      </c>
      <c r="K1095" s="45">
        <v>22000</v>
      </c>
      <c r="L1095" s="45">
        <v>0</v>
      </c>
      <c r="M1095" s="45">
        <v>0</v>
      </c>
      <c r="N1095" s="45">
        <v>0</v>
      </c>
      <c r="O1095" s="45">
        <v>0</v>
      </c>
      <c r="P1095" s="45">
        <v>0</v>
      </c>
      <c r="Q1095" s="45">
        <v>0</v>
      </c>
      <c r="R1095" s="45">
        <v>0</v>
      </c>
      <c r="S1095" s="45">
        <v>0</v>
      </c>
      <c r="T1095" s="45">
        <v>0</v>
      </c>
      <c r="U1095" s="45">
        <v>1397</v>
      </c>
      <c r="V1095" s="45">
        <v>0</v>
      </c>
      <c r="W1095" s="45">
        <v>0</v>
      </c>
      <c r="X1095" s="45">
        <v>0</v>
      </c>
      <c r="Y1095" s="45">
        <v>0</v>
      </c>
      <c r="Z1095" s="45">
        <v>0</v>
      </c>
      <c r="AA1095" s="45">
        <v>0</v>
      </c>
      <c r="AB1095" s="45">
        <v>0</v>
      </c>
      <c r="AC1095" s="45">
        <v>0</v>
      </c>
      <c r="AD1095" s="45">
        <v>0</v>
      </c>
      <c r="AE1095" s="45">
        <v>0</v>
      </c>
      <c r="AF1095" s="45">
        <v>0</v>
      </c>
      <c r="AG1095" s="45">
        <v>0</v>
      </c>
      <c r="AH1095" s="45">
        <v>0</v>
      </c>
      <c r="AI1095" s="45">
        <v>0</v>
      </c>
      <c r="AJ1095" s="45">
        <v>0</v>
      </c>
      <c r="AK1095" s="45">
        <v>0</v>
      </c>
      <c r="AL1095" s="45">
        <v>0</v>
      </c>
      <c r="AM1095" s="57" t="str">
        <f>I1095-J1095-K1095-L1095-M1095-N1095-O1095-P1095-Q1095-R1095-S1095-T1095-U1095-V1095-W1095-X1095-Y1095-Z1095-AA1095-AB1095-AC1095-AD1095-AE1095-AF1095-AG1095+AH1095-AI1095+AJ1095+AK1095-AL1095</f>
        <v>0</v>
      </c>
      <c r="AN1095" s="45"/>
    </row>
    <row r="1096" spans="1:41">
      <c r="A1096" s="45">
        <v>1068</v>
      </c>
      <c r="B1096" s="45" t="s">
        <v>4286</v>
      </c>
      <c r="C1096" s="49" t="s">
        <v>4287</v>
      </c>
      <c r="D1096" s="53" t="s">
        <v>73</v>
      </c>
      <c r="E1096" s="45" t="s">
        <v>4254</v>
      </c>
      <c r="F1096" s="45" t="s">
        <v>4288</v>
      </c>
      <c r="G1096" s="45">
        <v>2</v>
      </c>
      <c r="H1096" s="53" t="s">
        <v>4289</v>
      </c>
      <c r="I1096" s="45">
        <v>330000</v>
      </c>
      <c r="J1096" s="45">
        <v>0</v>
      </c>
      <c r="K1096" s="45">
        <v>22000</v>
      </c>
      <c r="L1096" s="45">
        <v>0</v>
      </c>
      <c r="M1096" s="45">
        <v>0</v>
      </c>
      <c r="N1096" s="45">
        <v>0</v>
      </c>
      <c r="O1096" s="45">
        <v>0</v>
      </c>
      <c r="P1096" s="45">
        <v>0</v>
      </c>
      <c r="Q1096" s="45">
        <v>0</v>
      </c>
      <c r="R1096" s="45">
        <v>0</v>
      </c>
      <c r="S1096" s="45">
        <v>0</v>
      </c>
      <c r="T1096" s="45">
        <v>0</v>
      </c>
      <c r="U1096" s="45">
        <v>1397</v>
      </c>
      <c r="V1096" s="45">
        <v>0</v>
      </c>
      <c r="W1096" s="45">
        <v>0</v>
      </c>
      <c r="X1096" s="45">
        <v>0</v>
      </c>
      <c r="Y1096" s="45">
        <v>0</v>
      </c>
      <c r="Z1096" s="45">
        <v>0</v>
      </c>
      <c r="AA1096" s="45">
        <v>0</v>
      </c>
      <c r="AB1096" s="45">
        <v>0</v>
      </c>
      <c r="AC1096" s="45">
        <v>0</v>
      </c>
      <c r="AD1096" s="45">
        <v>0</v>
      </c>
      <c r="AE1096" s="45">
        <v>0</v>
      </c>
      <c r="AF1096" s="45">
        <v>0</v>
      </c>
      <c r="AG1096" s="45">
        <v>0</v>
      </c>
      <c r="AH1096" s="45">
        <v>0</v>
      </c>
      <c r="AI1096" s="45">
        <v>0</v>
      </c>
      <c r="AJ1096" s="45">
        <v>0</v>
      </c>
      <c r="AK1096" s="45">
        <v>0</v>
      </c>
      <c r="AL1096" s="45">
        <v>0</v>
      </c>
      <c r="AM1096" s="57" t="str">
        <f>I1096-J1096-K1096-L1096-M1096-N1096-O1096-P1096-Q1096-R1096-S1096-T1096-U1096-V1096-W1096-X1096-Y1096-Z1096-AA1096-AB1096-AC1096-AD1096-AE1096-AF1096-AG1096+AH1096-AI1096+AJ1096+AK1096-AL1096</f>
        <v>0</v>
      </c>
      <c r="AN1096" s="45"/>
    </row>
    <row r="1097" spans="1:41">
      <c r="A1097" s="45">
        <v>1069</v>
      </c>
      <c r="B1097" s="45" t="s">
        <v>4290</v>
      </c>
      <c r="C1097" s="49" t="s">
        <v>4291</v>
      </c>
      <c r="D1097" s="53" t="s">
        <v>73</v>
      </c>
      <c r="E1097" s="45" t="s">
        <v>4254</v>
      </c>
      <c r="F1097" s="45" t="s">
        <v>4292</v>
      </c>
      <c r="G1097" s="45">
        <v>5.8</v>
      </c>
      <c r="H1097" s="53" t="s">
        <v>4293</v>
      </c>
      <c r="I1097" s="45">
        <v>634000</v>
      </c>
      <c r="J1097" s="45">
        <v>0</v>
      </c>
      <c r="K1097" s="45">
        <v>31000</v>
      </c>
      <c r="L1097" s="45">
        <v>0</v>
      </c>
      <c r="M1097" s="45">
        <v>0</v>
      </c>
      <c r="N1097" s="45">
        <v>0</v>
      </c>
      <c r="O1097" s="45">
        <v>0</v>
      </c>
      <c r="P1097" s="45">
        <v>0</v>
      </c>
      <c r="Q1097" s="45">
        <v>0</v>
      </c>
      <c r="R1097" s="45">
        <v>0</v>
      </c>
      <c r="S1097" s="45">
        <v>0</v>
      </c>
      <c r="T1097" s="45">
        <v>0</v>
      </c>
      <c r="U1097" s="45">
        <v>1968</v>
      </c>
      <c r="V1097" s="45">
        <v>0</v>
      </c>
      <c r="W1097" s="45">
        <v>0</v>
      </c>
      <c r="X1097" s="45">
        <v>0</v>
      </c>
      <c r="Y1097" s="45">
        <v>0</v>
      </c>
      <c r="Z1097" s="45">
        <v>0</v>
      </c>
      <c r="AA1097" s="45">
        <v>0</v>
      </c>
      <c r="AB1097" s="45">
        <v>0</v>
      </c>
      <c r="AC1097" s="45">
        <v>0</v>
      </c>
      <c r="AD1097" s="45">
        <v>0</v>
      </c>
      <c r="AE1097" s="45">
        <v>0</v>
      </c>
      <c r="AF1097" s="45">
        <v>0</v>
      </c>
      <c r="AG1097" s="45">
        <v>0</v>
      </c>
      <c r="AH1097" s="45">
        <v>0</v>
      </c>
      <c r="AI1097" s="45">
        <v>0</v>
      </c>
      <c r="AJ1097" s="45">
        <v>0</v>
      </c>
      <c r="AK1097" s="45">
        <v>0</v>
      </c>
      <c r="AL1097" s="45">
        <v>0</v>
      </c>
      <c r="AM1097" s="57" t="str">
        <f>I1097-J1097-K1097-L1097-M1097-N1097-O1097-P1097-Q1097-R1097-S1097-T1097-U1097-V1097-W1097-X1097-Y1097-Z1097-AA1097-AB1097-AC1097-AD1097-AE1097-AF1097-AG1097+AH1097-AI1097+AJ1097+AK1097-AL1097</f>
        <v>0</v>
      </c>
      <c r="AN1097" s="45"/>
    </row>
    <row r="1098" spans="1:41">
      <c r="A1098" s="45">
        <v>1070</v>
      </c>
      <c r="B1098" s="45" t="s">
        <v>4294</v>
      </c>
      <c r="C1098" s="49" t="s">
        <v>4295</v>
      </c>
      <c r="D1098" s="53" t="s">
        <v>73</v>
      </c>
      <c r="E1098" s="45" t="s">
        <v>4254</v>
      </c>
      <c r="F1098" s="45" t="s">
        <v>3474</v>
      </c>
      <c r="G1098" s="45">
        <v>2</v>
      </c>
      <c r="H1098" s="53" t="s">
        <v>4296</v>
      </c>
      <c r="I1098" s="45">
        <v>0</v>
      </c>
      <c r="J1098" s="45">
        <v>0</v>
      </c>
      <c r="K1098" s="45">
        <v>22000</v>
      </c>
      <c r="L1098" s="45">
        <v>0</v>
      </c>
      <c r="M1098" s="45">
        <v>0</v>
      </c>
      <c r="N1098" s="45">
        <v>0</v>
      </c>
      <c r="O1098" s="45">
        <v>0</v>
      </c>
      <c r="P1098" s="45">
        <v>0</v>
      </c>
      <c r="Q1098" s="45">
        <v>0</v>
      </c>
      <c r="R1098" s="45">
        <v>0</v>
      </c>
      <c r="S1098" s="45">
        <v>0</v>
      </c>
      <c r="T1098" s="45">
        <v>0</v>
      </c>
      <c r="U1098" s="45">
        <v>1397</v>
      </c>
      <c r="V1098" s="45">
        <v>0</v>
      </c>
      <c r="W1098" s="45">
        <v>0</v>
      </c>
      <c r="X1098" s="45">
        <v>0</v>
      </c>
      <c r="Y1098" s="45">
        <v>0</v>
      </c>
      <c r="Z1098" s="45">
        <v>0</v>
      </c>
      <c r="AA1098" s="45">
        <v>0</v>
      </c>
      <c r="AB1098" s="45">
        <v>0</v>
      </c>
      <c r="AC1098" s="45">
        <v>0</v>
      </c>
      <c r="AD1098" s="45">
        <v>0</v>
      </c>
      <c r="AE1098" s="45">
        <v>0</v>
      </c>
      <c r="AF1098" s="45">
        <v>0</v>
      </c>
      <c r="AG1098" s="45">
        <v>0</v>
      </c>
      <c r="AH1098" s="45">
        <v>0</v>
      </c>
      <c r="AI1098" s="45">
        <v>0</v>
      </c>
      <c r="AJ1098" s="45">
        <v>0</v>
      </c>
      <c r="AK1098" s="45">
        <v>0</v>
      </c>
      <c r="AL1098" s="45">
        <v>0</v>
      </c>
      <c r="AM1098" s="57" t="str">
        <f>I1098-J1098-K1098-L1098-M1098-N1098-O1098-P1098-Q1098-R1098-S1098-T1098-U1098-V1098-W1098-X1098-Y1098-Z1098-AA1098-AB1098-AC1098-AD1098-AE1098-AF1098-AG1098+AH1098-AI1098+AJ1098+AK1098-AL1098</f>
        <v>0</v>
      </c>
      <c r="AN1098" s="45"/>
    </row>
    <row r="1099" spans="1:41">
      <c r="A1099" s="45">
        <v>1071</v>
      </c>
      <c r="B1099" s="45" t="s">
        <v>4297</v>
      </c>
      <c r="C1099" s="49" t="s">
        <v>4298</v>
      </c>
      <c r="D1099" s="53" t="s">
        <v>73</v>
      </c>
      <c r="E1099" s="45" t="s">
        <v>4299</v>
      </c>
      <c r="F1099" s="45" t="s">
        <v>4300</v>
      </c>
      <c r="G1099" s="45">
        <v>0.1</v>
      </c>
      <c r="H1099" s="53" t="s">
        <v>4301</v>
      </c>
      <c r="I1099" s="45">
        <v>0</v>
      </c>
      <c r="J1099" s="45">
        <v>0</v>
      </c>
      <c r="K1099" s="45">
        <v>22000</v>
      </c>
      <c r="L1099" s="45">
        <v>0</v>
      </c>
      <c r="M1099" s="45">
        <v>0</v>
      </c>
      <c r="N1099" s="45">
        <v>0</v>
      </c>
      <c r="O1099" s="45">
        <v>0</v>
      </c>
      <c r="P1099" s="45">
        <v>0</v>
      </c>
      <c r="Q1099" s="45">
        <v>0</v>
      </c>
      <c r="R1099" s="45">
        <v>0</v>
      </c>
      <c r="S1099" s="45">
        <v>0</v>
      </c>
      <c r="T1099" s="45">
        <v>0</v>
      </c>
      <c r="U1099" s="45">
        <v>1397</v>
      </c>
      <c r="V1099" s="45">
        <v>0</v>
      </c>
      <c r="W1099" s="45">
        <v>0</v>
      </c>
      <c r="X1099" s="45">
        <v>0</v>
      </c>
      <c r="Y1099" s="45">
        <v>11000</v>
      </c>
      <c r="Z1099" s="45">
        <v>0</v>
      </c>
      <c r="AA1099" s="45">
        <v>0</v>
      </c>
      <c r="AB1099" s="45">
        <v>0</v>
      </c>
      <c r="AC1099" s="45">
        <v>0</v>
      </c>
      <c r="AD1099" s="45">
        <v>0</v>
      </c>
      <c r="AE1099" s="45">
        <v>0</v>
      </c>
      <c r="AF1099" s="45">
        <v>0</v>
      </c>
      <c r="AG1099" s="45">
        <v>0</v>
      </c>
      <c r="AH1099" s="45">
        <v>0</v>
      </c>
      <c r="AI1099" s="45">
        <v>0</v>
      </c>
      <c r="AJ1099" s="45">
        <v>0</v>
      </c>
      <c r="AK1099" s="45">
        <v>0</v>
      </c>
      <c r="AL1099" s="45">
        <v>0</v>
      </c>
      <c r="AM1099" s="57" t="str">
        <f>I1099-J1099-K1099-L1099-M1099-N1099-O1099-P1099-Q1099-R1099-S1099-T1099-U1099-V1099-W1099-X1099-Y1099-Z1099-AA1099-AB1099-AC1099-AD1099-AE1099-AF1099-AG1099+AH1099-AI1099+AJ1099+AK1099-AL1099</f>
        <v>0</v>
      </c>
      <c r="AN1099" s="45"/>
    </row>
    <row r="1100" spans="1:41">
      <c r="A1100" s="45">
        <v>1072</v>
      </c>
      <c r="B1100" s="45" t="s">
        <v>4302</v>
      </c>
      <c r="C1100" s="49" t="s">
        <v>4303</v>
      </c>
      <c r="D1100" s="53" t="s">
        <v>73</v>
      </c>
      <c r="E1100" s="45" t="s">
        <v>4304</v>
      </c>
      <c r="F1100" s="45" t="s">
        <v>4305</v>
      </c>
      <c r="G1100" s="45">
        <v>2</v>
      </c>
      <c r="H1100" s="53" t="s">
        <v>4306</v>
      </c>
      <c r="I1100" s="45">
        <v>0</v>
      </c>
      <c r="J1100" s="45">
        <v>0</v>
      </c>
      <c r="K1100" s="45">
        <v>22000</v>
      </c>
      <c r="L1100" s="45">
        <v>0</v>
      </c>
      <c r="M1100" s="45">
        <v>0</v>
      </c>
      <c r="N1100" s="45">
        <v>0</v>
      </c>
      <c r="O1100" s="45">
        <v>0</v>
      </c>
      <c r="P1100" s="45">
        <v>0</v>
      </c>
      <c r="Q1100" s="45">
        <v>0</v>
      </c>
      <c r="R1100" s="45">
        <v>0</v>
      </c>
      <c r="S1100" s="45">
        <v>0</v>
      </c>
      <c r="T1100" s="45">
        <v>0</v>
      </c>
      <c r="U1100" s="45">
        <v>1397</v>
      </c>
      <c r="V1100" s="45">
        <v>0</v>
      </c>
      <c r="W1100" s="45">
        <v>0</v>
      </c>
      <c r="X1100" s="45">
        <v>0</v>
      </c>
      <c r="Y1100" s="45">
        <v>0</v>
      </c>
      <c r="Z1100" s="45">
        <v>0</v>
      </c>
      <c r="AA1100" s="45">
        <v>0</v>
      </c>
      <c r="AB1100" s="45">
        <v>0</v>
      </c>
      <c r="AC1100" s="45">
        <v>0</v>
      </c>
      <c r="AD1100" s="45">
        <v>0</v>
      </c>
      <c r="AE1100" s="45">
        <v>0</v>
      </c>
      <c r="AF1100" s="45">
        <v>0</v>
      </c>
      <c r="AG1100" s="45">
        <v>0</v>
      </c>
      <c r="AH1100" s="45">
        <v>0</v>
      </c>
      <c r="AI1100" s="45">
        <v>0</v>
      </c>
      <c r="AJ1100" s="45">
        <v>0</v>
      </c>
      <c r="AK1100" s="45">
        <v>0</v>
      </c>
      <c r="AL1100" s="45">
        <v>0</v>
      </c>
      <c r="AM1100" s="57" t="str">
        <f>I1100-J1100-K1100-L1100-M1100-N1100-O1100-P1100-Q1100-R1100-S1100-T1100-U1100-V1100-W1100-X1100-Y1100-Z1100-AA1100-AB1100-AC1100-AD1100-AE1100-AF1100-AG1100+AH1100-AI1100+AJ1100+AK1100-AL1100</f>
        <v>0</v>
      </c>
      <c r="AN1100" s="45"/>
    </row>
    <row r="1101" spans="1:41">
      <c r="A1101" s="45">
        <v>1073</v>
      </c>
      <c r="B1101" s="45" t="s">
        <v>4307</v>
      </c>
      <c r="C1101" s="49" t="s">
        <v>4308</v>
      </c>
      <c r="D1101" s="53" t="s">
        <v>73</v>
      </c>
      <c r="E1101" s="45" t="s">
        <v>4304</v>
      </c>
      <c r="F1101" s="45" t="s">
        <v>3458</v>
      </c>
      <c r="G1101" s="45">
        <v>2</v>
      </c>
      <c r="H1101" s="53" t="s">
        <v>4309</v>
      </c>
      <c r="I1101" s="45">
        <v>0</v>
      </c>
      <c r="J1101" s="45">
        <v>0</v>
      </c>
      <c r="K1101" s="45">
        <v>22000</v>
      </c>
      <c r="L1101" s="45">
        <v>0</v>
      </c>
      <c r="M1101" s="45">
        <v>0</v>
      </c>
      <c r="N1101" s="45">
        <v>0</v>
      </c>
      <c r="O1101" s="45">
        <v>0</v>
      </c>
      <c r="P1101" s="45">
        <v>0</v>
      </c>
      <c r="Q1101" s="45">
        <v>0</v>
      </c>
      <c r="R1101" s="45">
        <v>0</v>
      </c>
      <c r="S1101" s="45">
        <v>0</v>
      </c>
      <c r="T1101" s="45">
        <v>0</v>
      </c>
      <c r="U1101" s="45">
        <v>1397</v>
      </c>
      <c r="V1101" s="45">
        <v>0</v>
      </c>
      <c r="W1101" s="45">
        <v>0</v>
      </c>
      <c r="X1101" s="45">
        <v>0</v>
      </c>
      <c r="Y1101" s="45">
        <v>0</v>
      </c>
      <c r="Z1101" s="45">
        <v>0</v>
      </c>
      <c r="AA1101" s="45">
        <v>0</v>
      </c>
      <c r="AB1101" s="45">
        <v>0</v>
      </c>
      <c r="AC1101" s="45">
        <v>0</v>
      </c>
      <c r="AD1101" s="45">
        <v>0</v>
      </c>
      <c r="AE1101" s="45">
        <v>0</v>
      </c>
      <c r="AF1101" s="45">
        <v>0</v>
      </c>
      <c r="AG1101" s="45">
        <v>0</v>
      </c>
      <c r="AH1101" s="45">
        <v>0</v>
      </c>
      <c r="AI1101" s="45">
        <v>0</v>
      </c>
      <c r="AJ1101" s="45">
        <v>0</v>
      </c>
      <c r="AK1101" s="45">
        <v>0</v>
      </c>
      <c r="AL1101" s="45">
        <v>0</v>
      </c>
      <c r="AM1101" s="57" t="str">
        <f>I1101-J1101-K1101-L1101-M1101-N1101-O1101-P1101-Q1101-R1101-S1101-T1101-U1101-V1101-W1101-X1101-Y1101-Z1101-AA1101-AB1101-AC1101-AD1101-AE1101-AF1101-AG1101+AH1101-AI1101+AJ1101+AK1101-AL1101</f>
        <v>0</v>
      </c>
      <c r="AN1101" s="45"/>
    </row>
    <row r="1102" spans="1:41">
      <c r="A1102" s="45">
        <v>1074</v>
      </c>
      <c r="B1102" s="45" t="s">
        <v>4310</v>
      </c>
      <c r="C1102" s="49" t="s">
        <v>4311</v>
      </c>
      <c r="D1102" s="53" t="s">
        <v>73</v>
      </c>
      <c r="E1102" s="45" t="s">
        <v>4304</v>
      </c>
      <c r="F1102" s="45" t="s">
        <v>4312</v>
      </c>
      <c r="G1102" s="45">
        <v>1</v>
      </c>
      <c r="H1102" s="53" t="s">
        <v>4313</v>
      </c>
      <c r="I1102" s="45">
        <v>0</v>
      </c>
      <c r="J1102" s="45">
        <v>0</v>
      </c>
      <c r="K1102" s="45">
        <v>22000</v>
      </c>
      <c r="L1102" s="45">
        <v>0</v>
      </c>
      <c r="M1102" s="45">
        <v>0</v>
      </c>
      <c r="N1102" s="45">
        <v>0</v>
      </c>
      <c r="O1102" s="45">
        <v>0</v>
      </c>
      <c r="P1102" s="45">
        <v>0</v>
      </c>
      <c r="Q1102" s="45">
        <v>0</v>
      </c>
      <c r="R1102" s="45">
        <v>0</v>
      </c>
      <c r="S1102" s="45">
        <v>0</v>
      </c>
      <c r="T1102" s="45">
        <v>0</v>
      </c>
      <c r="U1102" s="45">
        <v>1397</v>
      </c>
      <c r="V1102" s="45">
        <v>0</v>
      </c>
      <c r="W1102" s="45">
        <v>0</v>
      </c>
      <c r="X1102" s="45">
        <v>0</v>
      </c>
      <c r="Y1102" s="45">
        <v>0</v>
      </c>
      <c r="Z1102" s="45">
        <v>0</v>
      </c>
      <c r="AA1102" s="45">
        <v>0</v>
      </c>
      <c r="AB1102" s="45">
        <v>0</v>
      </c>
      <c r="AC1102" s="45">
        <v>0</v>
      </c>
      <c r="AD1102" s="45">
        <v>0</v>
      </c>
      <c r="AE1102" s="45">
        <v>0</v>
      </c>
      <c r="AF1102" s="45">
        <v>0</v>
      </c>
      <c r="AG1102" s="45">
        <v>0</v>
      </c>
      <c r="AH1102" s="45">
        <v>0</v>
      </c>
      <c r="AI1102" s="45">
        <v>0</v>
      </c>
      <c r="AJ1102" s="45">
        <v>0</v>
      </c>
      <c r="AK1102" s="45">
        <v>0</v>
      </c>
      <c r="AL1102" s="45">
        <v>0</v>
      </c>
      <c r="AM1102" s="57" t="str">
        <f>I1102-J1102-K1102-L1102-M1102-N1102-O1102-P1102-Q1102-R1102-S1102-T1102-U1102-V1102-W1102-X1102-Y1102-Z1102-AA1102-AB1102-AC1102-AD1102-AE1102-AF1102-AG1102+AH1102-AI1102+AJ1102+AK1102-AL1102</f>
        <v>0</v>
      </c>
      <c r="AN1102" s="45"/>
    </row>
    <row r="1103" spans="1:41">
      <c r="A1103" s="45">
        <v>1075</v>
      </c>
      <c r="B1103" s="45" t="s">
        <v>4314</v>
      </c>
      <c r="C1103" s="49" t="s">
        <v>4315</v>
      </c>
      <c r="D1103" s="53" t="s">
        <v>73</v>
      </c>
      <c r="E1103" s="45" t="s">
        <v>4304</v>
      </c>
      <c r="F1103" s="45" t="s">
        <v>4316</v>
      </c>
      <c r="G1103" s="45">
        <v>2</v>
      </c>
      <c r="H1103" s="53" t="s">
        <v>4317</v>
      </c>
      <c r="I1103" s="45">
        <v>0</v>
      </c>
      <c r="J1103" s="45">
        <v>0</v>
      </c>
      <c r="K1103" s="45">
        <v>22000</v>
      </c>
      <c r="L1103" s="45">
        <v>0</v>
      </c>
      <c r="M1103" s="45">
        <v>0</v>
      </c>
      <c r="N1103" s="45">
        <v>0</v>
      </c>
      <c r="O1103" s="45">
        <v>0</v>
      </c>
      <c r="P1103" s="45">
        <v>0</v>
      </c>
      <c r="Q1103" s="45">
        <v>0</v>
      </c>
      <c r="R1103" s="45">
        <v>0</v>
      </c>
      <c r="S1103" s="45">
        <v>0</v>
      </c>
      <c r="T1103" s="45">
        <v>0</v>
      </c>
      <c r="U1103" s="45">
        <v>1397</v>
      </c>
      <c r="V1103" s="45">
        <v>0</v>
      </c>
      <c r="W1103" s="45">
        <v>0</v>
      </c>
      <c r="X1103" s="45">
        <v>0</v>
      </c>
      <c r="Y1103" s="45">
        <v>0</v>
      </c>
      <c r="Z1103" s="45">
        <v>0</v>
      </c>
      <c r="AA1103" s="45">
        <v>0</v>
      </c>
      <c r="AB1103" s="45">
        <v>0</v>
      </c>
      <c r="AC1103" s="45">
        <v>0</v>
      </c>
      <c r="AD1103" s="45">
        <v>0</v>
      </c>
      <c r="AE1103" s="45">
        <v>0</v>
      </c>
      <c r="AF1103" s="45">
        <v>0</v>
      </c>
      <c r="AG1103" s="45">
        <v>0</v>
      </c>
      <c r="AH1103" s="45">
        <v>0</v>
      </c>
      <c r="AI1103" s="45">
        <v>0</v>
      </c>
      <c r="AJ1103" s="45">
        <v>0</v>
      </c>
      <c r="AK1103" s="45">
        <v>0</v>
      </c>
      <c r="AL1103" s="45">
        <v>0</v>
      </c>
      <c r="AM1103" s="57" t="str">
        <f>I1103-J1103-K1103-L1103-M1103-N1103-O1103-P1103-Q1103-R1103-S1103-T1103-U1103-V1103-W1103-X1103-Y1103-Z1103-AA1103-AB1103-AC1103-AD1103-AE1103-AF1103-AG1103+AH1103-AI1103+AJ1103+AK1103-AL1103</f>
        <v>0</v>
      </c>
      <c r="AN1103" s="45"/>
    </row>
    <row r="1104" spans="1:41">
      <c r="A1104" s="45">
        <v>1076</v>
      </c>
      <c r="B1104" s="45" t="s">
        <v>4318</v>
      </c>
      <c r="C1104" s="49" t="s">
        <v>4319</v>
      </c>
      <c r="D1104" s="53" t="s">
        <v>73</v>
      </c>
      <c r="E1104" s="45" t="s">
        <v>4304</v>
      </c>
      <c r="F1104" s="45" t="s">
        <v>4320</v>
      </c>
      <c r="G1104" s="45">
        <v>2</v>
      </c>
      <c r="H1104" s="53" t="s">
        <v>4321</v>
      </c>
      <c r="I1104" s="45">
        <v>0</v>
      </c>
      <c r="J1104" s="45">
        <v>0</v>
      </c>
      <c r="K1104" s="45">
        <v>22000</v>
      </c>
      <c r="L1104" s="45">
        <v>0</v>
      </c>
      <c r="M1104" s="45">
        <v>0</v>
      </c>
      <c r="N1104" s="45">
        <v>0</v>
      </c>
      <c r="O1104" s="45">
        <v>0</v>
      </c>
      <c r="P1104" s="45">
        <v>0</v>
      </c>
      <c r="Q1104" s="45">
        <v>0</v>
      </c>
      <c r="R1104" s="45">
        <v>0</v>
      </c>
      <c r="S1104" s="45">
        <v>0</v>
      </c>
      <c r="T1104" s="45">
        <v>0</v>
      </c>
      <c r="U1104" s="45">
        <v>1397</v>
      </c>
      <c r="V1104" s="45">
        <v>0</v>
      </c>
      <c r="W1104" s="45">
        <v>0</v>
      </c>
      <c r="X1104" s="45">
        <v>0</v>
      </c>
      <c r="Y1104" s="45">
        <v>0</v>
      </c>
      <c r="Z1104" s="45">
        <v>0</v>
      </c>
      <c r="AA1104" s="45">
        <v>0</v>
      </c>
      <c r="AB1104" s="45">
        <v>0</v>
      </c>
      <c r="AC1104" s="45">
        <v>0</v>
      </c>
      <c r="AD1104" s="45">
        <v>0</v>
      </c>
      <c r="AE1104" s="45">
        <v>0</v>
      </c>
      <c r="AF1104" s="45">
        <v>0</v>
      </c>
      <c r="AG1104" s="45">
        <v>0</v>
      </c>
      <c r="AH1104" s="45">
        <v>0</v>
      </c>
      <c r="AI1104" s="45">
        <v>0</v>
      </c>
      <c r="AJ1104" s="45">
        <v>0</v>
      </c>
      <c r="AK1104" s="45">
        <v>0</v>
      </c>
      <c r="AL1104" s="45">
        <v>0</v>
      </c>
      <c r="AM1104" s="57" t="str">
        <f>I1104-J1104-K1104-L1104-M1104-N1104-O1104-P1104-Q1104-R1104-S1104-T1104-U1104-V1104-W1104-X1104-Y1104-Z1104-AA1104-AB1104-AC1104-AD1104-AE1104-AF1104-AG1104+AH1104-AI1104+AJ1104+AK1104-AL1104</f>
        <v>0</v>
      </c>
      <c r="AN1104" s="45"/>
    </row>
    <row r="1105" spans="1:41">
      <c r="A1105" s="45">
        <v>1077</v>
      </c>
      <c r="B1105" s="45" t="s">
        <v>4322</v>
      </c>
      <c r="C1105" s="49" t="s">
        <v>4323</v>
      </c>
      <c r="D1105" s="53" t="s">
        <v>73</v>
      </c>
      <c r="E1105" s="45" t="s">
        <v>4304</v>
      </c>
      <c r="F1105" s="45" t="s">
        <v>750</v>
      </c>
      <c r="G1105" s="45">
        <v>1</v>
      </c>
      <c r="H1105" s="53" t="s">
        <v>4324</v>
      </c>
      <c r="I1105" s="45">
        <v>0</v>
      </c>
      <c r="J1105" s="45">
        <v>0</v>
      </c>
      <c r="K1105" s="45">
        <v>22000</v>
      </c>
      <c r="L1105" s="45">
        <v>0</v>
      </c>
      <c r="M1105" s="45">
        <v>0</v>
      </c>
      <c r="N1105" s="45">
        <v>0</v>
      </c>
      <c r="O1105" s="45">
        <v>0</v>
      </c>
      <c r="P1105" s="45">
        <v>0</v>
      </c>
      <c r="Q1105" s="45">
        <v>0</v>
      </c>
      <c r="R1105" s="45">
        <v>0</v>
      </c>
      <c r="S1105" s="45">
        <v>0</v>
      </c>
      <c r="T1105" s="45">
        <v>0</v>
      </c>
      <c r="U1105" s="45">
        <v>1397</v>
      </c>
      <c r="V1105" s="45">
        <v>0</v>
      </c>
      <c r="W1105" s="45">
        <v>0</v>
      </c>
      <c r="X1105" s="45">
        <v>0</v>
      </c>
      <c r="Y1105" s="45">
        <v>0</v>
      </c>
      <c r="Z1105" s="45">
        <v>0</v>
      </c>
      <c r="AA1105" s="45">
        <v>0</v>
      </c>
      <c r="AB1105" s="45">
        <v>0</v>
      </c>
      <c r="AC1105" s="45">
        <v>0</v>
      </c>
      <c r="AD1105" s="45">
        <v>0</v>
      </c>
      <c r="AE1105" s="45">
        <v>0</v>
      </c>
      <c r="AF1105" s="45">
        <v>0</v>
      </c>
      <c r="AG1105" s="45">
        <v>0</v>
      </c>
      <c r="AH1105" s="45">
        <v>0</v>
      </c>
      <c r="AI1105" s="45">
        <v>0</v>
      </c>
      <c r="AJ1105" s="45">
        <v>0</v>
      </c>
      <c r="AK1105" s="45">
        <v>0</v>
      </c>
      <c r="AL1105" s="45">
        <v>0</v>
      </c>
      <c r="AM1105" s="57" t="str">
        <f>I1105-J1105-K1105-L1105-M1105-N1105-O1105-P1105-Q1105-R1105-S1105-T1105-U1105-V1105-W1105-X1105-Y1105-Z1105-AA1105-AB1105-AC1105-AD1105-AE1105-AF1105-AG1105+AH1105-AI1105+AJ1105+AK1105-AL1105</f>
        <v>0</v>
      </c>
      <c r="AN1105" s="45"/>
    </row>
    <row r="1106" spans="1:41">
      <c r="A1106" s="45">
        <v>1078</v>
      </c>
      <c r="B1106" s="45" t="s">
        <v>4325</v>
      </c>
      <c r="C1106" s="49" t="s">
        <v>4326</v>
      </c>
      <c r="D1106" s="53" t="s">
        <v>73</v>
      </c>
      <c r="E1106" s="45" t="s">
        <v>4304</v>
      </c>
      <c r="F1106" s="45" t="s">
        <v>4327</v>
      </c>
      <c r="G1106" s="45">
        <v>3</v>
      </c>
      <c r="H1106" s="53" t="s">
        <v>4328</v>
      </c>
      <c r="I1106" s="45">
        <v>0</v>
      </c>
      <c r="J1106" s="45">
        <v>0</v>
      </c>
      <c r="K1106" s="45">
        <v>22000</v>
      </c>
      <c r="L1106" s="45">
        <v>0</v>
      </c>
      <c r="M1106" s="45">
        <v>0</v>
      </c>
      <c r="N1106" s="45">
        <v>0</v>
      </c>
      <c r="O1106" s="45">
        <v>0</v>
      </c>
      <c r="P1106" s="45">
        <v>0</v>
      </c>
      <c r="Q1106" s="45">
        <v>0</v>
      </c>
      <c r="R1106" s="45">
        <v>0</v>
      </c>
      <c r="S1106" s="45">
        <v>0</v>
      </c>
      <c r="T1106" s="45">
        <v>0</v>
      </c>
      <c r="U1106" s="45">
        <v>1397</v>
      </c>
      <c r="V1106" s="45">
        <v>0</v>
      </c>
      <c r="W1106" s="45">
        <v>0</v>
      </c>
      <c r="X1106" s="45">
        <v>0</v>
      </c>
      <c r="Y1106" s="45">
        <v>0</v>
      </c>
      <c r="Z1106" s="45">
        <v>0</v>
      </c>
      <c r="AA1106" s="45">
        <v>0</v>
      </c>
      <c r="AB1106" s="45">
        <v>0</v>
      </c>
      <c r="AC1106" s="45">
        <v>0</v>
      </c>
      <c r="AD1106" s="45">
        <v>0</v>
      </c>
      <c r="AE1106" s="45">
        <v>0</v>
      </c>
      <c r="AF1106" s="45">
        <v>0</v>
      </c>
      <c r="AG1106" s="45">
        <v>0</v>
      </c>
      <c r="AH1106" s="45">
        <v>0</v>
      </c>
      <c r="AI1106" s="45">
        <v>0</v>
      </c>
      <c r="AJ1106" s="45">
        <v>0</v>
      </c>
      <c r="AK1106" s="45">
        <v>0</v>
      </c>
      <c r="AL1106" s="45">
        <v>0</v>
      </c>
      <c r="AM1106" s="57" t="str">
        <f>I1106-J1106-K1106-L1106-M1106-N1106-O1106-P1106-Q1106-R1106-S1106-T1106-U1106-V1106-W1106-X1106-Y1106-Z1106-AA1106-AB1106-AC1106-AD1106-AE1106-AF1106-AG1106+AH1106-AI1106+AJ1106+AK1106-AL1106</f>
        <v>0</v>
      </c>
      <c r="AN1106" s="45"/>
    </row>
    <row r="1107" spans="1:41">
      <c r="A1107" s="45">
        <v>1079</v>
      </c>
      <c r="B1107" s="45" t="s">
        <v>4329</v>
      </c>
      <c r="C1107" s="49" t="s">
        <v>4330</v>
      </c>
      <c r="D1107" s="53" t="s">
        <v>73</v>
      </c>
      <c r="E1107" s="45" t="s">
        <v>4304</v>
      </c>
      <c r="F1107" s="45" t="s">
        <v>4331</v>
      </c>
      <c r="G1107" s="45">
        <v>4</v>
      </c>
      <c r="H1107" s="53" t="s">
        <v>4332</v>
      </c>
      <c r="I1107" s="45">
        <v>0</v>
      </c>
      <c r="J1107" s="45">
        <v>0</v>
      </c>
      <c r="K1107" s="45">
        <v>25000</v>
      </c>
      <c r="L1107" s="45">
        <v>0</v>
      </c>
      <c r="M1107" s="45">
        <v>0</v>
      </c>
      <c r="N1107" s="45">
        <v>0</v>
      </c>
      <c r="O1107" s="45">
        <v>0</v>
      </c>
      <c r="P1107" s="45">
        <v>0</v>
      </c>
      <c r="Q1107" s="45">
        <v>0</v>
      </c>
      <c r="R1107" s="45">
        <v>0</v>
      </c>
      <c r="S1107" s="45">
        <v>0</v>
      </c>
      <c r="T1107" s="45">
        <v>0</v>
      </c>
      <c r="U1107" s="45">
        <v>1587</v>
      </c>
      <c r="V1107" s="45">
        <v>0</v>
      </c>
      <c r="W1107" s="45">
        <v>0</v>
      </c>
      <c r="X1107" s="45">
        <v>0</v>
      </c>
      <c r="Y1107" s="45">
        <v>5000</v>
      </c>
      <c r="Z1107" s="45">
        <v>0</v>
      </c>
      <c r="AA1107" s="45">
        <v>0</v>
      </c>
      <c r="AB1107" s="45">
        <v>0</v>
      </c>
      <c r="AC1107" s="45">
        <v>0</v>
      </c>
      <c r="AD1107" s="45">
        <v>0</v>
      </c>
      <c r="AE1107" s="45">
        <v>0</v>
      </c>
      <c r="AF1107" s="45">
        <v>0</v>
      </c>
      <c r="AG1107" s="45">
        <v>0</v>
      </c>
      <c r="AH1107" s="45">
        <v>0</v>
      </c>
      <c r="AI1107" s="45">
        <v>0</v>
      </c>
      <c r="AJ1107" s="45">
        <v>0</v>
      </c>
      <c r="AK1107" s="45">
        <v>0</v>
      </c>
      <c r="AL1107" s="45">
        <v>0</v>
      </c>
      <c r="AM1107" s="57" t="str">
        <f>I1107-J1107-K1107-L1107-M1107-N1107-O1107-P1107-Q1107-R1107-S1107-T1107-U1107-V1107-W1107-X1107-Y1107-Z1107-AA1107-AB1107-AC1107-AD1107-AE1107-AF1107-AG1107+AH1107-AI1107+AJ1107+AK1107-AL1107</f>
        <v>0</v>
      </c>
      <c r="AN1107" s="45"/>
    </row>
    <row r="1108" spans="1:41">
      <c r="A1108" s="45">
        <v>1080</v>
      </c>
      <c r="B1108" s="45" t="s">
        <v>4333</v>
      </c>
      <c r="C1108" s="49" t="s">
        <v>4334</v>
      </c>
      <c r="D1108" s="53" t="s">
        <v>73</v>
      </c>
      <c r="E1108" s="45" t="s">
        <v>4304</v>
      </c>
      <c r="F1108" s="45" t="s">
        <v>4335</v>
      </c>
      <c r="G1108" s="45">
        <v>5</v>
      </c>
      <c r="H1108" s="53" t="s">
        <v>4336</v>
      </c>
      <c r="I1108" s="45">
        <v>0</v>
      </c>
      <c r="J1108" s="45">
        <v>0</v>
      </c>
      <c r="K1108" s="45">
        <v>27000</v>
      </c>
      <c r="L1108" s="45">
        <v>0</v>
      </c>
      <c r="M1108" s="45">
        <v>0</v>
      </c>
      <c r="N1108" s="45">
        <v>0</v>
      </c>
      <c r="O1108" s="45">
        <v>0</v>
      </c>
      <c r="P1108" s="45">
        <v>0</v>
      </c>
      <c r="Q1108" s="45">
        <v>0</v>
      </c>
      <c r="R1108" s="45">
        <v>0</v>
      </c>
      <c r="S1108" s="45">
        <v>0</v>
      </c>
      <c r="T1108" s="45">
        <v>0</v>
      </c>
      <c r="U1108" s="45">
        <v>1714</v>
      </c>
      <c r="V1108" s="45">
        <v>0</v>
      </c>
      <c r="W1108" s="45">
        <v>0</v>
      </c>
      <c r="X1108" s="45">
        <v>0</v>
      </c>
      <c r="Y1108" s="45">
        <v>13500</v>
      </c>
      <c r="Z1108" s="45">
        <v>0</v>
      </c>
      <c r="AA1108" s="45">
        <v>0</v>
      </c>
      <c r="AB1108" s="45">
        <v>0</v>
      </c>
      <c r="AC1108" s="45">
        <v>0</v>
      </c>
      <c r="AD1108" s="45">
        <v>0</v>
      </c>
      <c r="AE1108" s="45">
        <v>0</v>
      </c>
      <c r="AF1108" s="45">
        <v>0</v>
      </c>
      <c r="AG1108" s="45">
        <v>0</v>
      </c>
      <c r="AH1108" s="45">
        <v>0</v>
      </c>
      <c r="AI1108" s="45">
        <v>0</v>
      </c>
      <c r="AJ1108" s="45">
        <v>0</v>
      </c>
      <c r="AK1108" s="45">
        <v>0</v>
      </c>
      <c r="AL1108" s="45">
        <v>0</v>
      </c>
      <c r="AM1108" s="57" t="str">
        <f>I1108-J1108-K1108-L1108-M1108-N1108-O1108-P1108-Q1108-R1108-S1108-T1108-U1108-V1108-W1108-X1108-Y1108-Z1108-AA1108-AB1108-AC1108-AD1108-AE1108-AF1108-AG1108+AH1108-AI1108+AJ1108+AK1108-AL1108</f>
        <v>0</v>
      </c>
      <c r="AN1108" s="45"/>
    </row>
    <row r="1109" spans="1:41">
      <c r="A1109" s="45">
        <v>1081</v>
      </c>
      <c r="B1109" s="45" t="s">
        <v>4337</v>
      </c>
      <c r="C1109" s="49" t="s">
        <v>4338</v>
      </c>
      <c r="D1109" s="53" t="s">
        <v>73</v>
      </c>
      <c r="E1109" s="45" t="s">
        <v>4304</v>
      </c>
      <c r="F1109" s="45" t="s">
        <v>1903</v>
      </c>
      <c r="G1109" s="45">
        <v>14</v>
      </c>
      <c r="H1109" s="53" t="s">
        <v>4339</v>
      </c>
      <c r="I1109" s="45">
        <v>0</v>
      </c>
      <c r="J1109" s="45">
        <v>22450</v>
      </c>
      <c r="K1109" s="45">
        <v>56000</v>
      </c>
      <c r="L1109" s="45">
        <v>0</v>
      </c>
      <c r="M1109" s="45">
        <v>0</v>
      </c>
      <c r="N1109" s="45">
        <v>0</v>
      </c>
      <c r="O1109" s="45">
        <v>0</v>
      </c>
      <c r="P1109" s="45">
        <v>0</v>
      </c>
      <c r="Q1109" s="45">
        <v>0</v>
      </c>
      <c r="R1109" s="45">
        <v>0</v>
      </c>
      <c r="S1109" s="45">
        <v>0</v>
      </c>
      <c r="T1109" s="45">
        <v>0</v>
      </c>
      <c r="U1109" s="45">
        <v>3556</v>
      </c>
      <c r="V1109" s="45">
        <v>0</v>
      </c>
      <c r="W1109" s="45">
        <v>0</v>
      </c>
      <c r="X1109" s="45">
        <v>0</v>
      </c>
      <c r="Y1109" s="45">
        <v>28000</v>
      </c>
      <c r="Z1109" s="45">
        <v>0</v>
      </c>
      <c r="AA1109" s="45">
        <v>0</v>
      </c>
      <c r="AB1109" s="45">
        <v>0</v>
      </c>
      <c r="AC1109" s="45">
        <v>0</v>
      </c>
      <c r="AD1109" s="45">
        <v>0</v>
      </c>
      <c r="AE1109" s="45">
        <v>0</v>
      </c>
      <c r="AF1109" s="45">
        <v>0</v>
      </c>
      <c r="AG1109" s="45">
        <v>0</v>
      </c>
      <c r="AH1109" s="45">
        <v>0</v>
      </c>
      <c r="AI1109" s="45">
        <v>0</v>
      </c>
      <c r="AJ1109" s="45">
        <v>0</v>
      </c>
      <c r="AK1109" s="45">
        <v>0</v>
      </c>
      <c r="AL1109" s="45">
        <v>0</v>
      </c>
      <c r="AM1109" s="57" t="str">
        <f>I1109-J1109-K1109-L1109-M1109-N1109-O1109-P1109-Q1109-R1109-S1109-T1109-U1109-V1109-W1109-X1109-Y1109-Z1109-AA1109-AB1109-AC1109-AD1109-AE1109-AF1109-AG1109+AH1109-AI1109+AJ1109+AK1109-AL1109</f>
        <v>0</v>
      </c>
      <c r="AN1109" s="45"/>
    </row>
    <row r="1110" spans="1:41">
      <c r="A1110" s="45">
        <v>1082</v>
      </c>
      <c r="B1110" s="45" t="s">
        <v>4340</v>
      </c>
      <c r="C1110" s="49" t="s">
        <v>4341</v>
      </c>
      <c r="D1110" s="53" t="s">
        <v>73</v>
      </c>
      <c r="E1110" s="45" t="s">
        <v>4304</v>
      </c>
      <c r="F1110" s="45" t="s">
        <v>4342</v>
      </c>
      <c r="G1110" s="45">
        <v>14</v>
      </c>
      <c r="H1110" s="53" t="s">
        <v>4343</v>
      </c>
      <c r="I1110" s="45">
        <v>0</v>
      </c>
      <c r="J1110" s="45">
        <v>24415</v>
      </c>
      <c r="K1110" s="45">
        <v>56000</v>
      </c>
      <c r="L1110" s="45">
        <v>0</v>
      </c>
      <c r="M1110" s="45">
        <v>0</v>
      </c>
      <c r="N1110" s="45">
        <v>0</v>
      </c>
      <c r="O1110" s="45">
        <v>0</v>
      </c>
      <c r="P1110" s="45">
        <v>0</v>
      </c>
      <c r="Q1110" s="45">
        <v>0</v>
      </c>
      <c r="R1110" s="45">
        <v>0</v>
      </c>
      <c r="S1110" s="45">
        <v>0</v>
      </c>
      <c r="T1110" s="45">
        <v>0</v>
      </c>
      <c r="U1110" s="45">
        <v>3556</v>
      </c>
      <c r="V1110" s="45">
        <v>0</v>
      </c>
      <c r="W1110" s="45">
        <v>0</v>
      </c>
      <c r="X1110" s="45">
        <v>0</v>
      </c>
      <c r="Y1110" s="45">
        <v>28000</v>
      </c>
      <c r="Z1110" s="45">
        <v>0</v>
      </c>
      <c r="AA1110" s="45">
        <v>0</v>
      </c>
      <c r="AB1110" s="45">
        <v>0</v>
      </c>
      <c r="AC1110" s="45">
        <v>0</v>
      </c>
      <c r="AD1110" s="45">
        <v>0</v>
      </c>
      <c r="AE1110" s="45">
        <v>0</v>
      </c>
      <c r="AF1110" s="45">
        <v>0</v>
      </c>
      <c r="AG1110" s="45">
        <v>0</v>
      </c>
      <c r="AH1110" s="45">
        <v>0</v>
      </c>
      <c r="AI1110" s="45">
        <v>0</v>
      </c>
      <c r="AJ1110" s="45">
        <v>0</v>
      </c>
      <c r="AK1110" s="45">
        <v>0</v>
      </c>
      <c r="AL1110" s="45">
        <v>0</v>
      </c>
      <c r="AM1110" s="57" t="str">
        <f>I1110-J1110-K1110-L1110-M1110-N1110-O1110-P1110-Q1110-R1110-S1110-T1110-U1110-V1110-W1110-X1110-Y1110-Z1110-AA1110-AB1110-AC1110-AD1110-AE1110-AF1110-AG1110+AH1110-AI1110+AJ1110+AK1110-AL1110</f>
        <v>0</v>
      </c>
      <c r="AN1110" s="45"/>
    </row>
    <row r="1111" spans="1:41">
      <c r="A1111" s="45">
        <v>1083</v>
      </c>
      <c r="B1111" s="45" t="s">
        <v>4344</v>
      </c>
      <c r="C1111" s="49" t="s">
        <v>4345</v>
      </c>
      <c r="D1111" s="53" t="s">
        <v>73</v>
      </c>
      <c r="E1111" s="45" t="s">
        <v>4346</v>
      </c>
      <c r="F1111" s="45" t="s">
        <v>340</v>
      </c>
      <c r="G1111" s="45">
        <v>3</v>
      </c>
      <c r="H1111" s="53" t="s">
        <v>4347</v>
      </c>
      <c r="I1111" s="45">
        <v>0</v>
      </c>
      <c r="J1111" s="45">
        <v>0</v>
      </c>
      <c r="K1111" s="45">
        <v>22000</v>
      </c>
      <c r="L1111" s="45">
        <v>0</v>
      </c>
      <c r="M1111" s="45">
        <v>0</v>
      </c>
      <c r="N1111" s="45">
        <v>0</v>
      </c>
      <c r="O1111" s="45">
        <v>0</v>
      </c>
      <c r="P1111" s="45">
        <v>0</v>
      </c>
      <c r="Q1111" s="45">
        <v>0</v>
      </c>
      <c r="R1111" s="45">
        <v>0</v>
      </c>
      <c r="S1111" s="45">
        <v>0</v>
      </c>
      <c r="T1111" s="45">
        <v>0</v>
      </c>
      <c r="U1111" s="45">
        <v>1397</v>
      </c>
      <c r="V1111" s="45">
        <v>0</v>
      </c>
      <c r="W1111" s="45">
        <v>0</v>
      </c>
      <c r="X1111" s="45">
        <v>0</v>
      </c>
      <c r="Y1111" s="45">
        <v>5000</v>
      </c>
      <c r="Z1111" s="45">
        <v>0</v>
      </c>
      <c r="AA1111" s="45">
        <v>0</v>
      </c>
      <c r="AB1111" s="45">
        <v>0</v>
      </c>
      <c r="AC1111" s="45">
        <v>0</v>
      </c>
      <c r="AD1111" s="45">
        <v>0</v>
      </c>
      <c r="AE1111" s="45">
        <v>0</v>
      </c>
      <c r="AF1111" s="45">
        <v>0</v>
      </c>
      <c r="AG1111" s="45">
        <v>0</v>
      </c>
      <c r="AH1111" s="45">
        <v>0</v>
      </c>
      <c r="AI1111" s="45">
        <v>0</v>
      </c>
      <c r="AJ1111" s="45">
        <v>0</v>
      </c>
      <c r="AK1111" s="45">
        <v>0</v>
      </c>
      <c r="AL1111" s="45">
        <v>0</v>
      </c>
      <c r="AM1111" s="57" t="str">
        <f>I1111-J1111-K1111-L1111-M1111-N1111-O1111-P1111-Q1111-R1111-S1111-T1111-U1111-V1111-W1111-X1111-Y1111-Z1111-AA1111-AB1111-AC1111-AD1111-AE1111-AF1111-AG1111+AH1111-AI1111+AJ1111+AK1111-AL1111</f>
        <v>0</v>
      </c>
      <c r="AN1111" s="45"/>
    </row>
    <row r="1112" spans="1:41">
      <c r="A1112" s="45">
        <v>1084</v>
      </c>
      <c r="B1112" s="45" t="s">
        <v>4348</v>
      </c>
      <c r="C1112" s="49" t="s">
        <v>4349</v>
      </c>
      <c r="D1112" s="53" t="s">
        <v>73</v>
      </c>
      <c r="E1112" s="45" t="s">
        <v>4346</v>
      </c>
      <c r="F1112" s="45" t="s">
        <v>4350</v>
      </c>
      <c r="G1112" s="45">
        <v>1</v>
      </c>
      <c r="H1112" s="53" t="s">
        <v>4351</v>
      </c>
      <c r="I1112" s="45">
        <v>0</v>
      </c>
      <c r="J1112" s="45">
        <v>0</v>
      </c>
      <c r="K1112" s="45">
        <v>22000</v>
      </c>
      <c r="L1112" s="45">
        <v>0</v>
      </c>
      <c r="M1112" s="45">
        <v>0</v>
      </c>
      <c r="N1112" s="45">
        <v>0</v>
      </c>
      <c r="O1112" s="45">
        <v>0</v>
      </c>
      <c r="P1112" s="45">
        <v>0</v>
      </c>
      <c r="Q1112" s="45">
        <v>0</v>
      </c>
      <c r="R1112" s="45">
        <v>0</v>
      </c>
      <c r="S1112" s="45">
        <v>0</v>
      </c>
      <c r="T1112" s="45">
        <v>0</v>
      </c>
      <c r="U1112" s="45">
        <v>1397</v>
      </c>
      <c r="V1112" s="45">
        <v>0</v>
      </c>
      <c r="W1112" s="45">
        <v>0</v>
      </c>
      <c r="X1112" s="45">
        <v>0</v>
      </c>
      <c r="Y1112" s="45">
        <v>11000</v>
      </c>
      <c r="Z1112" s="45">
        <v>0</v>
      </c>
      <c r="AA1112" s="45">
        <v>0</v>
      </c>
      <c r="AB1112" s="45">
        <v>0</v>
      </c>
      <c r="AC1112" s="45">
        <v>0</v>
      </c>
      <c r="AD1112" s="45">
        <v>0</v>
      </c>
      <c r="AE1112" s="45">
        <v>0</v>
      </c>
      <c r="AF1112" s="45">
        <v>0</v>
      </c>
      <c r="AG1112" s="45">
        <v>0</v>
      </c>
      <c r="AH1112" s="45">
        <v>0</v>
      </c>
      <c r="AI1112" s="45">
        <v>0</v>
      </c>
      <c r="AJ1112" s="45">
        <v>0</v>
      </c>
      <c r="AK1112" s="45">
        <v>0</v>
      </c>
      <c r="AL1112" s="45">
        <v>0</v>
      </c>
      <c r="AM1112" s="57" t="str">
        <f>I1112-J1112-K1112-L1112-M1112-N1112-O1112-P1112-Q1112-R1112-S1112-T1112-U1112-V1112-W1112-X1112-Y1112-Z1112-AA1112-AB1112-AC1112-AD1112-AE1112-AF1112-AG1112+AH1112-AI1112+AJ1112+AK1112-AL1112</f>
        <v>0</v>
      </c>
      <c r="AN1112" s="45"/>
    </row>
    <row r="1113" spans="1:41">
      <c r="A1113" s="45">
        <v>1085</v>
      </c>
      <c r="B1113" s="45" t="s">
        <v>4352</v>
      </c>
      <c r="C1113" s="49" t="s">
        <v>4353</v>
      </c>
      <c r="D1113" s="53" t="s">
        <v>73</v>
      </c>
      <c r="E1113" s="45" t="s">
        <v>4346</v>
      </c>
      <c r="F1113" s="45" t="s">
        <v>4354</v>
      </c>
      <c r="G1113" s="45">
        <v>5</v>
      </c>
      <c r="H1113" s="53" t="s">
        <v>4355</v>
      </c>
      <c r="I1113" s="45">
        <v>0</v>
      </c>
      <c r="J1113" s="45">
        <v>0</v>
      </c>
      <c r="K1113" s="45">
        <v>27000</v>
      </c>
      <c r="L1113" s="45">
        <v>0</v>
      </c>
      <c r="M1113" s="45">
        <v>0</v>
      </c>
      <c r="N1113" s="45">
        <v>0</v>
      </c>
      <c r="O1113" s="45">
        <v>0</v>
      </c>
      <c r="P1113" s="45">
        <v>0</v>
      </c>
      <c r="Q1113" s="45">
        <v>0</v>
      </c>
      <c r="R1113" s="45">
        <v>0</v>
      </c>
      <c r="S1113" s="45">
        <v>0</v>
      </c>
      <c r="T1113" s="45">
        <v>0</v>
      </c>
      <c r="U1113" s="45">
        <v>1714</v>
      </c>
      <c r="V1113" s="45">
        <v>0</v>
      </c>
      <c r="W1113" s="45">
        <v>0</v>
      </c>
      <c r="X1113" s="45">
        <v>0</v>
      </c>
      <c r="Y1113" s="45">
        <v>5000</v>
      </c>
      <c r="Z1113" s="45">
        <v>0</v>
      </c>
      <c r="AA1113" s="45">
        <v>0</v>
      </c>
      <c r="AB1113" s="45">
        <v>0</v>
      </c>
      <c r="AC1113" s="45">
        <v>0</v>
      </c>
      <c r="AD1113" s="45">
        <v>0</v>
      </c>
      <c r="AE1113" s="45">
        <v>0</v>
      </c>
      <c r="AF1113" s="45">
        <v>0</v>
      </c>
      <c r="AG1113" s="45">
        <v>0</v>
      </c>
      <c r="AH1113" s="45">
        <v>0</v>
      </c>
      <c r="AI1113" s="45">
        <v>0</v>
      </c>
      <c r="AJ1113" s="45">
        <v>0</v>
      </c>
      <c r="AK1113" s="45">
        <v>0</v>
      </c>
      <c r="AL1113" s="45">
        <v>0</v>
      </c>
      <c r="AM1113" s="57" t="str">
        <f>I1113-J1113-K1113-L1113-M1113-N1113-O1113-P1113-Q1113-R1113-S1113-T1113-U1113-V1113-W1113-X1113-Y1113-Z1113-AA1113-AB1113-AC1113-AD1113-AE1113-AF1113-AG1113+AH1113-AI1113+AJ1113+AK1113-AL1113</f>
        <v>0</v>
      </c>
      <c r="AN1113" s="45"/>
    </row>
    <row r="1114" spans="1:41">
      <c r="A1114" s="45">
        <v>1086</v>
      </c>
      <c r="B1114" s="45" t="s">
        <v>4356</v>
      </c>
      <c r="C1114" s="49" t="s">
        <v>4357</v>
      </c>
      <c r="D1114" s="53" t="s">
        <v>73</v>
      </c>
      <c r="E1114" s="45" t="s">
        <v>4346</v>
      </c>
      <c r="F1114" s="45" t="s">
        <v>3546</v>
      </c>
      <c r="G1114" s="45">
        <v>3</v>
      </c>
      <c r="H1114" s="53" t="s">
        <v>4358</v>
      </c>
      <c r="I1114" s="45">
        <v>0</v>
      </c>
      <c r="J1114" s="45">
        <v>0</v>
      </c>
      <c r="K1114" s="45">
        <v>22000</v>
      </c>
      <c r="L1114" s="45">
        <v>0</v>
      </c>
      <c r="M1114" s="45">
        <v>0</v>
      </c>
      <c r="N1114" s="45">
        <v>0</v>
      </c>
      <c r="O1114" s="45">
        <v>0</v>
      </c>
      <c r="P1114" s="45">
        <v>0</v>
      </c>
      <c r="Q1114" s="45">
        <v>0</v>
      </c>
      <c r="R1114" s="45">
        <v>0</v>
      </c>
      <c r="S1114" s="45">
        <v>0</v>
      </c>
      <c r="T1114" s="45">
        <v>0</v>
      </c>
      <c r="U1114" s="45">
        <v>1397</v>
      </c>
      <c r="V1114" s="45">
        <v>0</v>
      </c>
      <c r="W1114" s="45">
        <v>0</v>
      </c>
      <c r="X1114" s="45">
        <v>0</v>
      </c>
      <c r="Y1114" s="45">
        <v>11000</v>
      </c>
      <c r="Z1114" s="45">
        <v>0</v>
      </c>
      <c r="AA1114" s="45">
        <v>0</v>
      </c>
      <c r="AB1114" s="45">
        <v>0</v>
      </c>
      <c r="AC1114" s="45">
        <v>0</v>
      </c>
      <c r="AD1114" s="45">
        <v>0</v>
      </c>
      <c r="AE1114" s="45">
        <v>0</v>
      </c>
      <c r="AF1114" s="45">
        <v>0</v>
      </c>
      <c r="AG1114" s="45">
        <v>0</v>
      </c>
      <c r="AH1114" s="45">
        <v>0</v>
      </c>
      <c r="AI1114" s="45">
        <v>0</v>
      </c>
      <c r="AJ1114" s="45">
        <v>0</v>
      </c>
      <c r="AK1114" s="45">
        <v>0</v>
      </c>
      <c r="AL1114" s="45">
        <v>0</v>
      </c>
      <c r="AM1114" s="57" t="str">
        <f>I1114-J1114-K1114-L1114-M1114-N1114-O1114-P1114-Q1114-R1114-S1114-T1114-U1114-V1114-W1114-X1114-Y1114-Z1114-AA1114-AB1114-AC1114-AD1114-AE1114-AF1114-AG1114+AH1114-AI1114+AJ1114+AK1114-AL1114</f>
        <v>0</v>
      </c>
      <c r="AN1114" s="45"/>
    </row>
    <row r="1115" spans="1:41">
      <c r="A1115" s="45">
        <v>1087</v>
      </c>
      <c r="B1115" s="45" t="s">
        <v>4359</v>
      </c>
      <c r="C1115" s="49" t="s">
        <v>4360</v>
      </c>
      <c r="D1115" s="53" t="s">
        <v>73</v>
      </c>
      <c r="E1115" s="45" t="s">
        <v>4346</v>
      </c>
      <c r="F1115" s="45" t="s">
        <v>4361</v>
      </c>
      <c r="G1115" s="45">
        <v>3</v>
      </c>
      <c r="H1115" s="53" t="s">
        <v>4362</v>
      </c>
      <c r="I1115" s="45">
        <v>0</v>
      </c>
      <c r="J1115" s="45">
        <v>0</v>
      </c>
      <c r="K1115" s="45">
        <v>22000</v>
      </c>
      <c r="L1115" s="45">
        <v>0</v>
      </c>
      <c r="M1115" s="45">
        <v>0</v>
      </c>
      <c r="N1115" s="45">
        <v>0</v>
      </c>
      <c r="O1115" s="45">
        <v>0</v>
      </c>
      <c r="P1115" s="45">
        <v>0</v>
      </c>
      <c r="Q1115" s="45">
        <v>0</v>
      </c>
      <c r="R1115" s="45">
        <v>0</v>
      </c>
      <c r="S1115" s="45">
        <v>0</v>
      </c>
      <c r="T1115" s="45">
        <v>0</v>
      </c>
      <c r="U1115" s="45">
        <v>1397</v>
      </c>
      <c r="V1115" s="45">
        <v>0</v>
      </c>
      <c r="W1115" s="45">
        <v>0</v>
      </c>
      <c r="X1115" s="45">
        <v>0</v>
      </c>
      <c r="Y1115" s="45">
        <v>5000</v>
      </c>
      <c r="Z1115" s="45">
        <v>0</v>
      </c>
      <c r="AA1115" s="45">
        <v>0</v>
      </c>
      <c r="AB1115" s="45">
        <v>0</v>
      </c>
      <c r="AC1115" s="45">
        <v>0</v>
      </c>
      <c r="AD1115" s="45">
        <v>0</v>
      </c>
      <c r="AE1115" s="45">
        <v>0</v>
      </c>
      <c r="AF1115" s="45">
        <v>0</v>
      </c>
      <c r="AG1115" s="45">
        <v>0</v>
      </c>
      <c r="AH1115" s="45">
        <v>0</v>
      </c>
      <c r="AI1115" s="45">
        <v>0</v>
      </c>
      <c r="AJ1115" s="45">
        <v>0</v>
      </c>
      <c r="AK1115" s="45">
        <v>0</v>
      </c>
      <c r="AL1115" s="45">
        <v>0</v>
      </c>
      <c r="AM1115" s="57" t="str">
        <f>I1115-J1115-K1115-L1115-M1115-N1115-O1115-P1115-Q1115-R1115-S1115-T1115-U1115-V1115-W1115-X1115-Y1115-Z1115-AA1115-AB1115-AC1115-AD1115-AE1115-AF1115-AG1115+AH1115-AI1115+AJ1115+AK1115-AL1115</f>
        <v>0</v>
      </c>
      <c r="AN1115" s="45"/>
    </row>
    <row r="1116" spans="1:41">
      <c r="A1116" s="45">
        <v>1088</v>
      </c>
      <c r="B1116" s="45" t="s">
        <v>4363</v>
      </c>
      <c r="C1116" s="49" t="s">
        <v>4364</v>
      </c>
      <c r="D1116" s="53" t="s">
        <v>73</v>
      </c>
      <c r="E1116" s="45" t="s">
        <v>4365</v>
      </c>
      <c r="F1116" s="45" t="s">
        <v>1595</v>
      </c>
      <c r="G1116" s="45">
        <v>5</v>
      </c>
      <c r="H1116" s="53" t="s">
        <v>4366</v>
      </c>
      <c r="I1116" s="45">
        <v>1025000</v>
      </c>
      <c r="J1116" s="45">
        <v>0</v>
      </c>
      <c r="K1116" s="45">
        <v>27000</v>
      </c>
      <c r="L1116" s="45">
        <v>0</v>
      </c>
      <c r="M1116" s="45">
        <v>0</v>
      </c>
      <c r="N1116" s="45">
        <v>0</v>
      </c>
      <c r="O1116" s="45">
        <v>0</v>
      </c>
      <c r="P1116" s="45">
        <v>0</v>
      </c>
      <c r="Q1116" s="45">
        <v>0</v>
      </c>
      <c r="R1116" s="45">
        <v>0</v>
      </c>
      <c r="S1116" s="45">
        <v>0</v>
      </c>
      <c r="T1116" s="45">
        <v>0</v>
      </c>
      <c r="U1116" s="45">
        <v>1714</v>
      </c>
      <c r="V1116" s="45">
        <v>0</v>
      </c>
      <c r="W1116" s="45">
        <v>0</v>
      </c>
      <c r="X1116" s="45">
        <v>0</v>
      </c>
      <c r="Y1116" s="45">
        <v>0</v>
      </c>
      <c r="Z1116" s="45">
        <v>0</v>
      </c>
      <c r="AA1116" s="45">
        <v>0</v>
      </c>
      <c r="AB1116" s="45">
        <v>0</v>
      </c>
      <c r="AC1116" s="45">
        <v>0</v>
      </c>
      <c r="AD1116" s="45">
        <v>0</v>
      </c>
      <c r="AE1116" s="45">
        <v>0</v>
      </c>
      <c r="AF1116" s="45">
        <v>0</v>
      </c>
      <c r="AG1116" s="45">
        <v>0</v>
      </c>
      <c r="AH1116" s="45">
        <v>0</v>
      </c>
      <c r="AI1116" s="45">
        <v>0</v>
      </c>
      <c r="AJ1116" s="45">
        <v>0</v>
      </c>
      <c r="AK1116" s="45">
        <v>0</v>
      </c>
      <c r="AL1116" s="45">
        <v>0</v>
      </c>
      <c r="AM1116" s="57" t="str">
        <f>I1116-J1116-K1116-L1116-M1116-N1116-O1116-P1116-Q1116-R1116-S1116-T1116-U1116-V1116-W1116-X1116-Y1116-Z1116-AA1116-AB1116-AC1116-AD1116-AE1116-AF1116-AG1116+AH1116-AI1116+AJ1116+AK1116-AL1116</f>
        <v>0</v>
      </c>
      <c r="AN1116" s="45"/>
    </row>
    <row r="1117" spans="1:41">
      <c r="A1117" s="45">
        <v>1089</v>
      </c>
      <c r="B1117" s="45" t="s">
        <v>4367</v>
      </c>
      <c r="C1117" s="49" t="s">
        <v>4368</v>
      </c>
      <c r="D1117" s="53" t="s">
        <v>73</v>
      </c>
      <c r="E1117" s="45" t="s">
        <v>4365</v>
      </c>
      <c r="F1117" s="45" t="s">
        <v>4369</v>
      </c>
      <c r="G1117" s="45">
        <v>8.6</v>
      </c>
      <c r="H1117" s="53" t="s">
        <v>4370</v>
      </c>
      <c r="I1117" s="45">
        <v>365000</v>
      </c>
      <c r="J1117" s="45">
        <v>0</v>
      </c>
      <c r="K1117" s="45">
        <v>44000</v>
      </c>
      <c r="L1117" s="45">
        <v>0</v>
      </c>
      <c r="M1117" s="45">
        <v>0</v>
      </c>
      <c r="N1117" s="45">
        <v>0</v>
      </c>
      <c r="O1117" s="45">
        <v>0</v>
      </c>
      <c r="P1117" s="45">
        <v>0</v>
      </c>
      <c r="Q1117" s="45">
        <v>0</v>
      </c>
      <c r="R1117" s="45">
        <v>0</v>
      </c>
      <c r="S1117" s="45">
        <v>0</v>
      </c>
      <c r="T1117" s="45">
        <v>0</v>
      </c>
      <c r="U1117" s="45">
        <v>2794</v>
      </c>
      <c r="V1117" s="45">
        <v>0</v>
      </c>
      <c r="W1117" s="45">
        <v>0</v>
      </c>
      <c r="X1117" s="45">
        <v>0</v>
      </c>
      <c r="Y1117" s="45">
        <v>0</v>
      </c>
      <c r="Z1117" s="45">
        <v>0</v>
      </c>
      <c r="AA1117" s="45">
        <v>0</v>
      </c>
      <c r="AB1117" s="45">
        <v>0</v>
      </c>
      <c r="AC1117" s="45">
        <v>0</v>
      </c>
      <c r="AD1117" s="45">
        <v>0</v>
      </c>
      <c r="AE1117" s="45">
        <v>0</v>
      </c>
      <c r="AF1117" s="45">
        <v>0</v>
      </c>
      <c r="AG1117" s="45">
        <v>0</v>
      </c>
      <c r="AH1117" s="45">
        <v>0</v>
      </c>
      <c r="AI1117" s="45">
        <v>0</v>
      </c>
      <c r="AJ1117" s="45">
        <v>0</v>
      </c>
      <c r="AK1117" s="45">
        <v>0</v>
      </c>
      <c r="AL1117" s="45">
        <v>0</v>
      </c>
      <c r="AM1117" s="57" t="str">
        <f>I1117-J1117-K1117-L1117-M1117-N1117-O1117-P1117-Q1117-R1117-S1117-T1117-U1117-V1117-W1117-X1117-Y1117-Z1117-AA1117-AB1117-AC1117-AD1117-AE1117-AF1117-AG1117+AH1117-AI1117+AJ1117+AK1117-AL1117</f>
        <v>0</v>
      </c>
      <c r="AN1117" s="45"/>
    </row>
    <row r="1118" spans="1:41">
      <c r="A1118" s="45">
        <v>1090</v>
      </c>
      <c r="B1118" s="45" t="s">
        <v>4371</v>
      </c>
      <c r="C1118" s="49" t="s">
        <v>4372</v>
      </c>
      <c r="D1118" s="53" t="s">
        <v>73</v>
      </c>
      <c r="E1118" s="45" t="s">
        <v>4365</v>
      </c>
      <c r="F1118" s="45" t="s">
        <v>4373</v>
      </c>
      <c r="G1118" s="45">
        <v>3</v>
      </c>
      <c r="H1118" s="53" t="s">
        <v>4374</v>
      </c>
      <c r="I1118" s="45">
        <v>320000</v>
      </c>
      <c r="J1118" s="45">
        <v>0</v>
      </c>
      <c r="K1118" s="45">
        <v>22000</v>
      </c>
      <c r="L1118" s="45">
        <v>0</v>
      </c>
      <c r="M1118" s="45">
        <v>0</v>
      </c>
      <c r="N1118" s="45">
        <v>0</v>
      </c>
      <c r="O1118" s="45">
        <v>0</v>
      </c>
      <c r="P1118" s="45">
        <v>0</v>
      </c>
      <c r="Q1118" s="45">
        <v>0</v>
      </c>
      <c r="R1118" s="45">
        <v>0</v>
      </c>
      <c r="S1118" s="45">
        <v>0</v>
      </c>
      <c r="T1118" s="45">
        <v>0</v>
      </c>
      <c r="U1118" s="45">
        <v>1397</v>
      </c>
      <c r="V1118" s="45">
        <v>0</v>
      </c>
      <c r="W1118" s="45">
        <v>0</v>
      </c>
      <c r="X1118" s="45">
        <v>0</v>
      </c>
      <c r="Y1118" s="45">
        <v>0</v>
      </c>
      <c r="Z1118" s="45">
        <v>0</v>
      </c>
      <c r="AA1118" s="45">
        <v>0</v>
      </c>
      <c r="AB1118" s="45">
        <v>0</v>
      </c>
      <c r="AC1118" s="45">
        <v>0</v>
      </c>
      <c r="AD1118" s="45">
        <v>0</v>
      </c>
      <c r="AE1118" s="45">
        <v>0</v>
      </c>
      <c r="AF1118" s="45">
        <v>0</v>
      </c>
      <c r="AG1118" s="45">
        <v>0</v>
      </c>
      <c r="AH1118" s="45">
        <v>0</v>
      </c>
      <c r="AI1118" s="45">
        <v>0</v>
      </c>
      <c r="AJ1118" s="45">
        <v>0</v>
      </c>
      <c r="AK1118" s="45">
        <v>0</v>
      </c>
      <c r="AL1118" s="45">
        <v>0</v>
      </c>
      <c r="AM1118" s="57" t="str">
        <f>I1118-J1118-K1118-L1118-M1118-N1118-O1118-P1118-Q1118-R1118-S1118-T1118-U1118-V1118-W1118-X1118-Y1118-Z1118-AA1118-AB1118-AC1118-AD1118-AE1118-AF1118-AG1118+AH1118-AI1118+AJ1118+AK1118-AL1118</f>
        <v>0</v>
      </c>
      <c r="AN1118" s="45"/>
    </row>
    <row r="1119" spans="1:41">
      <c r="A1119" s="45">
        <v>1091</v>
      </c>
      <c r="B1119" s="45" t="s">
        <v>4375</v>
      </c>
      <c r="C1119" s="49" t="s">
        <v>4376</v>
      </c>
      <c r="D1119" s="53" t="s">
        <v>73</v>
      </c>
      <c r="E1119" s="45" t="s">
        <v>4365</v>
      </c>
      <c r="F1119" s="45" t="s">
        <v>4377</v>
      </c>
      <c r="G1119" s="45">
        <v>6</v>
      </c>
      <c r="H1119" s="53" t="s">
        <v>4378</v>
      </c>
      <c r="I1119" s="45">
        <v>1169000</v>
      </c>
      <c r="J1119" s="45">
        <v>0</v>
      </c>
      <c r="K1119" s="45">
        <v>31000</v>
      </c>
      <c r="L1119" s="45">
        <v>0</v>
      </c>
      <c r="M1119" s="45">
        <v>0</v>
      </c>
      <c r="N1119" s="45">
        <v>0</v>
      </c>
      <c r="O1119" s="45">
        <v>0</v>
      </c>
      <c r="P1119" s="45">
        <v>0</v>
      </c>
      <c r="Q1119" s="45">
        <v>0</v>
      </c>
      <c r="R1119" s="45">
        <v>0</v>
      </c>
      <c r="S1119" s="45">
        <v>0</v>
      </c>
      <c r="T1119" s="45">
        <v>0</v>
      </c>
      <c r="U1119" s="45">
        <v>1968</v>
      </c>
      <c r="V1119" s="45">
        <v>0</v>
      </c>
      <c r="W1119" s="45">
        <v>0</v>
      </c>
      <c r="X1119" s="45">
        <v>0</v>
      </c>
      <c r="Y1119" s="45">
        <v>0</v>
      </c>
      <c r="Z1119" s="45">
        <v>0</v>
      </c>
      <c r="AA1119" s="45">
        <v>0</v>
      </c>
      <c r="AB1119" s="45">
        <v>0</v>
      </c>
      <c r="AC1119" s="45">
        <v>0</v>
      </c>
      <c r="AD1119" s="45">
        <v>0</v>
      </c>
      <c r="AE1119" s="45">
        <v>0</v>
      </c>
      <c r="AF1119" s="45">
        <v>0</v>
      </c>
      <c r="AG1119" s="45">
        <v>0</v>
      </c>
      <c r="AH1119" s="45">
        <v>0</v>
      </c>
      <c r="AI1119" s="45">
        <v>0</v>
      </c>
      <c r="AJ1119" s="45">
        <v>0</v>
      </c>
      <c r="AK1119" s="45">
        <v>0</v>
      </c>
      <c r="AL1119" s="45">
        <v>0</v>
      </c>
      <c r="AM1119" s="57" t="str">
        <f>I1119-J1119-K1119-L1119-M1119-N1119-O1119-P1119-Q1119-R1119-S1119-T1119-U1119-V1119-W1119-X1119-Y1119-Z1119-AA1119-AB1119-AC1119-AD1119-AE1119-AF1119-AG1119+AH1119-AI1119+AJ1119+AK1119-AL1119</f>
        <v>0</v>
      </c>
      <c r="AN1119" s="45"/>
    </row>
    <row r="1120" spans="1:41">
      <c r="A1120" s="45">
        <v>1092</v>
      </c>
      <c r="B1120" s="45" t="s">
        <v>4379</v>
      </c>
      <c r="C1120" s="49" t="s">
        <v>4380</v>
      </c>
      <c r="D1120" s="53" t="s">
        <v>73</v>
      </c>
      <c r="E1120" s="45" t="s">
        <v>4381</v>
      </c>
      <c r="F1120" s="45" t="s">
        <v>4382</v>
      </c>
      <c r="G1120" s="45">
        <v>4</v>
      </c>
      <c r="H1120" s="53" t="s">
        <v>4383</v>
      </c>
      <c r="I1120" s="45">
        <v>739000</v>
      </c>
      <c r="J1120" s="45">
        <v>0</v>
      </c>
      <c r="K1120" s="45">
        <v>25000</v>
      </c>
      <c r="L1120" s="45">
        <v>0</v>
      </c>
      <c r="M1120" s="45">
        <v>0</v>
      </c>
      <c r="N1120" s="45">
        <v>0</v>
      </c>
      <c r="O1120" s="45">
        <v>0</v>
      </c>
      <c r="P1120" s="45">
        <v>0</v>
      </c>
      <c r="Q1120" s="45">
        <v>0</v>
      </c>
      <c r="R1120" s="45">
        <v>0</v>
      </c>
      <c r="S1120" s="45">
        <v>0</v>
      </c>
      <c r="T1120" s="45">
        <v>0</v>
      </c>
      <c r="U1120" s="45">
        <v>1587</v>
      </c>
      <c r="V1120" s="45">
        <v>0</v>
      </c>
      <c r="W1120" s="45">
        <v>0</v>
      </c>
      <c r="X1120" s="45">
        <v>0</v>
      </c>
      <c r="Y1120" s="45">
        <v>0</v>
      </c>
      <c r="Z1120" s="45">
        <v>0</v>
      </c>
      <c r="AA1120" s="45">
        <v>0</v>
      </c>
      <c r="AB1120" s="45">
        <v>0</v>
      </c>
      <c r="AC1120" s="45">
        <v>0</v>
      </c>
      <c r="AD1120" s="45">
        <v>0</v>
      </c>
      <c r="AE1120" s="45">
        <v>0</v>
      </c>
      <c r="AF1120" s="45">
        <v>0</v>
      </c>
      <c r="AG1120" s="45">
        <v>0</v>
      </c>
      <c r="AH1120" s="45">
        <v>0</v>
      </c>
      <c r="AI1120" s="45">
        <v>0</v>
      </c>
      <c r="AJ1120" s="45">
        <v>0</v>
      </c>
      <c r="AK1120" s="45">
        <v>0</v>
      </c>
      <c r="AL1120" s="45">
        <v>0</v>
      </c>
      <c r="AM1120" s="57" t="str">
        <f>I1120-J1120-K1120-L1120-M1120-N1120-O1120-P1120-Q1120-R1120-S1120-T1120-U1120-V1120-W1120-X1120-Y1120-Z1120-AA1120-AB1120-AC1120-AD1120-AE1120-AF1120-AG1120+AH1120-AI1120+AJ1120+AK1120-AL1120</f>
        <v>0</v>
      </c>
      <c r="AN1120" s="45"/>
    </row>
    <row r="1121" spans="1:41">
      <c r="A1121" s="45">
        <v>1093</v>
      </c>
      <c r="B1121" s="45" t="s">
        <v>4384</v>
      </c>
      <c r="C1121" s="49" t="s">
        <v>4385</v>
      </c>
      <c r="D1121" s="53" t="s">
        <v>73</v>
      </c>
      <c r="E1121" s="45" t="s">
        <v>4381</v>
      </c>
      <c r="F1121" s="45" t="s">
        <v>4386</v>
      </c>
      <c r="G1121" s="45">
        <v>2</v>
      </c>
      <c r="H1121" s="53" t="s">
        <v>4387</v>
      </c>
      <c r="I1121" s="45">
        <v>350000</v>
      </c>
      <c r="J1121" s="45">
        <v>0</v>
      </c>
      <c r="K1121" s="45">
        <v>22000</v>
      </c>
      <c r="L1121" s="45">
        <v>0</v>
      </c>
      <c r="M1121" s="45">
        <v>0</v>
      </c>
      <c r="N1121" s="45">
        <v>0</v>
      </c>
      <c r="O1121" s="45">
        <v>0</v>
      </c>
      <c r="P1121" s="45">
        <v>0</v>
      </c>
      <c r="Q1121" s="45">
        <v>0</v>
      </c>
      <c r="R1121" s="45">
        <v>0</v>
      </c>
      <c r="S1121" s="45">
        <v>0</v>
      </c>
      <c r="T1121" s="45">
        <v>0</v>
      </c>
      <c r="U1121" s="45">
        <v>1397</v>
      </c>
      <c r="V1121" s="45">
        <v>0</v>
      </c>
      <c r="W1121" s="45">
        <v>0</v>
      </c>
      <c r="X1121" s="45">
        <v>0</v>
      </c>
      <c r="Y1121" s="45">
        <v>0</v>
      </c>
      <c r="Z1121" s="45">
        <v>0</v>
      </c>
      <c r="AA1121" s="45">
        <v>0</v>
      </c>
      <c r="AB1121" s="45">
        <v>0</v>
      </c>
      <c r="AC1121" s="45">
        <v>0</v>
      </c>
      <c r="AD1121" s="45">
        <v>0</v>
      </c>
      <c r="AE1121" s="45">
        <v>0</v>
      </c>
      <c r="AF1121" s="45">
        <v>0</v>
      </c>
      <c r="AG1121" s="45">
        <v>0</v>
      </c>
      <c r="AH1121" s="45">
        <v>0</v>
      </c>
      <c r="AI1121" s="45">
        <v>0</v>
      </c>
      <c r="AJ1121" s="45">
        <v>0</v>
      </c>
      <c r="AK1121" s="45">
        <v>0</v>
      </c>
      <c r="AL1121" s="45">
        <v>0</v>
      </c>
      <c r="AM1121" s="57" t="str">
        <f>I1121-J1121-K1121-L1121-M1121-N1121-O1121-P1121-Q1121-R1121-S1121-T1121-U1121-V1121-W1121-X1121-Y1121-Z1121-AA1121-AB1121-AC1121-AD1121-AE1121-AF1121-AG1121+AH1121-AI1121+AJ1121+AK1121-AL1121</f>
        <v>0</v>
      </c>
      <c r="AN1121" s="45"/>
    </row>
    <row r="1122" spans="1:41">
      <c r="A1122" s="45">
        <v>1094</v>
      </c>
      <c r="B1122" s="45" t="s">
        <v>4388</v>
      </c>
      <c r="C1122" s="49" t="s">
        <v>4389</v>
      </c>
      <c r="D1122" s="53" t="s">
        <v>73</v>
      </c>
      <c r="E1122" s="45" t="s">
        <v>4381</v>
      </c>
      <c r="F1122" s="45" t="s">
        <v>4390</v>
      </c>
      <c r="G1122" s="45">
        <v>4</v>
      </c>
      <c r="H1122" s="53" t="s">
        <v>4391</v>
      </c>
      <c r="I1122" s="45">
        <v>763000</v>
      </c>
      <c r="J1122" s="45">
        <v>0</v>
      </c>
      <c r="K1122" s="45">
        <v>25000</v>
      </c>
      <c r="L1122" s="45">
        <v>0</v>
      </c>
      <c r="M1122" s="45">
        <v>0</v>
      </c>
      <c r="N1122" s="45">
        <v>0</v>
      </c>
      <c r="O1122" s="45">
        <v>0</v>
      </c>
      <c r="P1122" s="45">
        <v>0</v>
      </c>
      <c r="Q1122" s="45">
        <v>0</v>
      </c>
      <c r="R1122" s="45">
        <v>0</v>
      </c>
      <c r="S1122" s="45">
        <v>0</v>
      </c>
      <c r="T1122" s="45">
        <v>0</v>
      </c>
      <c r="U1122" s="45">
        <v>1587</v>
      </c>
      <c r="V1122" s="45">
        <v>0</v>
      </c>
      <c r="W1122" s="45">
        <v>0</v>
      </c>
      <c r="X1122" s="45">
        <v>0</v>
      </c>
      <c r="Y1122" s="45">
        <v>0</v>
      </c>
      <c r="Z1122" s="45">
        <v>0</v>
      </c>
      <c r="AA1122" s="45">
        <v>0</v>
      </c>
      <c r="AB1122" s="45">
        <v>0</v>
      </c>
      <c r="AC1122" s="45">
        <v>0</v>
      </c>
      <c r="AD1122" s="45">
        <v>0</v>
      </c>
      <c r="AE1122" s="45">
        <v>0</v>
      </c>
      <c r="AF1122" s="45">
        <v>0</v>
      </c>
      <c r="AG1122" s="45">
        <v>0</v>
      </c>
      <c r="AH1122" s="45">
        <v>0</v>
      </c>
      <c r="AI1122" s="45">
        <v>0</v>
      </c>
      <c r="AJ1122" s="45">
        <v>0</v>
      </c>
      <c r="AK1122" s="45">
        <v>0</v>
      </c>
      <c r="AL1122" s="45">
        <v>0</v>
      </c>
      <c r="AM1122" s="57" t="str">
        <f>I1122-J1122-K1122-L1122-M1122-N1122-O1122-P1122-Q1122-R1122-S1122-T1122-U1122-V1122-W1122-X1122-Y1122-Z1122-AA1122-AB1122-AC1122-AD1122-AE1122-AF1122-AG1122+AH1122-AI1122+AJ1122+AK1122-AL1122</f>
        <v>0</v>
      </c>
      <c r="AN1122" s="45"/>
    </row>
    <row r="1123" spans="1:41">
      <c r="A1123" s="45">
        <v>1095</v>
      </c>
      <c r="B1123" s="45" t="s">
        <v>4392</v>
      </c>
      <c r="C1123" s="49" t="s">
        <v>4393</v>
      </c>
      <c r="D1123" s="53" t="s">
        <v>73</v>
      </c>
      <c r="E1123" s="45" t="s">
        <v>4381</v>
      </c>
      <c r="F1123" s="45" t="s">
        <v>4394</v>
      </c>
      <c r="G1123" s="45">
        <v>2</v>
      </c>
      <c r="H1123" s="53" t="s">
        <v>4395</v>
      </c>
      <c r="I1123" s="45">
        <v>454000</v>
      </c>
      <c r="J1123" s="45">
        <v>0</v>
      </c>
      <c r="K1123" s="45">
        <v>22000</v>
      </c>
      <c r="L1123" s="45">
        <v>0</v>
      </c>
      <c r="M1123" s="45">
        <v>0</v>
      </c>
      <c r="N1123" s="45">
        <v>0</v>
      </c>
      <c r="O1123" s="45">
        <v>0</v>
      </c>
      <c r="P1123" s="45">
        <v>0</v>
      </c>
      <c r="Q1123" s="45">
        <v>0</v>
      </c>
      <c r="R1123" s="45">
        <v>0</v>
      </c>
      <c r="S1123" s="45">
        <v>0</v>
      </c>
      <c r="T1123" s="45">
        <v>0</v>
      </c>
      <c r="U1123" s="45">
        <v>1397</v>
      </c>
      <c r="V1123" s="45">
        <v>0</v>
      </c>
      <c r="W1123" s="45">
        <v>0</v>
      </c>
      <c r="X1123" s="45">
        <v>0</v>
      </c>
      <c r="Y1123" s="45">
        <v>0</v>
      </c>
      <c r="Z1123" s="45">
        <v>0</v>
      </c>
      <c r="AA1123" s="45">
        <v>0</v>
      </c>
      <c r="AB1123" s="45">
        <v>0</v>
      </c>
      <c r="AC1123" s="45">
        <v>0</v>
      </c>
      <c r="AD1123" s="45">
        <v>0</v>
      </c>
      <c r="AE1123" s="45">
        <v>0</v>
      </c>
      <c r="AF1123" s="45">
        <v>0</v>
      </c>
      <c r="AG1123" s="45">
        <v>0</v>
      </c>
      <c r="AH1123" s="45">
        <v>0</v>
      </c>
      <c r="AI1123" s="45">
        <v>0</v>
      </c>
      <c r="AJ1123" s="45">
        <v>0</v>
      </c>
      <c r="AK1123" s="45">
        <v>0</v>
      </c>
      <c r="AL1123" s="45">
        <v>0</v>
      </c>
      <c r="AM1123" s="57" t="str">
        <f>I1123-J1123-K1123-L1123-M1123-N1123-O1123-P1123-Q1123-R1123-S1123-T1123-U1123-V1123-W1123-X1123-Y1123-Z1123-AA1123-AB1123-AC1123-AD1123-AE1123-AF1123-AG1123+AH1123-AI1123+AJ1123+AK1123-AL1123</f>
        <v>0</v>
      </c>
      <c r="AN1123" s="45"/>
    </row>
    <row r="1124" spans="1:41">
      <c r="A1124" s="45">
        <v>1096</v>
      </c>
      <c r="B1124" s="45" t="s">
        <v>4396</v>
      </c>
      <c r="C1124" s="49" t="s">
        <v>4397</v>
      </c>
      <c r="D1124" s="53" t="s">
        <v>73</v>
      </c>
      <c r="E1124" s="45" t="s">
        <v>4381</v>
      </c>
      <c r="F1124" s="45" t="s">
        <v>4398</v>
      </c>
      <c r="G1124" s="45">
        <v>3</v>
      </c>
      <c r="H1124" s="53" t="s">
        <v>4399</v>
      </c>
      <c r="I1124" s="45">
        <v>735000</v>
      </c>
      <c r="J1124" s="45">
        <v>0</v>
      </c>
      <c r="K1124" s="45">
        <v>22000</v>
      </c>
      <c r="L1124" s="45">
        <v>0</v>
      </c>
      <c r="M1124" s="45">
        <v>0</v>
      </c>
      <c r="N1124" s="45">
        <v>0</v>
      </c>
      <c r="O1124" s="45">
        <v>0</v>
      </c>
      <c r="P1124" s="45">
        <v>0</v>
      </c>
      <c r="Q1124" s="45">
        <v>0</v>
      </c>
      <c r="R1124" s="45">
        <v>0</v>
      </c>
      <c r="S1124" s="45">
        <v>0</v>
      </c>
      <c r="T1124" s="45">
        <v>0</v>
      </c>
      <c r="U1124" s="45">
        <v>1397</v>
      </c>
      <c r="V1124" s="45">
        <v>0</v>
      </c>
      <c r="W1124" s="45">
        <v>0</v>
      </c>
      <c r="X1124" s="45">
        <v>0</v>
      </c>
      <c r="Y1124" s="45">
        <v>0</v>
      </c>
      <c r="Z1124" s="45">
        <v>0</v>
      </c>
      <c r="AA1124" s="45">
        <v>0</v>
      </c>
      <c r="AB1124" s="45">
        <v>0</v>
      </c>
      <c r="AC1124" s="45">
        <v>0</v>
      </c>
      <c r="AD1124" s="45">
        <v>0</v>
      </c>
      <c r="AE1124" s="45">
        <v>0</v>
      </c>
      <c r="AF1124" s="45">
        <v>0</v>
      </c>
      <c r="AG1124" s="45">
        <v>0</v>
      </c>
      <c r="AH1124" s="45">
        <v>0</v>
      </c>
      <c r="AI1124" s="45">
        <v>0</v>
      </c>
      <c r="AJ1124" s="45">
        <v>0</v>
      </c>
      <c r="AK1124" s="45">
        <v>0</v>
      </c>
      <c r="AL1124" s="45">
        <v>0</v>
      </c>
      <c r="AM1124" s="57" t="str">
        <f>I1124-J1124-K1124-L1124-M1124-N1124-O1124-P1124-Q1124-R1124-S1124-T1124-U1124-V1124-W1124-X1124-Y1124-Z1124-AA1124-AB1124-AC1124-AD1124-AE1124-AF1124-AG1124+AH1124-AI1124+AJ1124+AK1124-AL1124</f>
        <v>0</v>
      </c>
      <c r="AN1124" s="45"/>
    </row>
    <row r="1125" spans="1:41">
      <c r="A1125" s="45">
        <v>1097</v>
      </c>
      <c r="B1125" s="45" t="s">
        <v>4400</v>
      </c>
      <c r="C1125" s="49" t="s">
        <v>4401</v>
      </c>
      <c r="D1125" s="53" t="s">
        <v>73</v>
      </c>
      <c r="E1125" s="45" t="s">
        <v>4381</v>
      </c>
      <c r="F1125" s="45" t="s">
        <v>245</v>
      </c>
      <c r="G1125" s="45">
        <v>4</v>
      </c>
      <c r="H1125" s="53" t="s">
        <v>4402</v>
      </c>
      <c r="I1125" s="45">
        <v>650000</v>
      </c>
      <c r="J1125" s="45">
        <v>0</v>
      </c>
      <c r="K1125" s="45">
        <v>25000</v>
      </c>
      <c r="L1125" s="45">
        <v>0</v>
      </c>
      <c r="M1125" s="45">
        <v>0</v>
      </c>
      <c r="N1125" s="45">
        <v>0</v>
      </c>
      <c r="O1125" s="45">
        <v>0</v>
      </c>
      <c r="P1125" s="45">
        <v>0</v>
      </c>
      <c r="Q1125" s="45">
        <v>0</v>
      </c>
      <c r="R1125" s="45">
        <v>0</v>
      </c>
      <c r="S1125" s="45">
        <v>0</v>
      </c>
      <c r="T1125" s="45">
        <v>0</v>
      </c>
      <c r="U1125" s="45">
        <v>1587</v>
      </c>
      <c r="V1125" s="45">
        <v>0</v>
      </c>
      <c r="W1125" s="45">
        <v>0</v>
      </c>
      <c r="X1125" s="45">
        <v>0</v>
      </c>
      <c r="Y1125" s="45">
        <v>0</v>
      </c>
      <c r="Z1125" s="45">
        <v>0</v>
      </c>
      <c r="AA1125" s="45">
        <v>0</v>
      </c>
      <c r="AB1125" s="45">
        <v>0</v>
      </c>
      <c r="AC1125" s="45">
        <v>0</v>
      </c>
      <c r="AD1125" s="45">
        <v>0</v>
      </c>
      <c r="AE1125" s="45">
        <v>0</v>
      </c>
      <c r="AF1125" s="45">
        <v>0</v>
      </c>
      <c r="AG1125" s="45">
        <v>0</v>
      </c>
      <c r="AH1125" s="45">
        <v>0</v>
      </c>
      <c r="AI1125" s="45">
        <v>0</v>
      </c>
      <c r="AJ1125" s="45">
        <v>0</v>
      </c>
      <c r="AK1125" s="45">
        <v>0</v>
      </c>
      <c r="AL1125" s="45">
        <v>0</v>
      </c>
      <c r="AM1125" s="57" t="str">
        <f>I1125-J1125-K1125-L1125-M1125-N1125-O1125-P1125-Q1125-R1125-S1125-T1125-U1125-V1125-W1125-X1125-Y1125-Z1125-AA1125-AB1125-AC1125-AD1125-AE1125-AF1125-AG1125+AH1125-AI1125+AJ1125+AK1125-AL1125</f>
        <v>0</v>
      </c>
      <c r="AN1125" s="45"/>
    </row>
    <row r="1126" spans="1:41">
      <c r="A1126" s="45">
        <v>1098</v>
      </c>
      <c r="B1126" s="45" t="s">
        <v>4403</v>
      </c>
      <c r="C1126" s="49" t="s">
        <v>4404</v>
      </c>
      <c r="D1126" s="53" t="s">
        <v>73</v>
      </c>
      <c r="E1126" s="45" t="s">
        <v>4381</v>
      </c>
      <c r="F1126" s="45" t="s">
        <v>4405</v>
      </c>
      <c r="G1126" s="45">
        <v>3</v>
      </c>
      <c r="H1126" s="53" t="s">
        <v>4406</v>
      </c>
      <c r="I1126" s="45">
        <v>524000</v>
      </c>
      <c r="J1126" s="45">
        <v>0</v>
      </c>
      <c r="K1126" s="45">
        <v>22000</v>
      </c>
      <c r="L1126" s="45">
        <v>0</v>
      </c>
      <c r="M1126" s="45">
        <v>0</v>
      </c>
      <c r="N1126" s="45">
        <v>0</v>
      </c>
      <c r="O1126" s="45">
        <v>0</v>
      </c>
      <c r="P1126" s="45">
        <v>0</v>
      </c>
      <c r="Q1126" s="45">
        <v>0</v>
      </c>
      <c r="R1126" s="45">
        <v>0</v>
      </c>
      <c r="S1126" s="45">
        <v>0</v>
      </c>
      <c r="T1126" s="45">
        <v>0</v>
      </c>
      <c r="U1126" s="45">
        <v>1397</v>
      </c>
      <c r="V1126" s="45">
        <v>0</v>
      </c>
      <c r="W1126" s="45">
        <v>0</v>
      </c>
      <c r="X1126" s="45">
        <v>0</v>
      </c>
      <c r="Y1126" s="45">
        <v>0</v>
      </c>
      <c r="Z1126" s="45">
        <v>0</v>
      </c>
      <c r="AA1126" s="45">
        <v>0</v>
      </c>
      <c r="AB1126" s="45">
        <v>0</v>
      </c>
      <c r="AC1126" s="45">
        <v>0</v>
      </c>
      <c r="AD1126" s="45">
        <v>0</v>
      </c>
      <c r="AE1126" s="45">
        <v>0</v>
      </c>
      <c r="AF1126" s="45">
        <v>0</v>
      </c>
      <c r="AG1126" s="45">
        <v>0</v>
      </c>
      <c r="AH1126" s="45">
        <v>0</v>
      </c>
      <c r="AI1126" s="45">
        <v>0</v>
      </c>
      <c r="AJ1126" s="45">
        <v>0</v>
      </c>
      <c r="AK1126" s="45">
        <v>0</v>
      </c>
      <c r="AL1126" s="45">
        <v>0</v>
      </c>
      <c r="AM1126" s="57" t="str">
        <f>I1126-J1126-K1126-L1126-M1126-N1126-O1126-P1126-Q1126-R1126-S1126-T1126-U1126-V1126-W1126-X1126-Y1126-Z1126-AA1126-AB1126-AC1126-AD1126-AE1126-AF1126-AG1126+AH1126-AI1126+AJ1126+AK1126-AL1126</f>
        <v>0</v>
      </c>
      <c r="AN1126" s="45"/>
    </row>
    <row r="1127" spans="1:41">
      <c r="A1127" s="45">
        <v>1099</v>
      </c>
      <c r="B1127" s="45" t="s">
        <v>4407</v>
      </c>
      <c r="C1127" s="49" t="s">
        <v>4408</v>
      </c>
      <c r="D1127" s="53" t="s">
        <v>73</v>
      </c>
      <c r="E1127" s="45" t="s">
        <v>4381</v>
      </c>
      <c r="F1127" s="45" t="s">
        <v>4409</v>
      </c>
      <c r="G1127" s="45">
        <v>3</v>
      </c>
      <c r="H1127" s="53" t="s">
        <v>4410</v>
      </c>
      <c r="I1127" s="45">
        <v>810000</v>
      </c>
      <c r="J1127" s="45">
        <v>0</v>
      </c>
      <c r="K1127" s="45">
        <v>22000</v>
      </c>
      <c r="L1127" s="45">
        <v>0</v>
      </c>
      <c r="M1127" s="45">
        <v>0</v>
      </c>
      <c r="N1127" s="45">
        <v>0</v>
      </c>
      <c r="O1127" s="45">
        <v>0</v>
      </c>
      <c r="P1127" s="45">
        <v>0</v>
      </c>
      <c r="Q1127" s="45">
        <v>0</v>
      </c>
      <c r="R1127" s="45">
        <v>0</v>
      </c>
      <c r="S1127" s="45">
        <v>0</v>
      </c>
      <c r="T1127" s="45">
        <v>0</v>
      </c>
      <c r="U1127" s="45">
        <v>1397</v>
      </c>
      <c r="V1127" s="45">
        <v>0</v>
      </c>
      <c r="W1127" s="45">
        <v>0</v>
      </c>
      <c r="X1127" s="45">
        <v>0</v>
      </c>
      <c r="Y1127" s="45">
        <v>0</v>
      </c>
      <c r="Z1127" s="45">
        <v>0</v>
      </c>
      <c r="AA1127" s="45">
        <v>0</v>
      </c>
      <c r="AB1127" s="45">
        <v>0</v>
      </c>
      <c r="AC1127" s="45">
        <v>0</v>
      </c>
      <c r="AD1127" s="45">
        <v>0</v>
      </c>
      <c r="AE1127" s="45">
        <v>0</v>
      </c>
      <c r="AF1127" s="45">
        <v>0</v>
      </c>
      <c r="AG1127" s="45">
        <v>0</v>
      </c>
      <c r="AH1127" s="45">
        <v>0</v>
      </c>
      <c r="AI1127" s="45">
        <v>0</v>
      </c>
      <c r="AJ1127" s="45">
        <v>0</v>
      </c>
      <c r="AK1127" s="45">
        <v>0</v>
      </c>
      <c r="AL1127" s="45">
        <v>0</v>
      </c>
      <c r="AM1127" s="57" t="str">
        <f>I1127-J1127-K1127-L1127-M1127-N1127-O1127-P1127-Q1127-R1127-S1127-T1127-U1127-V1127-W1127-X1127-Y1127-Z1127-AA1127-AB1127-AC1127-AD1127-AE1127-AF1127-AG1127+AH1127-AI1127+AJ1127+AK1127-AL1127</f>
        <v>0</v>
      </c>
      <c r="AN1127" s="45"/>
    </row>
    <row r="1128" spans="1:41">
      <c r="A1128" s="45">
        <v>1100</v>
      </c>
      <c r="B1128" s="45" t="s">
        <v>4411</v>
      </c>
      <c r="C1128" s="49" t="s">
        <v>4412</v>
      </c>
      <c r="D1128" s="53" t="s">
        <v>73</v>
      </c>
      <c r="E1128" s="45" t="s">
        <v>4381</v>
      </c>
      <c r="F1128" s="45" t="s">
        <v>4413</v>
      </c>
      <c r="G1128" s="45">
        <v>11</v>
      </c>
      <c r="H1128" s="53" t="s">
        <v>4414</v>
      </c>
      <c r="I1128" s="45">
        <v>1349000</v>
      </c>
      <c r="J1128" s="45">
        <v>0</v>
      </c>
      <c r="K1128" s="45">
        <v>54000</v>
      </c>
      <c r="L1128" s="45">
        <v>0</v>
      </c>
      <c r="M1128" s="45">
        <v>0</v>
      </c>
      <c r="N1128" s="45">
        <v>0</v>
      </c>
      <c r="O1128" s="45">
        <v>0</v>
      </c>
      <c r="P1128" s="45">
        <v>0</v>
      </c>
      <c r="Q1128" s="45">
        <v>0</v>
      </c>
      <c r="R1128" s="45">
        <v>0</v>
      </c>
      <c r="S1128" s="45">
        <v>0</v>
      </c>
      <c r="T1128" s="45">
        <v>0</v>
      </c>
      <c r="U1128" s="45">
        <v>3429</v>
      </c>
      <c r="V1128" s="45">
        <v>0</v>
      </c>
      <c r="W1128" s="45">
        <v>0</v>
      </c>
      <c r="X1128" s="45">
        <v>0</v>
      </c>
      <c r="Y1128" s="45">
        <v>0</v>
      </c>
      <c r="Z1128" s="45">
        <v>0</v>
      </c>
      <c r="AA1128" s="45">
        <v>0</v>
      </c>
      <c r="AB1128" s="45">
        <v>0</v>
      </c>
      <c r="AC1128" s="45">
        <v>0</v>
      </c>
      <c r="AD1128" s="45">
        <v>0</v>
      </c>
      <c r="AE1128" s="45">
        <v>0</v>
      </c>
      <c r="AF1128" s="45">
        <v>0</v>
      </c>
      <c r="AG1128" s="45">
        <v>0</v>
      </c>
      <c r="AH1128" s="45">
        <v>0</v>
      </c>
      <c r="AI1128" s="45">
        <v>0</v>
      </c>
      <c r="AJ1128" s="45">
        <v>0</v>
      </c>
      <c r="AK1128" s="45">
        <v>0</v>
      </c>
      <c r="AL1128" s="45">
        <v>0</v>
      </c>
      <c r="AM1128" s="57" t="str">
        <f>I1128-J1128-K1128-L1128-M1128-N1128-O1128-P1128-Q1128-R1128-S1128-T1128-U1128-V1128-W1128-X1128-Y1128-Z1128-AA1128-AB1128-AC1128-AD1128-AE1128-AF1128-AG1128+AH1128-AI1128+AJ1128+AK1128-AL1128</f>
        <v>0</v>
      </c>
      <c r="AN1128" s="45"/>
    </row>
    <row r="1129" spans="1:41">
      <c r="A1129" s="45">
        <v>1101</v>
      </c>
      <c r="B1129" s="45" t="s">
        <v>4415</v>
      </c>
      <c r="C1129" s="49" t="s">
        <v>4416</v>
      </c>
      <c r="D1129" s="53" t="s">
        <v>73</v>
      </c>
      <c r="E1129" s="45" t="s">
        <v>4381</v>
      </c>
      <c r="F1129" s="45" t="s">
        <v>2368</v>
      </c>
      <c r="G1129" s="45">
        <v>3</v>
      </c>
      <c r="H1129" s="53" t="s">
        <v>4417</v>
      </c>
      <c r="I1129" s="45">
        <v>245000</v>
      </c>
      <c r="J1129" s="45">
        <v>0</v>
      </c>
      <c r="K1129" s="45">
        <v>22000</v>
      </c>
      <c r="L1129" s="45">
        <v>0</v>
      </c>
      <c r="M1129" s="45">
        <v>0</v>
      </c>
      <c r="N1129" s="45">
        <v>0</v>
      </c>
      <c r="O1129" s="45">
        <v>0</v>
      </c>
      <c r="P1129" s="45">
        <v>0</v>
      </c>
      <c r="Q1129" s="45">
        <v>0</v>
      </c>
      <c r="R1129" s="45">
        <v>0</v>
      </c>
      <c r="S1129" s="45">
        <v>0</v>
      </c>
      <c r="T1129" s="45">
        <v>0</v>
      </c>
      <c r="U1129" s="45">
        <v>1397</v>
      </c>
      <c r="V1129" s="45">
        <v>0</v>
      </c>
      <c r="W1129" s="45">
        <v>0</v>
      </c>
      <c r="X1129" s="45">
        <v>0</v>
      </c>
      <c r="Y1129" s="45">
        <v>0</v>
      </c>
      <c r="Z1129" s="45">
        <v>0</v>
      </c>
      <c r="AA1129" s="45">
        <v>0</v>
      </c>
      <c r="AB1129" s="45">
        <v>0</v>
      </c>
      <c r="AC1129" s="45">
        <v>0</v>
      </c>
      <c r="AD1129" s="45">
        <v>0</v>
      </c>
      <c r="AE1129" s="45">
        <v>0</v>
      </c>
      <c r="AF1129" s="45">
        <v>0</v>
      </c>
      <c r="AG1129" s="45">
        <v>0</v>
      </c>
      <c r="AH1129" s="45">
        <v>0</v>
      </c>
      <c r="AI1129" s="45">
        <v>0</v>
      </c>
      <c r="AJ1129" s="45">
        <v>0</v>
      </c>
      <c r="AK1129" s="45">
        <v>0</v>
      </c>
      <c r="AL1129" s="45">
        <v>0</v>
      </c>
      <c r="AM1129" s="57" t="str">
        <f>I1129-J1129-K1129-L1129-M1129-N1129-O1129-P1129-Q1129-R1129-S1129-T1129-U1129-V1129-W1129-X1129-Y1129-Z1129-AA1129-AB1129-AC1129-AD1129-AE1129-AF1129-AG1129+AH1129-AI1129+AJ1129+AK1129-AL1129</f>
        <v>0</v>
      </c>
      <c r="AN1129" s="45"/>
    </row>
    <row r="1130" spans="1:41">
      <c r="A1130" s="45">
        <v>1102</v>
      </c>
      <c r="B1130" s="45" t="s">
        <v>4418</v>
      </c>
      <c r="C1130" s="49" t="s">
        <v>4419</v>
      </c>
      <c r="D1130" s="53" t="s">
        <v>73</v>
      </c>
      <c r="E1130" s="45" t="s">
        <v>4381</v>
      </c>
      <c r="F1130" s="45" t="s">
        <v>2193</v>
      </c>
      <c r="G1130" s="45">
        <v>3</v>
      </c>
      <c r="H1130" s="53" t="s">
        <v>4420</v>
      </c>
      <c r="I1130" s="45">
        <v>660000</v>
      </c>
      <c r="J1130" s="45">
        <v>0</v>
      </c>
      <c r="K1130" s="45">
        <v>22000</v>
      </c>
      <c r="L1130" s="45">
        <v>0</v>
      </c>
      <c r="M1130" s="45">
        <v>0</v>
      </c>
      <c r="N1130" s="45">
        <v>0</v>
      </c>
      <c r="O1130" s="45">
        <v>0</v>
      </c>
      <c r="P1130" s="45">
        <v>0</v>
      </c>
      <c r="Q1130" s="45">
        <v>0</v>
      </c>
      <c r="R1130" s="45">
        <v>0</v>
      </c>
      <c r="S1130" s="45">
        <v>0</v>
      </c>
      <c r="T1130" s="45">
        <v>0</v>
      </c>
      <c r="U1130" s="45">
        <v>1397</v>
      </c>
      <c r="V1130" s="45">
        <v>0</v>
      </c>
      <c r="W1130" s="45">
        <v>0</v>
      </c>
      <c r="X1130" s="45">
        <v>0</v>
      </c>
      <c r="Y1130" s="45">
        <v>0</v>
      </c>
      <c r="Z1130" s="45">
        <v>0</v>
      </c>
      <c r="AA1130" s="45">
        <v>0</v>
      </c>
      <c r="AB1130" s="45">
        <v>0</v>
      </c>
      <c r="AC1130" s="45">
        <v>0</v>
      </c>
      <c r="AD1130" s="45">
        <v>0</v>
      </c>
      <c r="AE1130" s="45">
        <v>0</v>
      </c>
      <c r="AF1130" s="45">
        <v>0</v>
      </c>
      <c r="AG1130" s="45">
        <v>0</v>
      </c>
      <c r="AH1130" s="45">
        <v>0</v>
      </c>
      <c r="AI1130" s="45">
        <v>0</v>
      </c>
      <c r="AJ1130" s="45">
        <v>0</v>
      </c>
      <c r="AK1130" s="45">
        <v>0</v>
      </c>
      <c r="AL1130" s="45">
        <v>0</v>
      </c>
      <c r="AM1130" s="57" t="str">
        <f>I1130-J1130-K1130-L1130-M1130-N1130-O1130-P1130-Q1130-R1130-S1130-T1130-U1130-V1130-W1130-X1130-Y1130-Z1130-AA1130-AB1130-AC1130-AD1130-AE1130-AF1130-AG1130+AH1130-AI1130+AJ1130+AK1130-AL1130</f>
        <v>0</v>
      </c>
      <c r="AN1130" s="45"/>
    </row>
    <row r="1131" spans="1:41">
      <c r="A1131" s="45">
        <v>1103</v>
      </c>
      <c r="B1131" s="45" t="s">
        <v>4421</v>
      </c>
      <c r="C1131" s="49" t="s">
        <v>4422</v>
      </c>
      <c r="D1131" s="53" t="s">
        <v>73</v>
      </c>
      <c r="E1131" s="45" t="s">
        <v>4381</v>
      </c>
      <c r="F1131" s="45" t="s">
        <v>1911</v>
      </c>
      <c r="G1131" s="45">
        <v>2</v>
      </c>
      <c r="H1131" s="53" t="s">
        <v>4423</v>
      </c>
      <c r="I1131" s="45">
        <v>134000</v>
      </c>
      <c r="J1131" s="45">
        <v>0</v>
      </c>
      <c r="K1131" s="45">
        <v>22000</v>
      </c>
      <c r="L1131" s="45">
        <v>0</v>
      </c>
      <c r="M1131" s="45">
        <v>0</v>
      </c>
      <c r="N1131" s="45">
        <v>0</v>
      </c>
      <c r="O1131" s="45">
        <v>0</v>
      </c>
      <c r="P1131" s="45">
        <v>0</v>
      </c>
      <c r="Q1131" s="45">
        <v>0</v>
      </c>
      <c r="R1131" s="45">
        <v>0</v>
      </c>
      <c r="S1131" s="45">
        <v>0</v>
      </c>
      <c r="T1131" s="45">
        <v>0</v>
      </c>
      <c r="U1131" s="45">
        <v>1397</v>
      </c>
      <c r="V1131" s="45">
        <v>0</v>
      </c>
      <c r="W1131" s="45">
        <v>0</v>
      </c>
      <c r="X1131" s="45">
        <v>0</v>
      </c>
      <c r="Y1131" s="45">
        <v>0</v>
      </c>
      <c r="Z1131" s="45">
        <v>0</v>
      </c>
      <c r="AA1131" s="45">
        <v>0</v>
      </c>
      <c r="AB1131" s="45">
        <v>0</v>
      </c>
      <c r="AC1131" s="45">
        <v>0</v>
      </c>
      <c r="AD1131" s="45">
        <v>0</v>
      </c>
      <c r="AE1131" s="45">
        <v>0</v>
      </c>
      <c r="AF1131" s="45">
        <v>0</v>
      </c>
      <c r="AG1131" s="45">
        <v>0</v>
      </c>
      <c r="AH1131" s="45">
        <v>0</v>
      </c>
      <c r="AI1131" s="45">
        <v>0</v>
      </c>
      <c r="AJ1131" s="45">
        <v>0</v>
      </c>
      <c r="AK1131" s="45">
        <v>0</v>
      </c>
      <c r="AL1131" s="45">
        <v>0</v>
      </c>
      <c r="AM1131" s="57" t="str">
        <f>I1131-J1131-K1131-L1131-M1131-N1131-O1131-P1131-Q1131-R1131-S1131-T1131-U1131-V1131-W1131-X1131-Y1131-Z1131-AA1131-AB1131-AC1131-AD1131-AE1131-AF1131-AG1131+AH1131-AI1131+AJ1131+AK1131-AL1131</f>
        <v>0</v>
      </c>
      <c r="AN1131" s="45"/>
    </row>
    <row r="1132" spans="1:41">
      <c r="A1132" s="45">
        <v>1104</v>
      </c>
      <c r="B1132" s="45" t="s">
        <v>4424</v>
      </c>
      <c r="C1132" s="49" t="s">
        <v>4425</v>
      </c>
      <c r="D1132" s="53" t="s">
        <v>73</v>
      </c>
      <c r="E1132" s="45" t="s">
        <v>4381</v>
      </c>
      <c r="F1132" s="45" t="s">
        <v>3747</v>
      </c>
      <c r="G1132" s="45">
        <v>3</v>
      </c>
      <c r="H1132" s="53" t="s">
        <v>4426</v>
      </c>
      <c r="I1132" s="45">
        <v>835000</v>
      </c>
      <c r="J1132" s="45">
        <v>0</v>
      </c>
      <c r="K1132" s="45">
        <v>22000</v>
      </c>
      <c r="L1132" s="45">
        <v>0</v>
      </c>
      <c r="M1132" s="45">
        <v>0</v>
      </c>
      <c r="N1132" s="45">
        <v>0</v>
      </c>
      <c r="O1132" s="45">
        <v>0</v>
      </c>
      <c r="P1132" s="45">
        <v>0</v>
      </c>
      <c r="Q1132" s="45">
        <v>0</v>
      </c>
      <c r="R1132" s="45">
        <v>0</v>
      </c>
      <c r="S1132" s="45">
        <v>0</v>
      </c>
      <c r="T1132" s="45">
        <v>0</v>
      </c>
      <c r="U1132" s="45">
        <v>1397</v>
      </c>
      <c r="V1132" s="45">
        <v>0</v>
      </c>
      <c r="W1132" s="45">
        <v>0</v>
      </c>
      <c r="X1132" s="45">
        <v>0</v>
      </c>
      <c r="Y1132" s="45">
        <v>0</v>
      </c>
      <c r="Z1132" s="45">
        <v>0</v>
      </c>
      <c r="AA1132" s="45">
        <v>0</v>
      </c>
      <c r="AB1132" s="45">
        <v>0</v>
      </c>
      <c r="AC1132" s="45">
        <v>0</v>
      </c>
      <c r="AD1132" s="45">
        <v>0</v>
      </c>
      <c r="AE1132" s="45">
        <v>0</v>
      </c>
      <c r="AF1132" s="45">
        <v>0</v>
      </c>
      <c r="AG1132" s="45">
        <v>0</v>
      </c>
      <c r="AH1132" s="45">
        <v>0</v>
      </c>
      <c r="AI1132" s="45">
        <v>0</v>
      </c>
      <c r="AJ1132" s="45">
        <v>0</v>
      </c>
      <c r="AK1132" s="45">
        <v>0</v>
      </c>
      <c r="AL1132" s="45">
        <v>0</v>
      </c>
      <c r="AM1132" s="57" t="str">
        <f>I1132-J1132-K1132-L1132-M1132-N1132-O1132-P1132-Q1132-R1132-S1132-T1132-U1132-V1132-W1132-X1132-Y1132-Z1132-AA1132-AB1132-AC1132-AD1132-AE1132-AF1132-AG1132+AH1132-AI1132+AJ1132+AK1132-AL1132</f>
        <v>0</v>
      </c>
      <c r="AN1132" s="45"/>
    </row>
    <row r="1133" spans="1:41">
      <c r="A1133" s="45">
        <v>1105</v>
      </c>
      <c r="B1133" s="45" t="s">
        <v>4427</v>
      </c>
      <c r="C1133" s="49" t="s">
        <v>4428</v>
      </c>
      <c r="D1133" s="53" t="s">
        <v>73</v>
      </c>
      <c r="E1133" s="45" t="s">
        <v>4381</v>
      </c>
      <c r="F1133" s="45" t="s">
        <v>1915</v>
      </c>
      <c r="G1133" s="45">
        <v>2</v>
      </c>
      <c r="H1133" s="53" t="s">
        <v>4429</v>
      </c>
      <c r="I1133" s="45">
        <v>404000</v>
      </c>
      <c r="J1133" s="45">
        <v>0</v>
      </c>
      <c r="K1133" s="45">
        <v>22000</v>
      </c>
      <c r="L1133" s="45">
        <v>0</v>
      </c>
      <c r="M1133" s="45">
        <v>0</v>
      </c>
      <c r="N1133" s="45">
        <v>0</v>
      </c>
      <c r="O1133" s="45">
        <v>0</v>
      </c>
      <c r="P1133" s="45">
        <v>0</v>
      </c>
      <c r="Q1133" s="45">
        <v>0</v>
      </c>
      <c r="R1133" s="45">
        <v>0</v>
      </c>
      <c r="S1133" s="45">
        <v>0</v>
      </c>
      <c r="T1133" s="45">
        <v>0</v>
      </c>
      <c r="U1133" s="45">
        <v>1397</v>
      </c>
      <c r="V1133" s="45">
        <v>0</v>
      </c>
      <c r="W1133" s="45">
        <v>0</v>
      </c>
      <c r="X1133" s="45">
        <v>0</v>
      </c>
      <c r="Y1133" s="45">
        <v>0</v>
      </c>
      <c r="Z1133" s="45">
        <v>0</v>
      </c>
      <c r="AA1133" s="45">
        <v>0</v>
      </c>
      <c r="AB1133" s="45">
        <v>0</v>
      </c>
      <c r="AC1133" s="45">
        <v>0</v>
      </c>
      <c r="AD1133" s="45">
        <v>0</v>
      </c>
      <c r="AE1133" s="45">
        <v>0</v>
      </c>
      <c r="AF1133" s="45">
        <v>0</v>
      </c>
      <c r="AG1133" s="45">
        <v>0</v>
      </c>
      <c r="AH1133" s="45">
        <v>0</v>
      </c>
      <c r="AI1133" s="45">
        <v>0</v>
      </c>
      <c r="AJ1133" s="45">
        <v>0</v>
      </c>
      <c r="AK1133" s="45">
        <v>0</v>
      </c>
      <c r="AL1133" s="45">
        <v>0</v>
      </c>
      <c r="AM1133" s="57" t="str">
        <f>I1133-J1133-K1133-L1133-M1133-N1133-O1133-P1133-Q1133-R1133-S1133-T1133-U1133-V1133-W1133-X1133-Y1133-Z1133-AA1133-AB1133-AC1133-AD1133-AE1133-AF1133-AG1133+AH1133-AI1133+AJ1133+AK1133-AL1133</f>
        <v>0</v>
      </c>
      <c r="AN1133" s="45"/>
    </row>
    <row r="1134" spans="1:41">
      <c r="A1134" s="45">
        <v>1106</v>
      </c>
      <c r="B1134" s="45" t="s">
        <v>4430</v>
      </c>
      <c r="C1134" s="49" t="s">
        <v>4431</v>
      </c>
      <c r="D1134" s="53" t="s">
        <v>73</v>
      </c>
      <c r="E1134" s="45" t="s">
        <v>4381</v>
      </c>
      <c r="F1134" s="45" t="s">
        <v>4432</v>
      </c>
      <c r="G1134" s="45">
        <v>2</v>
      </c>
      <c r="H1134" s="53" t="s">
        <v>4433</v>
      </c>
      <c r="I1134" s="45">
        <v>144000</v>
      </c>
      <c r="J1134" s="45">
        <v>0</v>
      </c>
      <c r="K1134" s="45">
        <v>22000</v>
      </c>
      <c r="L1134" s="45">
        <v>0</v>
      </c>
      <c r="M1134" s="45">
        <v>0</v>
      </c>
      <c r="N1134" s="45">
        <v>0</v>
      </c>
      <c r="O1134" s="45">
        <v>0</v>
      </c>
      <c r="P1134" s="45">
        <v>0</v>
      </c>
      <c r="Q1134" s="45">
        <v>0</v>
      </c>
      <c r="R1134" s="45">
        <v>0</v>
      </c>
      <c r="S1134" s="45">
        <v>0</v>
      </c>
      <c r="T1134" s="45">
        <v>0</v>
      </c>
      <c r="U1134" s="45">
        <v>1397</v>
      </c>
      <c r="V1134" s="45">
        <v>0</v>
      </c>
      <c r="W1134" s="45">
        <v>0</v>
      </c>
      <c r="X1134" s="45">
        <v>0</v>
      </c>
      <c r="Y1134" s="45">
        <v>0</v>
      </c>
      <c r="Z1134" s="45">
        <v>0</v>
      </c>
      <c r="AA1134" s="45">
        <v>0</v>
      </c>
      <c r="AB1134" s="45">
        <v>0</v>
      </c>
      <c r="AC1134" s="45">
        <v>0</v>
      </c>
      <c r="AD1134" s="45">
        <v>0</v>
      </c>
      <c r="AE1134" s="45">
        <v>0</v>
      </c>
      <c r="AF1134" s="45">
        <v>0</v>
      </c>
      <c r="AG1134" s="45">
        <v>0</v>
      </c>
      <c r="AH1134" s="45">
        <v>0</v>
      </c>
      <c r="AI1134" s="45">
        <v>0</v>
      </c>
      <c r="AJ1134" s="45">
        <v>0</v>
      </c>
      <c r="AK1134" s="45">
        <v>0</v>
      </c>
      <c r="AL1134" s="45">
        <v>0</v>
      </c>
      <c r="AM1134" s="57" t="str">
        <f>I1134-J1134-K1134-L1134-M1134-N1134-O1134-P1134-Q1134-R1134-S1134-T1134-U1134-V1134-W1134-X1134-Y1134-Z1134-AA1134-AB1134-AC1134-AD1134-AE1134-AF1134-AG1134+AH1134-AI1134+AJ1134+AK1134-AL1134</f>
        <v>0</v>
      </c>
      <c r="AN1134" s="45"/>
    </row>
    <row r="1135" spans="1:41">
      <c r="A1135" s="45">
        <v>1107</v>
      </c>
      <c r="B1135" s="45" t="s">
        <v>4434</v>
      </c>
      <c r="C1135" s="49" t="s">
        <v>4435</v>
      </c>
      <c r="D1135" s="53" t="s">
        <v>73</v>
      </c>
      <c r="E1135" s="45" t="s">
        <v>4381</v>
      </c>
      <c r="F1135" s="45" t="s">
        <v>4436</v>
      </c>
      <c r="G1135" s="45">
        <v>2</v>
      </c>
      <c r="H1135" s="53" t="s">
        <v>4437</v>
      </c>
      <c r="I1135" s="45">
        <v>264000</v>
      </c>
      <c r="J1135" s="45">
        <v>0</v>
      </c>
      <c r="K1135" s="45">
        <v>22000</v>
      </c>
      <c r="L1135" s="45">
        <v>0</v>
      </c>
      <c r="M1135" s="45">
        <v>0</v>
      </c>
      <c r="N1135" s="45">
        <v>0</v>
      </c>
      <c r="O1135" s="45">
        <v>0</v>
      </c>
      <c r="P1135" s="45">
        <v>0</v>
      </c>
      <c r="Q1135" s="45">
        <v>0</v>
      </c>
      <c r="R1135" s="45">
        <v>0</v>
      </c>
      <c r="S1135" s="45">
        <v>0</v>
      </c>
      <c r="T1135" s="45">
        <v>0</v>
      </c>
      <c r="U1135" s="45">
        <v>1397</v>
      </c>
      <c r="V1135" s="45">
        <v>0</v>
      </c>
      <c r="W1135" s="45">
        <v>0</v>
      </c>
      <c r="X1135" s="45">
        <v>0</v>
      </c>
      <c r="Y1135" s="45">
        <v>0</v>
      </c>
      <c r="Z1135" s="45">
        <v>0</v>
      </c>
      <c r="AA1135" s="45">
        <v>0</v>
      </c>
      <c r="AB1135" s="45">
        <v>0</v>
      </c>
      <c r="AC1135" s="45">
        <v>0</v>
      </c>
      <c r="AD1135" s="45">
        <v>0</v>
      </c>
      <c r="AE1135" s="45">
        <v>0</v>
      </c>
      <c r="AF1135" s="45">
        <v>0</v>
      </c>
      <c r="AG1135" s="45">
        <v>0</v>
      </c>
      <c r="AH1135" s="45">
        <v>0</v>
      </c>
      <c r="AI1135" s="45">
        <v>0</v>
      </c>
      <c r="AJ1135" s="45">
        <v>0</v>
      </c>
      <c r="AK1135" s="45">
        <v>0</v>
      </c>
      <c r="AL1135" s="45">
        <v>0</v>
      </c>
      <c r="AM1135" s="57" t="str">
        <f>I1135-J1135-K1135-L1135-M1135-N1135-O1135-P1135-Q1135-R1135-S1135-T1135-U1135-V1135-W1135-X1135-Y1135-Z1135-AA1135-AB1135-AC1135-AD1135-AE1135-AF1135-AG1135+AH1135-AI1135+AJ1135+AK1135-AL1135</f>
        <v>0</v>
      </c>
      <c r="AN1135" s="45"/>
    </row>
    <row r="1136" spans="1:41">
      <c r="A1136" s="45">
        <v>1108</v>
      </c>
      <c r="B1136" s="45" t="s">
        <v>4438</v>
      </c>
      <c r="C1136" s="49" t="s">
        <v>4439</v>
      </c>
      <c r="D1136" s="53" t="s">
        <v>73</v>
      </c>
      <c r="E1136" s="45" t="s">
        <v>4381</v>
      </c>
      <c r="F1136" s="45" t="s">
        <v>1300</v>
      </c>
      <c r="G1136" s="45">
        <v>9</v>
      </c>
      <c r="H1136" s="53" t="s">
        <v>4440</v>
      </c>
      <c r="I1136" s="45">
        <v>1799000</v>
      </c>
      <c r="J1136" s="45">
        <v>0</v>
      </c>
      <c r="K1136" s="45">
        <v>44000</v>
      </c>
      <c r="L1136" s="45">
        <v>0</v>
      </c>
      <c r="M1136" s="45">
        <v>0</v>
      </c>
      <c r="N1136" s="45">
        <v>0</v>
      </c>
      <c r="O1136" s="45">
        <v>0</v>
      </c>
      <c r="P1136" s="45">
        <v>0</v>
      </c>
      <c r="Q1136" s="45">
        <v>0</v>
      </c>
      <c r="R1136" s="45">
        <v>0</v>
      </c>
      <c r="S1136" s="45">
        <v>0</v>
      </c>
      <c r="T1136" s="45">
        <v>0</v>
      </c>
      <c r="U1136" s="45">
        <v>2794</v>
      </c>
      <c r="V1136" s="45">
        <v>0</v>
      </c>
      <c r="W1136" s="45">
        <v>0</v>
      </c>
      <c r="X1136" s="45">
        <v>0</v>
      </c>
      <c r="Y1136" s="45">
        <v>0</v>
      </c>
      <c r="Z1136" s="45">
        <v>0</v>
      </c>
      <c r="AA1136" s="45">
        <v>0</v>
      </c>
      <c r="AB1136" s="45">
        <v>0</v>
      </c>
      <c r="AC1136" s="45">
        <v>0</v>
      </c>
      <c r="AD1136" s="45">
        <v>0</v>
      </c>
      <c r="AE1136" s="45">
        <v>0</v>
      </c>
      <c r="AF1136" s="45">
        <v>0</v>
      </c>
      <c r="AG1136" s="45">
        <v>0</v>
      </c>
      <c r="AH1136" s="45">
        <v>0</v>
      </c>
      <c r="AI1136" s="45">
        <v>0</v>
      </c>
      <c r="AJ1136" s="45">
        <v>0</v>
      </c>
      <c r="AK1136" s="45">
        <v>0</v>
      </c>
      <c r="AL1136" s="45">
        <v>0</v>
      </c>
      <c r="AM1136" s="57" t="str">
        <f>I1136-J1136-K1136-L1136-M1136-N1136-O1136-P1136-Q1136-R1136-S1136-T1136-U1136-V1136-W1136-X1136-Y1136-Z1136-AA1136-AB1136-AC1136-AD1136-AE1136-AF1136-AG1136+AH1136-AI1136+AJ1136+AK1136-AL1136</f>
        <v>0</v>
      </c>
      <c r="AN1136" s="45"/>
    </row>
    <row r="1137" spans="1:41">
      <c r="A1137" s="45">
        <v>1109</v>
      </c>
      <c r="B1137" s="45" t="s">
        <v>4441</v>
      </c>
      <c r="C1137" s="49" t="s">
        <v>4442</v>
      </c>
      <c r="D1137" s="53" t="s">
        <v>73</v>
      </c>
      <c r="E1137" s="45" t="s">
        <v>4381</v>
      </c>
      <c r="F1137" s="45" t="s">
        <v>4327</v>
      </c>
      <c r="G1137" s="45">
        <v>2</v>
      </c>
      <c r="H1137" s="53" t="s">
        <v>4443</v>
      </c>
      <c r="I1137" s="45">
        <v>425000</v>
      </c>
      <c r="J1137" s="45">
        <v>0</v>
      </c>
      <c r="K1137" s="45">
        <v>22000</v>
      </c>
      <c r="L1137" s="45">
        <v>0</v>
      </c>
      <c r="M1137" s="45">
        <v>0</v>
      </c>
      <c r="N1137" s="45">
        <v>0</v>
      </c>
      <c r="O1137" s="45">
        <v>0</v>
      </c>
      <c r="P1137" s="45">
        <v>0</v>
      </c>
      <c r="Q1137" s="45">
        <v>0</v>
      </c>
      <c r="R1137" s="45">
        <v>0</v>
      </c>
      <c r="S1137" s="45">
        <v>0</v>
      </c>
      <c r="T1137" s="45">
        <v>0</v>
      </c>
      <c r="U1137" s="45">
        <v>1397</v>
      </c>
      <c r="V1137" s="45">
        <v>0</v>
      </c>
      <c r="W1137" s="45">
        <v>0</v>
      </c>
      <c r="X1137" s="45">
        <v>0</v>
      </c>
      <c r="Y1137" s="45">
        <v>0</v>
      </c>
      <c r="Z1137" s="45">
        <v>0</v>
      </c>
      <c r="AA1137" s="45">
        <v>0</v>
      </c>
      <c r="AB1137" s="45">
        <v>0</v>
      </c>
      <c r="AC1137" s="45">
        <v>0</v>
      </c>
      <c r="AD1137" s="45">
        <v>0</v>
      </c>
      <c r="AE1137" s="45">
        <v>0</v>
      </c>
      <c r="AF1137" s="45">
        <v>0</v>
      </c>
      <c r="AG1137" s="45">
        <v>0</v>
      </c>
      <c r="AH1137" s="45">
        <v>0</v>
      </c>
      <c r="AI1137" s="45">
        <v>0</v>
      </c>
      <c r="AJ1137" s="45">
        <v>0</v>
      </c>
      <c r="AK1137" s="45">
        <v>0</v>
      </c>
      <c r="AL1137" s="45">
        <v>0</v>
      </c>
      <c r="AM1137" s="57" t="str">
        <f>I1137-J1137-K1137-L1137-M1137-N1137-O1137-P1137-Q1137-R1137-S1137-T1137-U1137-V1137-W1137-X1137-Y1137-Z1137-AA1137-AB1137-AC1137-AD1137-AE1137-AF1137-AG1137+AH1137-AI1137+AJ1137+AK1137-AL1137</f>
        <v>0</v>
      </c>
      <c r="AN1137" s="45"/>
    </row>
    <row r="1138" spans="1:41">
      <c r="A1138" s="45">
        <v>1110</v>
      </c>
      <c r="B1138" s="45" t="s">
        <v>4444</v>
      </c>
      <c r="C1138" s="49" t="s">
        <v>4445</v>
      </c>
      <c r="D1138" s="53" t="s">
        <v>73</v>
      </c>
      <c r="E1138" s="45" t="s">
        <v>4381</v>
      </c>
      <c r="F1138" s="45" t="s">
        <v>4446</v>
      </c>
      <c r="G1138" s="45">
        <v>3</v>
      </c>
      <c r="H1138" s="53" t="s">
        <v>4447</v>
      </c>
      <c r="I1138" s="45">
        <v>250000</v>
      </c>
      <c r="J1138" s="45">
        <v>0</v>
      </c>
      <c r="K1138" s="45">
        <v>22000</v>
      </c>
      <c r="L1138" s="45">
        <v>0</v>
      </c>
      <c r="M1138" s="45">
        <v>0</v>
      </c>
      <c r="N1138" s="45">
        <v>0</v>
      </c>
      <c r="O1138" s="45">
        <v>0</v>
      </c>
      <c r="P1138" s="45">
        <v>0</v>
      </c>
      <c r="Q1138" s="45">
        <v>0</v>
      </c>
      <c r="R1138" s="45">
        <v>0</v>
      </c>
      <c r="S1138" s="45">
        <v>0</v>
      </c>
      <c r="T1138" s="45">
        <v>0</v>
      </c>
      <c r="U1138" s="45">
        <v>1397</v>
      </c>
      <c r="V1138" s="45">
        <v>0</v>
      </c>
      <c r="W1138" s="45">
        <v>0</v>
      </c>
      <c r="X1138" s="45">
        <v>0</v>
      </c>
      <c r="Y1138" s="45">
        <v>0</v>
      </c>
      <c r="Z1138" s="45">
        <v>0</v>
      </c>
      <c r="AA1138" s="45">
        <v>0</v>
      </c>
      <c r="AB1138" s="45">
        <v>0</v>
      </c>
      <c r="AC1138" s="45">
        <v>0</v>
      </c>
      <c r="AD1138" s="45">
        <v>0</v>
      </c>
      <c r="AE1138" s="45">
        <v>0</v>
      </c>
      <c r="AF1138" s="45">
        <v>0</v>
      </c>
      <c r="AG1138" s="45">
        <v>0</v>
      </c>
      <c r="AH1138" s="45">
        <v>0</v>
      </c>
      <c r="AI1138" s="45">
        <v>0</v>
      </c>
      <c r="AJ1138" s="45">
        <v>0</v>
      </c>
      <c r="AK1138" s="45">
        <v>0</v>
      </c>
      <c r="AL1138" s="45">
        <v>0</v>
      </c>
      <c r="AM1138" s="57" t="str">
        <f>I1138-J1138-K1138-L1138-M1138-N1138-O1138-P1138-Q1138-R1138-S1138-T1138-U1138-V1138-W1138-X1138-Y1138-Z1138-AA1138-AB1138-AC1138-AD1138-AE1138-AF1138-AG1138+AH1138-AI1138+AJ1138+AK1138-AL1138</f>
        <v>0</v>
      </c>
      <c r="AN1138" s="45"/>
    </row>
    <row r="1139" spans="1:41">
      <c r="A1139" s="45">
        <v>1111</v>
      </c>
      <c r="B1139" s="45" t="s">
        <v>4448</v>
      </c>
      <c r="C1139" s="49" t="s">
        <v>4449</v>
      </c>
      <c r="D1139" s="53" t="s">
        <v>73</v>
      </c>
      <c r="E1139" s="45" t="s">
        <v>4381</v>
      </c>
      <c r="F1139" s="45" t="s">
        <v>433</v>
      </c>
      <c r="G1139" s="45">
        <v>6</v>
      </c>
      <c r="H1139" s="53" t="s">
        <v>4450</v>
      </c>
      <c r="I1139" s="45">
        <v>525000</v>
      </c>
      <c r="J1139" s="45">
        <v>0</v>
      </c>
      <c r="K1139" s="45">
        <v>31000</v>
      </c>
      <c r="L1139" s="45">
        <v>0</v>
      </c>
      <c r="M1139" s="45">
        <v>0</v>
      </c>
      <c r="N1139" s="45">
        <v>0</v>
      </c>
      <c r="O1139" s="45">
        <v>0</v>
      </c>
      <c r="P1139" s="45">
        <v>0</v>
      </c>
      <c r="Q1139" s="45">
        <v>0</v>
      </c>
      <c r="R1139" s="45">
        <v>0</v>
      </c>
      <c r="S1139" s="45">
        <v>0</v>
      </c>
      <c r="T1139" s="45">
        <v>0</v>
      </c>
      <c r="U1139" s="45">
        <v>1968</v>
      </c>
      <c r="V1139" s="45">
        <v>0</v>
      </c>
      <c r="W1139" s="45">
        <v>0</v>
      </c>
      <c r="X1139" s="45">
        <v>0</v>
      </c>
      <c r="Y1139" s="45">
        <v>0</v>
      </c>
      <c r="Z1139" s="45">
        <v>0</v>
      </c>
      <c r="AA1139" s="45">
        <v>0</v>
      </c>
      <c r="AB1139" s="45">
        <v>0</v>
      </c>
      <c r="AC1139" s="45">
        <v>0</v>
      </c>
      <c r="AD1139" s="45">
        <v>0</v>
      </c>
      <c r="AE1139" s="45">
        <v>0</v>
      </c>
      <c r="AF1139" s="45">
        <v>0</v>
      </c>
      <c r="AG1139" s="45">
        <v>0</v>
      </c>
      <c r="AH1139" s="45">
        <v>0</v>
      </c>
      <c r="AI1139" s="45">
        <v>0</v>
      </c>
      <c r="AJ1139" s="45">
        <v>0</v>
      </c>
      <c r="AK1139" s="45">
        <v>0</v>
      </c>
      <c r="AL1139" s="45">
        <v>0</v>
      </c>
      <c r="AM1139" s="57" t="str">
        <f>I1139-J1139-K1139-L1139-M1139-N1139-O1139-P1139-Q1139-R1139-S1139-T1139-U1139-V1139-W1139-X1139-Y1139-Z1139-AA1139-AB1139-AC1139-AD1139-AE1139-AF1139-AG1139+AH1139-AI1139+AJ1139+AK1139-AL1139</f>
        <v>0</v>
      </c>
      <c r="AN1139" s="45"/>
    </row>
    <row r="1140" spans="1:41">
      <c r="A1140" s="45">
        <v>1112</v>
      </c>
      <c r="B1140" s="45" t="s">
        <v>4451</v>
      </c>
      <c r="C1140" s="49" t="s">
        <v>4452</v>
      </c>
      <c r="D1140" s="53" t="s">
        <v>73</v>
      </c>
      <c r="E1140" s="45" t="s">
        <v>4381</v>
      </c>
      <c r="F1140" s="45" t="s">
        <v>4453</v>
      </c>
      <c r="G1140" s="45">
        <v>2</v>
      </c>
      <c r="H1140" s="53" t="s">
        <v>4454</v>
      </c>
      <c r="I1140" s="45">
        <v>194000</v>
      </c>
      <c r="J1140" s="45">
        <v>0</v>
      </c>
      <c r="K1140" s="45">
        <v>22000</v>
      </c>
      <c r="L1140" s="45">
        <v>0</v>
      </c>
      <c r="M1140" s="45">
        <v>0</v>
      </c>
      <c r="N1140" s="45">
        <v>0</v>
      </c>
      <c r="O1140" s="45">
        <v>0</v>
      </c>
      <c r="P1140" s="45">
        <v>0</v>
      </c>
      <c r="Q1140" s="45">
        <v>0</v>
      </c>
      <c r="R1140" s="45">
        <v>0</v>
      </c>
      <c r="S1140" s="45">
        <v>0</v>
      </c>
      <c r="T1140" s="45">
        <v>0</v>
      </c>
      <c r="U1140" s="45">
        <v>1397</v>
      </c>
      <c r="V1140" s="45">
        <v>0</v>
      </c>
      <c r="W1140" s="45">
        <v>0</v>
      </c>
      <c r="X1140" s="45">
        <v>0</v>
      </c>
      <c r="Y1140" s="45">
        <v>0</v>
      </c>
      <c r="Z1140" s="45">
        <v>0</v>
      </c>
      <c r="AA1140" s="45">
        <v>0</v>
      </c>
      <c r="AB1140" s="45">
        <v>0</v>
      </c>
      <c r="AC1140" s="45">
        <v>0</v>
      </c>
      <c r="AD1140" s="45">
        <v>0</v>
      </c>
      <c r="AE1140" s="45">
        <v>0</v>
      </c>
      <c r="AF1140" s="45">
        <v>0</v>
      </c>
      <c r="AG1140" s="45">
        <v>0</v>
      </c>
      <c r="AH1140" s="45">
        <v>0</v>
      </c>
      <c r="AI1140" s="45">
        <v>0</v>
      </c>
      <c r="AJ1140" s="45">
        <v>0</v>
      </c>
      <c r="AK1140" s="45">
        <v>0</v>
      </c>
      <c r="AL1140" s="45">
        <v>0</v>
      </c>
      <c r="AM1140" s="57" t="str">
        <f>I1140-J1140-K1140-L1140-M1140-N1140-O1140-P1140-Q1140-R1140-S1140-T1140-U1140-V1140-W1140-X1140-Y1140-Z1140-AA1140-AB1140-AC1140-AD1140-AE1140-AF1140-AG1140+AH1140-AI1140+AJ1140+AK1140-AL1140</f>
        <v>0</v>
      </c>
      <c r="AN1140" s="45"/>
    </row>
    <row r="1141" spans="1:41">
      <c r="A1141" s="45">
        <v>1113</v>
      </c>
      <c r="B1141" s="45" t="s">
        <v>4455</v>
      </c>
      <c r="C1141" s="49" t="s">
        <v>4456</v>
      </c>
      <c r="D1141" s="53" t="s">
        <v>73</v>
      </c>
      <c r="E1141" s="45" t="s">
        <v>4381</v>
      </c>
      <c r="F1141" s="45" t="s">
        <v>4457</v>
      </c>
      <c r="G1141" s="45">
        <v>3</v>
      </c>
      <c r="H1141" s="53" t="s">
        <v>4458</v>
      </c>
      <c r="I1141" s="45">
        <v>185000</v>
      </c>
      <c r="J1141" s="45">
        <v>0</v>
      </c>
      <c r="K1141" s="45">
        <v>22000</v>
      </c>
      <c r="L1141" s="45">
        <v>0</v>
      </c>
      <c r="M1141" s="45">
        <v>0</v>
      </c>
      <c r="N1141" s="45">
        <v>0</v>
      </c>
      <c r="O1141" s="45">
        <v>0</v>
      </c>
      <c r="P1141" s="45">
        <v>0</v>
      </c>
      <c r="Q1141" s="45">
        <v>0</v>
      </c>
      <c r="R1141" s="45">
        <v>0</v>
      </c>
      <c r="S1141" s="45">
        <v>0</v>
      </c>
      <c r="T1141" s="45">
        <v>0</v>
      </c>
      <c r="U1141" s="45">
        <v>1397</v>
      </c>
      <c r="V1141" s="45">
        <v>0</v>
      </c>
      <c r="W1141" s="45">
        <v>0</v>
      </c>
      <c r="X1141" s="45">
        <v>0</v>
      </c>
      <c r="Y1141" s="45">
        <v>0</v>
      </c>
      <c r="Z1141" s="45">
        <v>0</v>
      </c>
      <c r="AA1141" s="45">
        <v>0</v>
      </c>
      <c r="AB1141" s="45">
        <v>0</v>
      </c>
      <c r="AC1141" s="45">
        <v>0</v>
      </c>
      <c r="AD1141" s="45">
        <v>0</v>
      </c>
      <c r="AE1141" s="45">
        <v>0</v>
      </c>
      <c r="AF1141" s="45">
        <v>0</v>
      </c>
      <c r="AG1141" s="45">
        <v>0</v>
      </c>
      <c r="AH1141" s="45">
        <v>0</v>
      </c>
      <c r="AI1141" s="45">
        <v>0</v>
      </c>
      <c r="AJ1141" s="45">
        <v>0</v>
      </c>
      <c r="AK1141" s="45">
        <v>0</v>
      </c>
      <c r="AL1141" s="45">
        <v>0</v>
      </c>
      <c r="AM1141" s="57" t="str">
        <f>I1141-J1141-K1141-L1141-M1141-N1141-O1141-P1141-Q1141-R1141-S1141-T1141-U1141-V1141-W1141-X1141-Y1141-Z1141-AA1141-AB1141-AC1141-AD1141-AE1141-AF1141-AG1141+AH1141-AI1141+AJ1141+AK1141-AL1141</f>
        <v>0</v>
      </c>
      <c r="AN1141" s="45"/>
    </row>
    <row r="1142" spans="1:41">
      <c r="A1142" s="45">
        <v>1114</v>
      </c>
      <c r="B1142" s="45" t="s">
        <v>4459</v>
      </c>
      <c r="C1142" s="49" t="s">
        <v>4460</v>
      </c>
      <c r="D1142" s="53" t="s">
        <v>62</v>
      </c>
      <c r="E1142" s="45" t="s">
        <v>4381</v>
      </c>
      <c r="F1142" s="45" t="s">
        <v>1805</v>
      </c>
      <c r="G1142" s="45">
        <v>7</v>
      </c>
      <c r="H1142" s="53" t="s">
        <v>4461</v>
      </c>
      <c r="I1142" s="45">
        <v>0</v>
      </c>
      <c r="J1142" s="45">
        <v>0</v>
      </c>
      <c r="K1142" s="45">
        <v>35000</v>
      </c>
      <c r="L1142" s="45">
        <v>0</v>
      </c>
      <c r="M1142" s="45">
        <v>0</v>
      </c>
      <c r="N1142" s="45">
        <v>0</v>
      </c>
      <c r="O1142" s="45">
        <v>0</v>
      </c>
      <c r="P1142" s="45">
        <v>0</v>
      </c>
      <c r="Q1142" s="45">
        <v>0</v>
      </c>
      <c r="R1142" s="45">
        <v>0</v>
      </c>
      <c r="S1142" s="45">
        <v>0</v>
      </c>
      <c r="T1142" s="45">
        <v>0</v>
      </c>
      <c r="U1142" s="45">
        <v>2222</v>
      </c>
      <c r="V1142" s="45">
        <v>0</v>
      </c>
      <c r="W1142" s="45">
        <v>0</v>
      </c>
      <c r="X1142" s="45">
        <v>0</v>
      </c>
      <c r="Y1142" s="45">
        <v>5000</v>
      </c>
      <c r="Z1142" s="45">
        <v>0</v>
      </c>
      <c r="AA1142" s="45">
        <v>0</v>
      </c>
      <c r="AB1142" s="45">
        <v>0</v>
      </c>
      <c r="AC1142" s="45">
        <v>0</v>
      </c>
      <c r="AD1142" s="45">
        <v>0</v>
      </c>
      <c r="AE1142" s="45">
        <v>0</v>
      </c>
      <c r="AF1142" s="45">
        <v>0</v>
      </c>
      <c r="AG1142" s="45">
        <v>0</v>
      </c>
      <c r="AH1142" s="45">
        <v>0</v>
      </c>
      <c r="AI1142" s="45">
        <v>0</v>
      </c>
      <c r="AJ1142" s="45">
        <v>0</v>
      </c>
      <c r="AK1142" s="45">
        <v>0</v>
      </c>
      <c r="AL1142" s="45">
        <v>0</v>
      </c>
      <c r="AM1142" s="57" t="str">
        <f>I1142-J1142-K1142-L1142-M1142-N1142-O1142-P1142-Q1142-R1142-S1142-T1142-U1142-V1142-W1142-X1142-Y1142-Z1142-AA1142-AB1142-AC1142-AD1142-AE1142-AF1142-AG1142+AH1142-AI1142+AJ1142+AK1142-AL1142</f>
        <v>0</v>
      </c>
      <c r="AN1142" s="45"/>
    </row>
    <row r="1143" spans="1:41">
      <c r="A1143" s="45">
        <v>1115</v>
      </c>
      <c r="B1143" s="45" t="s">
        <v>4462</v>
      </c>
      <c r="C1143" s="49" t="s">
        <v>4463</v>
      </c>
      <c r="D1143" s="53" t="s">
        <v>73</v>
      </c>
      <c r="E1143" s="45" t="s">
        <v>4381</v>
      </c>
      <c r="F1143" s="45" t="s">
        <v>4464</v>
      </c>
      <c r="G1143" s="45">
        <v>15</v>
      </c>
      <c r="H1143" s="53" t="s">
        <v>4465</v>
      </c>
      <c r="I1143" s="45">
        <v>3990000</v>
      </c>
      <c r="J1143" s="45">
        <v>19950</v>
      </c>
      <c r="K1143" s="45">
        <v>60000</v>
      </c>
      <c r="L1143" s="45">
        <v>0</v>
      </c>
      <c r="M1143" s="45">
        <v>0</v>
      </c>
      <c r="N1143" s="45">
        <v>0</v>
      </c>
      <c r="O1143" s="45">
        <v>0</v>
      </c>
      <c r="P1143" s="45">
        <v>0</v>
      </c>
      <c r="Q1143" s="45">
        <v>0</v>
      </c>
      <c r="R1143" s="45">
        <v>0</v>
      </c>
      <c r="S1143" s="45">
        <v>0</v>
      </c>
      <c r="T1143" s="45">
        <v>0</v>
      </c>
      <c r="U1143" s="45">
        <v>3810</v>
      </c>
      <c r="V1143" s="45">
        <v>0</v>
      </c>
      <c r="W1143" s="45">
        <v>0</v>
      </c>
      <c r="X1143" s="45">
        <v>0</v>
      </c>
      <c r="Y1143" s="45">
        <v>0</v>
      </c>
      <c r="Z1143" s="45">
        <v>0</v>
      </c>
      <c r="AA1143" s="45">
        <v>0</v>
      </c>
      <c r="AB1143" s="45">
        <v>0</v>
      </c>
      <c r="AC1143" s="45">
        <v>0</v>
      </c>
      <c r="AD1143" s="45">
        <v>0</v>
      </c>
      <c r="AE1143" s="45">
        <v>0</v>
      </c>
      <c r="AF1143" s="45">
        <v>0</v>
      </c>
      <c r="AG1143" s="45">
        <v>0</v>
      </c>
      <c r="AH1143" s="45">
        <v>0</v>
      </c>
      <c r="AI1143" s="45">
        <v>0</v>
      </c>
      <c r="AJ1143" s="45">
        <v>0</v>
      </c>
      <c r="AK1143" s="45">
        <v>0</v>
      </c>
      <c r="AL1143" s="45">
        <v>0</v>
      </c>
      <c r="AM1143" s="57" t="str">
        <f>I1143-J1143-K1143-L1143-M1143-N1143-O1143-P1143-Q1143-R1143-S1143-T1143-U1143-V1143-W1143-X1143-Y1143-Z1143-AA1143-AB1143-AC1143-AD1143-AE1143-AF1143-AG1143+AH1143-AI1143+AJ1143+AK1143-AL1143</f>
        <v>0</v>
      </c>
      <c r="AN1143" s="45"/>
    </row>
    <row r="1144" spans="1:41">
      <c r="A1144" s="45">
        <v>1116</v>
      </c>
      <c r="B1144" s="45" t="s">
        <v>4466</v>
      </c>
      <c r="C1144" s="49" t="s">
        <v>4467</v>
      </c>
      <c r="D1144" s="53" t="s">
        <v>73</v>
      </c>
      <c r="E1144" s="45" t="s">
        <v>4381</v>
      </c>
      <c r="F1144" s="45" t="s">
        <v>397</v>
      </c>
      <c r="G1144" s="45">
        <v>6</v>
      </c>
      <c r="H1144" s="53" t="s">
        <v>4468</v>
      </c>
      <c r="I1144" s="45">
        <v>934000</v>
      </c>
      <c r="J1144" s="45">
        <v>0</v>
      </c>
      <c r="K1144" s="45">
        <v>31000</v>
      </c>
      <c r="L1144" s="45">
        <v>0</v>
      </c>
      <c r="M1144" s="45">
        <v>0</v>
      </c>
      <c r="N1144" s="45">
        <v>0</v>
      </c>
      <c r="O1144" s="45">
        <v>0</v>
      </c>
      <c r="P1144" s="45">
        <v>0</v>
      </c>
      <c r="Q1144" s="45">
        <v>0</v>
      </c>
      <c r="R1144" s="45">
        <v>0</v>
      </c>
      <c r="S1144" s="45">
        <v>0</v>
      </c>
      <c r="T1144" s="45">
        <v>0</v>
      </c>
      <c r="U1144" s="45">
        <v>1968</v>
      </c>
      <c r="V1144" s="45">
        <v>0</v>
      </c>
      <c r="W1144" s="45">
        <v>0</v>
      </c>
      <c r="X1144" s="45">
        <v>0</v>
      </c>
      <c r="Y1144" s="45">
        <v>0</v>
      </c>
      <c r="Z1144" s="45">
        <v>0</v>
      </c>
      <c r="AA1144" s="45">
        <v>0</v>
      </c>
      <c r="AB1144" s="45">
        <v>0</v>
      </c>
      <c r="AC1144" s="45">
        <v>0</v>
      </c>
      <c r="AD1144" s="45">
        <v>0</v>
      </c>
      <c r="AE1144" s="45">
        <v>0</v>
      </c>
      <c r="AF1144" s="45">
        <v>0</v>
      </c>
      <c r="AG1144" s="45">
        <v>0</v>
      </c>
      <c r="AH1144" s="45">
        <v>0</v>
      </c>
      <c r="AI1144" s="45">
        <v>0</v>
      </c>
      <c r="AJ1144" s="45">
        <v>0</v>
      </c>
      <c r="AK1144" s="45">
        <v>0</v>
      </c>
      <c r="AL1144" s="45">
        <v>0</v>
      </c>
      <c r="AM1144" s="57" t="str">
        <f>I1144-J1144-K1144-L1144-M1144-N1144-O1144-P1144-Q1144-R1144-S1144-T1144-U1144-V1144-W1144-X1144-Y1144-Z1144-AA1144-AB1144-AC1144-AD1144-AE1144-AF1144-AG1144+AH1144-AI1144+AJ1144+AK1144-AL1144</f>
        <v>0</v>
      </c>
      <c r="AN1144" s="45"/>
    </row>
    <row r="1145" spans="1:41">
      <c r="A1145" s="45">
        <v>1117</v>
      </c>
      <c r="B1145" s="45" t="s">
        <v>4469</v>
      </c>
      <c r="C1145" s="49" t="s">
        <v>4470</v>
      </c>
      <c r="D1145" s="53" t="s">
        <v>73</v>
      </c>
      <c r="E1145" s="45" t="s">
        <v>4381</v>
      </c>
      <c r="F1145" s="45" t="s">
        <v>4471</v>
      </c>
      <c r="G1145" s="45">
        <v>7</v>
      </c>
      <c r="H1145" s="53" t="s">
        <v>4472</v>
      </c>
      <c r="I1145" s="45">
        <v>2186000</v>
      </c>
      <c r="J1145" s="45">
        <v>0</v>
      </c>
      <c r="K1145" s="45">
        <v>35000</v>
      </c>
      <c r="L1145" s="45">
        <v>0</v>
      </c>
      <c r="M1145" s="45">
        <v>0</v>
      </c>
      <c r="N1145" s="45">
        <v>0</v>
      </c>
      <c r="O1145" s="45">
        <v>0</v>
      </c>
      <c r="P1145" s="45">
        <v>0</v>
      </c>
      <c r="Q1145" s="45">
        <v>0</v>
      </c>
      <c r="R1145" s="45">
        <v>0</v>
      </c>
      <c r="S1145" s="45">
        <v>0</v>
      </c>
      <c r="T1145" s="45">
        <v>0</v>
      </c>
      <c r="U1145" s="45">
        <v>2222</v>
      </c>
      <c r="V1145" s="45">
        <v>0</v>
      </c>
      <c r="W1145" s="45">
        <v>0</v>
      </c>
      <c r="X1145" s="45">
        <v>0</v>
      </c>
      <c r="Y1145" s="45">
        <v>0</v>
      </c>
      <c r="Z1145" s="45">
        <v>0</v>
      </c>
      <c r="AA1145" s="45">
        <v>0</v>
      </c>
      <c r="AB1145" s="45">
        <v>0</v>
      </c>
      <c r="AC1145" s="45">
        <v>0</v>
      </c>
      <c r="AD1145" s="45">
        <v>0</v>
      </c>
      <c r="AE1145" s="45">
        <v>0</v>
      </c>
      <c r="AF1145" s="45">
        <v>0</v>
      </c>
      <c r="AG1145" s="45">
        <v>0</v>
      </c>
      <c r="AH1145" s="45">
        <v>0</v>
      </c>
      <c r="AI1145" s="45">
        <v>0</v>
      </c>
      <c r="AJ1145" s="45">
        <v>0</v>
      </c>
      <c r="AK1145" s="45">
        <v>0</v>
      </c>
      <c r="AL1145" s="45">
        <v>0</v>
      </c>
      <c r="AM1145" s="57" t="str">
        <f>I1145-J1145-K1145-L1145-M1145-N1145-O1145-P1145-Q1145-R1145-S1145-T1145-U1145-V1145-W1145-X1145-Y1145-Z1145-AA1145-AB1145-AC1145-AD1145-AE1145-AF1145-AG1145+AH1145-AI1145+AJ1145+AK1145-AL1145</f>
        <v>0</v>
      </c>
      <c r="AN1145" s="45"/>
    </row>
    <row r="1146" spans="1:41">
      <c r="A1146" s="45">
        <v>1118</v>
      </c>
      <c r="B1146" s="45" t="s">
        <v>4473</v>
      </c>
      <c r="C1146" s="49" t="s">
        <v>4474</v>
      </c>
      <c r="D1146" s="53" t="s">
        <v>73</v>
      </c>
      <c r="E1146" s="45" t="s">
        <v>4381</v>
      </c>
      <c r="F1146" s="45" t="s">
        <v>4261</v>
      </c>
      <c r="G1146" s="45">
        <v>0.1</v>
      </c>
      <c r="H1146" s="53" t="s">
        <v>4475</v>
      </c>
      <c r="I1146" s="45">
        <v>365000</v>
      </c>
      <c r="J1146" s="45">
        <v>0</v>
      </c>
      <c r="K1146" s="45">
        <v>22000</v>
      </c>
      <c r="L1146" s="45">
        <v>0</v>
      </c>
      <c r="M1146" s="45">
        <v>0</v>
      </c>
      <c r="N1146" s="45">
        <v>0</v>
      </c>
      <c r="O1146" s="45">
        <v>0</v>
      </c>
      <c r="P1146" s="45">
        <v>0</v>
      </c>
      <c r="Q1146" s="45">
        <v>0</v>
      </c>
      <c r="R1146" s="45">
        <v>0</v>
      </c>
      <c r="S1146" s="45">
        <v>0</v>
      </c>
      <c r="T1146" s="45">
        <v>0</v>
      </c>
      <c r="U1146" s="45">
        <v>1397</v>
      </c>
      <c r="V1146" s="45">
        <v>0</v>
      </c>
      <c r="W1146" s="45">
        <v>0</v>
      </c>
      <c r="X1146" s="45">
        <v>0</v>
      </c>
      <c r="Y1146" s="45">
        <v>0</v>
      </c>
      <c r="Z1146" s="45">
        <v>0</v>
      </c>
      <c r="AA1146" s="45">
        <v>0</v>
      </c>
      <c r="AB1146" s="45">
        <v>0</v>
      </c>
      <c r="AC1146" s="45">
        <v>0</v>
      </c>
      <c r="AD1146" s="45">
        <v>0</v>
      </c>
      <c r="AE1146" s="45">
        <v>0</v>
      </c>
      <c r="AF1146" s="45">
        <v>0</v>
      </c>
      <c r="AG1146" s="45">
        <v>0</v>
      </c>
      <c r="AH1146" s="45">
        <v>0</v>
      </c>
      <c r="AI1146" s="45">
        <v>0</v>
      </c>
      <c r="AJ1146" s="45">
        <v>0</v>
      </c>
      <c r="AK1146" s="45">
        <v>0</v>
      </c>
      <c r="AL1146" s="45">
        <v>0</v>
      </c>
      <c r="AM1146" s="57" t="str">
        <f>I1146-J1146-K1146-L1146-M1146-N1146-O1146-P1146-Q1146-R1146-S1146-T1146-U1146-V1146-W1146-X1146-Y1146-Z1146-AA1146-AB1146-AC1146-AD1146-AE1146-AF1146-AG1146+AH1146-AI1146+AJ1146+AK1146-AL1146</f>
        <v>0</v>
      </c>
      <c r="AN1146" s="45"/>
    </row>
    <row r="1147" spans="1:41">
      <c r="A1147" s="45">
        <v>1119</v>
      </c>
      <c r="B1147" s="45" t="s">
        <v>4476</v>
      </c>
      <c r="C1147" s="49" t="s">
        <v>4477</v>
      </c>
      <c r="D1147" s="53" t="s">
        <v>73</v>
      </c>
      <c r="E1147" s="45" t="s">
        <v>4478</v>
      </c>
      <c r="F1147" s="45" t="s">
        <v>4479</v>
      </c>
      <c r="G1147" s="45">
        <v>6</v>
      </c>
      <c r="H1147" s="53" t="s">
        <v>4480</v>
      </c>
      <c r="I1147" s="45">
        <v>555000</v>
      </c>
      <c r="J1147" s="45">
        <v>0</v>
      </c>
      <c r="K1147" s="45">
        <v>31000</v>
      </c>
      <c r="L1147" s="45">
        <v>0</v>
      </c>
      <c r="M1147" s="45">
        <v>0</v>
      </c>
      <c r="N1147" s="45">
        <v>0</v>
      </c>
      <c r="O1147" s="45">
        <v>0</v>
      </c>
      <c r="P1147" s="45">
        <v>0</v>
      </c>
      <c r="Q1147" s="45">
        <v>0</v>
      </c>
      <c r="R1147" s="45">
        <v>0</v>
      </c>
      <c r="S1147" s="45">
        <v>0</v>
      </c>
      <c r="T1147" s="45">
        <v>0</v>
      </c>
      <c r="U1147" s="45">
        <v>1968</v>
      </c>
      <c r="V1147" s="45">
        <v>0</v>
      </c>
      <c r="W1147" s="45">
        <v>0</v>
      </c>
      <c r="X1147" s="45">
        <v>0</v>
      </c>
      <c r="Y1147" s="45">
        <v>0</v>
      </c>
      <c r="Z1147" s="45">
        <v>0</v>
      </c>
      <c r="AA1147" s="45">
        <v>0</v>
      </c>
      <c r="AB1147" s="45">
        <v>0</v>
      </c>
      <c r="AC1147" s="45">
        <v>0</v>
      </c>
      <c r="AD1147" s="45">
        <v>0</v>
      </c>
      <c r="AE1147" s="45">
        <v>0</v>
      </c>
      <c r="AF1147" s="45">
        <v>0</v>
      </c>
      <c r="AG1147" s="45">
        <v>0</v>
      </c>
      <c r="AH1147" s="45">
        <v>0</v>
      </c>
      <c r="AI1147" s="45">
        <v>0</v>
      </c>
      <c r="AJ1147" s="45">
        <v>0</v>
      </c>
      <c r="AK1147" s="45">
        <v>0</v>
      </c>
      <c r="AL1147" s="45">
        <v>0</v>
      </c>
      <c r="AM1147" s="57" t="str">
        <f>I1147-J1147-K1147-L1147-M1147-N1147-O1147-P1147-Q1147-R1147-S1147-T1147-U1147-V1147-W1147-X1147-Y1147-Z1147-AA1147-AB1147-AC1147-AD1147-AE1147-AF1147-AG1147+AH1147-AI1147+AJ1147+AK1147-AL1147</f>
        <v>0</v>
      </c>
      <c r="AN1147" s="45"/>
    </row>
    <row r="1148" spans="1:41">
      <c r="A1148" s="45">
        <v>1120</v>
      </c>
      <c r="B1148" s="45" t="s">
        <v>4481</v>
      </c>
      <c r="C1148" s="49" t="s">
        <v>4482</v>
      </c>
      <c r="D1148" s="53" t="s">
        <v>73</v>
      </c>
      <c r="E1148" s="45" t="s">
        <v>4478</v>
      </c>
      <c r="F1148" s="45" t="s">
        <v>4483</v>
      </c>
      <c r="G1148" s="45">
        <v>5</v>
      </c>
      <c r="H1148" s="53" t="s">
        <v>4484</v>
      </c>
      <c r="I1148" s="45">
        <v>673000</v>
      </c>
      <c r="J1148" s="45">
        <v>0</v>
      </c>
      <c r="K1148" s="45">
        <v>27000</v>
      </c>
      <c r="L1148" s="45">
        <v>0</v>
      </c>
      <c r="M1148" s="45">
        <v>0</v>
      </c>
      <c r="N1148" s="45">
        <v>0</v>
      </c>
      <c r="O1148" s="45">
        <v>0</v>
      </c>
      <c r="P1148" s="45">
        <v>0</v>
      </c>
      <c r="Q1148" s="45">
        <v>0</v>
      </c>
      <c r="R1148" s="45">
        <v>0</v>
      </c>
      <c r="S1148" s="45">
        <v>0</v>
      </c>
      <c r="T1148" s="45">
        <v>0</v>
      </c>
      <c r="U1148" s="45">
        <v>1714</v>
      </c>
      <c r="V1148" s="45">
        <v>0</v>
      </c>
      <c r="W1148" s="45">
        <v>0</v>
      </c>
      <c r="X1148" s="45">
        <v>0</v>
      </c>
      <c r="Y1148" s="45">
        <v>0</v>
      </c>
      <c r="Z1148" s="45">
        <v>0</v>
      </c>
      <c r="AA1148" s="45">
        <v>0</v>
      </c>
      <c r="AB1148" s="45">
        <v>0</v>
      </c>
      <c r="AC1148" s="45">
        <v>0</v>
      </c>
      <c r="AD1148" s="45">
        <v>0</v>
      </c>
      <c r="AE1148" s="45">
        <v>0</v>
      </c>
      <c r="AF1148" s="45">
        <v>0</v>
      </c>
      <c r="AG1148" s="45">
        <v>0</v>
      </c>
      <c r="AH1148" s="45">
        <v>0</v>
      </c>
      <c r="AI1148" s="45">
        <v>0</v>
      </c>
      <c r="AJ1148" s="45">
        <v>0</v>
      </c>
      <c r="AK1148" s="45">
        <v>0</v>
      </c>
      <c r="AL1148" s="45">
        <v>0</v>
      </c>
      <c r="AM1148" s="57" t="str">
        <f>I1148-J1148-K1148-L1148-M1148-N1148-O1148-P1148-Q1148-R1148-S1148-T1148-U1148-V1148-W1148-X1148-Y1148-Z1148-AA1148-AB1148-AC1148-AD1148-AE1148-AF1148-AG1148+AH1148-AI1148+AJ1148+AK1148-AL1148</f>
        <v>0</v>
      </c>
      <c r="AN1148" s="45"/>
    </row>
    <row r="1149" spans="1:41">
      <c r="A1149" s="45">
        <v>1121</v>
      </c>
      <c r="B1149" s="45" t="s">
        <v>4485</v>
      </c>
      <c r="C1149" s="49" t="s">
        <v>4486</v>
      </c>
      <c r="D1149" s="53" t="s">
        <v>73</v>
      </c>
      <c r="E1149" s="45" t="s">
        <v>4478</v>
      </c>
      <c r="F1149" s="45" t="s">
        <v>4487</v>
      </c>
      <c r="G1149" s="45">
        <v>13</v>
      </c>
      <c r="H1149" s="53" t="s">
        <v>4488</v>
      </c>
      <c r="I1149" s="45">
        <v>1195000</v>
      </c>
      <c r="J1149" s="45">
        <v>0</v>
      </c>
      <c r="K1149" s="45">
        <v>64000</v>
      </c>
      <c r="L1149" s="45">
        <v>0</v>
      </c>
      <c r="M1149" s="45">
        <v>0</v>
      </c>
      <c r="N1149" s="45">
        <v>0</v>
      </c>
      <c r="O1149" s="45">
        <v>0</v>
      </c>
      <c r="P1149" s="45">
        <v>0</v>
      </c>
      <c r="Q1149" s="45">
        <v>0</v>
      </c>
      <c r="R1149" s="45">
        <v>0</v>
      </c>
      <c r="S1149" s="45">
        <v>0</v>
      </c>
      <c r="T1149" s="45">
        <v>0</v>
      </c>
      <c r="U1149" s="45">
        <v>4064</v>
      </c>
      <c r="V1149" s="45">
        <v>0</v>
      </c>
      <c r="W1149" s="45">
        <v>0</v>
      </c>
      <c r="X1149" s="45">
        <v>0</v>
      </c>
      <c r="Y1149" s="45">
        <v>0</v>
      </c>
      <c r="Z1149" s="45">
        <v>0</v>
      </c>
      <c r="AA1149" s="45">
        <v>0</v>
      </c>
      <c r="AB1149" s="45">
        <v>0</v>
      </c>
      <c r="AC1149" s="45">
        <v>0</v>
      </c>
      <c r="AD1149" s="45">
        <v>0</v>
      </c>
      <c r="AE1149" s="45">
        <v>0</v>
      </c>
      <c r="AF1149" s="45">
        <v>0</v>
      </c>
      <c r="AG1149" s="45">
        <v>0</v>
      </c>
      <c r="AH1149" s="45">
        <v>0</v>
      </c>
      <c r="AI1149" s="45">
        <v>0</v>
      </c>
      <c r="AJ1149" s="45">
        <v>0</v>
      </c>
      <c r="AK1149" s="45">
        <v>0</v>
      </c>
      <c r="AL1149" s="45">
        <v>0</v>
      </c>
      <c r="AM1149" s="57" t="str">
        <f>I1149-J1149-K1149-L1149-M1149-N1149-O1149-P1149-Q1149-R1149-S1149-T1149-U1149-V1149-W1149-X1149-Y1149-Z1149-AA1149-AB1149-AC1149-AD1149-AE1149-AF1149-AG1149+AH1149-AI1149+AJ1149+AK1149-AL1149</f>
        <v>0</v>
      </c>
      <c r="AN1149" s="45"/>
    </row>
    <row r="1150" spans="1:41">
      <c r="A1150" s="45">
        <v>1122</v>
      </c>
      <c r="B1150" s="45" t="s">
        <v>4489</v>
      </c>
      <c r="C1150" s="49" t="s">
        <v>4490</v>
      </c>
      <c r="D1150" s="53" t="s">
        <v>73</v>
      </c>
      <c r="E1150" s="45" t="s">
        <v>4478</v>
      </c>
      <c r="F1150" s="45" t="s">
        <v>4491</v>
      </c>
      <c r="G1150" s="45">
        <v>3</v>
      </c>
      <c r="H1150" s="53" t="s">
        <v>4492</v>
      </c>
      <c r="I1150" s="45">
        <v>585000</v>
      </c>
      <c r="J1150" s="45">
        <v>0</v>
      </c>
      <c r="K1150" s="45">
        <v>22000</v>
      </c>
      <c r="L1150" s="45">
        <v>0</v>
      </c>
      <c r="M1150" s="45">
        <v>0</v>
      </c>
      <c r="N1150" s="45">
        <v>0</v>
      </c>
      <c r="O1150" s="45">
        <v>0</v>
      </c>
      <c r="P1150" s="45">
        <v>0</v>
      </c>
      <c r="Q1150" s="45">
        <v>0</v>
      </c>
      <c r="R1150" s="45">
        <v>0</v>
      </c>
      <c r="S1150" s="45">
        <v>0</v>
      </c>
      <c r="T1150" s="45">
        <v>0</v>
      </c>
      <c r="U1150" s="45">
        <v>1397</v>
      </c>
      <c r="V1150" s="45">
        <v>0</v>
      </c>
      <c r="W1150" s="45">
        <v>0</v>
      </c>
      <c r="X1150" s="45">
        <v>0</v>
      </c>
      <c r="Y1150" s="45">
        <v>0</v>
      </c>
      <c r="Z1150" s="45">
        <v>0</v>
      </c>
      <c r="AA1150" s="45">
        <v>0</v>
      </c>
      <c r="AB1150" s="45">
        <v>0</v>
      </c>
      <c r="AC1150" s="45">
        <v>0</v>
      </c>
      <c r="AD1150" s="45">
        <v>0</v>
      </c>
      <c r="AE1150" s="45">
        <v>0</v>
      </c>
      <c r="AF1150" s="45">
        <v>0</v>
      </c>
      <c r="AG1150" s="45">
        <v>0</v>
      </c>
      <c r="AH1150" s="45">
        <v>0</v>
      </c>
      <c r="AI1150" s="45">
        <v>0</v>
      </c>
      <c r="AJ1150" s="45">
        <v>0</v>
      </c>
      <c r="AK1150" s="45">
        <v>0</v>
      </c>
      <c r="AL1150" s="45">
        <v>0</v>
      </c>
      <c r="AM1150" s="57" t="str">
        <f>I1150-J1150-K1150-L1150-M1150-N1150-O1150-P1150-Q1150-R1150-S1150-T1150-U1150-V1150-W1150-X1150-Y1150-Z1150-AA1150-AB1150-AC1150-AD1150-AE1150-AF1150-AG1150+AH1150-AI1150+AJ1150+AK1150-AL1150</f>
        <v>0</v>
      </c>
      <c r="AN1150" s="45"/>
    </row>
    <row r="1151" spans="1:41">
      <c r="A1151" s="45">
        <v>1123</v>
      </c>
      <c r="B1151" s="45" t="s">
        <v>4493</v>
      </c>
      <c r="C1151" s="49" t="s">
        <v>4494</v>
      </c>
      <c r="D1151" s="53" t="s">
        <v>73</v>
      </c>
      <c r="E1151" s="45" t="s">
        <v>4478</v>
      </c>
      <c r="F1151" s="45" t="s">
        <v>4495</v>
      </c>
      <c r="G1151" s="45">
        <v>11.5</v>
      </c>
      <c r="H1151" s="53" t="s">
        <v>4496</v>
      </c>
      <c r="I1151" s="45">
        <v>1098000</v>
      </c>
      <c r="J1151" s="45">
        <v>0</v>
      </c>
      <c r="K1151" s="45">
        <v>48000</v>
      </c>
      <c r="L1151" s="45">
        <v>0</v>
      </c>
      <c r="M1151" s="45">
        <v>0</v>
      </c>
      <c r="N1151" s="45">
        <v>0</v>
      </c>
      <c r="O1151" s="45">
        <v>0</v>
      </c>
      <c r="P1151" s="45">
        <v>0</v>
      </c>
      <c r="Q1151" s="45">
        <v>0</v>
      </c>
      <c r="R1151" s="45">
        <v>0</v>
      </c>
      <c r="S1151" s="45">
        <v>0</v>
      </c>
      <c r="T1151" s="45">
        <v>0</v>
      </c>
      <c r="U1151" s="45">
        <v>3048</v>
      </c>
      <c r="V1151" s="45">
        <v>0</v>
      </c>
      <c r="W1151" s="45">
        <v>0</v>
      </c>
      <c r="X1151" s="45">
        <v>0</v>
      </c>
      <c r="Y1151" s="45">
        <v>0</v>
      </c>
      <c r="Z1151" s="45">
        <v>0</v>
      </c>
      <c r="AA1151" s="45">
        <v>0</v>
      </c>
      <c r="AB1151" s="45">
        <v>0</v>
      </c>
      <c r="AC1151" s="45">
        <v>0</v>
      </c>
      <c r="AD1151" s="45">
        <v>0</v>
      </c>
      <c r="AE1151" s="45">
        <v>0</v>
      </c>
      <c r="AF1151" s="45">
        <v>0</v>
      </c>
      <c r="AG1151" s="45">
        <v>0</v>
      </c>
      <c r="AH1151" s="45">
        <v>0</v>
      </c>
      <c r="AI1151" s="45">
        <v>0</v>
      </c>
      <c r="AJ1151" s="45">
        <v>0</v>
      </c>
      <c r="AK1151" s="45">
        <v>0</v>
      </c>
      <c r="AL1151" s="45">
        <v>0</v>
      </c>
      <c r="AM1151" s="57" t="str">
        <f>I1151-J1151-K1151-L1151-M1151-N1151-O1151-P1151-Q1151-R1151-S1151-T1151-U1151-V1151-W1151-X1151-Y1151-Z1151-AA1151-AB1151-AC1151-AD1151-AE1151-AF1151-AG1151+AH1151-AI1151+AJ1151+AK1151-AL1151</f>
        <v>0</v>
      </c>
      <c r="AN1151" s="45"/>
    </row>
    <row r="1152" spans="1:41">
      <c r="A1152" s="45">
        <v>1124</v>
      </c>
      <c r="B1152" s="45" t="s">
        <v>4497</v>
      </c>
      <c r="C1152" s="49" t="s">
        <v>4498</v>
      </c>
      <c r="D1152" s="53" t="s">
        <v>73</v>
      </c>
      <c r="E1152" s="45" t="s">
        <v>4478</v>
      </c>
      <c r="F1152" s="45" t="s">
        <v>4499</v>
      </c>
      <c r="G1152" s="45">
        <v>12</v>
      </c>
      <c r="H1152" s="53" t="s">
        <v>4500</v>
      </c>
      <c r="I1152" s="45">
        <v>2348000</v>
      </c>
      <c r="J1152" s="45">
        <v>0</v>
      </c>
      <c r="K1152" s="45">
        <v>59000</v>
      </c>
      <c r="L1152" s="45">
        <v>0</v>
      </c>
      <c r="M1152" s="45">
        <v>0</v>
      </c>
      <c r="N1152" s="45">
        <v>0</v>
      </c>
      <c r="O1152" s="45">
        <v>0</v>
      </c>
      <c r="P1152" s="45">
        <v>0</v>
      </c>
      <c r="Q1152" s="45">
        <v>0</v>
      </c>
      <c r="R1152" s="45">
        <v>0</v>
      </c>
      <c r="S1152" s="45">
        <v>0</v>
      </c>
      <c r="T1152" s="45">
        <v>0</v>
      </c>
      <c r="U1152" s="45">
        <v>3746</v>
      </c>
      <c r="V1152" s="45">
        <v>0</v>
      </c>
      <c r="W1152" s="45">
        <v>0</v>
      </c>
      <c r="X1152" s="45">
        <v>0</v>
      </c>
      <c r="Y1152" s="45">
        <v>0</v>
      </c>
      <c r="Z1152" s="45">
        <v>0</v>
      </c>
      <c r="AA1152" s="45">
        <v>0</v>
      </c>
      <c r="AB1152" s="45">
        <v>0</v>
      </c>
      <c r="AC1152" s="45">
        <v>0</v>
      </c>
      <c r="AD1152" s="45">
        <v>0</v>
      </c>
      <c r="AE1152" s="45">
        <v>0</v>
      </c>
      <c r="AF1152" s="45">
        <v>0</v>
      </c>
      <c r="AG1152" s="45">
        <v>0</v>
      </c>
      <c r="AH1152" s="45">
        <v>0</v>
      </c>
      <c r="AI1152" s="45">
        <v>0</v>
      </c>
      <c r="AJ1152" s="45">
        <v>0</v>
      </c>
      <c r="AK1152" s="45">
        <v>0</v>
      </c>
      <c r="AL1152" s="45">
        <v>0</v>
      </c>
      <c r="AM1152" s="57" t="str">
        <f>I1152-J1152-K1152-L1152-M1152-N1152-O1152-P1152-Q1152-R1152-S1152-T1152-U1152-V1152-W1152-X1152-Y1152-Z1152-AA1152-AB1152-AC1152-AD1152-AE1152-AF1152-AG1152+AH1152-AI1152+AJ1152+AK1152-AL1152</f>
        <v>0</v>
      </c>
      <c r="AN1152" s="45"/>
    </row>
    <row r="1153" spans="1:41">
      <c r="A1153" s="45">
        <v>1125</v>
      </c>
      <c r="B1153" s="45" t="s">
        <v>4501</v>
      </c>
      <c r="C1153" s="49" t="s">
        <v>4502</v>
      </c>
      <c r="D1153" s="53" t="s">
        <v>73</v>
      </c>
      <c r="E1153" s="45" t="s">
        <v>4478</v>
      </c>
      <c r="F1153" s="45" t="s">
        <v>4503</v>
      </c>
      <c r="G1153" s="45">
        <v>3</v>
      </c>
      <c r="H1153" s="53" t="s">
        <v>4504</v>
      </c>
      <c r="I1153" s="45">
        <v>334000</v>
      </c>
      <c r="J1153" s="45">
        <v>0</v>
      </c>
      <c r="K1153" s="45">
        <v>22000</v>
      </c>
      <c r="L1153" s="45">
        <v>0</v>
      </c>
      <c r="M1153" s="45">
        <v>0</v>
      </c>
      <c r="N1153" s="45">
        <v>0</v>
      </c>
      <c r="O1153" s="45">
        <v>0</v>
      </c>
      <c r="P1153" s="45">
        <v>0</v>
      </c>
      <c r="Q1153" s="45">
        <v>0</v>
      </c>
      <c r="R1153" s="45">
        <v>0</v>
      </c>
      <c r="S1153" s="45">
        <v>0</v>
      </c>
      <c r="T1153" s="45">
        <v>0</v>
      </c>
      <c r="U1153" s="45">
        <v>1397</v>
      </c>
      <c r="V1153" s="45">
        <v>0</v>
      </c>
      <c r="W1153" s="45">
        <v>0</v>
      </c>
      <c r="X1153" s="45">
        <v>0</v>
      </c>
      <c r="Y1153" s="45">
        <v>0</v>
      </c>
      <c r="Z1153" s="45">
        <v>0</v>
      </c>
      <c r="AA1153" s="45">
        <v>0</v>
      </c>
      <c r="AB1153" s="45">
        <v>0</v>
      </c>
      <c r="AC1153" s="45">
        <v>0</v>
      </c>
      <c r="AD1153" s="45">
        <v>0</v>
      </c>
      <c r="AE1153" s="45">
        <v>0</v>
      </c>
      <c r="AF1153" s="45">
        <v>0</v>
      </c>
      <c r="AG1153" s="45">
        <v>0</v>
      </c>
      <c r="AH1153" s="45">
        <v>0</v>
      </c>
      <c r="AI1153" s="45">
        <v>0</v>
      </c>
      <c r="AJ1153" s="45">
        <v>0</v>
      </c>
      <c r="AK1153" s="45">
        <v>0</v>
      </c>
      <c r="AL1153" s="45">
        <v>0</v>
      </c>
      <c r="AM1153" s="57" t="str">
        <f>I1153-J1153-K1153-L1153-M1153-N1153-O1153-P1153-Q1153-R1153-S1153-T1153-U1153-V1153-W1153-X1153-Y1153-Z1153-AA1153-AB1153-AC1153-AD1153-AE1153-AF1153-AG1153+AH1153-AI1153+AJ1153+AK1153-AL1153</f>
        <v>0</v>
      </c>
      <c r="AN1153" s="45"/>
    </row>
    <row r="1154" spans="1:41">
      <c r="A1154" s="45">
        <v>1126</v>
      </c>
      <c r="B1154" s="45" t="s">
        <v>4505</v>
      </c>
      <c r="C1154" s="49" t="s">
        <v>4506</v>
      </c>
      <c r="D1154" s="53" t="s">
        <v>73</v>
      </c>
      <c r="E1154" s="45" t="s">
        <v>4478</v>
      </c>
      <c r="F1154" s="45" t="s">
        <v>4507</v>
      </c>
      <c r="G1154" s="45">
        <v>3</v>
      </c>
      <c r="H1154" s="53" t="s">
        <v>4508</v>
      </c>
      <c r="I1154" s="45">
        <v>334000</v>
      </c>
      <c r="J1154" s="45">
        <v>0</v>
      </c>
      <c r="K1154" s="45">
        <v>22000</v>
      </c>
      <c r="L1154" s="45">
        <v>0</v>
      </c>
      <c r="M1154" s="45">
        <v>0</v>
      </c>
      <c r="N1154" s="45">
        <v>0</v>
      </c>
      <c r="O1154" s="45">
        <v>0</v>
      </c>
      <c r="P1154" s="45">
        <v>0</v>
      </c>
      <c r="Q1154" s="45">
        <v>0</v>
      </c>
      <c r="R1154" s="45">
        <v>0</v>
      </c>
      <c r="S1154" s="45">
        <v>0</v>
      </c>
      <c r="T1154" s="45">
        <v>0</v>
      </c>
      <c r="U1154" s="45">
        <v>1397</v>
      </c>
      <c r="V1154" s="45">
        <v>0</v>
      </c>
      <c r="W1154" s="45">
        <v>0</v>
      </c>
      <c r="X1154" s="45">
        <v>0</v>
      </c>
      <c r="Y1154" s="45">
        <v>0</v>
      </c>
      <c r="Z1154" s="45">
        <v>0</v>
      </c>
      <c r="AA1154" s="45">
        <v>0</v>
      </c>
      <c r="AB1154" s="45">
        <v>0</v>
      </c>
      <c r="AC1154" s="45">
        <v>0</v>
      </c>
      <c r="AD1154" s="45">
        <v>0</v>
      </c>
      <c r="AE1154" s="45">
        <v>0</v>
      </c>
      <c r="AF1154" s="45">
        <v>0</v>
      </c>
      <c r="AG1154" s="45">
        <v>0</v>
      </c>
      <c r="AH1154" s="45">
        <v>0</v>
      </c>
      <c r="AI1154" s="45">
        <v>0</v>
      </c>
      <c r="AJ1154" s="45">
        <v>0</v>
      </c>
      <c r="AK1154" s="45">
        <v>0</v>
      </c>
      <c r="AL1154" s="45">
        <v>0</v>
      </c>
      <c r="AM1154" s="57" t="str">
        <f>I1154-J1154-K1154-L1154-M1154-N1154-O1154-P1154-Q1154-R1154-S1154-T1154-U1154-V1154-W1154-X1154-Y1154-Z1154-AA1154-AB1154-AC1154-AD1154-AE1154-AF1154-AG1154+AH1154-AI1154+AJ1154+AK1154-AL1154</f>
        <v>0</v>
      </c>
      <c r="AN1154" s="45"/>
    </row>
    <row r="1155" spans="1:41">
      <c r="A1155" s="45">
        <v>1127</v>
      </c>
      <c r="B1155" s="45" t="s">
        <v>4509</v>
      </c>
      <c r="C1155" s="49" t="s">
        <v>4510</v>
      </c>
      <c r="D1155" s="53" t="s">
        <v>73</v>
      </c>
      <c r="E1155" s="45" t="s">
        <v>4478</v>
      </c>
      <c r="F1155" s="45" t="s">
        <v>4511</v>
      </c>
      <c r="G1155" s="45">
        <v>3</v>
      </c>
      <c r="H1155" s="53" t="s">
        <v>4512</v>
      </c>
      <c r="I1155" s="45">
        <v>585000</v>
      </c>
      <c r="J1155" s="45">
        <v>0</v>
      </c>
      <c r="K1155" s="45">
        <v>22000</v>
      </c>
      <c r="L1155" s="45">
        <v>0</v>
      </c>
      <c r="M1155" s="45">
        <v>0</v>
      </c>
      <c r="N1155" s="45">
        <v>0</v>
      </c>
      <c r="O1155" s="45">
        <v>0</v>
      </c>
      <c r="P1155" s="45">
        <v>0</v>
      </c>
      <c r="Q1155" s="45">
        <v>0</v>
      </c>
      <c r="R1155" s="45">
        <v>0</v>
      </c>
      <c r="S1155" s="45">
        <v>0</v>
      </c>
      <c r="T1155" s="45">
        <v>0</v>
      </c>
      <c r="U1155" s="45">
        <v>1397</v>
      </c>
      <c r="V1155" s="45">
        <v>0</v>
      </c>
      <c r="W1155" s="45">
        <v>0</v>
      </c>
      <c r="X1155" s="45">
        <v>0</v>
      </c>
      <c r="Y1155" s="45">
        <v>0</v>
      </c>
      <c r="Z1155" s="45">
        <v>0</v>
      </c>
      <c r="AA1155" s="45">
        <v>0</v>
      </c>
      <c r="AB1155" s="45">
        <v>0</v>
      </c>
      <c r="AC1155" s="45">
        <v>0</v>
      </c>
      <c r="AD1155" s="45">
        <v>0</v>
      </c>
      <c r="AE1155" s="45">
        <v>0</v>
      </c>
      <c r="AF1155" s="45">
        <v>0</v>
      </c>
      <c r="AG1155" s="45">
        <v>0</v>
      </c>
      <c r="AH1155" s="45">
        <v>0</v>
      </c>
      <c r="AI1155" s="45">
        <v>0</v>
      </c>
      <c r="AJ1155" s="45">
        <v>0</v>
      </c>
      <c r="AK1155" s="45">
        <v>0</v>
      </c>
      <c r="AL1155" s="45">
        <v>0</v>
      </c>
      <c r="AM1155" s="57" t="str">
        <f>I1155-J1155-K1155-L1155-M1155-N1155-O1155-P1155-Q1155-R1155-S1155-T1155-U1155-V1155-W1155-X1155-Y1155-Z1155-AA1155-AB1155-AC1155-AD1155-AE1155-AF1155-AG1155+AH1155-AI1155+AJ1155+AK1155-AL1155</f>
        <v>0</v>
      </c>
      <c r="AN1155" s="45"/>
    </row>
    <row r="1156" spans="1:41">
      <c r="A1156" s="45">
        <v>1128</v>
      </c>
      <c r="B1156" s="45" t="s">
        <v>4513</v>
      </c>
      <c r="C1156" s="49" t="s">
        <v>4514</v>
      </c>
      <c r="D1156" s="53" t="s">
        <v>73</v>
      </c>
      <c r="E1156" s="45" t="s">
        <v>4478</v>
      </c>
      <c r="F1156" s="45" t="s">
        <v>4515</v>
      </c>
      <c r="G1156" s="45">
        <v>15</v>
      </c>
      <c r="H1156" s="53" t="s">
        <v>4516</v>
      </c>
      <c r="I1156" s="45">
        <v>3790000</v>
      </c>
      <c r="J1156" s="45">
        <v>18950</v>
      </c>
      <c r="K1156" s="45">
        <v>60000</v>
      </c>
      <c r="L1156" s="45">
        <v>0</v>
      </c>
      <c r="M1156" s="45">
        <v>0</v>
      </c>
      <c r="N1156" s="45">
        <v>0</v>
      </c>
      <c r="O1156" s="45">
        <v>0</v>
      </c>
      <c r="P1156" s="45">
        <v>0</v>
      </c>
      <c r="Q1156" s="45">
        <v>0</v>
      </c>
      <c r="R1156" s="45">
        <v>0</v>
      </c>
      <c r="S1156" s="45">
        <v>0</v>
      </c>
      <c r="T1156" s="45">
        <v>0</v>
      </c>
      <c r="U1156" s="45">
        <v>3810</v>
      </c>
      <c r="V1156" s="45">
        <v>0</v>
      </c>
      <c r="W1156" s="45">
        <v>0</v>
      </c>
      <c r="X1156" s="45">
        <v>0</v>
      </c>
      <c r="Y1156" s="45">
        <v>0</v>
      </c>
      <c r="Z1156" s="45">
        <v>0</v>
      </c>
      <c r="AA1156" s="45">
        <v>0</v>
      </c>
      <c r="AB1156" s="45">
        <v>0</v>
      </c>
      <c r="AC1156" s="45">
        <v>0</v>
      </c>
      <c r="AD1156" s="45">
        <v>0</v>
      </c>
      <c r="AE1156" s="45">
        <v>0</v>
      </c>
      <c r="AF1156" s="45">
        <v>0</v>
      </c>
      <c r="AG1156" s="45">
        <v>0</v>
      </c>
      <c r="AH1156" s="45">
        <v>0</v>
      </c>
      <c r="AI1156" s="45">
        <v>0</v>
      </c>
      <c r="AJ1156" s="45">
        <v>0</v>
      </c>
      <c r="AK1156" s="45">
        <v>0</v>
      </c>
      <c r="AL1156" s="45">
        <v>0</v>
      </c>
      <c r="AM1156" s="57" t="str">
        <f>I1156-J1156-K1156-L1156-M1156-N1156-O1156-P1156-Q1156-R1156-S1156-T1156-U1156-V1156-W1156-X1156-Y1156-Z1156-AA1156-AB1156-AC1156-AD1156-AE1156-AF1156-AG1156+AH1156-AI1156+AJ1156+AK1156-AL1156</f>
        <v>0</v>
      </c>
      <c r="AN1156" s="45"/>
    </row>
    <row r="1157" spans="1:41">
      <c r="A1157" s="45">
        <v>1129</v>
      </c>
      <c r="B1157" s="45" t="s">
        <v>4517</v>
      </c>
      <c r="C1157" s="49" t="s">
        <v>4518</v>
      </c>
      <c r="D1157" s="53" t="s">
        <v>73</v>
      </c>
      <c r="E1157" s="45" t="s">
        <v>4478</v>
      </c>
      <c r="F1157" s="45" t="s">
        <v>4519</v>
      </c>
      <c r="G1157" s="45">
        <v>6</v>
      </c>
      <c r="H1157" s="53" t="s">
        <v>4520</v>
      </c>
      <c r="I1157" s="45">
        <v>1219000</v>
      </c>
      <c r="J1157" s="45">
        <v>0</v>
      </c>
      <c r="K1157" s="45">
        <v>31000</v>
      </c>
      <c r="L1157" s="45">
        <v>0</v>
      </c>
      <c r="M1157" s="45">
        <v>0</v>
      </c>
      <c r="N1157" s="45">
        <v>0</v>
      </c>
      <c r="O1157" s="45">
        <v>0</v>
      </c>
      <c r="P1157" s="45">
        <v>0</v>
      </c>
      <c r="Q1157" s="45">
        <v>0</v>
      </c>
      <c r="R1157" s="45">
        <v>0</v>
      </c>
      <c r="S1157" s="45">
        <v>0</v>
      </c>
      <c r="T1157" s="45">
        <v>0</v>
      </c>
      <c r="U1157" s="45">
        <v>1968</v>
      </c>
      <c r="V1157" s="45">
        <v>0</v>
      </c>
      <c r="W1157" s="45">
        <v>0</v>
      </c>
      <c r="X1157" s="45">
        <v>0</v>
      </c>
      <c r="Y1157" s="45">
        <v>0</v>
      </c>
      <c r="Z1157" s="45">
        <v>0</v>
      </c>
      <c r="AA1157" s="45">
        <v>0</v>
      </c>
      <c r="AB1157" s="45">
        <v>0</v>
      </c>
      <c r="AC1157" s="45">
        <v>0</v>
      </c>
      <c r="AD1157" s="45">
        <v>0</v>
      </c>
      <c r="AE1157" s="45">
        <v>0</v>
      </c>
      <c r="AF1157" s="45">
        <v>0</v>
      </c>
      <c r="AG1157" s="45">
        <v>0</v>
      </c>
      <c r="AH1157" s="45">
        <v>0</v>
      </c>
      <c r="AI1157" s="45">
        <v>0</v>
      </c>
      <c r="AJ1157" s="45">
        <v>0</v>
      </c>
      <c r="AK1157" s="45">
        <v>0</v>
      </c>
      <c r="AL1157" s="45">
        <v>0</v>
      </c>
      <c r="AM1157" s="57" t="str">
        <f>I1157-J1157-K1157-L1157-M1157-N1157-O1157-P1157-Q1157-R1157-S1157-T1157-U1157-V1157-W1157-X1157-Y1157-Z1157-AA1157-AB1157-AC1157-AD1157-AE1157-AF1157-AG1157+AH1157-AI1157+AJ1157+AK1157-AL1157</f>
        <v>0</v>
      </c>
      <c r="AN1157" s="45"/>
    </row>
    <row r="1158" spans="1:41">
      <c r="A1158" s="45">
        <v>1130</v>
      </c>
      <c r="B1158" s="45" t="s">
        <v>4521</v>
      </c>
      <c r="C1158" s="49" t="s">
        <v>4522</v>
      </c>
      <c r="D1158" s="53" t="s">
        <v>73</v>
      </c>
      <c r="E1158" s="45" t="s">
        <v>4478</v>
      </c>
      <c r="F1158" s="45" t="s">
        <v>2604</v>
      </c>
      <c r="G1158" s="45">
        <v>6</v>
      </c>
      <c r="H1158" s="53" t="s">
        <v>4523</v>
      </c>
      <c r="I1158" s="45">
        <v>1429000</v>
      </c>
      <c r="J1158" s="45">
        <v>0</v>
      </c>
      <c r="K1158" s="45">
        <v>31000</v>
      </c>
      <c r="L1158" s="45">
        <v>0</v>
      </c>
      <c r="M1158" s="45">
        <v>0</v>
      </c>
      <c r="N1158" s="45">
        <v>0</v>
      </c>
      <c r="O1158" s="45">
        <v>0</v>
      </c>
      <c r="P1158" s="45">
        <v>0</v>
      </c>
      <c r="Q1158" s="45">
        <v>0</v>
      </c>
      <c r="R1158" s="45">
        <v>0</v>
      </c>
      <c r="S1158" s="45">
        <v>0</v>
      </c>
      <c r="T1158" s="45">
        <v>0</v>
      </c>
      <c r="U1158" s="45">
        <v>1968</v>
      </c>
      <c r="V1158" s="45">
        <v>0</v>
      </c>
      <c r="W1158" s="45">
        <v>0</v>
      </c>
      <c r="X1158" s="45">
        <v>0</v>
      </c>
      <c r="Y1158" s="45">
        <v>0</v>
      </c>
      <c r="Z1158" s="45">
        <v>0</v>
      </c>
      <c r="AA1158" s="45">
        <v>0</v>
      </c>
      <c r="AB1158" s="45">
        <v>0</v>
      </c>
      <c r="AC1158" s="45">
        <v>0</v>
      </c>
      <c r="AD1158" s="45">
        <v>0</v>
      </c>
      <c r="AE1158" s="45">
        <v>0</v>
      </c>
      <c r="AF1158" s="45">
        <v>0</v>
      </c>
      <c r="AG1158" s="45">
        <v>0</v>
      </c>
      <c r="AH1158" s="45">
        <v>0</v>
      </c>
      <c r="AI1158" s="45">
        <v>0</v>
      </c>
      <c r="AJ1158" s="45">
        <v>0</v>
      </c>
      <c r="AK1158" s="45">
        <v>0</v>
      </c>
      <c r="AL1158" s="45">
        <v>0</v>
      </c>
      <c r="AM1158" s="57" t="str">
        <f>I1158-J1158-K1158-L1158-M1158-N1158-O1158-P1158-Q1158-R1158-S1158-T1158-U1158-V1158-W1158-X1158-Y1158-Z1158-AA1158-AB1158-AC1158-AD1158-AE1158-AF1158-AG1158+AH1158-AI1158+AJ1158+AK1158-AL1158</f>
        <v>0</v>
      </c>
      <c r="AN1158" s="45"/>
    </row>
    <row r="1159" spans="1:41">
      <c r="A1159" s="45">
        <v>1131</v>
      </c>
      <c r="B1159" s="45" t="s">
        <v>4524</v>
      </c>
      <c r="C1159" s="49" t="s">
        <v>4525</v>
      </c>
      <c r="D1159" s="53" t="s">
        <v>73</v>
      </c>
      <c r="E1159" s="45" t="s">
        <v>4478</v>
      </c>
      <c r="F1159" s="45" t="s">
        <v>4526</v>
      </c>
      <c r="G1159" s="45">
        <v>6</v>
      </c>
      <c r="H1159" s="53" t="s">
        <v>4527</v>
      </c>
      <c r="I1159" s="45">
        <v>1035000</v>
      </c>
      <c r="J1159" s="45">
        <v>0</v>
      </c>
      <c r="K1159" s="45">
        <v>31000</v>
      </c>
      <c r="L1159" s="45">
        <v>0</v>
      </c>
      <c r="M1159" s="45">
        <v>0</v>
      </c>
      <c r="N1159" s="45">
        <v>0</v>
      </c>
      <c r="O1159" s="45">
        <v>0</v>
      </c>
      <c r="P1159" s="45">
        <v>0</v>
      </c>
      <c r="Q1159" s="45">
        <v>0</v>
      </c>
      <c r="R1159" s="45">
        <v>0</v>
      </c>
      <c r="S1159" s="45">
        <v>0</v>
      </c>
      <c r="T1159" s="45">
        <v>0</v>
      </c>
      <c r="U1159" s="45">
        <v>1968</v>
      </c>
      <c r="V1159" s="45">
        <v>0</v>
      </c>
      <c r="W1159" s="45">
        <v>0</v>
      </c>
      <c r="X1159" s="45">
        <v>0</v>
      </c>
      <c r="Y1159" s="45">
        <v>0</v>
      </c>
      <c r="Z1159" s="45">
        <v>0</v>
      </c>
      <c r="AA1159" s="45">
        <v>0</v>
      </c>
      <c r="AB1159" s="45">
        <v>0</v>
      </c>
      <c r="AC1159" s="45">
        <v>0</v>
      </c>
      <c r="AD1159" s="45">
        <v>0</v>
      </c>
      <c r="AE1159" s="45">
        <v>0</v>
      </c>
      <c r="AF1159" s="45">
        <v>0</v>
      </c>
      <c r="AG1159" s="45">
        <v>0</v>
      </c>
      <c r="AH1159" s="45">
        <v>0</v>
      </c>
      <c r="AI1159" s="45">
        <v>0</v>
      </c>
      <c r="AJ1159" s="45">
        <v>0</v>
      </c>
      <c r="AK1159" s="45">
        <v>0</v>
      </c>
      <c r="AL1159" s="45">
        <v>0</v>
      </c>
      <c r="AM1159" s="57" t="str">
        <f>I1159-J1159-K1159-L1159-M1159-N1159-O1159-P1159-Q1159-R1159-S1159-T1159-U1159-V1159-W1159-X1159-Y1159-Z1159-AA1159-AB1159-AC1159-AD1159-AE1159-AF1159-AG1159+AH1159-AI1159+AJ1159+AK1159-AL1159</f>
        <v>0</v>
      </c>
      <c r="AN1159" s="45"/>
    </row>
    <row r="1160" spans="1:41">
      <c r="A1160" s="45">
        <v>1132</v>
      </c>
      <c r="B1160" s="45" t="s">
        <v>4528</v>
      </c>
      <c r="C1160" s="49" t="s">
        <v>4529</v>
      </c>
      <c r="D1160" s="53" t="s">
        <v>62</v>
      </c>
      <c r="E1160" s="45" t="s">
        <v>4478</v>
      </c>
      <c r="F1160" s="45" t="s">
        <v>4530</v>
      </c>
      <c r="G1160" s="45">
        <v>3</v>
      </c>
      <c r="H1160" s="53" t="s">
        <v>4531</v>
      </c>
      <c r="I1160" s="45">
        <v>0</v>
      </c>
      <c r="J1160" s="45">
        <v>0</v>
      </c>
      <c r="K1160" s="45">
        <v>22000</v>
      </c>
      <c r="L1160" s="45">
        <v>0</v>
      </c>
      <c r="M1160" s="45">
        <v>0</v>
      </c>
      <c r="N1160" s="45">
        <v>0</v>
      </c>
      <c r="O1160" s="45">
        <v>0</v>
      </c>
      <c r="P1160" s="45">
        <v>0</v>
      </c>
      <c r="Q1160" s="45">
        <v>0</v>
      </c>
      <c r="R1160" s="45">
        <v>0</v>
      </c>
      <c r="S1160" s="45">
        <v>0</v>
      </c>
      <c r="T1160" s="45">
        <v>0</v>
      </c>
      <c r="U1160" s="45">
        <v>1397</v>
      </c>
      <c r="V1160" s="45">
        <v>0</v>
      </c>
      <c r="W1160" s="45">
        <v>0</v>
      </c>
      <c r="X1160" s="45">
        <v>0</v>
      </c>
      <c r="Y1160" s="45">
        <v>5000</v>
      </c>
      <c r="Z1160" s="45">
        <v>0</v>
      </c>
      <c r="AA1160" s="45">
        <v>0</v>
      </c>
      <c r="AB1160" s="45">
        <v>0</v>
      </c>
      <c r="AC1160" s="45">
        <v>0</v>
      </c>
      <c r="AD1160" s="45">
        <v>0</v>
      </c>
      <c r="AE1160" s="45">
        <v>0</v>
      </c>
      <c r="AF1160" s="45">
        <v>0</v>
      </c>
      <c r="AG1160" s="45">
        <v>0</v>
      </c>
      <c r="AH1160" s="45">
        <v>0</v>
      </c>
      <c r="AI1160" s="45">
        <v>0</v>
      </c>
      <c r="AJ1160" s="45">
        <v>0</v>
      </c>
      <c r="AK1160" s="45">
        <v>0</v>
      </c>
      <c r="AL1160" s="45">
        <v>0</v>
      </c>
      <c r="AM1160" s="57" t="str">
        <f>I1160-J1160-K1160-L1160-M1160-N1160-O1160-P1160-Q1160-R1160-S1160-T1160-U1160-V1160-W1160-X1160-Y1160-Z1160-AA1160-AB1160-AC1160-AD1160-AE1160-AF1160-AG1160+AH1160-AI1160+AJ1160+AK1160-AL1160</f>
        <v>0</v>
      </c>
      <c r="AN1160" s="45"/>
    </row>
    <row r="1161" spans="1:41">
      <c r="A1161" s="45">
        <v>1133</v>
      </c>
      <c r="B1161" s="45" t="s">
        <v>4532</v>
      </c>
      <c r="C1161" s="49" t="s">
        <v>4533</v>
      </c>
      <c r="D1161" s="53" t="s">
        <v>73</v>
      </c>
      <c r="E1161" s="45" t="s">
        <v>4478</v>
      </c>
      <c r="F1161" s="45" t="s">
        <v>4534</v>
      </c>
      <c r="G1161" s="45">
        <v>13.2</v>
      </c>
      <c r="H1161" s="53" t="s">
        <v>4535</v>
      </c>
      <c r="I1161" s="45">
        <v>1830000</v>
      </c>
      <c r="J1161" s="45">
        <v>0</v>
      </c>
      <c r="K1161" s="45">
        <v>69000</v>
      </c>
      <c r="L1161" s="45">
        <v>0</v>
      </c>
      <c r="M1161" s="45">
        <v>0</v>
      </c>
      <c r="N1161" s="45">
        <v>0</v>
      </c>
      <c r="O1161" s="45">
        <v>0</v>
      </c>
      <c r="P1161" s="45">
        <v>0</v>
      </c>
      <c r="Q1161" s="45">
        <v>0</v>
      </c>
      <c r="R1161" s="45">
        <v>0</v>
      </c>
      <c r="S1161" s="45">
        <v>0</v>
      </c>
      <c r="T1161" s="45">
        <v>0</v>
      </c>
      <c r="U1161" s="45">
        <v>4381</v>
      </c>
      <c r="V1161" s="45">
        <v>0</v>
      </c>
      <c r="W1161" s="45">
        <v>0</v>
      </c>
      <c r="X1161" s="45">
        <v>0</v>
      </c>
      <c r="Y1161" s="45">
        <v>0</v>
      </c>
      <c r="Z1161" s="45">
        <v>0</v>
      </c>
      <c r="AA1161" s="45">
        <v>0</v>
      </c>
      <c r="AB1161" s="45">
        <v>0</v>
      </c>
      <c r="AC1161" s="45">
        <v>0</v>
      </c>
      <c r="AD1161" s="45">
        <v>0</v>
      </c>
      <c r="AE1161" s="45">
        <v>0</v>
      </c>
      <c r="AF1161" s="45">
        <v>0</v>
      </c>
      <c r="AG1161" s="45">
        <v>0</v>
      </c>
      <c r="AH1161" s="45">
        <v>0</v>
      </c>
      <c r="AI1161" s="45">
        <v>0</v>
      </c>
      <c r="AJ1161" s="45">
        <v>0</v>
      </c>
      <c r="AK1161" s="45">
        <v>0</v>
      </c>
      <c r="AL1161" s="45">
        <v>0</v>
      </c>
      <c r="AM1161" s="57" t="str">
        <f>I1161-J1161-K1161-L1161-M1161-N1161-O1161-P1161-Q1161-R1161-S1161-T1161-U1161-V1161-W1161-X1161-Y1161-Z1161-AA1161-AB1161-AC1161-AD1161-AE1161-AF1161-AG1161+AH1161-AI1161+AJ1161+AK1161-AL1161</f>
        <v>0</v>
      </c>
      <c r="AN1161" s="45"/>
    </row>
    <row r="1162" spans="1:41">
      <c r="A1162" s="45">
        <v>1134</v>
      </c>
      <c r="B1162" s="45" t="s">
        <v>4536</v>
      </c>
      <c r="C1162" s="49" t="s">
        <v>4537</v>
      </c>
      <c r="D1162" s="53" t="s">
        <v>73</v>
      </c>
      <c r="E1162" s="45" t="s">
        <v>4478</v>
      </c>
      <c r="F1162" s="45" t="s">
        <v>4538</v>
      </c>
      <c r="G1162" s="45">
        <v>4</v>
      </c>
      <c r="H1162" s="53" t="s">
        <v>4539</v>
      </c>
      <c r="I1162" s="45">
        <v>255000</v>
      </c>
      <c r="J1162" s="45">
        <v>0</v>
      </c>
      <c r="K1162" s="45">
        <v>25000</v>
      </c>
      <c r="L1162" s="45">
        <v>0</v>
      </c>
      <c r="M1162" s="45">
        <v>0</v>
      </c>
      <c r="N1162" s="45">
        <v>0</v>
      </c>
      <c r="O1162" s="45">
        <v>0</v>
      </c>
      <c r="P1162" s="45">
        <v>0</v>
      </c>
      <c r="Q1162" s="45">
        <v>0</v>
      </c>
      <c r="R1162" s="45">
        <v>0</v>
      </c>
      <c r="S1162" s="45">
        <v>0</v>
      </c>
      <c r="T1162" s="45">
        <v>0</v>
      </c>
      <c r="U1162" s="45">
        <v>1587</v>
      </c>
      <c r="V1162" s="45">
        <v>0</v>
      </c>
      <c r="W1162" s="45">
        <v>0</v>
      </c>
      <c r="X1162" s="45">
        <v>0</v>
      </c>
      <c r="Y1162" s="45">
        <v>0</v>
      </c>
      <c r="Z1162" s="45">
        <v>0</v>
      </c>
      <c r="AA1162" s="45">
        <v>0</v>
      </c>
      <c r="AB1162" s="45">
        <v>0</v>
      </c>
      <c r="AC1162" s="45">
        <v>0</v>
      </c>
      <c r="AD1162" s="45">
        <v>0</v>
      </c>
      <c r="AE1162" s="45">
        <v>0</v>
      </c>
      <c r="AF1162" s="45">
        <v>0</v>
      </c>
      <c r="AG1162" s="45">
        <v>0</v>
      </c>
      <c r="AH1162" s="45">
        <v>0</v>
      </c>
      <c r="AI1162" s="45">
        <v>0</v>
      </c>
      <c r="AJ1162" s="45">
        <v>0</v>
      </c>
      <c r="AK1162" s="45">
        <v>0</v>
      </c>
      <c r="AL1162" s="45">
        <v>0</v>
      </c>
      <c r="AM1162" s="57" t="str">
        <f>I1162-J1162-K1162-L1162-M1162-N1162-O1162-P1162-Q1162-R1162-S1162-T1162-U1162-V1162-W1162-X1162-Y1162-Z1162-AA1162-AB1162-AC1162-AD1162-AE1162-AF1162-AG1162+AH1162-AI1162+AJ1162+AK1162-AL1162</f>
        <v>0</v>
      </c>
      <c r="AN1162" s="45"/>
    </row>
    <row r="1163" spans="1:41">
      <c r="A1163" s="45">
        <v>1135</v>
      </c>
      <c r="B1163" s="45" t="s">
        <v>4540</v>
      </c>
      <c r="C1163" s="49" t="s">
        <v>4541</v>
      </c>
      <c r="D1163" s="53" t="s">
        <v>73</v>
      </c>
      <c r="E1163" s="45" t="s">
        <v>4478</v>
      </c>
      <c r="F1163" s="45" t="s">
        <v>4542</v>
      </c>
      <c r="G1163" s="45">
        <v>4</v>
      </c>
      <c r="H1163" s="53" t="s">
        <v>4543</v>
      </c>
      <c r="I1163" s="45">
        <v>1455000</v>
      </c>
      <c r="J1163" s="45">
        <v>0</v>
      </c>
      <c r="K1163" s="45">
        <v>25000</v>
      </c>
      <c r="L1163" s="45">
        <v>0</v>
      </c>
      <c r="M1163" s="45">
        <v>0</v>
      </c>
      <c r="N1163" s="45">
        <v>0</v>
      </c>
      <c r="O1163" s="45">
        <v>0</v>
      </c>
      <c r="P1163" s="45">
        <v>0</v>
      </c>
      <c r="Q1163" s="45">
        <v>0</v>
      </c>
      <c r="R1163" s="45">
        <v>0</v>
      </c>
      <c r="S1163" s="45">
        <v>0</v>
      </c>
      <c r="T1163" s="45">
        <v>0</v>
      </c>
      <c r="U1163" s="45">
        <v>1587</v>
      </c>
      <c r="V1163" s="45">
        <v>0</v>
      </c>
      <c r="W1163" s="45">
        <v>0</v>
      </c>
      <c r="X1163" s="45">
        <v>0</v>
      </c>
      <c r="Y1163" s="45">
        <v>0</v>
      </c>
      <c r="Z1163" s="45">
        <v>0</v>
      </c>
      <c r="AA1163" s="45">
        <v>0</v>
      </c>
      <c r="AB1163" s="45">
        <v>0</v>
      </c>
      <c r="AC1163" s="45">
        <v>0</v>
      </c>
      <c r="AD1163" s="45">
        <v>0</v>
      </c>
      <c r="AE1163" s="45">
        <v>0</v>
      </c>
      <c r="AF1163" s="45">
        <v>0</v>
      </c>
      <c r="AG1163" s="45">
        <v>0</v>
      </c>
      <c r="AH1163" s="45">
        <v>0</v>
      </c>
      <c r="AI1163" s="45">
        <v>0</v>
      </c>
      <c r="AJ1163" s="45">
        <v>0</v>
      </c>
      <c r="AK1163" s="45">
        <v>0</v>
      </c>
      <c r="AL1163" s="45">
        <v>0</v>
      </c>
      <c r="AM1163" s="57" t="str">
        <f>I1163-J1163-K1163-L1163-M1163-N1163-O1163-P1163-Q1163-R1163-S1163-T1163-U1163-V1163-W1163-X1163-Y1163-Z1163-AA1163-AB1163-AC1163-AD1163-AE1163-AF1163-AG1163+AH1163-AI1163+AJ1163+AK1163-AL1163</f>
        <v>0</v>
      </c>
      <c r="AN1163" s="45"/>
    </row>
    <row r="1164" spans="1:41">
      <c r="A1164" s="45">
        <v>1136</v>
      </c>
      <c r="B1164" s="45" t="s">
        <v>4544</v>
      </c>
      <c r="C1164" s="49" t="s">
        <v>4545</v>
      </c>
      <c r="D1164" s="53" t="s">
        <v>73</v>
      </c>
      <c r="E1164" s="45" t="s">
        <v>4478</v>
      </c>
      <c r="F1164" s="45" t="s">
        <v>4546</v>
      </c>
      <c r="G1164" s="45">
        <v>3</v>
      </c>
      <c r="H1164" s="53" t="s">
        <v>4547</v>
      </c>
      <c r="I1164" s="45">
        <v>560000</v>
      </c>
      <c r="J1164" s="45">
        <v>0</v>
      </c>
      <c r="K1164" s="45">
        <v>22000</v>
      </c>
      <c r="L1164" s="45">
        <v>0</v>
      </c>
      <c r="M1164" s="45">
        <v>0</v>
      </c>
      <c r="N1164" s="45">
        <v>0</v>
      </c>
      <c r="O1164" s="45">
        <v>0</v>
      </c>
      <c r="P1164" s="45">
        <v>0</v>
      </c>
      <c r="Q1164" s="45">
        <v>0</v>
      </c>
      <c r="R1164" s="45">
        <v>0</v>
      </c>
      <c r="S1164" s="45">
        <v>0</v>
      </c>
      <c r="T1164" s="45">
        <v>0</v>
      </c>
      <c r="U1164" s="45">
        <v>1397</v>
      </c>
      <c r="V1164" s="45">
        <v>0</v>
      </c>
      <c r="W1164" s="45">
        <v>0</v>
      </c>
      <c r="X1164" s="45">
        <v>0</v>
      </c>
      <c r="Y1164" s="45">
        <v>0</v>
      </c>
      <c r="Z1164" s="45">
        <v>0</v>
      </c>
      <c r="AA1164" s="45">
        <v>0</v>
      </c>
      <c r="AB1164" s="45">
        <v>0</v>
      </c>
      <c r="AC1164" s="45">
        <v>0</v>
      </c>
      <c r="AD1164" s="45">
        <v>0</v>
      </c>
      <c r="AE1164" s="45">
        <v>0</v>
      </c>
      <c r="AF1164" s="45">
        <v>0</v>
      </c>
      <c r="AG1164" s="45">
        <v>0</v>
      </c>
      <c r="AH1164" s="45">
        <v>0</v>
      </c>
      <c r="AI1164" s="45">
        <v>0</v>
      </c>
      <c r="AJ1164" s="45">
        <v>0</v>
      </c>
      <c r="AK1164" s="45">
        <v>0</v>
      </c>
      <c r="AL1164" s="45">
        <v>0</v>
      </c>
      <c r="AM1164" s="57" t="str">
        <f>I1164-J1164-K1164-L1164-M1164-N1164-O1164-P1164-Q1164-R1164-S1164-T1164-U1164-V1164-W1164-X1164-Y1164-Z1164-AA1164-AB1164-AC1164-AD1164-AE1164-AF1164-AG1164+AH1164-AI1164+AJ1164+AK1164-AL1164</f>
        <v>0</v>
      </c>
      <c r="AN1164" s="45"/>
    </row>
    <row r="1165" spans="1:41">
      <c r="A1165" s="45">
        <v>1137</v>
      </c>
      <c r="B1165" s="45" t="s">
        <v>4548</v>
      </c>
      <c r="C1165" s="49" t="s">
        <v>4549</v>
      </c>
      <c r="D1165" s="53" t="s">
        <v>73</v>
      </c>
      <c r="E1165" s="45" t="s">
        <v>4478</v>
      </c>
      <c r="F1165" s="45" t="s">
        <v>4550</v>
      </c>
      <c r="G1165" s="45">
        <v>3</v>
      </c>
      <c r="H1165" s="53" t="s">
        <v>4551</v>
      </c>
      <c r="I1165" s="45">
        <v>394000</v>
      </c>
      <c r="J1165" s="45">
        <v>0</v>
      </c>
      <c r="K1165" s="45">
        <v>22000</v>
      </c>
      <c r="L1165" s="45">
        <v>0</v>
      </c>
      <c r="M1165" s="45">
        <v>0</v>
      </c>
      <c r="N1165" s="45">
        <v>0</v>
      </c>
      <c r="O1165" s="45">
        <v>0</v>
      </c>
      <c r="P1165" s="45">
        <v>0</v>
      </c>
      <c r="Q1165" s="45">
        <v>0</v>
      </c>
      <c r="R1165" s="45">
        <v>0</v>
      </c>
      <c r="S1165" s="45">
        <v>0</v>
      </c>
      <c r="T1165" s="45">
        <v>0</v>
      </c>
      <c r="U1165" s="45">
        <v>1397</v>
      </c>
      <c r="V1165" s="45">
        <v>0</v>
      </c>
      <c r="W1165" s="45">
        <v>0</v>
      </c>
      <c r="X1165" s="45">
        <v>0</v>
      </c>
      <c r="Y1165" s="45">
        <v>0</v>
      </c>
      <c r="Z1165" s="45">
        <v>0</v>
      </c>
      <c r="AA1165" s="45">
        <v>0</v>
      </c>
      <c r="AB1165" s="45">
        <v>0</v>
      </c>
      <c r="AC1165" s="45">
        <v>0</v>
      </c>
      <c r="AD1165" s="45">
        <v>0</v>
      </c>
      <c r="AE1165" s="45">
        <v>0</v>
      </c>
      <c r="AF1165" s="45">
        <v>0</v>
      </c>
      <c r="AG1165" s="45">
        <v>0</v>
      </c>
      <c r="AH1165" s="45">
        <v>0</v>
      </c>
      <c r="AI1165" s="45">
        <v>0</v>
      </c>
      <c r="AJ1165" s="45">
        <v>0</v>
      </c>
      <c r="AK1165" s="45">
        <v>0</v>
      </c>
      <c r="AL1165" s="45">
        <v>0</v>
      </c>
      <c r="AM1165" s="57" t="str">
        <f>I1165-J1165-K1165-L1165-M1165-N1165-O1165-P1165-Q1165-R1165-S1165-T1165-U1165-V1165-W1165-X1165-Y1165-Z1165-AA1165-AB1165-AC1165-AD1165-AE1165-AF1165-AG1165+AH1165-AI1165+AJ1165+AK1165-AL1165</f>
        <v>0</v>
      </c>
      <c r="AN1165" s="45"/>
    </row>
    <row r="1166" spans="1:41">
      <c r="A1166" s="45">
        <v>1138</v>
      </c>
      <c r="B1166" s="45" t="s">
        <v>4552</v>
      </c>
      <c r="C1166" s="49" t="s">
        <v>4553</v>
      </c>
      <c r="D1166" s="53" t="s">
        <v>73</v>
      </c>
      <c r="E1166" s="45" t="s">
        <v>4478</v>
      </c>
      <c r="F1166" s="45" t="s">
        <v>4554</v>
      </c>
      <c r="G1166" s="45">
        <v>5.8</v>
      </c>
      <c r="H1166" s="53" t="s">
        <v>4555</v>
      </c>
      <c r="I1166" s="45">
        <v>634000</v>
      </c>
      <c r="J1166" s="45">
        <v>0</v>
      </c>
      <c r="K1166" s="45">
        <v>31000</v>
      </c>
      <c r="L1166" s="45">
        <v>0</v>
      </c>
      <c r="M1166" s="45">
        <v>0</v>
      </c>
      <c r="N1166" s="45">
        <v>0</v>
      </c>
      <c r="O1166" s="45">
        <v>0</v>
      </c>
      <c r="P1166" s="45">
        <v>0</v>
      </c>
      <c r="Q1166" s="45">
        <v>0</v>
      </c>
      <c r="R1166" s="45">
        <v>0</v>
      </c>
      <c r="S1166" s="45">
        <v>0</v>
      </c>
      <c r="T1166" s="45">
        <v>0</v>
      </c>
      <c r="U1166" s="45">
        <v>1968</v>
      </c>
      <c r="V1166" s="45">
        <v>0</v>
      </c>
      <c r="W1166" s="45">
        <v>0</v>
      </c>
      <c r="X1166" s="45">
        <v>0</v>
      </c>
      <c r="Y1166" s="45">
        <v>0</v>
      </c>
      <c r="Z1166" s="45">
        <v>0</v>
      </c>
      <c r="AA1166" s="45">
        <v>0</v>
      </c>
      <c r="AB1166" s="45">
        <v>0</v>
      </c>
      <c r="AC1166" s="45">
        <v>0</v>
      </c>
      <c r="AD1166" s="45">
        <v>0</v>
      </c>
      <c r="AE1166" s="45">
        <v>0</v>
      </c>
      <c r="AF1166" s="45">
        <v>0</v>
      </c>
      <c r="AG1166" s="45">
        <v>0</v>
      </c>
      <c r="AH1166" s="45">
        <v>0</v>
      </c>
      <c r="AI1166" s="45">
        <v>0</v>
      </c>
      <c r="AJ1166" s="45">
        <v>0</v>
      </c>
      <c r="AK1166" s="45">
        <v>0</v>
      </c>
      <c r="AL1166" s="45">
        <v>0</v>
      </c>
      <c r="AM1166" s="57" t="str">
        <f>I1166-J1166-K1166-L1166-M1166-N1166-O1166-P1166-Q1166-R1166-S1166-T1166-U1166-V1166-W1166-X1166-Y1166-Z1166-AA1166-AB1166-AC1166-AD1166-AE1166-AF1166-AG1166+AH1166-AI1166+AJ1166+AK1166-AL1166</f>
        <v>0</v>
      </c>
      <c r="AN1166" s="45"/>
    </row>
    <row r="1167" spans="1:41">
      <c r="A1167" s="45">
        <v>1139</v>
      </c>
      <c r="B1167" s="45" t="s">
        <v>4556</v>
      </c>
      <c r="C1167" s="49" t="s">
        <v>4557</v>
      </c>
      <c r="D1167" s="53" t="s">
        <v>73</v>
      </c>
      <c r="E1167" s="45" t="s">
        <v>4478</v>
      </c>
      <c r="F1167" s="45" t="s">
        <v>4558</v>
      </c>
      <c r="G1167" s="45">
        <v>10</v>
      </c>
      <c r="H1167" s="53" t="s">
        <v>4559</v>
      </c>
      <c r="I1167" s="45">
        <v>1165000</v>
      </c>
      <c r="J1167" s="45">
        <v>0</v>
      </c>
      <c r="K1167" s="45">
        <v>49000</v>
      </c>
      <c r="L1167" s="45">
        <v>0</v>
      </c>
      <c r="M1167" s="45">
        <v>0</v>
      </c>
      <c r="N1167" s="45">
        <v>0</v>
      </c>
      <c r="O1167" s="45">
        <v>0</v>
      </c>
      <c r="P1167" s="45">
        <v>0</v>
      </c>
      <c r="Q1167" s="45">
        <v>0</v>
      </c>
      <c r="R1167" s="45">
        <v>0</v>
      </c>
      <c r="S1167" s="45">
        <v>0</v>
      </c>
      <c r="T1167" s="45">
        <v>0</v>
      </c>
      <c r="U1167" s="45">
        <v>3111</v>
      </c>
      <c r="V1167" s="45">
        <v>0</v>
      </c>
      <c r="W1167" s="45">
        <v>0</v>
      </c>
      <c r="X1167" s="45">
        <v>0</v>
      </c>
      <c r="Y1167" s="45">
        <v>0</v>
      </c>
      <c r="Z1167" s="45">
        <v>0</v>
      </c>
      <c r="AA1167" s="45">
        <v>0</v>
      </c>
      <c r="AB1167" s="45">
        <v>0</v>
      </c>
      <c r="AC1167" s="45">
        <v>0</v>
      </c>
      <c r="AD1167" s="45">
        <v>0</v>
      </c>
      <c r="AE1167" s="45">
        <v>0</v>
      </c>
      <c r="AF1167" s="45">
        <v>0</v>
      </c>
      <c r="AG1167" s="45">
        <v>0</v>
      </c>
      <c r="AH1167" s="45">
        <v>0</v>
      </c>
      <c r="AI1167" s="45">
        <v>0</v>
      </c>
      <c r="AJ1167" s="45">
        <v>0</v>
      </c>
      <c r="AK1167" s="45">
        <v>0</v>
      </c>
      <c r="AL1167" s="45">
        <v>0</v>
      </c>
      <c r="AM1167" s="57" t="str">
        <f>I1167-J1167-K1167-L1167-M1167-N1167-O1167-P1167-Q1167-R1167-S1167-T1167-U1167-V1167-W1167-X1167-Y1167-Z1167-AA1167-AB1167-AC1167-AD1167-AE1167-AF1167-AG1167+AH1167-AI1167+AJ1167+AK1167-AL1167</f>
        <v>0</v>
      </c>
      <c r="AN1167" s="45"/>
    </row>
    <row r="1168" spans="1:41">
      <c r="A1168" s="45">
        <v>1140</v>
      </c>
      <c r="B1168" s="45" t="s">
        <v>4560</v>
      </c>
      <c r="C1168" s="49" t="s">
        <v>4561</v>
      </c>
      <c r="D1168" s="53" t="s">
        <v>73</v>
      </c>
      <c r="E1168" s="45" t="s">
        <v>4562</v>
      </c>
      <c r="F1168" s="45" t="s">
        <v>3275</v>
      </c>
      <c r="G1168" s="45">
        <v>9</v>
      </c>
      <c r="H1168" s="53" t="s">
        <v>4563</v>
      </c>
      <c r="I1168" s="45">
        <v>1817000</v>
      </c>
      <c r="J1168" s="45">
        <v>0</v>
      </c>
      <c r="K1168" s="45">
        <v>44000</v>
      </c>
      <c r="L1168" s="45">
        <v>0</v>
      </c>
      <c r="M1168" s="45">
        <v>0</v>
      </c>
      <c r="N1168" s="45">
        <v>0</v>
      </c>
      <c r="O1168" s="45">
        <v>0</v>
      </c>
      <c r="P1168" s="45">
        <v>0</v>
      </c>
      <c r="Q1168" s="45">
        <v>0</v>
      </c>
      <c r="R1168" s="45">
        <v>0</v>
      </c>
      <c r="S1168" s="45">
        <v>0</v>
      </c>
      <c r="T1168" s="45">
        <v>0</v>
      </c>
      <c r="U1168" s="45">
        <v>2794</v>
      </c>
      <c r="V1168" s="45">
        <v>0</v>
      </c>
      <c r="W1168" s="45">
        <v>0</v>
      </c>
      <c r="X1168" s="45">
        <v>0</v>
      </c>
      <c r="Y1168" s="45">
        <v>0</v>
      </c>
      <c r="Z1168" s="45">
        <v>0</v>
      </c>
      <c r="AA1168" s="45">
        <v>0</v>
      </c>
      <c r="AB1168" s="45">
        <v>0</v>
      </c>
      <c r="AC1168" s="45">
        <v>0</v>
      </c>
      <c r="AD1168" s="45">
        <v>0</v>
      </c>
      <c r="AE1168" s="45">
        <v>0</v>
      </c>
      <c r="AF1168" s="45">
        <v>0</v>
      </c>
      <c r="AG1168" s="45">
        <v>0</v>
      </c>
      <c r="AH1168" s="45">
        <v>0</v>
      </c>
      <c r="AI1168" s="45">
        <v>0</v>
      </c>
      <c r="AJ1168" s="45">
        <v>0</v>
      </c>
      <c r="AK1168" s="45">
        <v>0</v>
      </c>
      <c r="AL1168" s="45">
        <v>0</v>
      </c>
      <c r="AM1168" s="57" t="str">
        <f>I1168-J1168-K1168-L1168-M1168-N1168-O1168-P1168-Q1168-R1168-S1168-T1168-U1168-V1168-W1168-X1168-Y1168-Z1168-AA1168-AB1168-AC1168-AD1168-AE1168-AF1168-AG1168+AH1168-AI1168+AJ1168+AK1168-AL1168</f>
        <v>0</v>
      </c>
      <c r="AN1168" s="45"/>
    </row>
    <row r="1169" spans="1:41">
      <c r="A1169" s="45">
        <v>1141</v>
      </c>
      <c r="B1169" s="45" t="s">
        <v>4564</v>
      </c>
      <c r="C1169" s="49" t="s">
        <v>4565</v>
      </c>
      <c r="D1169" s="53" t="s">
        <v>73</v>
      </c>
      <c r="E1169" s="45" t="s">
        <v>4562</v>
      </c>
      <c r="F1169" s="45" t="s">
        <v>4566</v>
      </c>
      <c r="G1169" s="45">
        <v>3</v>
      </c>
      <c r="H1169" s="53" t="s">
        <v>4567</v>
      </c>
      <c r="I1169" s="45">
        <v>320000</v>
      </c>
      <c r="J1169" s="45">
        <v>0</v>
      </c>
      <c r="K1169" s="45">
        <v>22000</v>
      </c>
      <c r="L1169" s="45">
        <v>0</v>
      </c>
      <c r="M1169" s="45">
        <v>0</v>
      </c>
      <c r="N1169" s="45">
        <v>0</v>
      </c>
      <c r="O1169" s="45">
        <v>0</v>
      </c>
      <c r="P1169" s="45">
        <v>0</v>
      </c>
      <c r="Q1169" s="45">
        <v>0</v>
      </c>
      <c r="R1169" s="45">
        <v>0</v>
      </c>
      <c r="S1169" s="45">
        <v>0</v>
      </c>
      <c r="T1169" s="45">
        <v>0</v>
      </c>
      <c r="U1169" s="45">
        <v>1397</v>
      </c>
      <c r="V1169" s="45">
        <v>0</v>
      </c>
      <c r="W1169" s="45">
        <v>0</v>
      </c>
      <c r="X1169" s="45">
        <v>0</v>
      </c>
      <c r="Y1169" s="45">
        <v>0</v>
      </c>
      <c r="Z1169" s="45">
        <v>0</v>
      </c>
      <c r="AA1169" s="45">
        <v>0</v>
      </c>
      <c r="AB1169" s="45">
        <v>0</v>
      </c>
      <c r="AC1169" s="45">
        <v>0</v>
      </c>
      <c r="AD1169" s="45">
        <v>0</v>
      </c>
      <c r="AE1169" s="45">
        <v>0</v>
      </c>
      <c r="AF1169" s="45">
        <v>0</v>
      </c>
      <c r="AG1169" s="45">
        <v>0</v>
      </c>
      <c r="AH1169" s="45">
        <v>0</v>
      </c>
      <c r="AI1169" s="45">
        <v>0</v>
      </c>
      <c r="AJ1169" s="45">
        <v>0</v>
      </c>
      <c r="AK1169" s="45">
        <v>0</v>
      </c>
      <c r="AL1169" s="45">
        <v>0</v>
      </c>
      <c r="AM1169" s="57" t="str">
        <f>I1169-J1169-K1169-L1169-M1169-N1169-O1169-P1169-Q1169-R1169-S1169-T1169-U1169-V1169-W1169-X1169-Y1169-Z1169-AA1169-AB1169-AC1169-AD1169-AE1169-AF1169-AG1169+AH1169-AI1169+AJ1169+AK1169-AL1169</f>
        <v>0</v>
      </c>
      <c r="AN1169" s="45"/>
    </row>
    <row r="1170" spans="1:41">
      <c r="A1170" s="45">
        <v>1142</v>
      </c>
      <c r="B1170" s="45" t="s">
        <v>4568</v>
      </c>
      <c r="C1170" s="49" t="s">
        <v>4569</v>
      </c>
      <c r="D1170" s="53" t="s">
        <v>73</v>
      </c>
      <c r="E1170" s="45" t="s">
        <v>4562</v>
      </c>
      <c r="F1170" s="45" t="s">
        <v>2563</v>
      </c>
      <c r="G1170" s="45">
        <v>4</v>
      </c>
      <c r="H1170" s="53" t="s">
        <v>4570</v>
      </c>
      <c r="I1170" s="45">
        <v>1455000</v>
      </c>
      <c r="J1170" s="45">
        <v>0</v>
      </c>
      <c r="K1170" s="45">
        <v>25000</v>
      </c>
      <c r="L1170" s="45">
        <v>0</v>
      </c>
      <c r="M1170" s="45">
        <v>0</v>
      </c>
      <c r="N1170" s="45">
        <v>0</v>
      </c>
      <c r="O1170" s="45">
        <v>0</v>
      </c>
      <c r="P1170" s="45">
        <v>0</v>
      </c>
      <c r="Q1170" s="45">
        <v>0</v>
      </c>
      <c r="R1170" s="45">
        <v>0</v>
      </c>
      <c r="S1170" s="45">
        <v>0</v>
      </c>
      <c r="T1170" s="45">
        <v>0</v>
      </c>
      <c r="U1170" s="45">
        <v>1587</v>
      </c>
      <c r="V1170" s="45">
        <v>0</v>
      </c>
      <c r="W1170" s="45">
        <v>0</v>
      </c>
      <c r="X1170" s="45">
        <v>0</v>
      </c>
      <c r="Y1170" s="45">
        <v>0</v>
      </c>
      <c r="Z1170" s="45">
        <v>0</v>
      </c>
      <c r="AA1170" s="45">
        <v>0</v>
      </c>
      <c r="AB1170" s="45">
        <v>0</v>
      </c>
      <c r="AC1170" s="45">
        <v>0</v>
      </c>
      <c r="AD1170" s="45">
        <v>0</v>
      </c>
      <c r="AE1170" s="45">
        <v>0</v>
      </c>
      <c r="AF1170" s="45">
        <v>0</v>
      </c>
      <c r="AG1170" s="45">
        <v>0</v>
      </c>
      <c r="AH1170" s="45">
        <v>0</v>
      </c>
      <c r="AI1170" s="45">
        <v>0</v>
      </c>
      <c r="AJ1170" s="45">
        <v>0</v>
      </c>
      <c r="AK1170" s="45">
        <v>0</v>
      </c>
      <c r="AL1170" s="45">
        <v>0</v>
      </c>
      <c r="AM1170" s="57" t="str">
        <f>I1170-J1170-K1170-L1170-M1170-N1170-O1170-P1170-Q1170-R1170-S1170-T1170-U1170-V1170-W1170-X1170-Y1170-Z1170-AA1170-AB1170-AC1170-AD1170-AE1170-AF1170-AG1170+AH1170-AI1170+AJ1170+AK1170-AL1170</f>
        <v>0</v>
      </c>
      <c r="AN1170" s="45"/>
    </row>
    <row r="1171" spans="1:41">
      <c r="A1171" s="45">
        <v>1143</v>
      </c>
      <c r="B1171" s="45" t="s">
        <v>4571</v>
      </c>
      <c r="C1171" s="49" t="s">
        <v>4572</v>
      </c>
      <c r="D1171" s="53" t="s">
        <v>73</v>
      </c>
      <c r="E1171" s="45" t="s">
        <v>4562</v>
      </c>
      <c r="F1171" s="45" t="s">
        <v>4573</v>
      </c>
      <c r="G1171" s="45">
        <v>5.1</v>
      </c>
      <c r="H1171" s="53" t="s">
        <v>4574</v>
      </c>
      <c r="I1171" s="45">
        <v>1070000</v>
      </c>
      <c r="J1171" s="45">
        <v>0</v>
      </c>
      <c r="K1171" s="45">
        <v>31000</v>
      </c>
      <c r="L1171" s="45">
        <v>0</v>
      </c>
      <c r="M1171" s="45">
        <v>0</v>
      </c>
      <c r="N1171" s="45">
        <v>0</v>
      </c>
      <c r="O1171" s="45">
        <v>0</v>
      </c>
      <c r="P1171" s="45">
        <v>0</v>
      </c>
      <c r="Q1171" s="45">
        <v>0</v>
      </c>
      <c r="R1171" s="45">
        <v>0</v>
      </c>
      <c r="S1171" s="45">
        <v>0</v>
      </c>
      <c r="T1171" s="45">
        <v>0</v>
      </c>
      <c r="U1171" s="45">
        <v>1968</v>
      </c>
      <c r="V1171" s="45">
        <v>0</v>
      </c>
      <c r="W1171" s="45">
        <v>0</v>
      </c>
      <c r="X1171" s="45">
        <v>0</v>
      </c>
      <c r="Y1171" s="45">
        <v>0</v>
      </c>
      <c r="Z1171" s="45">
        <v>0</v>
      </c>
      <c r="AA1171" s="45">
        <v>0</v>
      </c>
      <c r="AB1171" s="45">
        <v>0</v>
      </c>
      <c r="AC1171" s="45">
        <v>0</v>
      </c>
      <c r="AD1171" s="45">
        <v>0</v>
      </c>
      <c r="AE1171" s="45">
        <v>0</v>
      </c>
      <c r="AF1171" s="45">
        <v>0</v>
      </c>
      <c r="AG1171" s="45">
        <v>0</v>
      </c>
      <c r="AH1171" s="45">
        <v>0</v>
      </c>
      <c r="AI1171" s="45">
        <v>0</v>
      </c>
      <c r="AJ1171" s="45">
        <v>0</v>
      </c>
      <c r="AK1171" s="45">
        <v>0</v>
      </c>
      <c r="AL1171" s="45">
        <v>0</v>
      </c>
      <c r="AM1171" s="57" t="str">
        <f>I1171-J1171-K1171-L1171-M1171-N1171-O1171-P1171-Q1171-R1171-S1171-T1171-U1171-V1171-W1171-X1171-Y1171-Z1171-AA1171-AB1171-AC1171-AD1171-AE1171-AF1171-AG1171+AH1171-AI1171+AJ1171+AK1171-AL1171</f>
        <v>0</v>
      </c>
      <c r="AN1171" s="45"/>
    </row>
    <row r="1172" spans="1:41">
      <c r="A1172" s="45">
        <v>1144</v>
      </c>
      <c r="B1172" s="45" t="s">
        <v>4575</v>
      </c>
      <c r="C1172" s="49" t="s">
        <v>4576</v>
      </c>
      <c r="D1172" s="53" t="s">
        <v>73</v>
      </c>
      <c r="E1172" s="45" t="s">
        <v>4562</v>
      </c>
      <c r="F1172" s="45" t="s">
        <v>4577</v>
      </c>
      <c r="G1172" s="45">
        <v>9</v>
      </c>
      <c r="H1172" s="53" t="s">
        <v>4578</v>
      </c>
      <c r="I1172" s="45">
        <v>1088000</v>
      </c>
      <c r="J1172" s="45">
        <v>0</v>
      </c>
      <c r="K1172" s="45">
        <v>44000</v>
      </c>
      <c r="L1172" s="45">
        <v>0</v>
      </c>
      <c r="M1172" s="45">
        <v>0</v>
      </c>
      <c r="N1172" s="45">
        <v>0</v>
      </c>
      <c r="O1172" s="45">
        <v>0</v>
      </c>
      <c r="P1172" s="45">
        <v>0</v>
      </c>
      <c r="Q1172" s="45">
        <v>0</v>
      </c>
      <c r="R1172" s="45">
        <v>0</v>
      </c>
      <c r="S1172" s="45">
        <v>0</v>
      </c>
      <c r="T1172" s="45">
        <v>0</v>
      </c>
      <c r="U1172" s="45">
        <v>2794</v>
      </c>
      <c r="V1172" s="45">
        <v>0</v>
      </c>
      <c r="W1172" s="45">
        <v>0</v>
      </c>
      <c r="X1172" s="45">
        <v>0</v>
      </c>
      <c r="Y1172" s="45">
        <v>0</v>
      </c>
      <c r="Z1172" s="45">
        <v>0</v>
      </c>
      <c r="AA1172" s="45">
        <v>0</v>
      </c>
      <c r="AB1172" s="45">
        <v>0</v>
      </c>
      <c r="AC1172" s="45">
        <v>0</v>
      </c>
      <c r="AD1172" s="45">
        <v>0</v>
      </c>
      <c r="AE1172" s="45">
        <v>0</v>
      </c>
      <c r="AF1172" s="45">
        <v>0</v>
      </c>
      <c r="AG1172" s="45">
        <v>0</v>
      </c>
      <c r="AH1172" s="45">
        <v>0</v>
      </c>
      <c r="AI1172" s="45">
        <v>0</v>
      </c>
      <c r="AJ1172" s="45">
        <v>0</v>
      </c>
      <c r="AK1172" s="45">
        <v>0</v>
      </c>
      <c r="AL1172" s="45">
        <v>0</v>
      </c>
      <c r="AM1172" s="57" t="str">
        <f>I1172-J1172-K1172-L1172-M1172-N1172-O1172-P1172-Q1172-R1172-S1172-T1172-U1172-V1172-W1172-X1172-Y1172-Z1172-AA1172-AB1172-AC1172-AD1172-AE1172-AF1172-AG1172+AH1172-AI1172+AJ1172+AK1172-AL1172</f>
        <v>0</v>
      </c>
      <c r="AN1172" s="45"/>
    </row>
    <row r="1173" spans="1:41">
      <c r="A1173" s="45">
        <v>1145</v>
      </c>
      <c r="B1173" s="45" t="s">
        <v>4579</v>
      </c>
      <c r="C1173" s="49" t="s">
        <v>4580</v>
      </c>
      <c r="D1173" s="53" t="s">
        <v>73</v>
      </c>
      <c r="E1173" s="45" t="s">
        <v>4562</v>
      </c>
      <c r="F1173" s="45" t="s">
        <v>1295</v>
      </c>
      <c r="G1173" s="45">
        <v>7</v>
      </c>
      <c r="H1173" s="53" t="s">
        <v>4581</v>
      </c>
      <c r="I1173" s="45">
        <v>1819000</v>
      </c>
      <c r="J1173" s="45">
        <v>0</v>
      </c>
      <c r="K1173" s="45">
        <v>35000</v>
      </c>
      <c r="L1173" s="45">
        <v>0</v>
      </c>
      <c r="M1173" s="45">
        <v>0</v>
      </c>
      <c r="N1173" s="45">
        <v>0</v>
      </c>
      <c r="O1173" s="45">
        <v>0</v>
      </c>
      <c r="P1173" s="45">
        <v>0</v>
      </c>
      <c r="Q1173" s="45">
        <v>0</v>
      </c>
      <c r="R1173" s="45">
        <v>0</v>
      </c>
      <c r="S1173" s="45">
        <v>0</v>
      </c>
      <c r="T1173" s="45">
        <v>0</v>
      </c>
      <c r="U1173" s="45">
        <v>2222</v>
      </c>
      <c r="V1173" s="45">
        <v>0</v>
      </c>
      <c r="W1173" s="45">
        <v>0</v>
      </c>
      <c r="X1173" s="45">
        <v>0</v>
      </c>
      <c r="Y1173" s="45">
        <v>0</v>
      </c>
      <c r="Z1173" s="45">
        <v>0</v>
      </c>
      <c r="AA1173" s="45">
        <v>0</v>
      </c>
      <c r="AB1173" s="45">
        <v>0</v>
      </c>
      <c r="AC1173" s="45">
        <v>0</v>
      </c>
      <c r="AD1173" s="45">
        <v>0</v>
      </c>
      <c r="AE1173" s="45">
        <v>0</v>
      </c>
      <c r="AF1173" s="45">
        <v>0</v>
      </c>
      <c r="AG1173" s="45">
        <v>0</v>
      </c>
      <c r="AH1173" s="45">
        <v>0</v>
      </c>
      <c r="AI1173" s="45">
        <v>0</v>
      </c>
      <c r="AJ1173" s="45">
        <v>0</v>
      </c>
      <c r="AK1173" s="45">
        <v>0</v>
      </c>
      <c r="AL1173" s="45">
        <v>0</v>
      </c>
      <c r="AM1173" s="57" t="str">
        <f>I1173-J1173-K1173-L1173-M1173-N1173-O1173-P1173-Q1173-R1173-S1173-T1173-U1173-V1173-W1173-X1173-Y1173-Z1173-AA1173-AB1173-AC1173-AD1173-AE1173-AF1173-AG1173+AH1173-AI1173+AJ1173+AK1173-AL1173</f>
        <v>0</v>
      </c>
      <c r="AN1173" s="45"/>
    </row>
    <row r="1174" spans="1:41">
      <c r="A1174" s="45">
        <v>1146</v>
      </c>
      <c r="B1174" s="45" t="s">
        <v>4582</v>
      </c>
      <c r="C1174" s="49" t="s">
        <v>4583</v>
      </c>
      <c r="D1174" s="53" t="s">
        <v>73</v>
      </c>
      <c r="E1174" s="45" t="s">
        <v>4562</v>
      </c>
      <c r="F1174" s="45" t="s">
        <v>2543</v>
      </c>
      <c r="G1174" s="45">
        <v>8</v>
      </c>
      <c r="H1174" s="53" t="s">
        <v>4584</v>
      </c>
      <c r="I1174" s="45">
        <v>2050000</v>
      </c>
      <c r="J1174" s="45">
        <v>0</v>
      </c>
      <c r="K1174" s="45">
        <v>39000</v>
      </c>
      <c r="L1174" s="45">
        <v>0</v>
      </c>
      <c r="M1174" s="45">
        <v>0</v>
      </c>
      <c r="N1174" s="45">
        <v>0</v>
      </c>
      <c r="O1174" s="45">
        <v>0</v>
      </c>
      <c r="P1174" s="45">
        <v>0</v>
      </c>
      <c r="Q1174" s="45">
        <v>0</v>
      </c>
      <c r="R1174" s="45">
        <v>0</v>
      </c>
      <c r="S1174" s="45">
        <v>0</v>
      </c>
      <c r="T1174" s="45">
        <v>0</v>
      </c>
      <c r="U1174" s="45">
        <v>2476</v>
      </c>
      <c r="V1174" s="45">
        <v>0</v>
      </c>
      <c r="W1174" s="45">
        <v>0</v>
      </c>
      <c r="X1174" s="45">
        <v>0</v>
      </c>
      <c r="Y1174" s="45">
        <v>0</v>
      </c>
      <c r="Z1174" s="45">
        <v>0</v>
      </c>
      <c r="AA1174" s="45">
        <v>0</v>
      </c>
      <c r="AB1174" s="45">
        <v>0</v>
      </c>
      <c r="AC1174" s="45">
        <v>0</v>
      </c>
      <c r="AD1174" s="45">
        <v>0</v>
      </c>
      <c r="AE1174" s="45">
        <v>0</v>
      </c>
      <c r="AF1174" s="45">
        <v>0</v>
      </c>
      <c r="AG1174" s="45">
        <v>0</v>
      </c>
      <c r="AH1174" s="45">
        <v>0</v>
      </c>
      <c r="AI1174" s="45">
        <v>0</v>
      </c>
      <c r="AJ1174" s="45">
        <v>0</v>
      </c>
      <c r="AK1174" s="45">
        <v>0</v>
      </c>
      <c r="AL1174" s="45">
        <v>0</v>
      </c>
      <c r="AM1174" s="57" t="str">
        <f>I1174-J1174-K1174-L1174-M1174-N1174-O1174-P1174-Q1174-R1174-S1174-T1174-U1174-V1174-W1174-X1174-Y1174-Z1174-AA1174-AB1174-AC1174-AD1174-AE1174-AF1174-AG1174+AH1174-AI1174+AJ1174+AK1174-AL1174</f>
        <v>0</v>
      </c>
      <c r="AN1174" s="45"/>
    </row>
    <row r="1175" spans="1:41">
      <c r="A1175" s="45">
        <v>1147</v>
      </c>
      <c r="B1175" s="45" t="s">
        <v>4585</v>
      </c>
      <c r="C1175" s="49" t="s">
        <v>4586</v>
      </c>
      <c r="D1175" s="53" t="s">
        <v>73</v>
      </c>
      <c r="E1175" s="45" t="s">
        <v>4562</v>
      </c>
      <c r="F1175" s="45" t="s">
        <v>4587</v>
      </c>
      <c r="G1175" s="45">
        <v>4</v>
      </c>
      <c r="H1175" s="53" t="s">
        <v>4588</v>
      </c>
      <c r="I1175" s="45">
        <v>314000</v>
      </c>
      <c r="J1175" s="45">
        <v>0</v>
      </c>
      <c r="K1175" s="45">
        <v>25000</v>
      </c>
      <c r="L1175" s="45">
        <v>0</v>
      </c>
      <c r="M1175" s="45">
        <v>0</v>
      </c>
      <c r="N1175" s="45">
        <v>0</v>
      </c>
      <c r="O1175" s="45">
        <v>0</v>
      </c>
      <c r="P1175" s="45">
        <v>0</v>
      </c>
      <c r="Q1175" s="45">
        <v>0</v>
      </c>
      <c r="R1175" s="45">
        <v>0</v>
      </c>
      <c r="S1175" s="45">
        <v>0</v>
      </c>
      <c r="T1175" s="45">
        <v>0</v>
      </c>
      <c r="U1175" s="45">
        <v>1587</v>
      </c>
      <c r="V1175" s="45">
        <v>0</v>
      </c>
      <c r="W1175" s="45">
        <v>0</v>
      </c>
      <c r="X1175" s="45">
        <v>0</v>
      </c>
      <c r="Y1175" s="45">
        <v>0</v>
      </c>
      <c r="Z1175" s="45">
        <v>0</v>
      </c>
      <c r="AA1175" s="45">
        <v>0</v>
      </c>
      <c r="AB1175" s="45">
        <v>0</v>
      </c>
      <c r="AC1175" s="45">
        <v>0</v>
      </c>
      <c r="AD1175" s="45">
        <v>0</v>
      </c>
      <c r="AE1175" s="45">
        <v>0</v>
      </c>
      <c r="AF1175" s="45">
        <v>0</v>
      </c>
      <c r="AG1175" s="45">
        <v>0</v>
      </c>
      <c r="AH1175" s="45">
        <v>0</v>
      </c>
      <c r="AI1175" s="45">
        <v>0</v>
      </c>
      <c r="AJ1175" s="45">
        <v>0</v>
      </c>
      <c r="AK1175" s="45">
        <v>0</v>
      </c>
      <c r="AL1175" s="45">
        <v>0</v>
      </c>
      <c r="AM1175" s="57" t="str">
        <f>I1175-J1175-K1175-L1175-M1175-N1175-O1175-P1175-Q1175-R1175-S1175-T1175-U1175-V1175-W1175-X1175-Y1175-Z1175-AA1175-AB1175-AC1175-AD1175-AE1175-AF1175-AG1175+AH1175-AI1175+AJ1175+AK1175-AL1175</f>
        <v>0</v>
      </c>
      <c r="AN1175" s="45"/>
    </row>
    <row r="1176" spans="1:41">
      <c r="A1176" s="45">
        <v>1148</v>
      </c>
      <c r="B1176" s="45" t="s">
        <v>4589</v>
      </c>
      <c r="C1176" s="49" t="s">
        <v>4590</v>
      </c>
      <c r="D1176" s="53" t="s">
        <v>73</v>
      </c>
      <c r="E1176" s="45" t="s">
        <v>4562</v>
      </c>
      <c r="F1176" s="45" t="s">
        <v>1371</v>
      </c>
      <c r="G1176" s="45">
        <v>2</v>
      </c>
      <c r="H1176" s="53" t="s">
        <v>4591</v>
      </c>
      <c r="I1176" s="45">
        <v>314000</v>
      </c>
      <c r="J1176" s="45">
        <v>0</v>
      </c>
      <c r="K1176" s="45">
        <v>22000</v>
      </c>
      <c r="L1176" s="45">
        <v>0</v>
      </c>
      <c r="M1176" s="45">
        <v>0</v>
      </c>
      <c r="N1176" s="45">
        <v>0</v>
      </c>
      <c r="O1176" s="45">
        <v>0</v>
      </c>
      <c r="P1176" s="45">
        <v>0</v>
      </c>
      <c r="Q1176" s="45">
        <v>0</v>
      </c>
      <c r="R1176" s="45">
        <v>0</v>
      </c>
      <c r="S1176" s="45">
        <v>0</v>
      </c>
      <c r="T1176" s="45">
        <v>0</v>
      </c>
      <c r="U1176" s="45">
        <v>1397</v>
      </c>
      <c r="V1176" s="45">
        <v>0</v>
      </c>
      <c r="W1176" s="45">
        <v>0</v>
      </c>
      <c r="X1176" s="45">
        <v>0</v>
      </c>
      <c r="Y1176" s="45">
        <v>0</v>
      </c>
      <c r="Z1176" s="45">
        <v>0</v>
      </c>
      <c r="AA1176" s="45">
        <v>0</v>
      </c>
      <c r="AB1176" s="45">
        <v>0</v>
      </c>
      <c r="AC1176" s="45">
        <v>0</v>
      </c>
      <c r="AD1176" s="45">
        <v>0</v>
      </c>
      <c r="AE1176" s="45">
        <v>0</v>
      </c>
      <c r="AF1176" s="45">
        <v>0</v>
      </c>
      <c r="AG1176" s="45">
        <v>0</v>
      </c>
      <c r="AH1176" s="45">
        <v>0</v>
      </c>
      <c r="AI1176" s="45">
        <v>0</v>
      </c>
      <c r="AJ1176" s="45">
        <v>0</v>
      </c>
      <c r="AK1176" s="45">
        <v>0</v>
      </c>
      <c r="AL1176" s="45">
        <v>0</v>
      </c>
      <c r="AM1176" s="57" t="str">
        <f>I1176-J1176-K1176-L1176-M1176-N1176-O1176-P1176-Q1176-R1176-S1176-T1176-U1176-V1176-W1176-X1176-Y1176-Z1176-AA1176-AB1176-AC1176-AD1176-AE1176-AF1176-AG1176+AH1176-AI1176+AJ1176+AK1176-AL1176</f>
        <v>0</v>
      </c>
      <c r="AN1176" s="45"/>
    </row>
    <row r="1177" spans="1:41">
      <c r="A1177" s="45">
        <v>1149</v>
      </c>
      <c r="B1177" s="45" t="s">
        <v>4592</v>
      </c>
      <c r="C1177" s="49" t="s">
        <v>4593</v>
      </c>
      <c r="D1177" s="53" t="s">
        <v>73</v>
      </c>
      <c r="E1177" s="45" t="s">
        <v>4562</v>
      </c>
      <c r="F1177" s="45" t="s">
        <v>4261</v>
      </c>
      <c r="G1177" s="45">
        <v>8</v>
      </c>
      <c r="H1177" s="53" t="s">
        <v>4594</v>
      </c>
      <c r="I1177" s="45">
        <v>1049000</v>
      </c>
      <c r="J1177" s="45">
        <v>0</v>
      </c>
      <c r="K1177" s="45">
        <v>39000</v>
      </c>
      <c r="L1177" s="45">
        <v>0</v>
      </c>
      <c r="M1177" s="45">
        <v>0</v>
      </c>
      <c r="N1177" s="45">
        <v>0</v>
      </c>
      <c r="O1177" s="45">
        <v>0</v>
      </c>
      <c r="P1177" s="45">
        <v>0</v>
      </c>
      <c r="Q1177" s="45">
        <v>0</v>
      </c>
      <c r="R1177" s="45">
        <v>0</v>
      </c>
      <c r="S1177" s="45">
        <v>0</v>
      </c>
      <c r="T1177" s="45">
        <v>0</v>
      </c>
      <c r="U1177" s="45">
        <v>2476</v>
      </c>
      <c r="V1177" s="45">
        <v>0</v>
      </c>
      <c r="W1177" s="45">
        <v>0</v>
      </c>
      <c r="X1177" s="45">
        <v>0</v>
      </c>
      <c r="Y1177" s="45">
        <v>0</v>
      </c>
      <c r="Z1177" s="45">
        <v>0</v>
      </c>
      <c r="AA1177" s="45">
        <v>0</v>
      </c>
      <c r="AB1177" s="45">
        <v>0</v>
      </c>
      <c r="AC1177" s="45">
        <v>0</v>
      </c>
      <c r="AD1177" s="45">
        <v>0</v>
      </c>
      <c r="AE1177" s="45">
        <v>0</v>
      </c>
      <c r="AF1177" s="45">
        <v>0</v>
      </c>
      <c r="AG1177" s="45">
        <v>0</v>
      </c>
      <c r="AH1177" s="45">
        <v>0</v>
      </c>
      <c r="AI1177" s="45">
        <v>0</v>
      </c>
      <c r="AJ1177" s="45">
        <v>0</v>
      </c>
      <c r="AK1177" s="45">
        <v>0</v>
      </c>
      <c r="AL1177" s="45">
        <v>0</v>
      </c>
      <c r="AM1177" s="57" t="str">
        <f>I1177-J1177-K1177-L1177-M1177-N1177-O1177-P1177-Q1177-R1177-S1177-T1177-U1177-V1177-W1177-X1177-Y1177-Z1177-AA1177-AB1177-AC1177-AD1177-AE1177-AF1177-AG1177+AH1177-AI1177+AJ1177+AK1177-AL1177</f>
        <v>0</v>
      </c>
      <c r="AN1177" s="45"/>
    </row>
    <row r="1178" spans="1:41">
      <c r="A1178" s="45">
        <v>1150</v>
      </c>
      <c r="B1178" s="45" t="s">
        <v>4595</v>
      </c>
      <c r="C1178" s="49" t="s">
        <v>4596</v>
      </c>
      <c r="D1178" s="53" t="s">
        <v>73</v>
      </c>
      <c r="E1178" s="45" t="s">
        <v>4562</v>
      </c>
      <c r="F1178" s="45" t="s">
        <v>1692</v>
      </c>
      <c r="G1178" s="45">
        <v>3</v>
      </c>
      <c r="H1178" s="53" t="s">
        <v>4597</v>
      </c>
      <c r="I1178" s="45">
        <v>585000</v>
      </c>
      <c r="J1178" s="45">
        <v>0</v>
      </c>
      <c r="K1178" s="45">
        <v>22000</v>
      </c>
      <c r="L1178" s="45">
        <v>0</v>
      </c>
      <c r="M1178" s="45">
        <v>0</v>
      </c>
      <c r="N1178" s="45">
        <v>0</v>
      </c>
      <c r="O1178" s="45">
        <v>0</v>
      </c>
      <c r="P1178" s="45">
        <v>0</v>
      </c>
      <c r="Q1178" s="45">
        <v>0</v>
      </c>
      <c r="R1178" s="45">
        <v>0</v>
      </c>
      <c r="S1178" s="45">
        <v>0</v>
      </c>
      <c r="T1178" s="45">
        <v>0</v>
      </c>
      <c r="U1178" s="45">
        <v>1397</v>
      </c>
      <c r="V1178" s="45">
        <v>0</v>
      </c>
      <c r="W1178" s="45">
        <v>0</v>
      </c>
      <c r="X1178" s="45">
        <v>0</v>
      </c>
      <c r="Y1178" s="45">
        <v>0</v>
      </c>
      <c r="Z1178" s="45">
        <v>0</v>
      </c>
      <c r="AA1178" s="45">
        <v>0</v>
      </c>
      <c r="AB1178" s="45">
        <v>0</v>
      </c>
      <c r="AC1178" s="45">
        <v>0</v>
      </c>
      <c r="AD1178" s="45">
        <v>0</v>
      </c>
      <c r="AE1178" s="45">
        <v>0</v>
      </c>
      <c r="AF1178" s="45">
        <v>0</v>
      </c>
      <c r="AG1178" s="45">
        <v>0</v>
      </c>
      <c r="AH1178" s="45">
        <v>0</v>
      </c>
      <c r="AI1178" s="45">
        <v>0</v>
      </c>
      <c r="AJ1178" s="45">
        <v>0</v>
      </c>
      <c r="AK1178" s="45">
        <v>0</v>
      </c>
      <c r="AL1178" s="45">
        <v>0</v>
      </c>
      <c r="AM1178" s="57" t="str">
        <f>I1178-J1178-K1178-L1178-M1178-N1178-O1178-P1178-Q1178-R1178-S1178-T1178-U1178-V1178-W1178-X1178-Y1178-Z1178-AA1178-AB1178-AC1178-AD1178-AE1178-AF1178-AG1178+AH1178-AI1178+AJ1178+AK1178-AL1178</f>
        <v>0</v>
      </c>
      <c r="AN1178" s="45"/>
    </row>
    <row r="1179" spans="1:41">
      <c r="A1179" s="45">
        <v>1151</v>
      </c>
      <c r="B1179" s="45" t="s">
        <v>4598</v>
      </c>
      <c r="C1179" s="49" t="s">
        <v>4599</v>
      </c>
      <c r="D1179" s="53" t="s">
        <v>73</v>
      </c>
      <c r="E1179" s="45" t="s">
        <v>4562</v>
      </c>
      <c r="F1179" s="45" t="s">
        <v>4600</v>
      </c>
      <c r="G1179" s="45">
        <v>3</v>
      </c>
      <c r="H1179" s="53" t="s">
        <v>4601</v>
      </c>
      <c r="I1179" s="45">
        <v>585000</v>
      </c>
      <c r="J1179" s="45">
        <v>0</v>
      </c>
      <c r="K1179" s="45">
        <v>22000</v>
      </c>
      <c r="L1179" s="45">
        <v>0</v>
      </c>
      <c r="M1179" s="45">
        <v>0</v>
      </c>
      <c r="N1179" s="45">
        <v>0</v>
      </c>
      <c r="O1179" s="45">
        <v>0</v>
      </c>
      <c r="P1179" s="45">
        <v>0</v>
      </c>
      <c r="Q1179" s="45">
        <v>0</v>
      </c>
      <c r="R1179" s="45">
        <v>0</v>
      </c>
      <c r="S1179" s="45">
        <v>0</v>
      </c>
      <c r="T1179" s="45">
        <v>0</v>
      </c>
      <c r="U1179" s="45">
        <v>1397</v>
      </c>
      <c r="V1179" s="45">
        <v>0</v>
      </c>
      <c r="W1179" s="45">
        <v>0</v>
      </c>
      <c r="X1179" s="45">
        <v>0</v>
      </c>
      <c r="Y1179" s="45">
        <v>0</v>
      </c>
      <c r="Z1179" s="45">
        <v>0</v>
      </c>
      <c r="AA1179" s="45">
        <v>0</v>
      </c>
      <c r="AB1179" s="45">
        <v>0</v>
      </c>
      <c r="AC1179" s="45">
        <v>0</v>
      </c>
      <c r="AD1179" s="45">
        <v>0</v>
      </c>
      <c r="AE1179" s="45">
        <v>0</v>
      </c>
      <c r="AF1179" s="45">
        <v>0</v>
      </c>
      <c r="AG1179" s="45">
        <v>0</v>
      </c>
      <c r="AH1179" s="45">
        <v>0</v>
      </c>
      <c r="AI1179" s="45">
        <v>0</v>
      </c>
      <c r="AJ1179" s="45">
        <v>0</v>
      </c>
      <c r="AK1179" s="45">
        <v>0</v>
      </c>
      <c r="AL1179" s="45">
        <v>0</v>
      </c>
      <c r="AM1179" s="57" t="str">
        <f>I1179-J1179-K1179-L1179-M1179-N1179-O1179-P1179-Q1179-R1179-S1179-T1179-U1179-V1179-W1179-X1179-Y1179-Z1179-AA1179-AB1179-AC1179-AD1179-AE1179-AF1179-AG1179+AH1179-AI1179+AJ1179+AK1179-AL1179</f>
        <v>0</v>
      </c>
      <c r="AN1179" s="45"/>
    </row>
    <row r="1180" spans="1:41">
      <c r="A1180" s="45">
        <v>1152</v>
      </c>
      <c r="B1180" s="45" t="s">
        <v>4602</v>
      </c>
      <c r="C1180" s="49" t="s">
        <v>4603</v>
      </c>
      <c r="D1180" s="53" t="s">
        <v>73</v>
      </c>
      <c r="E1180" s="45" t="s">
        <v>4562</v>
      </c>
      <c r="F1180" s="45" t="s">
        <v>1109</v>
      </c>
      <c r="G1180" s="45">
        <v>5.8</v>
      </c>
      <c r="H1180" s="53" t="s">
        <v>4604</v>
      </c>
      <c r="I1180" s="45">
        <v>634000</v>
      </c>
      <c r="J1180" s="45">
        <v>0</v>
      </c>
      <c r="K1180" s="45">
        <v>31000</v>
      </c>
      <c r="L1180" s="45">
        <v>0</v>
      </c>
      <c r="M1180" s="45">
        <v>0</v>
      </c>
      <c r="N1180" s="45">
        <v>0</v>
      </c>
      <c r="O1180" s="45">
        <v>0</v>
      </c>
      <c r="P1180" s="45">
        <v>0</v>
      </c>
      <c r="Q1180" s="45">
        <v>0</v>
      </c>
      <c r="R1180" s="45">
        <v>0</v>
      </c>
      <c r="S1180" s="45">
        <v>0</v>
      </c>
      <c r="T1180" s="45">
        <v>0</v>
      </c>
      <c r="U1180" s="45">
        <v>1968</v>
      </c>
      <c r="V1180" s="45">
        <v>0</v>
      </c>
      <c r="W1180" s="45">
        <v>0</v>
      </c>
      <c r="X1180" s="45">
        <v>0</v>
      </c>
      <c r="Y1180" s="45">
        <v>0</v>
      </c>
      <c r="Z1180" s="45">
        <v>0</v>
      </c>
      <c r="AA1180" s="45">
        <v>0</v>
      </c>
      <c r="AB1180" s="45">
        <v>0</v>
      </c>
      <c r="AC1180" s="45">
        <v>0</v>
      </c>
      <c r="AD1180" s="45">
        <v>0</v>
      </c>
      <c r="AE1180" s="45">
        <v>0</v>
      </c>
      <c r="AF1180" s="45">
        <v>0</v>
      </c>
      <c r="AG1180" s="45">
        <v>0</v>
      </c>
      <c r="AH1180" s="45">
        <v>0</v>
      </c>
      <c r="AI1180" s="45">
        <v>0</v>
      </c>
      <c r="AJ1180" s="45">
        <v>0</v>
      </c>
      <c r="AK1180" s="45">
        <v>0</v>
      </c>
      <c r="AL1180" s="45">
        <v>0</v>
      </c>
      <c r="AM1180" s="57" t="str">
        <f>I1180-J1180-K1180-L1180-M1180-N1180-O1180-P1180-Q1180-R1180-S1180-T1180-U1180-V1180-W1180-X1180-Y1180-Z1180-AA1180-AB1180-AC1180-AD1180-AE1180-AF1180-AG1180+AH1180-AI1180+AJ1180+AK1180-AL1180</f>
        <v>0</v>
      </c>
      <c r="AN1180" s="45"/>
    </row>
    <row r="1181" spans="1:41">
      <c r="A1181" s="45">
        <v>1153</v>
      </c>
      <c r="B1181" s="45" t="s">
        <v>4605</v>
      </c>
      <c r="C1181" s="49" t="s">
        <v>4606</v>
      </c>
      <c r="D1181" s="53" t="s">
        <v>73</v>
      </c>
      <c r="E1181" s="45" t="s">
        <v>4562</v>
      </c>
      <c r="F1181" s="45" t="s">
        <v>4607</v>
      </c>
      <c r="G1181" s="45">
        <v>5.8</v>
      </c>
      <c r="H1181" s="53" t="s">
        <v>4608</v>
      </c>
      <c r="I1181" s="45">
        <v>634000</v>
      </c>
      <c r="J1181" s="45">
        <v>0</v>
      </c>
      <c r="K1181" s="45">
        <v>31000</v>
      </c>
      <c r="L1181" s="45">
        <v>0</v>
      </c>
      <c r="M1181" s="45">
        <v>0</v>
      </c>
      <c r="N1181" s="45">
        <v>0</v>
      </c>
      <c r="O1181" s="45">
        <v>0</v>
      </c>
      <c r="P1181" s="45">
        <v>0</v>
      </c>
      <c r="Q1181" s="45">
        <v>0</v>
      </c>
      <c r="R1181" s="45">
        <v>0</v>
      </c>
      <c r="S1181" s="45">
        <v>0</v>
      </c>
      <c r="T1181" s="45">
        <v>0</v>
      </c>
      <c r="U1181" s="45">
        <v>1968</v>
      </c>
      <c r="V1181" s="45">
        <v>0</v>
      </c>
      <c r="W1181" s="45">
        <v>0</v>
      </c>
      <c r="X1181" s="45">
        <v>0</v>
      </c>
      <c r="Y1181" s="45">
        <v>0</v>
      </c>
      <c r="Z1181" s="45">
        <v>0</v>
      </c>
      <c r="AA1181" s="45">
        <v>0</v>
      </c>
      <c r="AB1181" s="45">
        <v>0</v>
      </c>
      <c r="AC1181" s="45">
        <v>0</v>
      </c>
      <c r="AD1181" s="45">
        <v>0</v>
      </c>
      <c r="AE1181" s="45">
        <v>0</v>
      </c>
      <c r="AF1181" s="45">
        <v>0</v>
      </c>
      <c r="AG1181" s="45">
        <v>0</v>
      </c>
      <c r="AH1181" s="45">
        <v>0</v>
      </c>
      <c r="AI1181" s="45">
        <v>0</v>
      </c>
      <c r="AJ1181" s="45">
        <v>0</v>
      </c>
      <c r="AK1181" s="45">
        <v>0</v>
      </c>
      <c r="AL1181" s="45">
        <v>0</v>
      </c>
      <c r="AM1181" s="57" t="str">
        <f>I1181-J1181-K1181-L1181-M1181-N1181-O1181-P1181-Q1181-R1181-S1181-T1181-U1181-V1181-W1181-X1181-Y1181-Z1181-AA1181-AB1181-AC1181-AD1181-AE1181-AF1181-AG1181+AH1181-AI1181+AJ1181+AK1181-AL1181</f>
        <v>0</v>
      </c>
      <c r="AN1181" s="45"/>
    </row>
    <row r="1182" spans="1:41">
      <c r="A1182" s="45">
        <v>1154</v>
      </c>
      <c r="B1182" s="45" t="s">
        <v>4609</v>
      </c>
      <c r="C1182" s="49" t="s">
        <v>4610</v>
      </c>
      <c r="D1182" s="53" t="s">
        <v>62</v>
      </c>
      <c r="E1182" s="45" t="s">
        <v>4562</v>
      </c>
      <c r="F1182" s="45" t="s">
        <v>2805</v>
      </c>
      <c r="G1182" s="45">
        <v>3</v>
      </c>
      <c r="H1182" s="53" t="s">
        <v>4611</v>
      </c>
      <c r="I1182" s="45">
        <v>0</v>
      </c>
      <c r="J1182" s="45">
        <v>0</v>
      </c>
      <c r="K1182" s="45">
        <v>22000</v>
      </c>
      <c r="L1182" s="45">
        <v>0</v>
      </c>
      <c r="M1182" s="45">
        <v>0</v>
      </c>
      <c r="N1182" s="45">
        <v>0</v>
      </c>
      <c r="O1182" s="45">
        <v>0</v>
      </c>
      <c r="P1182" s="45">
        <v>0</v>
      </c>
      <c r="Q1182" s="45">
        <v>0</v>
      </c>
      <c r="R1182" s="45">
        <v>0</v>
      </c>
      <c r="S1182" s="45">
        <v>0</v>
      </c>
      <c r="T1182" s="45">
        <v>0</v>
      </c>
      <c r="U1182" s="45">
        <v>1397</v>
      </c>
      <c r="V1182" s="45">
        <v>0</v>
      </c>
      <c r="W1182" s="45">
        <v>0</v>
      </c>
      <c r="X1182" s="45">
        <v>0</v>
      </c>
      <c r="Y1182" s="45">
        <v>11000</v>
      </c>
      <c r="Z1182" s="45">
        <v>0</v>
      </c>
      <c r="AA1182" s="45">
        <v>0</v>
      </c>
      <c r="AB1182" s="45">
        <v>0</v>
      </c>
      <c r="AC1182" s="45">
        <v>0</v>
      </c>
      <c r="AD1182" s="45">
        <v>0</v>
      </c>
      <c r="AE1182" s="45">
        <v>0</v>
      </c>
      <c r="AF1182" s="45">
        <v>0</v>
      </c>
      <c r="AG1182" s="45">
        <v>0</v>
      </c>
      <c r="AH1182" s="45">
        <v>0</v>
      </c>
      <c r="AI1182" s="45">
        <v>0</v>
      </c>
      <c r="AJ1182" s="45">
        <v>0</v>
      </c>
      <c r="AK1182" s="45">
        <v>0</v>
      </c>
      <c r="AL1182" s="45">
        <v>0</v>
      </c>
      <c r="AM1182" s="57" t="str">
        <f>I1182-J1182-K1182-L1182-M1182-N1182-O1182-P1182-Q1182-R1182-S1182-T1182-U1182-V1182-W1182-X1182-Y1182-Z1182-AA1182-AB1182-AC1182-AD1182-AE1182-AF1182-AG1182+AH1182-AI1182+AJ1182+AK1182-AL1182</f>
        <v>0</v>
      </c>
      <c r="AN1182" s="45"/>
    </row>
    <row r="1183" spans="1:41">
      <c r="A1183" s="45">
        <v>1155</v>
      </c>
      <c r="B1183" s="45" t="s">
        <v>4612</v>
      </c>
      <c r="C1183" s="49" t="s">
        <v>4613</v>
      </c>
      <c r="D1183" s="53" t="s">
        <v>62</v>
      </c>
      <c r="E1183" s="45" t="s">
        <v>4614</v>
      </c>
      <c r="F1183" s="45" t="s">
        <v>4615</v>
      </c>
      <c r="G1183" s="45">
        <v>7.7</v>
      </c>
      <c r="H1183" s="53" t="s">
        <v>4616</v>
      </c>
      <c r="I1183" s="45">
        <v>0</v>
      </c>
      <c r="J1183" s="45">
        <v>0</v>
      </c>
      <c r="K1183" s="45">
        <v>39000</v>
      </c>
      <c r="L1183" s="45">
        <v>0</v>
      </c>
      <c r="M1183" s="45">
        <v>0</v>
      </c>
      <c r="N1183" s="45">
        <v>0</v>
      </c>
      <c r="O1183" s="45">
        <v>0</v>
      </c>
      <c r="P1183" s="45">
        <v>0</v>
      </c>
      <c r="Q1183" s="45">
        <v>0</v>
      </c>
      <c r="R1183" s="45">
        <v>0</v>
      </c>
      <c r="S1183" s="45">
        <v>0</v>
      </c>
      <c r="T1183" s="45">
        <v>0</v>
      </c>
      <c r="U1183" s="45">
        <v>2476</v>
      </c>
      <c r="V1183" s="45">
        <v>0</v>
      </c>
      <c r="W1183" s="45">
        <v>0</v>
      </c>
      <c r="X1183" s="45">
        <v>0</v>
      </c>
      <c r="Y1183" s="45">
        <v>5000</v>
      </c>
      <c r="Z1183" s="45">
        <v>0</v>
      </c>
      <c r="AA1183" s="45">
        <v>0</v>
      </c>
      <c r="AB1183" s="45">
        <v>0</v>
      </c>
      <c r="AC1183" s="45">
        <v>0</v>
      </c>
      <c r="AD1183" s="45">
        <v>0</v>
      </c>
      <c r="AE1183" s="45">
        <v>0</v>
      </c>
      <c r="AF1183" s="45">
        <v>0</v>
      </c>
      <c r="AG1183" s="45">
        <v>0</v>
      </c>
      <c r="AH1183" s="45">
        <v>0</v>
      </c>
      <c r="AI1183" s="45">
        <v>0</v>
      </c>
      <c r="AJ1183" s="45">
        <v>0</v>
      </c>
      <c r="AK1183" s="45">
        <v>0</v>
      </c>
      <c r="AL1183" s="45">
        <v>0</v>
      </c>
      <c r="AM1183" s="57" t="str">
        <f>I1183-J1183-K1183-L1183-M1183-N1183-O1183-P1183-Q1183-R1183-S1183-T1183-U1183-V1183-W1183-X1183-Y1183-Z1183-AA1183-AB1183-AC1183-AD1183-AE1183-AF1183-AG1183+AH1183-AI1183+AJ1183+AK1183-AL1183</f>
        <v>0</v>
      </c>
      <c r="AN1183" s="45"/>
    </row>
    <row r="1184" spans="1:41">
      <c r="A1184" s="45">
        <v>1156</v>
      </c>
      <c r="B1184" s="45" t="s">
        <v>4617</v>
      </c>
      <c r="C1184" s="49" t="s">
        <v>4618</v>
      </c>
      <c r="D1184" s="53" t="s">
        <v>73</v>
      </c>
      <c r="E1184" s="45" t="s">
        <v>4619</v>
      </c>
      <c r="F1184" s="45" t="s">
        <v>4620</v>
      </c>
      <c r="G1184" s="45">
        <v>3</v>
      </c>
      <c r="H1184" s="53" t="s">
        <v>4621</v>
      </c>
      <c r="I1184" s="45">
        <v>450000</v>
      </c>
      <c r="J1184" s="45">
        <v>0</v>
      </c>
      <c r="K1184" s="45">
        <v>22000</v>
      </c>
      <c r="L1184" s="45">
        <v>0</v>
      </c>
      <c r="M1184" s="45">
        <v>0</v>
      </c>
      <c r="N1184" s="45">
        <v>0</v>
      </c>
      <c r="O1184" s="45">
        <v>0</v>
      </c>
      <c r="P1184" s="45">
        <v>0</v>
      </c>
      <c r="Q1184" s="45">
        <v>0</v>
      </c>
      <c r="R1184" s="45">
        <v>0</v>
      </c>
      <c r="S1184" s="45">
        <v>0</v>
      </c>
      <c r="T1184" s="45">
        <v>0</v>
      </c>
      <c r="U1184" s="45">
        <v>1397</v>
      </c>
      <c r="V1184" s="45">
        <v>0</v>
      </c>
      <c r="W1184" s="45">
        <v>0</v>
      </c>
      <c r="X1184" s="45">
        <v>0</v>
      </c>
      <c r="Y1184" s="45">
        <v>0</v>
      </c>
      <c r="Z1184" s="45">
        <v>0</v>
      </c>
      <c r="AA1184" s="45">
        <v>0</v>
      </c>
      <c r="AB1184" s="45">
        <v>0</v>
      </c>
      <c r="AC1184" s="45">
        <v>0</v>
      </c>
      <c r="AD1184" s="45">
        <v>0</v>
      </c>
      <c r="AE1184" s="45">
        <v>0</v>
      </c>
      <c r="AF1184" s="45">
        <v>0</v>
      </c>
      <c r="AG1184" s="45">
        <v>0</v>
      </c>
      <c r="AH1184" s="45">
        <v>0</v>
      </c>
      <c r="AI1184" s="45">
        <v>0</v>
      </c>
      <c r="AJ1184" s="45">
        <v>0</v>
      </c>
      <c r="AK1184" s="45">
        <v>0</v>
      </c>
      <c r="AL1184" s="45">
        <v>0</v>
      </c>
      <c r="AM1184" s="57" t="str">
        <f>I1184-J1184-K1184-L1184-M1184-N1184-O1184-P1184-Q1184-R1184-S1184-T1184-U1184-V1184-W1184-X1184-Y1184-Z1184-AA1184-AB1184-AC1184-AD1184-AE1184-AF1184-AG1184+AH1184-AI1184+AJ1184+AK1184-AL1184</f>
        <v>0</v>
      </c>
      <c r="AN1184" s="45"/>
    </row>
    <row r="1185" spans="1:41">
      <c r="A1185" s="45">
        <v>1157</v>
      </c>
      <c r="B1185" s="45" t="s">
        <v>4622</v>
      </c>
      <c r="C1185" s="49" t="s">
        <v>4623</v>
      </c>
      <c r="D1185" s="53" t="s">
        <v>73</v>
      </c>
      <c r="E1185" s="45" t="s">
        <v>4619</v>
      </c>
      <c r="F1185" s="45" t="s">
        <v>4511</v>
      </c>
      <c r="G1185" s="45">
        <v>9</v>
      </c>
      <c r="H1185" s="53" t="s">
        <v>4624</v>
      </c>
      <c r="I1185" s="45">
        <v>1819000</v>
      </c>
      <c r="J1185" s="45">
        <v>0</v>
      </c>
      <c r="K1185" s="45">
        <v>40000</v>
      </c>
      <c r="L1185" s="45">
        <v>0</v>
      </c>
      <c r="M1185" s="45">
        <v>0</v>
      </c>
      <c r="N1185" s="45">
        <v>0</v>
      </c>
      <c r="O1185" s="45">
        <v>0</v>
      </c>
      <c r="P1185" s="45">
        <v>0</v>
      </c>
      <c r="Q1185" s="45">
        <v>0</v>
      </c>
      <c r="R1185" s="45">
        <v>0</v>
      </c>
      <c r="S1185" s="45">
        <v>0</v>
      </c>
      <c r="T1185" s="45">
        <v>0</v>
      </c>
      <c r="U1185" s="45">
        <v>2540</v>
      </c>
      <c r="V1185" s="45">
        <v>0</v>
      </c>
      <c r="W1185" s="45">
        <v>0</v>
      </c>
      <c r="X1185" s="45">
        <v>0</v>
      </c>
      <c r="Y1185" s="45">
        <v>0</v>
      </c>
      <c r="Z1185" s="45">
        <v>0</v>
      </c>
      <c r="AA1185" s="45">
        <v>0</v>
      </c>
      <c r="AB1185" s="45">
        <v>0</v>
      </c>
      <c r="AC1185" s="45">
        <v>0</v>
      </c>
      <c r="AD1185" s="45">
        <v>0</v>
      </c>
      <c r="AE1185" s="45">
        <v>0</v>
      </c>
      <c r="AF1185" s="45">
        <v>0</v>
      </c>
      <c r="AG1185" s="45">
        <v>0</v>
      </c>
      <c r="AH1185" s="45">
        <v>0</v>
      </c>
      <c r="AI1185" s="45">
        <v>0</v>
      </c>
      <c r="AJ1185" s="45">
        <v>0</v>
      </c>
      <c r="AK1185" s="45">
        <v>0</v>
      </c>
      <c r="AL1185" s="45">
        <v>0</v>
      </c>
      <c r="AM1185" s="57" t="str">
        <f>I1185-J1185-K1185-L1185-M1185-N1185-O1185-P1185-Q1185-R1185-S1185-T1185-U1185-V1185-W1185-X1185-Y1185-Z1185-AA1185-AB1185-AC1185-AD1185-AE1185-AF1185-AG1185+AH1185-AI1185+AJ1185+AK1185-AL1185</f>
        <v>0</v>
      </c>
      <c r="AN1185" s="45"/>
    </row>
    <row r="1186" spans="1:41">
      <c r="A1186" s="45">
        <v>1158</v>
      </c>
      <c r="B1186" s="45" t="s">
        <v>4625</v>
      </c>
      <c r="C1186" s="49" t="s">
        <v>4626</v>
      </c>
      <c r="D1186" s="53" t="s">
        <v>73</v>
      </c>
      <c r="E1186" s="45" t="s">
        <v>4619</v>
      </c>
      <c r="F1186" s="45" t="s">
        <v>4620</v>
      </c>
      <c r="G1186" s="45">
        <v>3</v>
      </c>
      <c r="H1186" s="53" t="s">
        <v>4627</v>
      </c>
      <c r="I1186" s="45">
        <v>560000</v>
      </c>
      <c r="J1186" s="45">
        <v>0</v>
      </c>
      <c r="K1186" s="45">
        <v>22000</v>
      </c>
      <c r="L1186" s="45">
        <v>0</v>
      </c>
      <c r="M1186" s="45">
        <v>0</v>
      </c>
      <c r="N1186" s="45">
        <v>0</v>
      </c>
      <c r="O1186" s="45">
        <v>0</v>
      </c>
      <c r="P1186" s="45">
        <v>0</v>
      </c>
      <c r="Q1186" s="45">
        <v>0</v>
      </c>
      <c r="R1186" s="45">
        <v>0</v>
      </c>
      <c r="S1186" s="45">
        <v>0</v>
      </c>
      <c r="T1186" s="45">
        <v>0</v>
      </c>
      <c r="U1186" s="45">
        <v>1397</v>
      </c>
      <c r="V1186" s="45">
        <v>0</v>
      </c>
      <c r="W1186" s="45">
        <v>0</v>
      </c>
      <c r="X1186" s="45">
        <v>0</v>
      </c>
      <c r="Y1186" s="45">
        <v>0</v>
      </c>
      <c r="Z1186" s="45">
        <v>0</v>
      </c>
      <c r="AA1186" s="45">
        <v>0</v>
      </c>
      <c r="AB1186" s="45">
        <v>0</v>
      </c>
      <c r="AC1186" s="45">
        <v>0</v>
      </c>
      <c r="AD1186" s="45">
        <v>0</v>
      </c>
      <c r="AE1186" s="45">
        <v>0</v>
      </c>
      <c r="AF1186" s="45">
        <v>0</v>
      </c>
      <c r="AG1186" s="45">
        <v>0</v>
      </c>
      <c r="AH1186" s="45">
        <v>0</v>
      </c>
      <c r="AI1186" s="45">
        <v>0</v>
      </c>
      <c r="AJ1186" s="45">
        <v>0</v>
      </c>
      <c r="AK1186" s="45">
        <v>0</v>
      </c>
      <c r="AL1186" s="45">
        <v>0</v>
      </c>
      <c r="AM1186" s="57" t="str">
        <f>I1186-J1186-K1186-L1186-M1186-N1186-O1186-P1186-Q1186-R1186-S1186-T1186-U1186-V1186-W1186-X1186-Y1186-Z1186-AA1186-AB1186-AC1186-AD1186-AE1186-AF1186-AG1186+AH1186-AI1186+AJ1186+AK1186-AL1186</f>
        <v>0</v>
      </c>
      <c r="AN1186" s="45"/>
    </row>
    <row r="1187" spans="1:41">
      <c r="A1187" s="45">
        <v>1159</v>
      </c>
      <c r="B1187" s="45" t="s">
        <v>4628</v>
      </c>
      <c r="C1187" s="49" t="s">
        <v>4629</v>
      </c>
      <c r="D1187" s="53" t="s">
        <v>73</v>
      </c>
      <c r="E1187" s="45" t="s">
        <v>4630</v>
      </c>
      <c r="F1187" s="45" t="s">
        <v>3900</v>
      </c>
      <c r="G1187" s="45">
        <v>2</v>
      </c>
      <c r="H1187" s="53" t="s">
        <v>4631</v>
      </c>
      <c r="I1187" s="45">
        <v>220000</v>
      </c>
      <c r="J1187" s="45">
        <v>0</v>
      </c>
      <c r="K1187" s="45">
        <v>22000</v>
      </c>
      <c r="L1187" s="45">
        <v>0</v>
      </c>
      <c r="M1187" s="45">
        <v>0</v>
      </c>
      <c r="N1187" s="45">
        <v>0</v>
      </c>
      <c r="O1187" s="45">
        <v>0</v>
      </c>
      <c r="P1187" s="45">
        <v>0</v>
      </c>
      <c r="Q1187" s="45">
        <v>0</v>
      </c>
      <c r="R1187" s="45">
        <v>0</v>
      </c>
      <c r="S1187" s="45">
        <v>0</v>
      </c>
      <c r="T1187" s="45">
        <v>0</v>
      </c>
      <c r="U1187" s="45">
        <v>1397</v>
      </c>
      <c r="V1187" s="45">
        <v>0</v>
      </c>
      <c r="W1187" s="45">
        <v>0</v>
      </c>
      <c r="X1187" s="45">
        <v>0</v>
      </c>
      <c r="Y1187" s="45">
        <v>0</v>
      </c>
      <c r="Z1187" s="45">
        <v>0</v>
      </c>
      <c r="AA1187" s="45">
        <v>0</v>
      </c>
      <c r="AB1187" s="45">
        <v>0</v>
      </c>
      <c r="AC1187" s="45">
        <v>0</v>
      </c>
      <c r="AD1187" s="45">
        <v>0</v>
      </c>
      <c r="AE1187" s="45">
        <v>0</v>
      </c>
      <c r="AF1187" s="45">
        <v>0</v>
      </c>
      <c r="AG1187" s="45">
        <v>0</v>
      </c>
      <c r="AH1187" s="45">
        <v>0</v>
      </c>
      <c r="AI1187" s="45">
        <v>0</v>
      </c>
      <c r="AJ1187" s="45">
        <v>0</v>
      </c>
      <c r="AK1187" s="45">
        <v>0</v>
      </c>
      <c r="AL1187" s="45">
        <v>0</v>
      </c>
      <c r="AM1187" s="57" t="str">
        <f>I1187-J1187-K1187-L1187-M1187-N1187-O1187-P1187-Q1187-R1187-S1187-T1187-U1187-V1187-W1187-X1187-Y1187-Z1187-AA1187-AB1187-AC1187-AD1187-AE1187-AF1187-AG1187+AH1187-AI1187+AJ1187+AK1187-AL1187</f>
        <v>0</v>
      </c>
      <c r="AN1187" s="45"/>
    </row>
    <row r="1188" spans="1:41">
      <c r="A1188" s="45">
        <v>1160</v>
      </c>
      <c r="B1188" s="45" t="s">
        <v>4632</v>
      </c>
      <c r="C1188" s="49" t="s">
        <v>4633</v>
      </c>
      <c r="D1188" s="53" t="s">
        <v>73</v>
      </c>
      <c r="E1188" s="45" t="s">
        <v>4630</v>
      </c>
      <c r="F1188" s="45" t="s">
        <v>1763</v>
      </c>
      <c r="G1188" s="45">
        <v>2</v>
      </c>
      <c r="H1188" s="53" t="s">
        <v>4420</v>
      </c>
      <c r="I1188" s="45">
        <v>424000</v>
      </c>
      <c r="J1188" s="45">
        <v>0</v>
      </c>
      <c r="K1188" s="45">
        <v>22000</v>
      </c>
      <c r="L1188" s="45">
        <v>0</v>
      </c>
      <c r="M1188" s="45">
        <v>0</v>
      </c>
      <c r="N1188" s="45">
        <v>0</v>
      </c>
      <c r="O1188" s="45">
        <v>0</v>
      </c>
      <c r="P1188" s="45">
        <v>0</v>
      </c>
      <c r="Q1188" s="45">
        <v>0</v>
      </c>
      <c r="R1188" s="45">
        <v>0</v>
      </c>
      <c r="S1188" s="45">
        <v>0</v>
      </c>
      <c r="T1188" s="45">
        <v>0</v>
      </c>
      <c r="U1188" s="45">
        <v>1397</v>
      </c>
      <c r="V1188" s="45">
        <v>0</v>
      </c>
      <c r="W1188" s="45">
        <v>0</v>
      </c>
      <c r="X1188" s="45">
        <v>0</v>
      </c>
      <c r="Y1188" s="45">
        <v>0</v>
      </c>
      <c r="Z1188" s="45">
        <v>0</v>
      </c>
      <c r="AA1188" s="45">
        <v>0</v>
      </c>
      <c r="AB1188" s="45">
        <v>0</v>
      </c>
      <c r="AC1188" s="45">
        <v>0</v>
      </c>
      <c r="AD1188" s="45">
        <v>0</v>
      </c>
      <c r="AE1188" s="45">
        <v>0</v>
      </c>
      <c r="AF1188" s="45">
        <v>0</v>
      </c>
      <c r="AG1188" s="45">
        <v>0</v>
      </c>
      <c r="AH1188" s="45">
        <v>0</v>
      </c>
      <c r="AI1188" s="45">
        <v>0</v>
      </c>
      <c r="AJ1188" s="45">
        <v>0</v>
      </c>
      <c r="AK1188" s="45">
        <v>0</v>
      </c>
      <c r="AL1188" s="45">
        <v>0</v>
      </c>
      <c r="AM1188" s="57" t="str">
        <f>I1188-J1188-K1188-L1188-M1188-N1188-O1188-P1188-Q1188-R1188-S1188-T1188-U1188-V1188-W1188-X1188-Y1188-Z1188-AA1188-AB1188-AC1188-AD1188-AE1188-AF1188-AG1188+AH1188-AI1188+AJ1188+AK1188-AL1188</f>
        <v>0</v>
      </c>
      <c r="AN1188" s="45"/>
    </row>
    <row r="1189" spans="1:41">
      <c r="A1189" s="45">
        <v>1161</v>
      </c>
      <c r="B1189" s="45" t="s">
        <v>4634</v>
      </c>
      <c r="C1189" s="49" t="s">
        <v>4635</v>
      </c>
      <c r="D1189" s="53" t="s">
        <v>73</v>
      </c>
      <c r="E1189" s="45" t="s">
        <v>4636</v>
      </c>
      <c r="F1189" s="45" t="s">
        <v>1692</v>
      </c>
      <c r="G1189" s="45">
        <v>3</v>
      </c>
      <c r="H1189" s="53" t="s">
        <v>4637</v>
      </c>
      <c r="I1189" s="45">
        <v>0</v>
      </c>
      <c r="J1189" s="45">
        <v>0</v>
      </c>
      <c r="K1189" s="45">
        <v>22000</v>
      </c>
      <c r="L1189" s="45">
        <v>0</v>
      </c>
      <c r="M1189" s="45">
        <v>0</v>
      </c>
      <c r="N1189" s="45">
        <v>0</v>
      </c>
      <c r="O1189" s="45">
        <v>0</v>
      </c>
      <c r="P1189" s="45">
        <v>0</v>
      </c>
      <c r="Q1189" s="45">
        <v>0</v>
      </c>
      <c r="R1189" s="45">
        <v>0</v>
      </c>
      <c r="S1189" s="45">
        <v>0</v>
      </c>
      <c r="T1189" s="45">
        <v>0</v>
      </c>
      <c r="U1189" s="45">
        <v>1397</v>
      </c>
      <c r="V1189" s="45">
        <v>0</v>
      </c>
      <c r="W1189" s="45">
        <v>0</v>
      </c>
      <c r="X1189" s="45">
        <v>0</v>
      </c>
      <c r="Y1189" s="45">
        <v>11000</v>
      </c>
      <c r="Z1189" s="45">
        <v>0</v>
      </c>
      <c r="AA1189" s="45">
        <v>0</v>
      </c>
      <c r="AB1189" s="45">
        <v>0</v>
      </c>
      <c r="AC1189" s="45">
        <v>0</v>
      </c>
      <c r="AD1189" s="45">
        <v>0</v>
      </c>
      <c r="AE1189" s="45">
        <v>0</v>
      </c>
      <c r="AF1189" s="45">
        <v>0</v>
      </c>
      <c r="AG1189" s="45">
        <v>0</v>
      </c>
      <c r="AH1189" s="45">
        <v>0</v>
      </c>
      <c r="AI1189" s="45">
        <v>0</v>
      </c>
      <c r="AJ1189" s="45">
        <v>0</v>
      </c>
      <c r="AK1189" s="45">
        <v>0</v>
      </c>
      <c r="AL1189" s="45">
        <v>0</v>
      </c>
      <c r="AM1189" s="57" t="str">
        <f>I1189-J1189-K1189-L1189-M1189-N1189-O1189-P1189-Q1189-R1189-S1189-T1189-U1189-V1189-W1189-X1189-Y1189-Z1189-AA1189-AB1189-AC1189-AD1189-AE1189-AF1189-AG1189+AH1189-AI1189+AJ1189+AK1189-AL1189</f>
        <v>0</v>
      </c>
      <c r="AN1189" s="45"/>
    </row>
    <row r="1190" spans="1:41">
      <c r="A1190" s="45">
        <v>1162</v>
      </c>
      <c r="B1190" s="45" t="s">
        <v>4638</v>
      </c>
      <c r="C1190" s="49" t="s">
        <v>4639</v>
      </c>
      <c r="D1190" s="53" t="s">
        <v>73</v>
      </c>
      <c r="E1190" s="45" t="s">
        <v>4636</v>
      </c>
      <c r="F1190" s="45" t="s">
        <v>1076</v>
      </c>
      <c r="G1190" s="45">
        <v>2</v>
      </c>
      <c r="H1190" s="53" t="s">
        <v>4640</v>
      </c>
      <c r="I1190" s="45">
        <v>0</v>
      </c>
      <c r="J1190" s="45">
        <v>0</v>
      </c>
      <c r="K1190" s="45">
        <v>22000</v>
      </c>
      <c r="L1190" s="45">
        <v>0</v>
      </c>
      <c r="M1190" s="45">
        <v>0</v>
      </c>
      <c r="N1190" s="45">
        <v>0</v>
      </c>
      <c r="O1190" s="45">
        <v>0</v>
      </c>
      <c r="P1190" s="45">
        <v>0</v>
      </c>
      <c r="Q1190" s="45">
        <v>0</v>
      </c>
      <c r="R1190" s="45">
        <v>0</v>
      </c>
      <c r="S1190" s="45">
        <v>0</v>
      </c>
      <c r="T1190" s="45">
        <v>0</v>
      </c>
      <c r="U1190" s="45">
        <v>1397</v>
      </c>
      <c r="V1190" s="45">
        <v>0</v>
      </c>
      <c r="W1190" s="45">
        <v>0</v>
      </c>
      <c r="X1190" s="45">
        <v>0</v>
      </c>
      <c r="Y1190" s="45">
        <v>5000</v>
      </c>
      <c r="Z1190" s="45">
        <v>0</v>
      </c>
      <c r="AA1190" s="45">
        <v>0</v>
      </c>
      <c r="AB1190" s="45">
        <v>0</v>
      </c>
      <c r="AC1190" s="45">
        <v>0</v>
      </c>
      <c r="AD1190" s="45">
        <v>0</v>
      </c>
      <c r="AE1190" s="45">
        <v>0</v>
      </c>
      <c r="AF1190" s="45">
        <v>0</v>
      </c>
      <c r="AG1190" s="45">
        <v>0</v>
      </c>
      <c r="AH1190" s="45">
        <v>0</v>
      </c>
      <c r="AI1190" s="45">
        <v>0</v>
      </c>
      <c r="AJ1190" s="45">
        <v>0</v>
      </c>
      <c r="AK1190" s="45">
        <v>0</v>
      </c>
      <c r="AL1190" s="45">
        <v>0</v>
      </c>
      <c r="AM1190" s="57" t="str">
        <f>I1190-J1190-K1190-L1190-M1190-N1190-O1190-P1190-Q1190-R1190-S1190-T1190-U1190-V1190-W1190-X1190-Y1190-Z1190-AA1190-AB1190-AC1190-AD1190-AE1190-AF1190-AG1190+AH1190-AI1190+AJ1190+AK1190-AL1190</f>
        <v>0</v>
      </c>
      <c r="AN1190" s="45"/>
    </row>
    <row r="1191" spans="1:41">
      <c r="A1191" s="45">
        <v>1163</v>
      </c>
      <c r="B1191" s="45" t="s">
        <v>4641</v>
      </c>
      <c r="C1191" s="49" t="s">
        <v>4642</v>
      </c>
      <c r="D1191" s="53" t="s">
        <v>73</v>
      </c>
      <c r="E1191" s="45" t="s">
        <v>4636</v>
      </c>
      <c r="F1191" s="45" t="s">
        <v>4643</v>
      </c>
      <c r="G1191" s="45">
        <v>3</v>
      </c>
      <c r="H1191" s="53" t="s">
        <v>4644</v>
      </c>
      <c r="I1191" s="45">
        <v>0</v>
      </c>
      <c r="J1191" s="45">
        <v>0</v>
      </c>
      <c r="K1191" s="45">
        <v>22000</v>
      </c>
      <c r="L1191" s="45">
        <v>0</v>
      </c>
      <c r="M1191" s="45">
        <v>0</v>
      </c>
      <c r="N1191" s="45">
        <v>0</v>
      </c>
      <c r="O1191" s="45">
        <v>0</v>
      </c>
      <c r="P1191" s="45">
        <v>0</v>
      </c>
      <c r="Q1191" s="45">
        <v>0</v>
      </c>
      <c r="R1191" s="45">
        <v>0</v>
      </c>
      <c r="S1191" s="45">
        <v>0</v>
      </c>
      <c r="T1191" s="45">
        <v>0</v>
      </c>
      <c r="U1191" s="45">
        <v>1397</v>
      </c>
      <c r="V1191" s="45">
        <v>0</v>
      </c>
      <c r="W1191" s="45">
        <v>0</v>
      </c>
      <c r="X1191" s="45">
        <v>0</v>
      </c>
      <c r="Y1191" s="45">
        <v>11000</v>
      </c>
      <c r="Z1191" s="45">
        <v>0</v>
      </c>
      <c r="AA1191" s="45">
        <v>0</v>
      </c>
      <c r="AB1191" s="45">
        <v>0</v>
      </c>
      <c r="AC1191" s="45">
        <v>0</v>
      </c>
      <c r="AD1191" s="45">
        <v>0</v>
      </c>
      <c r="AE1191" s="45">
        <v>0</v>
      </c>
      <c r="AF1191" s="45">
        <v>0</v>
      </c>
      <c r="AG1191" s="45">
        <v>0</v>
      </c>
      <c r="AH1191" s="45">
        <v>0</v>
      </c>
      <c r="AI1191" s="45">
        <v>0</v>
      </c>
      <c r="AJ1191" s="45">
        <v>0</v>
      </c>
      <c r="AK1191" s="45">
        <v>0</v>
      </c>
      <c r="AL1191" s="45">
        <v>0</v>
      </c>
      <c r="AM1191" s="57" t="str">
        <f>I1191-J1191-K1191-L1191-M1191-N1191-O1191-P1191-Q1191-R1191-S1191-T1191-U1191-V1191-W1191-X1191-Y1191-Z1191-AA1191-AB1191-AC1191-AD1191-AE1191-AF1191-AG1191+AH1191-AI1191+AJ1191+AK1191-AL1191</f>
        <v>0</v>
      </c>
      <c r="AN1191" s="45"/>
    </row>
    <row r="1192" spans="1:41">
      <c r="A1192" s="45">
        <v>1164</v>
      </c>
      <c r="B1192" s="45" t="s">
        <v>4645</v>
      </c>
      <c r="C1192" s="49" t="s">
        <v>4646</v>
      </c>
      <c r="D1192" s="53" t="s">
        <v>73</v>
      </c>
      <c r="E1192" s="45" t="s">
        <v>4636</v>
      </c>
      <c r="F1192" s="45" t="s">
        <v>3603</v>
      </c>
      <c r="G1192" s="45">
        <v>2</v>
      </c>
      <c r="H1192" s="53" t="s">
        <v>4647</v>
      </c>
      <c r="I1192" s="45">
        <v>0</v>
      </c>
      <c r="J1192" s="45">
        <v>0</v>
      </c>
      <c r="K1192" s="45">
        <v>22000</v>
      </c>
      <c r="L1192" s="45">
        <v>0</v>
      </c>
      <c r="M1192" s="45">
        <v>0</v>
      </c>
      <c r="N1192" s="45">
        <v>0</v>
      </c>
      <c r="O1192" s="45">
        <v>0</v>
      </c>
      <c r="P1192" s="45">
        <v>0</v>
      </c>
      <c r="Q1192" s="45">
        <v>0</v>
      </c>
      <c r="R1192" s="45">
        <v>0</v>
      </c>
      <c r="S1192" s="45">
        <v>0</v>
      </c>
      <c r="T1192" s="45">
        <v>0</v>
      </c>
      <c r="U1192" s="45">
        <v>1397</v>
      </c>
      <c r="V1192" s="45">
        <v>0</v>
      </c>
      <c r="W1192" s="45">
        <v>0</v>
      </c>
      <c r="X1192" s="45">
        <v>0</v>
      </c>
      <c r="Y1192" s="45">
        <v>0</v>
      </c>
      <c r="Z1192" s="45">
        <v>0</v>
      </c>
      <c r="AA1192" s="45">
        <v>0</v>
      </c>
      <c r="AB1192" s="45">
        <v>0</v>
      </c>
      <c r="AC1192" s="45">
        <v>0</v>
      </c>
      <c r="AD1192" s="45">
        <v>0</v>
      </c>
      <c r="AE1192" s="45">
        <v>0</v>
      </c>
      <c r="AF1192" s="45">
        <v>0</v>
      </c>
      <c r="AG1192" s="45">
        <v>0</v>
      </c>
      <c r="AH1192" s="45">
        <v>0</v>
      </c>
      <c r="AI1192" s="45">
        <v>0</v>
      </c>
      <c r="AJ1192" s="45">
        <v>0</v>
      </c>
      <c r="AK1192" s="45">
        <v>0</v>
      </c>
      <c r="AL1192" s="45">
        <v>0</v>
      </c>
      <c r="AM1192" s="57" t="str">
        <f>I1192-J1192-K1192-L1192-M1192-N1192-O1192-P1192-Q1192-R1192-S1192-T1192-U1192-V1192-W1192-X1192-Y1192-Z1192-AA1192-AB1192-AC1192-AD1192-AE1192-AF1192-AG1192+AH1192-AI1192+AJ1192+AK1192-AL1192</f>
        <v>0</v>
      </c>
      <c r="AN1192" s="45"/>
    </row>
    <row r="1193" spans="1:41">
      <c r="A1193" s="45">
        <v>1165</v>
      </c>
      <c r="B1193" s="45" t="s">
        <v>4648</v>
      </c>
      <c r="C1193" s="49" t="s">
        <v>4649</v>
      </c>
      <c r="D1193" s="53" t="s">
        <v>73</v>
      </c>
      <c r="E1193" s="45" t="s">
        <v>4636</v>
      </c>
      <c r="F1193" s="45" t="s">
        <v>4650</v>
      </c>
      <c r="G1193" s="45">
        <v>3</v>
      </c>
      <c r="H1193" s="53" t="s">
        <v>4651</v>
      </c>
      <c r="I1193" s="45">
        <v>0</v>
      </c>
      <c r="J1193" s="45">
        <v>0</v>
      </c>
      <c r="K1193" s="45">
        <v>22000</v>
      </c>
      <c r="L1193" s="45">
        <v>0</v>
      </c>
      <c r="M1193" s="45">
        <v>0</v>
      </c>
      <c r="N1193" s="45">
        <v>0</v>
      </c>
      <c r="O1193" s="45">
        <v>0</v>
      </c>
      <c r="P1193" s="45">
        <v>0</v>
      </c>
      <c r="Q1193" s="45">
        <v>0</v>
      </c>
      <c r="R1193" s="45">
        <v>0</v>
      </c>
      <c r="S1193" s="45">
        <v>0</v>
      </c>
      <c r="T1193" s="45">
        <v>0</v>
      </c>
      <c r="U1193" s="45">
        <v>1397</v>
      </c>
      <c r="V1193" s="45">
        <v>0</v>
      </c>
      <c r="W1193" s="45">
        <v>0</v>
      </c>
      <c r="X1193" s="45">
        <v>0</v>
      </c>
      <c r="Y1193" s="45">
        <v>11000</v>
      </c>
      <c r="Z1193" s="45">
        <v>0</v>
      </c>
      <c r="AA1193" s="45">
        <v>0</v>
      </c>
      <c r="AB1193" s="45">
        <v>0</v>
      </c>
      <c r="AC1193" s="45">
        <v>0</v>
      </c>
      <c r="AD1193" s="45">
        <v>0</v>
      </c>
      <c r="AE1193" s="45">
        <v>0</v>
      </c>
      <c r="AF1193" s="45">
        <v>0</v>
      </c>
      <c r="AG1193" s="45">
        <v>0</v>
      </c>
      <c r="AH1193" s="45">
        <v>0</v>
      </c>
      <c r="AI1193" s="45">
        <v>0</v>
      </c>
      <c r="AJ1193" s="45">
        <v>0</v>
      </c>
      <c r="AK1193" s="45">
        <v>0</v>
      </c>
      <c r="AL1193" s="45">
        <v>0</v>
      </c>
      <c r="AM1193" s="57" t="str">
        <f>I1193-J1193-K1193-L1193-M1193-N1193-O1193-P1193-Q1193-R1193-S1193-T1193-U1193-V1193-W1193-X1193-Y1193-Z1193-AA1193-AB1193-AC1193-AD1193-AE1193-AF1193-AG1193+AH1193-AI1193+AJ1193+AK1193-AL1193</f>
        <v>0</v>
      </c>
      <c r="AN1193" s="45"/>
    </row>
    <row r="1194" spans="1:41">
      <c r="A1194" s="45">
        <v>1166</v>
      </c>
      <c r="B1194" s="45" t="s">
        <v>4652</v>
      </c>
      <c r="C1194" s="49" t="s">
        <v>4653</v>
      </c>
      <c r="D1194" s="53" t="s">
        <v>73</v>
      </c>
      <c r="E1194" s="45" t="s">
        <v>4636</v>
      </c>
      <c r="F1194" s="45" t="s">
        <v>3992</v>
      </c>
      <c r="G1194" s="45">
        <v>3</v>
      </c>
      <c r="H1194" s="53" t="s">
        <v>1688</v>
      </c>
      <c r="I1194" s="45">
        <v>0</v>
      </c>
      <c r="J1194" s="45">
        <v>0</v>
      </c>
      <c r="K1194" s="45">
        <v>22000</v>
      </c>
      <c r="L1194" s="45">
        <v>0</v>
      </c>
      <c r="M1194" s="45">
        <v>0</v>
      </c>
      <c r="N1194" s="45">
        <v>0</v>
      </c>
      <c r="O1194" s="45">
        <v>0</v>
      </c>
      <c r="P1194" s="45">
        <v>0</v>
      </c>
      <c r="Q1194" s="45">
        <v>0</v>
      </c>
      <c r="R1194" s="45">
        <v>0</v>
      </c>
      <c r="S1194" s="45">
        <v>0</v>
      </c>
      <c r="T1194" s="45">
        <v>0</v>
      </c>
      <c r="U1194" s="45">
        <v>1397</v>
      </c>
      <c r="V1194" s="45">
        <v>0</v>
      </c>
      <c r="W1194" s="45">
        <v>0</v>
      </c>
      <c r="X1194" s="45">
        <v>0</v>
      </c>
      <c r="Y1194" s="45">
        <v>5000</v>
      </c>
      <c r="Z1194" s="45">
        <v>0</v>
      </c>
      <c r="AA1194" s="45">
        <v>0</v>
      </c>
      <c r="AB1194" s="45">
        <v>0</v>
      </c>
      <c r="AC1194" s="45">
        <v>0</v>
      </c>
      <c r="AD1194" s="45">
        <v>0</v>
      </c>
      <c r="AE1194" s="45">
        <v>0</v>
      </c>
      <c r="AF1194" s="45">
        <v>0</v>
      </c>
      <c r="AG1194" s="45">
        <v>0</v>
      </c>
      <c r="AH1194" s="45">
        <v>0</v>
      </c>
      <c r="AI1194" s="45">
        <v>0</v>
      </c>
      <c r="AJ1194" s="45">
        <v>0</v>
      </c>
      <c r="AK1194" s="45">
        <v>0</v>
      </c>
      <c r="AL1194" s="45">
        <v>0</v>
      </c>
      <c r="AM1194" s="57" t="str">
        <f>I1194-J1194-K1194-L1194-M1194-N1194-O1194-P1194-Q1194-R1194-S1194-T1194-U1194-V1194-W1194-X1194-Y1194-Z1194-AA1194-AB1194-AC1194-AD1194-AE1194-AF1194-AG1194+AH1194-AI1194+AJ1194+AK1194-AL1194</f>
        <v>0</v>
      </c>
      <c r="AN1194" s="45"/>
    </row>
    <row r="1195" spans="1:41">
      <c r="A1195" s="45">
        <v>1167</v>
      </c>
      <c r="B1195" s="45" t="s">
        <v>4654</v>
      </c>
      <c r="C1195" s="49" t="s">
        <v>4655</v>
      </c>
      <c r="D1195" s="53" t="s">
        <v>73</v>
      </c>
      <c r="E1195" s="45" t="s">
        <v>4656</v>
      </c>
      <c r="F1195" s="45" t="s">
        <v>4657</v>
      </c>
      <c r="G1195" s="45">
        <v>0.5</v>
      </c>
      <c r="H1195" s="53" t="s">
        <v>4658</v>
      </c>
      <c r="I1195" s="45">
        <v>0</v>
      </c>
      <c r="J1195" s="45">
        <v>0</v>
      </c>
      <c r="K1195" s="45">
        <v>22000</v>
      </c>
      <c r="L1195" s="45">
        <v>0</v>
      </c>
      <c r="M1195" s="45">
        <v>0</v>
      </c>
      <c r="N1195" s="45">
        <v>0</v>
      </c>
      <c r="O1195" s="45">
        <v>0</v>
      </c>
      <c r="P1195" s="45">
        <v>0</v>
      </c>
      <c r="Q1195" s="45">
        <v>0</v>
      </c>
      <c r="R1195" s="45">
        <v>0</v>
      </c>
      <c r="S1195" s="45">
        <v>0</v>
      </c>
      <c r="T1195" s="45">
        <v>0</v>
      </c>
      <c r="U1195" s="45">
        <v>1397</v>
      </c>
      <c r="V1195" s="45">
        <v>0</v>
      </c>
      <c r="W1195" s="45">
        <v>0</v>
      </c>
      <c r="X1195" s="45">
        <v>0</v>
      </c>
      <c r="Y1195" s="45">
        <v>0</v>
      </c>
      <c r="Z1195" s="45">
        <v>0</v>
      </c>
      <c r="AA1195" s="45">
        <v>0</v>
      </c>
      <c r="AB1195" s="45">
        <v>0</v>
      </c>
      <c r="AC1195" s="45">
        <v>0</v>
      </c>
      <c r="AD1195" s="45">
        <v>0</v>
      </c>
      <c r="AE1195" s="45">
        <v>0</v>
      </c>
      <c r="AF1195" s="45">
        <v>0</v>
      </c>
      <c r="AG1195" s="45">
        <v>0</v>
      </c>
      <c r="AH1195" s="45">
        <v>0</v>
      </c>
      <c r="AI1195" s="45">
        <v>0</v>
      </c>
      <c r="AJ1195" s="45">
        <v>0</v>
      </c>
      <c r="AK1195" s="45">
        <v>0</v>
      </c>
      <c r="AL1195" s="45">
        <v>0</v>
      </c>
      <c r="AM1195" s="57" t="str">
        <f>I1195-J1195-K1195-L1195-M1195-N1195-O1195-P1195-Q1195-R1195-S1195-T1195-U1195-V1195-W1195-X1195-Y1195-Z1195-AA1195-AB1195-AC1195-AD1195-AE1195-AF1195-AG1195+AH1195-AI1195+AJ1195+AK1195-AL1195</f>
        <v>0</v>
      </c>
      <c r="AN1195" s="45"/>
    </row>
    <row r="1196" spans="1:41">
      <c r="A1196" s="45">
        <v>1168</v>
      </c>
      <c r="B1196" s="45" t="s">
        <v>4659</v>
      </c>
      <c r="C1196" s="49" t="s">
        <v>4660</v>
      </c>
      <c r="D1196" s="53" t="s">
        <v>73</v>
      </c>
      <c r="E1196" s="45" t="s">
        <v>4661</v>
      </c>
      <c r="F1196" s="45" t="s">
        <v>4662</v>
      </c>
      <c r="G1196" s="45">
        <v>5.8</v>
      </c>
      <c r="H1196" s="53" t="s">
        <v>4663</v>
      </c>
      <c r="I1196" s="45">
        <v>0</v>
      </c>
      <c r="J1196" s="45">
        <v>0</v>
      </c>
      <c r="K1196" s="45">
        <v>31000</v>
      </c>
      <c r="L1196" s="45">
        <v>0</v>
      </c>
      <c r="M1196" s="45">
        <v>0</v>
      </c>
      <c r="N1196" s="45">
        <v>0</v>
      </c>
      <c r="O1196" s="45">
        <v>0</v>
      </c>
      <c r="P1196" s="45">
        <v>0</v>
      </c>
      <c r="Q1196" s="45">
        <v>0</v>
      </c>
      <c r="R1196" s="45">
        <v>0</v>
      </c>
      <c r="S1196" s="45">
        <v>0</v>
      </c>
      <c r="T1196" s="45">
        <v>0</v>
      </c>
      <c r="U1196" s="45">
        <v>1968</v>
      </c>
      <c r="V1196" s="45">
        <v>0</v>
      </c>
      <c r="W1196" s="45">
        <v>0</v>
      </c>
      <c r="X1196" s="45">
        <v>0</v>
      </c>
      <c r="Y1196" s="45">
        <v>0</v>
      </c>
      <c r="Z1196" s="45">
        <v>0</v>
      </c>
      <c r="AA1196" s="45">
        <v>0</v>
      </c>
      <c r="AB1196" s="45">
        <v>0</v>
      </c>
      <c r="AC1196" s="45">
        <v>0</v>
      </c>
      <c r="AD1196" s="45">
        <v>0</v>
      </c>
      <c r="AE1196" s="45">
        <v>0</v>
      </c>
      <c r="AF1196" s="45">
        <v>0</v>
      </c>
      <c r="AG1196" s="45">
        <v>0</v>
      </c>
      <c r="AH1196" s="45">
        <v>0</v>
      </c>
      <c r="AI1196" s="45">
        <v>0</v>
      </c>
      <c r="AJ1196" s="45">
        <v>0</v>
      </c>
      <c r="AK1196" s="45">
        <v>0</v>
      </c>
      <c r="AL1196" s="45">
        <v>0</v>
      </c>
      <c r="AM1196" s="57" t="str">
        <f>I1196-J1196-K1196-L1196-M1196-N1196-O1196-P1196-Q1196-R1196-S1196-T1196-U1196-V1196-W1196-X1196-Y1196-Z1196-AA1196-AB1196-AC1196-AD1196-AE1196-AF1196-AG1196+AH1196-AI1196+AJ1196+AK1196-AL1196</f>
        <v>0</v>
      </c>
      <c r="AN1196" s="45"/>
    </row>
    <row r="1197" spans="1:41">
      <c r="A1197" s="45">
        <v>1169</v>
      </c>
      <c r="B1197" s="45" t="s">
        <v>4664</v>
      </c>
      <c r="C1197" s="49" t="s">
        <v>4665</v>
      </c>
      <c r="D1197" s="53" t="s">
        <v>73</v>
      </c>
      <c r="E1197" s="45" t="s">
        <v>4661</v>
      </c>
      <c r="F1197" s="45" t="s">
        <v>4662</v>
      </c>
      <c r="G1197" s="45">
        <v>5</v>
      </c>
      <c r="H1197" s="53" t="s">
        <v>3608</v>
      </c>
      <c r="I1197" s="45">
        <v>784000</v>
      </c>
      <c r="J1197" s="45">
        <v>0</v>
      </c>
      <c r="K1197" s="45">
        <v>27000</v>
      </c>
      <c r="L1197" s="45">
        <v>0</v>
      </c>
      <c r="M1197" s="45">
        <v>0</v>
      </c>
      <c r="N1197" s="45">
        <v>0</v>
      </c>
      <c r="O1197" s="45">
        <v>0</v>
      </c>
      <c r="P1197" s="45">
        <v>0</v>
      </c>
      <c r="Q1197" s="45">
        <v>0</v>
      </c>
      <c r="R1197" s="45">
        <v>0</v>
      </c>
      <c r="S1197" s="45">
        <v>0</v>
      </c>
      <c r="T1197" s="45">
        <v>0</v>
      </c>
      <c r="U1197" s="45">
        <v>1714</v>
      </c>
      <c r="V1197" s="45">
        <v>0</v>
      </c>
      <c r="W1197" s="45">
        <v>0</v>
      </c>
      <c r="X1197" s="45">
        <v>0</v>
      </c>
      <c r="Y1197" s="45">
        <v>0</v>
      </c>
      <c r="Z1197" s="45">
        <v>0</v>
      </c>
      <c r="AA1197" s="45">
        <v>0</v>
      </c>
      <c r="AB1197" s="45">
        <v>0</v>
      </c>
      <c r="AC1197" s="45">
        <v>0</v>
      </c>
      <c r="AD1197" s="45">
        <v>0</v>
      </c>
      <c r="AE1197" s="45">
        <v>0</v>
      </c>
      <c r="AF1197" s="45">
        <v>0</v>
      </c>
      <c r="AG1197" s="45">
        <v>0</v>
      </c>
      <c r="AH1197" s="45">
        <v>0</v>
      </c>
      <c r="AI1197" s="45">
        <v>0</v>
      </c>
      <c r="AJ1197" s="45">
        <v>0</v>
      </c>
      <c r="AK1197" s="45">
        <v>0</v>
      </c>
      <c r="AL1197" s="45">
        <v>0</v>
      </c>
      <c r="AM1197" s="57" t="str">
        <f>I1197-J1197-K1197-L1197-M1197-N1197-O1197-P1197-Q1197-R1197-S1197-T1197-U1197-V1197-W1197-X1197-Y1197-Z1197-AA1197-AB1197-AC1197-AD1197-AE1197-AF1197-AG1197+AH1197-AI1197+AJ1197+AK1197-AL1197</f>
        <v>0</v>
      </c>
      <c r="AN1197" s="45"/>
    </row>
    <row r="1198" spans="1:41">
      <c r="A1198" s="45">
        <v>1170</v>
      </c>
      <c r="B1198" s="45" t="s">
        <v>4666</v>
      </c>
      <c r="C1198" s="49" t="s">
        <v>4667</v>
      </c>
      <c r="D1198" s="53" t="s">
        <v>62</v>
      </c>
      <c r="E1198" s="45" t="s">
        <v>4661</v>
      </c>
      <c r="F1198" s="45" t="s">
        <v>4668</v>
      </c>
      <c r="G1198" s="45">
        <v>7</v>
      </c>
      <c r="H1198" s="53" t="s">
        <v>4669</v>
      </c>
      <c r="I1198" s="45">
        <v>0</v>
      </c>
      <c r="J1198" s="45">
        <v>0</v>
      </c>
      <c r="K1198" s="45">
        <v>35000</v>
      </c>
      <c r="L1198" s="45">
        <v>0</v>
      </c>
      <c r="M1198" s="45">
        <v>0</v>
      </c>
      <c r="N1198" s="45">
        <v>0</v>
      </c>
      <c r="O1198" s="45">
        <v>0</v>
      </c>
      <c r="P1198" s="45">
        <v>0</v>
      </c>
      <c r="Q1198" s="45">
        <v>0</v>
      </c>
      <c r="R1198" s="45">
        <v>0</v>
      </c>
      <c r="S1198" s="45">
        <v>0</v>
      </c>
      <c r="T1198" s="45">
        <v>0</v>
      </c>
      <c r="U1198" s="45">
        <v>2222</v>
      </c>
      <c r="V1198" s="45">
        <v>0</v>
      </c>
      <c r="W1198" s="45">
        <v>0</v>
      </c>
      <c r="X1198" s="45">
        <v>0</v>
      </c>
      <c r="Y1198" s="45">
        <v>5000</v>
      </c>
      <c r="Z1198" s="45">
        <v>0</v>
      </c>
      <c r="AA1198" s="45">
        <v>0</v>
      </c>
      <c r="AB1198" s="45">
        <v>0</v>
      </c>
      <c r="AC1198" s="45">
        <v>0</v>
      </c>
      <c r="AD1198" s="45">
        <v>0</v>
      </c>
      <c r="AE1198" s="45">
        <v>0</v>
      </c>
      <c r="AF1198" s="45">
        <v>0</v>
      </c>
      <c r="AG1198" s="45">
        <v>0</v>
      </c>
      <c r="AH1198" s="45">
        <v>0</v>
      </c>
      <c r="AI1198" s="45">
        <v>0</v>
      </c>
      <c r="AJ1198" s="45">
        <v>0</v>
      </c>
      <c r="AK1198" s="45">
        <v>0</v>
      </c>
      <c r="AL1198" s="45">
        <v>0</v>
      </c>
      <c r="AM1198" s="57" t="str">
        <f>I1198-J1198-K1198-L1198-M1198-N1198-O1198-P1198-Q1198-R1198-S1198-T1198-U1198-V1198-W1198-X1198-Y1198-Z1198-AA1198-AB1198-AC1198-AD1198-AE1198-AF1198-AG1198+AH1198-AI1198+AJ1198+AK1198-AL1198</f>
        <v>0</v>
      </c>
      <c r="AN1198" s="45"/>
    </row>
    <row r="1199" spans="1:41">
      <c r="A1199" s="45">
        <v>1171</v>
      </c>
      <c r="B1199" s="45" t="s">
        <v>4670</v>
      </c>
      <c r="C1199" s="49" t="s">
        <v>4671</v>
      </c>
      <c r="D1199" s="53" t="s">
        <v>73</v>
      </c>
      <c r="E1199" s="45" t="s">
        <v>4661</v>
      </c>
      <c r="F1199" s="45" t="s">
        <v>4672</v>
      </c>
      <c r="G1199" s="45">
        <v>2</v>
      </c>
      <c r="H1199" s="53" t="s">
        <v>4673</v>
      </c>
      <c r="I1199" s="45">
        <v>0</v>
      </c>
      <c r="J1199" s="45">
        <v>0</v>
      </c>
      <c r="K1199" s="45">
        <v>22000</v>
      </c>
      <c r="L1199" s="45">
        <v>0</v>
      </c>
      <c r="M1199" s="45">
        <v>0</v>
      </c>
      <c r="N1199" s="45">
        <v>0</v>
      </c>
      <c r="O1199" s="45">
        <v>0</v>
      </c>
      <c r="P1199" s="45">
        <v>0</v>
      </c>
      <c r="Q1199" s="45">
        <v>0</v>
      </c>
      <c r="R1199" s="45">
        <v>0</v>
      </c>
      <c r="S1199" s="45">
        <v>0</v>
      </c>
      <c r="T1199" s="45">
        <v>0</v>
      </c>
      <c r="U1199" s="45">
        <v>1397</v>
      </c>
      <c r="V1199" s="45">
        <v>0</v>
      </c>
      <c r="W1199" s="45">
        <v>0</v>
      </c>
      <c r="X1199" s="45">
        <v>0</v>
      </c>
      <c r="Y1199" s="45">
        <v>0</v>
      </c>
      <c r="Z1199" s="45">
        <v>0</v>
      </c>
      <c r="AA1199" s="45">
        <v>0</v>
      </c>
      <c r="AB1199" s="45">
        <v>0</v>
      </c>
      <c r="AC1199" s="45">
        <v>0</v>
      </c>
      <c r="AD1199" s="45">
        <v>0</v>
      </c>
      <c r="AE1199" s="45">
        <v>0</v>
      </c>
      <c r="AF1199" s="45">
        <v>0</v>
      </c>
      <c r="AG1199" s="45">
        <v>0</v>
      </c>
      <c r="AH1199" s="45">
        <v>0</v>
      </c>
      <c r="AI1199" s="45">
        <v>0</v>
      </c>
      <c r="AJ1199" s="45">
        <v>0</v>
      </c>
      <c r="AK1199" s="45">
        <v>0</v>
      </c>
      <c r="AL1199" s="45">
        <v>0</v>
      </c>
      <c r="AM1199" s="57" t="str">
        <f>I1199-J1199-K1199-L1199-M1199-N1199-O1199-P1199-Q1199-R1199-S1199-T1199-U1199-V1199-W1199-X1199-Y1199-Z1199-AA1199-AB1199-AC1199-AD1199-AE1199-AF1199-AG1199+AH1199-AI1199+AJ1199+AK1199-AL1199</f>
        <v>0</v>
      </c>
      <c r="AN1199" s="45"/>
    </row>
    <row r="1200" spans="1:41">
      <c r="A1200" s="45">
        <v>1172</v>
      </c>
      <c r="B1200" s="45" t="s">
        <v>4674</v>
      </c>
      <c r="C1200" s="49" t="s">
        <v>4675</v>
      </c>
      <c r="D1200" s="53" t="s">
        <v>73</v>
      </c>
      <c r="E1200" s="45" t="s">
        <v>4661</v>
      </c>
      <c r="F1200" s="45" t="s">
        <v>3197</v>
      </c>
      <c r="G1200" s="45">
        <v>3</v>
      </c>
      <c r="H1200" s="53" t="s">
        <v>4676</v>
      </c>
      <c r="I1200" s="45">
        <v>170000</v>
      </c>
      <c r="J1200" s="45">
        <v>0</v>
      </c>
      <c r="K1200" s="45">
        <v>22000</v>
      </c>
      <c r="L1200" s="45">
        <v>0</v>
      </c>
      <c r="M1200" s="45">
        <v>0</v>
      </c>
      <c r="N1200" s="45">
        <v>0</v>
      </c>
      <c r="O1200" s="45">
        <v>0</v>
      </c>
      <c r="P1200" s="45">
        <v>0</v>
      </c>
      <c r="Q1200" s="45">
        <v>0</v>
      </c>
      <c r="R1200" s="45">
        <v>0</v>
      </c>
      <c r="S1200" s="45">
        <v>0</v>
      </c>
      <c r="T1200" s="45">
        <v>0</v>
      </c>
      <c r="U1200" s="45">
        <v>1397</v>
      </c>
      <c r="V1200" s="45">
        <v>0</v>
      </c>
      <c r="W1200" s="45">
        <v>0</v>
      </c>
      <c r="X1200" s="45">
        <v>0</v>
      </c>
      <c r="Y1200" s="45">
        <v>0</v>
      </c>
      <c r="Z1200" s="45">
        <v>0</v>
      </c>
      <c r="AA1200" s="45">
        <v>0</v>
      </c>
      <c r="AB1200" s="45">
        <v>0</v>
      </c>
      <c r="AC1200" s="45">
        <v>0</v>
      </c>
      <c r="AD1200" s="45">
        <v>0</v>
      </c>
      <c r="AE1200" s="45">
        <v>0</v>
      </c>
      <c r="AF1200" s="45">
        <v>0</v>
      </c>
      <c r="AG1200" s="45">
        <v>0</v>
      </c>
      <c r="AH1200" s="45">
        <v>0</v>
      </c>
      <c r="AI1200" s="45">
        <v>0</v>
      </c>
      <c r="AJ1200" s="45">
        <v>0</v>
      </c>
      <c r="AK1200" s="45">
        <v>0</v>
      </c>
      <c r="AL1200" s="45">
        <v>0</v>
      </c>
      <c r="AM1200" s="57" t="str">
        <f>I1200-J1200-K1200-L1200-M1200-N1200-O1200-P1200-Q1200-R1200-S1200-T1200-U1200-V1200-W1200-X1200-Y1200-Z1200-AA1200-AB1200-AC1200-AD1200-AE1200-AF1200-AG1200+AH1200-AI1200+AJ1200+AK1200-AL1200</f>
        <v>0</v>
      </c>
      <c r="AN1200" s="45"/>
    </row>
    <row r="1201" spans="1:41">
      <c r="A1201" s="45">
        <v>1173</v>
      </c>
      <c r="B1201" s="45" t="s">
        <v>4677</v>
      </c>
      <c r="C1201" s="49" t="s">
        <v>4678</v>
      </c>
      <c r="D1201" s="53" t="s">
        <v>73</v>
      </c>
      <c r="E1201" s="45" t="s">
        <v>4661</v>
      </c>
      <c r="F1201" s="45" t="s">
        <v>4679</v>
      </c>
      <c r="G1201" s="45">
        <v>6</v>
      </c>
      <c r="H1201" s="53" t="s">
        <v>4680</v>
      </c>
      <c r="I1201" s="45">
        <v>1050000</v>
      </c>
      <c r="J1201" s="45">
        <v>0</v>
      </c>
      <c r="K1201" s="45">
        <v>31000</v>
      </c>
      <c r="L1201" s="45">
        <v>0</v>
      </c>
      <c r="M1201" s="45">
        <v>0</v>
      </c>
      <c r="N1201" s="45">
        <v>0</v>
      </c>
      <c r="O1201" s="45">
        <v>0</v>
      </c>
      <c r="P1201" s="45">
        <v>0</v>
      </c>
      <c r="Q1201" s="45">
        <v>0</v>
      </c>
      <c r="R1201" s="45">
        <v>0</v>
      </c>
      <c r="S1201" s="45">
        <v>0</v>
      </c>
      <c r="T1201" s="45">
        <v>0</v>
      </c>
      <c r="U1201" s="45">
        <v>1968</v>
      </c>
      <c r="V1201" s="45">
        <v>0</v>
      </c>
      <c r="W1201" s="45">
        <v>0</v>
      </c>
      <c r="X1201" s="45">
        <v>0</v>
      </c>
      <c r="Y1201" s="45">
        <v>0</v>
      </c>
      <c r="Z1201" s="45">
        <v>0</v>
      </c>
      <c r="AA1201" s="45">
        <v>0</v>
      </c>
      <c r="AB1201" s="45">
        <v>0</v>
      </c>
      <c r="AC1201" s="45">
        <v>0</v>
      </c>
      <c r="AD1201" s="45">
        <v>0</v>
      </c>
      <c r="AE1201" s="45">
        <v>0</v>
      </c>
      <c r="AF1201" s="45">
        <v>0</v>
      </c>
      <c r="AG1201" s="45">
        <v>0</v>
      </c>
      <c r="AH1201" s="45">
        <v>0</v>
      </c>
      <c r="AI1201" s="45">
        <v>0</v>
      </c>
      <c r="AJ1201" s="45">
        <v>0</v>
      </c>
      <c r="AK1201" s="45">
        <v>0</v>
      </c>
      <c r="AL1201" s="45">
        <v>0</v>
      </c>
      <c r="AM1201" s="57" t="str">
        <f>I1201-J1201-K1201-L1201-M1201-N1201-O1201-P1201-Q1201-R1201-S1201-T1201-U1201-V1201-W1201-X1201-Y1201-Z1201-AA1201-AB1201-AC1201-AD1201-AE1201-AF1201-AG1201+AH1201-AI1201+AJ1201+AK1201-AL1201</f>
        <v>0</v>
      </c>
      <c r="AN1201" s="45"/>
    </row>
    <row r="1202" spans="1:41">
      <c r="A1202" s="45">
        <v>1174</v>
      </c>
      <c r="B1202" s="45" t="s">
        <v>4681</v>
      </c>
      <c r="C1202" s="49" t="s">
        <v>4682</v>
      </c>
      <c r="D1202" s="53" t="s">
        <v>73</v>
      </c>
      <c r="E1202" s="45" t="s">
        <v>4661</v>
      </c>
      <c r="F1202" s="45" t="s">
        <v>4683</v>
      </c>
      <c r="G1202" s="45">
        <v>8</v>
      </c>
      <c r="H1202" s="53" t="s">
        <v>4684</v>
      </c>
      <c r="I1202" s="45">
        <v>1072000</v>
      </c>
      <c r="J1202" s="45">
        <v>0</v>
      </c>
      <c r="K1202" s="45">
        <v>39000</v>
      </c>
      <c r="L1202" s="45">
        <v>0</v>
      </c>
      <c r="M1202" s="45">
        <v>0</v>
      </c>
      <c r="N1202" s="45">
        <v>0</v>
      </c>
      <c r="O1202" s="45">
        <v>0</v>
      </c>
      <c r="P1202" s="45">
        <v>0</v>
      </c>
      <c r="Q1202" s="45">
        <v>0</v>
      </c>
      <c r="R1202" s="45">
        <v>0</v>
      </c>
      <c r="S1202" s="45">
        <v>0</v>
      </c>
      <c r="T1202" s="45">
        <v>0</v>
      </c>
      <c r="U1202" s="45">
        <v>2476</v>
      </c>
      <c r="V1202" s="45">
        <v>0</v>
      </c>
      <c r="W1202" s="45">
        <v>0</v>
      </c>
      <c r="X1202" s="45">
        <v>0</v>
      </c>
      <c r="Y1202" s="45">
        <v>0</v>
      </c>
      <c r="Z1202" s="45">
        <v>0</v>
      </c>
      <c r="AA1202" s="45">
        <v>0</v>
      </c>
      <c r="AB1202" s="45">
        <v>0</v>
      </c>
      <c r="AC1202" s="45">
        <v>0</v>
      </c>
      <c r="AD1202" s="45">
        <v>0</v>
      </c>
      <c r="AE1202" s="45">
        <v>0</v>
      </c>
      <c r="AF1202" s="45">
        <v>0</v>
      </c>
      <c r="AG1202" s="45">
        <v>0</v>
      </c>
      <c r="AH1202" s="45">
        <v>0</v>
      </c>
      <c r="AI1202" s="45">
        <v>0</v>
      </c>
      <c r="AJ1202" s="45">
        <v>0</v>
      </c>
      <c r="AK1202" s="45">
        <v>0</v>
      </c>
      <c r="AL1202" s="45">
        <v>0</v>
      </c>
      <c r="AM1202" s="57" t="str">
        <f>I1202-J1202-K1202-L1202-M1202-N1202-O1202-P1202-Q1202-R1202-S1202-T1202-U1202-V1202-W1202-X1202-Y1202-Z1202-AA1202-AB1202-AC1202-AD1202-AE1202-AF1202-AG1202+AH1202-AI1202+AJ1202+AK1202-AL1202</f>
        <v>0</v>
      </c>
      <c r="AN1202" s="45"/>
    </row>
    <row r="1203" spans="1:41">
      <c r="A1203" s="45">
        <v>1175</v>
      </c>
      <c r="B1203" s="45" t="s">
        <v>4685</v>
      </c>
      <c r="C1203" s="49" t="s">
        <v>4686</v>
      </c>
      <c r="D1203" s="53" t="s">
        <v>73</v>
      </c>
      <c r="E1203" s="45" t="s">
        <v>4661</v>
      </c>
      <c r="F1203" s="45" t="s">
        <v>4687</v>
      </c>
      <c r="G1203" s="45">
        <v>2</v>
      </c>
      <c r="H1203" s="53" t="s">
        <v>4688</v>
      </c>
      <c r="I1203" s="45">
        <v>0</v>
      </c>
      <c r="J1203" s="45">
        <v>0</v>
      </c>
      <c r="K1203" s="45">
        <v>22000</v>
      </c>
      <c r="L1203" s="45">
        <v>0</v>
      </c>
      <c r="M1203" s="45">
        <v>0</v>
      </c>
      <c r="N1203" s="45">
        <v>0</v>
      </c>
      <c r="O1203" s="45">
        <v>0</v>
      </c>
      <c r="P1203" s="45">
        <v>0</v>
      </c>
      <c r="Q1203" s="45">
        <v>0</v>
      </c>
      <c r="R1203" s="45">
        <v>0</v>
      </c>
      <c r="S1203" s="45">
        <v>0</v>
      </c>
      <c r="T1203" s="45">
        <v>0</v>
      </c>
      <c r="U1203" s="45">
        <v>1397</v>
      </c>
      <c r="V1203" s="45">
        <v>0</v>
      </c>
      <c r="W1203" s="45">
        <v>0</v>
      </c>
      <c r="X1203" s="45">
        <v>0</v>
      </c>
      <c r="Y1203" s="45">
        <v>0</v>
      </c>
      <c r="Z1203" s="45">
        <v>0</v>
      </c>
      <c r="AA1203" s="45">
        <v>0</v>
      </c>
      <c r="AB1203" s="45">
        <v>0</v>
      </c>
      <c r="AC1203" s="45">
        <v>0</v>
      </c>
      <c r="AD1203" s="45">
        <v>0</v>
      </c>
      <c r="AE1203" s="45">
        <v>0</v>
      </c>
      <c r="AF1203" s="45">
        <v>0</v>
      </c>
      <c r="AG1203" s="45">
        <v>0</v>
      </c>
      <c r="AH1203" s="45">
        <v>0</v>
      </c>
      <c r="AI1203" s="45">
        <v>0</v>
      </c>
      <c r="AJ1203" s="45">
        <v>0</v>
      </c>
      <c r="AK1203" s="45">
        <v>0</v>
      </c>
      <c r="AL1203" s="45">
        <v>0</v>
      </c>
      <c r="AM1203" s="57" t="str">
        <f>I1203-J1203-K1203-L1203-M1203-N1203-O1203-P1203-Q1203-R1203-S1203-T1203-U1203-V1203-W1203-X1203-Y1203-Z1203-AA1203-AB1203-AC1203-AD1203-AE1203-AF1203-AG1203+AH1203-AI1203+AJ1203+AK1203-AL1203</f>
        <v>0</v>
      </c>
      <c r="AN1203" s="45"/>
    </row>
    <row r="1204" spans="1:41">
      <c r="A1204" s="45">
        <v>1176</v>
      </c>
      <c r="B1204" s="45" t="s">
        <v>4689</v>
      </c>
      <c r="C1204" s="49" t="s">
        <v>4690</v>
      </c>
      <c r="D1204" s="53" t="s">
        <v>73</v>
      </c>
      <c r="E1204" s="45" t="s">
        <v>4661</v>
      </c>
      <c r="F1204" s="45" t="s">
        <v>4691</v>
      </c>
      <c r="G1204" s="45">
        <v>3</v>
      </c>
      <c r="H1204" s="53" t="s">
        <v>4692</v>
      </c>
      <c r="I1204" s="45">
        <v>404000</v>
      </c>
      <c r="J1204" s="45">
        <v>0</v>
      </c>
      <c r="K1204" s="45">
        <v>22000</v>
      </c>
      <c r="L1204" s="45">
        <v>0</v>
      </c>
      <c r="M1204" s="45">
        <v>0</v>
      </c>
      <c r="N1204" s="45">
        <v>0</v>
      </c>
      <c r="O1204" s="45">
        <v>0</v>
      </c>
      <c r="P1204" s="45">
        <v>0</v>
      </c>
      <c r="Q1204" s="45">
        <v>0</v>
      </c>
      <c r="R1204" s="45">
        <v>0</v>
      </c>
      <c r="S1204" s="45">
        <v>0</v>
      </c>
      <c r="T1204" s="45">
        <v>0</v>
      </c>
      <c r="U1204" s="45">
        <v>1397</v>
      </c>
      <c r="V1204" s="45">
        <v>0</v>
      </c>
      <c r="W1204" s="45">
        <v>0</v>
      </c>
      <c r="X1204" s="45">
        <v>0</v>
      </c>
      <c r="Y1204" s="45">
        <v>0</v>
      </c>
      <c r="Z1204" s="45">
        <v>0</v>
      </c>
      <c r="AA1204" s="45">
        <v>0</v>
      </c>
      <c r="AB1204" s="45">
        <v>0</v>
      </c>
      <c r="AC1204" s="45">
        <v>0</v>
      </c>
      <c r="AD1204" s="45">
        <v>0</v>
      </c>
      <c r="AE1204" s="45">
        <v>0</v>
      </c>
      <c r="AF1204" s="45">
        <v>0</v>
      </c>
      <c r="AG1204" s="45">
        <v>0</v>
      </c>
      <c r="AH1204" s="45">
        <v>0</v>
      </c>
      <c r="AI1204" s="45">
        <v>0</v>
      </c>
      <c r="AJ1204" s="45">
        <v>0</v>
      </c>
      <c r="AK1204" s="45">
        <v>0</v>
      </c>
      <c r="AL1204" s="45">
        <v>0</v>
      </c>
      <c r="AM1204" s="57" t="str">
        <f>I1204-J1204-K1204-L1204-M1204-N1204-O1204-P1204-Q1204-R1204-S1204-T1204-U1204-V1204-W1204-X1204-Y1204-Z1204-AA1204-AB1204-AC1204-AD1204-AE1204-AF1204-AG1204+AH1204-AI1204+AJ1204+AK1204-AL1204</f>
        <v>0</v>
      </c>
      <c r="AN1204" s="45"/>
    </row>
    <row r="1205" spans="1:41">
      <c r="A1205" s="45">
        <v>1177</v>
      </c>
      <c r="B1205" s="45" t="s">
        <v>4693</v>
      </c>
      <c r="C1205" s="49" t="s">
        <v>4694</v>
      </c>
      <c r="D1205" s="53" t="s">
        <v>73</v>
      </c>
      <c r="E1205" s="45" t="s">
        <v>4661</v>
      </c>
      <c r="F1205" s="45" t="s">
        <v>4695</v>
      </c>
      <c r="G1205" s="45">
        <v>2</v>
      </c>
      <c r="H1205" s="53" t="s">
        <v>4696</v>
      </c>
      <c r="I1205" s="45">
        <v>334000</v>
      </c>
      <c r="J1205" s="45">
        <v>0</v>
      </c>
      <c r="K1205" s="45">
        <v>22000</v>
      </c>
      <c r="L1205" s="45">
        <v>0</v>
      </c>
      <c r="M1205" s="45">
        <v>0</v>
      </c>
      <c r="N1205" s="45">
        <v>0</v>
      </c>
      <c r="O1205" s="45">
        <v>0</v>
      </c>
      <c r="P1205" s="45">
        <v>0</v>
      </c>
      <c r="Q1205" s="45">
        <v>0</v>
      </c>
      <c r="R1205" s="45">
        <v>0</v>
      </c>
      <c r="S1205" s="45">
        <v>0</v>
      </c>
      <c r="T1205" s="45">
        <v>0</v>
      </c>
      <c r="U1205" s="45">
        <v>1397</v>
      </c>
      <c r="V1205" s="45">
        <v>0</v>
      </c>
      <c r="W1205" s="45">
        <v>0</v>
      </c>
      <c r="X1205" s="45">
        <v>0</v>
      </c>
      <c r="Y1205" s="45">
        <v>0</v>
      </c>
      <c r="Z1205" s="45">
        <v>0</v>
      </c>
      <c r="AA1205" s="45">
        <v>0</v>
      </c>
      <c r="AB1205" s="45">
        <v>0</v>
      </c>
      <c r="AC1205" s="45">
        <v>0</v>
      </c>
      <c r="AD1205" s="45">
        <v>0</v>
      </c>
      <c r="AE1205" s="45">
        <v>0</v>
      </c>
      <c r="AF1205" s="45">
        <v>0</v>
      </c>
      <c r="AG1205" s="45">
        <v>0</v>
      </c>
      <c r="AH1205" s="45">
        <v>0</v>
      </c>
      <c r="AI1205" s="45">
        <v>0</v>
      </c>
      <c r="AJ1205" s="45">
        <v>0</v>
      </c>
      <c r="AK1205" s="45">
        <v>0</v>
      </c>
      <c r="AL1205" s="45">
        <v>0</v>
      </c>
      <c r="AM1205" s="57" t="str">
        <f>I1205-J1205-K1205-L1205-M1205-N1205-O1205-P1205-Q1205-R1205-S1205-T1205-U1205-V1205-W1205-X1205-Y1205-Z1205-AA1205-AB1205-AC1205-AD1205-AE1205-AF1205-AG1205+AH1205-AI1205+AJ1205+AK1205-AL1205</f>
        <v>0</v>
      </c>
      <c r="AN1205" s="45"/>
    </row>
    <row r="1206" spans="1:41">
      <c r="A1206" s="45">
        <v>1178</v>
      </c>
      <c r="B1206" s="45" t="s">
        <v>4697</v>
      </c>
      <c r="C1206" s="49" t="s">
        <v>4698</v>
      </c>
      <c r="D1206" s="53" t="s">
        <v>73</v>
      </c>
      <c r="E1206" s="45" t="s">
        <v>4661</v>
      </c>
      <c r="F1206" s="45" t="s">
        <v>4276</v>
      </c>
      <c r="G1206" s="45">
        <v>2</v>
      </c>
      <c r="H1206" s="53" t="s">
        <v>4699</v>
      </c>
      <c r="I1206" s="45">
        <v>238150</v>
      </c>
      <c r="J1206" s="45">
        <v>0</v>
      </c>
      <c r="K1206" s="45">
        <v>22000</v>
      </c>
      <c r="L1206" s="45">
        <v>0</v>
      </c>
      <c r="M1206" s="45">
        <v>0</v>
      </c>
      <c r="N1206" s="45">
        <v>0</v>
      </c>
      <c r="O1206" s="45">
        <v>0</v>
      </c>
      <c r="P1206" s="45">
        <v>0</v>
      </c>
      <c r="Q1206" s="45">
        <v>0</v>
      </c>
      <c r="R1206" s="45">
        <v>0</v>
      </c>
      <c r="S1206" s="45">
        <v>0</v>
      </c>
      <c r="T1206" s="45">
        <v>0</v>
      </c>
      <c r="U1206" s="45">
        <v>1397</v>
      </c>
      <c r="V1206" s="45">
        <v>0</v>
      </c>
      <c r="W1206" s="45">
        <v>0</v>
      </c>
      <c r="X1206" s="45">
        <v>0</v>
      </c>
      <c r="Y1206" s="45">
        <v>0</v>
      </c>
      <c r="Z1206" s="45">
        <v>0</v>
      </c>
      <c r="AA1206" s="45">
        <v>0</v>
      </c>
      <c r="AB1206" s="45">
        <v>0</v>
      </c>
      <c r="AC1206" s="45">
        <v>0</v>
      </c>
      <c r="AD1206" s="45">
        <v>0</v>
      </c>
      <c r="AE1206" s="45">
        <v>0</v>
      </c>
      <c r="AF1206" s="45">
        <v>0</v>
      </c>
      <c r="AG1206" s="45">
        <v>0</v>
      </c>
      <c r="AH1206" s="45">
        <v>0</v>
      </c>
      <c r="AI1206" s="45">
        <v>0</v>
      </c>
      <c r="AJ1206" s="45">
        <v>0</v>
      </c>
      <c r="AK1206" s="45">
        <v>0</v>
      </c>
      <c r="AL1206" s="45">
        <v>0</v>
      </c>
      <c r="AM1206" s="57" t="str">
        <f>I1206-J1206-K1206-L1206-M1206-N1206-O1206-P1206-Q1206-R1206-S1206-T1206-U1206-V1206-W1206-X1206-Y1206-Z1206-AA1206-AB1206-AC1206-AD1206-AE1206-AF1206-AG1206+AH1206-AI1206+AJ1206+AK1206-AL1206</f>
        <v>0</v>
      </c>
      <c r="AN1206" s="45"/>
    </row>
    <row r="1207" spans="1:41">
      <c r="A1207" s="45">
        <v>1179</v>
      </c>
      <c r="B1207" s="45" t="s">
        <v>4700</v>
      </c>
      <c r="C1207" s="49" t="s">
        <v>4701</v>
      </c>
      <c r="D1207" s="53" t="s">
        <v>73</v>
      </c>
      <c r="E1207" s="45" t="s">
        <v>4661</v>
      </c>
      <c r="F1207" s="45" t="s">
        <v>4702</v>
      </c>
      <c r="G1207" s="45">
        <v>2</v>
      </c>
      <c r="H1207" s="53" t="s">
        <v>4703</v>
      </c>
      <c r="I1207" s="45">
        <v>305000</v>
      </c>
      <c r="J1207" s="45">
        <v>0</v>
      </c>
      <c r="K1207" s="45">
        <v>22000</v>
      </c>
      <c r="L1207" s="45">
        <v>0</v>
      </c>
      <c r="M1207" s="45">
        <v>0</v>
      </c>
      <c r="N1207" s="45">
        <v>0</v>
      </c>
      <c r="O1207" s="45">
        <v>0</v>
      </c>
      <c r="P1207" s="45">
        <v>0</v>
      </c>
      <c r="Q1207" s="45">
        <v>0</v>
      </c>
      <c r="R1207" s="45">
        <v>0</v>
      </c>
      <c r="S1207" s="45">
        <v>0</v>
      </c>
      <c r="T1207" s="45">
        <v>0</v>
      </c>
      <c r="U1207" s="45">
        <v>1397</v>
      </c>
      <c r="V1207" s="45">
        <v>0</v>
      </c>
      <c r="W1207" s="45">
        <v>0</v>
      </c>
      <c r="X1207" s="45">
        <v>0</v>
      </c>
      <c r="Y1207" s="45">
        <v>0</v>
      </c>
      <c r="Z1207" s="45">
        <v>0</v>
      </c>
      <c r="AA1207" s="45">
        <v>0</v>
      </c>
      <c r="AB1207" s="45">
        <v>0</v>
      </c>
      <c r="AC1207" s="45">
        <v>0</v>
      </c>
      <c r="AD1207" s="45">
        <v>0</v>
      </c>
      <c r="AE1207" s="45">
        <v>0</v>
      </c>
      <c r="AF1207" s="45">
        <v>0</v>
      </c>
      <c r="AG1207" s="45">
        <v>0</v>
      </c>
      <c r="AH1207" s="45">
        <v>0</v>
      </c>
      <c r="AI1207" s="45">
        <v>0</v>
      </c>
      <c r="AJ1207" s="45">
        <v>0</v>
      </c>
      <c r="AK1207" s="45">
        <v>0</v>
      </c>
      <c r="AL1207" s="45">
        <v>0</v>
      </c>
      <c r="AM1207" s="57" t="str">
        <f>I1207-J1207-K1207-L1207-M1207-N1207-O1207-P1207-Q1207-R1207-S1207-T1207-U1207-V1207-W1207-X1207-Y1207-Z1207-AA1207-AB1207-AC1207-AD1207-AE1207-AF1207-AG1207+AH1207-AI1207+AJ1207+AK1207-AL1207</f>
        <v>0</v>
      </c>
      <c r="AN1207" s="45"/>
    </row>
    <row r="1208" spans="1:41">
      <c r="A1208" s="45">
        <v>1180</v>
      </c>
      <c r="B1208" s="45" t="s">
        <v>4704</v>
      </c>
      <c r="C1208" s="49" t="s">
        <v>4705</v>
      </c>
      <c r="D1208" s="53" t="s">
        <v>73</v>
      </c>
      <c r="E1208" s="45" t="s">
        <v>4661</v>
      </c>
      <c r="F1208" s="45" t="s">
        <v>4706</v>
      </c>
      <c r="G1208" s="45">
        <v>2</v>
      </c>
      <c r="H1208" s="53" t="s">
        <v>4707</v>
      </c>
      <c r="I1208" s="45">
        <v>134000</v>
      </c>
      <c r="J1208" s="45">
        <v>0</v>
      </c>
      <c r="K1208" s="45">
        <v>22000</v>
      </c>
      <c r="L1208" s="45">
        <v>0</v>
      </c>
      <c r="M1208" s="45">
        <v>0</v>
      </c>
      <c r="N1208" s="45">
        <v>0</v>
      </c>
      <c r="O1208" s="45">
        <v>0</v>
      </c>
      <c r="P1208" s="45">
        <v>0</v>
      </c>
      <c r="Q1208" s="45">
        <v>0</v>
      </c>
      <c r="R1208" s="45">
        <v>0</v>
      </c>
      <c r="S1208" s="45">
        <v>0</v>
      </c>
      <c r="T1208" s="45">
        <v>0</v>
      </c>
      <c r="U1208" s="45">
        <v>1397</v>
      </c>
      <c r="V1208" s="45">
        <v>0</v>
      </c>
      <c r="W1208" s="45">
        <v>0</v>
      </c>
      <c r="X1208" s="45">
        <v>0</v>
      </c>
      <c r="Y1208" s="45">
        <v>0</v>
      </c>
      <c r="Z1208" s="45">
        <v>0</v>
      </c>
      <c r="AA1208" s="45">
        <v>0</v>
      </c>
      <c r="AB1208" s="45">
        <v>0</v>
      </c>
      <c r="AC1208" s="45">
        <v>0</v>
      </c>
      <c r="AD1208" s="45">
        <v>0</v>
      </c>
      <c r="AE1208" s="45">
        <v>0</v>
      </c>
      <c r="AF1208" s="45">
        <v>0</v>
      </c>
      <c r="AG1208" s="45">
        <v>0</v>
      </c>
      <c r="AH1208" s="45">
        <v>0</v>
      </c>
      <c r="AI1208" s="45">
        <v>0</v>
      </c>
      <c r="AJ1208" s="45">
        <v>0</v>
      </c>
      <c r="AK1208" s="45">
        <v>0</v>
      </c>
      <c r="AL1208" s="45">
        <v>0</v>
      </c>
      <c r="AM1208" s="57" t="str">
        <f>I1208-J1208-K1208-L1208-M1208-N1208-O1208-P1208-Q1208-R1208-S1208-T1208-U1208-V1208-W1208-X1208-Y1208-Z1208-AA1208-AB1208-AC1208-AD1208-AE1208-AF1208-AG1208+AH1208-AI1208+AJ1208+AK1208-AL1208</f>
        <v>0</v>
      </c>
      <c r="AN1208" s="45"/>
    </row>
    <row r="1209" spans="1:41">
      <c r="A1209" s="45">
        <v>1181</v>
      </c>
      <c r="B1209" s="45" t="s">
        <v>4708</v>
      </c>
      <c r="C1209" s="49" t="s">
        <v>4709</v>
      </c>
      <c r="D1209" s="53" t="s">
        <v>73</v>
      </c>
      <c r="E1209" s="45" t="s">
        <v>4661</v>
      </c>
      <c r="F1209" s="45" t="s">
        <v>4710</v>
      </c>
      <c r="G1209" s="45">
        <v>3</v>
      </c>
      <c r="H1209" s="53" t="s">
        <v>4711</v>
      </c>
      <c r="I1209" s="45">
        <v>560000</v>
      </c>
      <c r="J1209" s="45">
        <v>0</v>
      </c>
      <c r="K1209" s="45">
        <v>22000</v>
      </c>
      <c r="L1209" s="45">
        <v>0</v>
      </c>
      <c r="M1209" s="45">
        <v>0</v>
      </c>
      <c r="N1209" s="45">
        <v>0</v>
      </c>
      <c r="O1209" s="45">
        <v>0</v>
      </c>
      <c r="P1209" s="45">
        <v>0</v>
      </c>
      <c r="Q1209" s="45">
        <v>0</v>
      </c>
      <c r="R1209" s="45">
        <v>0</v>
      </c>
      <c r="S1209" s="45">
        <v>0</v>
      </c>
      <c r="T1209" s="45">
        <v>0</v>
      </c>
      <c r="U1209" s="45">
        <v>1397</v>
      </c>
      <c r="V1209" s="45">
        <v>0</v>
      </c>
      <c r="W1209" s="45">
        <v>0</v>
      </c>
      <c r="X1209" s="45">
        <v>0</v>
      </c>
      <c r="Y1209" s="45">
        <v>0</v>
      </c>
      <c r="Z1209" s="45">
        <v>0</v>
      </c>
      <c r="AA1209" s="45">
        <v>0</v>
      </c>
      <c r="AB1209" s="45">
        <v>0</v>
      </c>
      <c r="AC1209" s="45">
        <v>0</v>
      </c>
      <c r="AD1209" s="45">
        <v>0</v>
      </c>
      <c r="AE1209" s="45">
        <v>0</v>
      </c>
      <c r="AF1209" s="45">
        <v>0</v>
      </c>
      <c r="AG1209" s="45">
        <v>0</v>
      </c>
      <c r="AH1209" s="45">
        <v>0</v>
      </c>
      <c r="AI1209" s="45">
        <v>0</v>
      </c>
      <c r="AJ1209" s="45">
        <v>0</v>
      </c>
      <c r="AK1209" s="45">
        <v>0</v>
      </c>
      <c r="AL1209" s="45">
        <v>0</v>
      </c>
      <c r="AM1209" s="57" t="str">
        <f>I1209-J1209-K1209-L1209-M1209-N1209-O1209-P1209-Q1209-R1209-S1209-T1209-U1209-V1209-W1209-X1209-Y1209-Z1209-AA1209-AB1209-AC1209-AD1209-AE1209-AF1209-AG1209+AH1209-AI1209+AJ1209+AK1209-AL1209</f>
        <v>0</v>
      </c>
      <c r="AN1209" s="45"/>
    </row>
    <row r="1210" spans="1:41">
      <c r="A1210" s="45">
        <v>1182</v>
      </c>
      <c r="B1210" s="45" t="s">
        <v>4712</v>
      </c>
      <c r="C1210" s="49" t="s">
        <v>4713</v>
      </c>
      <c r="D1210" s="53" t="s">
        <v>73</v>
      </c>
      <c r="E1210" s="45" t="s">
        <v>4661</v>
      </c>
      <c r="F1210" s="45" t="s">
        <v>2786</v>
      </c>
      <c r="G1210" s="45">
        <v>3</v>
      </c>
      <c r="H1210" s="53" t="s">
        <v>4714</v>
      </c>
      <c r="I1210" s="45">
        <v>585000</v>
      </c>
      <c r="J1210" s="45">
        <v>0</v>
      </c>
      <c r="K1210" s="45">
        <v>22000</v>
      </c>
      <c r="L1210" s="45">
        <v>0</v>
      </c>
      <c r="M1210" s="45">
        <v>0</v>
      </c>
      <c r="N1210" s="45">
        <v>0</v>
      </c>
      <c r="O1210" s="45">
        <v>0</v>
      </c>
      <c r="P1210" s="45">
        <v>0</v>
      </c>
      <c r="Q1210" s="45">
        <v>0</v>
      </c>
      <c r="R1210" s="45">
        <v>0</v>
      </c>
      <c r="S1210" s="45">
        <v>0</v>
      </c>
      <c r="T1210" s="45">
        <v>0</v>
      </c>
      <c r="U1210" s="45">
        <v>1397</v>
      </c>
      <c r="V1210" s="45">
        <v>0</v>
      </c>
      <c r="W1210" s="45">
        <v>0</v>
      </c>
      <c r="X1210" s="45">
        <v>0</v>
      </c>
      <c r="Y1210" s="45">
        <v>0</v>
      </c>
      <c r="Z1210" s="45">
        <v>0</v>
      </c>
      <c r="AA1210" s="45">
        <v>0</v>
      </c>
      <c r="AB1210" s="45">
        <v>0</v>
      </c>
      <c r="AC1210" s="45">
        <v>0</v>
      </c>
      <c r="AD1210" s="45">
        <v>0</v>
      </c>
      <c r="AE1210" s="45">
        <v>0</v>
      </c>
      <c r="AF1210" s="45">
        <v>0</v>
      </c>
      <c r="AG1210" s="45">
        <v>0</v>
      </c>
      <c r="AH1210" s="45">
        <v>0</v>
      </c>
      <c r="AI1210" s="45">
        <v>0</v>
      </c>
      <c r="AJ1210" s="45">
        <v>0</v>
      </c>
      <c r="AK1210" s="45">
        <v>0</v>
      </c>
      <c r="AL1210" s="45">
        <v>0</v>
      </c>
      <c r="AM1210" s="57" t="str">
        <f>I1210-J1210-K1210-L1210-M1210-N1210-O1210-P1210-Q1210-R1210-S1210-T1210-U1210-V1210-W1210-X1210-Y1210-Z1210-AA1210-AB1210-AC1210-AD1210-AE1210-AF1210-AG1210+AH1210-AI1210+AJ1210+AK1210-AL1210</f>
        <v>0</v>
      </c>
      <c r="AN1210" s="45"/>
    </row>
    <row r="1211" spans="1:41">
      <c r="A1211" s="45">
        <v>1183</v>
      </c>
      <c r="B1211" s="45" t="s">
        <v>4715</v>
      </c>
      <c r="C1211" s="49" t="s">
        <v>4716</v>
      </c>
      <c r="D1211" s="53" t="s">
        <v>73</v>
      </c>
      <c r="E1211" s="45" t="s">
        <v>4661</v>
      </c>
      <c r="F1211" s="45" t="s">
        <v>4717</v>
      </c>
      <c r="G1211" s="45">
        <v>3</v>
      </c>
      <c r="H1211" s="53" t="s">
        <v>4718</v>
      </c>
      <c r="I1211" s="45">
        <v>585000</v>
      </c>
      <c r="J1211" s="45">
        <v>0</v>
      </c>
      <c r="K1211" s="45">
        <v>22000</v>
      </c>
      <c r="L1211" s="45">
        <v>0</v>
      </c>
      <c r="M1211" s="45">
        <v>0</v>
      </c>
      <c r="N1211" s="45">
        <v>0</v>
      </c>
      <c r="O1211" s="45">
        <v>0</v>
      </c>
      <c r="P1211" s="45">
        <v>0</v>
      </c>
      <c r="Q1211" s="45">
        <v>0</v>
      </c>
      <c r="R1211" s="45">
        <v>0</v>
      </c>
      <c r="S1211" s="45">
        <v>0</v>
      </c>
      <c r="T1211" s="45">
        <v>0</v>
      </c>
      <c r="U1211" s="45">
        <v>1397</v>
      </c>
      <c r="V1211" s="45">
        <v>0</v>
      </c>
      <c r="W1211" s="45">
        <v>0</v>
      </c>
      <c r="X1211" s="45">
        <v>0</v>
      </c>
      <c r="Y1211" s="45">
        <v>0</v>
      </c>
      <c r="Z1211" s="45">
        <v>0</v>
      </c>
      <c r="AA1211" s="45">
        <v>0</v>
      </c>
      <c r="AB1211" s="45">
        <v>0</v>
      </c>
      <c r="AC1211" s="45">
        <v>0</v>
      </c>
      <c r="AD1211" s="45">
        <v>0</v>
      </c>
      <c r="AE1211" s="45">
        <v>0</v>
      </c>
      <c r="AF1211" s="45">
        <v>0</v>
      </c>
      <c r="AG1211" s="45">
        <v>0</v>
      </c>
      <c r="AH1211" s="45">
        <v>0</v>
      </c>
      <c r="AI1211" s="45">
        <v>0</v>
      </c>
      <c r="AJ1211" s="45">
        <v>0</v>
      </c>
      <c r="AK1211" s="45">
        <v>0</v>
      </c>
      <c r="AL1211" s="45">
        <v>0</v>
      </c>
      <c r="AM1211" s="57" t="str">
        <f>I1211-J1211-K1211-L1211-M1211-N1211-O1211-P1211-Q1211-R1211-S1211-T1211-U1211-V1211-W1211-X1211-Y1211-Z1211-AA1211-AB1211-AC1211-AD1211-AE1211-AF1211-AG1211+AH1211-AI1211+AJ1211+AK1211-AL1211</f>
        <v>0</v>
      </c>
      <c r="AN1211" s="45"/>
    </row>
    <row r="1212" spans="1:41">
      <c r="A1212" s="45">
        <v>1184</v>
      </c>
      <c r="B1212" s="45" t="s">
        <v>4719</v>
      </c>
      <c r="C1212" s="49" t="s">
        <v>4720</v>
      </c>
      <c r="D1212" s="53" t="s">
        <v>73</v>
      </c>
      <c r="E1212" s="45" t="s">
        <v>4661</v>
      </c>
      <c r="F1212" s="45" t="s">
        <v>4721</v>
      </c>
      <c r="G1212" s="45">
        <v>2</v>
      </c>
      <c r="H1212" s="53" t="s">
        <v>4722</v>
      </c>
      <c r="I1212" s="45">
        <v>134000</v>
      </c>
      <c r="J1212" s="45">
        <v>0</v>
      </c>
      <c r="K1212" s="45">
        <v>22000</v>
      </c>
      <c r="L1212" s="45">
        <v>0</v>
      </c>
      <c r="M1212" s="45">
        <v>0</v>
      </c>
      <c r="N1212" s="45">
        <v>0</v>
      </c>
      <c r="O1212" s="45">
        <v>0</v>
      </c>
      <c r="P1212" s="45">
        <v>0</v>
      </c>
      <c r="Q1212" s="45">
        <v>0</v>
      </c>
      <c r="R1212" s="45">
        <v>0</v>
      </c>
      <c r="S1212" s="45">
        <v>0</v>
      </c>
      <c r="T1212" s="45">
        <v>0</v>
      </c>
      <c r="U1212" s="45">
        <v>1397</v>
      </c>
      <c r="V1212" s="45">
        <v>0</v>
      </c>
      <c r="W1212" s="45">
        <v>0</v>
      </c>
      <c r="X1212" s="45">
        <v>0</v>
      </c>
      <c r="Y1212" s="45">
        <v>0</v>
      </c>
      <c r="Z1212" s="45">
        <v>0</v>
      </c>
      <c r="AA1212" s="45">
        <v>0</v>
      </c>
      <c r="AB1212" s="45">
        <v>0</v>
      </c>
      <c r="AC1212" s="45">
        <v>0</v>
      </c>
      <c r="AD1212" s="45">
        <v>0</v>
      </c>
      <c r="AE1212" s="45">
        <v>0</v>
      </c>
      <c r="AF1212" s="45">
        <v>0</v>
      </c>
      <c r="AG1212" s="45">
        <v>0</v>
      </c>
      <c r="AH1212" s="45">
        <v>0</v>
      </c>
      <c r="AI1212" s="45">
        <v>0</v>
      </c>
      <c r="AJ1212" s="45">
        <v>0</v>
      </c>
      <c r="AK1212" s="45">
        <v>0</v>
      </c>
      <c r="AL1212" s="45">
        <v>0</v>
      </c>
      <c r="AM1212" s="57" t="str">
        <f>I1212-J1212-K1212-L1212-M1212-N1212-O1212-P1212-Q1212-R1212-S1212-T1212-U1212-V1212-W1212-X1212-Y1212-Z1212-AA1212-AB1212-AC1212-AD1212-AE1212-AF1212-AG1212+AH1212-AI1212+AJ1212+AK1212-AL1212</f>
        <v>0</v>
      </c>
      <c r="AN1212" s="45"/>
    </row>
    <row r="1213" spans="1:41">
      <c r="A1213" s="45">
        <v>1185</v>
      </c>
      <c r="B1213" s="45" t="s">
        <v>4723</v>
      </c>
      <c r="C1213" s="49" t="s">
        <v>4724</v>
      </c>
      <c r="D1213" s="53" t="s">
        <v>73</v>
      </c>
      <c r="E1213" s="45" t="s">
        <v>4725</v>
      </c>
      <c r="F1213" s="45" t="s">
        <v>3259</v>
      </c>
      <c r="G1213" s="45">
        <v>3</v>
      </c>
      <c r="H1213" s="53" t="s">
        <v>4726</v>
      </c>
      <c r="I1213" s="45">
        <v>560000</v>
      </c>
      <c r="J1213" s="45">
        <v>0</v>
      </c>
      <c r="K1213" s="45">
        <v>22000</v>
      </c>
      <c r="L1213" s="45">
        <v>0</v>
      </c>
      <c r="M1213" s="45">
        <v>0</v>
      </c>
      <c r="N1213" s="45">
        <v>0</v>
      </c>
      <c r="O1213" s="45">
        <v>0</v>
      </c>
      <c r="P1213" s="45">
        <v>0</v>
      </c>
      <c r="Q1213" s="45">
        <v>0</v>
      </c>
      <c r="R1213" s="45">
        <v>0</v>
      </c>
      <c r="S1213" s="45">
        <v>0</v>
      </c>
      <c r="T1213" s="45">
        <v>0</v>
      </c>
      <c r="U1213" s="45">
        <v>1397</v>
      </c>
      <c r="V1213" s="45">
        <v>0</v>
      </c>
      <c r="W1213" s="45">
        <v>0</v>
      </c>
      <c r="X1213" s="45">
        <v>0</v>
      </c>
      <c r="Y1213" s="45">
        <v>0</v>
      </c>
      <c r="Z1213" s="45">
        <v>0</v>
      </c>
      <c r="AA1213" s="45">
        <v>0</v>
      </c>
      <c r="AB1213" s="45">
        <v>0</v>
      </c>
      <c r="AC1213" s="45">
        <v>0</v>
      </c>
      <c r="AD1213" s="45">
        <v>0</v>
      </c>
      <c r="AE1213" s="45">
        <v>0</v>
      </c>
      <c r="AF1213" s="45">
        <v>0</v>
      </c>
      <c r="AG1213" s="45">
        <v>0</v>
      </c>
      <c r="AH1213" s="45">
        <v>0</v>
      </c>
      <c r="AI1213" s="45">
        <v>0</v>
      </c>
      <c r="AJ1213" s="45">
        <v>0</v>
      </c>
      <c r="AK1213" s="45">
        <v>0</v>
      </c>
      <c r="AL1213" s="45">
        <v>0</v>
      </c>
      <c r="AM1213" s="57" t="str">
        <f>I1213-J1213-K1213-L1213-M1213-N1213-O1213-P1213-Q1213-R1213-S1213-T1213-U1213-V1213-W1213-X1213-Y1213-Z1213-AA1213-AB1213-AC1213-AD1213-AE1213-AF1213-AG1213+AH1213-AI1213+AJ1213+AK1213-AL1213</f>
        <v>0</v>
      </c>
      <c r="AN1213" s="45"/>
    </row>
    <row r="1214" spans="1:41">
      <c r="A1214" s="45">
        <v>1186</v>
      </c>
      <c r="B1214" s="45" t="s">
        <v>4727</v>
      </c>
      <c r="C1214" s="49" t="s">
        <v>4728</v>
      </c>
      <c r="D1214" s="53" t="s">
        <v>73</v>
      </c>
      <c r="E1214" s="45" t="s">
        <v>4725</v>
      </c>
      <c r="F1214" s="45" t="s">
        <v>4729</v>
      </c>
      <c r="G1214" s="45">
        <v>3</v>
      </c>
      <c r="H1214" s="53" t="s">
        <v>4730</v>
      </c>
      <c r="I1214" s="45">
        <v>585000</v>
      </c>
      <c r="J1214" s="45">
        <v>0</v>
      </c>
      <c r="K1214" s="45">
        <v>22000</v>
      </c>
      <c r="L1214" s="45">
        <v>0</v>
      </c>
      <c r="M1214" s="45">
        <v>0</v>
      </c>
      <c r="N1214" s="45">
        <v>0</v>
      </c>
      <c r="O1214" s="45">
        <v>0</v>
      </c>
      <c r="P1214" s="45">
        <v>0</v>
      </c>
      <c r="Q1214" s="45">
        <v>0</v>
      </c>
      <c r="R1214" s="45">
        <v>0</v>
      </c>
      <c r="S1214" s="45">
        <v>0</v>
      </c>
      <c r="T1214" s="45">
        <v>0</v>
      </c>
      <c r="U1214" s="45">
        <v>1397</v>
      </c>
      <c r="V1214" s="45">
        <v>0</v>
      </c>
      <c r="W1214" s="45">
        <v>0</v>
      </c>
      <c r="X1214" s="45">
        <v>0</v>
      </c>
      <c r="Y1214" s="45">
        <v>0</v>
      </c>
      <c r="Z1214" s="45">
        <v>0</v>
      </c>
      <c r="AA1214" s="45">
        <v>0</v>
      </c>
      <c r="AB1214" s="45">
        <v>0</v>
      </c>
      <c r="AC1214" s="45">
        <v>0</v>
      </c>
      <c r="AD1214" s="45">
        <v>0</v>
      </c>
      <c r="AE1214" s="45">
        <v>0</v>
      </c>
      <c r="AF1214" s="45">
        <v>0</v>
      </c>
      <c r="AG1214" s="45">
        <v>0</v>
      </c>
      <c r="AH1214" s="45">
        <v>0</v>
      </c>
      <c r="AI1214" s="45">
        <v>0</v>
      </c>
      <c r="AJ1214" s="45">
        <v>0</v>
      </c>
      <c r="AK1214" s="45">
        <v>0</v>
      </c>
      <c r="AL1214" s="45">
        <v>0</v>
      </c>
      <c r="AM1214" s="57" t="str">
        <f>I1214-J1214-K1214-L1214-M1214-N1214-O1214-P1214-Q1214-R1214-S1214-T1214-U1214-V1214-W1214-X1214-Y1214-Z1214-AA1214-AB1214-AC1214-AD1214-AE1214-AF1214-AG1214+AH1214-AI1214+AJ1214+AK1214-AL1214</f>
        <v>0</v>
      </c>
      <c r="AN1214" s="45"/>
    </row>
    <row r="1215" spans="1:41">
      <c r="A1215" s="45">
        <v>1187</v>
      </c>
      <c r="B1215" s="45" t="s">
        <v>4731</v>
      </c>
      <c r="C1215" s="49" t="s">
        <v>4732</v>
      </c>
      <c r="D1215" s="53" t="s">
        <v>73</v>
      </c>
      <c r="E1215" s="45" t="s">
        <v>4725</v>
      </c>
      <c r="F1215" s="45" t="s">
        <v>4733</v>
      </c>
      <c r="G1215" s="45">
        <v>2</v>
      </c>
      <c r="H1215" s="53" t="s">
        <v>4734</v>
      </c>
      <c r="I1215" s="45">
        <v>134000</v>
      </c>
      <c r="J1215" s="45">
        <v>0</v>
      </c>
      <c r="K1215" s="45">
        <v>22000</v>
      </c>
      <c r="L1215" s="45">
        <v>0</v>
      </c>
      <c r="M1215" s="45">
        <v>0</v>
      </c>
      <c r="N1215" s="45">
        <v>0</v>
      </c>
      <c r="O1215" s="45">
        <v>0</v>
      </c>
      <c r="P1215" s="45">
        <v>0</v>
      </c>
      <c r="Q1215" s="45">
        <v>0</v>
      </c>
      <c r="R1215" s="45">
        <v>0</v>
      </c>
      <c r="S1215" s="45">
        <v>0</v>
      </c>
      <c r="T1215" s="45">
        <v>0</v>
      </c>
      <c r="U1215" s="45">
        <v>1397</v>
      </c>
      <c r="V1215" s="45">
        <v>0</v>
      </c>
      <c r="W1215" s="45">
        <v>0</v>
      </c>
      <c r="X1215" s="45">
        <v>0</v>
      </c>
      <c r="Y1215" s="45">
        <v>0</v>
      </c>
      <c r="Z1215" s="45">
        <v>0</v>
      </c>
      <c r="AA1215" s="45">
        <v>0</v>
      </c>
      <c r="AB1215" s="45">
        <v>0</v>
      </c>
      <c r="AC1215" s="45">
        <v>0</v>
      </c>
      <c r="AD1215" s="45">
        <v>0</v>
      </c>
      <c r="AE1215" s="45">
        <v>0</v>
      </c>
      <c r="AF1215" s="45">
        <v>0</v>
      </c>
      <c r="AG1215" s="45">
        <v>0</v>
      </c>
      <c r="AH1215" s="45">
        <v>0</v>
      </c>
      <c r="AI1215" s="45">
        <v>0</v>
      </c>
      <c r="AJ1215" s="45">
        <v>0</v>
      </c>
      <c r="AK1215" s="45">
        <v>0</v>
      </c>
      <c r="AL1215" s="45">
        <v>0</v>
      </c>
      <c r="AM1215" s="57" t="str">
        <f>I1215-J1215-K1215-L1215-M1215-N1215-O1215-P1215-Q1215-R1215-S1215-T1215-U1215-V1215-W1215-X1215-Y1215-Z1215-AA1215-AB1215-AC1215-AD1215-AE1215-AF1215-AG1215+AH1215-AI1215+AJ1215+AK1215-AL1215</f>
        <v>0</v>
      </c>
      <c r="AN1215" s="45"/>
    </row>
    <row r="1216" spans="1:41">
      <c r="A1216" s="45">
        <v>1188</v>
      </c>
      <c r="B1216" s="45" t="s">
        <v>4735</v>
      </c>
      <c r="C1216" s="49" t="s">
        <v>4736</v>
      </c>
      <c r="D1216" s="53" t="s">
        <v>73</v>
      </c>
      <c r="E1216" s="45" t="s">
        <v>4737</v>
      </c>
      <c r="F1216" s="45" t="s">
        <v>651</v>
      </c>
      <c r="G1216" s="45">
        <v>4</v>
      </c>
      <c r="H1216" s="53" t="s">
        <v>4738</v>
      </c>
      <c r="I1216" s="45">
        <v>0</v>
      </c>
      <c r="J1216" s="45">
        <v>0</v>
      </c>
      <c r="K1216" s="45">
        <v>23000</v>
      </c>
      <c r="L1216" s="45">
        <v>0</v>
      </c>
      <c r="M1216" s="45">
        <v>0</v>
      </c>
      <c r="N1216" s="45">
        <v>0</v>
      </c>
      <c r="O1216" s="45">
        <v>0</v>
      </c>
      <c r="P1216" s="45">
        <v>0</v>
      </c>
      <c r="Q1216" s="45">
        <v>0</v>
      </c>
      <c r="R1216" s="45">
        <v>0</v>
      </c>
      <c r="S1216" s="45">
        <v>0</v>
      </c>
      <c r="T1216" s="45">
        <v>0</v>
      </c>
      <c r="U1216" s="45">
        <v>1460</v>
      </c>
      <c r="V1216" s="45">
        <v>0</v>
      </c>
      <c r="W1216" s="45">
        <v>0</v>
      </c>
      <c r="X1216" s="45">
        <v>0</v>
      </c>
      <c r="Y1216" s="45">
        <v>0</v>
      </c>
      <c r="Z1216" s="45">
        <v>0</v>
      </c>
      <c r="AA1216" s="45">
        <v>0</v>
      </c>
      <c r="AB1216" s="45">
        <v>0</v>
      </c>
      <c r="AC1216" s="45">
        <v>0</v>
      </c>
      <c r="AD1216" s="45">
        <v>0</v>
      </c>
      <c r="AE1216" s="45">
        <v>0</v>
      </c>
      <c r="AF1216" s="45">
        <v>0</v>
      </c>
      <c r="AG1216" s="45">
        <v>0</v>
      </c>
      <c r="AH1216" s="45">
        <v>0</v>
      </c>
      <c r="AI1216" s="45">
        <v>0</v>
      </c>
      <c r="AJ1216" s="45">
        <v>0</v>
      </c>
      <c r="AK1216" s="45">
        <v>0</v>
      </c>
      <c r="AL1216" s="45">
        <v>0</v>
      </c>
      <c r="AM1216" s="57" t="str">
        <f>I1216-J1216-K1216-L1216-M1216-N1216-O1216-P1216-Q1216-R1216-S1216-T1216-U1216-V1216-W1216-X1216-Y1216-Z1216-AA1216-AB1216-AC1216-AD1216-AE1216-AF1216-AG1216+AH1216-AI1216+AJ1216+AK1216-AL1216</f>
        <v>0</v>
      </c>
      <c r="AN1216" s="45"/>
    </row>
    <row r="1217" spans="1:41">
      <c r="A1217" s="45">
        <v>1189</v>
      </c>
      <c r="B1217" s="45" t="s">
        <v>4739</v>
      </c>
      <c r="C1217" s="49" t="s">
        <v>4740</v>
      </c>
      <c r="D1217" s="53" t="s">
        <v>73</v>
      </c>
      <c r="E1217" s="45" t="s">
        <v>4737</v>
      </c>
      <c r="F1217" s="45" t="s">
        <v>4741</v>
      </c>
      <c r="G1217" s="45">
        <v>2</v>
      </c>
      <c r="H1217" s="53" t="s">
        <v>4742</v>
      </c>
      <c r="I1217" s="45">
        <v>264000</v>
      </c>
      <c r="J1217" s="45">
        <v>0</v>
      </c>
      <c r="K1217" s="45">
        <v>22000</v>
      </c>
      <c r="L1217" s="45">
        <v>0</v>
      </c>
      <c r="M1217" s="45">
        <v>0</v>
      </c>
      <c r="N1217" s="45">
        <v>0</v>
      </c>
      <c r="O1217" s="45">
        <v>0</v>
      </c>
      <c r="P1217" s="45">
        <v>0</v>
      </c>
      <c r="Q1217" s="45">
        <v>0</v>
      </c>
      <c r="R1217" s="45">
        <v>0</v>
      </c>
      <c r="S1217" s="45">
        <v>0</v>
      </c>
      <c r="T1217" s="45">
        <v>0</v>
      </c>
      <c r="U1217" s="45">
        <v>1397</v>
      </c>
      <c r="V1217" s="45">
        <v>0</v>
      </c>
      <c r="W1217" s="45">
        <v>0</v>
      </c>
      <c r="X1217" s="45">
        <v>0</v>
      </c>
      <c r="Y1217" s="45">
        <v>0</v>
      </c>
      <c r="Z1217" s="45">
        <v>0</v>
      </c>
      <c r="AA1217" s="45">
        <v>0</v>
      </c>
      <c r="AB1217" s="45">
        <v>0</v>
      </c>
      <c r="AC1217" s="45">
        <v>0</v>
      </c>
      <c r="AD1217" s="45">
        <v>0</v>
      </c>
      <c r="AE1217" s="45">
        <v>0</v>
      </c>
      <c r="AF1217" s="45">
        <v>0</v>
      </c>
      <c r="AG1217" s="45">
        <v>0</v>
      </c>
      <c r="AH1217" s="45">
        <v>0</v>
      </c>
      <c r="AI1217" s="45">
        <v>0</v>
      </c>
      <c r="AJ1217" s="45">
        <v>0</v>
      </c>
      <c r="AK1217" s="45">
        <v>0</v>
      </c>
      <c r="AL1217" s="45">
        <v>0</v>
      </c>
      <c r="AM1217" s="57" t="str">
        <f>I1217-J1217-K1217-L1217-M1217-N1217-O1217-P1217-Q1217-R1217-S1217-T1217-U1217-V1217-W1217-X1217-Y1217-Z1217-AA1217-AB1217-AC1217-AD1217-AE1217-AF1217-AG1217+AH1217-AI1217+AJ1217+AK1217-AL1217</f>
        <v>0</v>
      </c>
      <c r="AN1217" s="45"/>
    </row>
    <row r="1218" spans="1:41">
      <c r="A1218" s="45">
        <v>1190</v>
      </c>
      <c r="B1218" s="45" t="s">
        <v>4743</v>
      </c>
      <c r="C1218" s="49" t="s">
        <v>4744</v>
      </c>
      <c r="D1218" s="53" t="s">
        <v>73</v>
      </c>
      <c r="E1218" s="45" t="s">
        <v>4737</v>
      </c>
      <c r="F1218" s="45" t="s">
        <v>651</v>
      </c>
      <c r="G1218" s="45">
        <v>2</v>
      </c>
      <c r="H1218" s="53" t="s">
        <v>4745</v>
      </c>
      <c r="I1218" s="45">
        <v>184000</v>
      </c>
      <c r="J1218" s="45">
        <v>0</v>
      </c>
      <c r="K1218" s="45">
        <v>23000</v>
      </c>
      <c r="L1218" s="45">
        <v>0</v>
      </c>
      <c r="M1218" s="45">
        <v>0</v>
      </c>
      <c r="N1218" s="45">
        <v>0</v>
      </c>
      <c r="O1218" s="45">
        <v>0</v>
      </c>
      <c r="P1218" s="45">
        <v>0</v>
      </c>
      <c r="Q1218" s="45">
        <v>0</v>
      </c>
      <c r="R1218" s="45">
        <v>0</v>
      </c>
      <c r="S1218" s="45">
        <v>0</v>
      </c>
      <c r="T1218" s="45">
        <v>0</v>
      </c>
      <c r="U1218" s="45">
        <v>1460</v>
      </c>
      <c r="V1218" s="45">
        <v>0</v>
      </c>
      <c r="W1218" s="45">
        <v>0</v>
      </c>
      <c r="X1218" s="45">
        <v>0</v>
      </c>
      <c r="Y1218" s="45">
        <v>0</v>
      </c>
      <c r="Z1218" s="45">
        <v>0</v>
      </c>
      <c r="AA1218" s="45">
        <v>0</v>
      </c>
      <c r="AB1218" s="45">
        <v>0</v>
      </c>
      <c r="AC1218" s="45">
        <v>0</v>
      </c>
      <c r="AD1218" s="45">
        <v>0</v>
      </c>
      <c r="AE1218" s="45">
        <v>0</v>
      </c>
      <c r="AF1218" s="45">
        <v>0</v>
      </c>
      <c r="AG1218" s="45">
        <v>0</v>
      </c>
      <c r="AH1218" s="45">
        <v>0</v>
      </c>
      <c r="AI1218" s="45">
        <v>0</v>
      </c>
      <c r="AJ1218" s="45">
        <v>0</v>
      </c>
      <c r="AK1218" s="45">
        <v>0</v>
      </c>
      <c r="AL1218" s="45">
        <v>0</v>
      </c>
      <c r="AM1218" s="57" t="str">
        <f>I1218-J1218-K1218-L1218-M1218-N1218-O1218-P1218-Q1218-R1218-S1218-T1218-U1218-V1218-W1218-X1218-Y1218-Z1218-AA1218-AB1218-AC1218-AD1218-AE1218-AF1218-AG1218+AH1218-AI1218+AJ1218+AK1218-AL1218</f>
        <v>0</v>
      </c>
      <c r="AN1218" s="45"/>
    </row>
    <row r="1219" spans="1:41">
      <c r="A1219" s="45">
        <v>1191</v>
      </c>
      <c r="B1219" s="45" t="s">
        <v>4746</v>
      </c>
      <c r="C1219" s="49" t="s">
        <v>4747</v>
      </c>
      <c r="D1219" s="53" t="s">
        <v>62</v>
      </c>
      <c r="E1219" s="45" t="s">
        <v>4737</v>
      </c>
      <c r="F1219" s="45" t="s">
        <v>4748</v>
      </c>
      <c r="G1219" s="45">
        <v>5.8</v>
      </c>
      <c r="H1219" s="53" t="s">
        <v>4749</v>
      </c>
      <c r="I1219" s="45">
        <v>0</v>
      </c>
      <c r="J1219" s="45">
        <v>0</v>
      </c>
      <c r="K1219" s="45">
        <v>24000</v>
      </c>
      <c r="L1219" s="45">
        <v>0</v>
      </c>
      <c r="M1219" s="45">
        <v>0</v>
      </c>
      <c r="N1219" s="45">
        <v>0</v>
      </c>
      <c r="O1219" s="45">
        <v>0</v>
      </c>
      <c r="P1219" s="45">
        <v>0</v>
      </c>
      <c r="Q1219" s="45">
        <v>0</v>
      </c>
      <c r="R1219" s="45">
        <v>0</v>
      </c>
      <c r="S1219" s="45">
        <v>0</v>
      </c>
      <c r="T1219" s="45">
        <v>0</v>
      </c>
      <c r="U1219" s="45">
        <v>1524</v>
      </c>
      <c r="V1219" s="45">
        <v>0</v>
      </c>
      <c r="W1219" s="45">
        <v>0</v>
      </c>
      <c r="X1219" s="45">
        <v>0</v>
      </c>
      <c r="Y1219" s="45">
        <v>5000</v>
      </c>
      <c r="Z1219" s="45">
        <v>0</v>
      </c>
      <c r="AA1219" s="45">
        <v>0</v>
      </c>
      <c r="AB1219" s="45">
        <v>0</v>
      </c>
      <c r="AC1219" s="45">
        <v>0</v>
      </c>
      <c r="AD1219" s="45">
        <v>0</v>
      </c>
      <c r="AE1219" s="45">
        <v>0</v>
      </c>
      <c r="AF1219" s="45">
        <v>0</v>
      </c>
      <c r="AG1219" s="45">
        <v>0</v>
      </c>
      <c r="AH1219" s="45">
        <v>0</v>
      </c>
      <c r="AI1219" s="45">
        <v>0</v>
      </c>
      <c r="AJ1219" s="45">
        <v>0</v>
      </c>
      <c r="AK1219" s="45">
        <v>0</v>
      </c>
      <c r="AL1219" s="45">
        <v>0</v>
      </c>
      <c r="AM1219" s="57" t="str">
        <f>I1219-J1219-K1219-L1219-M1219-N1219-O1219-P1219-Q1219-R1219-S1219-T1219-U1219-V1219-W1219-X1219-Y1219-Z1219-AA1219-AB1219-AC1219-AD1219-AE1219-AF1219-AG1219+AH1219-AI1219+AJ1219+AK1219-AL1219</f>
        <v>0</v>
      </c>
      <c r="AN1219" s="45"/>
    </row>
    <row r="1220" spans="1:41">
      <c r="A1220" s="45">
        <v>1192</v>
      </c>
      <c r="B1220" s="45" t="s">
        <v>4750</v>
      </c>
      <c r="C1220" s="49" t="s">
        <v>4751</v>
      </c>
      <c r="D1220" s="53" t="s">
        <v>73</v>
      </c>
      <c r="E1220" s="45" t="s">
        <v>4737</v>
      </c>
      <c r="F1220" s="45" t="s">
        <v>3739</v>
      </c>
      <c r="G1220" s="45">
        <v>2</v>
      </c>
      <c r="H1220" s="53" t="s">
        <v>4752</v>
      </c>
      <c r="I1220" s="45">
        <v>460000</v>
      </c>
      <c r="J1220" s="45">
        <v>0</v>
      </c>
      <c r="K1220" s="45">
        <v>22000</v>
      </c>
      <c r="L1220" s="45">
        <v>0</v>
      </c>
      <c r="M1220" s="45">
        <v>0</v>
      </c>
      <c r="N1220" s="45">
        <v>0</v>
      </c>
      <c r="O1220" s="45">
        <v>0</v>
      </c>
      <c r="P1220" s="45">
        <v>0</v>
      </c>
      <c r="Q1220" s="45">
        <v>0</v>
      </c>
      <c r="R1220" s="45">
        <v>0</v>
      </c>
      <c r="S1220" s="45">
        <v>0</v>
      </c>
      <c r="T1220" s="45">
        <v>0</v>
      </c>
      <c r="U1220" s="45">
        <v>1397</v>
      </c>
      <c r="V1220" s="45">
        <v>0</v>
      </c>
      <c r="W1220" s="45">
        <v>0</v>
      </c>
      <c r="X1220" s="45">
        <v>0</v>
      </c>
      <c r="Y1220" s="45">
        <v>0</v>
      </c>
      <c r="Z1220" s="45">
        <v>0</v>
      </c>
      <c r="AA1220" s="45">
        <v>0</v>
      </c>
      <c r="AB1220" s="45">
        <v>0</v>
      </c>
      <c r="AC1220" s="45">
        <v>0</v>
      </c>
      <c r="AD1220" s="45">
        <v>0</v>
      </c>
      <c r="AE1220" s="45">
        <v>0</v>
      </c>
      <c r="AF1220" s="45">
        <v>0</v>
      </c>
      <c r="AG1220" s="45">
        <v>0</v>
      </c>
      <c r="AH1220" s="45">
        <v>0</v>
      </c>
      <c r="AI1220" s="45">
        <v>0</v>
      </c>
      <c r="AJ1220" s="45">
        <v>0</v>
      </c>
      <c r="AK1220" s="45">
        <v>0</v>
      </c>
      <c r="AL1220" s="45">
        <v>0</v>
      </c>
      <c r="AM1220" s="57" t="str">
        <f>I1220-J1220-K1220-L1220-M1220-N1220-O1220-P1220-Q1220-R1220-S1220-T1220-U1220-V1220-W1220-X1220-Y1220-Z1220-AA1220-AB1220-AC1220-AD1220-AE1220-AF1220-AG1220+AH1220-AI1220+AJ1220+AK1220-AL1220</f>
        <v>0</v>
      </c>
      <c r="AN1220" s="45"/>
    </row>
    <row r="1221" spans="1:41">
      <c r="A1221" s="45">
        <v>1193</v>
      </c>
      <c r="B1221" s="45" t="s">
        <v>4753</v>
      </c>
      <c r="C1221" s="49" t="s">
        <v>4754</v>
      </c>
      <c r="D1221" s="53" t="s">
        <v>73</v>
      </c>
      <c r="E1221" s="45" t="s">
        <v>4737</v>
      </c>
      <c r="F1221" s="45" t="s">
        <v>2625</v>
      </c>
      <c r="G1221" s="45">
        <v>2</v>
      </c>
      <c r="H1221" s="53" t="s">
        <v>4755</v>
      </c>
      <c r="I1221" s="45">
        <v>424000</v>
      </c>
      <c r="J1221" s="45">
        <v>0</v>
      </c>
      <c r="K1221" s="45">
        <v>22000</v>
      </c>
      <c r="L1221" s="45">
        <v>0</v>
      </c>
      <c r="M1221" s="45">
        <v>0</v>
      </c>
      <c r="N1221" s="45">
        <v>0</v>
      </c>
      <c r="O1221" s="45">
        <v>0</v>
      </c>
      <c r="P1221" s="45">
        <v>0</v>
      </c>
      <c r="Q1221" s="45">
        <v>0</v>
      </c>
      <c r="R1221" s="45">
        <v>0</v>
      </c>
      <c r="S1221" s="45">
        <v>0</v>
      </c>
      <c r="T1221" s="45">
        <v>0</v>
      </c>
      <c r="U1221" s="45">
        <v>1397</v>
      </c>
      <c r="V1221" s="45">
        <v>0</v>
      </c>
      <c r="W1221" s="45">
        <v>0</v>
      </c>
      <c r="X1221" s="45">
        <v>0</v>
      </c>
      <c r="Y1221" s="45">
        <v>0</v>
      </c>
      <c r="Z1221" s="45">
        <v>0</v>
      </c>
      <c r="AA1221" s="45">
        <v>0</v>
      </c>
      <c r="AB1221" s="45">
        <v>0</v>
      </c>
      <c r="AC1221" s="45">
        <v>0</v>
      </c>
      <c r="AD1221" s="45">
        <v>0</v>
      </c>
      <c r="AE1221" s="45">
        <v>0</v>
      </c>
      <c r="AF1221" s="45">
        <v>0</v>
      </c>
      <c r="AG1221" s="45">
        <v>0</v>
      </c>
      <c r="AH1221" s="45">
        <v>0</v>
      </c>
      <c r="AI1221" s="45">
        <v>0</v>
      </c>
      <c r="AJ1221" s="45">
        <v>0</v>
      </c>
      <c r="AK1221" s="45">
        <v>0</v>
      </c>
      <c r="AL1221" s="45">
        <v>0</v>
      </c>
      <c r="AM1221" s="57" t="str">
        <f>I1221-J1221-K1221-L1221-M1221-N1221-O1221-P1221-Q1221-R1221-S1221-T1221-U1221-V1221-W1221-X1221-Y1221-Z1221-AA1221-AB1221-AC1221-AD1221-AE1221-AF1221-AG1221+AH1221-AI1221+AJ1221+AK1221-AL1221</f>
        <v>0</v>
      </c>
      <c r="AN1221" s="45"/>
    </row>
    <row r="1222" spans="1:41">
      <c r="A1222" s="45">
        <v>1194</v>
      </c>
      <c r="B1222" s="45" t="s">
        <v>4756</v>
      </c>
      <c r="C1222" s="49" t="s">
        <v>4757</v>
      </c>
      <c r="D1222" s="53" t="s">
        <v>62</v>
      </c>
      <c r="E1222" s="45" t="s">
        <v>4737</v>
      </c>
      <c r="F1222" s="45" t="s">
        <v>4758</v>
      </c>
      <c r="G1222" s="45">
        <v>2</v>
      </c>
      <c r="H1222" s="53" t="s">
        <v>4759</v>
      </c>
      <c r="I1222" s="45">
        <v>0</v>
      </c>
      <c r="J1222" s="45">
        <v>0</v>
      </c>
      <c r="K1222" s="45">
        <v>22000</v>
      </c>
      <c r="L1222" s="45">
        <v>0</v>
      </c>
      <c r="M1222" s="45">
        <v>0</v>
      </c>
      <c r="N1222" s="45">
        <v>0</v>
      </c>
      <c r="O1222" s="45">
        <v>0</v>
      </c>
      <c r="P1222" s="45">
        <v>0</v>
      </c>
      <c r="Q1222" s="45">
        <v>0</v>
      </c>
      <c r="R1222" s="45">
        <v>0</v>
      </c>
      <c r="S1222" s="45">
        <v>0</v>
      </c>
      <c r="T1222" s="45">
        <v>0</v>
      </c>
      <c r="U1222" s="45">
        <v>1397</v>
      </c>
      <c r="V1222" s="45">
        <v>0</v>
      </c>
      <c r="W1222" s="45">
        <v>0</v>
      </c>
      <c r="X1222" s="45">
        <v>0</v>
      </c>
      <c r="Y1222" s="45">
        <v>11000</v>
      </c>
      <c r="Z1222" s="45">
        <v>0</v>
      </c>
      <c r="AA1222" s="45">
        <v>0</v>
      </c>
      <c r="AB1222" s="45">
        <v>0</v>
      </c>
      <c r="AC1222" s="45">
        <v>0</v>
      </c>
      <c r="AD1222" s="45">
        <v>0</v>
      </c>
      <c r="AE1222" s="45">
        <v>0</v>
      </c>
      <c r="AF1222" s="45">
        <v>0</v>
      </c>
      <c r="AG1222" s="45">
        <v>0</v>
      </c>
      <c r="AH1222" s="45">
        <v>0</v>
      </c>
      <c r="AI1222" s="45">
        <v>0</v>
      </c>
      <c r="AJ1222" s="45">
        <v>0</v>
      </c>
      <c r="AK1222" s="45">
        <v>0</v>
      </c>
      <c r="AL1222" s="45">
        <v>0</v>
      </c>
      <c r="AM1222" s="57" t="str">
        <f>I1222-J1222-K1222-L1222-M1222-N1222-O1222-P1222-Q1222-R1222-S1222-T1222-U1222-V1222-W1222-X1222-Y1222-Z1222-AA1222-AB1222-AC1222-AD1222-AE1222-AF1222-AG1222+AH1222-AI1222+AJ1222+AK1222-AL1222</f>
        <v>0</v>
      </c>
      <c r="AN1222" s="45"/>
    </row>
    <row r="1223" spans="1:41">
      <c r="A1223" s="45">
        <v>1195</v>
      </c>
      <c r="B1223" s="45" t="s">
        <v>4760</v>
      </c>
      <c r="C1223" s="49" t="s">
        <v>4761</v>
      </c>
      <c r="D1223" s="53" t="s">
        <v>73</v>
      </c>
      <c r="E1223" s="45" t="s">
        <v>4737</v>
      </c>
      <c r="F1223" s="45" t="s">
        <v>2641</v>
      </c>
      <c r="G1223" s="45">
        <v>3</v>
      </c>
      <c r="H1223" s="53" t="s">
        <v>4762</v>
      </c>
      <c r="I1223" s="45">
        <v>1019000</v>
      </c>
      <c r="J1223" s="45">
        <v>0</v>
      </c>
      <c r="K1223" s="45">
        <v>22000</v>
      </c>
      <c r="L1223" s="45">
        <v>0</v>
      </c>
      <c r="M1223" s="45">
        <v>0</v>
      </c>
      <c r="N1223" s="45">
        <v>0</v>
      </c>
      <c r="O1223" s="45">
        <v>0</v>
      </c>
      <c r="P1223" s="45">
        <v>0</v>
      </c>
      <c r="Q1223" s="45">
        <v>0</v>
      </c>
      <c r="R1223" s="45">
        <v>0</v>
      </c>
      <c r="S1223" s="45">
        <v>0</v>
      </c>
      <c r="T1223" s="45">
        <v>0</v>
      </c>
      <c r="U1223" s="45">
        <v>1397</v>
      </c>
      <c r="V1223" s="45">
        <v>0</v>
      </c>
      <c r="W1223" s="45">
        <v>0</v>
      </c>
      <c r="X1223" s="45">
        <v>0</v>
      </c>
      <c r="Y1223" s="45">
        <v>0</v>
      </c>
      <c r="Z1223" s="45">
        <v>0</v>
      </c>
      <c r="AA1223" s="45">
        <v>0</v>
      </c>
      <c r="AB1223" s="45">
        <v>0</v>
      </c>
      <c r="AC1223" s="45">
        <v>0</v>
      </c>
      <c r="AD1223" s="45">
        <v>0</v>
      </c>
      <c r="AE1223" s="45">
        <v>0</v>
      </c>
      <c r="AF1223" s="45">
        <v>0</v>
      </c>
      <c r="AG1223" s="45">
        <v>0</v>
      </c>
      <c r="AH1223" s="45">
        <v>0</v>
      </c>
      <c r="AI1223" s="45">
        <v>0</v>
      </c>
      <c r="AJ1223" s="45">
        <v>0</v>
      </c>
      <c r="AK1223" s="45">
        <v>0</v>
      </c>
      <c r="AL1223" s="45">
        <v>0</v>
      </c>
      <c r="AM1223" s="57" t="str">
        <f>I1223-J1223-K1223-L1223-M1223-N1223-O1223-P1223-Q1223-R1223-S1223-T1223-U1223-V1223-W1223-X1223-Y1223-Z1223-AA1223-AB1223-AC1223-AD1223-AE1223-AF1223-AG1223+AH1223-AI1223+AJ1223+AK1223-AL1223</f>
        <v>0</v>
      </c>
      <c r="AN1223" s="45"/>
    </row>
    <row r="1224" spans="1:41">
      <c r="A1224" s="45">
        <v>1196</v>
      </c>
      <c r="B1224" s="45" t="s">
        <v>4763</v>
      </c>
      <c r="C1224" s="49" t="s">
        <v>4764</v>
      </c>
      <c r="D1224" s="53" t="s">
        <v>73</v>
      </c>
      <c r="E1224" s="45" t="s">
        <v>4737</v>
      </c>
      <c r="F1224" s="45" t="s">
        <v>889</v>
      </c>
      <c r="G1224" s="45">
        <v>5</v>
      </c>
      <c r="H1224" s="53" t="s">
        <v>4765</v>
      </c>
      <c r="I1224" s="45">
        <v>884000</v>
      </c>
      <c r="J1224" s="45">
        <v>0</v>
      </c>
      <c r="K1224" s="45">
        <v>23000</v>
      </c>
      <c r="L1224" s="45">
        <v>0</v>
      </c>
      <c r="M1224" s="45">
        <v>0</v>
      </c>
      <c r="N1224" s="45">
        <v>0</v>
      </c>
      <c r="O1224" s="45">
        <v>0</v>
      </c>
      <c r="P1224" s="45">
        <v>0</v>
      </c>
      <c r="Q1224" s="45">
        <v>0</v>
      </c>
      <c r="R1224" s="45">
        <v>0</v>
      </c>
      <c r="S1224" s="45">
        <v>0</v>
      </c>
      <c r="T1224" s="45">
        <v>0</v>
      </c>
      <c r="U1224" s="45">
        <v>1460</v>
      </c>
      <c r="V1224" s="45">
        <v>0</v>
      </c>
      <c r="W1224" s="45">
        <v>0</v>
      </c>
      <c r="X1224" s="45">
        <v>0</v>
      </c>
      <c r="Y1224" s="45">
        <v>0</v>
      </c>
      <c r="Z1224" s="45">
        <v>0</v>
      </c>
      <c r="AA1224" s="45">
        <v>0</v>
      </c>
      <c r="AB1224" s="45">
        <v>0</v>
      </c>
      <c r="AC1224" s="45">
        <v>0</v>
      </c>
      <c r="AD1224" s="45">
        <v>0</v>
      </c>
      <c r="AE1224" s="45">
        <v>0</v>
      </c>
      <c r="AF1224" s="45">
        <v>0</v>
      </c>
      <c r="AG1224" s="45">
        <v>0</v>
      </c>
      <c r="AH1224" s="45">
        <v>0</v>
      </c>
      <c r="AI1224" s="45">
        <v>0</v>
      </c>
      <c r="AJ1224" s="45">
        <v>0</v>
      </c>
      <c r="AK1224" s="45">
        <v>0</v>
      </c>
      <c r="AL1224" s="45">
        <v>0</v>
      </c>
      <c r="AM1224" s="57" t="str">
        <f>I1224-J1224-K1224-L1224-M1224-N1224-O1224-P1224-Q1224-R1224-S1224-T1224-U1224-V1224-W1224-X1224-Y1224-Z1224-AA1224-AB1224-AC1224-AD1224-AE1224-AF1224-AG1224+AH1224-AI1224+AJ1224+AK1224-AL1224</f>
        <v>0</v>
      </c>
      <c r="AN1224" s="45"/>
    </row>
    <row r="1225" spans="1:41">
      <c r="A1225" s="45">
        <v>1197</v>
      </c>
      <c r="B1225" s="45" t="s">
        <v>4766</v>
      </c>
      <c r="C1225" s="49" t="s">
        <v>4767</v>
      </c>
      <c r="D1225" s="53" t="s">
        <v>73</v>
      </c>
      <c r="E1225" s="45" t="s">
        <v>4737</v>
      </c>
      <c r="F1225" s="45" t="s">
        <v>651</v>
      </c>
      <c r="G1225" s="45">
        <v>4</v>
      </c>
      <c r="H1225" s="53" t="s">
        <v>4768</v>
      </c>
      <c r="I1225" s="45">
        <v>255000</v>
      </c>
      <c r="J1225" s="45">
        <v>0</v>
      </c>
      <c r="K1225" s="45">
        <v>23000</v>
      </c>
      <c r="L1225" s="45">
        <v>0</v>
      </c>
      <c r="M1225" s="45">
        <v>0</v>
      </c>
      <c r="N1225" s="45">
        <v>0</v>
      </c>
      <c r="O1225" s="45">
        <v>0</v>
      </c>
      <c r="P1225" s="45">
        <v>0</v>
      </c>
      <c r="Q1225" s="45">
        <v>0</v>
      </c>
      <c r="R1225" s="45">
        <v>0</v>
      </c>
      <c r="S1225" s="45">
        <v>0</v>
      </c>
      <c r="T1225" s="45">
        <v>0</v>
      </c>
      <c r="U1225" s="45">
        <v>1460</v>
      </c>
      <c r="V1225" s="45">
        <v>0</v>
      </c>
      <c r="W1225" s="45">
        <v>0</v>
      </c>
      <c r="X1225" s="45">
        <v>0</v>
      </c>
      <c r="Y1225" s="45">
        <v>0</v>
      </c>
      <c r="Z1225" s="45">
        <v>0</v>
      </c>
      <c r="AA1225" s="45">
        <v>0</v>
      </c>
      <c r="AB1225" s="45">
        <v>0</v>
      </c>
      <c r="AC1225" s="45">
        <v>0</v>
      </c>
      <c r="AD1225" s="45">
        <v>0</v>
      </c>
      <c r="AE1225" s="45">
        <v>0</v>
      </c>
      <c r="AF1225" s="45">
        <v>0</v>
      </c>
      <c r="AG1225" s="45">
        <v>0</v>
      </c>
      <c r="AH1225" s="45">
        <v>0</v>
      </c>
      <c r="AI1225" s="45">
        <v>0</v>
      </c>
      <c r="AJ1225" s="45">
        <v>0</v>
      </c>
      <c r="AK1225" s="45">
        <v>0</v>
      </c>
      <c r="AL1225" s="45">
        <v>0</v>
      </c>
      <c r="AM1225" s="57" t="str">
        <f>I1225-J1225-K1225-L1225-M1225-N1225-O1225-P1225-Q1225-R1225-S1225-T1225-U1225-V1225-W1225-X1225-Y1225-Z1225-AA1225-AB1225-AC1225-AD1225-AE1225-AF1225-AG1225+AH1225-AI1225+AJ1225+AK1225-AL1225</f>
        <v>0</v>
      </c>
      <c r="AN1225" s="45"/>
    </row>
    <row r="1226" spans="1:41">
      <c r="A1226" s="45">
        <v>1198</v>
      </c>
      <c r="B1226" s="45" t="s">
        <v>4769</v>
      </c>
      <c r="C1226" s="49" t="s">
        <v>4770</v>
      </c>
      <c r="D1226" s="53" t="s">
        <v>73</v>
      </c>
      <c r="E1226" s="45" t="s">
        <v>4737</v>
      </c>
      <c r="F1226" s="45" t="s">
        <v>4771</v>
      </c>
      <c r="G1226" s="45">
        <v>7</v>
      </c>
      <c r="H1226" s="53" t="s">
        <v>4772</v>
      </c>
      <c r="I1226" s="45">
        <v>1350000</v>
      </c>
      <c r="J1226" s="45">
        <v>0</v>
      </c>
      <c r="K1226" s="45">
        <v>25000</v>
      </c>
      <c r="L1226" s="45">
        <v>0</v>
      </c>
      <c r="M1226" s="45">
        <v>0</v>
      </c>
      <c r="N1226" s="45">
        <v>0</v>
      </c>
      <c r="O1226" s="45">
        <v>0</v>
      </c>
      <c r="P1226" s="45">
        <v>0</v>
      </c>
      <c r="Q1226" s="45">
        <v>0</v>
      </c>
      <c r="R1226" s="45">
        <v>0</v>
      </c>
      <c r="S1226" s="45">
        <v>0</v>
      </c>
      <c r="T1226" s="45">
        <v>0</v>
      </c>
      <c r="U1226" s="45">
        <v>1587</v>
      </c>
      <c r="V1226" s="45">
        <v>0</v>
      </c>
      <c r="W1226" s="45">
        <v>0</v>
      </c>
      <c r="X1226" s="45">
        <v>0</v>
      </c>
      <c r="Y1226" s="45">
        <v>0</v>
      </c>
      <c r="Z1226" s="45">
        <v>0</v>
      </c>
      <c r="AA1226" s="45">
        <v>0</v>
      </c>
      <c r="AB1226" s="45">
        <v>0</v>
      </c>
      <c r="AC1226" s="45">
        <v>0</v>
      </c>
      <c r="AD1226" s="45">
        <v>0</v>
      </c>
      <c r="AE1226" s="45">
        <v>0</v>
      </c>
      <c r="AF1226" s="45">
        <v>0</v>
      </c>
      <c r="AG1226" s="45">
        <v>0</v>
      </c>
      <c r="AH1226" s="45">
        <v>0</v>
      </c>
      <c r="AI1226" s="45">
        <v>0</v>
      </c>
      <c r="AJ1226" s="45">
        <v>0</v>
      </c>
      <c r="AK1226" s="45">
        <v>0</v>
      </c>
      <c r="AL1226" s="45">
        <v>0</v>
      </c>
      <c r="AM1226" s="57" t="str">
        <f>I1226-J1226-K1226-L1226-M1226-N1226-O1226-P1226-Q1226-R1226-S1226-T1226-U1226-V1226-W1226-X1226-Y1226-Z1226-AA1226-AB1226-AC1226-AD1226-AE1226-AF1226-AG1226+AH1226-AI1226+AJ1226+AK1226-AL1226</f>
        <v>0</v>
      </c>
      <c r="AN1226" s="45"/>
    </row>
    <row r="1227" spans="1:41">
      <c r="A1227" s="45">
        <v>1199</v>
      </c>
      <c r="B1227" s="45" t="s">
        <v>4773</v>
      </c>
      <c r="C1227" s="49" t="s">
        <v>4774</v>
      </c>
      <c r="D1227" s="53" t="s">
        <v>73</v>
      </c>
      <c r="E1227" s="45" t="s">
        <v>4737</v>
      </c>
      <c r="F1227" s="45" t="s">
        <v>2174</v>
      </c>
      <c r="G1227" s="45">
        <v>2</v>
      </c>
      <c r="H1227" s="53" t="s">
        <v>2728</v>
      </c>
      <c r="I1227" s="45">
        <v>134000</v>
      </c>
      <c r="J1227" s="45">
        <v>0</v>
      </c>
      <c r="K1227" s="45">
        <v>22000</v>
      </c>
      <c r="L1227" s="45">
        <v>0</v>
      </c>
      <c r="M1227" s="45">
        <v>0</v>
      </c>
      <c r="N1227" s="45">
        <v>0</v>
      </c>
      <c r="O1227" s="45">
        <v>0</v>
      </c>
      <c r="P1227" s="45">
        <v>0</v>
      </c>
      <c r="Q1227" s="45">
        <v>0</v>
      </c>
      <c r="R1227" s="45">
        <v>0</v>
      </c>
      <c r="S1227" s="45">
        <v>0</v>
      </c>
      <c r="T1227" s="45">
        <v>0</v>
      </c>
      <c r="U1227" s="45">
        <v>1397</v>
      </c>
      <c r="V1227" s="45">
        <v>0</v>
      </c>
      <c r="W1227" s="45">
        <v>0</v>
      </c>
      <c r="X1227" s="45">
        <v>0</v>
      </c>
      <c r="Y1227" s="45">
        <v>0</v>
      </c>
      <c r="Z1227" s="45">
        <v>0</v>
      </c>
      <c r="AA1227" s="45">
        <v>0</v>
      </c>
      <c r="AB1227" s="45">
        <v>0</v>
      </c>
      <c r="AC1227" s="45">
        <v>0</v>
      </c>
      <c r="AD1227" s="45">
        <v>0</v>
      </c>
      <c r="AE1227" s="45">
        <v>0</v>
      </c>
      <c r="AF1227" s="45">
        <v>0</v>
      </c>
      <c r="AG1227" s="45">
        <v>0</v>
      </c>
      <c r="AH1227" s="45">
        <v>0</v>
      </c>
      <c r="AI1227" s="45">
        <v>0</v>
      </c>
      <c r="AJ1227" s="45">
        <v>0</v>
      </c>
      <c r="AK1227" s="45">
        <v>0</v>
      </c>
      <c r="AL1227" s="45">
        <v>0</v>
      </c>
      <c r="AM1227" s="57" t="str">
        <f>I1227-J1227-K1227-L1227-M1227-N1227-O1227-P1227-Q1227-R1227-S1227-T1227-U1227-V1227-W1227-X1227-Y1227-Z1227-AA1227-AB1227-AC1227-AD1227-AE1227-AF1227-AG1227+AH1227-AI1227+AJ1227+AK1227-AL1227</f>
        <v>0</v>
      </c>
      <c r="AN1227" s="45"/>
    </row>
    <row r="1228" spans="1:41">
      <c r="A1228" s="45">
        <v>1200</v>
      </c>
      <c r="B1228" s="45" t="s">
        <v>4775</v>
      </c>
      <c r="C1228" s="49" t="s">
        <v>4776</v>
      </c>
      <c r="D1228" s="53" t="s">
        <v>73</v>
      </c>
      <c r="E1228" s="45" t="s">
        <v>4737</v>
      </c>
      <c r="F1228" s="45" t="s">
        <v>3283</v>
      </c>
      <c r="G1228" s="45">
        <v>2</v>
      </c>
      <c r="H1228" s="53" t="s">
        <v>4777</v>
      </c>
      <c r="I1228" s="45">
        <v>134000</v>
      </c>
      <c r="J1228" s="45">
        <v>0</v>
      </c>
      <c r="K1228" s="45">
        <v>22000</v>
      </c>
      <c r="L1228" s="45">
        <v>0</v>
      </c>
      <c r="M1228" s="45">
        <v>0</v>
      </c>
      <c r="N1228" s="45">
        <v>0</v>
      </c>
      <c r="O1228" s="45">
        <v>0</v>
      </c>
      <c r="P1228" s="45">
        <v>0</v>
      </c>
      <c r="Q1228" s="45">
        <v>0</v>
      </c>
      <c r="R1228" s="45">
        <v>0</v>
      </c>
      <c r="S1228" s="45">
        <v>0</v>
      </c>
      <c r="T1228" s="45">
        <v>0</v>
      </c>
      <c r="U1228" s="45">
        <v>1397</v>
      </c>
      <c r="V1228" s="45">
        <v>0</v>
      </c>
      <c r="W1228" s="45">
        <v>0</v>
      </c>
      <c r="X1228" s="45">
        <v>0</v>
      </c>
      <c r="Y1228" s="45">
        <v>0</v>
      </c>
      <c r="Z1228" s="45">
        <v>0</v>
      </c>
      <c r="AA1228" s="45">
        <v>0</v>
      </c>
      <c r="AB1228" s="45">
        <v>0</v>
      </c>
      <c r="AC1228" s="45">
        <v>0</v>
      </c>
      <c r="AD1228" s="45">
        <v>0</v>
      </c>
      <c r="AE1228" s="45">
        <v>0</v>
      </c>
      <c r="AF1228" s="45">
        <v>0</v>
      </c>
      <c r="AG1228" s="45">
        <v>0</v>
      </c>
      <c r="AH1228" s="45">
        <v>0</v>
      </c>
      <c r="AI1228" s="45">
        <v>0</v>
      </c>
      <c r="AJ1228" s="45">
        <v>0</v>
      </c>
      <c r="AK1228" s="45">
        <v>0</v>
      </c>
      <c r="AL1228" s="45">
        <v>0</v>
      </c>
      <c r="AM1228" s="57" t="str">
        <f>I1228-J1228-K1228-L1228-M1228-N1228-O1228-P1228-Q1228-R1228-S1228-T1228-U1228-V1228-W1228-X1228-Y1228-Z1228-AA1228-AB1228-AC1228-AD1228-AE1228-AF1228-AG1228+AH1228-AI1228+AJ1228+AK1228-AL1228</f>
        <v>0</v>
      </c>
      <c r="AN1228" s="45"/>
    </row>
    <row r="1229" spans="1:41">
      <c r="A1229" s="45">
        <v>1201</v>
      </c>
      <c r="B1229" s="45" t="s">
        <v>4778</v>
      </c>
      <c r="C1229" s="49" t="s">
        <v>4779</v>
      </c>
      <c r="D1229" s="53" t="s">
        <v>73</v>
      </c>
      <c r="E1229" s="45" t="s">
        <v>4737</v>
      </c>
      <c r="F1229" s="45" t="s">
        <v>2930</v>
      </c>
      <c r="G1229" s="45">
        <v>2</v>
      </c>
      <c r="H1229" s="53" t="s">
        <v>4780</v>
      </c>
      <c r="I1229" s="45">
        <v>0</v>
      </c>
      <c r="J1229" s="45">
        <v>0</v>
      </c>
      <c r="K1229" s="45">
        <v>23000</v>
      </c>
      <c r="L1229" s="45">
        <v>0</v>
      </c>
      <c r="M1229" s="45">
        <v>0</v>
      </c>
      <c r="N1229" s="45">
        <v>0</v>
      </c>
      <c r="O1229" s="45">
        <v>0</v>
      </c>
      <c r="P1229" s="45">
        <v>0</v>
      </c>
      <c r="Q1229" s="45">
        <v>0</v>
      </c>
      <c r="R1229" s="45">
        <v>0</v>
      </c>
      <c r="S1229" s="45">
        <v>0</v>
      </c>
      <c r="T1229" s="45">
        <v>0</v>
      </c>
      <c r="U1229" s="45">
        <v>1460</v>
      </c>
      <c r="V1229" s="45">
        <v>0</v>
      </c>
      <c r="W1229" s="45">
        <v>0</v>
      </c>
      <c r="X1229" s="45">
        <v>0</v>
      </c>
      <c r="Y1229" s="45">
        <v>0</v>
      </c>
      <c r="Z1229" s="45">
        <v>0</v>
      </c>
      <c r="AA1229" s="45">
        <v>0</v>
      </c>
      <c r="AB1229" s="45">
        <v>0</v>
      </c>
      <c r="AC1229" s="45">
        <v>0</v>
      </c>
      <c r="AD1229" s="45">
        <v>0</v>
      </c>
      <c r="AE1229" s="45">
        <v>0</v>
      </c>
      <c r="AF1229" s="45">
        <v>0</v>
      </c>
      <c r="AG1229" s="45">
        <v>0</v>
      </c>
      <c r="AH1229" s="45">
        <v>0</v>
      </c>
      <c r="AI1229" s="45">
        <v>0</v>
      </c>
      <c r="AJ1229" s="45">
        <v>0</v>
      </c>
      <c r="AK1229" s="45">
        <v>0</v>
      </c>
      <c r="AL1229" s="45">
        <v>0</v>
      </c>
      <c r="AM1229" s="57" t="str">
        <f>I1229-J1229-K1229-L1229-M1229-N1229-O1229-P1229-Q1229-R1229-S1229-T1229-U1229-V1229-W1229-X1229-Y1229-Z1229-AA1229-AB1229-AC1229-AD1229-AE1229-AF1229-AG1229+AH1229-AI1229+AJ1229+AK1229-AL1229</f>
        <v>0</v>
      </c>
      <c r="AN1229" s="45"/>
    </row>
    <row r="1230" spans="1:41">
      <c r="A1230" s="45">
        <v>1202</v>
      </c>
      <c r="B1230" s="45" t="s">
        <v>4781</v>
      </c>
      <c r="C1230" s="49" t="s">
        <v>4782</v>
      </c>
      <c r="D1230" s="53" t="s">
        <v>73</v>
      </c>
      <c r="E1230" s="45" t="s">
        <v>4737</v>
      </c>
      <c r="F1230" s="45" t="s">
        <v>4783</v>
      </c>
      <c r="G1230" s="45">
        <v>6</v>
      </c>
      <c r="H1230" s="53" t="s">
        <v>4784</v>
      </c>
      <c r="I1230" s="45">
        <v>1148000</v>
      </c>
      <c r="J1230" s="45">
        <v>0</v>
      </c>
      <c r="K1230" s="45">
        <v>31000</v>
      </c>
      <c r="L1230" s="45">
        <v>0</v>
      </c>
      <c r="M1230" s="45">
        <v>0</v>
      </c>
      <c r="N1230" s="45">
        <v>0</v>
      </c>
      <c r="O1230" s="45">
        <v>0</v>
      </c>
      <c r="P1230" s="45">
        <v>0</v>
      </c>
      <c r="Q1230" s="45">
        <v>0</v>
      </c>
      <c r="R1230" s="45">
        <v>0</v>
      </c>
      <c r="S1230" s="45">
        <v>0</v>
      </c>
      <c r="T1230" s="45">
        <v>0</v>
      </c>
      <c r="U1230" s="45">
        <v>1968</v>
      </c>
      <c r="V1230" s="45">
        <v>0</v>
      </c>
      <c r="W1230" s="45">
        <v>0</v>
      </c>
      <c r="X1230" s="45">
        <v>0</v>
      </c>
      <c r="Y1230" s="45">
        <v>0</v>
      </c>
      <c r="Z1230" s="45">
        <v>0</v>
      </c>
      <c r="AA1230" s="45">
        <v>0</v>
      </c>
      <c r="AB1230" s="45">
        <v>0</v>
      </c>
      <c r="AC1230" s="45">
        <v>0</v>
      </c>
      <c r="AD1230" s="45">
        <v>0</v>
      </c>
      <c r="AE1230" s="45">
        <v>0</v>
      </c>
      <c r="AF1230" s="45">
        <v>0</v>
      </c>
      <c r="AG1230" s="45">
        <v>0</v>
      </c>
      <c r="AH1230" s="45">
        <v>0</v>
      </c>
      <c r="AI1230" s="45">
        <v>0</v>
      </c>
      <c r="AJ1230" s="45">
        <v>0</v>
      </c>
      <c r="AK1230" s="45">
        <v>0</v>
      </c>
      <c r="AL1230" s="45">
        <v>0</v>
      </c>
      <c r="AM1230" s="57" t="str">
        <f>I1230-J1230-K1230-L1230-M1230-N1230-O1230-P1230-Q1230-R1230-S1230-T1230-U1230-V1230-W1230-X1230-Y1230-Z1230-AA1230-AB1230-AC1230-AD1230-AE1230-AF1230-AG1230+AH1230-AI1230+AJ1230+AK1230-AL1230</f>
        <v>0</v>
      </c>
      <c r="AN1230" s="45"/>
    </row>
    <row r="1231" spans="1:41">
      <c r="A1231" s="45">
        <v>1203</v>
      </c>
      <c r="B1231" s="45" t="s">
        <v>4785</v>
      </c>
      <c r="C1231" s="49" t="s">
        <v>4786</v>
      </c>
      <c r="D1231" s="53" t="s">
        <v>73</v>
      </c>
      <c r="E1231" s="45" t="s">
        <v>4787</v>
      </c>
      <c r="F1231" s="45" t="s">
        <v>4788</v>
      </c>
      <c r="G1231" s="45">
        <v>18</v>
      </c>
      <c r="H1231" s="53" t="s">
        <v>4789</v>
      </c>
      <c r="I1231" s="45">
        <v>4788000</v>
      </c>
      <c r="J1231" s="45">
        <v>30440</v>
      </c>
      <c r="K1231" s="45">
        <v>72000</v>
      </c>
      <c r="L1231" s="45">
        <v>0</v>
      </c>
      <c r="M1231" s="45">
        <v>0</v>
      </c>
      <c r="N1231" s="45">
        <v>0</v>
      </c>
      <c r="O1231" s="45">
        <v>0</v>
      </c>
      <c r="P1231" s="45">
        <v>0</v>
      </c>
      <c r="Q1231" s="45">
        <v>0</v>
      </c>
      <c r="R1231" s="45">
        <v>0</v>
      </c>
      <c r="S1231" s="45">
        <v>0</v>
      </c>
      <c r="T1231" s="45">
        <v>0</v>
      </c>
      <c r="U1231" s="45">
        <v>4572</v>
      </c>
      <c r="V1231" s="45">
        <v>0</v>
      </c>
      <c r="W1231" s="45">
        <v>0</v>
      </c>
      <c r="X1231" s="45">
        <v>0</v>
      </c>
      <c r="Y1231" s="45">
        <v>36000</v>
      </c>
      <c r="Z1231" s="45">
        <v>0</v>
      </c>
      <c r="AA1231" s="45">
        <v>0</v>
      </c>
      <c r="AB1231" s="45">
        <v>0</v>
      </c>
      <c r="AC1231" s="45">
        <v>0</v>
      </c>
      <c r="AD1231" s="45">
        <v>0</v>
      </c>
      <c r="AE1231" s="45">
        <v>0</v>
      </c>
      <c r="AF1231" s="45">
        <v>0</v>
      </c>
      <c r="AG1231" s="45">
        <v>0</v>
      </c>
      <c r="AH1231" s="45">
        <v>0</v>
      </c>
      <c r="AI1231" s="45">
        <v>0</v>
      </c>
      <c r="AJ1231" s="45">
        <v>0</v>
      </c>
      <c r="AK1231" s="45">
        <v>0</v>
      </c>
      <c r="AL1231" s="45">
        <v>0</v>
      </c>
      <c r="AM1231" s="57" t="str">
        <f>I1231-J1231-K1231-L1231-M1231-N1231-O1231-P1231-Q1231-R1231-S1231-T1231-U1231-V1231-W1231-X1231-Y1231-Z1231-AA1231-AB1231-AC1231-AD1231-AE1231-AF1231-AG1231+AH1231-AI1231+AJ1231+AK1231-AL1231</f>
        <v>0</v>
      </c>
      <c r="AN1231" s="45"/>
    </row>
    <row r="1232" spans="1:41">
      <c r="A1232" s="45">
        <v>1204</v>
      </c>
      <c r="B1232" s="45" t="s">
        <v>4790</v>
      </c>
      <c r="C1232" s="49" t="s">
        <v>4791</v>
      </c>
      <c r="D1232" s="53" t="s">
        <v>73</v>
      </c>
      <c r="E1232" s="45" t="s">
        <v>4792</v>
      </c>
      <c r="F1232" s="45" t="s">
        <v>4793</v>
      </c>
      <c r="G1232" s="45">
        <v>2</v>
      </c>
      <c r="H1232" s="53" t="s">
        <v>4794</v>
      </c>
      <c r="I1232" s="45">
        <v>134000</v>
      </c>
      <c r="J1232" s="45">
        <v>0</v>
      </c>
      <c r="K1232" s="45">
        <v>22000</v>
      </c>
      <c r="L1232" s="45">
        <v>0</v>
      </c>
      <c r="M1232" s="45">
        <v>0</v>
      </c>
      <c r="N1232" s="45">
        <v>0</v>
      </c>
      <c r="O1232" s="45">
        <v>0</v>
      </c>
      <c r="P1232" s="45">
        <v>0</v>
      </c>
      <c r="Q1232" s="45">
        <v>0</v>
      </c>
      <c r="R1232" s="45">
        <v>0</v>
      </c>
      <c r="S1232" s="45">
        <v>0</v>
      </c>
      <c r="T1232" s="45">
        <v>0</v>
      </c>
      <c r="U1232" s="45">
        <v>1397</v>
      </c>
      <c r="V1232" s="45">
        <v>0</v>
      </c>
      <c r="W1232" s="45">
        <v>0</v>
      </c>
      <c r="X1232" s="45">
        <v>0</v>
      </c>
      <c r="Y1232" s="45">
        <v>0</v>
      </c>
      <c r="Z1232" s="45">
        <v>0</v>
      </c>
      <c r="AA1232" s="45">
        <v>0</v>
      </c>
      <c r="AB1232" s="45">
        <v>0</v>
      </c>
      <c r="AC1232" s="45">
        <v>0</v>
      </c>
      <c r="AD1232" s="45">
        <v>0</v>
      </c>
      <c r="AE1232" s="45">
        <v>0</v>
      </c>
      <c r="AF1232" s="45">
        <v>0</v>
      </c>
      <c r="AG1232" s="45">
        <v>0</v>
      </c>
      <c r="AH1232" s="45">
        <v>0</v>
      </c>
      <c r="AI1232" s="45">
        <v>0</v>
      </c>
      <c r="AJ1232" s="45">
        <v>0</v>
      </c>
      <c r="AK1232" s="45">
        <v>0</v>
      </c>
      <c r="AL1232" s="45">
        <v>0</v>
      </c>
      <c r="AM1232" s="57" t="str">
        <f>I1232-J1232-K1232-L1232-M1232-N1232-O1232-P1232-Q1232-R1232-S1232-T1232-U1232-V1232-W1232-X1232-Y1232-Z1232-AA1232-AB1232-AC1232-AD1232-AE1232-AF1232-AG1232+AH1232-AI1232+AJ1232+AK1232-AL1232</f>
        <v>0</v>
      </c>
      <c r="AN1232" s="45"/>
    </row>
    <row r="1233" spans="1:41">
      <c r="A1233" s="45">
        <v>1205</v>
      </c>
      <c r="B1233" s="45" t="s">
        <v>4795</v>
      </c>
      <c r="C1233" s="49" t="s">
        <v>4796</v>
      </c>
      <c r="D1233" s="53" t="s">
        <v>73</v>
      </c>
      <c r="E1233" s="45" t="s">
        <v>4792</v>
      </c>
      <c r="F1233" s="45" t="s">
        <v>4797</v>
      </c>
      <c r="G1233" s="45">
        <v>5.8</v>
      </c>
      <c r="H1233" s="53" t="s">
        <v>4798</v>
      </c>
      <c r="I1233" s="45">
        <v>574100</v>
      </c>
      <c r="J1233" s="45">
        <v>0</v>
      </c>
      <c r="K1233" s="45">
        <v>31000</v>
      </c>
      <c r="L1233" s="45">
        <v>0</v>
      </c>
      <c r="M1233" s="45">
        <v>0</v>
      </c>
      <c r="N1233" s="45">
        <v>0</v>
      </c>
      <c r="O1233" s="45">
        <v>0</v>
      </c>
      <c r="P1233" s="45">
        <v>0</v>
      </c>
      <c r="Q1233" s="45">
        <v>0</v>
      </c>
      <c r="R1233" s="45">
        <v>0</v>
      </c>
      <c r="S1233" s="45">
        <v>0</v>
      </c>
      <c r="T1233" s="45">
        <v>0</v>
      </c>
      <c r="U1233" s="45">
        <v>1968</v>
      </c>
      <c r="V1233" s="45">
        <v>0</v>
      </c>
      <c r="W1233" s="45">
        <v>0</v>
      </c>
      <c r="X1233" s="45">
        <v>0</v>
      </c>
      <c r="Y1233" s="45">
        <v>0</v>
      </c>
      <c r="Z1233" s="45">
        <v>0</v>
      </c>
      <c r="AA1233" s="45">
        <v>0</v>
      </c>
      <c r="AB1233" s="45">
        <v>0</v>
      </c>
      <c r="AC1233" s="45">
        <v>0</v>
      </c>
      <c r="AD1233" s="45">
        <v>0</v>
      </c>
      <c r="AE1233" s="45">
        <v>0</v>
      </c>
      <c r="AF1233" s="45">
        <v>0</v>
      </c>
      <c r="AG1233" s="45">
        <v>0</v>
      </c>
      <c r="AH1233" s="45">
        <v>0</v>
      </c>
      <c r="AI1233" s="45">
        <v>0</v>
      </c>
      <c r="AJ1233" s="45">
        <v>0</v>
      </c>
      <c r="AK1233" s="45">
        <v>0</v>
      </c>
      <c r="AL1233" s="45">
        <v>0</v>
      </c>
      <c r="AM1233" s="57" t="str">
        <f>I1233-J1233-K1233-L1233-M1233-N1233-O1233-P1233-Q1233-R1233-S1233-T1233-U1233-V1233-W1233-X1233-Y1233-Z1233-AA1233-AB1233-AC1233-AD1233-AE1233-AF1233-AG1233+AH1233-AI1233+AJ1233+AK1233-AL1233</f>
        <v>0</v>
      </c>
      <c r="AN1233" s="45"/>
    </row>
    <row r="1234" spans="1:41">
      <c r="A1234" s="45">
        <v>1206</v>
      </c>
      <c r="B1234" s="45" t="s">
        <v>4799</v>
      </c>
      <c r="C1234" s="49" t="s">
        <v>4800</v>
      </c>
      <c r="D1234" s="53" t="s">
        <v>73</v>
      </c>
      <c r="E1234" s="45" t="s">
        <v>4792</v>
      </c>
      <c r="F1234" s="45" t="s">
        <v>2914</v>
      </c>
      <c r="G1234" s="45">
        <v>4</v>
      </c>
      <c r="H1234" s="53" t="s">
        <v>4801</v>
      </c>
      <c r="I1234" s="45">
        <v>983000</v>
      </c>
      <c r="J1234" s="45">
        <v>0</v>
      </c>
      <c r="K1234" s="45">
        <v>25000</v>
      </c>
      <c r="L1234" s="45">
        <v>0</v>
      </c>
      <c r="M1234" s="45">
        <v>0</v>
      </c>
      <c r="N1234" s="45">
        <v>0</v>
      </c>
      <c r="O1234" s="45">
        <v>0</v>
      </c>
      <c r="P1234" s="45">
        <v>0</v>
      </c>
      <c r="Q1234" s="45">
        <v>0</v>
      </c>
      <c r="R1234" s="45">
        <v>0</v>
      </c>
      <c r="S1234" s="45">
        <v>0</v>
      </c>
      <c r="T1234" s="45">
        <v>0</v>
      </c>
      <c r="U1234" s="45">
        <v>1587</v>
      </c>
      <c r="V1234" s="45">
        <v>0</v>
      </c>
      <c r="W1234" s="45">
        <v>0</v>
      </c>
      <c r="X1234" s="45">
        <v>0</v>
      </c>
      <c r="Y1234" s="45">
        <v>0</v>
      </c>
      <c r="Z1234" s="45">
        <v>0</v>
      </c>
      <c r="AA1234" s="45">
        <v>0</v>
      </c>
      <c r="AB1234" s="45">
        <v>0</v>
      </c>
      <c r="AC1234" s="45">
        <v>0</v>
      </c>
      <c r="AD1234" s="45">
        <v>0</v>
      </c>
      <c r="AE1234" s="45">
        <v>0</v>
      </c>
      <c r="AF1234" s="45">
        <v>0</v>
      </c>
      <c r="AG1234" s="45">
        <v>0</v>
      </c>
      <c r="AH1234" s="45">
        <v>0</v>
      </c>
      <c r="AI1234" s="45">
        <v>0</v>
      </c>
      <c r="AJ1234" s="45">
        <v>0</v>
      </c>
      <c r="AK1234" s="45">
        <v>0</v>
      </c>
      <c r="AL1234" s="45">
        <v>0</v>
      </c>
      <c r="AM1234" s="57" t="str">
        <f>I1234-J1234-K1234-L1234-M1234-N1234-O1234-P1234-Q1234-R1234-S1234-T1234-U1234-V1234-W1234-X1234-Y1234-Z1234-AA1234-AB1234-AC1234-AD1234-AE1234-AF1234-AG1234+AH1234-AI1234+AJ1234+AK1234-AL1234</f>
        <v>0</v>
      </c>
      <c r="AN1234" s="45"/>
    </row>
    <row r="1235" spans="1:41">
      <c r="A1235" s="45">
        <v>1207</v>
      </c>
      <c r="B1235" s="45" t="s">
        <v>4802</v>
      </c>
      <c r="C1235" s="49" t="s">
        <v>4803</v>
      </c>
      <c r="D1235" s="53" t="s">
        <v>73</v>
      </c>
      <c r="E1235" s="45" t="s">
        <v>4792</v>
      </c>
      <c r="F1235" s="45" t="s">
        <v>4804</v>
      </c>
      <c r="G1235" s="45">
        <v>2</v>
      </c>
      <c r="H1235" s="53" t="s">
        <v>4805</v>
      </c>
      <c r="I1235" s="45">
        <v>335000</v>
      </c>
      <c r="J1235" s="45">
        <v>0</v>
      </c>
      <c r="K1235" s="45">
        <v>22000</v>
      </c>
      <c r="L1235" s="45">
        <v>0</v>
      </c>
      <c r="M1235" s="45">
        <v>0</v>
      </c>
      <c r="N1235" s="45">
        <v>0</v>
      </c>
      <c r="O1235" s="45">
        <v>0</v>
      </c>
      <c r="P1235" s="45">
        <v>0</v>
      </c>
      <c r="Q1235" s="45">
        <v>0</v>
      </c>
      <c r="R1235" s="45">
        <v>0</v>
      </c>
      <c r="S1235" s="45">
        <v>0</v>
      </c>
      <c r="T1235" s="45">
        <v>0</v>
      </c>
      <c r="U1235" s="45">
        <v>1397</v>
      </c>
      <c r="V1235" s="45">
        <v>0</v>
      </c>
      <c r="W1235" s="45">
        <v>0</v>
      </c>
      <c r="X1235" s="45">
        <v>0</v>
      </c>
      <c r="Y1235" s="45">
        <v>0</v>
      </c>
      <c r="Z1235" s="45">
        <v>0</v>
      </c>
      <c r="AA1235" s="45">
        <v>0</v>
      </c>
      <c r="AB1235" s="45">
        <v>0</v>
      </c>
      <c r="AC1235" s="45">
        <v>0</v>
      </c>
      <c r="AD1235" s="45">
        <v>0</v>
      </c>
      <c r="AE1235" s="45">
        <v>0</v>
      </c>
      <c r="AF1235" s="45">
        <v>0</v>
      </c>
      <c r="AG1235" s="45">
        <v>0</v>
      </c>
      <c r="AH1235" s="45">
        <v>0</v>
      </c>
      <c r="AI1235" s="45">
        <v>0</v>
      </c>
      <c r="AJ1235" s="45">
        <v>0</v>
      </c>
      <c r="AK1235" s="45">
        <v>0</v>
      </c>
      <c r="AL1235" s="45">
        <v>0</v>
      </c>
      <c r="AM1235" s="57" t="str">
        <f>I1235-J1235-K1235-L1235-M1235-N1235-O1235-P1235-Q1235-R1235-S1235-T1235-U1235-V1235-W1235-X1235-Y1235-Z1235-AA1235-AB1235-AC1235-AD1235-AE1235-AF1235-AG1235+AH1235-AI1235+AJ1235+AK1235-AL1235</f>
        <v>0</v>
      </c>
      <c r="AN1235" s="45"/>
    </row>
    <row r="1236" spans="1:41">
      <c r="A1236" s="45">
        <v>1208</v>
      </c>
      <c r="B1236" s="45" t="s">
        <v>4806</v>
      </c>
      <c r="C1236" s="49" t="s">
        <v>4807</v>
      </c>
      <c r="D1236" s="53" t="s">
        <v>73</v>
      </c>
      <c r="E1236" s="45" t="s">
        <v>4792</v>
      </c>
      <c r="F1236" s="45" t="s">
        <v>4808</v>
      </c>
      <c r="G1236" s="45">
        <v>3</v>
      </c>
      <c r="H1236" s="53" t="s">
        <v>4809</v>
      </c>
      <c r="I1236" s="45">
        <v>585000</v>
      </c>
      <c r="J1236" s="45">
        <v>0</v>
      </c>
      <c r="K1236" s="45">
        <v>22000</v>
      </c>
      <c r="L1236" s="45">
        <v>0</v>
      </c>
      <c r="M1236" s="45">
        <v>0</v>
      </c>
      <c r="N1236" s="45">
        <v>0</v>
      </c>
      <c r="O1236" s="45">
        <v>0</v>
      </c>
      <c r="P1236" s="45">
        <v>0</v>
      </c>
      <c r="Q1236" s="45">
        <v>0</v>
      </c>
      <c r="R1236" s="45">
        <v>0</v>
      </c>
      <c r="S1236" s="45">
        <v>0</v>
      </c>
      <c r="T1236" s="45">
        <v>0</v>
      </c>
      <c r="U1236" s="45">
        <v>1397</v>
      </c>
      <c r="V1236" s="45">
        <v>0</v>
      </c>
      <c r="W1236" s="45">
        <v>0</v>
      </c>
      <c r="X1236" s="45">
        <v>0</v>
      </c>
      <c r="Y1236" s="45">
        <v>0</v>
      </c>
      <c r="Z1236" s="45">
        <v>0</v>
      </c>
      <c r="AA1236" s="45">
        <v>0</v>
      </c>
      <c r="AB1236" s="45">
        <v>0</v>
      </c>
      <c r="AC1236" s="45">
        <v>0</v>
      </c>
      <c r="AD1236" s="45">
        <v>0</v>
      </c>
      <c r="AE1236" s="45">
        <v>0</v>
      </c>
      <c r="AF1236" s="45">
        <v>0</v>
      </c>
      <c r="AG1236" s="45">
        <v>0</v>
      </c>
      <c r="AH1236" s="45">
        <v>0</v>
      </c>
      <c r="AI1236" s="45">
        <v>0</v>
      </c>
      <c r="AJ1236" s="45">
        <v>0</v>
      </c>
      <c r="AK1236" s="45">
        <v>0</v>
      </c>
      <c r="AL1236" s="45">
        <v>0</v>
      </c>
      <c r="AM1236" s="57" t="str">
        <f>I1236-J1236-K1236-L1236-M1236-N1236-O1236-P1236-Q1236-R1236-S1236-T1236-U1236-V1236-W1236-X1236-Y1236-Z1236-AA1236-AB1236-AC1236-AD1236-AE1236-AF1236-AG1236+AH1236-AI1236+AJ1236+AK1236-AL1236</f>
        <v>0</v>
      </c>
      <c r="AN1236" s="45"/>
    </row>
    <row r="1237" spans="1:41">
      <c r="A1237" s="45">
        <v>1209</v>
      </c>
      <c r="B1237" s="45" t="s">
        <v>4810</v>
      </c>
      <c r="C1237" s="49" t="s">
        <v>4811</v>
      </c>
      <c r="D1237" s="53" t="s">
        <v>73</v>
      </c>
      <c r="E1237" s="45" t="s">
        <v>4792</v>
      </c>
      <c r="F1237" s="45" t="s">
        <v>4812</v>
      </c>
      <c r="G1237" s="45">
        <v>5</v>
      </c>
      <c r="H1237" s="53" t="s">
        <v>4813</v>
      </c>
      <c r="I1237" s="45">
        <v>1819000</v>
      </c>
      <c r="J1237" s="45">
        <v>0</v>
      </c>
      <c r="K1237" s="45">
        <v>27000</v>
      </c>
      <c r="L1237" s="45">
        <v>0</v>
      </c>
      <c r="M1237" s="45">
        <v>0</v>
      </c>
      <c r="N1237" s="45">
        <v>0</v>
      </c>
      <c r="O1237" s="45">
        <v>0</v>
      </c>
      <c r="P1237" s="45">
        <v>0</v>
      </c>
      <c r="Q1237" s="45">
        <v>0</v>
      </c>
      <c r="R1237" s="45">
        <v>0</v>
      </c>
      <c r="S1237" s="45">
        <v>0</v>
      </c>
      <c r="T1237" s="45">
        <v>0</v>
      </c>
      <c r="U1237" s="45">
        <v>1714</v>
      </c>
      <c r="V1237" s="45">
        <v>0</v>
      </c>
      <c r="W1237" s="45">
        <v>0</v>
      </c>
      <c r="X1237" s="45">
        <v>0</v>
      </c>
      <c r="Y1237" s="45">
        <v>0</v>
      </c>
      <c r="Z1237" s="45">
        <v>0</v>
      </c>
      <c r="AA1237" s="45">
        <v>0</v>
      </c>
      <c r="AB1237" s="45">
        <v>0</v>
      </c>
      <c r="AC1237" s="45">
        <v>0</v>
      </c>
      <c r="AD1237" s="45">
        <v>0</v>
      </c>
      <c r="AE1237" s="45">
        <v>0</v>
      </c>
      <c r="AF1237" s="45">
        <v>0</v>
      </c>
      <c r="AG1237" s="45">
        <v>0</v>
      </c>
      <c r="AH1237" s="45">
        <v>0</v>
      </c>
      <c r="AI1237" s="45">
        <v>0</v>
      </c>
      <c r="AJ1237" s="45">
        <v>0</v>
      </c>
      <c r="AK1237" s="45">
        <v>0</v>
      </c>
      <c r="AL1237" s="45">
        <v>0</v>
      </c>
      <c r="AM1237" s="57" t="str">
        <f>I1237-J1237-K1237-L1237-M1237-N1237-O1237-P1237-Q1237-R1237-S1237-T1237-U1237-V1237-W1237-X1237-Y1237-Z1237-AA1237-AB1237-AC1237-AD1237-AE1237-AF1237-AG1237+AH1237-AI1237+AJ1237+AK1237-AL1237</f>
        <v>0</v>
      </c>
      <c r="AN1237" s="45"/>
    </row>
    <row r="1238" spans="1:41">
      <c r="A1238" s="45">
        <v>1210</v>
      </c>
      <c r="B1238" s="45" t="s">
        <v>4814</v>
      </c>
      <c r="C1238" s="49" t="s">
        <v>4815</v>
      </c>
      <c r="D1238" s="53" t="s">
        <v>73</v>
      </c>
      <c r="E1238" s="45" t="s">
        <v>4792</v>
      </c>
      <c r="F1238" s="45" t="s">
        <v>4587</v>
      </c>
      <c r="G1238" s="45">
        <v>7</v>
      </c>
      <c r="H1238" s="53" t="s">
        <v>4816</v>
      </c>
      <c r="I1238" s="45">
        <v>1134000</v>
      </c>
      <c r="J1238" s="45">
        <v>0</v>
      </c>
      <c r="K1238" s="45">
        <v>35000</v>
      </c>
      <c r="L1238" s="45">
        <v>0</v>
      </c>
      <c r="M1238" s="45">
        <v>0</v>
      </c>
      <c r="N1238" s="45">
        <v>0</v>
      </c>
      <c r="O1238" s="45">
        <v>0</v>
      </c>
      <c r="P1238" s="45">
        <v>0</v>
      </c>
      <c r="Q1238" s="45">
        <v>0</v>
      </c>
      <c r="R1238" s="45">
        <v>0</v>
      </c>
      <c r="S1238" s="45">
        <v>0</v>
      </c>
      <c r="T1238" s="45">
        <v>0</v>
      </c>
      <c r="U1238" s="45">
        <v>2222</v>
      </c>
      <c r="V1238" s="45">
        <v>0</v>
      </c>
      <c r="W1238" s="45">
        <v>0</v>
      </c>
      <c r="X1238" s="45">
        <v>0</v>
      </c>
      <c r="Y1238" s="45">
        <v>0</v>
      </c>
      <c r="Z1238" s="45">
        <v>0</v>
      </c>
      <c r="AA1238" s="45">
        <v>0</v>
      </c>
      <c r="AB1238" s="45">
        <v>0</v>
      </c>
      <c r="AC1238" s="45">
        <v>0</v>
      </c>
      <c r="AD1238" s="45">
        <v>0</v>
      </c>
      <c r="AE1238" s="45">
        <v>0</v>
      </c>
      <c r="AF1238" s="45">
        <v>0</v>
      </c>
      <c r="AG1238" s="45">
        <v>0</v>
      </c>
      <c r="AH1238" s="45">
        <v>0</v>
      </c>
      <c r="AI1238" s="45">
        <v>0</v>
      </c>
      <c r="AJ1238" s="45">
        <v>0</v>
      </c>
      <c r="AK1238" s="45">
        <v>0</v>
      </c>
      <c r="AL1238" s="45">
        <v>0</v>
      </c>
      <c r="AM1238" s="57" t="str">
        <f>I1238-J1238-K1238-L1238-M1238-N1238-O1238-P1238-Q1238-R1238-S1238-T1238-U1238-V1238-W1238-X1238-Y1238-Z1238-AA1238-AB1238-AC1238-AD1238-AE1238-AF1238-AG1238+AH1238-AI1238+AJ1238+AK1238-AL1238</f>
        <v>0</v>
      </c>
      <c r="AN1238" s="45"/>
    </row>
    <row r="1239" spans="1:41">
      <c r="A1239" s="45">
        <v>1211</v>
      </c>
      <c r="B1239" s="45" t="s">
        <v>4817</v>
      </c>
      <c r="C1239" s="49" t="s">
        <v>4818</v>
      </c>
      <c r="D1239" s="53" t="s">
        <v>73</v>
      </c>
      <c r="E1239" s="45" t="s">
        <v>4792</v>
      </c>
      <c r="F1239" s="45" t="s">
        <v>4819</v>
      </c>
      <c r="G1239" s="45">
        <v>3</v>
      </c>
      <c r="H1239" s="53" t="s">
        <v>4820</v>
      </c>
      <c r="I1239" s="45">
        <v>365000</v>
      </c>
      <c r="J1239" s="45">
        <v>0</v>
      </c>
      <c r="K1239" s="45">
        <v>22000</v>
      </c>
      <c r="L1239" s="45">
        <v>0</v>
      </c>
      <c r="M1239" s="45">
        <v>0</v>
      </c>
      <c r="N1239" s="45">
        <v>0</v>
      </c>
      <c r="O1239" s="45">
        <v>0</v>
      </c>
      <c r="P1239" s="45">
        <v>0</v>
      </c>
      <c r="Q1239" s="45">
        <v>0</v>
      </c>
      <c r="R1239" s="45">
        <v>0</v>
      </c>
      <c r="S1239" s="45">
        <v>0</v>
      </c>
      <c r="T1239" s="45">
        <v>0</v>
      </c>
      <c r="U1239" s="45">
        <v>1397</v>
      </c>
      <c r="V1239" s="45">
        <v>0</v>
      </c>
      <c r="W1239" s="45">
        <v>0</v>
      </c>
      <c r="X1239" s="45">
        <v>0</v>
      </c>
      <c r="Y1239" s="45">
        <v>0</v>
      </c>
      <c r="Z1239" s="45">
        <v>0</v>
      </c>
      <c r="AA1239" s="45">
        <v>0</v>
      </c>
      <c r="AB1239" s="45">
        <v>0</v>
      </c>
      <c r="AC1239" s="45">
        <v>0</v>
      </c>
      <c r="AD1239" s="45">
        <v>0</v>
      </c>
      <c r="AE1239" s="45">
        <v>0</v>
      </c>
      <c r="AF1239" s="45">
        <v>0</v>
      </c>
      <c r="AG1239" s="45">
        <v>0</v>
      </c>
      <c r="AH1239" s="45">
        <v>0</v>
      </c>
      <c r="AI1239" s="45">
        <v>0</v>
      </c>
      <c r="AJ1239" s="45">
        <v>0</v>
      </c>
      <c r="AK1239" s="45">
        <v>0</v>
      </c>
      <c r="AL1239" s="45">
        <v>0</v>
      </c>
      <c r="AM1239" s="57" t="str">
        <f>I1239-J1239-K1239-L1239-M1239-N1239-O1239-P1239-Q1239-R1239-S1239-T1239-U1239-V1239-W1239-X1239-Y1239-Z1239-AA1239-AB1239-AC1239-AD1239-AE1239-AF1239-AG1239+AH1239-AI1239+AJ1239+AK1239-AL1239</f>
        <v>0</v>
      </c>
      <c r="AN1239" s="45"/>
    </row>
    <row r="1240" spans="1:41">
      <c r="A1240" s="45">
        <v>1212</v>
      </c>
      <c r="B1240" s="45" t="s">
        <v>4821</v>
      </c>
      <c r="C1240" s="49" t="s">
        <v>4822</v>
      </c>
      <c r="D1240" s="53" t="s">
        <v>73</v>
      </c>
      <c r="E1240" s="45" t="s">
        <v>4792</v>
      </c>
      <c r="F1240" s="45" t="s">
        <v>4823</v>
      </c>
      <c r="G1240" s="45">
        <v>2</v>
      </c>
      <c r="H1240" s="53" t="s">
        <v>4824</v>
      </c>
      <c r="I1240" s="45">
        <v>339000</v>
      </c>
      <c r="J1240" s="45">
        <v>0</v>
      </c>
      <c r="K1240" s="45">
        <v>22000</v>
      </c>
      <c r="L1240" s="45">
        <v>0</v>
      </c>
      <c r="M1240" s="45">
        <v>0</v>
      </c>
      <c r="N1240" s="45">
        <v>0</v>
      </c>
      <c r="O1240" s="45">
        <v>0</v>
      </c>
      <c r="P1240" s="45">
        <v>0</v>
      </c>
      <c r="Q1240" s="45">
        <v>0</v>
      </c>
      <c r="R1240" s="45">
        <v>0</v>
      </c>
      <c r="S1240" s="45">
        <v>0</v>
      </c>
      <c r="T1240" s="45">
        <v>0</v>
      </c>
      <c r="U1240" s="45">
        <v>1397</v>
      </c>
      <c r="V1240" s="45">
        <v>0</v>
      </c>
      <c r="W1240" s="45">
        <v>0</v>
      </c>
      <c r="X1240" s="45">
        <v>0</v>
      </c>
      <c r="Y1240" s="45">
        <v>0</v>
      </c>
      <c r="Z1240" s="45">
        <v>0</v>
      </c>
      <c r="AA1240" s="45">
        <v>0</v>
      </c>
      <c r="AB1240" s="45">
        <v>0</v>
      </c>
      <c r="AC1240" s="45">
        <v>0</v>
      </c>
      <c r="AD1240" s="45">
        <v>0</v>
      </c>
      <c r="AE1240" s="45">
        <v>0</v>
      </c>
      <c r="AF1240" s="45">
        <v>0</v>
      </c>
      <c r="AG1240" s="45">
        <v>0</v>
      </c>
      <c r="AH1240" s="45">
        <v>0</v>
      </c>
      <c r="AI1240" s="45">
        <v>0</v>
      </c>
      <c r="AJ1240" s="45">
        <v>0</v>
      </c>
      <c r="AK1240" s="45">
        <v>0</v>
      </c>
      <c r="AL1240" s="45">
        <v>0</v>
      </c>
      <c r="AM1240" s="57" t="str">
        <f>I1240-J1240-K1240-L1240-M1240-N1240-O1240-P1240-Q1240-R1240-S1240-T1240-U1240-V1240-W1240-X1240-Y1240-Z1240-AA1240-AB1240-AC1240-AD1240-AE1240-AF1240-AG1240+AH1240-AI1240+AJ1240+AK1240-AL1240</f>
        <v>0</v>
      </c>
      <c r="AN1240" s="45"/>
    </row>
    <row r="1241" spans="1:41">
      <c r="A1241" s="45">
        <v>1213</v>
      </c>
      <c r="B1241" s="45" t="s">
        <v>4825</v>
      </c>
      <c r="C1241" s="49" t="s">
        <v>4826</v>
      </c>
      <c r="D1241" s="53" t="s">
        <v>73</v>
      </c>
      <c r="E1241" s="45" t="s">
        <v>4792</v>
      </c>
      <c r="F1241" s="45" t="s">
        <v>3948</v>
      </c>
      <c r="G1241" s="45">
        <v>2</v>
      </c>
      <c r="H1241" s="53" t="s">
        <v>4827</v>
      </c>
      <c r="I1241" s="45">
        <v>195000</v>
      </c>
      <c r="J1241" s="45">
        <v>0</v>
      </c>
      <c r="K1241" s="45">
        <v>22000</v>
      </c>
      <c r="L1241" s="45">
        <v>0</v>
      </c>
      <c r="M1241" s="45">
        <v>0</v>
      </c>
      <c r="N1241" s="45">
        <v>0</v>
      </c>
      <c r="O1241" s="45">
        <v>0</v>
      </c>
      <c r="P1241" s="45">
        <v>0</v>
      </c>
      <c r="Q1241" s="45">
        <v>0</v>
      </c>
      <c r="R1241" s="45">
        <v>0</v>
      </c>
      <c r="S1241" s="45">
        <v>0</v>
      </c>
      <c r="T1241" s="45">
        <v>0</v>
      </c>
      <c r="U1241" s="45">
        <v>1397</v>
      </c>
      <c r="V1241" s="45">
        <v>0</v>
      </c>
      <c r="W1241" s="45">
        <v>0</v>
      </c>
      <c r="X1241" s="45">
        <v>0</v>
      </c>
      <c r="Y1241" s="45">
        <v>0</v>
      </c>
      <c r="Z1241" s="45">
        <v>0</v>
      </c>
      <c r="AA1241" s="45">
        <v>0</v>
      </c>
      <c r="AB1241" s="45">
        <v>0</v>
      </c>
      <c r="AC1241" s="45">
        <v>0</v>
      </c>
      <c r="AD1241" s="45">
        <v>0</v>
      </c>
      <c r="AE1241" s="45">
        <v>0</v>
      </c>
      <c r="AF1241" s="45">
        <v>0</v>
      </c>
      <c r="AG1241" s="45">
        <v>0</v>
      </c>
      <c r="AH1241" s="45">
        <v>0</v>
      </c>
      <c r="AI1241" s="45">
        <v>0</v>
      </c>
      <c r="AJ1241" s="45">
        <v>0</v>
      </c>
      <c r="AK1241" s="45">
        <v>0</v>
      </c>
      <c r="AL1241" s="45">
        <v>0</v>
      </c>
      <c r="AM1241" s="57" t="str">
        <f>I1241-J1241-K1241-L1241-M1241-N1241-O1241-P1241-Q1241-R1241-S1241-T1241-U1241-V1241-W1241-X1241-Y1241-Z1241-AA1241-AB1241-AC1241-AD1241-AE1241-AF1241-AG1241+AH1241-AI1241+AJ1241+AK1241-AL1241</f>
        <v>0</v>
      </c>
      <c r="AN1241" s="45"/>
    </row>
    <row r="1242" spans="1:41">
      <c r="A1242" s="45">
        <v>1214</v>
      </c>
      <c r="B1242" s="45" t="s">
        <v>4828</v>
      </c>
      <c r="C1242" s="49" t="s">
        <v>4829</v>
      </c>
      <c r="D1242" s="53" t="s">
        <v>73</v>
      </c>
      <c r="E1242" s="45" t="s">
        <v>4792</v>
      </c>
      <c r="F1242" s="45" t="s">
        <v>3392</v>
      </c>
      <c r="G1242" s="45">
        <v>8</v>
      </c>
      <c r="H1242" s="53" t="s">
        <v>4830</v>
      </c>
      <c r="I1242" s="45">
        <v>2250000</v>
      </c>
      <c r="J1242" s="45">
        <v>0</v>
      </c>
      <c r="K1242" s="45">
        <v>39000</v>
      </c>
      <c r="L1242" s="45">
        <v>0</v>
      </c>
      <c r="M1242" s="45">
        <v>0</v>
      </c>
      <c r="N1242" s="45">
        <v>0</v>
      </c>
      <c r="O1242" s="45">
        <v>0</v>
      </c>
      <c r="P1242" s="45">
        <v>0</v>
      </c>
      <c r="Q1242" s="45">
        <v>0</v>
      </c>
      <c r="R1242" s="45">
        <v>0</v>
      </c>
      <c r="S1242" s="45">
        <v>0</v>
      </c>
      <c r="T1242" s="45">
        <v>0</v>
      </c>
      <c r="U1242" s="45">
        <v>2476</v>
      </c>
      <c r="V1242" s="45">
        <v>0</v>
      </c>
      <c r="W1242" s="45">
        <v>0</v>
      </c>
      <c r="X1242" s="45">
        <v>0</v>
      </c>
      <c r="Y1242" s="45">
        <v>0</v>
      </c>
      <c r="Z1242" s="45">
        <v>0</v>
      </c>
      <c r="AA1242" s="45">
        <v>0</v>
      </c>
      <c r="AB1242" s="45">
        <v>0</v>
      </c>
      <c r="AC1242" s="45">
        <v>0</v>
      </c>
      <c r="AD1242" s="45">
        <v>0</v>
      </c>
      <c r="AE1242" s="45">
        <v>0</v>
      </c>
      <c r="AF1242" s="45">
        <v>0</v>
      </c>
      <c r="AG1242" s="45">
        <v>0</v>
      </c>
      <c r="AH1242" s="45">
        <v>0</v>
      </c>
      <c r="AI1242" s="45">
        <v>0</v>
      </c>
      <c r="AJ1242" s="45">
        <v>0</v>
      </c>
      <c r="AK1242" s="45">
        <v>0</v>
      </c>
      <c r="AL1242" s="45">
        <v>0</v>
      </c>
      <c r="AM1242" s="57" t="str">
        <f>I1242-J1242-K1242-L1242-M1242-N1242-O1242-P1242-Q1242-R1242-S1242-T1242-U1242-V1242-W1242-X1242-Y1242-Z1242-AA1242-AB1242-AC1242-AD1242-AE1242-AF1242-AG1242+AH1242-AI1242+AJ1242+AK1242-AL1242</f>
        <v>0</v>
      </c>
      <c r="AN1242" s="45"/>
    </row>
    <row r="1243" spans="1:41">
      <c r="A1243" s="45">
        <v>1215</v>
      </c>
      <c r="B1243" s="45" t="s">
        <v>4831</v>
      </c>
      <c r="C1243" s="49" t="s">
        <v>4832</v>
      </c>
      <c r="D1243" s="53" t="s">
        <v>73</v>
      </c>
      <c r="E1243" s="45" t="s">
        <v>4833</v>
      </c>
      <c r="F1243" s="45" t="s">
        <v>4834</v>
      </c>
      <c r="G1243" s="45">
        <v>2</v>
      </c>
      <c r="H1243" s="53" t="s">
        <v>4835</v>
      </c>
      <c r="I1243" s="45">
        <v>404000</v>
      </c>
      <c r="J1243" s="45">
        <v>0</v>
      </c>
      <c r="K1243" s="45">
        <v>22000</v>
      </c>
      <c r="L1243" s="45">
        <v>0</v>
      </c>
      <c r="M1243" s="45">
        <v>0</v>
      </c>
      <c r="N1243" s="45">
        <v>0</v>
      </c>
      <c r="O1243" s="45">
        <v>0</v>
      </c>
      <c r="P1243" s="45">
        <v>0</v>
      </c>
      <c r="Q1243" s="45">
        <v>0</v>
      </c>
      <c r="R1243" s="45">
        <v>0</v>
      </c>
      <c r="S1243" s="45">
        <v>0</v>
      </c>
      <c r="T1243" s="45">
        <v>0</v>
      </c>
      <c r="U1243" s="45">
        <v>1397</v>
      </c>
      <c r="V1243" s="45">
        <v>0</v>
      </c>
      <c r="W1243" s="45">
        <v>0</v>
      </c>
      <c r="X1243" s="45">
        <v>0</v>
      </c>
      <c r="Y1243" s="45">
        <v>0</v>
      </c>
      <c r="Z1243" s="45">
        <v>0</v>
      </c>
      <c r="AA1243" s="45">
        <v>0</v>
      </c>
      <c r="AB1243" s="45">
        <v>0</v>
      </c>
      <c r="AC1243" s="45">
        <v>0</v>
      </c>
      <c r="AD1243" s="45">
        <v>0</v>
      </c>
      <c r="AE1243" s="45">
        <v>0</v>
      </c>
      <c r="AF1243" s="45">
        <v>0</v>
      </c>
      <c r="AG1243" s="45">
        <v>0</v>
      </c>
      <c r="AH1243" s="45">
        <v>0</v>
      </c>
      <c r="AI1243" s="45">
        <v>0</v>
      </c>
      <c r="AJ1243" s="45">
        <v>0</v>
      </c>
      <c r="AK1243" s="45">
        <v>0</v>
      </c>
      <c r="AL1243" s="45">
        <v>0</v>
      </c>
      <c r="AM1243" s="57" t="str">
        <f>I1243-J1243-K1243-L1243-M1243-N1243-O1243-P1243-Q1243-R1243-S1243-T1243-U1243-V1243-W1243-X1243-Y1243-Z1243-AA1243-AB1243-AC1243-AD1243-AE1243-AF1243-AG1243+AH1243-AI1243+AJ1243+AK1243-AL1243</f>
        <v>0</v>
      </c>
      <c r="AN1243" s="45"/>
    </row>
    <row r="1244" spans="1:41">
      <c r="A1244" s="45">
        <v>1216</v>
      </c>
      <c r="B1244" s="45" t="s">
        <v>4836</v>
      </c>
      <c r="C1244" s="49" t="s">
        <v>4837</v>
      </c>
      <c r="D1244" s="53" t="s">
        <v>73</v>
      </c>
      <c r="E1244" s="45" t="s">
        <v>4833</v>
      </c>
      <c r="F1244" s="45" t="s">
        <v>4838</v>
      </c>
      <c r="G1244" s="45">
        <v>8.8</v>
      </c>
      <c r="H1244" s="53" t="s">
        <v>4839</v>
      </c>
      <c r="I1244" s="45">
        <v>1520000</v>
      </c>
      <c r="J1244" s="45">
        <v>0</v>
      </c>
      <c r="K1244" s="45">
        <v>44000</v>
      </c>
      <c r="L1244" s="45">
        <v>0</v>
      </c>
      <c r="M1244" s="45">
        <v>0</v>
      </c>
      <c r="N1244" s="45">
        <v>0</v>
      </c>
      <c r="O1244" s="45">
        <v>0</v>
      </c>
      <c r="P1244" s="45">
        <v>0</v>
      </c>
      <c r="Q1244" s="45">
        <v>0</v>
      </c>
      <c r="R1244" s="45">
        <v>0</v>
      </c>
      <c r="S1244" s="45">
        <v>0</v>
      </c>
      <c r="T1244" s="45">
        <v>0</v>
      </c>
      <c r="U1244" s="45">
        <v>2794</v>
      </c>
      <c r="V1244" s="45">
        <v>0</v>
      </c>
      <c r="W1244" s="45">
        <v>0</v>
      </c>
      <c r="X1244" s="45">
        <v>0</v>
      </c>
      <c r="Y1244" s="45">
        <v>0</v>
      </c>
      <c r="Z1244" s="45">
        <v>0</v>
      </c>
      <c r="AA1244" s="45">
        <v>0</v>
      </c>
      <c r="AB1244" s="45">
        <v>0</v>
      </c>
      <c r="AC1244" s="45">
        <v>0</v>
      </c>
      <c r="AD1244" s="45">
        <v>0</v>
      </c>
      <c r="AE1244" s="45">
        <v>0</v>
      </c>
      <c r="AF1244" s="45">
        <v>0</v>
      </c>
      <c r="AG1244" s="45">
        <v>0</v>
      </c>
      <c r="AH1244" s="45">
        <v>0</v>
      </c>
      <c r="AI1244" s="45">
        <v>0</v>
      </c>
      <c r="AJ1244" s="45">
        <v>0</v>
      </c>
      <c r="AK1244" s="45">
        <v>0</v>
      </c>
      <c r="AL1244" s="45">
        <v>0</v>
      </c>
      <c r="AM1244" s="57" t="str">
        <f>I1244-J1244-K1244-L1244-M1244-N1244-O1244-P1244-Q1244-R1244-S1244-T1244-U1244-V1244-W1244-X1244-Y1244-Z1244-AA1244-AB1244-AC1244-AD1244-AE1244-AF1244-AG1244+AH1244-AI1244+AJ1244+AK1244-AL1244</f>
        <v>0</v>
      </c>
      <c r="AN1244" s="45"/>
    </row>
    <row r="1245" spans="1:41">
      <c r="A1245" s="45">
        <v>1217</v>
      </c>
      <c r="B1245" s="45" t="s">
        <v>4840</v>
      </c>
      <c r="C1245" s="49" t="s">
        <v>4841</v>
      </c>
      <c r="D1245" s="53" t="s">
        <v>73</v>
      </c>
      <c r="E1245" s="45" t="s">
        <v>4833</v>
      </c>
      <c r="F1245" s="45" t="s">
        <v>4457</v>
      </c>
      <c r="G1245" s="45">
        <v>2</v>
      </c>
      <c r="H1245" s="53" t="s">
        <v>4842</v>
      </c>
      <c r="I1245" s="45">
        <v>305000</v>
      </c>
      <c r="J1245" s="45">
        <v>0</v>
      </c>
      <c r="K1245" s="45">
        <v>22000</v>
      </c>
      <c r="L1245" s="45">
        <v>0</v>
      </c>
      <c r="M1245" s="45">
        <v>0</v>
      </c>
      <c r="N1245" s="45">
        <v>0</v>
      </c>
      <c r="O1245" s="45">
        <v>0</v>
      </c>
      <c r="P1245" s="45">
        <v>0</v>
      </c>
      <c r="Q1245" s="45">
        <v>0</v>
      </c>
      <c r="R1245" s="45">
        <v>0</v>
      </c>
      <c r="S1245" s="45">
        <v>0</v>
      </c>
      <c r="T1245" s="45">
        <v>0</v>
      </c>
      <c r="U1245" s="45">
        <v>1397</v>
      </c>
      <c r="V1245" s="45">
        <v>0</v>
      </c>
      <c r="W1245" s="45">
        <v>0</v>
      </c>
      <c r="X1245" s="45">
        <v>0</v>
      </c>
      <c r="Y1245" s="45">
        <v>0</v>
      </c>
      <c r="Z1245" s="45">
        <v>0</v>
      </c>
      <c r="AA1245" s="45">
        <v>0</v>
      </c>
      <c r="AB1245" s="45">
        <v>0</v>
      </c>
      <c r="AC1245" s="45">
        <v>0</v>
      </c>
      <c r="AD1245" s="45">
        <v>0</v>
      </c>
      <c r="AE1245" s="45">
        <v>0</v>
      </c>
      <c r="AF1245" s="45">
        <v>0</v>
      </c>
      <c r="AG1245" s="45">
        <v>0</v>
      </c>
      <c r="AH1245" s="45">
        <v>0</v>
      </c>
      <c r="AI1245" s="45">
        <v>0</v>
      </c>
      <c r="AJ1245" s="45">
        <v>0</v>
      </c>
      <c r="AK1245" s="45">
        <v>0</v>
      </c>
      <c r="AL1245" s="45">
        <v>0</v>
      </c>
      <c r="AM1245" s="57" t="str">
        <f>I1245-J1245-K1245-L1245-M1245-N1245-O1245-P1245-Q1245-R1245-S1245-T1245-U1245-V1245-W1245-X1245-Y1245-Z1245-AA1245-AB1245-AC1245-AD1245-AE1245-AF1245-AG1245+AH1245-AI1245+AJ1245+AK1245-AL1245</f>
        <v>0</v>
      </c>
      <c r="AN1245" s="45"/>
    </row>
    <row r="1246" spans="1:41">
      <c r="A1246" s="45">
        <v>1218</v>
      </c>
      <c r="B1246" s="45" t="s">
        <v>4843</v>
      </c>
      <c r="C1246" s="49" t="s">
        <v>4844</v>
      </c>
      <c r="D1246" s="53" t="s">
        <v>73</v>
      </c>
      <c r="E1246" s="45" t="s">
        <v>4833</v>
      </c>
      <c r="F1246" s="45" t="s">
        <v>4845</v>
      </c>
      <c r="G1246" s="45">
        <v>8</v>
      </c>
      <c r="H1246" s="53" t="s">
        <v>4846</v>
      </c>
      <c r="I1246" s="45">
        <v>987000</v>
      </c>
      <c r="J1246" s="45">
        <v>0</v>
      </c>
      <c r="K1246" s="45">
        <v>39000</v>
      </c>
      <c r="L1246" s="45">
        <v>0</v>
      </c>
      <c r="M1246" s="45">
        <v>0</v>
      </c>
      <c r="N1246" s="45">
        <v>0</v>
      </c>
      <c r="O1246" s="45">
        <v>0</v>
      </c>
      <c r="P1246" s="45">
        <v>0</v>
      </c>
      <c r="Q1246" s="45">
        <v>0</v>
      </c>
      <c r="R1246" s="45">
        <v>0</v>
      </c>
      <c r="S1246" s="45">
        <v>0</v>
      </c>
      <c r="T1246" s="45">
        <v>0</v>
      </c>
      <c r="U1246" s="45">
        <v>2476</v>
      </c>
      <c r="V1246" s="45">
        <v>0</v>
      </c>
      <c r="W1246" s="45">
        <v>0</v>
      </c>
      <c r="X1246" s="45">
        <v>0</v>
      </c>
      <c r="Y1246" s="45">
        <v>0</v>
      </c>
      <c r="Z1246" s="45">
        <v>0</v>
      </c>
      <c r="AA1246" s="45">
        <v>0</v>
      </c>
      <c r="AB1246" s="45">
        <v>0</v>
      </c>
      <c r="AC1246" s="45">
        <v>0</v>
      </c>
      <c r="AD1246" s="45">
        <v>0</v>
      </c>
      <c r="AE1246" s="45">
        <v>0</v>
      </c>
      <c r="AF1246" s="45">
        <v>0</v>
      </c>
      <c r="AG1246" s="45">
        <v>0</v>
      </c>
      <c r="AH1246" s="45">
        <v>0</v>
      </c>
      <c r="AI1246" s="45">
        <v>0</v>
      </c>
      <c r="AJ1246" s="45">
        <v>0</v>
      </c>
      <c r="AK1246" s="45">
        <v>0</v>
      </c>
      <c r="AL1246" s="45">
        <v>0</v>
      </c>
      <c r="AM1246" s="57" t="str">
        <f>I1246-J1246-K1246-L1246-M1246-N1246-O1246-P1246-Q1246-R1246-S1246-T1246-U1246-V1246-W1246-X1246-Y1246-Z1246-AA1246-AB1246-AC1246-AD1246-AE1246-AF1246-AG1246+AH1246-AI1246+AJ1246+AK1246-AL1246</f>
        <v>0</v>
      </c>
      <c r="AN1246" s="45"/>
    </row>
    <row r="1247" spans="1:41">
      <c r="A1247" s="45">
        <v>1219</v>
      </c>
      <c r="B1247" s="45" t="s">
        <v>4847</v>
      </c>
      <c r="C1247" s="49" t="s">
        <v>4848</v>
      </c>
      <c r="D1247" s="53" t="s">
        <v>73</v>
      </c>
      <c r="E1247" s="45" t="s">
        <v>4833</v>
      </c>
      <c r="F1247" s="45" t="s">
        <v>4849</v>
      </c>
      <c r="G1247" s="45">
        <v>2</v>
      </c>
      <c r="H1247" s="53" t="s">
        <v>4850</v>
      </c>
      <c r="I1247" s="45">
        <v>475000</v>
      </c>
      <c r="J1247" s="45">
        <v>0</v>
      </c>
      <c r="K1247" s="45">
        <v>22000</v>
      </c>
      <c r="L1247" s="45">
        <v>0</v>
      </c>
      <c r="M1247" s="45">
        <v>0</v>
      </c>
      <c r="N1247" s="45">
        <v>0</v>
      </c>
      <c r="O1247" s="45">
        <v>0</v>
      </c>
      <c r="P1247" s="45">
        <v>0</v>
      </c>
      <c r="Q1247" s="45">
        <v>0</v>
      </c>
      <c r="R1247" s="45">
        <v>0</v>
      </c>
      <c r="S1247" s="45">
        <v>0</v>
      </c>
      <c r="T1247" s="45">
        <v>0</v>
      </c>
      <c r="U1247" s="45">
        <v>1397</v>
      </c>
      <c r="V1247" s="45">
        <v>0</v>
      </c>
      <c r="W1247" s="45">
        <v>0</v>
      </c>
      <c r="X1247" s="45">
        <v>0</v>
      </c>
      <c r="Y1247" s="45">
        <v>0</v>
      </c>
      <c r="Z1247" s="45">
        <v>0</v>
      </c>
      <c r="AA1247" s="45">
        <v>0</v>
      </c>
      <c r="AB1247" s="45">
        <v>0</v>
      </c>
      <c r="AC1247" s="45">
        <v>0</v>
      </c>
      <c r="AD1247" s="45">
        <v>0</v>
      </c>
      <c r="AE1247" s="45">
        <v>0</v>
      </c>
      <c r="AF1247" s="45">
        <v>0</v>
      </c>
      <c r="AG1247" s="45">
        <v>0</v>
      </c>
      <c r="AH1247" s="45">
        <v>0</v>
      </c>
      <c r="AI1247" s="45">
        <v>0</v>
      </c>
      <c r="AJ1247" s="45">
        <v>0</v>
      </c>
      <c r="AK1247" s="45">
        <v>0</v>
      </c>
      <c r="AL1247" s="45">
        <v>0</v>
      </c>
      <c r="AM1247" s="57" t="str">
        <f>I1247-J1247-K1247-L1247-M1247-N1247-O1247-P1247-Q1247-R1247-S1247-T1247-U1247-V1247-W1247-X1247-Y1247-Z1247-AA1247-AB1247-AC1247-AD1247-AE1247-AF1247-AG1247+AH1247-AI1247+AJ1247+AK1247-AL1247</f>
        <v>0</v>
      </c>
      <c r="AN1247" s="45"/>
    </row>
    <row r="1248" spans="1:41">
      <c r="A1248" s="45">
        <v>1220</v>
      </c>
      <c r="B1248" s="45" t="s">
        <v>4851</v>
      </c>
      <c r="C1248" s="49" t="s">
        <v>4852</v>
      </c>
      <c r="D1248" s="53" t="s">
        <v>73</v>
      </c>
      <c r="E1248" s="45" t="s">
        <v>4833</v>
      </c>
      <c r="F1248" s="45" t="s">
        <v>4853</v>
      </c>
      <c r="G1248" s="45">
        <v>12</v>
      </c>
      <c r="H1248" s="53" t="s">
        <v>4854</v>
      </c>
      <c r="I1248" s="45">
        <v>1144000</v>
      </c>
      <c r="J1248" s="45">
        <v>0</v>
      </c>
      <c r="K1248" s="45">
        <v>59000</v>
      </c>
      <c r="L1248" s="45">
        <v>0</v>
      </c>
      <c r="M1248" s="45">
        <v>0</v>
      </c>
      <c r="N1248" s="45">
        <v>0</v>
      </c>
      <c r="O1248" s="45">
        <v>0</v>
      </c>
      <c r="P1248" s="45">
        <v>0</v>
      </c>
      <c r="Q1248" s="45">
        <v>0</v>
      </c>
      <c r="R1248" s="45">
        <v>0</v>
      </c>
      <c r="S1248" s="45">
        <v>0</v>
      </c>
      <c r="T1248" s="45">
        <v>0</v>
      </c>
      <c r="U1248" s="45">
        <v>3746</v>
      </c>
      <c r="V1248" s="45">
        <v>0</v>
      </c>
      <c r="W1248" s="45">
        <v>0</v>
      </c>
      <c r="X1248" s="45">
        <v>0</v>
      </c>
      <c r="Y1248" s="45">
        <v>0</v>
      </c>
      <c r="Z1248" s="45">
        <v>0</v>
      </c>
      <c r="AA1248" s="45">
        <v>0</v>
      </c>
      <c r="AB1248" s="45">
        <v>0</v>
      </c>
      <c r="AC1248" s="45">
        <v>0</v>
      </c>
      <c r="AD1248" s="45">
        <v>0</v>
      </c>
      <c r="AE1248" s="45">
        <v>0</v>
      </c>
      <c r="AF1248" s="45">
        <v>0</v>
      </c>
      <c r="AG1248" s="45">
        <v>0</v>
      </c>
      <c r="AH1248" s="45">
        <v>0</v>
      </c>
      <c r="AI1248" s="45">
        <v>0</v>
      </c>
      <c r="AJ1248" s="45">
        <v>0</v>
      </c>
      <c r="AK1248" s="45">
        <v>0</v>
      </c>
      <c r="AL1248" s="45">
        <v>0</v>
      </c>
      <c r="AM1248" s="57" t="str">
        <f>I1248-J1248-K1248-L1248-M1248-N1248-O1248-P1248-Q1248-R1248-S1248-T1248-U1248-V1248-W1248-X1248-Y1248-Z1248-AA1248-AB1248-AC1248-AD1248-AE1248-AF1248-AG1248+AH1248-AI1248+AJ1248+AK1248-AL1248</f>
        <v>0</v>
      </c>
      <c r="AN1248" s="45"/>
    </row>
    <row r="1249" spans="1:41">
      <c r="A1249" s="45">
        <v>1221</v>
      </c>
      <c r="B1249" s="45" t="s">
        <v>4855</v>
      </c>
      <c r="C1249" s="49" t="s">
        <v>4856</v>
      </c>
      <c r="D1249" s="53" t="s">
        <v>73</v>
      </c>
      <c r="E1249" s="45" t="s">
        <v>4833</v>
      </c>
      <c r="F1249" s="45" t="s">
        <v>4857</v>
      </c>
      <c r="G1249" s="45">
        <v>5</v>
      </c>
      <c r="H1249" s="53" t="s">
        <v>4858</v>
      </c>
      <c r="I1249" s="45">
        <v>2039000</v>
      </c>
      <c r="J1249" s="45">
        <v>0</v>
      </c>
      <c r="K1249" s="45">
        <v>27000</v>
      </c>
      <c r="L1249" s="45">
        <v>0</v>
      </c>
      <c r="M1249" s="45">
        <v>0</v>
      </c>
      <c r="N1249" s="45">
        <v>0</v>
      </c>
      <c r="O1249" s="45">
        <v>0</v>
      </c>
      <c r="P1249" s="45">
        <v>0</v>
      </c>
      <c r="Q1249" s="45">
        <v>0</v>
      </c>
      <c r="R1249" s="45">
        <v>0</v>
      </c>
      <c r="S1249" s="45">
        <v>0</v>
      </c>
      <c r="T1249" s="45">
        <v>0</v>
      </c>
      <c r="U1249" s="45">
        <v>1714</v>
      </c>
      <c r="V1249" s="45">
        <v>0</v>
      </c>
      <c r="W1249" s="45">
        <v>0</v>
      </c>
      <c r="X1249" s="45">
        <v>0</v>
      </c>
      <c r="Y1249" s="45">
        <v>0</v>
      </c>
      <c r="Z1249" s="45">
        <v>0</v>
      </c>
      <c r="AA1249" s="45">
        <v>0</v>
      </c>
      <c r="AB1249" s="45">
        <v>0</v>
      </c>
      <c r="AC1249" s="45">
        <v>0</v>
      </c>
      <c r="AD1249" s="45">
        <v>0</v>
      </c>
      <c r="AE1249" s="45">
        <v>0</v>
      </c>
      <c r="AF1249" s="45">
        <v>0</v>
      </c>
      <c r="AG1249" s="45">
        <v>0</v>
      </c>
      <c r="AH1249" s="45">
        <v>0</v>
      </c>
      <c r="AI1249" s="45">
        <v>0</v>
      </c>
      <c r="AJ1249" s="45">
        <v>0</v>
      </c>
      <c r="AK1249" s="45">
        <v>0</v>
      </c>
      <c r="AL1249" s="45">
        <v>0</v>
      </c>
      <c r="AM1249" s="57" t="str">
        <f>I1249-J1249-K1249-L1249-M1249-N1249-O1249-P1249-Q1249-R1249-S1249-T1249-U1249-V1249-W1249-X1249-Y1249-Z1249-AA1249-AB1249-AC1249-AD1249-AE1249-AF1249-AG1249+AH1249-AI1249+AJ1249+AK1249-AL1249</f>
        <v>0</v>
      </c>
      <c r="AN1249" s="45"/>
    </row>
    <row r="1250" spans="1:41">
      <c r="A1250" s="45">
        <v>1222</v>
      </c>
      <c r="B1250" s="45" t="s">
        <v>4859</v>
      </c>
      <c r="C1250" s="49" t="s">
        <v>4860</v>
      </c>
      <c r="D1250" s="53" t="s">
        <v>73</v>
      </c>
      <c r="E1250" s="45" t="s">
        <v>4833</v>
      </c>
      <c r="F1250" s="45" t="s">
        <v>4861</v>
      </c>
      <c r="G1250" s="45">
        <v>5</v>
      </c>
      <c r="H1250" s="53" t="s">
        <v>4862</v>
      </c>
      <c r="I1250" s="45">
        <v>1649000</v>
      </c>
      <c r="J1250" s="45">
        <v>0</v>
      </c>
      <c r="K1250" s="45">
        <v>27000</v>
      </c>
      <c r="L1250" s="45">
        <v>0</v>
      </c>
      <c r="M1250" s="45">
        <v>0</v>
      </c>
      <c r="N1250" s="45">
        <v>0</v>
      </c>
      <c r="O1250" s="45">
        <v>0</v>
      </c>
      <c r="P1250" s="45">
        <v>0</v>
      </c>
      <c r="Q1250" s="45">
        <v>0</v>
      </c>
      <c r="R1250" s="45">
        <v>0</v>
      </c>
      <c r="S1250" s="45">
        <v>0</v>
      </c>
      <c r="T1250" s="45">
        <v>0</v>
      </c>
      <c r="U1250" s="45">
        <v>1714</v>
      </c>
      <c r="V1250" s="45">
        <v>0</v>
      </c>
      <c r="W1250" s="45">
        <v>0</v>
      </c>
      <c r="X1250" s="45">
        <v>0</v>
      </c>
      <c r="Y1250" s="45">
        <v>0</v>
      </c>
      <c r="Z1250" s="45">
        <v>0</v>
      </c>
      <c r="AA1250" s="45">
        <v>0</v>
      </c>
      <c r="AB1250" s="45">
        <v>0</v>
      </c>
      <c r="AC1250" s="45">
        <v>0</v>
      </c>
      <c r="AD1250" s="45">
        <v>0</v>
      </c>
      <c r="AE1250" s="45">
        <v>0</v>
      </c>
      <c r="AF1250" s="45">
        <v>0</v>
      </c>
      <c r="AG1250" s="45">
        <v>0</v>
      </c>
      <c r="AH1250" s="45">
        <v>0</v>
      </c>
      <c r="AI1250" s="45">
        <v>0</v>
      </c>
      <c r="AJ1250" s="45">
        <v>0</v>
      </c>
      <c r="AK1250" s="45">
        <v>0</v>
      </c>
      <c r="AL1250" s="45">
        <v>0</v>
      </c>
      <c r="AM1250" s="57" t="str">
        <f>I1250-J1250-K1250-L1250-M1250-N1250-O1250-P1250-Q1250-R1250-S1250-T1250-U1250-V1250-W1250-X1250-Y1250-Z1250-AA1250-AB1250-AC1250-AD1250-AE1250-AF1250-AG1250+AH1250-AI1250+AJ1250+AK1250-AL1250</f>
        <v>0</v>
      </c>
      <c r="AN1250" s="45"/>
    </row>
    <row r="1251" spans="1:41">
      <c r="A1251" s="45">
        <v>1223</v>
      </c>
      <c r="B1251" s="45" t="s">
        <v>4863</v>
      </c>
      <c r="C1251" s="49" t="s">
        <v>4864</v>
      </c>
      <c r="D1251" s="53" t="s">
        <v>73</v>
      </c>
      <c r="E1251" s="45" t="s">
        <v>4833</v>
      </c>
      <c r="F1251" s="45" t="s">
        <v>4865</v>
      </c>
      <c r="G1251" s="45">
        <v>4</v>
      </c>
      <c r="H1251" s="53" t="s">
        <v>4866</v>
      </c>
      <c r="I1251" s="45">
        <v>274000</v>
      </c>
      <c r="J1251" s="45">
        <v>0</v>
      </c>
      <c r="K1251" s="45">
        <v>25000</v>
      </c>
      <c r="L1251" s="45">
        <v>0</v>
      </c>
      <c r="M1251" s="45">
        <v>0</v>
      </c>
      <c r="N1251" s="45">
        <v>0</v>
      </c>
      <c r="O1251" s="45">
        <v>0</v>
      </c>
      <c r="P1251" s="45">
        <v>0</v>
      </c>
      <c r="Q1251" s="45">
        <v>0</v>
      </c>
      <c r="R1251" s="45">
        <v>0</v>
      </c>
      <c r="S1251" s="45">
        <v>0</v>
      </c>
      <c r="T1251" s="45">
        <v>0</v>
      </c>
      <c r="U1251" s="45">
        <v>1587</v>
      </c>
      <c r="V1251" s="45">
        <v>0</v>
      </c>
      <c r="W1251" s="45">
        <v>0</v>
      </c>
      <c r="X1251" s="45">
        <v>0</v>
      </c>
      <c r="Y1251" s="45">
        <v>0</v>
      </c>
      <c r="Z1251" s="45">
        <v>0</v>
      </c>
      <c r="AA1251" s="45">
        <v>0</v>
      </c>
      <c r="AB1251" s="45">
        <v>0</v>
      </c>
      <c r="AC1251" s="45">
        <v>0</v>
      </c>
      <c r="AD1251" s="45">
        <v>0</v>
      </c>
      <c r="AE1251" s="45">
        <v>0</v>
      </c>
      <c r="AF1251" s="45">
        <v>0</v>
      </c>
      <c r="AG1251" s="45">
        <v>0</v>
      </c>
      <c r="AH1251" s="45">
        <v>0</v>
      </c>
      <c r="AI1251" s="45">
        <v>0</v>
      </c>
      <c r="AJ1251" s="45">
        <v>0</v>
      </c>
      <c r="AK1251" s="45">
        <v>0</v>
      </c>
      <c r="AL1251" s="45">
        <v>0</v>
      </c>
      <c r="AM1251" s="57" t="str">
        <f>I1251-J1251-K1251-L1251-M1251-N1251-O1251-P1251-Q1251-R1251-S1251-T1251-U1251-V1251-W1251-X1251-Y1251-Z1251-AA1251-AB1251-AC1251-AD1251-AE1251-AF1251-AG1251+AH1251-AI1251+AJ1251+AK1251-AL1251</f>
        <v>0</v>
      </c>
      <c r="AN1251" s="45"/>
    </row>
    <row r="1252" spans="1:41">
      <c r="A1252" s="45">
        <v>1224</v>
      </c>
      <c r="B1252" s="45" t="s">
        <v>4867</v>
      </c>
      <c r="C1252" s="49" t="s">
        <v>4868</v>
      </c>
      <c r="D1252" s="53" t="s">
        <v>73</v>
      </c>
      <c r="E1252" s="45" t="s">
        <v>4833</v>
      </c>
      <c r="F1252" s="45" t="s">
        <v>4869</v>
      </c>
      <c r="G1252" s="45">
        <v>15</v>
      </c>
      <c r="H1252" s="53" t="s">
        <v>4870</v>
      </c>
      <c r="I1252" s="45">
        <v>3790000</v>
      </c>
      <c r="J1252" s="45">
        <v>18950</v>
      </c>
      <c r="K1252" s="45">
        <v>60000</v>
      </c>
      <c r="L1252" s="45">
        <v>0</v>
      </c>
      <c r="M1252" s="45">
        <v>0</v>
      </c>
      <c r="N1252" s="45">
        <v>0</v>
      </c>
      <c r="O1252" s="45">
        <v>0</v>
      </c>
      <c r="P1252" s="45">
        <v>0</v>
      </c>
      <c r="Q1252" s="45">
        <v>0</v>
      </c>
      <c r="R1252" s="45">
        <v>0</v>
      </c>
      <c r="S1252" s="45">
        <v>0</v>
      </c>
      <c r="T1252" s="45">
        <v>0</v>
      </c>
      <c r="U1252" s="45">
        <v>3810</v>
      </c>
      <c r="V1252" s="45">
        <v>0</v>
      </c>
      <c r="W1252" s="45">
        <v>0</v>
      </c>
      <c r="X1252" s="45">
        <v>0</v>
      </c>
      <c r="Y1252" s="45">
        <v>0</v>
      </c>
      <c r="Z1252" s="45">
        <v>0</v>
      </c>
      <c r="AA1252" s="45">
        <v>0</v>
      </c>
      <c r="AB1252" s="45">
        <v>0</v>
      </c>
      <c r="AC1252" s="45">
        <v>0</v>
      </c>
      <c r="AD1252" s="45">
        <v>0</v>
      </c>
      <c r="AE1252" s="45">
        <v>0</v>
      </c>
      <c r="AF1252" s="45">
        <v>0</v>
      </c>
      <c r="AG1252" s="45">
        <v>0</v>
      </c>
      <c r="AH1252" s="45">
        <v>0</v>
      </c>
      <c r="AI1252" s="45">
        <v>0</v>
      </c>
      <c r="AJ1252" s="45">
        <v>0</v>
      </c>
      <c r="AK1252" s="45">
        <v>0</v>
      </c>
      <c r="AL1252" s="45">
        <v>0</v>
      </c>
      <c r="AM1252" s="57" t="str">
        <f>I1252-J1252-K1252-L1252-M1252-N1252-O1252-P1252-Q1252-R1252-S1252-T1252-U1252-V1252-W1252-X1252-Y1252-Z1252-AA1252-AB1252-AC1252-AD1252-AE1252-AF1252-AG1252+AH1252-AI1252+AJ1252+AK1252-AL1252</f>
        <v>0</v>
      </c>
      <c r="AN1252" s="45"/>
    </row>
    <row r="1253" spans="1:41">
      <c r="A1253" s="45">
        <v>1225</v>
      </c>
      <c r="B1253" s="45" t="s">
        <v>4871</v>
      </c>
      <c r="C1253" s="49" t="s">
        <v>4872</v>
      </c>
      <c r="D1253" s="53" t="s">
        <v>73</v>
      </c>
      <c r="E1253" s="45" t="s">
        <v>4833</v>
      </c>
      <c r="F1253" s="45" t="s">
        <v>4873</v>
      </c>
      <c r="G1253" s="45">
        <v>6</v>
      </c>
      <c r="H1253" s="53" t="s">
        <v>4874</v>
      </c>
      <c r="I1253" s="45">
        <v>0</v>
      </c>
      <c r="J1253" s="45">
        <v>0</v>
      </c>
      <c r="K1253" s="45">
        <v>31000</v>
      </c>
      <c r="L1253" s="45">
        <v>0</v>
      </c>
      <c r="M1253" s="45">
        <v>0</v>
      </c>
      <c r="N1253" s="45">
        <v>0</v>
      </c>
      <c r="O1253" s="45">
        <v>0</v>
      </c>
      <c r="P1253" s="45">
        <v>0</v>
      </c>
      <c r="Q1253" s="45">
        <v>0</v>
      </c>
      <c r="R1253" s="45">
        <v>0</v>
      </c>
      <c r="S1253" s="45">
        <v>0</v>
      </c>
      <c r="T1253" s="45">
        <v>0</v>
      </c>
      <c r="U1253" s="45">
        <v>1968</v>
      </c>
      <c r="V1253" s="45">
        <v>0</v>
      </c>
      <c r="W1253" s="45">
        <v>0</v>
      </c>
      <c r="X1253" s="45">
        <v>0</v>
      </c>
      <c r="Y1253" s="45">
        <v>0</v>
      </c>
      <c r="Z1253" s="45">
        <v>0</v>
      </c>
      <c r="AA1253" s="45">
        <v>0</v>
      </c>
      <c r="AB1253" s="45">
        <v>0</v>
      </c>
      <c r="AC1253" s="45">
        <v>0</v>
      </c>
      <c r="AD1253" s="45">
        <v>0</v>
      </c>
      <c r="AE1253" s="45">
        <v>0</v>
      </c>
      <c r="AF1253" s="45">
        <v>0</v>
      </c>
      <c r="AG1253" s="45">
        <v>0</v>
      </c>
      <c r="AH1253" s="45">
        <v>0</v>
      </c>
      <c r="AI1253" s="45">
        <v>0</v>
      </c>
      <c r="AJ1253" s="45">
        <v>0</v>
      </c>
      <c r="AK1253" s="45">
        <v>0</v>
      </c>
      <c r="AL1253" s="45">
        <v>0</v>
      </c>
      <c r="AM1253" s="57" t="str">
        <f>I1253-J1253-K1253-L1253-M1253-N1253-O1253-P1253-Q1253-R1253-S1253-T1253-U1253-V1253-W1253-X1253-Y1253-Z1253-AA1253-AB1253-AC1253-AD1253-AE1253-AF1253-AG1253+AH1253-AI1253+AJ1253+AK1253-AL1253</f>
        <v>0</v>
      </c>
      <c r="AN1253" s="45"/>
    </row>
    <row r="1254" spans="1:41">
      <c r="A1254" s="45">
        <v>1226</v>
      </c>
      <c r="B1254" s="45" t="s">
        <v>4875</v>
      </c>
      <c r="C1254" s="49" t="s">
        <v>4876</v>
      </c>
      <c r="D1254" s="53" t="s">
        <v>73</v>
      </c>
      <c r="E1254" s="45" t="s">
        <v>4833</v>
      </c>
      <c r="F1254" s="45" t="s">
        <v>4877</v>
      </c>
      <c r="G1254" s="45">
        <v>2</v>
      </c>
      <c r="H1254" s="53" t="s">
        <v>4878</v>
      </c>
      <c r="I1254" s="45">
        <v>214000</v>
      </c>
      <c r="J1254" s="45">
        <v>0</v>
      </c>
      <c r="K1254" s="45">
        <v>22000</v>
      </c>
      <c r="L1254" s="45">
        <v>0</v>
      </c>
      <c r="M1254" s="45">
        <v>0</v>
      </c>
      <c r="N1254" s="45">
        <v>0</v>
      </c>
      <c r="O1254" s="45">
        <v>0</v>
      </c>
      <c r="P1254" s="45">
        <v>0</v>
      </c>
      <c r="Q1254" s="45">
        <v>0</v>
      </c>
      <c r="R1254" s="45">
        <v>0</v>
      </c>
      <c r="S1254" s="45">
        <v>0</v>
      </c>
      <c r="T1254" s="45">
        <v>0</v>
      </c>
      <c r="U1254" s="45">
        <v>1397</v>
      </c>
      <c r="V1254" s="45">
        <v>0</v>
      </c>
      <c r="W1254" s="45">
        <v>0</v>
      </c>
      <c r="X1254" s="45">
        <v>0</v>
      </c>
      <c r="Y1254" s="45">
        <v>0</v>
      </c>
      <c r="Z1254" s="45">
        <v>0</v>
      </c>
      <c r="AA1254" s="45">
        <v>0</v>
      </c>
      <c r="AB1254" s="45">
        <v>0</v>
      </c>
      <c r="AC1254" s="45">
        <v>0</v>
      </c>
      <c r="AD1254" s="45">
        <v>0</v>
      </c>
      <c r="AE1254" s="45">
        <v>0</v>
      </c>
      <c r="AF1254" s="45">
        <v>0</v>
      </c>
      <c r="AG1254" s="45">
        <v>0</v>
      </c>
      <c r="AH1254" s="45">
        <v>0</v>
      </c>
      <c r="AI1254" s="45">
        <v>0</v>
      </c>
      <c r="AJ1254" s="45">
        <v>0</v>
      </c>
      <c r="AK1254" s="45">
        <v>0</v>
      </c>
      <c r="AL1254" s="45">
        <v>0</v>
      </c>
      <c r="AM1254" s="57" t="str">
        <f>I1254-J1254-K1254-L1254-M1254-N1254-O1254-P1254-Q1254-R1254-S1254-T1254-U1254-V1254-W1254-X1254-Y1254-Z1254-AA1254-AB1254-AC1254-AD1254-AE1254-AF1254-AG1254+AH1254-AI1254+AJ1254+AK1254-AL1254</f>
        <v>0</v>
      </c>
      <c r="AN1254" s="45"/>
    </row>
    <row r="1255" spans="1:41">
      <c r="A1255" s="45">
        <v>1227</v>
      </c>
      <c r="B1255" s="45" t="s">
        <v>4879</v>
      </c>
      <c r="C1255" s="49" t="s">
        <v>4880</v>
      </c>
      <c r="D1255" s="53" t="s">
        <v>73</v>
      </c>
      <c r="E1255" s="45" t="s">
        <v>4833</v>
      </c>
      <c r="F1255" s="45" t="s">
        <v>4881</v>
      </c>
      <c r="G1255" s="45">
        <v>3</v>
      </c>
      <c r="H1255" s="53" t="s">
        <v>4882</v>
      </c>
      <c r="I1255" s="45">
        <v>585000</v>
      </c>
      <c r="J1255" s="45">
        <v>0</v>
      </c>
      <c r="K1255" s="45">
        <v>22000</v>
      </c>
      <c r="L1255" s="45">
        <v>0</v>
      </c>
      <c r="M1255" s="45">
        <v>0</v>
      </c>
      <c r="N1255" s="45">
        <v>0</v>
      </c>
      <c r="O1255" s="45">
        <v>0</v>
      </c>
      <c r="P1255" s="45">
        <v>0</v>
      </c>
      <c r="Q1255" s="45">
        <v>0</v>
      </c>
      <c r="R1255" s="45">
        <v>0</v>
      </c>
      <c r="S1255" s="45">
        <v>0</v>
      </c>
      <c r="T1255" s="45">
        <v>0</v>
      </c>
      <c r="U1255" s="45">
        <v>1397</v>
      </c>
      <c r="V1255" s="45">
        <v>0</v>
      </c>
      <c r="W1255" s="45">
        <v>0</v>
      </c>
      <c r="X1255" s="45">
        <v>0</v>
      </c>
      <c r="Y1255" s="45">
        <v>0</v>
      </c>
      <c r="Z1255" s="45">
        <v>0</v>
      </c>
      <c r="AA1255" s="45">
        <v>0</v>
      </c>
      <c r="AB1255" s="45">
        <v>0</v>
      </c>
      <c r="AC1255" s="45">
        <v>0</v>
      </c>
      <c r="AD1255" s="45">
        <v>0</v>
      </c>
      <c r="AE1255" s="45">
        <v>0</v>
      </c>
      <c r="AF1255" s="45">
        <v>0</v>
      </c>
      <c r="AG1255" s="45">
        <v>0</v>
      </c>
      <c r="AH1255" s="45">
        <v>0</v>
      </c>
      <c r="AI1255" s="45">
        <v>0</v>
      </c>
      <c r="AJ1255" s="45">
        <v>0</v>
      </c>
      <c r="AK1255" s="45">
        <v>0</v>
      </c>
      <c r="AL1255" s="45">
        <v>0</v>
      </c>
      <c r="AM1255" s="57" t="str">
        <f>I1255-J1255-K1255-L1255-M1255-N1255-O1255-P1255-Q1255-R1255-S1255-T1255-U1255-V1255-W1255-X1255-Y1255-Z1255-AA1255-AB1255-AC1255-AD1255-AE1255-AF1255-AG1255+AH1255-AI1255+AJ1255+AK1255-AL1255</f>
        <v>0</v>
      </c>
      <c r="AN1255" s="45"/>
    </row>
    <row r="1256" spans="1:41">
      <c r="A1256" s="45">
        <v>1228</v>
      </c>
      <c r="B1256" s="45" t="s">
        <v>4883</v>
      </c>
      <c r="C1256" s="49" t="s">
        <v>4884</v>
      </c>
      <c r="D1256" s="53" t="s">
        <v>73</v>
      </c>
      <c r="E1256" s="45" t="s">
        <v>4833</v>
      </c>
      <c r="F1256" s="45" t="s">
        <v>4861</v>
      </c>
      <c r="G1256" s="45">
        <v>6</v>
      </c>
      <c r="H1256" s="53" t="s">
        <v>4885</v>
      </c>
      <c r="I1256" s="45">
        <v>594000</v>
      </c>
      <c r="J1256" s="45">
        <v>0</v>
      </c>
      <c r="K1256" s="45">
        <v>31000</v>
      </c>
      <c r="L1256" s="45">
        <v>0</v>
      </c>
      <c r="M1256" s="45">
        <v>0</v>
      </c>
      <c r="N1256" s="45">
        <v>0</v>
      </c>
      <c r="O1256" s="45">
        <v>0</v>
      </c>
      <c r="P1256" s="45">
        <v>0</v>
      </c>
      <c r="Q1256" s="45">
        <v>0</v>
      </c>
      <c r="R1256" s="45">
        <v>0</v>
      </c>
      <c r="S1256" s="45">
        <v>0</v>
      </c>
      <c r="T1256" s="45">
        <v>0</v>
      </c>
      <c r="U1256" s="45">
        <v>1968</v>
      </c>
      <c r="V1256" s="45">
        <v>0</v>
      </c>
      <c r="W1256" s="45">
        <v>0</v>
      </c>
      <c r="X1256" s="45">
        <v>0</v>
      </c>
      <c r="Y1256" s="45">
        <v>0</v>
      </c>
      <c r="Z1256" s="45">
        <v>0</v>
      </c>
      <c r="AA1256" s="45">
        <v>0</v>
      </c>
      <c r="AB1256" s="45">
        <v>0</v>
      </c>
      <c r="AC1256" s="45">
        <v>0</v>
      </c>
      <c r="AD1256" s="45">
        <v>0</v>
      </c>
      <c r="AE1256" s="45">
        <v>0</v>
      </c>
      <c r="AF1256" s="45">
        <v>0</v>
      </c>
      <c r="AG1256" s="45">
        <v>0</v>
      </c>
      <c r="AH1256" s="45">
        <v>0</v>
      </c>
      <c r="AI1256" s="45">
        <v>0</v>
      </c>
      <c r="AJ1256" s="45">
        <v>0</v>
      </c>
      <c r="AK1256" s="45">
        <v>0</v>
      </c>
      <c r="AL1256" s="45">
        <v>0</v>
      </c>
      <c r="AM1256" s="57" t="str">
        <f>I1256-J1256-K1256-L1256-M1256-N1256-O1256-P1256-Q1256-R1256-S1256-T1256-U1256-V1256-W1256-X1256-Y1256-Z1256-AA1256-AB1256-AC1256-AD1256-AE1256-AF1256-AG1256+AH1256-AI1256+AJ1256+AK1256-AL1256</f>
        <v>0</v>
      </c>
      <c r="AN1256" s="45"/>
    </row>
    <row r="1257" spans="1:41">
      <c r="A1257" s="45">
        <v>1229</v>
      </c>
      <c r="B1257" s="45" t="s">
        <v>4886</v>
      </c>
      <c r="C1257" s="49" t="s">
        <v>4887</v>
      </c>
      <c r="D1257" s="53" t="s">
        <v>62</v>
      </c>
      <c r="E1257" s="45" t="s">
        <v>4833</v>
      </c>
      <c r="F1257" s="45" t="s">
        <v>4888</v>
      </c>
      <c r="G1257" s="45">
        <v>5</v>
      </c>
      <c r="H1257" s="53" t="s">
        <v>4889</v>
      </c>
      <c r="I1257" s="45">
        <v>0</v>
      </c>
      <c r="J1257" s="45">
        <v>0</v>
      </c>
      <c r="K1257" s="45">
        <v>27000</v>
      </c>
      <c r="L1257" s="45">
        <v>0</v>
      </c>
      <c r="M1257" s="45">
        <v>0</v>
      </c>
      <c r="N1257" s="45">
        <v>0</v>
      </c>
      <c r="O1257" s="45">
        <v>0</v>
      </c>
      <c r="P1257" s="45">
        <v>0</v>
      </c>
      <c r="Q1257" s="45">
        <v>0</v>
      </c>
      <c r="R1257" s="45">
        <v>0</v>
      </c>
      <c r="S1257" s="45">
        <v>0</v>
      </c>
      <c r="T1257" s="45">
        <v>0</v>
      </c>
      <c r="U1257" s="45">
        <v>1714</v>
      </c>
      <c r="V1257" s="45">
        <v>0</v>
      </c>
      <c r="W1257" s="45">
        <v>0</v>
      </c>
      <c r="X1257" s="45">
        <v>0</v>
      </c>
      <c r="Y1257" s="45">
        <v>13500</v>
      </c>
      <c r="Z1257" s="45">
        <v>0</v>
      </c>
      <c r="AA1257" s="45">
        <v>0</v>
      </c>
      <c r="AB1257" s="45">
        <v>0</v>
      </c>
      <c r="AC1257" s="45">
        <v>0</v>
      </c>
      <c r="AD1257" s="45">
        <v>0</v>
      </c>
      <c r="AE1257" s="45">
        <v>0</v>
      </c>
      <c r="AF1257" s="45">
        <v>0</v>
      </c>
      <c r="AG1257" s="45">
        <v>0</v>
      </c>
      <c r="AH1257" s="45">
        <v>0</v>
      </c>
      <c r="AI1257" s="45">
        <v>0</v>
      </c>
      <c r="AJ1257" s="45">
        <v>0</v>
      </c>
      <c r="AK1257" s="45">
        <v>0</v>
      </c>
      <c r="AL1257" s="45">
        <v>0</v>
      </c>
      <c r="AM1257" s="57" t="str">
        <f>I1257-J1257-K1257-L1257-M1257-N1257-O1257-P1257-Q1257-R1257-S1257-T1257-U1257-V1257-W1257-X1257-Y1257-Z1257-AA1257-AB1257-AC1257-AD1257-AE1257-AF1257-AG1257+AH1257-AI1257+AJ1257+AK1257-AL1257</f>
        <v>0</v>
      </c>
      <c r="AN1257" s="45"/>
    </row>
    <row r="1258" spans="1:41">
      <c r="A1258" s="45">
        <v>1230</v>
      </c>
      <c r="B1258" s="45" t="s">
        <v>4890</v>
      </c>
      <c r="C1258" s="49" t="s">
        <v>4891</v>
      </c>
      <c r="D1258" s="53" t="s">
        <v>73</v>
      </c>
      <c r="E1258" s="45" t="s">
        <v>4833</v>
      </c>
      <c r="F1258" s="45" t="s">
        <v>4892</v>
      </c>
      <c r="G1258" s="45">
        <v>3</v>
      </c>
      <c r="H1258" s="53" t="s">
        <v>4893</v>
      </c>
      <c r="I1258" s="45">
        <v>355000</v>
      </c>
      <c r="J1258" s="45">
        <v>0</v>
      </c>
      <c r="K1258" s="45">
        <v>22000</v>
      </c>
      <c r="L1258" s="45">
        <v>0</v>
      </c>
      <c r="M1258" s="45">
        <v>0</v>
      </c>
      <c r="N1258" s="45">
        <v>0</v>
      </c>
      <c r="O1258" s="45">
        <v>0</v>
      </c>
      <c r="P1258" s="45">
        <v>0</v>
      </c>
      <c r="Q1258" s="45">
        <v>0</v>
      </c>
      <c r="R1258" s="45">
        <v>0</v>
      </c>
      <c r="S1258" s="45">
        <v>0</v>
      </c>
      <c r="T1258" s="45">
        <v>0</v>
      </c>
      <c r="U1258" s="45">
        <v>1397</v>
      </c>
      <c r="V1258" s="45">
        <v>0</v>
      </c>
      <c r="W1258" s="45">
        <v>0</v>
      </c>
      <c r="X1258" s="45">
        <v>0</v>
      </c>
      <c r="Y1258" s="45">
        <v>0</v>
      </c>
      <c r="Z1258" s="45">
        <v>0</v>
      </c>
      <c r="AA1258" s="45">
        <v>0</v>
      </c>
      <c r="AB1258" s="45">
        <v>0</v>
      </c>
      <c r="AC1258" s="45">
        <v>0</v>
      </c>
      <c r="AD1258" s="45">
        <v>0</v>
      </c>
      <c r="AE1258" s="45">
        <v>0</v>
      </c>
      <c r="AF1258" s="45">
        <v>0</v>
      </c>
      <c r="AG1258" s="45">
        <v>0</v>
      </c>
      <c r="AH1258" s="45">
        <v>0</v>
      </c>
      <c r="AI1258" s="45">
        <v>0</v>
      </c>
      <c r="AJ1258" s="45">
        <v>0</v>
      </c>
      <c r="AK1258" s="45">
        <v>0</v>
      </c>
      <c r="AL1258" s="45">
        <v>0</v>
      </c>
      <c r="AM1258" s="57" t="str">
        <f>I1258-J1258-K1258-L1258-M1258-N1258-O1258-P1258-Q1258-R1258-S1258-T1258-U1258-V1258-W1258-X1258-Y1258-Z1258-AA1258-AB1258-AC1258-AD1258-AE1258-AF1258-AG1258+AH1258-AI1258+AJ1258+AK1258-AL1258</f>
        <v>0</v>
      </c>
      <c r="AN1258" s="45"/>
    </row>
    <row r="1259" spans="1:41">
      <c r="A1259" s="45">
        <v>1231</v>
      </c>
      <c r="B1259" s="45" t="s">
        <v>4894</v>
      </c>
      <c r="C1259" s="49" t="s">
        <v>4895</v>
      </c>
      <c r="D1259" s="53" t="s">
        <v>73</v>
      </c>
      <c r="E1259" s="45" t="s">
        <v>4833</v>
      </c>
      <c r="F1259" s="45" t="s">
        <v>2793</v>
      </c>
      <c r="G1259" s="45">
        <v>2</v>
      </c>
      <c r="H1259" s="53" t="s">
        <v>4896</v>
      </c>
      <c r="I1259" s="45">
        <v>384000</v>
      </c>
      <c r="J1259" s="45">
        <v>0</v>
      </c>
      <c r="K1259" s="45">
        <v>22000</v>
      </c>
      <c r="L1259" s="45">
        <v>0</v>
      </c>
      <c r="M1259" s="45">
        <v>0</v>
      </c>
      <c r="N1259" s="45">
        <v>0</v>
      </c>
      <c r="O1259" s="45">
        <v>0</v>
      </c>
      <c r="P1259" s="45">
        <v>0</v>
      </c>
      <c r="Q1259" s="45">
        <v>0</v>
      </c>
      <c r="R1259" s="45">
        <v>0</v>
      </c>
      <c r="S1259" s="45">
        <v>0</v>
      </c>
      <c r="T1259" s="45">
        <v>0</v>
      </c>
      <c r="U1259" s="45">
        <v>1397</v>
      </c>
      <c r="V1259" s="45">
        <v>0</v>
      </c>
      <c r="W1259" s="45">
        <v>0</v>
      </c>
      <c r="X1259" s="45">
        <v>0</v>
      </c>
      <c r="Y1259" s="45">
        <v>0</v>
      </c>
      <c r="Z1259" s="45">
        <v>0</v>
      </c>
      <c r="AA1259" s="45">
        <v>0</v>
      </c>
      <c r="AB1259" s="45">
        <v>0</v>
      </c>
      <c r="AC1259" s="45">
        <v>0</v>
      </c>
      <c r="AD1259" s="45">
        <v>0</v>
      </c>
      <c r="AE1259" s="45">
        <v>0</v>
      </c>
      <c r="AF1259" s="45">
        <v>0</v>
      </c>
      <c r="AG1259" s="45">
        <v>0</v>
      </c>
      <c r="AH1259" s="45">
        <v>0</v>
      </c>
      <c r="AI1259" s="45">
        <v>0</v>
      </c>
      <c r="AJ1259" s="45">
        <v>0</v>
      </c>
      <c r="AK1259" s="45">
        <v>0</v>
      </c>
      <c r="AL1259" s="45">
        <v>0</v>
      </c>
      <c r="AM1259" s="57" t="str">
        <f>I1259-J1259-K1259-L1259-M1259-N1259-O1259-P1259-Q1259-R1259-S1259-T1259-U1259-V1259-W1259-X1259-Y1259-Z1259-AA1259-AB1259-AC1259-AD1259-AE1259-AF1259-AG1259+AH1259-AI1259+AJ1259+AK1259-AL1259</f>
        <v>0</v>
      </c>
      <c r="AN1259" s="45"/>
    </row>
    <row r="1260" spans="1:41">
      <c r="A1260" s="45">
        <v>1232</v>
      </c>
      <c r="B1260" s="45" t="s">
        <v>4897</v>
      </c>
      <c r="C1260" s="49" t="s">
        <v>4898</v>
      </c>
      <c r="D1260" s="53" t="s">
        <v>73</v>
      </c>
      <c r="E1260" s="45" t="s">
        <v>4833</v>
      </c>
      <c r="F1260" s="45" t="s">
        <v>3216</v>
      </c>
      <c r="G1260" s="45">
        <v>3</v>
      </c>
      <c r="H1260" s="53" t="s">
        <v>4899</v>
      </c>
      <c r="I1260" s="45">
        <v>185000</v>
      </c>
      <c r="J1260" s="45">
        <v>0</v>
      </c>
      <c r="K1260" s="45">
        <v>22000</v>
      </c>
      <c r="L1260" s="45">
        <v>0</v>
      </c>
      <c r="M1260" s="45">
        <v>0</v>
      </c>
      <c r="N1260" s="45">
        <v>0</v>
      </c>
      <c r="O1260" s="45">
        <v>0</v>
      </c>
      <c r="P1260" s="45">
        <v>0</v>
      </c>
      <c r="Q1260" s="45">
        <v>0</v>
      </c>
      <c r="R1260" s="45">
        <v>0</v>
      </c>
      <c r="S1260" s="45">
        <v>0</v>
      </c>
      <c r="T1260" s="45">
        <v>0</v>
      </c>
      <c r="U1260" s="45">
        <v>1397</v>
      </c>
      <c r="V1260" s="45">
        <v>0</v>
      </c>
      <c r="W1260" s="45">
        <v>0</v>
      </c>
      <c r="X1260" s="45">
        <v>0</v>
      </c>
      <c r="Y1260" s="45">
        <v>0</v>
      </c>
      <c r="Z1260" s="45">
        <v>0</v>
      </c>
      <c r="AA1260" s="45">
        <v>0</v>
      </c>
      <c r="AB1260" s="45">
        <v>0</v>
      </c>
      <c r="AC1260" s="45">
        <v>0</v>
      </c>
      <c r="AD1260" s="45">
        <v>0</v>
      </c>
      <c r="AE1260" s="45">
        <v>0</v>
      </c>
      <c r="AF1260" s="45">
        <v>0</v>
      </c>
      <c r="AG1260" s="45">
        <v>0</v>
      </c>
      <c r="AH1260" s="45">
        <v>0</v>
      </c>
      <c r="AI1260" s="45">
        <v>0</v>
      </c>
      <c r="AJ1260" s="45">
        <v>0</v>
      </c>
      <c r="AK1260" s="45">
        <v>0</v>
      </c>
      <c r="AL1260" s="45">
        <v>0</v>
      </c>
      <c r="AM1260" s="57" t="str">
        <f>I1260-J1260-K1260-L1260-M1260-N1260-O1260-P1260-Q1260-R1260-S1260-T1260-U1260-V1260-W1260-X1260-Y1260-Z1260-AA1260-AB1260-AC1260-AD1260-AE1260-AF1260-AG1260+AH1260-AI1260+AJ1260+AK1260-AL1260</f>
        <v>0</v>
      </c>
      <c r="AN1260" s="45"/>
    </row>
    <row r="1261" spans="1:41">
      <c r="A1261" s="45">
        <v>1233</v>
      </c>
      <c r="B1261" s="45" t="s">
        <v>4900</v>
      </c>
      <c r="C1261" s="49" t="s">
        <v>4901</v>
      </c>
      <c r="D1261" s="53" t="s">
        <v>73</v>
      </c>
      <c r="E1261" s="45" t="s">
        <v>4833</v>
      </c>
      <c r="F1261" s="45" t="s">
        <v>2074</v>
      </c>
      <c r="G1261" s="45">
        <v>8</v>
      </c>
      <c r="H1261" s="53" t="s">
        <v>4902</v>
      </c>
      <c r="I1261" s="45">
        <v>0</v>
      </c>
      <c r="J1261" s="45">
        <v>0</v>
      </c>
      <c r="K1261" s="45">
        <v>39000</v>
      </c>
      <c r="L1261" s="45">
        <v>0</v>
      </c>
      <c r="M1261" s="45">
        <v>0</v>
      </c>
      <c r="N1261" s="45">
        <v>0</v>
      </c>
      <c r="O1261" s="45">
        <v>0</v>
      </c>
      <c r="P1261" s="45">
        <v>0</v>
      </c>
      <c r="Q1261" s="45">
        <v>0</v>
      </c>
      <c r="R1261" s="45">
        <v>0</v>
      </c>
      <c r="S1261" s="45">
        <v>0</v>
      </c>
      <c r="T1261" s="45">
        <v>0</v>
      </c>
      <c r="U1261" s="45">
        <v>2476</v>
      </c>
      <c r="V1261" s="45">
        <v>0</v>
      </c>
      <c r="W1261" s="45">
        <v>0</v>
      </c>
      <c r="X1261" s="45">
        <v>0</v>
      </c>
      <c r="Y1261" s="45">
        <v>0</v>
      </c>
      <c r="Z1261" s="45">
        <v>0</v>
      </c>
      <c r="AA1261" s="45">
        <v>0</v>
      </c>
      <c r="AB1261" s="45">
        <v>0</v>
      </c>
      <c r="AC1261" s="45">
        <v>0</v>
      </c>
      <c r="AD1261" s="45">
        <v>0</v>
      </c>
      <c r="AE1261" s="45">
        <v>0</v>
      </c>
      <c r="AF1261" s="45">
        <v>0</v>
      </c>
      <c r="AG1261" s="45">
        <v>0</v>
      </c>
      <c r="AH1261" s="45">
        <v>0</v>
      </c>
      <c r="AI1261" s="45">
        <v>0</v>
      </c>
      <c r="AJ1261" s="45">
        <v>0</v>
      </c>
      <c r="AK1261" s="45">
        <v>0</v>
      </c>
      <c r="AL1261" s="45">
        <v>0</v>
      </c>
      <c r="AM1261" s="57" t="str">
        <f>I1261-J1261-K1261-L1261-M1261-N1261-O1261-P1261-Q1261-R1261-S1261-T1261-U1261-V1261-W1261-X1261-Y1261-Z1261-AA1261-AB1261-AC1261-AD1261-AE1261-AF1261-AG1261+AH1261-AI1261+AJ1261+AK1261-AL1261</f>
        <v>0</v>
      </c>
      <c r="AN1261" s="45"/>
    </row>
    <row r="1262" spans="1:41">
      <c r="A1262" s="45">
        <v>1234</v>
      </c>
      <c r="B1262" s="45" t="s">
        <v>4903</v>
      </c>
      <c r="C1262" s="49" t="s">
        <v>4904</v>
      </c>
      <c r="D1262" s="53" t="s">
        <v>73</v>
      </c>
      <c r="E1262" s="45" t="s">
        <v>4833</v>
      </c>
      <c r="F1262" s="45" t="s">
        <v>4905</v>
      </c>
      <c r="G1262" s="45">
        <v>2</v>
      </c>
      <c r="H1262" s="53" t="s">
        <v>4906</v>
      </c>
      <c r="I1262" s="45">
        <v>654000</v>
      </c>
      <c r="J1262" s="45">
        <v>0</v>
      </c>
      <c r="K1262" s="45">
        <v>22000</v>
      </c>
      <c r="L1262" s="45">
        <v>0</v>
      </c>
      <c r="M1262" s="45">
        <v>0</v>
      </c>
      <c r="N1262" s="45">
        <v>0</v>
      </c>
      <c r="O1262" s="45">
        <v>0</v>
      </c>
      <c r="P1262" s="45">
        <v>0</v>
      </c>
      <c r="Q1262" s="45">
        <v>0</v>
      </c>
      <c r="R1262" s="45">
        <v>0</v>
      </c>
      <c r="S1262" s="45">
        <v>0</v>
      </c>
      <c r="T1262" s="45">
        <v>0</v>
      </c>
      <c r="U1262" s="45">
        <v>1397</v>
      </c>
      <c r="V1262" s="45">
        <v>0</v>
      </c>
      <c r="W1262" s="45">
        <v>0</v>
      </c>
      <c r="X1262" s="45">
        <v>0</v>
      </c>
      <c r="Y1262" s="45">
        <v>0</v>
      </c>
      <c r="Z1262" s="45">
        <v>0</v>
      </c>
      <c r="AA1262" s="45">
        <v>0</v>
      </c>
      <c r="AB1262" s="45">
        <v>0</v>
      </c>
      <c r="AC1262" s="45">
        <v>0</v>
      </c>
      <c r="AD1262" s="45">
        <v>0</v>
      </c>
      <c r="AE1262" s="45">
        <v>0</v>
      </c>
      <c r="AF1262" s="45">
        <v>0</v>
      </c>
      <c r="AG1262" s="45">
        <v>0</v>
      </c>
      <c r="AH1262" s="45">
        <v>0</v>
      </c>
      <c r="AI1262" s="45">
        <v>0</v>
      </c>
      <c r="AJ1262" s="45">
        <v>0</v>
      </c>
      <c r="AK1262" s="45">
        <v>0</v>
      </c>
      <c r="AL1262" s="45">
        <v>0</v>
      </c>
      <c r="AM1262" s="57" t="str">
        <f>I1262-J1262-K1262-L1262-M1262-N1262-O1262-P1262-Q1262-R1262-S1262-T1262-U1262-V1262-W1262-X1262-Y1262-Z1262-AA1262-AB1262-AC1262-AD1262-AE1262-AF1262-AG1262+AH1262-AI1262+AJ1262+AK1262-AL1262</f>
        <v>0</v>
      </c>
      <c r="AN1262" s="45"/>
    </row>
    <row r="1263" spans="1:41">
      <c r="A1263" s="45">
        <v>1235</v>
      </c>
      <c r="B1263" s="45" t="s">
        <v>4907</v>
      </c>
      <c r="C1263" s="49" t="s">
        <v>4908</v>
      </c>
      <c r="D1263" s="53" t="s">
        <v>73</v>
      </c>
      <c r="E1263" s="45" t="s">
        <v>4833</v>
      </c>
      <c r="F1263" s="45" t="s">
        <v>4909</v>
      </c>
      <c r="G1263" s="45">
        <v>2</v>
      </c>
      <c r="H1263" s="53" t="s">
        <v>4910</v>
      </c>
      <c r="I1263" s="45">
        <v>255500</v>
      </c>
      <c r="J1263" s="45">
        <v>0</v>
      </c>
      <c r="K1263" s="45">
        <v>22000</v>
      </c>
      <c r="L1263" s="45">
        <v>0</v>
      </c>
      <c r="M1263" s="45">
        <v>0</v>
      </c>
      <c r="N1263" s="45">
        <v>0</v>
      </c>
      <c r="O1263" s="45">
        <v>0</v>
      </c>
      <c r="P1263" s="45">
        <v>0</v>
      </c>
      <c r="Q1263" s="45">
        <v>0</v>
      </c>
      <c r="R1263" s="45">
        <v>0</v>
      </c>
      <c r="S1263" s="45">
        <v>0</v>
      </c>
      <c r="T1263" s="45">
        <v>0</v>
      </c>
      <c r="U1263" s="45">
        <v>1397</v>
      </c>
      <c r="V1263" s="45">
        <v>0</v>
      </c>
      <c r="W1263" s="45">
        <v>0</v>
      </c>
      <c r="X1263" s="45">
        <v>0</v>
      </c>
      <c r="Y1263" s="45">
        <v>0</v>
      </c>
      <c r="Z1263" s="45">
        <v>0</v>
      </c>
      <c r="AA1263" s="45">
        <v>0</v>
      </c>
      <c r="AB1263" s="45">
        <v>0</v>
      </c>
      <c r="AC1263" s="45">
        <v>0</v>
      </c>
      <c r="AD1263" s="45">
        <v>0</v>
      </c>
      <c r="AE1263" s="45">
        <v>0</v>
      </c>
      <c r="AF1263" s="45">
        <v>0</v>
      </c>
      <c r="AG1263" s="45">
        <v>0</v>
      </c>
      <c r="AH1263" s="45">
        <v>0</v>
      </c>
      <c r="AI1263" s="45">
        <v>0</v>
      </c>
      <c r="AJ1263" s="45">
        <v>0</v>
      </c>
      <c r="AK1263" s="45">
        <v>0</v>
      </c>
      <c r="AL1263" s="45">
        <v>0</v>
      </c>
      <c r="AM1263" s="57" t="str">
        <f>I1263-J1263-K1263-L1263-M1263-N1263-O1263-P1263-Q1263-R1263-S1263-T1263-U1263-V1263-W1263-X1263-Y1263-Z1263-AA1263-AB1263-AC1263-AD1263-AE1263-AF1263-AG1263+AH1263-AI1263+AJ1263+AK1263-AL1263</f>
        <v>0</v>
      </c>
      <c r="AN1263" s="45"/>
    </row>
    <row r="1264" spans="1:41">
      <c r="A1264" s="45">
        <v>1236</v>
      </c>
      <c r="B1264" s="45" t="s">
        <v>4911</v>
      </c>
      <c r="C1264" s="49" t="s">
        <v>4912</v>
      </c>
      <c r="D1264" s="53" t="s">
        <v>73</v>
      </c>
      <c r="E1264" s="45" t="s">
        <v>4833</v>
      </c>
      <c r="F1264" s="45" t="s">
        <v>2922</v>
      </c>
      <c r="G1264" s="45">
        <v>3</v>
      </c>
      <c r="H1264" s="53" t="s">
        <v>4913</v>
      </c>
      <c r="I1264" s="45">
        <v>444000</v>
      </c>
      <c r="J1264" s="45">
        <v>0</v>
      </c>
      <c r="K1264" s="45">
        <v>22000</v>
      </c>
      <c r="L1264" s="45">
        <v>0</v>
      </c>
      <c r="M1264" s="45">
        <v>0</v>
      </c>
      <c r="N1264" s="45">
        <v>0</v>
      </c>
      <c r="O1264" s="45">
        <v>0</v>
      </c>
      <c r="P1264" s="45">
        <v>0</v>
      </c>
      <c r="Q1264" s="45">
        <v>0</v>
      </c>
      <c r="R1264" s="45">
        <v>0</v>
      </c>
      <c r="S1264" s="45">
        <v>0</v>
      </c>
      <c r="T1264" s="45">
        <v>0</v>
      </c>
      <c r="U1264" s="45">
        <v>1397</v>
      </c>
      <c r="V1264" s="45">
        <v>0</v>
      </c>
      <c r="W1264" s="45">
        <v>0</v>
      </c>
      <c r="X1264" s="45">
        <v>0</v>
      </c>
      <c r="Y1264" s="45">
        <v>0</v>
      </c>
      <c r="Z1264" s="45">
        <v>0</v>
      </c>
      <c r="AA1264" s="45">
        <v>0</v>
      </c>
      <c r="AB1264" s="45">
        <v>0</v>
      </c>
      <c r="AC1264" s="45">
        <v>0</v>
      </c>
      <c r="AD1264" s="45">
        <v>0</v>
      </c>
      <c r="AE1264" s="45">
        <v>0</v>
      </c>
      <c r="AF1264" s="45">
        <v>0</v>
      </c>
      <c r="AG1264" s="45">
        <v>0</v>
      </c>
      <c r="AH1264" s="45">
        <v>0</v>
      </c>
      <c r="AI1264" s="45">
        <v>0</v>
      </c>
      <c r="AJ1264" s="45">
        <v>0</v>
      </c>
      <c r="AK1264" s="45">
        <v>0</v>
      </c>
      <c r="AL1264" s="45">
        <v>0</v>
      </c>
      <c r="AM1264" s="57" t="str">
        <f>I1264-J1264-K1264-L1264-M1264-N1264-O1264-P1264-Q1264-R1264-S1264-T1264-U1264-V1264-W1264-X1264-Y1264-Z1264-AA1264-AB1264-AC1264-AD1264-AE1264-AF1264-AG1264+AH1264-AI1264+AJ1264+AK1264-AL1264</f>
        <v>0</v>
      </c>
      <c r="AN1264" s="45"/>
    </row>
    <row r="1265" spans="1:41">
      <c r="A1265" s="45">
        <v>1237</v>
      </c>
      <c r="B1265" s="45" t="s">
        <v>4914</v>
      </c>
      <c r="C1265" s="49" t="s">
        <v>4915</v>
      </c>
      <c r="D1265" s="53" t="s">
        <v>73</v>
      </c>
      <c r="E1265" s="45" t="s">
        <v>4833</v>
      </c>
      <c r="F1265" s="45" t="s">
        <v>4916</v>
      </c>
      <c r="G1265" s="45">
        <v>3</v>
      </c>
      <c r="H1265" s="53" t="s">
        <v>4917</v>
      </c>
      <c r="I1265" s="45">
        <v>784000</v>
      </c>
      <c r="J1265" s="45">
        <v>0</v>
      </c>
      <c r="K1265" s="45">
        <v>22000</v>
      </c>
      <c r="L1265" s="45">
        <v>0</v>
      </c>
      <c r="M1265" s="45">
        <v>0</v>
      </c>
      <c r="N1265" s="45">
        <v>0</v>
      </c>
      <c r="O1265" s="45">
        <v>0</v>
      </c>
      <c r="P1265" s="45">
        <v>0</v>
      </c>
      <c r="Q1265" s="45">
        <v>0</v>
      </c>
      <c r="R1265" s="45">
        <v>0</v>
      </c>
      <c r="S1265" s="45">
        <v>0</v>
      </c>
      <c r="T1265" s="45">
        <v>0</v>
      </c>
      <c r="U1265" s="45">
        <v>1397</v>
      </c>
      <c r="V1265" s="45">
        <v>0</v>
      </c>
      <c r="W1265" s="45">
        <v>0</v>
      </c>
      <c r="X1265" s="45">
        <v>0</v>
      </c>
      <c r="Y1265" s="45">
        <v>0</v>
      </c>
      <c r="Z1265" s="45">
        <v>0</v>
      </c>
      <c r="AA1265" s="45">
        <v>0</v>
      </c>
      <c r="AB1265" s="45">
        <v>0</v>
      </c>
      <c r="AC1265" s="45">
        <v>0</v>
      </c>
      <c r="AD1265" s="45">
        <v>0</v>
      </c>
      <c r="AE1265" s="45">
        <v>0</v>
      </c>
      <c r="AF1265" s="45">
        <v>0</v>
      </c>
      <c r="AG1265" s="45">
        <v>0</v>
      </c>
      <c r="AH1265" s="45">
        <v>0</v>
      </c>
      <c r="AI1265" s="45">
        <v>0</v>
      </c>
      <c r="AJ1265" s="45">
        <v>0</v>
      </c>
      <c r="AK1265" s="45">
        <v>0</v>
      </c>
      <c r="AL1265" s="45">
        <v>0</v>
      </c>
      <c r="AM1265" s="57" t="str">
        <f>I1265-J1265-K1265-L1265-M1265-N1265-O1265-P1265-Q1265-R1265-S1265-T1265-U1265-V1265-W1265-X1265-Y1265-Z1265-AA1265-AB1265-AC1265-AD1265-AE1265-AF1265-AG1265+AH1265-AI1265+AJ1265+AK1265-AL1265</f>
        <v>0</v>
      </c>
      <c r="AN1265" s="45"/>
    </row>
    <row r="1266" spans="1:41">
      <c r="A1266" s="45">
        <v>1238</v>
      </c>
      <c r="B1266" s="45" t="s">
        <v>4918</v>
      </c>
      <c r="C1266" s="49" t="s">
        <v>4919</v>
      </c>
      <c r="D1266" s="53" t="s">
        <v>73</v>
      </c>
      <c r="E1266" s="45" t="s">
        <v>4833</v>
      </c>
      <c r="F1266" s="45" t="s">
        <v>4920</v>
      </c>
      <c r="G1266" s="45">
        <v>3</v>
      </c>
      <c r="H1266" s="53" t="s">
        <v>4921</v>
      </c>
      <c r="I1266" s="45">
        <v>460000</v>
      </c>
      <c r="J1266" s="45">
        <v>0</v>
      </c>
      <c r="K1266" s="45">
        <v>22000</v>
      </c>
      <c r="L1266" s="45">
        <v>0</v>
      </c>
      <c r="M1266" s="45">
        <v>0</v>
      </c>
      <c r="N1266" s="45">
        <v>0</v>
      </c>
      <c r="O1266" s="45">
        <v>0</v>
      </c>
      <c r="P1266" s="45">
        <v>0</v>
      </c>
      <c r="Q1266" s="45">
        <v>0</v>
      </c>
      <c r="R1266" s="45">
        <v>0</v>
      </c>
      <c r="S1266" s="45">
        <v>0</v>
      </c>
      <c r="T1266" s="45">
        <v>0</v>
      </c>
      <c r="U1266" s="45">
        <v>1397</v>
      </c>
      <c r="V1266" s="45">
        <v>0</v>
      </c>
      <c r="W1266" s="45">
        <v>0</v>
      </c>
      <c r="X1266" s="45">
        <v>0</v>
      </c>
      <c r="Y1266" s="45">
        <v>0</v>
      </c>
      <c r="Z1266" s="45">
        <v>0</v>
      </c>
      <c r="AA1266" s="45">
        <v>0</v>
      </c>
      <c r="AB1266" s="45">
        <v>0</v>
      </c>
      <c r="AC1266" s="45">
        <v>0</v>
      </c>
      <c r="AD1266" s="45">
        <v>0</v>
      </c>
      <c r="AE1266" s="45">
        <v>0</v>
      </c>
      <c r="AF1266" s="45">
        <v>0</v>
      </c>
      <c r="AG1266" s="45">
        <v>0</v>
      </c>
      <c r="AH1266" s="45">
        <v>0</v>
      </c>
      <c r="AI1266" s="45">
        <v>0</v>
      </c>
      <c r="AJ1266" s="45">
        <v>0</v>
      </c>
      <c r="AK1266" s="45">
        <v>0</v>
      </c>
      <c r="AL1266" s="45">
        <v>0</v>
      </c>
      <c r="AM1266" s="57" t="str">
        <f>I1266-J1266-K1266-L1266-M1266-N1266-O1266-P1266-Q1266-R1266-S1266-T1266-U1266-V1266-W1266-X1266-Y1266-Z1266-AA1266-AB1266-AC1266-AD1266-AE1266-AF1266-AG1266+AH1266-AI1266+AJ1266+AK1266-AL1266</f>
        <v>0</v>
      </c>
      <c r="AN1266" s="45"/>
    </row>
    <row r="1267" spans="1:41">
      <c r="A1267" s="45">
        <v>1239</v>
      </c>
      <c r="B1267" s="45" t="s">
        <v>4922</v>
      </c>
      <c r="C1267" s="49" t="s">
        <v>4923</v>
      </c>
      <c r="D1267" s="53" t="s">
        <v>62</v>
      </c>
      <c r="E1267" s="45" t="s">
        <v>4833</v>
      </c>
      <c r="F1267" s="45" t="s">
        <v>4924</v>
      </c>
      <c r="G1267" s="45">
        <v>2</v>
      </c>
      <c r="H1267" s="53" t="s">
        <v>4925</v>
      </c>
      <c r="I1267" s="45">
        <v>0</v>
      </c>
      <c r="J1267" s="45">
        <v>0</v>
      </c>
      <c r="K1267" s="45">
        <v>22000</v>
      </c>
      <c r="L1267" s="45">
        <v>0</v>
      </c>
      <c r="M1267" s="45">
        <v>0</v>
      </c>
      <c r="N1267" s="45">
        <v>0</v>
      </c>
      <c r="O1267" s="45">
        <v>0</v>
      </c>
      <c r="P1267" s="45">
        <v>0</v>
      </c>
      <c r="Q1267" s="45">
        <v>0</v>
      </c>
      <c r="R1267" s="45">
        <v>0</v>
      </c>
      <c r="S1267" s="45">
        <v>0</v>
      </c>
      <c r="T1267" s="45">
        <v>0</v>
      </c>
      <c r="U1267" s="45">
        <v>1397</v>
      </c>
      <c r="V1267" s="45">
        <v>0</v>
      </c>
      <c r="W1267" s="45">
        <v>0</v>
      </c>
      <c r="X1267" s="45">
        <v>0</v>
      </c>
      <c r="Y1267" s="45">
        <v>5000</v>
      </c>
      <c r="Z1267" s="45">
        <v>0</v>
      </c>
      <c r="AA1267" s="45">
        <v>0</v>
      </c>
      <c r="AB1267" s="45">
        <v>0</v>
      </c>
      <c r="AC1267" s="45">
        <v>0</v>
      </c>
      <c r="AD1267" s="45">
        <v>0</v>
      </c>
      <c r="AE1267" s="45">
        <v>0</v>
      </c>
      <c r="AF1267" s="45">
        <v>0</v>
      </c>
      <c r="AG1267" s="45">
        <v>0</v>
      </c>
      <c r="AH1267" s="45">
        <v>0</v>
      </c>
      <c r="AI1267" s="45">
        <v>0</v>
      </c>
      <c r="AJ1267" s="45">
        <v>0</v>
      </c>
      <c r="AK1267" s="45">
        <v>0</v>
      </c>
      <c r="AL1267" s="45">
        <v>0</v>
      </c>
      <c r="AM1267" s="57" t="str">
        <f>I1267-J1267-K1267-L1267-M1267-N1267-O1267-P1267-Q1267-R1267-S1267-T1267-U1267-V1267-W1267-X1267-Y1267-Z1267-AA1267-AB1267-AC1267-AD1267-AE1267-AF1267-AG1267+AH1267-AI1267+AJ1267+AK1267-AL1267</f>
        <v>0</v>
      </c>
      <c r="AN1267" s="45"/>
    </row>
    <row r="1268" spans="1:41">
      <c r="A1268" s="45">
        <v>1240</v>
      </c>
      <c r="B1268" s="45" t="s">
        <v>4926</v>
      </c>
      <c r="C1268" s="49" t="s">
        <v>4927</v>
      </c>
      <c r="D1268" s="53" t="s">
        <v>73</v>
      </c>
      <c r="E1268" s="45" t="s">
        <v>4833</v>
      </c>
      <c r="F1268" s="45" t="s">
        <v>4928</v>
      </c>
      <c r="G1268" s="45">
        <v>3</v>
      </c>
      <c r="H1268" s="53" t="s">
        <v>4929</v>
      </c>
      <c r="I1268" s="45">
        <v>810000</v>
      </c>
      <c r="J1268" s="45">
        <v>0</v>
      </c>
      <c r="K1268" s="45">
        <v>22000</v>
      </c>
      <c r="L1268" s="45">
        <v>0</v>
      </c>
      <c r="M1268" s="45">
        <v>0</v>
      </c>
      <c r="N1268" s="45">
        <v>0</v>
      </c>
      <c r="O1268" s="45">
        <v>0</v>
      </c>
      <c r="P1268" s="45">
        <v>0</v>
      </c>
      <c r="Q1268" s="45">
        <v>0</v>
      </c>
      <c r="R1268" s="45">
        <v>0</v>
      </c>
      <c r="S1268" s="45">
        <v>0</v>
      </c>
      <c r="T1268" s="45">
        <v>0</v>
      </c>
      <c r="U1268" s="45">
        <v>1397</v>
      </c>
      <c r="V1268" s="45">
        <v>0</v>
      </c>
      <c r="W1268" s="45">
        <v>0</v>
      </c>
      <c r="X1268" s="45">
        <v>0</v>
      </c>
      <c r="Y1268" s="45">
        <v>0</v>
      </c>
      <c r="Z1268" s="45">
        <v>0</v>
      </c>
      <c r="AA1268" s="45">
        <v>0</v>
      </c>
      <c r="AB1268" s="45">
        <v>0</v>
      </c>
      <c r="AC1268" s="45">
        <v>0</v>
      </c>
      <c r="AD1268" s="45">
        <v>0</v>
      </c>
      <c r="AE1268" s="45">
        <v>0</v>
      </c>
      <c r="AF1268" s="45">
        <v>0</v>
      </c>
      <c r="AG1268" s="45">
        <v>0</v>
      </c>
      <c r="AH1268" s="45">
        <v>0</v>
      </c>
      <c r="AI1268" s="45">
        <v>0</v>
      </c>
      <c r="AJ1268" s="45">
        <v>0</v>
      </c>
      <c r="AK1268" s="45">
        <v>0</v>
      </c>
      <c r="AL1268" s="45">
        <v>0</v>
      </c>
      <c r="AM1268" s="57" t="str">
        <f>I1268-J1268-K1268-L1268-M1268-N1268-O1268-P1268-Q1268-R1268-S1268-T1268-U1268-V1268-W1268-X1268-Y1268-Z1268-AA1268-AB1268-AC1268-AD1268-AE1268-AF1268-AG1268+AH1268-AI1268+AJ1268+AK1268-AL1268</f>
        <v>0</v>
      </c>
      <c r="AN1268" s="45"/>
    </row>
    <row r="1269" spans="1:41">
      <c r="A1269" s="45">
        <v>1241</v>
      </c>
      <c r="B1269" s="45" t="s">
        <v>4930</v>
      </c>
      <c r="C1269" s="49" t="s">
        <v>4931</v>
      </c>
      <c r="D1269" s="53" t="s">
        <v>73</v>
      </c>
      <c r="E1269" s="45" t="s">
        <v>4833</v>
      </c>
      <c r="F1269" s="45" t="s">
        <v>4932</v>
      </c>
      <c r="G1269" s="45">
        <v>10.6</v>
      </c>
      <c r="H1269" s="53" t="s">
        <v>4933</v>
      </c>
      <c r="I1269" s="45">
        <v>1570000</v>
      </c>
      <c r="J1269" s="45">
        <v>0</v>
      </c>
      <c r="K1269" s="45">
        <v>54000</v>
      </c>
      <c r="L1269" s="45">
        <v>0</v>
      </c>
      <c r="M1269" s="45">
        <v>0</v>
      </c>
      <c r="N1269" s="45">
        <v>0</v>
      </c>
      <c r="O1269" s="45">
        <v>0</v>
      </c>
      <c r="P1269" s="45">
        <v>0</v>
      </c>
      <c r="Q1269" s="45">
        <v>0</v>
      </c>
      <c r="R1269" s="45">
        <v>0</v>
      </c>
      <c r="S1269" s="45">
        <v>0</v>
      </c>
      <c r="T1269" s="45">
        <v>0</v>
      </c>
      <c r="U1269" s="45">
        <v>3429</v>
      </c>
      <c r="V1269" s="45">
        <v>0</v>
      </c>
      <c r="W1269" s="45">
        <v>0</v>
      </c>
      <c r="X1269" s="45">
        <v>0</v>
      </c>
      <c r="Y1269" s="45">
        <v>0</v>
      </c>
      <c r="Z1269" s="45">
        <v>0</v>
      </c>
      <c r="AA1269" s="45">
        <v>0</v>
      </c>
      <c r="AB1269" s="45">
        <v>0</v>
      </c>
      <c r="AC1269" s="45">
        <v>0</v>
      </c>
      <c r="AD1269" s="45">
        <v>0</v>
      </c>
      <c r="AE1269" s="45">
        <v>0</v>
      </c>
      <c r="AF1269" s="45">
        <v>0</v>
      </c>
      <c r="AG1269" s="45">
        <v>0</v>
      </c>
      <c r="AH1269" s="45">
        <v>0</v>
      </c>
      <c r="AI1269" s="45">
        <v>0</v>
      </c>
      <c r="AJ1269" s="45">
        <v>0</v>
      </c>
      <c r="AK1269" s="45">
        <v>0</v>
      </c>
      <c r="AL1269" s="45">
        <v>0</v>
      </c>
      <c r="AM1269" s="57" t="str">
        <f>I1269-J1269-K1269-L1269-M1269-N1269-O1269-P1269-Q1269-R1269-S1269-T1269-U1269-V1269-W1269-X1269-Y1269-Z1269-AA1269-AB1269-AC1269-AD1269-AE1269-AF1269-AG1269+AH1269-AI1269+AJ1269+AK1269-AL1269</f>
        <v>0</v>
      </c>
      <c r="AN1269" s="45"/>
    </row>
    <row r="1270" spans="1:41">
      <c r="A1270" s="45">
        <v>1242</v>
      </c>
      <c r="B1270" s="45" t="s">
        <v>4934</v>
      </c>
      <c r="C1270" s="49" t="s">
        <v>4935</v>
      </c>
      <c r="D1270" s="53" t="s">
        <v>73</v>
      </c>
      <c r="E1270" s="45" t="s">
        <v>4833</v>
      </c>
      <c r="F1270" s="45" t="s">
        <v>4936</v>
      </c>
      <c r="G1270" s="45">
        <v>5.8</v>
      </c>
      <c r="H1270" s="53" t="s">
        <v>4937</v>
      </c>
      <c r="I1270" s="45">
        <v>634000</v>
      </c>
      <c r="J1270" s="45">
        <v>0</v>
      </c>
      <c r="K1270" s="45">
        <v>31000</v>
      </c>
      <c r="L1270" s="45">
        <v>0</v>
      </c>
      <c r="M1270" s="45">
        <v>0</v>
      </c>
      <c r="N1270" s="45">
        <v>0</v>
      </c>
      <c r="O1270" s="45">
        <v>0</v>
      </c>
      <c r="P1270" s="45">
        <v>0</v>
      </c>
      <c r="Q1270" s="45">
        <v>0</v>
      </c>
      <c r="R1270" s="45">
        <v>0</v>
      </c>
      <c r="S1270" s="45">
        <v>0</v>
      </c>
      <c r="T1270" s="45">
        <v>0</v>
      </c>
      <c r="U1270" s="45">
        <v>1968</v>
      </c>
      <c r="V1270" s="45">
        <v>0</v>
      </c>
      <c r="W1270" s="45">
        <v>0</v>
      </c>
      <c r="X1270" s="45">
        <v>0</v>
      </c>
      <c r="Y1270" s="45">
        <v>0</v>
      </c>
      <c r="Z1270" s="45">
        <v>0</v>
      </c>
      <c r="AA1270" s="45">
        <v>0</v>
      </c>
      <c r="AB1270" s="45">
        <v>0</v>
      </c>
      <c r="AC1270" s="45">
        <v>0</v>
      </c>
      <c r="AD1270" s="45">
        <v>0</v>
      </c>
      <c r="AE1270" s="45">
        <v>0</v>
      </c>
      <c r="AF1270" s="45">
        <v>0</v>
      </c>
      <c r="AG1270" s="45">
        <v>0</v>
      </c>
      <c r="AH1270" s="45">
        <v>0</v>
      </c>
      <c r="AI1270" s="45">
        <v>0</v>
      </c>
      <c r="AJ1270" s="45">
        <v>0</v>
      </c>
      <c r="AK1270" s="45">
        <v>0</v>
      </c>
      <c r="AL1270" s="45">
        <v>0</v>
      </c>
      <c r="AM1270" s="57" t="str">
        <f>I1270-J1270-K1270-L1270-M1270-N1270-O1270-P1270-Q1270-R1270-S1270-T1270-U1270-V1270-W1270-X1270-Y1270-Z1270-AA1270-AB1270-AC1270-AD1270-AE1270-AF1270-AG1270+AH1270-AI1270+AJ1270+AK1270-AL1270</f>
        <v>0</v>
      </c>
      <c r="AN1270" s="45"/>
    </row>
    <row r="1271" spans="1:41">
      <c r="A1271" s="45">
        <v>1243</v>
      </c>
      <c r="B1271" s="45" t="s">
        <v>4938</v>
      </c>
      <c r="C1271" s="49" t="s">
        <v>4939</v>
      </c>
      <c r="D1271" s="53" t="s">
        <v>73</v>
      </c>
      <c r="E1271" s="45" t="s">
        <v>4833</v>
      </c>
      <c r="F1271" s="45" t="s">
        <v>4940</v>
      </c>
      <c r="G1271" s="45">
        <v>5.8</v>
      </c>
      <c r="H1271" s="53" t="s">
        <v>4941</v>
      </c>
      <c r="I1271" s="45">
        <v>574100</v>
      </c>
      <c r="J1271" s="45">
        <v>0</v>
      </c>
      <c r="K1271" s="45">
        <v>31000</v>
      </c>
      <c r="L1271" s="45">
        <v>0</v>
      </c>
      <c r="M1271" s="45">
        <v>0</v>
      </c>
      <c r="N1271" s="45">
        <v>0</v>
      </c>
      <c r="O1271" s="45">
        <v>0</v>
      </c>
      <c r="P1271" s="45">
        <v>0</v>
      </c>
      <c r="Q1271" s="45">
        <v>0</v>
      </c>
      <c r="R1271" s="45">
        <v>0</v>
      </c>
      <c r="S1271" s="45">
        <v>0</v>
      </c>
      <c r="T1271" s="45">
        <v>0</v>
      </c>
      <c r="U1271" s="45">
        <v>1968</v>
      </c>
      <c r="V1271" s="45">
        <v>0</v>
      </c>
      <c r="W1271" s="45">
        <v>0</v>
      </c>
      <c r="X1271" s="45">
        <v>0</v>
      </c>
      <c r="Y1271" s="45">
        <v>0</v>
      </c>
      <c r="Z1271" s="45">
        <v>0</v>
      </c>
      <c r="AA1271" s="45">
        <v>0</v>
      </c>
      <c r="AB1271" s="45">
        <v>0</v>
      </c>
      <c r="AC1271" s="45">
        <v>0</v>
      </c>
      <c r="AD1271" s="45">
        <v>0</v>
      </c>
      <c r="AE1271" s="45">
        <v>0</v>
      </c>
      <c r="AF1271" s="45">
        <v>0</v>
      </c>
      <c r="AG1271" s="45">
        <v>0</v>
      </c>
      <c r="AH1271" s="45">
        <v>0</v>
      </c>
      <c r="AI1271" s="45">
        <v>0</v>
      </c>
      <c r="AJ1271" s="45">
        <v>0</v>
      </c>
      <c r="AK1271" s="45">
        <v>0</v>
      </c>
      <c r="AL1271" s="45">
        <v>0</v>
      </c>
      <c r="AM1271" s="57" t="str">
        <f>I1271-J1271-K1271-L1271-M1271-N1271-O1271-P1271-Q1271-R1271-S1271-T1271-U1271-V1271-W1271-X1271-Y1271-Z1271-AA1271-AB1271-AC1271-AD1271-AE1271-AF1271-AG1271+AH1271-AI1271+AJ1271+AK1271-AL1271</f>
        <v>0</v>
      </c>
      <c r="AN1271" s="45"/>
    </row>
    <row r="1272" spans="1:41">
      <c r="A1272" s="45">
        <v>1244</v>
      </c>
      <c r="B1272" s="45" t="s">
        <v>4942</v>
      </c>
      <c r="C1272" s="49" t="s">
        <v>4943</v>
      </c>
      <c r="D1272" s="53" t="s">
        <v>73</v>
      </c>
      <c r="E1272" s="45" t="s">
        <v>4833</v>
      </c>
      <c r="F1272" s="45" t="s">
        <v>4944</v>
      </c>
      <c r="G1272" s="45">
        <v>8.8</v>
      </c>
      <c r="H1272" s="53" t="s">
        <v>4945</v>
      </c>
      <c r="I1272" s="45">
        <v>1398000</v>
      </c>
      <c r="J1272" s="45">
        <v>0</v>
      </c>
      <c r="K1272" s="45">
        <v>40000</v>
      </c>
      <c r="L1272" s="45">
        <v>0</v>
      </c>
      <c r="M1272" s="45">
        <v>0</v>
      </c>
      <c r="N1272" s="45">
        <v>0</v>
      </c>
      <c r="O1272" s="45">
        <v>0</v>
      </c>
      <c r="P1272" s="45">
        <v>0</v>
      </c>
      <c r="Q1272" s="45">
        <v>0</v>
      </c>
      <c r="R1272" s="45">
        <v>0</v>
      </c>
      <c r="S1272" s="45">
        <v>0</v>
      </c>
      <c r="T1272" s="45">
        <v>0</v>
      </c>
      <c r="U1272" s="45">
        <v>2540</v>
      </c>
      <c r="V1272" s="45">
        <v>0</v>
      </c>
      <c r="W1272" s="45">
        <v>0</v>
      </c>
      <c r="X1272" s="45">
        <v>0</v>
      </c>
      <c r="Y1272" s="45">
        <v>0</v>
      </c>
      <c r="Z1272" s="45">
        <v>0</v>
      </c>
      <c r="AA1272" s="45">
        <v>0</v>
      </c>
      <c r="AB1272" s="45">
        <v>0</v>
      </c>
      <c r="AC1272" s="45">
        <v>0</v>
      </c>
      <c r="AD1272" s="45">
        <v>0</v>
      </c>
      <c r="AE1272" s="45">
        <v>0</v>
      </c>
      <c r="AF1272" s="45">
        <v>0</v>
      </c>
      <c r="AG1272" s="45">
        <v>0</v>
      </c>
      <c r="AH1272" s="45">
        <v>0</v>
      </c>
      <c r="AI1272" s="45">
        <v>0</v>
      </c>
      <c r="AJ1272" s="45">
        <v>0</v>
      </c>
      <c r="AK1272" s="45">
        <v>0</v>
      </c>
      <c r="AL1272" s="45">
        <v>0</v>
      </c>
      <c r="AM1272" s="57" t="str">
        <f>I1272-J1272-K1272-L1272-M1272-N1272-O1272-P1272-Q1272-R1272-S1272-T1272-U1272-V1272-W1272-X1272-Y1272-Z1272-AA1272-AB1272-AC1272-AD1272-AE1272-AF1272-AG1272+AH1272-AI1272+AJ1272+AK1272-AL1272</f>
        <v>0</v>
      </c>
      <c r="AN1272" s="45"/>
    </row>
    <row r="1273" spans="1:41">
      <c r="A1273" s="45">
        <v>1245</v>
      </c>
      <c r="B1273" s="45" t="s">
        <v>4946</v>
      </c>
      <c r="C1273" s="49" t="s">
        <v>4947</v>
      </c>
      <c r="D1273" s="53" t="s">
        <v>73</v>
      </c>
      <c r="E1273" s="45" t="s">
        <v>4833</v>
      </c>
      <c r="F1273" s="45" t="s">
        <v>4948</v>
      </c>
      <c r="G1273" s="45">
        <v>2</v>
      </c>
      <c r="H1273" s="53" t="s">
        <v>4949</v>
      </c>
      <c r="I1273" s="45">
        <v>335000</v>
      </c>
      <c r="J1273" s="45">
        <v>0</v>
      </c>
      <c r="K1273" s="45">
        <v>22000</v>
      </c>
      <c r="L1273" s="45">
        <v>0</v>
      </c>
      <c r="M1273" s="45">
        <v>0</v>
      </c>
      <c r="N1273" s="45">
        <v>0</v>
      </c>
      <c r="O1273" s="45">
        <v>0</v>
      </c>
      <c r="P1273" s="45">
        <v>0</v>
      </c>
      <c r="Q1273" s="45">
        <v>0</v>
      </c>
      <c r="R1273" s="45">
        <v>0</v>
      </c>
      <c r="S1273" s="45">
        <v>0</v>
      </c>
      <c r="T1273" s="45">
        <v>0</v>
      </c>
      <c r="U1273" s="45">
        <v>1397</v>
      </c>
      <c r="V1273" s="45">
        <v>0</v>
      </c>
      <c r="W1273" s="45">
        <v>0</v>
      </c>
      <c r="X1273" s="45">
        <v>0</v>
      </c>
      <c r="Y1273" s="45">
        <v>0</v>
      </c>
      <c r="Z1273" s="45">
        <v>0</v>
      </c>
      <c r="AA1273" s="45">
        <v>0</v>
      </c>
      <c r="AB1273" s="45">
        <v>0</v>
      </c>
      <c r="AC1273" s="45">
        <v>0</v>
      </c>
      <c r="AD1273" s="45">
        <v>0</v>
      </c>
      <c r="AE1273" s="45">
        <v>0</v>
      </c>
      <c r="AF1273" s="45">
        <v>0</v>
      </c>
      <c r="AG1273" s="45">
        <v>0</v>
      </c>
      <c r="AH1273" s="45">
        <v>0</v>
      </c>
      <c r="AI1273" s="45">
        <v>0</v>
      </c>
      <c r="AJ1273" s="45">
        <v>0</v>
      </c>
      <c r="AK1273" s="45">
        <v>0</v>
      </c>
      <c r="AL1273" s="45">
        <v>0</v>
      </c>
      <c r="AM1273" s="57" t="str">
        <f>I1273-J1273-K1273-L1273-M1273-N1273-O1273-P1273-Q1273-R1273-S1273-T1273-U1273-V1273-W1273-X1273-Y1273-Z1273-AA1273-AB1273-AC1273-AD1273-AE1273-AF1273-AG1273+AH1273-AI1273+AJ1273+AK1273-AL1273</f>
        <v>0</v>
      </c>
      <c r="AN1273" s="45"/>
    </row>
    <row r="1274" spans="1:41">
      <c r="A1274" s="45">
        <v>1246</v>
      </c>
      <c r="B1274" s="45" t="s">
        <v>4950</v>
      </c>
      <c r="C1274" s="49" t="s">
        <v>4951</v>
      </c>
      <c r="D1274" s="53" t="s">
        <v>73</v>
      </c>
      <c r="E1274" s="45" t="s">
        <v>4833</v>
      </c>
      <c r="F1274" s="45" t="s">
        <v>4479</v>
      </c>
      <c r="G1274" s="45">
        <v>2.1</v>
      </c>
      <c r="H1274" s="53" t="s">
        <v>4952</v>
      </c>
      <c r="I1274" s="45">
        <v>594000</v>
      </c>
      <c r="J1274" s="45">
        <v>0</v>
      </c>
      <c r="K1274" s="45">
        <v>22000</v>
      </c>
      <c r="L1274" s="45">
        <v>0</v>
      </c>
      <c r="M1274" s="45">
        <v>0</v>
      </c>
      <c r="N1274" s="45">
        <v>0</v>
      </c>
      <c r="O1274" s="45">
        <v>0</v>
      </c>
      <c r="P1274" s="45">
        <v>0</v>
      </c>
      <c r="Q1274" s="45">
        <v>0</v>
      </c>
      <c r="R1274" s="45">
        <v>0</v>
      </c>
      <c r="S1274" s="45">
        <v>0</v>
      </c>
      <c r="T1274" s="45">
        <v>0</v>
      </c>
      <c r="U1274" s="45">
        <v>1397</v>
      </c>
      <c r="V1274" s="45">
        <v>0</v>
      </c>
      <c r="W1274" s="45">
        <v>0</v>
      </c>
      <c r="X1274" s="45">
        <v>0</v>
      </c>
      <c r="Y1274" s="45">
        <v>0</v>
      </c>
      <c r="Z1274" s="45">
        <v>0</v>
      </c>
      <c r="AA1274" s="45">
        <v>0</v>
      </c>
      <c r="AB1274" s="45">
        <v>0</v>
      </c>
      <c r="AC1274" s="45">
        <v>0</v>
      </c>
      <c r="AD1274" s="45">
        <v>0</v>
      </c>
      <c r="AE1274" s="45">
        <v>0</v>
      </c>
      <c r="AF1274" s="45">
        <v>0</v>
      </c>
      <c r="AG1274" s="45">
        <v>0</v>
      </c>
      <c r="AH1274" s="45">
        <v>0</v>
      </c>
      <c r="AI1274" s="45">
        <v>0</v>
      </c>
      <c r="AJ1274" s="45">
        <v>0</v>
      </c>
      <c r="AK1274" s="45">
        <v>0</v>
      </c>
      <c r="AL1274" s="45">
        <v>0</v>
      </c>
      <c r="AM1274" s="57" t="str">
        <f>I1274-J1274-K1274-L1274-M1274-N1274-O1274-P1274-Q1274-R1274-S1274-T1274-U1274-V1274-W1274-X1274-Y1274-Z1274-AA1274-AB1274-AC1274-AD1274-AE1274-AF1274-AG1274+AH1274-AI1274+AJ1274+AK1274-AL1274</f>
        <v>0</v>
      </c>
      <c r="AN1274" s="45"/>
    </row>
    <row r="1275" spans="1:41">
      <c r="A1275" s="45">
        <v>1247</v>
      </c>
      <c r="B1275" s="45" t="s">
        <v>4953</v>
      </c>
      <c r="C1275" s="49" t="s">
        <v>4954</v>
      </c>
      <c r="D1275" s="53" t="s">
        <v>73</v>
      </c>
      <c r="E1275" s="45" t="s">
        <v>4833</v>
      </c>
      <c r="F1275" s="45" t="s">
        <v>4955</v>
      </c>
      <c r="G1275" s="45">
        <v>2</v>
      </c>
      <c r="H1275" s="53" t="s">
        <v>4956</v>
      </c>
      <c r="I1275" s="45">
        <v>310000</v>
      </c>
      <c r="J1275" s="45">
        <v>0</v>
      </c>
      <c r="K1275" s="45">
        <v>22000</v>
      </c>
      <c r="L1275" s="45">
        <v>0</v>
      </c>
      <c r="M1275" s="45">
        <v>0</v>
      </c>
      <c r="N1275" s="45">
        <v>0</v>
      </c>
      <c r="O1275" s="45">
        <v>0</v>
      </c>
      <c r="P1275" s="45">
        <v>0</v>
      </c>
      <c r="Q1275" s="45">
        <v>0</v>
      </c>
      <c r="R1275" s="45">
        <v>0</v>
      </c>
      <c r="S1275" s="45">
        <v>0</v>
      </c>
      <c r="T1275" s="45">
        <v>0</v>
      </c>
      <c r="U1275" s="45">
        <v>1397</v>
      </c>
      <c r="V1275" s="45">
        <v>0</v>
      </c>
      <c r="W1275" s="45">
        <v>0</v>
      </c>
      <c r="X1275" s="45">
        <v>0</v>
      </c>
      <c r="Y1275" s="45">
        <v>0</v>
      </c>
      <c r="Z1275" s="45">
        <v>0</v>
      </c>
      <c r="AA1275" s="45">
        <v>0</v>
      </c>
      <c r="AB1275" s="45">
        <v>0</v>
      </c>
      <c r="AC1275" s="45">
        <v>0</v>
      </c>
      <c r="AD1275" s="45">
        <v>0</v>
      </c>
      <c r="AE1275" s="45">
        <v>0</v>
      </c>
      <c r="AF1275" s="45">
        <v>0</v>
      </c>
      <c r="AG1275" s="45">
        <v>0</v>
      </c>
      <c r="AH1275" s="45">
        <v>0</v>
      </c>
      <c r="AI1275" s="45">
        <v>0</v>
      </c>
      <c r="AJ1275" s="45">
        <v>0</v>
      </c>
      <c r="AK1275" s="45">
        <v>0</v>
      </c>
      <c r="AL1275" s="45">
        <v>0</v>
      </c>
      <c r="AM1275" s="57" t="str">
        <f>I1275-J1275-K1275-L1275-M1275-N1275-O1275-P1275-Q1275-R1275-S1275-T1275-U1275-V1275-W1275-X1275-Y1275-Z1275-AA1275-AB1275-AC1275-AD1275-AE1275-AF1275-AG1275+AH1275-AI1275+AJ1275+AK1275-AL1275</f>
        <v>0</v>
      </c>
      <c r="AN1275" s="45"/>
    </row>
    <row r="1276" spans="1:41">
      <c r="A1276" s="45">
        <v>1248</v>
      </c>
      <c r="B1276" s="45" t="s">
        <v>4957</v>
      </c>
      <c r="C1276" s="49" t="s">
        <v>4958</v>
      </c>
      <c r="D1276" s="53" t="s">
        <v>62</v>
      </c>
      <c r="E1276" s="45" t="s">
        <v>4833</v>
      </c>
      <c r="F1276" s="45" t="s">
        <v>4187</v>
      </c>
      <c r="G1276" s="45">
        <v>11</v>
      </c>
      <c r="H1276" s="53" t="s">
        <v>4959</v>
      </c>
      <c r="I1276" s="45">
        <v>0</v>
      </c>
      <c r="J1276" s="45">
        <v>0</v>
      </c>
      <c r="K1276" s="45">
        <v>54000</v>
      </c>
      <c r="L1276" s="45">
        <v>0</v>
      </c>
      <c r="M1276" s="45">
        <v>0</v>
      </c>
      <c r="N1276" s="45">
        <v>0</v>
      </c>
      <c r="O1276" s="45">
        <v>0</v>
      </c>
      <c r="P1276" s="45">
        <v>0</v>
      </c>
      <c r="Q1276" s="45">
        <v>0</v>
      </c>
      <c r="R1276" s="45">
        <v>0</v>
      </c>
      <c r="S1276" s="45">
        <v>0</v>
      </c>
      <c r="T1276" s="45">
        <v>0</v>
      </c>
      <c r="U1276" s="45">
        <v>3429</v>
      </c>
      <c r="V1276" s="45">
        <v>0</v>
      </c>
      <c r="W1276" s="45">
        <v>0</v>
      </c>
      <c r="X1276" s="45">
        <v>0</v>
      </c>
      <c r="Y1276" s="45">
        <v>27000</v>
      </c>
      <c r="Z1276" s="45">
        <v>0</v>
      </c>
      <c r="AA1276" s="45">
        <v>0</v>
      </c>
      <c r="AB1276" s="45">
        <v>0</v>
      </c>
      <c r="AC1276" s="45">
        <v>0</v>
      </c>
      <c r="AD1276" s="45">
        <v>0</v>
      </c>
      <c r="AE1276" s="45">
        <v>0</v>
      </c>
      <c r="AF1276" s="45">
        <v>0</v>
      </c>
      <c r="AG1276" s="45">
        <v>0</v>
      </c>
      <c r="AH1276" s="45">
        <v>0</v>
      </c>
      <c r="AI1276" s="45">
        <v>0</v>
      </c>
      <c r="AJ1276" s="45">
        <v>0</v>
      </c>
      <c r="AK1276" s="45">
        <v>0</v>
      </c>
      <c r="AL1276" s="45">
        <v>0</v>
      </c>
      <c r="AM1276" s="57" t="str">
        <f>I1276-J1276-K1276-L1276-M1276-N1276-O1276-P1276-Q1276-R1276-S1276-T1276-U1276-V1276-W1276-X1276-Y1276-Z1276-AA1276-AB1276-AC1276-AD1276-AE1276-AF1276-AG1276+AH1276-AI1276+AJ1276+AK1276-AL1276</f>
        <v>0</v>
      </c>
      <c r="AN1276" s="45"/>
    </row>
    <row r="1277" spans="1:41">
      <c r="A1277" s="45">
        <v>1249</v>
      </c>
      <c r="B1277" s="45" t="s">
        <v>4960</v>
      </c>
      <c r="C1277" s="49" t="s">
        <v>4961</v>
      </c>
      <c r="D1277" s="53" t="s">
        <v>73</v>
      </c>
      <c r="E1277" s="45" t="s">
        <v>4833</v>
      </c>
      <c r="F1277" s="45" t="s">
        <v>4962</v>
      </c>
      <c r="G1277" s="45">
        <v>3</v>
      </c>
      <c r="H1277" s="53" t="s">
        <v>4963</v>
      </c>
      <c r="I1277" s="45">
        <v>560000</v>
      </c>
      <c r="J1277" s="45">
        <v>0</v>
      </c>
      <c r="K1277" s="45">
        <v>22000</v>
      </c>
      <c r="L1277" s="45">
        <v>0</v>
      </c>
      <c r="M1277" s="45">
        <v>0</v>
      </c>
      <c r="N1277" s="45">
        <v>0</v>
      </c>
      <c r="O1277" s="45">
        <v>0</v>
      </c>
      <c r="P1277" s="45">
        <v>0</v>
      </c>
      <c r="Q1277" s="45">
        <v>0</v>
      </c>
      <c r="R1277" s="45">
        <v>0</v>
      </c>
      <c r="S1277" s="45">
        <v>0</v>
      </c>
      <c r="T1277" s="45">
        <v>0</v>
      </c>
      <c r="U1277" s="45">
        <v>1397</v>
      </c>
      <c r="V1277" s="45">
        <v>0</v>
      </c>
      <c r="W1277" s="45">
        <v>0</v>
      </c>
      <c r="X1277" s="45">
        <v>0</v>
      </c>
      <c r="Y1277" s="45">
        <v>0</v>
      </c>
      <c r="Z1277" s="45">
        <v>0</v>
      </c>
      <c r="AA1277" s="45">
        <v>0</v>
      </c>
      <c r="AB1277" s="45">
        <v>0</v>
      </c>
      <c r="AC1277" s="45">
        <v>0</v>
      </c>
      <c r="AD1277" s="45">
        <v>0</v>
      </c>
      <c r="AE1277" s="45">
        <v>0</v>
      </c>
      <c r="AF1277" s="45">
        <v>0</v>
      </c>
      <c r="AG1277" s="45">
        <v>0</v>
      </c>
      <c r="AH1277" s="45">
        <v>0</v>
      </c>
      <c r="AI1277" s="45">
        <v>0</v>
      </c>
      <c r="AJ1277" s="45">
        <v>0</v>
      </c>
      <c r="AK1277" s="45">
        <v>0</v>
      </c>
      <c r="AL1277" s="45">
        <v>0</v>
      </c>
      <c r="AM1277" s="57" t="str">
        <f>I1277-J1277-K1277-L1277-M1277-N1277-O1277-P1277-Q1277-R1277-S1277-T1277-U1277-V1277-W1277-X1277-Y1277-Z1277-AA1277-AB1277-AC1277-AD1277-AE1277-AF1277-AG1277+AH1277-AI1277+AJ1277+AK1277-AL1277</f>
        <v>0</v>
      </c>
      <c r="AN1277" s="45"/>
    </row>
    <row r="1278" spans="1:41">
      <c r="A1278" s="45">
        <v>1250</v>
      </c>
      <c r="B1278" s="45" t="s">
        <v>4964</v>
      </c>
      <c r="C1278" s="49" t="s">
        <v>4965</v>
      </c>
      <c r="D1278" s="53" t="s">
        <v>73</v>
      </c>
      <c r="E1278" s="45" t="s">
        <v>4833</v>
      </c>
      <c r="F1278" s="45" t="s">
        <v>4966</v>
      </c>
      <c r="G1278" s="45">
        <v>14</v>
      </c>
      <c r="H1278" s="53" t="s">
        <v>4967</v>
      </c>
      <c r="I1278" s="45">
        <v>2164000</v>
      </c>
      <c r="J1278" s="45">
        <v>0</v>
      </c>
      <c r="K1278" s="45">
        <v>69000</v>
      </c>
      <c r="L1278" s="45">
        <v>0</v>
      </c>
      <c r="M1278" s="45">
        <v>0</v>
      </c>
      <c r="N1278" s="45">
        <v>0</v>
      </c>
      <c r="O1278" s="45">
        <v>0</v>
      </c>
      <c r="P1278" s="45">
        <v>0</v>
      </c>
      <c r="Q1278" s="45">
        <v>0</v>
      </c>
      <c r="R1278" s="45">
        <v>0</v>
      </c>
      <c r="S1278" s="45">
        <v>0</v>
      </c>
      <c r="T1278" s="45">
        <v>0</v>
      </c>
      <c r="U1278" s="45">
        <v>4381</v>
      </c>
      <c r="V1278" s="45">
        <v>0</v>
      </c>
      <c r="W1278" s="45">
        <v>0</v>
      </c>
      <c r="X1278" s="45">
        <v>0</v>
      </c>
      <c r="Y1278" s="45">
        <v>0</v>
      </c>
      <c r="Z1278" s="45">
        <v>0</v>
      </c>
      <c r="AA1278" s="45">
        <v>0</v>
      </c>
      <c r="AB1278" s="45">
        <v>0</v>
      </c>
      <c r="AC1278" s="45">
        <v>0</v>
      </c>
      <c r="AD1278" s="45">
        <v>0</v>
      </c>
      <c r="AE1278" s="45">
        <v>0</v>
      </c>
      <c r="AF1278" s="45">
        <v>0</v>
      </c>
      <c r="AG1278" s="45">
        <v>0</v>
      </c>
      <c r="AH1278" s="45">
        <v>0</v>
      </c>
      <c r="AI1278" s="45">
        <v>0</v>
      </c>
      <c r="AJ1278" s="45">
        <v>0</v>
      </c>
      <c r="AK1278" s="45">
        <v>0</v>
      </c>
      <c r="AL1278" s="45">
        <v>0</v>
      </c>
      <c r="AM1278" s="57" t="str">
        <f>I1278-J1278-K1278-L1278-M1278-N1278-O1278-P1278-Q1278-R1278-S1278-T1278-U1278-V1278-W1278-X1278-Y1278-Z1278-AA1278-AB1278-AC1278-AD1278-AE1278-AF1278-AG1278+AH1278-AI1278+AJ1278+AK1278-AL1278</f>
        <v>0</v>
      </c>
      <c r="AN1278" s="45"/>
    </row>
    <row r="1279" spans="1:41">
      <c r="A1279" s="45">
        <v>1251</v>
      </c>
      <c r="B1279" s="45" t="s">
        <v>4968</v>
      </c>
      <c r="C1279" s="49" t="s">
        <v>4969</v>
      </c>
      <c r="D1279" s="53" t="s">
        <v>73</v>
      </c>
      <c r="E1279" s="45" t="s">
        <v>4833</v>
      </c>
      <c r="F1279" s="45" t="s">
        <v>4970</v>
      </c>
      <c r="G1279" s="45">
        <v>2</v>
      </c>
      <c r="H1279" s="53" t="s">
        <v>4971</v>
      </c>
      <c r="I1279" s="45">
        <v>314000</v>
      </c>
      <c r="J1279" s="45">
        <v>0</v>
      </c>
      <c r="K1279" s="45">
        <v>22000</v>
      </c>
      <c r="L1279" s="45">
        <v>0</v>
      </c>
      <c r="M1279" s="45">
        <v>0</v>
      </c>
      <c r="N1279" s="45">
        <v>0</v>
      </c>
      <c r="O1279" s="45">
        <v>0</v>
      </c>
      <c r="P1279" s="45">
        <v>0</v>
      </c>
      <c r="Q1279" s="45">
        <v>0</v>
      </c>
      <c r="R1279" s="45">
        <v>0</v>
      </c>
      <c r="S1279" s="45">
        <v>0</v>
      </c>
      <c r="T1279" s="45">
        <v>0</v>
      </c>
      <c r="U1279" s="45">
        <v>1397</v>
      </c>
      <c r="V1279" s="45">
        <v>0</v>
      </c>
      <c r="W1279" s="45">
        <v>0</v>
      </c>
      <c r="X1279" s="45">
        <v>0</v>
      </c>
      <c r="Y1279" s="45">
        <v>0</v>
      </c>
      <c r="Z1279" s="45">
        <v>0</v>
      </c>
      <c r="AA1279" s="45">
        <v>0</v>
      </c>
      <c r="AB1279" s="45">
        <v>0</v>
      </c>
      <c r="AC1279" s="45">
        <v>0</v>
      </c>
      <c r="AD1279" s="45">
        <v>0</v>
      </c>
      <c r="AE1279" s="45">
        <v>0</v>
      </c>
      <c r="AF1279" s="45">
        <v>0</v>
      </c>
      <c r="AG1279" s="45">
        <v>0</v>
      </c>
      <c r="AH1279" s="45">
        <v>0</v>
      </c>
      <c r="AI1279" s="45">
        <v>0</v>
      </c>
      <c r="AJ1279" s="45">
        <v>0</v>
      </c>
      <c r="AK1279" s="45">
        <v>0</v>
      </c>
      <c r="AL1279" s="45">
        <v>0</v>
      </c>
      <c r="AM1279" s="57" t="str">
        <f>I1279-J1279-K1279-L1279-M1279-N1279-O1279-P1279-Q1279-R1279-S1279-T1279-U1279-V1279-W1279-X1279-Y1279-Z1279-AA1279-AB1279-AC1279-AD1279-AE1279-AF1279-AG1279+AH1279-AI1279+AJ1279+AK1279-AL1279</f>
        <v>0</v>
      </c>
      <c r="AN1279" s="45"/>
    </row>
    <row r="1280" spans="1:41">
      <c r="A1280" s="45">
        <v>1252</v>
      </c>
      <c r="B1280" s="45" t="s">
        <v>4972</v>
      </c>
      <c r="C1280" s="49" t="s">
        <v>4973</v>
      </c>
      <c r="D1280" s="53" t="s">
        <v>62</v>
      </c>
      <c r="E1280" s="45" t="s">
        <v>4833</v>
      </c>
      <c r="F1280" s="45" t="s">
        <v>4974</v>
      </c>
      <c r="G1280" s="45">
        <v>5.8</v>
      </c>
      <c r="H1280" s="53" t="s">
        <v>4975</v>
      </c>
      <c r="I1280" s="45">
        <v>0</v>
      </c>
      <c r="J1280" s="45">
        <v>0</v>
      </c>
      <c r="K1280" s="45">
        <v>31000</v>
      </c>
      <c r="L1280" s="45">
        <v>0</v>
      </c>
      <c r="M1280" s="45">
        <v>0</v>
      </c>
      <c r="N1280" s="45">
        <v>0</v>
      </c>
      <c r="O1280" s="45">
        <v>0</v>
      </c>
      <c r="P1280" s="45">
        <v>0</v>
      </c>
      <c r="Q1280" s="45">
        <v>0</v>
      </c>
      <c r="R1280" s="45">
        <v>0</v>
      </c>
      <c r="S1280" s="45">
        <v>0</v>
      </c>
      <c r="T1280" s="45">
        <v>0</v>
      </c>
      <c r="U1280" s="45">
        <v>1968</v>
      </c>
      <c r="V1280" s="45">
        <v>0</v>
      </c>
      <c r="W1280" s="45">
        <v>0</v>
      </c>
      <c r="X1280" s="45">
        <v>0</v>
      </c>
      <c r="Y1280" s="45">
        <v>15500</v>
      </c>
      <c r="Z1280" s="45">
        <v>0</v>
      </c>
      <c r="AA1280" s="45">
        <v>0</v>
      </c>
      <c r="AB1280" s="45">
        <v>0</v>
      </c>
      <c r="AC1280" s="45">
        <v>0</v>
      </c>
      <c r="AD1280" s="45">
        <v>0</v>
      </c>
      <c r="AE1280" s="45">
        <v>0</v>
      </c>
      <c r="AF1280" s="45">
        <v>0</v>
      </c>
      <c r="AG1280" s="45">
        <v>0</v>
      </c>
      <c r="AH1280" s="45">
        <v>0</v>
      </c>
      <c r="AI1280" s="45">
        <v>0</v>
      </c>
      <c r="AJ1280" s="45">
        <v>0</v>
      </c>
      <c r="AK1280" s="45">
        <v>0</v>
      </c>
      <c r="AL1280" s="45">
        <v>0</v>
      </c>
      <c r="AM1280" s="57" t="str">
        <f>I1280-J1280-K1280-L1280-M1280-N1280-O1280-P1280-Q1280-R1280-S1280-T1280-U1280-V1280-W1280-X1280-Y1280-Z1280-AA1280-AB1280-AC1280-AD1280-AE1280-AF1280-AG1280+AH1280-AI1280+AJ1280+AK1280-AL1280</f>
        <v>0</v>
      </c>
      <c r="AN1280" s="45"/>
    </row>
    <row r="1281" spans="1:41">
      <c r="A1281" s="45">
        <v>1253</v>
      </c>
      <c r="B1281" s="45" t="s">
        <v>4976</v>
      </c>
      <c r="C1281" s="49" t="s">
        <v>4977</v>
      </c>
      <c r="D1281" s="53" t="s">
        <v>73</v>
      </c>
      <c r="E1281" s="45" t="s">
        <v>4833</v>
      </c>
      <c r="F1281" s="45" t="s">
        <v>4978</v>
      </c>
      <c r="G1281" s="45">
        <v>4</v>
      </c>
      <c r="H1281" s="53" t="s">
        <v>4979</v>
      </c>
      <c r="I1281" s="45">
        <v>510000</v>
      </c>
      <c r="J1281" s="45">
        <v>0</v>
      </c>
      <c r="K1281" s="45">
        <v>25000</v>
      </c>
      <c r="L1281" s="45">
        <v>0</v>
      </c>
      <c r="M1281" s="45">
        <v>0</v>
      </c>
      <c r="N1281" s="45">
        <v>0</v>
      </c>
      <c r="O1281" s="45">
        <v>0</v>
      </c>
      <c r="P1281" s="45">
        <v>0</v>
      </c>
      <c r="Q1281" s="45">
        <v>0</v>
      </c>
      <c r="R1281" s="45">
        <v>0</v>
      </c>
      <c r="S1281" s="45">
        <v>0</v>
      </c>
      <c r="T1281" s="45">
        <v>0</v>
      </c>
      <c r="U1281" s="45">
        <v>1587</v>
      </c>
      <c r="V1281" s="45">
        <v>0</v>
      </c>
      <c r="W1281" s="45">
        <v>0</v>
      </c>
      <c r="X1281" s="45">
        <v>0</v>
      </c>
      <c r="Y1281" s="45">
        <v>0</v>
      </c>
      <c r="Z1281" s="45">
        <v>0</v>
      </c>
      <c r="AA1281" s="45">
        <v>0</v>
      </c>
      <c r="AB1281" s="45">
        <v>0</v>
      </c>
      <c r="AC1281" s="45">
        <v>0</v>
      </c>
      <c r="AD1281" s="45">
        <v>0</v>
      </c>
      <c r="AE1281" s="45">
        <v>0</v>
      </c>
      <c r="AF1281" s="45">
        <v>0</v>
      </c>
      <c r="AG1281" s="45">
        <v>0</v>
      </c>
      <c r="AH1281" s="45">
        <v>0</v>
      </c>
      <c r="AI1281" s="45">
        <v>0</v>
      </c>
      <c r="AJ1281" s="45">
        <v>0</v>
      </c>
      <c r="AK1281" s="45">
        <v>0</v>
      </c>
      <c r="AL1281" s="45">
        <v>0</v>
      </c>
      <c r="AM1281" s="57" t="str">
        <f>I1281-J1281-K1281-L1281-M1281-N1281-O1281-P1281-Q1281-R1281-S1281-T1281-U1281-V1281-W1281-X1281-Y1281-Z1281-AA1281-AB1281-AC1281-AD1281-AE1281-AF1281-AG1281+AH1281-AI1281+AJ1281+AK1281-AL1281</f>
        <v>0</v>
      </c>
      <c r="AN1281" s="45"/>
    </row>
    <row r="1282" spans="1:41">
      <c r="A1282" s="45">
        <v>1254</v>
      </c>
      <c r="B1282" s="45" t="s">
        <v>4980</v>
      </c>
      <c r="C1282" s="49" t="s">
        <v>4981</v>
      </c>
      <c r="D1282" s="53" t="s">
        <v>73</v>
      </c>
      <c r="E1282" s="45" t="s">
        <v>4982</v>
      </c>
      <c r="F1282" s="45" t="s">
        <v>4983</v>
      </c>
      <c r="G1282" s="45">
        <v>3</v>
      </c>
      <c r="H1282" s="53" t="s">
        <v>4984</v>
      </c>
      <c r="I1282" s="45">
        <v>334000</v>
      </c>
      <c r="J1282" s="45">
        <v>0</v>
      </c>
      <c r="K1282" s="45">
        <v>22000</v>
      </c>
      <c r="L1282" s="45">
        <v>0</v>
      </c>
      <c r="M1282" s="45">
        <v>0</v>
      </c>
      <c r="N1282" s="45">
        <v>0</v>
      </c>
      <c r="O1282" s="45">
        <v>0</v>
      </c>
      <c r="P1282" s="45">
        <v>0</v>
      </c>
      <c r="Q1282" s="45">
        <v>0</v>
      </c>
      <c r="R1282" s="45">
        <v>0</v>
      </c>
      <c r="S1282" s="45">
        <v>0</v>
      </c>
      <c r="T1282" s="45">
        <v>0</v>
      </c>
      <c r="U1282" s="45">
        <v>1397</v>
      </c>
      <c r="V1282" s="45">
        <v>0</v>
      </c>
      <c r="W1282" s="45">
        <v>0</v>
      </c>
      <c r="X1282" s="45">
        <v>0</v>
      </c>
      <c r="Y1282" s="45">
        <v>0</v>
      </c>
      <c r="Z1282" s="45">
        <v>0</v>
      </c>
      <c r="AA1282" s="45">
        <v>0</v>
      </c>
      <c r="AB1282" s="45">
        <v>0</v>
      </c>
      <c r="AC1282" s="45">
        <v>0</v>
      </c>
      <c r="AD1282" s="45">
        <v>0</v>
      </c>
      <c r="AE1282" s="45">
        <v>0</v>
      </c>
      <c r="AF1282" s="45">
        <v>0</v>
      </c>
      <c r="AG1282" s="45">
        <v>0</v>
      </c>
      <c r="AH1282" s="45">
        <v>0</v>
      </c>
      <c r="AI1282" s="45">
        <v>0</v>
      </c>
      <c r="AJ1282" s="45">
        <v>0</v>
      </c>
      <c r="AK1282" s="45">
        <v>0</v>
      </c>
      <c r="AL1282" s="45">
        <v>0</v>
      </c>
      <c r="AM1282" s="57" t="str">
        <f>I1282-J1282-K1282-L1282-M1282-N1282-O1282-P1282-Q1282-R1282-S1282-T1282-U1282-V1282-W1282-X1282-Y1282-Z1282-AA1282-AB1282-AC1282-AD1282-AE1282-AF1282-AG1282+AH1282-AI1282+AJ1282+AK1282-AL1282</f>
        <v>0</v>
      </c>
      <c r="AN1282" s="45"/>
    </row>
    <row r="1283" spans="1:41">
      <c r="A1283" s="45">
        <v>1255</v>
      </c>
      <c r="B1283" s="45" t="s">
        <v>4985</v>
      </c>
      <c r="C1283" s="49" t="s">
        <v>4986</v>
      </c>
      <c r="D1283" s="53" t="s">
        <v>73</v>
      </c>
      <c r="E1283" s="45" t="s">
        <v>4982</v>
      </c>
      <c r="F1283" s="45" t="s">
        <v>4987</v>
      </c>
      <c r="G1283" s="45">
        <v>9</v>
      </c>
      <c r="H1283" s="53" t="s">
        <v>4988</v>
      </c>
      <c r="I1283" s="45">
        <v>1239000</v>
      </c>
      <c r="J1283" s="45">
        <v>0</v>
      </c>
      <c r="K1283" s="45">
        <v>44000</v>
      </c>
      <c r="L1283" s="45">
        <v>0</v>
      </c>
      <c r="M1283" s="45">
        <v>0</v>
      </c>
      <c r="N1283" s="45">
        <v>0</v>
      </c>
      <c r="O1283" s="45">
        <v>0</v>
      </c>
      <c r="P1283" s="45">
        <v>0</v>
      </c>
      <c r="Q1283" s="45">
        <v>0</v>
      </c>
      <c r="R1283" s="45">
        <v>0</v>
      </c>
      <c r="S1283" s="45">
        <v>0</v>
      </c>
      <c r="T1283" s="45">
        <v>0</v>
      </c>
      <c r="U1283" s="45">
        <v>2794</v>
      </c>
      <c r="V1283" s="45">
        <v>0</v>
      </c>
      <c r="W1283" s="45">
        <v>0</v>
      </c>
      <c r="X1283" s="45">
        <v>0</v>
      </c>
      <c r="Y1283" s="45">
        <v>0</v>
      </c>
      <c r="Z1283" s="45">
        <v>0</v>
      </c>
      <c r="AA1283" s="45">
        <v>0</v>
      </c>
      <c r="AB1283" s="45">
        <v>0</v>
      </c>
      <c r="AC1283" s="45">
        <v>0</v>
      </c>
      <c r="AD1283" s="45">
        <v>0</v>
      </c>
      <c r="AE1283" s="45">
        <v>0</v>
      </c>
      <c r="AF1283" s="45">
        <v>0</v>
      </c>
      <c r="AG1283" s="45">
        <v>0</v>
      </c>
      <c r="AH1283" s="45">
        <v>0</v>
      </c>
      <c r="AI1283" s="45">
        <v>0</v>
      </c>
      <c r="AJ1283" s="45">
        <v>0</v>
      </c>
      <c r="AK1283" s="45">
        <v>0</v>
      </c>
      <c r="AL1283" s="45">
        <v>0</v>
      </c>
      <c r="AM1283" s="57" t="str">
        <f>I1283-J1283-K1283-L1283-M1283-N1283-O1283-P1283-Q1283-R1283-S1283-T1283-U1283-V1283-W1283-X1283-Y1283-Z1283-AA1283-AB1283-AC1283-AD1283-AE1283-AF1283-AG1283+AH1283-AI1283+AJ1283+AK1283-AL1283</f>
        <v>0</v>
      </c>
      <c r="AN1283" s="45"/>
    </row>
    <row r="1284" spans="1:41">
      <c r="A1284" s="45">
        <v>1256</v>
      </c>
      <c r="B1284" s="45" t="s">
        <v>4989</v>
      </c>
      <c r="C1284" s="49" t="s">
        <v>4990</v>
      </c>
      <c r="D1284" s="53" t="s">
        <v>73</v>
      </c>
      <c r="E1284" s="45" t="s">
        <v>4982</v>
      </c>
      <c r="F1284" s="45" t="s">
        <v>4231</v>
      </c>
      <c r="G1284" s="45">
        <v>3</v>
      </c>
      <c r="H1284" s="53" t="s">
        <v>4991</v>
      </c>
      <c r="I1284" s="45">
        <v>884000</v>
      </c>
      <c r="J1284" s="45">
        <v>0</v>
      </c>
      <c r="K1284" s="45">
        <v>22000</v>
      </c>
      <c r="L1284" s="45">
        <v>0</v>
      </c>
      <c r="M1284" s="45">
        <v>0</v>
      </c>
      <c r="N1284" s="45">
        <v>0</v>
      </c>
      <c r="O1284" s="45">
        <v>0</v>
      </c>
      <c r="P1284" s="45">
        <v>0</v>
      </c>
      <c r="Q1284" s="45">
        <v>0</v>
      </c>
      <c r="R1284" s="45">
        <v>0</v>
      </c>
      <c r="S1284" s="45">
        <v>0</v>
      </c>
      <c r="T1284" s="45">
        <v>0</v>
      </c>
      <c r="U1284" s="45">
        <v>1397</v>
      </c>
      <c r="V1284" s="45">
        <v>0</v>
      </c>
      <c r="W1284" s="45">
        <v>0</v>
      </c>
      <c r="X1284" s="45">
        <v>0</v>
      </c>
      <c r="Y1284" s="45">
        <v>0</v>
      </c>
      <c r="Z1284" s="45">
        <v>0</v>
      </c>
      <c r="AA1284" s="45">
        <v>0</v>
      </c>
      <c r="AB1284" s="45">
        <v>0</v>
      </c>
      <c r="AC1284" s="45">
        <v>0</v>
      </c>
      <c r="AD1284" s="45">
        <v>0</v>
      </c>
      <c r="AE1284" s="45">
        <v>0</v>
      </c>
      <c r="AF1284" s="45">
        <v>0</v>
      </c>
      <c r="AG1284" s="45">
        <v>0</v>
      </c>
      <c r="AH1284" s="45">
        <v>0</v>
      </c>
      <c r="AI1284" s="45">
        <v>0</v>
      </c>
      <c r="AJ1284" s="45">
        <v>0</v>
      </c>
      <c r="AK1284" s="45">
        <v>0</v>
      </c>
      <c r="AL1284" s="45">
        <v>0</v>
      </c>
      <c r="AM1284" s="57" t="str">
        <f>I1284-J1284-K1284-L1284-M1284-N1284-O1284-P1284-Q1284-R1284-S1284-T1284-U1284-V1284-W1284-X1284-Y1284-Z1284-AA1284-AB1284-AC1284-AD1284-AE1284-AF1284-AG1284+AH1284-AI1284+AJ1284+AK1284-AL1284</f>
        <v>0</v>
      </c>
      <c r="AN1284" s="45"/>
    </row>
    <row r="1285" spans="1:41">
      <c r="A1285" s="45">
        <v>1257</v>
      </c>
      <c r="B1285" s="45" t="s">
        <v>4992</v>
      </c>
      <c r="C1285" s="49" t="s">
        <v>4993</v>
      </c>
      <c r="D1285" s="53" t="s">
        <v>73</v>
      </c>
      <c r="E1285" s="45" t="s">
        <v>4982</v>
      </c>
      <c r="F1285" s="45" t="s">
        <v>4994</v>
      </c>
      <c r="G1285" s="45">
        <v>2</v>
      </c>
      <c r="H1285" s="53" t="s">
        <v>4995</v>
      </c>
      <c r="I1285" s="45">
        <v>500000</v>
      </c>
      <c r="J1285" s="45">
        <v>0</v>
      </c>
      <c r="K1285" s="45">
        <v>22000</v>
      </c>
      <c r="L1285" s="45">
        <v>0</v>
      </c>
      <c r="M1285" s="45">
        <v>0</v>
      </c>
      <c r="N1285" s="45">
        <v>0</v>
      </c>
      <c r="O1285" s="45">
        <v>0</v>
      </c>
      <c r="P1285" s="45">
        <v>0</v>
      </c>
      <c r="Q1285" s="45">
        <v>0</v>
      </c>
      <c r="R1285" s="45">
        <v>0</v>
      </c>
      <c r="S1285" s="45">
        <v>0</v>
      </c>
      <c r="T1285" s="45">
        <v>0</v>
      </c>
      <c r="U1285" s="45">
        <v>1397</v>
      </c>
      <c r="V1285" s="45">
        <v>0</v>
      </c>
      <c r="W1285" s="45">
        <v>0</v>
      </c>
      <c r="X1285" s="45">
        <v>0</v>
      </c>
      <c r="Y1285" s="45">
        <v>0</v>
      </c>
      <c r="Z1285" s="45">
        <v>0</v>
      </c>
      <c r="AA1285" s="45">
        <v>0</v>
      </c>
      <c r="AB1285" s="45">
        <v>0</v>
      </c>
      <c r="AC1285" s="45">
        <v>0</v>
      </c>
      <c r="AD1285" s="45">
        <v>0</v>
      </c>
      <c r="AE1285" s="45">
        <v>0</v>
      </c>
      <c r="AF1285" s="45">
        <v>0</v>
      </c>
      <c r="AG1285" s="45">
        <v>0</v>
      </c>
      <c r="AH1285" s="45">
        <v>0</v>
      </c>
      <c r="AI1285" s="45">
        <v>0</v>
      </c>
      <c r="AJ1285" s="45">
        <v>0</v>
      </c>
      <c r="AK1285" s="45">
        <v>0</v>
      </c>
      <c r="AL1285" s="45">
        <v>0</v>
      </c>
      <c r="AM1285" s="57" t="str">
        <f>I1285-J1285-K1285-L1285-M1285-N1285-O1285-P1285-Q1285-R1285-S1285-T1285-U1285-V1285-W1285-X1285-Y1285-Z1285-AA1285-AB1285-AC1285-AD1285-AE1285-AF1285-AG1285+AH1285-AI1285+AJ1285+AK1285-AL1285</f>
        <v>0</v>
      </c>
      <c r="AN1285" s="45"/>
    </row>
    <row r="1286" spans="1:41">
      <c r="A1286" s="45">
        <v>1258</v>
      </c>
      <c r="B1286" s="45" t="s">
        <v>4996</v>
      </c>
      <c r="C1286" s="49" t="s">
        <v>4997</v>
      </c>
      <c r="D1286" s="53" t="s">
        <v>73</v>
      </c>
      <c r="E1286" s="45" t="s">
        <v>4982</v>
      </c>
      <c r="F1286" s="45" t="s">
        <v>4998</v>
      </c>
      <c r="G1286" s="45">
        <v>2</v>
      </c>
      <c r="H1286" s="53" t="s">
        <v>4999</v>
      </c>
      <c r="I1286" s="45">
        <v>424000</v>
      </c>
      <c r="J1286" s="45">
        <v>0</v>
      </c>
      <c r="K1286" s="45">
        <v>22000</v>
      </c>
      <c r="L1286" s="45">
        <v>0</v>
      </c>
      <c r="M1286" s="45">
        <v>0</v>
      </c>
      <c r="N1286" s="45">
        <v>0</v>
      </c>
      <c r="O1286" s="45">
        <v>0</v>
      </c>
      <c r="P1286" s="45">
        <v>0</v>
      </c>
      <c r="Q1286" s="45">
        <v>0</v>
      </c>
      <c r="R1286" s="45">
        <v>0</v>
      </c>
      <c r="S1286" s="45">
        <v>0</v>
      </c>
      <c r="T1286" s="45">
        <v>0</v>
      </c>
      <c r="U1286" s="45">
        <v>1397</v>
      </c>
      <c r="V1286" s="45">
        <v>0</v>
      </c>
      <c r="W1286" s="45">
        <v>0</v>
      </c>
      <c r="X1286" s="45">
        <v>0</v>
      </c>
      <c r="Y1286" s="45">
        <v>0</v>
      </c>
      <c r="Z1286" s="45">
        <v>0</v>
      </c>
      <c r="AA1286" s="45">
        <v>0</v>
      </c>
      <c r="AB1286" s="45">
        <v>0</v>
      </c>
      <c r="AC1286" s="45">
        <v>0</v>
      </c>
      <c r="AD1286" s="45">
        <v>0</v>
      </c>
      <c r="AE1286" s="45">
        <v>0</v>
      </c>
      <c r="AF1286" s="45">
        <v>0</v>
      </c>
      <c r="AG1286" s="45">
        <v>0</v>
      </c>
      <c r="AH1286" s="45">
        <v>0</v>
      </c>
      <c r="AI1286" s="45">
        <v>0</v>
      </c>
      <c r="AJ1286" s="45">
        <v>0</v>
      </c>
      <c r="AK1286" s="45">
        <v>0</v>
      </c>
      <c r="AL1286" s="45">
        <v>0</v>
      </c>
      <c r="AM1286" s="57" t="str">
        <f>I1286-J1286-K1286-L1286-M1286-N1286-O1286-P1286-Q1286-R1286-S1286-T1286-U1286-V1286-W1286-X1286-Y1286-Z1286-AA1286-AB1286-AC1286-AD1286-AE1286-AF1286-AG1286+AH1286-AI1286+AJ1286+AK1286-AL1286</f>
        <v>0</v>
      </c>
      <c r="AN1286" s="45"/>
    </row>
    <row r="1287" spans="1:41">
      <c r="A1287" s="45">
        <v>1259</v>
      </c>
      <c r="B1287" s="45" t="s">
        <v>5000</v>
      </c>
      <c r="C1287" s="49" t="s">
        <v>5001</v>
      </c>
      <c r="D1287" s="53" t="s">
        <v>73</v>
      </c>
      <c r="E1287" s="45" t="s">
        <v>4982</v>
      </c>
      <c r="F1287" s="45" t="s">
        <v>4873</v>
      </c>
      <c r="G1287" s="45">
        <v>2.7</v>
      </c>
      <c r="H1287" s="53" t="s">
        <v>5002</v>
      </c>
      <c r="I1287" s="45">
        <v>280000</v>
      </c>
      <c r="J1287" s="45">
        <v>0</v>
      </c>
      <c r="K1287" s="45">
        <v>22000</v>
      </c>
      <c r="L1287" s="45">
        <v>0</v>
      </c>
      <c r="M1287" s="45">
        <v>0</v>
      </c>
      <c r="N1287" s="45">
        <v>0</v>
      </c>
      <c r="O1287" s="45">
        <v>0</v>
      </c>
      <c r="P1287" s="45">
        <v>0</v>
      </c>
      <c r="Q1287" s="45">
        <v>0</v>
      </c>
      <c r="R1287" s="45">
        <v>0</v>
      </c>
      <c r="S1287" s="45">
        <v>0</v>
      </c>
      <c r="T1287" s="45">
        <v>0</v>
      </c>
      <c r="U1287" s="45">
        <v>1397</v>
      </c>
      <c r="V1287" s="45">
        <v>0</v>
      </c>
      <c r="W1287" s="45">
        <v>0</v>
      </c>
      <c r="X1287" s="45">
        <v>0</v>
      </c>
      <c r="Y1287" s="45">
        <v>0</v>
      </c>
      <c r="Z1287" s="45">
        <v>0</v>
      </c>
      <c r="AA1287" s="45">
        <v>0</v>
      </c>
      <c r="AB1287" s="45">
        <v>0</v>
      </c>
      <c r="AC1287" s="45">
        <v>0</v>
      </c>
      <c r="AD1287" s="45">
        <v>0</v>
      </c>
      <c r="AE1287" s="45">
        <v>0</v>
      </c>
      <c r="AF1287" s="45">
        <v>0</v>
      </c>
      <c r="AG1287" s="45">
        <v>0</v>
      </c>
      <c r="AH1287" s="45">
        <v>0</v>
      </c>
      <c r="AI1287" s="45">
        <v>0</v>
      </c>
      <c r="AJ1287" s="45">
        <v>0</v>
      </c>
      <c r="AK1287" s="45">
        <v>0</v>
      </c>
      <c r="AL1287" s="45">
        <v>0</v>
      </c>
      <c r="AM1287" s="57" t="str">
        <f>I1287-J1287-K1287-L1287-M1287-N1287-O1287-P1287-Q1287-R1287-S1287-T1287-U1287-V1287-W1287-X1287-Y1287-Z1287-AA1287-AB1287-AC1287-AD1287-AE1287-AF1287-AG1287+AH1287-AI1287+AJ1287+AK1287-AL1287</f>
        <v>0</v>
      </c>
      <c r="AN1287" s="45"/>
    </row>
    <row r="1288" spans="1:41">
      <c r="A1288" s="45">
        <v>1260</v>
      </c>
      <c r="B1288" s="45" t="s">
        <v>5003</v>
      </c>
      <c r="C1288" s="49" t="s">
        <v>5004</v>
      </c>
      <c r="D1288" s="53" t="s">
        <v>73</v>
      </c>
      <c r="E1288" s="45" t="s">
        <v>4982</v>
      </c>
      <c r="F1288" s="45" t="s">
        <v>4558</v>
      </c>
      <c r="G1288" s="45">
        <v>2</v>
      </c>
      <c r="H1288" s="53" t="s">
        <v>5005</v>
      </c>
      <c r="I1288" s="45">
        <v>265000</v>
      </c>
      <c r="J1288" s="45">
        <v>0</v>
      </c>
      <c r="K1288" s="45">
        <v>22000</v>
      </c>
      <c r="L1288" s="45">
        <v>0</v>
      </c>
      <c r="M1288" s="45">
        <v>0</v>
      </c>
      <c r="N1288" s="45">
        <v>0</v>
      </c>
      <c r="O1288" s="45">
        <v>0</v>
      </c>
      <c r="P1288" s="45">
        <v>0</v>
      </c>
      <c r="Q1288" s="45">
        <v>0</v>
      </c>
      <c r="R1288" s="45">
        <v>0</v>
      </c>
      <c r="S1288" s="45">
        <v>0</v>
      </c>
      <c r="T1288" s="45">
        <v>0</v>
      </c>
      <c r="U1288" s="45">
        <v>1397</v>
      </c>
      <c r="V1288" s="45">
        <v>0</v>
      </c>
      <c r="W1288" s="45">
        <v>0</v>
      </c>
      <c r="X1288" s="45">
        <v>0</v>
      </c>
      <c r="Y1288" s="45">
        <v>0</v>
      </c>
      <c r="Z1288" s="45">
        <v>0</v>
      </c>
      <c r="AA1288" s="45">
        <v>0</v>
      </c>
      <c r="AB1288" s="45">
        <v>0</v>
      </c>
      <c r="AC1288" s="45">
        <v>0</v>
      </c>
      <c r="AD1288" s="45">
        <v>0</v>
      </c>
      <c r="AE1288" s="45">
        <v>0</v>
      </c>
      <c r="AF1288" s="45">
        <v>0</v>
      </c>
      <c r="AG1288" s="45">
        <v>0</v>
      </c>
      <c r="AH1288" s="45">
        <v>0</v>
      </c>
      <c r="AI1288" s="45">
        <v>0</v>
      </c>
      <c r="AJ1288" s="45">
        <v>0</v>
      </c>
      <c r="AK1288" s="45">
        <v>0</v>
      </c>
      <c r="AL1288" s="45">
        <v>0</v>
      </c>
      <c r="AM1288" s="57" t="str">
        <f>I1288-J1288-K1288-L1288-M1288-N1288-O1288-P1288-Q1288-R1288-S1288-T1288-U1288-V1288-W1288-X1288-Y1288-Z1288-AA1288-AB1288-AC1288-AD1288-AE1288-AF1288-AG1288+AH1288-AI1288+AJ1288+AK1288-AL1288</f>
        <v>0</v>
      </c>
      <c r="AN1288" s="45"/>
    </row>
    <row r="1289" spans="1:41">
      <c r="A1289" s="45">
        <v>1261</v>
      </c>
      <c r="B1289" s="45" t="s">
        <v>5006</v>
      </c>
      <c r="C1289" s="49" t="s">
        <v>5007</v>
      </c>
      <c r="D1289" s="53" t="s">
        <v>73</v>
      </c>
      <c r="E1289" s="45" t="s">
        <v>4982</v>
      </c>
      <c r="F1289" s="45" t="s">
        <v>5008</v>
      </c>
      <c r="G1289" s="45">
        <v>3</v>
      </c>
      <c r="H1289" s="53" t="s">
        <v>5009</v>
      </c>
      <c r="I1289" s="45">
        <v>365000</v>
      </c>
      <c r="J1289" s="45">
        <v>0</v>
      </c>
      <c r="K1289" s="45">
        <v>22000</v>
      </c>
      <c r="L1289" s="45">
        <v>0</v>
      </c>
      <c r="M1289" s="45">
        <v>0</v>
      </c>
      <c r="N1289" s="45">
        <v>0</v>
      </c>
      <c r="O1289" s="45">
        <v>0</v>
      </c>
      <c r="P1289" s="45">
        <v>0</v>
      </c>
      <c r="Q1289" s="45">
        <v>0</v>
      </c>
      <c r="R1289" s="45">
        <v>0</v>
      </c>
      <c r="S1289" s="45">
        <v>0</v>
      </c>
      <c r="T1289" s="45">
        <v>0</v>
      </c>
      <c r="U1289" s="45">
        <v>1397</v>
      </c>
      <c r="V1289" s="45">
        <v>0</v>
      </c>
      <c r="W1289" s="45">
        <v>0</v>
      </c>
      <c r="X1289" s="45">
        <v>0</v>
      </c>
      <c r="Y1289" s="45">
        <v>0</v>
      </c>
      <c r="Z1289" s="45">
        <v>0</v>
      </c>
      <c r="AA1289" s="45">
        <v>0</v>
      </c>
      <c r="AB1289" s="45">
        <v>0</v>
      </c>
      <c r="AC1289" s="45">
        <v>0</v>
      </c>
      <c r="AD1289" s="45">
        <v>0</v>
      </c>
      <c r="AE1289" s="45">
        <v>0</v>
      </c>
      <c r="AF1289" s="45">
        <v>0</v>
      </c>
      <c r="AG1289" s="45">
        <v>0</v>
      </c>
      <c r="AH1289" s="45">
        <v>0</v>
      </c>
      <c r="AI1289" s="45">
        <v>0</v>
      </c>
      <c r="AJ1289" s="45">
        <v>0</v>
      </c>
      <c r="AK1289" s="45">
        <v>0</v>
      </c>
      <c r="AL1289" s="45">
        <v>0</v>
      </c>
      <c r="AM1289" s="57" t="str">
        <f>I1289-J1289-K1289-L1289-M1289-N1289-O1289-P1289-Q1289-R1289-S1289-T1289-U1289-V1289-W1289-X1289-Y1289-Z1289-AA1289-AB1289-AC1289-AD1289-AE1289-AF1289-AG1289+AH1289-AI1289+AJ1289+AK1289-AL1289</f>
        <v>0</v>
      </c>
      <c r="AN1289" s="45"/>
    </row>
    <row r="1290" spans="1:41">
      <c r="A1290" s="45">
        <v>1262</v>
      </c>
      <c r="B1290" s="45" t="s">
        <v>5010</v>
      </c>
      <c r="C1290" s="49" t="s">
        <v>5011</v>
      </c>
      <c r="D1290" s="53" t="s">
        <v>73</v>
      </c>
      <c r="E1290" s="45" t="s">
        <v>4982</v>
      </c>
      <c r="F1290" s="45" t="s">
        <v>5012</v>
      </c>
      <c r="G1290" s="45">
        <v>2</v>
      </c>
      <c r="H1290" s="53" t="s">
        <v>5013</v>
      </c>
      <c r="I1290" s="45">
        <v>424000</v>
      </c>
      <c r="J1290" s="45">
        <v>0</v>
      </c>
      <c r="K1290" s="45">
        <v>22000</v>
      </c>
      <c r="L1290" s="45">
        <v>0</v>
      </c>
      <c r="M1290" s="45">
        <v>0</v>
      </c>
      <c r="N1290" s="45">
        <v>0</v>
      </c>
      <c r="O1290" s="45">
        <v>0</v>
      </c>
      <c r="P1290" s="45">
        <v>0</v>
      </c>
      <c r="Q1290" s="45">
        <v>0</v>
      </c>
      <c r="R1290" s="45">
        <v>0</v>
      </c>
      <c r="S1290" s="45">
        <v>0</v>
      </c>
      <c r="T1290" s="45">
        <v>0</v>
      </c>
      <c r="U1290" s="45">
        <v>1397</v>
      </c>
      <c r="V1290" s="45">
        <v>0</v>
      </c>
      <c r="W1290" s="45">
        <v>0</v>
      </c>
      <c r="X1290" s="45">
        <v>0</v>
      </c>
      <c r="Y1290" s="45">
        <v>0</v>
      </c>
      <c r="Z1290" s="45">
        <v>0</v>
      </c>
      <c r="AA1290" s="45">
        <v>0</v>
      </c>
      <c r="AB1290" s="45">
        <v>0</v>
      </c>
      <c r="AC1290" s="45">
        <v>0</v>
      </c>
      <c r="AD1290" s="45">
        <v>0</v>
      </c>
      <c r="AE1290" s="45">
        <v>0</v>
      </c>
      <c r="AF1290" s="45">
        <v>0</v>
      </c>
      <c r="AG1290" s="45">
        <v>0</v>
      </c>
      <c r="AH1290" s="45">
        <v>0</v>
      </c>
      <c r="AI1290" s="45">
        <v>0</v>
      </c>
      <c r="AJ1290" s="45">
        <v>0</v>
      </c>
      <c r="AK1290" s="45">
        <v>0</v>
      </c>
      <c r="AL1290" s="45">
        <v>0</v>
      </c>
      <c r="AM1290" s="57" t="str">
        <f>I1290-J1290-K1290-L1290-M1290-N1290-O1290-P1290-Q1290-R1290-S1290-T1290-U1290-V1290-W1290-X1290-Y1290-Z1290-AA1290-AB1290-AC1290-AD1290-AE1290-AF1290-AG1290+AH1290-AI1290+AJ1290+AK1290-AL1290</f>
        <v>0</v>
      </c>
      <c r="AN1290" s="45"/>
    </row>
    <row r="1291" spans="1:41">
      <c r="A1291" s="45">
        <v>1263</v>
      </c>
      <c r="B1291" s="45" t="s">
        <v>5014</v>
      </c>
      <c r="C1291" s="49" t="s">
        <v>5015</v>
      </c>
      <c r="D1291" s="53" t="s">
        <v>73</v>
      </c>
      <c r="E1291" s="45" t="s">
        <v>4982</v>
      </c>
      <c r="F1291" s="45" t="s">
        <v>5016</v>
      </c>
      <c r="G1291" s="45">
        <v>4</v>
      </c>
      <c r="H1291" s="53" t="s">
        <v>5017</v>
      </c>
      <c r="I1291" s="45">
        <v>510000</v>
      </c>
      <c r="J1291" s="45">
        <v>0</v>
      </c>
      <c r="K1291" s="45">
        <v>25000</v>
      </c>
      <c r="L1291" s="45">
        <v>0</v>
      </c>
      <c r="M1291" s="45">
        <v>0</v>
      </c>
      <c r="N1291" s="45">
        <v>0</v>
      </c>
      <c r="O1291" s="45">
        <v>0</v>
      </c>
      <c r="P1291" s="45">
        <v>0</v>
      </c>
      <c r="Q1291" s="45">
        <v>0</v>
      </c>
      <c r="R1291" s="45">
        <v>0</v>
      </c>
      <c r="S1291" s="45">
        <v>0</v>
      </c>
      <c r="T1291" s="45">
        <v>0</v>
      </c>
      <c r="U1291" s="45">
        <v>1587</v>
      </c>
      <c r="V1291" s="45">
        <v>0</v>
      </c>
      <c r="W1291" s="45">
        <v>0</v>
      </c>
      <c r="X1291" s="45">
        <v>0</v>
      </c>
      <c r="Y1291" s="45">
        <v>0</v>
      </c>
      <c r="Z1291" s="45">
        <v>0</v>
      </c>
      <c r="AA1291" s="45">
        <v>0</v>
      </c>
      <c r="AB1291" s="45">
        <v>0</v>
      </c>
      <c r="AC1291" s="45">
        <v>0</v>
      </c>
      <c r="AD1291" s="45">
        <v>0</v>
      </c>
      <c r="AE1291" s="45">
        <v>0</v>
      </c>
      <c r="AF1291" s="45">
        <v>0</v>
      </c>
      <c r="AG1291" s="45">
        <v>0</v>
      </c>
      <c r="AH1291" s="45">
        <v>0</v>
      </c>
      <c r="AI1291" s="45">
        <v>0</v>
      </c>
      <c r="AJ1291" s="45">
        <v>0</v>
      </c>
      <c r="AK1291" s="45">
        <v>0</v>
      </c>
      <c r="AL1291" s="45">
        <v>0</v>
      </c>
      <c r="AM1291" s="57" t="str">
        <f>I1291-J1291-K1291-L1291-M1291-N1291-O1291-P1291-Q1291-R1291-S1291-T1291-U1291-V1291-W1291-X1291-Y1291-Z1291-AA1291-AB1291-AC1291-AD1291-AE1291-AF1291-AG1291+AH1291-AI1291+AJ1291+AK1291-AL1291</f>
        <v>0</v>
      </c>
      <c r="AN1291" s="45"/>
    </row>
    <row r="1292" spans="1:41">
      <c r="A1292" s="45">
        <v>1264</v>
      </c>
      <c r="B1292" s="45" t="s">
        <v>5018</v>
      </c>
      <c r="C1292" s="49" t="s">
        <v>5019</v>
      </c>
      <c r="D1292" s="53" t="s">
        <v>73</v>
      </c>
      <c r="E1292" s="45" t="s">
        <v>4982</v>
      </c>
      <c r="F1292" s="45" t="s">
        <v>5020</v>
      </c>
      <c r="G1292" s="45">
        <v>8</v>
      </c>
      <c r="H1292" s="53" t="s">
        <v>5021</v>
      </c>
      <c r="I1292" s="45">
        <v>848000</v>
      </c>
      <c r="J1292" s="45">
        <v>0</v>
      </c>
      <c r="K1292" s="45">
        <v>39000</v>
      </c>
      <c r="L1292" s="45">
        <v>0</v>
      </c>
      <c r="M1292" s="45">
        <v>0</v>
      </c>
      <c r="N1292" s="45">
        <v>0</v>
      </c>
      <c r="O1292" s="45">
        <v>0</v>
      </c>
      <c r="P1292" s="45">
        <v>0</v>
      </c>
      <c r="Q1292" s="45">
        <v>0</v>
      </c>
      <c r="R1292" s="45">
        <v>0</v>
      </c>
      <c r="S1292" s="45">
        <v>0</v>
      </c>
      <c r="T1292" s="45">
        <v>0</v>
      </c>
      <c r="U1292" s="45">
        <v>2476</v>
      </c>
      <c r="V1292" s="45">
        <v>0</v>
      </c>
      <c r="W1292" s="45">
        <v>0</v>
      </c>
      <c r="X1292" s="45">
        <v>0</v>
      </c>
      <c r="Y1292" s="45">
        <v>0</v>
      </c>
      <c r="Z1292" s="45">
        <v>0</v>
      </c>
      <c r="AA1292" s="45">
        <v>0</v>
      </c>
      <c r="AB1292" s="45">
        <v>0</v>
      </c>
      <c r="AC1292" s="45">
        <v>0</v>
      </c>
      <c r="AD1292" s="45">
        <v>0</v>
      </c>
      <c r="AE1292" s="45">
        <v>0</v>
      </c>
      <c r="AF1292" s="45">
        <v>0</v>
      </c>
      <c r="AG1292" s="45">
        <v>0</v>
      </c>
      <c r="AH1292" s="45">
        <v>0</v>
      </c>
      <c r="AI1292" s="45">
        <v>0</v>
      </c>
      <c r="AJ1292" s="45">
        <v>0</v>
      </c>
      <c r="AK1292" s="45">
        <v>0</v>
      </c>
      <c r="AL1292" s="45">
        <v>0</v>
      </c>
      <c r="AM1292" s="57" t="str">
        <f>I1292-J1292-K1292-L1292-M1292-N1292-O1292-P1292-Q1292-R1292-S1292-T1292-U1292-V1292-W1292-X1292-Y1292-Z1292-AA1292-AB1292-AC1292-AD1292-AE1292-AF1292-AG1292+AH1292-AI1292+AJ1292+AK1292-AL1292</f>
        <v>0</v>
      </c>
      <c r="AN1292" s="45"/>
    </row>
    <row r="1293" spans="1:41">
      <c r="A1293" s="45">
        <v>1265</v>
      </c>
      <c r="B1293" s="45" t="s">
        <v>5022</v>
      </c>
      <c r="C1293" s="49" t="s">
        <v>5023</v>
      </c>
      <c r="D1293" s="53" t="s">
        <v>73</v>
      </c>
      <c r="E1293" s="45" t="s">
        <v>4982</v>
      </c>
      <c r="F1293" s="45" t="s">
        <v>4978</v>
      </c>
      <c r="G1293" s="45">
        <v>9</v>
      </c>
      <c r="H1293" s="53" t="s">
        <v>5024</v>
      </c>
      <c r="I1293" s="45">
        <v>1989000</v>
      </c>
      <c r="J1293" s="45">
        <v>0</v>
      </c>
      <c r="K1293" s="45">
        <v>40000</v>
      </c>
      <c r="L1293" s="45">
        <v>0</v>
      </c>
      <c r="M1293" s="45">
        <v>0</v>
      </c>
      <c r="N1293" s="45">
        <v>0</v>
      </c>
      <c r="O1293" s="45">
        <v>0</v>
      </c>
      <c r="P1293" s="45">
        <v>0</v>
      </c>
      <c r="Q1293" s="45">
        <v>0</v>
      </c>
      <c r="R1293" s="45">
        <v>0</v>
      </c>
      <c r="S1293" s="45">
        <v>0</v>
      </c>
      <c r="T1293" s="45">
        <v>0</v>
      </c>
      <c r="U1293" s="45">
        <v>2540</v>
      </c>
      <c r="V1293" s="45">
        <v>0</v>
      </c>
      <c r="W1293" s="45">
        <v>0</v>
      </c>
      <c r="X1293" s="45">
        <v>0</v>
      </c>
      <c r="Y1293" s="45">
        <v>0</v>
      </c>
      <c r="Z1293" s="45">
        <v>0</v>
      </c>
      <c r="AA1293" s="45">
        <v>0</v>
      </c>
      <c r="AB1293" s="45">
        <v>0</v>
      </c>
      <c r="AC1293" s="45">
        <v>0</v>
      </c>
      <c r="AD1293" s="45">
        <v>0</v>
      </c>
      <c r="AE1293" s="45">
        <v>0</v>
      </c>
      <c r="AF1293" s="45">
        <v>0</v>
      </c>
      <c r="AG1293" s="45">
        <v>0</v>
      </c>
      <c r="AH1293" s="45">
        <v>0</v>
      </c>
      <c r="AI1293" s="45">
        <v>0</v>
      </c>
      <c r="AJ1293" s="45">
        <v>0</v>
      </c>
      <c r="AK1293" s="45">
        <v>0</v>
      </c>
      <c r="AL1293" s="45">
        <v>0</v>
      </c>
      <c r="AM1293" s="57" t="str">
        <f>I1293-J1293-K1293-L1293-M1293-N1293-O1293-P1293-Q1293-R1293-S1293-T1293-U1293-V1293-W1293-X1293-Y1293-Z1293-AA1293-AB1293-AC1293-AD1293-AE1293-AF1293-AG1293+AH1293-AI1293+AJ1293+AK1293-AL1293</f>
        <v>0</v>
      </c>
      <c r="AN1293" s="45"/>
    </row>
    <row r="1294" spans="1:41">
      <c r="A1294" s="45">
        <v>1266</v>
      </c>
      <c r="B1294" s="45" t="s">
        <v>5025</v>
      </c>
      <c r="C1294" s="49" t="s">
        <v>5026</v>
      </c>
      <c r="D1294" s="53" t="s">
        <v>73</v>
      </c>
      <c r="E1294" s="45" t="s">
        <v>4982</v>
      </c>
      <c r="F1294" s="45" t="s">
        <v>5027</v>
      </c>
      <c r="G1294" s="45">
        <v>9</v>
      </c>
      <c r="H1294" s="53" t="s">
        <v>5028</v>
      </c>
      <c r="I1294" s="45">
        <v>1890000</v>
      </c>
      <c r="J1294" s="45">
        <v>0</v>
      </c>
      <c r="K1294" s="45">
        <v>40000</v>
      </c>
      <c r="L1294" s="45">
        <v>0</v>
      </c>
      <c r="M1294" s="45">
        <v>0</v>
      </c>
      <c r="N1294" s="45">
        <v>0</v>
      </c>
      <c r="O1294" s="45">
        <v>0</v>
      </c>
      <c r="P1294" s="45">
        <v>0</v>
      </c>
      <c r="Q1294" s="45">
        <v>0</v>
      </c>
      <c r="R1294" s="45">
        <v>0</v>
      </c>
      <c r="S1294" s="45">
        <v>0</v>
      </c>
      <c r="T1294" s="45">
        <v>0</v>
      </c>
      <c r="U1294" s="45">
        <v>2540</v>
      </c>
      <c r="V1294" s="45">
        <v>0</v>
      </c>
      <c r="W1294" s="45">
        <v>0</v>
      </c>
      <c r="X1294" s="45">
        <v>0</v>
      </c>
      <c r="Y1294" s="45">
        <v>0</v>
      </c>
      <c r="Z1294" s="45">
        <v>0</v>
      </c>
      <c r="AA1294" s="45">
        <v>0</v>
      </c>
      <c r="AB1294" s="45">
        <v>0</v>
      </c>
      <c r="AC1294" s="45">
        <v>0</v>
      </c>
      <c r="AD1294" s="45">
        <v>0</v>
      </c>
      <c r="AE1294" s="45">
        <v>0</v>
      </c>
      <c r="AF1294" s="45">
        <v>0</v>
      </c>
      <c r="AG1294" s="45">
        <v>0</v>
      </c>
      <c r="AH1294" s="45">
        <v>0</v>
      </c>
      <c r="AI1294" s="45">
        <v>0</v>
      </c>
      <c r="AJ1294" s="45">
        <v>0</v>
      </c>
      <c r="AK1294" s="45">
        <v>0</v>
      </c>
      <c r="AL1294" s="45">
        <v>0</v>
      </c>
      <c r="AM1294" s="57" t="str">
        <f>I1294-J1294-K1294-L1294-M1294-N1294-O1294-P1294-Q1294-R1294-S1294-T1294-U1294-V1294-W1294-X1294-Y1294-Z1294-AA1294-AB1294-AC1294-AD1294-AE1294-AF1294-AG1294+AH1294-AI1294+AJ1294+AK1294-AL1294</f>
        <v>0</v>
      </c>
      <c r="AN1294" s="45"/>
    </row>
    <row r="1295" spans="1:41">
      <c r="A1295" s="45">
        <v>1267</v>
      </c>
      <c r="B1295" s="45" t="s">
        <v>5029</v>
      </c>
      <c r="C1295" s="49" t="s">
        <v>5030</v>
      </c>
      <c r="D1295" s="53" t="s">
        <v>73</v>
      </c>
      <c r="E1295" s="45" t="s">
        <v>4982</v>
      </c>
      <c r="F1295" s="45" t="s">
        <v>5031</v>
      </c>
      <c r="G1295" s="45">
        <v>10</v>
      </c>
      <c r="H1295" s="53" t="s">
        <v>5032</v>
      </c>
      <c r="I1295" s="45">
        <v>1108000</v>
      </c>
      <c r="J1295" s="45">
        <v>0</v>
      </c>
      <c r="K1295" s="45">
        <v>49000</v>
      </c>
      <c r="L1295" s="45">
        <v>0</v>
      </c>
      <c r="M1295" s="45">
        <v>0</v>
      </c>
      <c r="N1295" s="45">
        <v>0</v>
      </c>
      <c r="O1295" s="45">
        <v>0</v>
      </c>
      <c r="P1295" s="45">
        <v>0</v>
      </c>
      <c r="Q1295" s="45">
        <v>0</v>
      </c>
      <c r="R1295" s="45">
        <v>0</v>
      </c>
      <c r="S1295" s="45">
        <v>0</v>
      </c>
      <c r="T1295" s="45">
        <v>0</v>
      </c>
      <c r="U1295" s="45">
        <v>3111</v>
      </c>
      <c r="V1295" s="45">
        <v>0</v>
      </c>
      <c r="W1295" s="45">
        <v>0</v>
      </c>
      <c r="X1295" s="45">
        <v>0</v>
      </c>
      <c r="Y1295" s="45">
        <v>0</v>
      </c>
      <c r="Z1295" s="45">
        <v>0</v>
      </c>
      <c r="AA1295" s="45">
        <v>0</v>
      </c>
      <c r="AB1295" s="45">
        <v>0</v>
      </c>
      <c r="AC1295" s="45">
        <v>0</v>
      </c>
      <c r="AD1295" s="45">
        <v>0</v>
      </c>
      <c r="AE1295" s="45">
        <v>0</v>
      </c>
      <c r="AF1295" s="45">
        <v>0</v>
      </c>
      <c r="AG1295" s="45">
        <v>0</v>
      </c>
      <c r="AH1295" s="45">
        <v>0</v>
      </c>
      <c r="AI1295" s="45">
        <v>0</v>
      </c>
      <c r="AJ1295" s="45">
        <v>0</v>
      </c>
      <c r="AK1295" s="45">
        <v>0</v>
      </c>
      <c r="AL1295" s="45">
        <v>0</v>
      </c>
      <c r="AM1295" s="57" t="str">
        <f>I1295-J1295-K1295-L1295-M1295-N1295-O1295-P1295-Q1295-R1295-S1295-T1295-U1295-V1295-W1295-X1295-Y1295-Z1295-AA1295-AB1295-AC1295-AD1295-AE1295-AF1295-AG1295+AH1295-AI1295+AJ1295+AK1295-AL1295</f>
        <v>0</v>
      </c>
      <c r="AN1295" s="45"/>
    </row>
    <row r="1296" spans="1:41">
      <c r="A1296" s="45">
        <v>1268</v>
      </c>
      <c r="B1296" s="45" t="s">
        <v>5033</v>
      </c>
      <c r="C1296" s="49" t="s">
        <v>5034</v>
      </c>
      <c r="D1296" s="53" t="s">
        <v>73</v>
      </c>
      <c r="E1296" s="45" t="s">
        <v>4982</v>
      </c>
      <c r="F1296" s="45" t="s">
        <v>5035</v>
      </c>
      <c r="G1296" s="45">
        <v>7</v>
      </c>
      <c r="H1296" s="53" t="s">
        <v>5036</v>
      </c>
      <c r="I1296" s="45">
        <v>0</v>
      </c>
      <c r="J1296" s="45">
        <v>0</v>
      </c>
      <c r="K1296" s="45">
        <v>35000</v>
      </c>
      <c r="L1296" s="45">
        <v>0</v>
      </c>
      <c r="M1296" s="45">
        <v>0</v>
      </c>
      <c r="N1296" s="45">
        <v>0</v>
      </c>
      <c r="O1296" s="45">
        <v>0</v>
      </c>
      <c r="P1296" s="45">
        <v>0</v>
      </c>
      <c r="Q1296" s="45">
        <v>0</v>
      </c>
      <c r="R1296" s="45">
        <v>0</v>
      </c>
      <c r="S1296" s="45">
        <v>0</v>
      </c>
      <c r="T1296" s="45">
        <v>0</v>
      </c>
      <c r="U1296" s="45">
        <v>2222</v>
      </c>
      <c r="V1296" s="45">
        <v>0</v>
      </c>
      <c r="W1296" s="45">
        <v>0</v>
      </c>
      <c r="X1296" s="45">
        <v>0</v>
      </c>
      <c r="Y1296" s="45">
        <v>0</v>
      </c>
      <c r="Z1296" s="45">
        <v>0</v>
      </c>
      <c r="AA1296" s="45">
        <v>0</v>
      </c>
      <c r="AB1296" s="45">
        <v>0</v>
      </c>
      <c r="AC1296" s="45">
        <v>0</v>
      </c>
      <c r="AD1296" s="45">
        <v>0</v>
      </c>
      <c r="AE1296" s="45">
        <v>0</v>
      </c>
      <c r="AF1296" s="45">
        <v>0</v>
      </c>
      <c r="AG1296" s="45">
        <v>0</v>
      </c>
      <c r="AH1296" s="45">
        <v>0</v>
      </c>
      <c r="AI1296" s="45">
        <v>0</v>
      </c>
      <c r="AJ1296" s="45">
        <v>0</v>
      </c>
      <c r="AK1296" s="45">
        <v>0</v>
      </c>
      <c r="AL1296" s="45">
        <v>0</v>
      </c>
      <c r="AM1296" s="57" t="str">
        <f>I1296-J1296-K1296-L1296-M1296-N1296-O1296-P1296-Q1296-R1296-S1296-T1296-U1296-V1296-W1296-X1296-Y1296-Z1296-AA1296-AB1296-AC1296-AD1296-AE1296-AF1296-AG1296+AH1296-AI1296+AJ1296+AK1296-AL1296</f>
        <v>0</v>
      </c>
      <c r="AN1296" s="45"/>
    </row>
    <row r="1297" spans="1:41">
      <c r="A1297" s="45">
        <v>1269</v>
      </c>
      <c r="B1297" s="45" t="s">
        <v>5037</v>
      </c>
      <c r="C1297" s="49" t="s">
        <v>5038</v>
      </c>
      <c r="D1297" s="53" t="s">
        <v>73</v>
      </c>
      <c r="E1297" s="45" t="s">
        <v>4982</v>
      </c>
      <c r="F1297" s="45" t="s">
        <v>2458</v>
      </c>
      <c r="G1297" s="45">
        <v>2</v>
      </c>
      <c r="H1297" s="53" t="s">
        <v>5039</v>
      </c>
      <c r="I1297" s="45">
        <v>134000</v>
      </c>
      <c r="J1297" s="45">
        <v>0</v>
      </c>
      <c r="K1297" s="45">
        <v>22000</v>
      </c>
      <c r="L1297" s="45">
        <v>0</v>
      </c>
      <c r="M1297" s="45">
        <v>0</v>
      </c>
      <c r="N1297" s="45">
        <v>0</v>
      </c>
      <c r="O1297" s="45">
        <v>0</v>
      </c>
      <c r="P1297" s="45">
        <v>0</v>
      </c>
      <c r="Q1297" s="45">
        <v>0</v>
      </c>
      <c r="R1297" s="45">
        <v>0</v>
      </c>
      <c r="S1297" s="45">
        <v>0</v>
      </c>
      <c r="T1297" s="45">
        <v>0</v>
      </c>
      <c r="U1297" s="45">
        <v>1397</v>
      </c>
      <c r="V1297" s="45">
        <v>0</v>
      </c>
      <c r="W1297" s="45">
        <v>0</v>
      </c>
      <c r="X1297" s="45">
        <v>0</v>
      </c>
      <c r="Y1297" s="45">
        <v>0</v>
      </c>
      <c r="Z1297" s="45">
        <v>0</v>
      </c>
      <c r="AA1297" s="45">
        <v>0</v>
      </c>
      <c r="AB1297" s="45">
        <v>0</v>
      </c>
      <c r="AC1297" s="45">
        <v>0</v>
      </c>
      <c r="AD1297" s="45">
        <v>0</v>
      </c>
      <c r="AE1297" s="45">
        <v>0</v>
      </c>
      <c r="AF1297" s="45">
        <v>0</v>
      </c>
      <c r="AG1297" s="45">
        <v>0</v>
      </c>
      <c r="AH1297" s="45">
        <v>0</v>
      </c>
      <c r="AI1297" s="45">
        <v>0</v>
      </c>
      <c r="AJ1297" s="45">
        <v>0</v>
      </c>
      <c r="AK1297" s="45">
        <v>0</v>
      </c>
      <c r="AL1297" s="45">
        <v>0</v>
      </c>
      <c r="AM1297" s="57" t="str">
        <f>I1297-J1297-K1297-L1297-M1297-N1297-O1297-P1297-Q1297-R1297-S1297-T1297-U1297-V1297-W1297-X1297-Y1297-Z1297-AA1297-AB1297-AC1297-AD1297-AE1297-AF1297-AG1297+AH1297-AI1297+AJ1297+AK1297-AL1297</f>
        <v>0</v>
      </c>
      <c r="AN1297" s="45"/>
    </row>
    <row r="1298" spans="1:41">
      <c r="A1298" s="45">
        <v>1270</v>
      </c>
      <c r="B1298" s="45" t="s">
        <v>5040</v>
      </c>
      <c r="C1298" s="49" t="s">
        <v>5041</v>
      </c>
      <c r="D1298" s="53" t="s">
        <v>73</v>
      </c>
      <c r="E1298" s="45" t="s">
        <v>4982</v>
      </c>
      <c r="F1298" s="45" t="s">
        <v>5042</v>
      </c>
      <c r="G1298" s="45">
        <v>2</v>
      </c>
      <c r="H1298" s="53" t="s">
        <v>5043</v>
      </c>
      <c r="I1298" s="45">
        <v>290000</v>
      </c>
      <c r="J1298" s="45">
        <v>0</v>
      </c>
      <c r="K1298" s="45">
        <v>22000</v>
      </c>
      <c r="L1298" s="45">
        <v>0</v>
      </c>
      <c r="M1298" s="45">
        <v>0</v>
      </c>
      <c r="N1298" s="45">
        <v>0</v>
      </c>
      <c r="O1298" s="45">
        <v>0</v>
      </c>
      <c r="P1298" s="45">
        <v>0</v>
      </c>
      <c r="Q1298" s="45">
        <v>0</v>
      </c>
      <c r="R1298" s="45">
        <v>0</v>
      </c>
      <c r="S1298" s="45">
        <v>0</v>
      </c>
      <c r="T1298" s="45">
        <v>0</v>
      </c>
      <c r="U1298" s="45">
        <v>1397</v>
      </c>
      <c r="V1298" s="45">
        <v>0</v>
      </c>
      <c r="W1298" s="45">
        <v>0</v>
      </c>
      <c r="X1298" s="45">
        <v>0</v>
      </c>
      <c r="Y1298" s="45">
        <v>0</v>
      </c>
      <c r="Z1298" s="45">
        <v>0</v>
      </c>
      <c r="AA1298" s="45">
        <v>0</v>
      </c>
      <c r="AB1298" s="45">
        <v>0</v>
      </c>
      <c r="AC1298" s="45">
        <v>0</v>
      </c>
      <c r="AD1298" s="45">
        <v>0</v>
      </c>
      <c r="AE1298" s="45">
        <v>0</v>
      </c>
      <c r="AF1298" s="45">
        <v>0</v>
      </c>
      <c r="AG1298" s="45">
        <v>0</v>
      </c>
      <c r="AH1298" s="45">
        <v>0</v>
      </c>
      <c r="AI1298" s="45">
        <v>0</v>
      </c>
      <c r="AJ1298" s="45">
        <v>0</v>
      </c>
      <c r="AK1298" s="45">
        <v>0</v>
      </c>
      <c r="AL1298" s="45">
        <v>0</v>
      </c>
      <c r="AM1298" s="57" t="str">
        <f>I1298-J1298-K1298-L1298-M1298-N1298-O1298-P1298-Q1298-R1298-S1298-T1298-U1298-V1298-W1298-X1298-Y1298-Z1298-AA1298-AB1298-AC1298-AD1298-AE1298-AF1298-AG1298+AH1298-AI1298+AJ1298+AK1298-AL1298</f>
        <v>0</v>
      </c>
      <c r="AN1298" s="45"/>
    </row>
    <row r="1299" spans="1:41">
      <c r="A1299" s="45">
        <v>1271</v>
      </c>
      <c r="B1299" s="45" t="s">
        <v>5044</v>
      </c>
      <c r="C1299" s="49" t="s">
        <v>5045</v>
      </c>
      <c r="D1299" s="53" t="s">
        <v>73</v>
      </c>
      <c r="E1299" s="45" t="s">
        <v>4982</v>
      </c>
      <c r="F1299" s="45" t="s">
        <v>5046</v>
      </c>
      <c r="G1299" s="45">
        <v>2</v>
      </c>
      <c r="H1299" s="53" t="s">
        <v>5047</v>
      </c>
      <c r="I1299" s="45">
        <v>134000</v>
      </c>
      <c r="J1299" s="45">
        <v>0</v>
      </c>
      <c r="K1299" s="45">
        <v>22000</v>
      </c>
      <c r="L1299" s="45">
        <v>0</v>
      </c>
      <c r="M1299" s="45">
        <v>0</v>
      </c>
      <c r="N1299" s="45">
        <v>0</v>
      </c>
      <c r="O1299" s="45">
        <v>0</v>
      </c>
      <c r="P1299" s="45">
        <v>0</v>
      </c>
      <c r="Q1299" s="45">
        <v>0</v>
      </c>
      <c r="R1299" s="45">
        <v>0</v>
      </c>
      <c r="S1299" s="45">
        <v>0</v>
      </c>
      <c r="T1299" s="45">
        <v>0</v>
      </c>
      <c r="U1299" s="45">
        <v>1397</v>
      </c>
      <c r="V1299" s="45">
        <v>0</v>
      </c>
      <c r="W1299" s="45">
        <v>0</v>
      </c>
      <c r="X1299" s="45">
        <v>0</v>
      </c>
      <c r="Y1299" s="45">
        <v>0</v>
      </c>
      <c r="Z1299" s="45">
        <v>0</v>
      </c>
      <c r="AA1299" s="45">
        <v>0</v>
      </c>
      <c r="AB1299" s="45">
        <v>0</v>
      </c>
      <c r="AC1299" s="45">
        <v>0</v>
      </c>
      <c r="AD1299" s="45">
        <v>0</v>
      </c>
      <c r="AE1299" s="45">
        <v>0</v>
      </c>
      <c r="AF1299" s="45">
        <v>0</v>
      </c>
      <c r="AG1299" s="45">
        <v>0</v>
      </c>
      <c r="AH1299" s="45">
        <v>0</v>
      </c>
      <c r="AI1299" s="45">
        <v>0</v>
      </c>
      <c r="AJ1299" s="45">
        <v>0</v>
      </c>
      <c r="AK1299" s="45">
        <v>0</v>
      </c>
      <c r="AL1299" s="45">
        <v>0</v>
      </c>
      <c r="AM1299" s="57" t="str">
        <f>I1299-J1299-K1299-L1299-M1299-N1299-O1299-P1299-Q1299-R1299-S1299-T1299-U1299-V1299-W1299-X1299-Y1299-Z1299-AA1299-AB1299-AC1299-AD1299-AE1299-AF1299-AG1299+AH1299-AI1299+AJ1299+AK1299-AL1299</f>
        <v>0</v>
      </c>
      <c r="AN1299" s="45"/>
    </row>
    <row r="1300" spans="1:41">
      <c r="A1300" s="45">
        <v>1272</v>
      </c>
      <c r="B1300" s="45" t="s">
        <v>5048</v>
      </c>
      <c r="C1300" s="49" t="s">
        <v>5049</v>
      </c>
      <c r="D1300" s="53" t="s">
        <v>73</v>
      </c>
      <c r="E1300" s="45" t="s">
        <v>4982</v>
      </c>
      <c r="F1300" s="45" t="s">
        <v>5050</v>
      </c>
      <c r="G1300" s="45">
        <v>3</v>
      </c>
      <c r="H1300" s="53" t="s">
        <v>5051</v>
      </c>
      <c r="I1300" s="45">
        <v>560000</v>
      </c>
      <c r="J1300" s="45">
        <v>0</v>
      </c>
      <c r="K1300" s="45">
        <v>22000</v>
      </c>
      <c r="L1300" s="45">
        <v>0</v>
      </c>
      <c r="M1300" s="45">
        <v>0</v>
      </c>
      <c r="N1300" s="45">
        <v>0</v>
      </c>
      <c r="O1300" s="45">
        <v>0</v>
      </c>
      <c r="P1300" s="45">
        <v>0</v>
      </c>
      <c r="Q1300" s="45">
        <v>0</v>
      </c>
      <c r="R1300" s="45">
        <v>0</v>
      </c>
      <c r="S1300" s="45">
        <v>0</v>
      </c>
      <c r="T1300" s="45">
        <v>0</v>
      </c>
      <c r="U1300" s="45">
        <v>1397</v>
      </c>
      <c r="V1300" s="45">
        <v>0</v>
      </c>
      <c r="W1300" s="45">
        <v>0</v>
      </c>
      <c r="X1300" s="45">
        <v>0</v>
      </c>
      <c r="Y1300" s="45">
        <v>0</v>
      </c>
      <c r="Z1300" s="45">
        <v>0</v>
      </c>
      <c r="AA1300" s="45">
        <v>0</v>
      </c>
      <c r="AB1300" s="45">
        <v>0</v>
      </c>
      <c r="AC1300" s="45">
        <v>0</v>
      </c>
      <c r="AD1300" s="45">
        <v>0</v>
      </c>
      <c r="AE1300" s="45">
        <v>0</v>
      </c>
      <c r="AF1300" s="45">
        <v>0</v>
      </c>
      <c r="AG1300" s="45">
        <v>0</v>
      </c>
      <c r="AH1300" s="45">
        <v>0</v>
      </c>
      <c r="AI1300" s="45">
        <v>0</v>
      </c>
      <c r="AJ1300" s="45">
        <v>0</v>
      </c>
      <c r="AK1300" s="45">
        <v>0</v>
      </c>
      <c r="AL1300" s="45">
        <v>0</v>
      </c>
      <c r="AM1300" s="57" t="str">
        <f>I1300-J1300-K1300-L1300-M1300-N1300-O1300-P1300-Q1300-R1300-S1300-T1300-U1300-V1300-W1300-X1300-Y1300-Z1300-AA1300-AB1300-AC1300-AD1300-AE1300-AF1300-AG1300+AH1300-AI1300+AJ1300+AK1300-AL1300</f>
        <v>0</v>
      </c>
      <c r="AN1300" s="45"/>
    </row>
    <row r="1301" spans="1:41">
      <c r="A1301" s="45">
        <v>1273</v>
      </c>
      <c r="B1301" s="45" t="s">
        <v>5052</v>
      </c>
      <c r="C1301" s="49" t="s">
        <v>5053</v>
      </c>
      <c r="D1301" s="53" t="s">
        <v>73</v>
      </c>
      <c r="E1301" s="45" t="s">
        <v>4982</v>
      </c>
      <c r="F1301" s="45" t="s">
        <v>677</v>
      </c>
      <c r="G1301" s="45">
        <v>6</v>
      </c>
      <c r="H1301" s="53" t="s">
        <v>5054</v>
      </c>
      <c r="I1301" s="45">
        <v>908000</v>
      </c>
      <c r="J1301" s="45">
        <v>0</v>
      </c>
      <c r="K1301" s="45">
        <v>31000</v>
      </c>
      <c r="L1301" s="45">
        <v>0</v>
      </c>
      <c r="M1301" s="45">
        <v>0</v>
      </c>
      <c r="N1301" s="45">
        <v>0</v>
      </c>
      <c r="O1301" s="45">
        <v>0</v>
      </c>
      <c r="P1301" s="45">
        <v>0</v>
      </c>
      <c r="Q1301" s="45">
        <v>0</v>
      </c>
      <c r="R1301" s="45">
        <v>0</v>
      </c>
      <c r="S1301" s="45">
        <v>0</v>
      </c>
      <c r="T1301" s="45">
        <v>0</v>
      </c>
      <c r="U1301" s="45">
        <v>1968</v>
      </c>
      <c r="V1301" s="45">
        <v>0</v>
      </c>
      <c r="W1301" s="45">
        <v>0</v>
      </c>
      <c r="X1301" s="45">
        <v>0</v>
      </c>
      <c r="Y1301" s="45">
        <v>0</v>
      </c>
      <c r="Z1301" s="45">
        <v>0</v>
      </c>
      <c r="AA1301" s="45">
        <v>0</v>
      </c>
      <c r="AB1301" s="45">
        <v>0</v>
      </c>
      <c r="AC1301" s="45">
        <v>0</v>
      </c>
      <c r="AD1301" s="45">
        <v>0</v>
      </c>
      <c r="AE1301" s="45">
        <v>0</v>
      </c>
      <c r="AF1301" s="45">
        <v>0</v>
      </c>
      <c r="AG1301" s="45">
        <v>0</v>
      </c>
      <c r="AH1301" s="45">
        <v>0</v>
      </c>
      <c r="AI1301" s="45">
        <v>0</v>
      </c>
      <c r="AJ1301" s="45">
        <v>0</v>
      </c>
      <c r="AK1301" s="45">
        <v>0</v>
      </c>
      <c r="AL1301" s="45">
        <v>0</v>
      </c>
      <c r="AM1301" s="57" t="str">
        <f>I1301-J1301-K1301-L1301-M1301-N1301-O1301-P1301-Q1301-R1301-S1301-T1301-U1301-V1301-W1301-X1301-Y1301-Z1301-AA1301-AB1301-AC1301-AD1301-AE1301-AF1301-AG1301+AH1301-AI1301+AJ1301+AK1301-AL1301</f>
        <v>0</v>
      </c>
      <c r="AN1301" s="45"/>
    </row>
    <row r="1302" spans="1:41">
      <c r="A1302" s="45">
        <v>1274</v>
      </c>
      <c r="B1302" s="45" t="s">
        <v>5055</v>
      </c>
      <c r="C1302" s="49" t="s">
        <v>5056</v>
      </c>
      <c r="D1302" s="53" t="s">
        <v>73</v>
      </c>
      <c r="E1302" s="45" t="s">
        <v>5057</v>
      </c>
      <c r="F1302" s="45" t="s">
        <v>5058</v>
      </c>
      <c r="G1302" s="45">
        <v>9</v>
      </c>
      <c r="H1302" s="53" t="s">
        <v>5059</v>
      </c>
      <c r="I1302" s="45">
        <v>1475000</v>
      </c>
      <c r="J1302" s="45">
        <v>0</v>
      </c>
      <c r="K1302" s="45">
        <v>40000</v>
      </c>
      <c r="L1302" s="45">
        <v>0</v>
      </c>
      <c r="M1302" s="45">
        <v>0</v>
      </c>
      <c r="N1302" s="45">
        <v>0</v>
      </c>
      <c r="O1302" s="45">
        <v>0</v>
      </c>
      <c r="P1302" s="45">
        <v>0</v>
      </c>
      <c r="Q1302" s="45">
        <v>0</v>
      </c>
      <c r="R1302" s="45">
        <v>0</v>
      </c>
      <c r="S1302" s="45">
        <v>0</v>
      </c>
      <c r="T1302" s="45">
        <v>0</v>
      </c>
      <c r="U1302" s="45">
        <v>2540</v>
      </c>
      <c r="V1302" s="45">
        <v>0</v>
      </c>
      <c r="W1302" s="45">
        <v>0</v>
      </c>
      <c r="X1302" s="45">
        <v>0</v>
      </c>
      <c r="Y1302" s="45">
        <v>0</v>
      </c>
      <c r="Z1302" s="45">
        <v>0</v>
      </c>
      <c r="AA1302" s="45">
        <v>0</v>
      </c>
      <c r="AB1302" s="45">
        <v>0</v>
      </c>
      <c r="AC1302" s="45">
        <v>0</v>
      </c>
      <c r="AD1302" s="45">
        <v>0</v>
      </c>
      <c r="AE1302" s="45">
        <v>0</v>
      </c>
      <c r="AF1302" s="45">
        <v>0</v>
      </c>
      <c r="AG1302" s="45">
        <v>0</v>
      </c>
      <c r="AH1302" s="45">
        <v>0</v>
      </c>
      <c r="AI1302" s="45">
        <v>0</v>
      </c>
      <c r="AJ1302" s="45">
        <v>0</v>
      </c>
      <c r="AK1302" s="45">
        <v>0</v>
      </c>
      <c r="AL1302" s="45">
        <v>0</v>
      </c>
      <c r="AM1302" s="57" t="str">
        <f>I1302-J1302-K1302-L1302-M1302-N1302-O1302-P1302-Q1302-R1302-S1302-T1302-U1302-V1302-W1302-X1302-Y1302-Z1302-AA1302-AB1302-AC1302-AD1302-AE1302-AF1302-AG1302+AH1302-AI1302+AJ1302+AK1302-AL1302</f>
        <v>0</v>
      </c>
      <c r="AN1302" s="45"/>
    </row>
    <row r="1303" spans="1:41">
      <c r="A1303" s="45">
        <v>1275</v>
      </c>
      <c r="B1303" s="45" t="s">
        <v>5060</v>
      </c>
      <c r="C1303" s="49" t="s">
        <v>5061</v>
      </c>
      <c r="D1303" s="53" t="s">
        <v>73</v>
      </c>
      <c r="E1303" s="45" t="s">
        <v>5057</v>
      </c>
      <c r="F1303" s="45" t="s">
        <v>5062</v>
      </c>
      <c r="G1303" s="45">
        <v>11.8</v>
      </c>
      <c r="H1303" s="53" t="s">
        <v>5063</v>
      </c>
      <c r="I1303" s="45">
        <v>2128000</v>
      </c>
      <c r="J1303" s="45">
        <v>0</v>
      </c>
      <c r="K1303" s="45">
        <v>48000</v>
      </c>
      <c r="L1303" s="45">
        <v>0</v>
      </c>
      <c r="M1303" s="45">
        <v>0</v>
      </c>
      <c r="N1303" s="45">
        <v>0</v>
      </c>
      <c r="O1303" s="45">
        <v>0</v>
      </c>
      <c r="P1303" s="45">
        <v>0</v>
      </c>
      <c r="Q1303" s="45">
        <v>0</v>
      </c>
      <c r="R1303" s="45">
        <v>0</v>
      </c>
      <c r="S1303" s="45">
        <v>0</v>
      </c>
      <c r="T1303" s="45">
        <v>0</v>
      </c>
      <c r="U1303" s="45">
        <v>3048</v>
      </c>
      <c r="V1303" s="45">
        <v>0</v>
      </c>
      <c r="W1303" s="45">
        <v>0</v>
      </c>
      <c r="X1303" s="45">
        <v>0</v>
      </c>
      <c r="Y1303" s="45">
        <v>0</v>
      </c>
      <c r="Z1303" s="45">
        <v>0</v>
      </c>
      <c r="AA1303" s="45">
        <v>0</v>
      </c>
      <c r="AB1303" s="45">
        <v>0</v>
      </c>
      <c r="AC1303" s="45">
        <v>0</v>
      </c>
      <c r="AD1303" s="45">
        <v>0</v>
      </c>
      <c r="AE1303" s="45">
        <v>0</v>
      </c>
      <c r="AF1303" s="45">
        <v>0</v>
      </c>
      <c r="AG1303" s="45">
        <v>0</v>
      </c>
      <c r="AH1303" s="45">
        <v>0</v>
      </c>
      <c r="AI1303" s="45">
        <v>0</v>
      </c>
      <c r="AJ1303" s="45">
        <v>0</v>
      </c>
      <c r="AK1303" s="45">
        <v>0</v>
      </c>
      <c r="AL1303" s="45">
        <v>0</v>
      </c>
      <c r="AM1303" s="57" t="str">
        <f>I1303-J1303-K1303-L1303-M1303-N1303-O1303-P1303-Q1303-R1303-S1303-T1303-U1303-V1303-W1303-X1303-Y1303-Z1303-AA1303-AB1303-AC1303-AD1303-AE1303-AF1303-AG1303+AH1303-AI1303+AJ1303+AK1303-AL1303</f>
        <v>0</v>
      </c>
      <c r="AN1303" s="45"/>
    </row>
    <row r="1304" spans="1:41">
      <c r="A1304" s="45">
        <v>1276</v>
      </c>
      <c r="B1304" s="45" t="s">
        <v>5064</v>
      </c>
      <c r="C1304" s="49" t="s">
        <v>5065</v>
      </c>
      <c r="D1304" s="53" t="s">
        <v>73</v>
      </c>
      <c r="E1304" s="45" t="s">
        <v>5057</v>
      </c>
      <c r="F1304" s="45" t="s">
        <v>5066</v>
      </c>
      <c r="G1304" s="45">
        <v>3</v>
      </c>
      <c r="H1304" s="53" t="s">
        <v>5067</v>
      </c>
      <c r="I1304" s="45">
        <v>334000</v>
      </c>
      <c r="J1304" s="45">
        <v>0</v>
      </c>
      <c r="K1304" s="45">
        <v>22000</v>
      </c>
      <c r="L1304" s="45">
        <v>0</v>
      </c>
      <c r="M1304" s="45">
        <v>0</v>
      </c>
      <c r="N1304" s="45">
        <v>0</v>
      </c>
      <c r="O1304" s="45">
        <v>0</v>
      </c>
      <c r="P1304" s="45">
        <v>0</v>
      </c>
      <c r="Q1304" s="45">
        <v>0</v>
      </c>
      <c r="R1304" s="45">
        <v>0</v>
      </c>
      <c r="S1304" s="45">
        <v>0</v>
      </c>
      <c r="T1304" s="45">
        <v>0</v>
      </c>
      <c r="U1304" s="45">
        <v>1397</v>
      </c>
      <c r="V1304" s="45">
        <v>0</v>
      </c>
      <c r="W1304" s="45">
        <v>0</v>
      </c>
      <c r="X1304" s="45">
        <v>0</v>
      </c>
      <c r="Y1304" s="45">
        <v>0</v>
      </c>
      <c r="Z1304" s="45">
        <v>0</v>
      </c>
      <c r="AA1304" s="45">
        <v>0</v>
      </c>
      <c r="AB1304" s="45">
        <v>0</v>
      </c>
      <c r="AC1304" s="45">
        <v>0</v>
      </c>
      <c r="AD1304" s="45">
        <v>0</v>
      </c>
      <c r="AE1304" s="45">
        <v>0</v>
      </c>
      <c r="AF1304" s="45">
        <v>0</v>
      </c>
      <c r="AG1304" s="45">
        <v>0</v>
      </c>
      <c r="AH1304" s="45">
        <v>0</v>
      </c>
      <c r="AI1304" s="45">
        <v>0</v>
      </c>
      <c r="AJ1304" s="45">
        <v>0</v>
      </c>
      <c r="AK1304" s="45">
        <v>0</v>
      </c>
      <c r="AL1304" s="45">
        <v>0</v>
      </c>
      <c r="AM1304" s="57" t="str">
        <f>I1304-J1304-K1304-L1304-M1304-N1304-O1304-P1304-Q1304-R1304-S1304-T1304-U1304-V1304-W1304-X1304-Y1304-Z1304-AA1304-AB1304-AC1304-AD1304-AE1304-AF1304-AG1304+AH1304-AI1304+AJ1304+AK1304-AL1304</f>
        <v>0</v>
      </c>
      <c r="AN1304" s="45"/>
    </row>
    <row r="1305" spans="1:41">
      <c r="A1305" s="45">
        <v>1277</v>
      </c>
      <c r="B1305" s="45" t="s">
        <v>5068</v>
      </c>
      <c r="C1305" s="49" t="s">
        <v>5069</v>
      </c>
      <c r="D1305" s="53" t="s">
        <v>73</v>
      </c>
      <c r="E1305" s="45" t="s">
        <v>5057</v>
      </c>
      <c r="F1305" s="45" t="s">
        <v>4948</v>
      </c>
      <c r="G1305" s="45">
        <v>2</v>
      </c>
      <c r="H1305" s="53" t="s">
        <v>5070</v>
      </c>
      <c r="I1305" s="45">
        <v>290000</v>
      </c>
      <c r="J1305" s="45">
        <v>0</v>
      </c>
      <c r="K1305" s="45">
        <v>22000</v>
      </c>
      <c r="L1305" s="45">
        <v>0</v>
      </c>
      <c r="M1305" s="45">
        <v>0</v>
      </c>
      <c r="N1305" s="45">
        <v>0</v>
      </c>
      <c r="O1305" s="45">
        <v>0</v>
      </c>
      <c r="P1305" s="45">
        <v>0</v>
      </c>
      <c r="Q1305" s="45">
        <v>0</v>
      </c>
      <c r="R1305" s="45">
        <v>0</v>
      </c>
      <c r="S1305" s="45">
        <v>0</v>
      </c>
      <c r="T1305" s="45">
        <v>0</v>
      </c>
      <c r="U1305" s="45">
        <v>1397</v>
      </c>
      <c r="V1305" s="45">
        <v>0</v>
      </c>
      <c r="W1305" s="45">
        <v>0</v>
      </c>
      <c r="X1305" s="45">
        <v>0</v>
      </c>
      <c r="Y1305" s="45">
        <v>0</v>
      </c>
      <c r="Z1305" s="45">
        <v>0</v>
      </c>
      <c r="AA1305" s="45">
        <v>0</v>
      </c>
      <c r="AB1305" s="45">
        <v>0</v>
      </c>
      <c r="AC1305" s="45">
        <v>0</v>
      </c>
      <c r="AD1305" s="45">
        <v>0</v>
      </c>
      <c r="AE1305" s="45">
        <v>0</v>
      </c>
      <c r="AF1305" s="45">
        <v>0</v>
      </c>
      <c r="AG1305" s="45">
        <v>0</v>
      </c>
      <c r="AH1305" s="45">
        <v>0</v>
      </c>
      <c r="AI1305" s="45">
        <v>0</v>
      </c>
      <c r="AJ1305" s="45">
        <v>0</v>
      </c>
      <c r="AK1305" s="45">
        <v>0</v>
      </c>
      <c r="AL1305" s="45">
        <v>0</v>
      </c>
      <c r="AM1305" s="57" t="str">
        <f>I1305-J1305-K1305-L1305-M1305-N1305-O1305-P1305-Q1305-R1305-S1305-T1305-U1305-V1305-W1305-X1305-Y1305-Z1305-AA1305-AB1305-AC1305-AD1305-AE1305-AF1305-AG1305+AH1305-AI1305+AJ1305+AK1305-AL1305</f>
        <v>0</v>
      </c>
      <c r="AN1305" s="45"/>
    </row>
    <row r="1306" spans="1:41">
      <c r="A1306" s="45">
        <v>1278</v>
      </c>
      <c r="B1306" s="45" t="s">
        <v>5071</v>
      </c>
      <c r="C1306" s="49" t="s">
        <v>5072</v>
      </c>
      <c r="D1306" s="53" t="s">
        <v>73</v>
      </c>
      <c r="E1306" s="45" t="s">
        <v>5057</v>
      </c>
      <c r="F1306" s="45" t="s">
        <v>5073</v>
      </c>
      <c r="G1306" s="45">
        <v>6</v>
      </c>
      <c r="H1306" s="53" t="s">
        <v>5074</v>
      </c>
      <c r="I1306" s="45">
        <v>1035000</v>
      </c>
      <c r="J1306" s="45">
        <v>0</v>
      </c>
      <c r="K1306" s="45">
        <v>31000</v>
      </c>
      <c r="L1306" s="45">
        <v>0</v>
      </c>
      <c r="M1306" s="45">
        <v>0</v>
      </c>
      <c r="N1306" s="45">
        <v>0</v>
      </c>
      <c r="O1306" s="45">
        <v>0</v>
      </c>
      <c r="P1306" s="45">
        <v>0</v>
      </c>
      <c r="Q1306" s="45">
        <v>0</v>
      </c>
      <c r="R1306" s="45">
        <v>0</v>
      </c>
      <c r="S1306" s="45">
        <v>0</v>
      </c>
      <c r="T1306" s="45">
        <v>0</v>
      </c>
      <c r="U1306" s="45">
        <v>1968</v>
      </c>
      <c r="V1306" s="45">
        <v>0</v>
      </c>
      <c r="W1306" s="45">
        <v>0</v>
      </c>
      <c r="X1306" s="45">
        <v>0</v>
      </c>
      <c r="Y1306" s="45">
        <v>0</v>
      </c>
      <c r="Z1306" s="45">
        <v>0</v>
      </c>
      <c r="AA1306" s="45">
        <v>0</v>
      </c>
      <c r="AB1306" s="45">
        <v>0</v>
      </c>
      <c r="AC1306" s="45">
        <v>0</v>
      </c>
      <c r="AD1306" s="45">
        <v>0</v>
      </c>
      <c r="AE1306" s="45">
        <v>0</v>
      </c>
      <c r="AF1306" s="45">
        <v>0</v>
      </c>
      <c r="AG1306" s="45">
        <v>0</v>
      </c>
      <c r="AH1306" s="45">
        <v>0</v>
      </c>
      <c r="AI1306" s="45">
        <v>0</v>
      </c>
      <c r="AJ1306" s="45">
        <v>0</v>
      </c>
      <c r="AK1306" s="45">
        <v>0</v>
      </c>
      <c r="AL1306" s="45">
        <v>0</v>
      </c>
      <c r="AM1306" s="57" t="str">
        <f>I1306-J1306-K1306-L1306-M1306-N1306-O1306-P1306-Q1306-R1306-S1306-T1306-U1306-V1306-W1306-X1306-Y1306-Z1306-AA1306-AB1306-AC1306-AD1306-AE1306-AF1306-AG1306+AH1306-AI1306+AJ1306+AK1306-AL1306</f>
        <v>0</v>
      </c>
      <c r="AN1306" s="45"/>
    </row>
    <row r="1307" spans="1:41">
      <c r="A1307" s="45">
        <v>1279</v>
      </c>
      <c r="B1307" s="45" t="s">
        <v>5075</v>
      </c>
      <c r="C1307" s="49" t="s">
        <v>5076</v>
      </c>
      <c r="D1307" s="53" t="s">
        <v>73</v>
      </c>
      <c r="E1307" s="45" t="s">
        <v>5057</v>
      </c>
      <c r="F1307" s="45" t="s">
        <v>5077</v>
      </c>
      <c r="G1307" s="45">
        <v>2</v>
      </c>
      <c r="H1307" s="53" t="s">
        <v>5078</v>
      </c>
      <c r="I1307" s="45">
        <v>334000</v>
      </c>
      <c r="J1307" s="45">
        <v>0</v>
      </c>
      <c r="K1307" s="45">
        <v>22000</v>
      </c>
      <c r="L1307" s="45">
        <v>0</v>
      </c>
      <c r="M1307" s="45">
        <v>0</v>
      </c>
      <c r="N1307" s="45">
        <v>0</v>
      </c>
      <c r="O1307" s="45">
        <v>0</v>
      </c>
      <c r="P1307" s="45">
        <v>0</v>
      </c>
      <c r="Q1307" s="45">
        <v>0</v>
      </c>
      <c r="R1307" s="45">
        <v>0</v>
      </c>
      <c r="S1307" s="45">
        <v>0</v>
      </c>
      <c r="T1307" s="45">
        <v>0</v>
      </c>
      <c r="U1307" s="45">
        <v>1397</v>
      </c>
      <c r="V1307" s="45">
        <v>0</v>
      </c>
      <c r="W1307" s="45">
        <v>0</v>
      </c>
      <c r="X1307" s="45">
        <v>0</v>
      </c>
      <c r="Y1307" s="45">
        <v>0</v>
      </c>
      <c r="Z1307" s="45">
        <v>0</v>
      </c>
      <c r="AA1307" s="45">
        <v>0</v>
      </c>
      <c r="AB1307" s="45">
        <v>0</v>
      </c>
      <c r="AC1307" s="45">
        <v>0</v>
      </c>
      <c r="AD1307" s="45">
        <v>0</v>
      </c>
      <c r="AE1307" s="45">
        <v>0</v>
      </c>
      <c r="AF1307" s="45">
        <v>0</v>
      </c>
      <c r="AG1307" s="45">
        <v>0</v>
      </c>
      <c r="AH1307" s="45">
        <v>0</v>
      </c>
      <c r="AI1307" s="45">
        <v>0</v>
      </c>
      <c r="AJ1307" s="45">
        <v>0</v>
      </c>
      <c r="AK1307" s="45">
        <v>0</v>
      </c>
      <c r="AL1307" s="45">
        <v>0</v>
      </c>
      <c r="AM1307" s="57" t="str">
        <f>I1307-J1307-K1307-L1307-M1307-N1307-O1307-P1307-Q1307-R1307-S1307-T1307-U1307-V1307-W1307-X1307-Y1307-Z1307-AA1307-AB1307-AC1307-AD1307-AE1307-AF1307-AG1307+AH1307-AI1307+AJ1307+AK1307-AL1307</f>
        <v>0</v>
      </c>
      <c r="AN1307" s="45"/>
    </row>
    <row r="1308" spans="1:41">
      <c r="A1308" s="45">
        <v>1280</v>
      </c>
      <c r="B1308" s="45" t="s">
        <v>5079</v>
      </c>
      <c r="C1308" s="49" t="s">
        <v>5080</v>
      </c>
      <c r="D1308" s="53" t="s">
        <v>73</v>
      </c>
      <c r="E1308" s="45" t="s">
        <v>5057</v>
      </c>
      <c r="F1308" s="45" t="s">
        <v>1915</v>
      </c>
      <c r="G1308" s="45">
        <v>3</v>
      </c>
      <c r="H1308" s="53" t="s">
        <v>5081</v>
      </c>
      <c r="I1308" s="45">
        <v>245000</v>
      </c>
      <c r="J1308" s="45">
        <v>0</v>
      </c>
      <c r="K1308" s="45">
        <v>22000</v>
      </c>
      <c r="L1308" s="45">
        <v>0</v>
      </c>
      <c r="M1308" s="45">
        <v>0</v>
      </c>
      <c r="N1308" s="45">
        <v>0</v>
      </c>
      <c r="O1308" s="45">
        <v>0</v>
      </c>
      <c r="P1308" s="45">
        <v>0</v>
      </c>
      <c r="Q1308" s="45">
        <v>0</v>
      </c>
      <c r="R1308" s="45">
        <v>0</v>
      </c>
      <c r="S1308" s="45">
        <v>0</v>
      </c>
      <c r="T1308" s="45">
        <v>0</v>
      </c>
      <c r="U1308" s="45">
        <v>1397</v>
      </c>
      <c r="V1308" s="45">
        <v>0</v>
      </c>
      <c r="W1308" s="45">
        <v>0</v>
      </c>
      <c r="X1308" s="45">
        <v>0</v>
      </c>
      <c r="Y1308" s="45">
        <v>0</v>
      </c>
      <c r="Z1308" s="45">
        <v>0</v>
      </c>
      <c r="AA1308" s="45">
        <v>0</v>
      </c>
      <c r="AB1308" s="45">
        <v>0</v>
      </c>
      <c r="AC1308" s="45">
        <v>0</v>
      </c>
      <c r="AD1308" s="45">
        <v>0</v>
      </c>
      <c r="AE1308" s="45">
        <v>0</v>
      </c>
      <c r="AF1308" s="45">
        <v>0</v>
      </c>
      <c r="AG1308" s="45">
        <v>0</v>
      </c>
      <c r="AH1308" s="45">
        <v>0</v>
      </c>
      <c r="AI1308" s="45">
        <v>0</v>
      </c>
      <c r="AJ1308" s="45">
        <v>0</v>
      </c>
      <c r="AK1308" s="45">
        <v>0</v>
      </c>
      <c r="AL1308" s="45">
        <v>0</v>
      </c>
      <c r="AM1308" s="57" t="str">
        <f>I1308-J1308-K1308-L1308-M1308-N1308-O1308-P1308-Q1308-R1308-S1308-T1308-U1308-V1308-W1308-X1308-Y1308-Z1308-AA1308-AB1308-AC1308-AD1308-AE1308-AF1308-AG1308+AH1308-AI1308+AJ1308+AK1308-AL1308</f>
        <v>0</v>
      </c>
      <c r="AN1308" s="45"/>
    </row>
    <row r="1309" spans="1:41">
      <c r="A1309" s="45">
        <v>1281</v>
      </c>
      <c r="B1309" s="45" t="s">
        <v>5082</v>
      </c>
      <c r="C1309" s="49" t="s">
        <v>5083</v>
      </c>
      <c r="D1309" s="53" t="s">
        <v>73</v>
      </c>
      <c r="E1309" s="45" t="s">
        <v>5057</v>
      </c>
      <c r="F1309" s="45" t="s">
        <v>5084</v>
      </c>
      <c r="G1309" s="45">
        <v>8</v>
      </c>
      <c r="H1309" s="53" t="s">
        <v>5085</v>
      </c>
      <c r="I1309" s="45">
        <v>967000</v>
      </c>
      <c r="J1309" s="45">
        <v>0</v>
      </c>
      <c r="K1309" s="45">
        <v>39000</v>
      </c>
      <c r="L1309" s="45">
        <v>0</v>
      </c>
      <c r="M1309" s="45">
        <v>0</v>
      </c>
      <c r="N1309" s="45">
        <v>0</v>
      </c>
      <c r="O1309" s="45">
        <v>0</v>
      </c>
      <c r="P1309" s="45">
        <v>0</v>
      </c>
      <c r="Q1309" s="45">
        <v>0</v>
      </c>
      <c r="R1309" s="45">
        <v>0</v>
      </c>
      <c r="S1309" s="45">
        <v>0</v>
      </c>
      <c r="T1309" s="45">
        <v>0</v>
      </c>
      <c r="U1309" s="45">
        <v>2476</v>
      </c>
      <c r="V1309" s="45">
        <v>0</v>
      </c>
      <c r="W1309" s="45">
        <v>0</v>
      </c>
      <c r="X1309" s="45">
        <v>0</v>
      </c>
      <c r="Y1309" s="45">
        <v>0</v>
      </c>
      <c r="Z1309" s="45">
        <v>0</v>
      </c>
      <c r="AA1309" s="45">
        <v>0</v>
      </c>
      <c r="AB1309" s="45">
        <v>0</v>
      </c>
      <c r="AC1309" s="45">
        <v>0</v>
      </c>
      <c r="AD1309" s="45">
        <v>0</v>
      </c>
      <c r="AE1309" s="45">
        <v>0</v>
      </c>
      <c r="AF1309" s="45">
        <v>0</v>
      </c>
      <c r="AG1309" s="45">
        <v>0</v>
      </c>
      <c r="AH1309" s="45">
        <v>0</v>
      </c>
      <c r="AI1309" s="45">
        <v>0</v>
      </c>
      <c r="AJ1309" s="45">
        <v>0</v>
      </c>
      <c r="AK1309" s="45">
        <v>0</v>
      </c>
      <c r="AL1309" s="45">
        <v>0</v>
      </c>
      <c r="AM1309" s="57" t="str">
        <f>I1309-J1309-K1309-L1309-M1309-N1309-O1309-P1309-Q1309-R1309-S1309-T1309-U1309-V1309-W1309-X1309-Y1309-Z1309-AA1309-AB1309-AC1309-AD1309-AE1309-AF1309-AG1309+AH1309-AI1309+AJ1309+AK1309-AL1309</f>
        <v>0</v>
      </c>
      <c r="AN1309" s="45"/>
    </row>
    <row r="1310" spans="1:41">
      <c r="A1310" s="45">
        <v>1282</v>
      </c>
      <c r="B1310" s="45" t="s">
        <v>5086</v>
      </c>
      <c r="C1310" s="49" t="s">
        <v>5087</v>
      </c>
      <c r="D1310" s="53" t="s">
        <v>73</v>
      </c>
      <c r="E1310" s="45" t="s">
        <v>5057</v>
      </c>
      <c r="F1310" s="45" t="s">
        <v>5088</v>
      </c>
      <c r="G1310" s="45">
        <v>3</v>
      </c>
      <c r="H1310" s="53" t="s">
        <v>5089</v>
      </c>
      <c r="I1310" s="45">
        <v>560000</v>
      </c>
      <c r="J1310" s="45">
        <v>0</v>
      </c>
      <c r="K1310" s="45">
        <v>22000</v>
      </c>
      <c r="L1310" s="45">
        <v>0</v>
      </c>
      <c r="M1310" s="45">
        <v>0</v>
      </c>
      <c r="N1310" s="45">
        <v>0</v>
      </c>
      <c r="O1310" s="45">
        <v>0</v>
      </c>
      <c r="P1310" s="45">
        <v>0</v>
      </c>
      <c r="Q1310" s="45">
        <v>0</v>
      </c>
      <c r="R1310" s="45">
        <v>0</v>
      </c>
      <c r="S1310" s="45">
        <v>0</v>
      </c>
      <c r="T1310" s="45">
        <v>0</v>
      </c>
      <c r="U1310" s="45">
        <v>1397</v>
      </c>
      <c r="V1310" s="45">
        <v>0</v>
      </c>
      <c r="W1310" s="45">
        <v>0</v>
      </c>
      <c r="X1310" s="45">
        <v>0</v>
      </c>
      <c r="Y1310" s="45">
        <v>0</v>
      </c>
      <c r="Z1310" s="45">
        <v>0</v>
      </c>
      <c r="AA1310" s="45">
        <v>0</v>
      </c>
      <c r="AB1310" s="45">
        <v>0</v>
      </c>
      <c r="AC1310" s="45">
        <v>0</v>
      </c>
      <c r="AD1310" s="45">
        <v>0</v>
      </c>
      <c r="AE1310" s="45">
        <v>0</v>
      </c>
      <c r="AF1310" s="45">
        <v>0</v>
      </c>
      <c r="AG1310" s="45">
        <v>0</v>
      </c>
      <c r="AH1310" s="45">
        <v>0</v>
      </c>
      <c r="AI1310" s="45">
        <v>0</v>
      </c>
      <c r="AJ1310" s="45">
        <v>0</v>
      </c>
      <c r="AK1310" s="45">
        <v>0</v>
      </c>
      <c r="AL1310" s="45">
        <v>0</v>
      </c>
      <c r="AM1310" s="57" t="str">
        <f>I1310-J1310-K1310-L1310-M1310-N1310-O1310-P1310-Q1310-R1310-S1310-T1310-U1310-V1310-W1310-X1310-Y1310-Z1310-AA1310-AB1310-AC1310-AD1310-AE1310-AF1310-AG1310+AH1310-AI1310+AJ1310+AK1310-AL1310</f>
        <v>0</v>
      </c>
      <c r="AN1310" s="45"/>
    </row>
    <row r="1311" spans="1:41">
      <c r="A1311" s="45">
        <v>1283</v>
      </c>
      <c r="B1311" s="45" t="s">
        <v>5090</v>
      </c>
      <c r="C1311" s="49" t="s">
        <v>5091</v>
      </c>
      <c r="D1311" s="53" t="s">
        <v>73</v>
      </c>
      <c r="E1311" s="45" t="s">
        <v>5057</v>
      </c>
      <c r="F1311" s="45" t="s">
        <v>4342</v>
      </c>
      <c r="G1311" s="45">
        <v>9</v>
      </c>
      <c r="H1311" s="53" t="s">
        <v>5092</v>
      </c>
      <c r="I1311" s="45">
        <v>1420000</v>
      </c>
      <c r="J1311" s="45">
        <v>0</v>
      </c>
      <c r="K1311" s="45">
        <v>44000</v>
      </c>
      <c r="L1311" s="45">
        <v>0</v>
      </c>
      <c r="M1311" s="45">
        <v>0</v>
      </c>
      <c r="N1311" s="45">
        <v>0</v>
      </c>
      <c r="O1311" s="45">
        <v>0</v>
      </c>
      <c r="P1311" s="45">
        <v>0</v>
      </c>
      <c r="Q1311" s="45">
        <v>0</v>
      </c>
      <c r="R1311" s="45">
        <v>0</v>
      </c>
      <c r="S1311" s="45">
        <v>0</v>
      </c>
      <c r="T1311" s="45">
        <v>0</v>
      </c>
      <c r="U1311" s="45">
        <v>2794</v>
      </c>
      <c r="V1311" s="45">
        <v>0</v>
      </c>
      <c r="W1311" s="45">
        <v>0</v>
      </c>
      <c r="X1311" s="45">
        <v>0</v>
      </c>
      <c r="Y1311" s="45">
        <v>0</v>
      </c>
      <c r="Z1311" s="45">
        <v>0</v>
      </c>
      <c r="AA1311" s="45">
        <v>0</v>
      </c>
      <c r="AB1311" s="45">
        <v>0</v>
      </c>
      <c r="AC1311" s="45">
        <v>0</v>
      </c>
      <c r="AD1311" s="45">
        <v>0</v>
      </c>
      <c r="AE1311" s="45">
        <v>0</v>
      </c>
      <c r="AF1311" s="45">
        <v>0</v>
      </c>
      <c r="AG1311" s="45">
        <v>0</v>
      </c>
      <c r="AH1311" s="45">
        <v>0</v>
      </c>
      <c r="AI1311" s="45">
        <v>0</v>
      </c>
      <c r="AJ1311" s="45">
        <v>0</v>
      </c>
      <c r="AK1311" s="45">
        <v>0</v>
      </c>
      <c r="AL1311" s="45">
        <v>0</v>
      </c>
      <c r="AM1311" s="57" t="str">
        <f>I1311-J1311-K1311-L1311-M1311-N1311-O1311-P1311-Q1311-R1311-S1311-T1311-U1311-V1311-W1311-X1311-Y1311-Z1311-AA1311-AB1311-AC1311-AD1311-AE1311-AF1311-AG1311+AH1311-AI1311+AJ1311+AK1311-AL1311</f>
        <v>0</v>
      </c>
      <c r="AN1311" s="45"/>
    </row>
    <row r="1312" spans="1:41">
      <c r="A1312" s="45">
        <v>1284</v>
      </c>
      <c r="B1312" s="45" t="s">
        <v>5093</v>
      </c>
      <c r="C1312" s="49" t="s">
        <v>5094</v>
      </c>
      <c r="D1312" s="53" t="s">
        <v>73</v>
      </c>
      <c r="E1312" s="45" t="s">
        <v>5057</v>
      </c>
      <c r="F1312" s="45" t="s">
        <v>5095</v>
      </c>
      <c r="G1312" s="45">
        <v>5</v>
      </c>
      <c r="H1312" s="53" t="s">
        <v>5096</v>
      </c>
      <c r="I1312" s="45">
        <v>0</v>
      </c>
      <c r="J1312" s="45">
        <v>0</v>
      </c>
      <c r="K1312" s="45">
        <v>27000</v>
      </c>
      <c r="L1312" s="45">
        <v>0</v>
      </c>
      <c r="M1312" s="45">
        <v>0</v>
      </c>
      <c r="N1312" s="45">
        <v>0</v>
      </c>
      <c r="O1312" s="45">
        <v>0</v>
      </c>
      <c r="P1312" s="45">
        <v>0</v>
      </c>
      <c r="Q1312" s="45">
        <v>0</v>
      </c>
      <c r="R1312" s="45">
        <v>0</v>
      </c>
      <c r="S1312" s="45">
        <v>0</v>
      </c>
      <c r="T1312" s="45">
        <v>0</v>
      </c>
      <c r="U1312" s="45">
        <v>1714</v>
      </c>
      <c r="V1312" s="45">
        <v>0</v>
      </c>
      <c r="W1312" s="45">
        <v>0</v>
      </c>
      <c r="X1312" s="45">
        <v>0</v>
      </c>
      <c r="Y1312" s="45">
        <v>0</v>
      </c>
      <c r="Z1312" s="45">
        <v>0</v>
      </c>
      <c r="AA1312" s="45">
        <v>0</v>
      </c>
      <c r="AB1312" s="45">
        <v>0</v>
      </c>
      <c r="AC1312" s="45">
        <v>0</v>
      </c>
      <c r="AD1312" s="45">
        <v>0</v>
      </c>
      <c r="AE1312" s="45">
        <v>0</v>
      </c>
      <c r="AF1312" s="45">
        <v>0</v>
      </c>
      <c r="AG1312" s="45">
        <v>0</v>
      </c>
      <c r="AH1312" s="45">
        <v>0</v>
      </c>
      <c r="AI1312" s="45">
        <v>0</v>
      </c>
      <c r="AJ1312" s="45">
        <v>0</v>
      </c>
      <c r="AK1312" s="45">
        <v>0</v>
      </c>
      <c r="AL1312" s="45">
        <v>0</v>
      </c>
      <c r="AM1312" s="57" t="str">
        <f>I1312-J1312-K1312-L1312-M1312-N1312-O1312-P1312-Q1312-R1312-S1312-T1312-U1312-V1312-W1312-X1312-Y1312-Z1312-AA1312-AB1312-AC1312-AD1312-AE1312-AF1312-AG1312+AH1312-AI1312+AJ1312+AK1312-AL1312</f>
        <v>0</v>
      </c>
      <c r="AN1312" s="45"/>
    </row>
    <row r="1313" spans="1:41">
      <c r="A1313" s="45">
        <v>1285</v>
      </c>
      <c r="B1313" s="45" t="s">
        <v>5097</v>
      </c>
      <c r="C1313" s="49" t="s">
        <v>5098</v>
      </c>
      <c r="D1313" s="53" t="s">
        <v>73</v>
      </c>
      <c r="E1313" s="45" t="s">
        <v>5057</v>
      </c>
      <c r="F1313" s="45" t="s">
        <v>4231</v>
      </c>
      <c r="G1313" s="45">
        <v>10</v>
      </c>
      <c r="H1313" s="53" t="s">
        <v>5099</v>
      </c>
      <c r="I1313" s="45">
        <v>1819000</v>
      </c>
      <c r="J1313" s="45">
        <v>0</v>
      </c>
      <c r="K1313" s="45">
        <v>40000</v>
      </c>
      <c r="L1313" s="45">
        <v>0</v>
      </c>
      <c r="M1313" s="45">
        <v>0</v>
      </c>
      <c r="N1313" s="45">
        <v>0</v>
      </c>
      <c r="O1313" s="45">
        <v>0</v>
      </c>
      <c r="P1313" s="45">
        <v>0</v>
      </c>
      <c r="Q1313" s="45">
        <v>0</v>
      </c>
      <c r="R1313" s="45">
        <v>0</v>
      </c>
      <c r="S1313" s="45">
        <v>0</v>
      </c>
      <c r="T1313" s="45">
        <v>0</v>
      </c>
      <c r="U1313" s="45">
        <v>2540</v>
      </c>
      <c r="V1313" s="45">
        <v>0</v>
      </c>
      <c r="W1313" s="45">
        <v>0</v>
      </c>
      <c r="X1313" s="45">
        <v>0</v>
      </c>
      <c r="Y1313" s="45">
        <v>0</v>
      </c>
      <c r="Z1313" s="45">
        <v>0</v>
      </c>
      <c r="AA1313" s="45">
        <v>0</v>
      </c>
      <c r="AB1313" s="45">
        <v>0</v>
      </c>
      <c r="AC1313" s="45">
        <v>0</v>
      </c>
      <c r="AD1313" s="45">
        <v>0</v>
      </c>
      <c r="AE1313" s="45">
        <v>0</v>
      </c>
      <c r="AF1313" s="45">
        <v>0</v>
      </c>
      <c r="AG1313" s="45">
        <v>0</v>
      </c>
      <c r="AH1313" s="45">
        <v>0</v>
      </c>
      <c r="AI1313" s="45">
        <v>0</v>
      </c>
      <c r="AJ1313" s="45">
        <v>0</v>
      </c>
      <c r="AK1313" s="45">
        <v>0</v>
      </c>
      <c r="AL1313" s="45">
        <v>0</v>
      </c>
      <c r="AM1313" s="57" t="str">
        <f>I1313-J1313-K1313-L1313-M1313-N1313-O1313-P1313-Q1313-R1313-S1313-T1313-U1313-V1313-W1313-X1313-Y1313-Z1313-AA1313-AB1313-AC1313-AD1313-AE1313-AF1313-AG1313+AH1313-AI1313+AJ1313+AK1313-AL1313</f>
        <v>0</v>
      </c>
      <c r="AN1313" s="45"/>
    </row>
    <row r="1314" spans="1:41">
      <c r="A1314" s="45">
        <v>1286</v>
      </c>
      <c r="B1314" s="45" t="s">
        <v>5100</v>
      </c>
      <c r="C1314" s="49" t="s">
        <v>5101</v>
      </c>
      <c r="D1314" s="53" t="s">
        <v>73</v>
      </c>
      <c r="E1314" s="45" t="s">
        <v>5057</v>
      </c>
      <c r="F1314" s="45" t="s">
        <v>5102</v>
      </c>
      <c r="G1314" s="45">
        <v>5</v>
      </c>
      <c r="H1314" s="53" t="s">
        <v>5103</v>
      </c>
      <c r="I1314" s="45">
        <v>1860000</v>
      </c>
      <c r="J1314" s="45">
        <v>0</v>
      </c>
      <c r="K1314" s="45">
        <v>27000</v>
      </c>
      <c r="L1314" s="45">
        <v>0</v>
      </c>
      <c r="M1314" s="45">
        <v>0</v>
      </c>
      <c r="N1314" s="45">
        <v>0</v>
      </c>
      <c r="O1314" s="45">
        <v>0</v>
      </c>
      <c r="P1314" s="45">
        <v>0</v>
      </c>
      <c r="Q1314" s="45">
        <v>0</v>
      </c>
      <c r="R1314" s="45">
        <v>0</v>
      </c>
      <c r="S1314" s="45">
        <v>0</v>
      </c>
      <c r="T1314" s="45">
        <v>0</v>
      </c>
      <c r="U1314" s="45">
        <v>1714</v>
      </c>
      <c r="V1314" s="45">
        <v>0</v>
      </c>
      <c r="W1314" s="45">
        <v>0</v>
      </c>
      <c r="X1314" s="45">
        <v>0</v>
      </c>
      <c r="Y1314" s="45">
        <v>0</v>
      </c>
      <c r="Z1314" s="45">
        <v>0</v>
      </c>
      <c r="AA1314" s="45">
        <v>0</v>
      </c>
      <c r="AB1314" s="45">
        <v>0</v>
      </c>
      <c r="AC1314" s="45">
        <v>0</v>
      </c>
      <c r="AD1314" s="45">
        <v>0</v>
      </c>
      <c r="AE1314" s="45">
        <v>0</v>
      </c>
      <c r="AF1314" s="45">
        <v>0</v>
      </c>
      <c r="AG1314" s="45">
        <v>0</v>
      </c>
      <c r="AH1314" s="45">
        <v>0</v>
      </c>
      <c r="AI1314" s="45">
        <v>0</v>
      </c>
      <c r="AJ1314" s="45">
        <v>0</v>
      </c>
      <c r="AK1314" s="45">
        <v>0</v>
      </c>
      <c r="AL1314" s="45">
        <v>0</v>
      </c>
      <c r="AM1314" s="57" t="str">
        <f>I1314-J1314-K1314-L1314-M1314-N1314-O1314-P1314-Q1314-R1314-S1314-T1314-U1314-V1314-W1314-X1314-Y1314-Z1314-AA1314-AB1314-AC1314-AD1314-AE1314-AF1314-AG1314+AH1314-AI1314+AJ1314+AK1314-AL1314</f>
        <v>0</v>
      </c>
      <c r="AN1314" s="45"/>
    </row>
    <row r="1315" spans="1:41">
      <c r="A1315" s="45">
        <v>1287</v>
      </c>
      <c r="B1315" s="45" t="s">
        <v>5104</v>
      </c>
      <c r="C1315" s="49" t="s">
        <v>5105</v>
      </c>
      <c r="D1315" s="53" t="s">
        <v>73</v>
      </c>
      <c r="E1315" s="45" t="s">
        <v>5057</v>
      </c>
      <c r="F1315" s="45" t="s">
        <v>5106</v>
      </c>
      <c r="G1315" s="45">
        <v>8</v>
      </c>
      <c r="H1315" s="53" t="s">
        <v>5107</v>
      </c>
      <c r="I1315" s="45">
        <v>2050000</v>
      </c>
      <c r="J1315" s="45">
        <v>0</v>
      </c>
      <c r="K1315" s="45">
        <v>39000</v>
      </c>
      <c r="L1315" s="45">
        <v>0</v>
      </c>
      <c r="M1315" s="45">
        <v>0</v>
      </c>
      <c r="N1315" s="45">
        <v>0</v>
      </c>
      <c r="O1315" s="45">
        <v>0</v>
      </c>
      <c r="P1315" s="45">
        <v>0</v>
      </c>
      <c r="Q1315" s="45">
        <v>0</v>
      </c>
      <c r="R1315" s="45">
        <v>0</v>
      </c>
      <c r="S1315" s="45">
        <v>0</v>
      </c>
      <c r="T1315" s="45">
        <v>0</v>
      </c>
      <c r="U1315" s="45">
        <v>2476</v>
      </c>
      <c r="V1315" s="45">
        <v>0</v>
      </c>
      <c r="W1315" s="45">
        <v>0</v>
      </c>
      <c r="X1315" s="45">
        <v>0</v>
      </c>
      <c r="Y1315" s="45">
        <v>0</v>
      </c>
      <c r="Z1315" s="45">
        <v>0</v>
      </c>
      <c r="AA1315" s="45">
        <v>0</v>
      </c>
      <c r="AB1315" s="45">
        <v>0</v>
      </c>
      <c r="AC1315" s="45">
        <v>0</v>
      </c>
      <c r="AD1315" s="45">
        <v>0</v>
      </c>
      <c r="AE1315" s="45">
        <v>0</v>
      </c>
      <c r="AF1315" s="45">
        <v>0</v>
      </c>
      <c r="AG1315" s="45">
        <v>0</v>
      </c>
      <c r="AH1315" s="45">
        <v>0</v>
      </c>
      <c r="AI1315" s="45">
        <v>0</v>
      </c>
      <c r="AJ1315" s="45">
        <v>0</v>
      </c>
      <c r="AK1315" s="45">
        <v>0</v>
      </c>
      <c r="AL1315" s="45">
        <v>0</v>
      </c>
      <c r="AM1315" s="57" t="str">
        <f>I1315-J1315-K1315-L1315-M1315-N1315-O1315-P1315-Q1315-R1315-S1315-T1315-U1315-V1315-W1315-X1315-Y1315-Z1315-AA1315-AB1315-AC1315-AD1315-AE1315-AF1315-AG1315+AH1315-AI1315+AJ1315+AK1315-AL1315</f>
        <v>0</v>
      </c>
      <c r="AN1315" s="45"/>
    </row>
    <row r="1316" spans="1:41">
      <c r="A1316" s="45">
        <v>1288</v>
      </c>
      <c r="B1316" s="45" t="s">
        <v>5108</v>
      </c>
      <c r="C1316" s="49" t="s">
        <v>5109</v>
      </c>
      <c r="D1316" s="53" t="s">
        <v>73</v>
      </c>
      <c r="E1316" s="45" t="s">
        <v>5057</v>
      </c>
      <c r="F1316" s="45" t="s">
        <v>5110</v>
      </c>
      <c r="G1316" s="45">
        <v>3</v>
      </c>
      <c r="H1316" s="53" t="s">
        <v>5111</v>
      </c>
      <c r="I1316" s="45">
        <v>334000</v>
      </c>
      <c r="J1316" s="45">
        <v>0</v>
      </c>
      <c r="K1316" s="45">
        <v>22000</v>
      </c>
      <c r="L1316" s="45">
        <v>0</v>
      </c>
      <c r="M1316" s="45">
        <v>0</v>
      </c>
      <c r="N1316" s="45">
        <v>0</v>
      </c>
      <c r="O1316" s="45">
        <v>0</v>
      </c>
      <c r="P1316" s="45">
        <v>0</v>
      </c>
      <c r="Q1316" s="45">
        <v>0</v>
      </c>
      <c r="R1316" s="45">
        <v>0</v>
      </c>
      <c r="S1316" s="45">
        <v>0</v>
      </c>
      <c r="T1316" s="45">
        <v>0</v>
      </c>
      <c r="U1316" s="45">
        <v>1397</v>
      </c>
      <c r="V1316" s="45">
        <v>0</v>
      </c>
      <c r="W1316" s="45">
        <v>0</v>
      </c>
      <c r="X1316" s="45">
        <v>0</v>
      </c>
      <c r="Y1316" s="45">
        <v>0</v>
      </c>
      <c r="Z1316" s="45">
        <v>0</v>
      </c>
      <c r="AA1316" s="45">
        <v>0</v>
      </c>
      <c r="AB1316" s="45">
        <v>0</v>
      </c>
      <c r="AC1316" s="45">
        <v>0</v>
      </c>
      <c r="AD1316" s="45">
        <v>0</v>
      </c>
      <c r="AE1316" s="45">
        <v>0</v>
      </c>
      <c r="AF1316" s="45">
        <v>0</v>
      </c>
      <c r="AG1316" s="45">
        <v>0</v>
      </c>
      <c r="AH1316" s="45">
        <v>0</v>
      </c>
      <c r="AI1316" s="45">
        <v>0</v>
      </c>
      <c r="AJ1316" s="45">
        <v>0</v>
      </c>
      <c r="AK1316" s="45">
        <v>0</v>
      </c>
      <c r="AL1316" s="45">
        <v>0</v>
      </c>
      <c r="AM1316" s="57" t="str">
        <f>I1316-J1316-K1316-L1316-M1316-N1316-O1316-P1316-Q1316-R1316-S1316-T1316-U1316-V1316-W1316-X1316-Y1316-Z1316-AA1316-AB1316-AC1316-AD1316-AE1316-AF1316-AG1316+AH1316-AI1316+AJ1316+AK1316-AL1316</f>
        <v>0</v>
      </c>
      <c r="AN1316" s="45"/>
    </row>
    <row r="1317" spans="1:41">
      <c r="A1317" s="45">
        <v>1289</v>
      </c>
      <c r="B1317" s="45" t="s">
        <v>5112</v>
      </c>
      <c r="C1317" s="49" t="s">
        <v>5113</v>
      </c>
      <c r="D1317" s="53" t="s">
        <v>73</v>
      </c>
      <c r="E1317" s="45" t="s">
        <v>5057</v>
      </c>
      <c r="F1317" s="45" t="s">
        <v>1171</v>
      </c>
      <c r="G1317" s="45">
        <v>2</v>
      </c>
      <c r="H1317" s="53" t="s">
        <v>5114</v>
      </c>
      <c r="I1317" s="45">
        <v>265000</v>
      </c>
      <c r="J1317" s="45">
        <v>0</v>
      </c>
      <c r="K1317" s="45">
        <v>22000</v>
      </c>
      <c r="L1317" s="45">
        <v>0</v>
      </c>
      <c r="M1317" s="45">
        <v>0</v>
      </c>
      <c r="N1317" s="45">
        <v>0</v>
      </c>
      <c r="O1317" s="45">
        <v>0</v>
      </c>
      <c r="P1317" s="45">
        <v>0</v>
      </c>
      <c r="Q1317" s="45">
        <v>0</v>
      </c>
      <c r="R1317" s="45">
        <v>0</v>
      </c>
      <c r="S1317" s="45">
        <v>0</v>
      </c>
      <c r="T1317" s="45">
        <v>0</v>
      </c>
      <c r="U1317" s="45">
        <v>1397</v>
      </c>
      <c r="V1317" s="45">
        <v>0</v>
      </c>
      <c r="W1317" s="45">
        <v>0</v>
      </c>
      <c r="X1317" s="45">
        <v>0</v>
      </c>
      <c r="Y1317" s="45">
        <v>0</v>
      </c>
      <c r="Z1317" s="45">
        <v>0</v>
      </c>
      <c r="AA1317" s="45">
        <v>0</v>
      </c>
      <c r="AB1317" s="45">
        <v>0</v>
      </c>
      <c r="AC1317" s="45">
        <v>0</v>
      </c>
      <c r="AD1317" s="45">
        <v>0</v>
      </c>
      <c r="AE1317" s="45">
        <v>0</v>
      </c>
      <c r="AF1317" s="45">
        <v>0</v>
      </c>
      <c r="AG1317" s="45">
        <v>0</v>
      </c>
      <c r="AH1317" s="45">
        <v>0</v>
      </c>
      <c r="AI1317" s="45">
        <v>0</v>
      </c>
      <c r="AJ1317" s="45">
        <v>0</v>
      </c>
      <c r="AK1317" s="45">
        <v>0</v>
      </c>
      <c r="AL1317" s="45">
        <v>0</v>
      </c>
      <c r="AM1317" s="57" t="str">
        <f>I1317-J1317-K1317-L1317-M1317-N1317-O1317-P1317-Q1317-R1317-S1317-T1317-U1317-V1317-W1317-X1317-Y1317-Z1317-AA1317-AB1317-AC1317-AD1317-AE1317-AF1317-AG1317+AH1317-AI1317+AJ1317+AK1317-AL1317</f>
        <v>0</v>
      </c>
      <c r="AN1317" s="45"/>
    </row>
    <row r="1318" spans="1:41">
      <c r="A1318" s="45">
        <v>1290</v>
      </c>
      <c r="B1318" s="45" t="s">
        <v>5115</v>
      </c>
      <c r="C1318" s="49" t="s">
        <v>5116</v>
      </c>
      <c r="D1318" s="53" t="s">
        <v>73</v>
      </c>
      <c r="E1318" s="45" t="s">
        <v>5057</v>
      </c>
      <c r="F1318" s="45" t="s">
        <v>5117</v>
      </c>
      <c r="G1318" s="45">
        <v>5.8</v>
      </c>
      <c r="H1318" s="53" t="s">
        <v>5118</v>
      </c>
      <c r="I1318" s="45">
        <v>584000</v>
      </c>
      <c r="J1318" s="45">
        <v>0</v>
      </c>
      <c r="K1318" s="45">
        <v>31000</v>
      </c>
      <c r="L1318" s="45">
        <v>0</v>
      </c>
      <c r="M1318" s="45">
        <v>0</v>
      </c>
      <c r="N1318" s="45">
        <v>0</v>
      </c>
      <c r="O1318" s="45">
        <v>0</v>
      </c>
      <c r="P1318" s="45">
        <v>0</v>
      </c>
      <c r="Q1318" s="45">
        <v>0</v>
      </c>
      <c r="R1318" s="45">
        <v>0</v>
      </c>
      <c r="S1318" s="45">
        <v>0</v>
      </c>
      <c r="T1318" s="45">
        <v>0</v>
      </c>
      <c r="U1318" s="45">
        <v>1968</v>
      </c>
      <c r="V1318" s="45">
        <v>0</v>
      </c>
      <c r="W1318" s="45">
        <v>0</v>
      </c>
      <c r="X1318" s="45">
        <v>0</v>
      </c>
      <c r="Y1318" s="45">
        <v>0</v>
      </c>
      <c r="Z1318" s="45">
        <v>0</v>
      </c>
      <c r="AA1318" s="45">
        <v>0</v>
      </c>
      <c r="AB1318" s="45">
        <v>0</v>
      </c>
      <c r="AC1318" s="45">
        <v>0</v>
      </c>
      <c r="AD1318" s="45">
        <v>0</v>
      </c>
      <c r="AE1318" s="45">
        <v>0</v>
      </c>
      <c r="AF1318" s="45">
        <v>0</v>
      </c>
      <c r="AG1318" s="45">
        <v>0</v>
      </c>
      <c r="AH1318" s="45">
        <v>0</v>
      </c>
      <c r="AI1318" s="45">
        <v>0</v>
      </c>
      <c r="AJ1318" s="45">
        <v>0</v>
      </c>
      <c r="AK1318" s="45">
        <v>0</v>
      </c>
      <c r="AL1318" s="45">
        <v>0</v>
      </c>
      <c r="AM1318" s="57" t="str">
        <f>I1318-J1318-K1318-L1318-M1318-N1318-O1318-P1318-Q1318-R1318-S1318-T1318-U1318-V1318-W1318-X1318-Y1318-Z1318-AA1318-AB1318-AC1318-AD1318-AE1318-AF1318-AG1318+AH1318-AI1318+AJ1318+AK1318-AL1318</f>
        <v>0</v>
      </c>
      <c r="AN1318" s="45"/>
    </row>
    <row r="1319" spans="1:41">
      <c r="A1319" s="45">
        <v>1291</v>
      </c>
      <c r="B1319" s="45" t="s">
        <v>5119</v>
      </c>
      <c r="C1319" s="49" t="s">
        <v>5120</v>
      </c>
      <c r="D1319" s="53" t="s">
        <v>73</v>
      </c>
      <c r="E1319" s="45" t="s">
        <v>5057</v>
      </c>
      <c r="F1319" s="45" t="s">
        <v>5121</v>
      </c>
      <c r="G1319" s="45">
        <v>3</v>
      </c>
      <c r="H1319" s="53" t="s">
        <v>5122</v>
      </c>
      <c r="I1319" s="45">
        <v>560000</v>
      </c>
      <c r="J1319" s="45">
        <v>0</v>
      </c>
      <c r="K1319" s="45">
        <v>22000</v>
      </c>
      <c r="L1319" s="45">
        <v>0</v>
      </c>
      <c r="M1319" s="45">
        <v>0</v>
      </c>
      <c r="N1319" s="45">
        <v>0</v>
      </c>
      <c r="O1319" s="45">
        <v>0</v>
      </c>
      <c r="P1319" s="45">
        <v>0</v>
      </c>
      <c r="Q1319" s="45">
        <v>0</v>
      </c>
      <c r="R1319" s="45">
        <v>0</v>
      </c>
      <c r="S1319" s="45">
        <v>0</v>
      </c>
      <c r="T1319" s="45">
        <v>0</v>
      </c>
      <c r="U1319" s="45">
        <v>1397</v>
      </c>
      <c r="V1319" s="45">
        <v>0</v>
      </c>
      <c r="W1319" s="45">
        <v>0</v>
      </c>
      <c r="X1319" s="45">
        <v>0</v>
      </c>
      <c r="Y1319" s="45">
        <v>0</v>
      </c>
      <c r="Z1319" s="45">
        <v>0</v>
      </c>
      <c r="AA1319" s="45">
        <v>0</v>
      </c>
      <c r="AB1319" s="45">
        <v>0</v>
      </c>
      <c r="AC1319" s="45">
        <v>0</v>
      </c>
      <c r="AD1319" s="45">
        <v>0</v>
      </c>
      <c r="AE1319" s="45">
        <v>0</v>
      </c>
      <c r="AF1319" s="45">
        <v>0</v>
      </c>
      <c r="AG1319" s="45">
        <v>0</v>
      </c>
      <c r="AH1319" s="45">
        <v>0</v>
      </c>
      <c r="AI1319" s="45">
        <v>0</v>
      </c>
      <c r="AJ1319" s="45">
        <v>0</v>
      </c>
      <c r="AK1319" s="45">
        <v>0</v>
      </c>
      <c r="AL1319" s="45">
        <v>0</v>
      </c>
      <c r="AM1319" s="57" t="str">
        <f>I1319-J1319-K1319-L1319-M1319-N1319-O1319-P1319-Q1319-R1319-S1319-T1319-U1319-V1319-W1319-X1319-Y1319-Z1319-AA1319-AB1319-AC1319-AD1319-AE1319-AF1319-AG1319+AH1319-AI1319+AJ1319+AK1319-AL1319</f>
        <v>0</v>
      </c>
      <c r="AN1319" s="45"/>
    </row>
    <row r="1320" spans="1:41">
      <c r="A1320" s="45">
        <v>1292</v>
      </c>
      <c r="B1320" s="45" t="s">
        <v>5123</v>
      </c>
      <c r="C1320" s="49" t="s">
        <v>5124</v>
      </c>
      <c r="D1320" s="53" t="s">
        <v>73</v>
      </c>
      <c r="E1320" s="45" t="s">
        <v>5057</v>
      </c>
      <c r="F1320" s="45" t="s">
        <v>5125</v>
      </c>
      <c r="G1320" s="45">
        <v>3</v>
      </c>
      <c r="H1320" s="53" t="s">
        <v>5126</v>
      </c>
      <c r="I1320" s="45">
        <v>0</v>
      </c>
      <c r="J1320" s="45">
        <v>0</v>
      </c>
      <c r="K1320" s="45">
        <v>22000</v>
      </c>
      <c r="L1320" s="45">
        <v>0</v>
      </c>
      <c r="M1320" s="45">
        <v>0</v>
      </c>
      <c r="N1320" s="45">
        <v>0</v>
      </c>
      <c r="O1320" s="45">
        <v>0</v>
      </c>
      <c r="P1320" s="45">
        <v>0</v>
      </c>
      <c r="Q1320" s="45">
        <v>0</v>
      </c>
      <c r="R1320" s="45">
        <v>0</v>
      </c>
      <c r="S1320" s="45">
        <v>0</v>
      </c>
      <c r="T1320" s="45">
        <v>0</v>
      </c>
      <c r="U1320" s="45">
        <v>1397</v>
      </c>
      <c r="V1320" s="45">
        <v>0</v>
      </c>
      <c r="W1320" s="45">
        <v>0</v>
      </c>
      <c r="X1320" s="45">
        <v>0</v>
      </c>
      <c r="Y1320" s="45">
        <v>0</v>
      </c>
      <c r="Z1320" s="45">
        <v>0</v>
      </c>
      <c r="AA1320" s="45">
        <v>0</v>
      </c>
      <c r="AB1320" s="45">
        <v>0</v>
      </c>
      <c r="AC1320" s="45">
        <v>0</v>
      </c>
      <c r="AD1320" s="45">
        <v>0</v>
      </c>
      <c r="AE1320" s="45">
        <v>0</v>
      </c>
      <c r="AF1320" s="45">
        <v>0</v>
      </c>
      <c r="AG1320" s="45">
        <v>0</v>
      </c>
      <c r="AH1320" s="45">
        <v>0</v>
      </c>
      <c r="AI1320" s="45">
        <v>0</v>
      </c>
      <c r="AJ1320" s="45">
        <v>0</v>
      </c>
      <c r="AK1320" s="45">
        <v>0</v>
      </c>
      <c r="AL1320" s="45">
        <v>0</v>
      </c>
      <c r="AM1320" s="57" t="str">
        <f>I1320-J1320-K1320-L1320-M1320-N1320-O1320-P1320-Q1320-R1320-S1320-T1320-U1320-V1320-W1320-X1320-Y1320-Z1320-AA1320-AB1320-AC1320-AD1320-AE1320-AF1320-AG1320+AH1320-AI1320+AJ1320+AK1320-AL1320</f>
        <v>0</v>
      </c>
      <c r="AN1320" s="45"/>
    </row>
    <row r="1321" spans="1:41">
      <c r="A1321" s="45">
        <v>1293</v>
      </c>
      <c r="B1321" s="45" t="s">
        <v>5127</v>
      </c>
      <c r="C1321" s="49" t="s">
        <v>5128</v>
      </c>
      <c r="D1321" s="53" t="s">
        <v>73</v>
      </c>
      <c r="E1321" s="45" t="s">
        <v>5057</v>
      </c>
      <c r="F1321" s="45" t="s">
        <v>5129</v>
      </c>
      <c r="G1321" s="45">
        <v>2</v>
      </c>
      <c r="H1321" s="53" t="s">
        <v>5130</v>
      </c>
      <c r="I1321" s="45">
        <v>335000</v>
      </c>
      <c r="J1321" s="45">
        <v>0</v>
      </c>
      <c r="K1321" s="45">
        <v>22000</v>
      </c>
      <c r="L1321" s="45">
        <v>0</v>
      </c>
      <c r="M1321" s="45">
        <v>0</v>
      </c>
      <c r="N1321" s="45">
        <v>0</v>
      </c>
      <c r="O1321" s="45">
        <v>0</v>
      </c>
      <c r="P1321" s="45">
        <v>0</v>
      </c>
      <c r="Q1321" s="45">
        <v>0</v>
      </c>
      <c r="R1321" s="45">
        <v>0</v>
      </c>
      <c r="S1321" s="45">
        <v>0</v>
      </c>
      <c r="T1321" s="45">
        <v>0</v>
      </c>
      <c r="U1321" s="45">
        <v>1397</v>
      </c>
      <c r="V1321" s="45">
        <v>0</v>
      </c>
      <c r="W1321" s="45">
        <v>0</v>
      </c>
      <c r="X1321" s="45">
        <v>0</v>
      </c>
      <c r="Y1321" s="45">
        <v>0</v>
      </c>
      <c r="Z1321" s="45">
        <v>0</v>
      </c>
      <c r="AA1321" s="45">
        <v>0</v>
      </c>
      <c r="AB1321" s="45">
        <v>0</v>
      </c>
      <c r="AC1321" s="45">
        <v>0</v>
      </c>
      <c r="AD1321" s="45">
        <v>0</v>
      </c>
      <c r="AE1321" s="45">
        <v>0</v>
      </c>
      <c r="AF1321" s="45">
        <v>0</v>
      </c>
      <c r="AG1321" s="45">
        <v>0</v>
      </c>
      <c r="AH1321" s="45">
        <v>0</v>
      </c>
      <c r="AI1321" s="45">
        <v>0</v>
      </c>
      <c r="AJ1321" s="45">
        <v>0</v>
      </c>
      <c r="AK1321" s="45">
        <v>0</v>
      </c>
      <c r="AL1321" s="45">
        <v>0</v>
      </c>
      <c r="AM1321" s="57" t="str">
        <f>I1321-J1321-K1321-L1321-M1321-N1321-O1321-P1321-Q1321-R1321-S1321-T1321-U1321-V1321-W1321-X1321-Y1321-Z1321-AA1321-AB1321-AC1321-AD1321-AE1321-AF1321-AG1321+AH1321-AI1321+AJ1321+AK1321-AL1321</f>
        <v>0</v>
      </c>
      <c r="AN1321" s="45"/>
    </row>
    <row r="1322" spans="1:41">
      <c r="A1322" s="45">
        <v>1294</v>
      </c>
      <c r="B1322" s="45" t="s">
        <v>5131</v>
      </c>
      <c r="C1322" s="49" t="s">
        <v>5132</v>
      </c>
      <c r="D1322" s="53" t="s">
        <v>73</v>
      </c>
      <c r="E1322" s="45" t="s">
        <v>5133</v>
      </c>
      <c r="F1322" s="45" t="s">
        <v>5134</v>
      </c>
      <c r="G1322" s="45">
        <v>2</v>
      </c>
      <c r="H1322" s="53" t="s">
        <v>5135</v>
      </c>
      <c r="I1322" s="45">
        <v>364000</v>
      </c>
      <c r="J1322" s="45">
        <v>0</v>
      </c>
      <c r="K1322" s="45">
        <v>22000</v>
      </c>
      <c r="L1322" s="45">
        <v>0</v>
      </c>
      <c r="M1322" s="45">
        <v>0</v>
      </c>
      <c r="N1322" s="45">
        <v>0</v>
      </c>
      <c r="O1322" s="45">
        <v>0</v>
      </c>
      <c r="P1322" s="45">
        <v>0</v>
      </c>
      <c r="Q1322" s="45">
        <v>0</v>
      </c>
      <c r="R1322" s="45">
        <v>0</v>
      </c>
      <c r="S1322" s="45">
        <v>0</v>
      </c>
      <c r="T1322" s="45">
        <v>0</v>
      </c>
      <c r="U1322" s="45">
        <v>1397</v>
      </c>
      <c r="V1322" s="45">
        <v>0</v>
      </c>
      <c r="W1322" s="45">
        <v>0</v>
      </c>
      <c r="X1322" s="45">
        <v>0</v>
      </c>
      <c r="Y1322" s="45">
        <v>0</v>
      </c>
      <c r="Z1322" s="45">
        <v>0</v>
      </c>
      <c r="AA1322" s="45">
        <v>0</v>
      </c>
      <c r="AB1322" s="45">
        <v>0</v>
      </c>
      <c r="AC1322" s="45">
        <v>0</v>
      </c>
      <c r="AD1322" s="45">
        <v>0</v>
      </c>
      <c r="AE1322" s="45">
        <v>0</v>
      </c>
      <c r="AF1322" s="45">
        <v>0</v>
      </c>
      <c r="AG1322" s="45">
        <v>0</v>
      </c>
      <c r="AH1322" s="45">
        <v>0</v>
      </c>
      <c r="AI1322" s="45">
        <v>0</v>
      </c>
      <c r="AJ1322" s="45">
        <v>0</v>
      </c>
      <c r="AK1322" s="45">
        <v>0</v>
      </c>
      <c r="AL1322" s="45">
        <v>0</v>
      </c>
      <c r="AM1322" s="57" t="str">
        <f>I1322-J1322-K1322-L1322-M1322-N1322-O1322-P1322-Q1322-R1322-S1322-T1322-U1322-V1322-W1322-X1322-Y1322-Z1322-AA1322-AB1322-AC1322-AD1322-AE1322-AF1322-AG1322+AH1322-AI1322+AJ1322+AK1322-AL1322</f>
        <v>0</v>
      </c>
      <c r="AN1322" s="45"/>
    </row>
    <row r="1323" spans="1:41">
      <c r="A1323" s="45">
        <v>1295</v>
      </c>
      <c r="B1323" s="45" t="s">
        <v>5136</v>
      </c>
      <c r="C1323" s="49" t="s">
        <v>5137</v>
      </c>
      <c r="D1323" s="53" t="s">
        <v>62</v>
      </c>
      <c r="E1323" s="45" t="s">
        <v>5133</v>
      </c>
      <c r="F1323" s="45" t="s">
        <v>5129</v>
      </c>
      <c r="G1323" s="45">
        <v>2</v>
      </c>
      <c r="H1323" s="53" t="s">
        <v>5138</v>
      </c>
      <c r="I1323" s="45">
        <v>0</v>
      </c>
      <c r="J1323" s="45">
        <v>0</v>
      </c>
      <c r="K1323" s="45">
        <v>22000</v>
      </c>
      <c r="L1323" s="45">
        <v>0</v>
      </c>
      <c r="M1323" s="45">
        <v>0</v>
      </c>
      <c r="N1323" s="45">
        <v>0</v>
      </c>
      <c r="O1323" s="45">
        <v>0</v>
      </c>
      <c r="P1323" s="45">
        <v>0</v>
      </c>
      <c r="Q1323" s="45">
        <v>0</v>
      </c>
      <c r="R1323" s="45">
        <v>0</v>
      </c>
      <c r="S1323" s="45">
        <v>0</v>
      </c>
      <c r="T1323" s="45">
        <v>0</v>
      </c>
      <c r="U1323" s="45">
        <v>1397</v>
      </c>
      <c r="V1323" s="45">
        <v>0</v>
      </c>
      <c r="W1323" s="45">
        <v>0</v>
      </c>
      <c r="X1323" s="45">
        <v>0</v>
      </c>
      <c r="Y1323" s="45">
        <v>5000</v>
      </c>
      <c r="Z1323" s="45">
        <v>0</v>
      </c>
      <c r="AA1323" s="45">
        <v>0</v>
      </c>
      <c r="AB1323" s="45">
        <v>0</v>
      </c>
      <c r="AC1323" s="45">
        <v>0</v>
      </c>
      <c r="AD1323" s="45">
        <v>0</v>
      </c>
      <c r="AE1323" s="45">
        <v>0</v>
      </c>
      <c r="AF1323" s="45">
        <v>0</v>
      </c>
      <c r="AG1323" s="45">
        <v>0</v>
      </c>
      <c r="AH1323" s="45">
        <v>0</v>
      </c>
      <c r="AI1323" s="45">
        <v>0</v>
      </c>
      <c r="AJ1323" s="45">
        <v>0</v>
      </c>
      <c r="AK1323" s="45">
        <v>0</v>
      </c>
      <c r="AL1323" s="45">
        <v>0</v>
      </c>
      <c r="AM1323" s="57" t="str">
        <f>I1323-J1323-K1323-L1323-M1323-N1323-O1323-P1323-Q1323-R1323-S1323-T1323-U1323-V1323-W1323-X1323-Y1323-Z1323-AA1323-AB1323-AC1323-AD1323-AE1323-AF1323-AG1323+AH1323-AI1323+AJ1323+AK1323-AL1323</f>
        <v>0</v>
      </c>
      <c r="AN1323" s="45"/>
    </row>
    <row r="1324" spans="1:41">
      <c r="A1324" s="45">
        <v>1296</v>
      </c>
      <c r="B1324" s="45" t="s">
        <v>5139</v>
      </c>
      <c r="C1324" s="49" t="s">
        <v>5140</v>
      </c>
      <c r="D1324" s="53" t="s">
        <v>73</v>
      </c>
      <c r="E1324" s="45" t="s">
        <v>5133</v>
      </c>
      <c r="F1324" s="45" t="s">
        <v>5141</v>
      </c>
      <c r="G1324" s="45">
        <v>5</v>
      </c>
      <c r="H1324" s="53" t="s">
        <v>5142</v>
      </c>
      <c r="I1324" s="45">
        <v>30000</v>
      </c>
      <c r="J1324" s="45">
        <v>0</v>
      </c>
      <c r="K1324" s="45">
        <v>27000</v>
      </c>
      <c r="L1324" s="45">
        <v>0</v>
      </c>
      <c r="M1324" s="45">
        <v>0</v>
      </c>
      <c r="N1324" s="45">
        <v>0</v>
      </c>
      <c r="O1324" s="45">
        <v>0</v>
      </c>
      <c r="P1324" s="45">
        <v>0</v>
      </c>
      <c r="Q1324" s="45">
        <v>0</v>
      </c>
      <c r="R1324" s="45">
        <v>0</v>
      </c>
      <c r="S1324" s="45">
        <v>0</v>
      </c>
      <c r="T1324" s="45">
        <v>0</v>
      </c>
      <c r="U1324" s="45">
        <v>1714</v>
      </c>
      <c r="V1324" s="45">
        <v>0</v>
      </c>
      <c r="W1324" s="45">
        <v>0</v>
      </c>
      <c r="X1324" s="45">
        <v>0</v>
      </c>
      <c r="Y1324" s="45">
        <v>13500</v>
      </c>
      <c r="Z1324" s="45">
        <v>0</v>
      </c>
      <c r="AA1324" s="45">
        <v>0</v>
      </c>
      <c r="AB1324" s="45">
        <v>0</v>
      </c>
      <c r="AC1324" s="45">
        <v>0</v>
      </c>
      <c r="AD1324" s="45">
        <v>0</v>
      </c>
      <c r="AE1324" s="45">
        <v>0</v>
      </c>
      <c r="AF1324" s="45">
        <v>0</v>
      </c>
      <c r="AG1324" s="45">
        <v>0</v>
      </c>
      <c r="AH1324" s="45">
        <v>0</v>
      </c>
      <c r="AI1324" s="45">
        <v>0</v>
      </c>
      <c r="AJ1324" s="45">
        <v>0</v>
      </c>
      <c r="AK1324" s="45">
        <v>0</v>
      </c>
      <c r="AL1324" s="45">
        <v>0</v>
      </c>
      <c r="AM1324" s="57" t="str">
        <f>I1324-J1324-K1324-L1324-M1324-N1324-O1324-P1324-Q1324-R1324-S1324-T1324-U1324-V1324-W1324-X1324-Y1324-Z1324-AA1324-AB1324-AC1324-AD1324-AE1324-AF1324-AG1324+AH1324-AI1324+AJ1324+AK1324-AL1324</f>
        <v>0</v>
      </c>
      <c r="AN1324" s="45"/>
    </row>
    <row r="1325" spans="1:41">
      <c r="A1325" s="45">
        <v>1297</v>
      </c>
      <c r="B1325" s="45" t="s">
        <v>5143</v>
      </c>
      <c r="C1325" s="49" t="s">
        <v>5144</v>
      </c>
      <c r="D1325" s="53" t="s">
        <v>73</v>
      </c>
      <c r="E1325" s="45" t="s">
        <v>5133</v>
      </c>
      <c r="F1325" s="45" t="s">
        <v>5145</v>
      </c>
      <c r="G1325" s="45">
        <v>3</v>
      </c>
      <c r="H1325" s="53" t="s">
        <v>5146</v>
      </c>
      <c r="I1325" s="45">
        <v>245000</v>
      </c>
      <c r="J1325" s="45">
        <v>0</v>
      </c>
      <c r="K1325" s="45">
        <v>22000</v>
      </c>
      <c r="L1325" s="45">
        <v>0</v>
      </c>
      <c r="M1325" s="45">
        <v>0</v>
      </c>
      <c r="N1325" s="45">
        <v>0</v>
      </c>
      <c r="O1325" s="45">
        <v>0</v>
      </c>
      <c r="P1325" s="45">
        <v>0</v>
      </c>
      <c r="Q1325" s="45">
        <v>0</v>
      </c>
      <c r="R1325" s="45">
        <v>0</v>
      </c>
      <c r="S1325" s="45">
        <v>0</v>
      </c>
      <c r="T1325" s="45">
        <v>0</v>
      </c>
      <c r="U1325" s="45">
        <v>1397</v>
      </c>
      <c r="V1325" s="45">
        <v>0</v>
      </c>
      <c r="W1325" s="45">
        <v>0</v>
      </c>
      <c r="X1325" s="45">
        <v>0</v>
      </c>
      <c r="Y1325" s="45">
        <v>0</v>
      </c>
      <c r="Z1325" s="45">
        <v>0</v>
      </c>
      <c r="AA1325" s="45">
        <v>0</v>
      </c>
      <c r="AB1325" s="45">
        <v>0</v>
      </c>
      <c r="AC1325" s="45">
        <v>0</v>
      </c>
      <c r="AD1325" s="45">
        <v>0</v>
      </c>
      <c r="AE1325" s="45">
        <v>0</v>
      </c>
      <c r="AF1325" s="45">
        <v>0</v>
      </c>
      <c r="AG1325" s="45">
        <v>0</v>
      </c>
      <c r="AH1325" s="45">
        <v>0</v>
      </c>
      <c r="AI1325" s="45">
        <v>0</v>
      </c>
      <c r="AJ1325" s="45">
        <v>0</v>
      </c>
      <c r="AK1325" s="45">
        <v>0</v>
      </c>
      <c r="AL1325" s="45">
        <v>0</v>
      </c>
      <c r="AM1325" s="57" t="str">
        <f>I1325-J1325-K1325-L1325-M1325-N1325-O1325-P1325-Q1325-R1325-S1325-T1325-U1325-V1325-W1325-X1325-Y1325-Z1325-AA1325-AB1325-AC1325-AD1325-AE1325-AF1325-AG1325+AH1325-AI1325+AJ1325+AK1325-AL1325</f>
        <v>0</v>
      </c>
      <c r="AN1325" s="45"/>
    </row>
    <row r="1326" spans="1:41">
      <c r="A1326" s="45">
        <v>1298</v>
      </c>
      <c r="B1326" s="45" t="s">
        <v>5147</v>
      </c>
      <c r="C1326" s="49" t="s">
        <v>5148</v>
      </c>
      <c r="D1326" s="53" t="s">
        <v>73</v>
      </c>
      <c r="E1326" s="45" t="s">
        <v>5133</v>
      </c>
      <c r="F1326" s="45" t="s">
        <v>5149</v>
      </c>
      <c r="G1326" s="45">
        <v>4</v>
      </c>
      <c r="H1326" s="53" t="s">
        <v>3684</v>
      </c>
      <c r="I1326" s="45">
        <v>1091000</v>
      </c>
      <c r="J1326" s="45">
        <v>0</v>
      </c>
      <c r="K1326" s="45">
        <v>25000</v>
      </c>
      <c r="L1326" s="45">
        <v>0</v>
      </c>
      <c r="M1326" s="45">
        <v>0</v>
      </c>
      <c r="N1326" s="45">
        <v>0</v>
      </c>
      <c r="O1326" s="45">
        <v>0</v>
      </c>
      <c r="P1326" s="45">
        <v>0</v>
      </c>
      <c r="Q1326" s="45">
        <v>0</v>
      </c>
      <c r="R1326" s="45">
        <v>0</v>
      </c>
      <c r="S1326" s="45">
        <v>0</v>
      </c>
      <c r="T1326" s="45">
        <v>0</v>
      </c>
      <c r="U1326" s="45">
        <v>1587</v>
      </c>
      <c r="V1326" s="45">
        <v>0</v>
      </c>
      <c r="W1326" s="45">
        <v>0</v>
      </c>
      <c r="X1326" s="45">
        <v>0</v>
      </c>
      <c r="Y1326" s="45">
        <v>0</v>
      </c>
      <c r="Z1326" s="45">
        <v>0</v>
      </c>
      <c r="AA1326" s="45">
        <v>0</v>
      </c>
      <c r="AB1326" s="45">
        <v>0</v>
      </c>
      <c r="AC1326" s="45">
        <v>0</v>
      </c>
      <c r="AD1326" s="45">
        <v>0</v>
      </c>
      <c r="AE1326" s="45">
        <v>0</v>
      </c>
      <c r="AF1326" s="45">
        <v>0</v>
      </c>
      <c r="AG1326" s="45">
        <v>0</v>
      </c>
      <c r="AH1326" s="45">
        <v>0</v>
      </c>
      <c r="AI1326" s="45">
        <v>0</v>
      </c>
      <c r="AJ1326" s="45">
        <v>0</v>
      </c>
      <c r="AK1326" s="45">
        <v>0</v>
      </c>
      <c r="AL1326" s="45">
        <v>0</v>
      </c>
      <c r="AM1326" s="57" t="str">
        <f>I1326-J1326-K1326-L1326-M1326-N1326-O1326-P1326-Q1326-R1326-S1326-T1326-U1326-V1326-W1326-X1326-Y1326-Z1326-AA1326-AB1326-AC1326-AD1326-AE1326-AF1326-AG1326+AH1326-AI1326+AJ1326+AK1326-AL1326</f>
        <v>0</v>
      </c>
      <c r="AN1326" s="45"/>
    </row>
    <row r="1327" spans="1:41">
      <c r="A1327" s="45">
        <v>1299</v>
      </c>
      <c r="B1327" s="45" t="s">
        <v>5150</v>
      </c>
      <c r="C1327" s="49" t="s">
        <v>5151</v>
      </c>
      <c r="D1327" s="53" t="s">
        <v>73</v>
      </c>
      <c r="E1327" s="45" t="s">
        <v>5133</v>
      </c>
      <c r="F1327" s="45" t="s">
        <v>4819</v>
      </c>
      <c r="G1327" s="45">
        <v>3</v>
      </c>
      <c r="H1327" s="53" t="s">
        <v>5152</v>
      </c>
      <c r="I1327" s="45">
        <v>394000</v>
      </c>
      <c r="J1327" s="45">
        <v>0</v>
      </c>
      <c r="K1327" s="45">
        <v>22000</v>
      </c>
      <c r="L1327" s="45">
        <v>0</v>
      </c>
      <c r="M1327" s="45">
        <v>0</v>
      </c>
      <c r="N1327" s="45">
        <v>0</v>
      </c>
      <c r="O1327" s="45">
        <v>0</v>
      </c>
      <c r="P1327" s="45">
        <v>0</v>
      </c>
      <c r="Q1327" s="45">
        <v>0</v>
      </c>
      <c r="R1327" s="45">
        <v>0</v>
      </c>
      <c r="S1327" s="45">
        <v>0</v>
      </c>
      <c r="T1327" s="45">
        <v>0</v>
      </c>
      <c r="U1327" s="45">
        <v>1397</v>
      </c>
      <c r="V1327" s="45">
        <v>0</v>
      </c>
      <c r="W1327" s="45">
        <v>0</v>
      </c>
      <c r="X1327" s="45">
        <v>0</v>
      </c>
      <c r="Y1327" s="45">
        <v>0</v>
      </c>
      <c r="Z1327" s="45">
        <v>0</v>
      </c>
      <c r="AA1327" s="45">
        <v>0</v>
      </c>
      <c r="AB1327" s="45">
        <v>0</v>
      </c>
      <c r="AC1327" s="45">
        <v>0</v>
      </c>
      <c r="AD1327" s="45">
        <v>0</v>
      </c>
      <c r="AE1327" s="45">
        <v>0</v>
      </c>
      <c r="AF1327" s="45">
        <v>0</v>
      </c>
      <c r="AG1327" s="45">
        <v>0</v>
      </c>
      <c r="AH1327" s="45">
        <v>0</v>
      </c>
      <c r="AI1327" s="45">
        <v>0</v>
      </c>
      <c r="AJ1327" s="45">
        <v>0</v>
      </c>
      <c r="AK1327" s="45">
        <v>0</v>
      </c>
      <c r="AL1327" s="45">
        <v>0</v>
      </c>
      <c r="AM1327" s="57" t="str">
        <f>I1327-J1327-K1327-L1327-M1327-N1327-O1327-P1327-Q1327-R1327-S1327-T1327-U1327-V1327-W1327-X1327-Y1327-Z1327-AA1327-AB1327-AC1327-AD1327-AE1327-AF1327-AG1327+AH1327-AI1327+AJ1327+AK1327-AL1327</f>
        <v>0</v>
      </c>
      <c r="AN1327" s="45"/>
    </row>
    <row r="1328" spans="1:41">
      <c r="A1328" s="45">
        <v>1300</v>
      </c>
      <c r="B1328" s="45" t="s">
        <v>5153</v>
      </c>
      <c r="C1328" s="49" t="s">
        <v>5154</v>
      </c>
      <c r="D1328" s="53" t="s">
        <v>73</v>
      </c>
      <c r="E1328" s="45" t="s">
        <v>5133</v>
      </c>
      <c r="F1328" s="45" t="s">
        <v>5155</v>
      </c>
      <c r="G1328" s="45">
        <v>3</v>
      </c>
      <c r="H1328" s="53" t="s">
        <v>5156</v>
      </c>
      <c r="I1328" s="45">
        <v>1169000</v>
      </c>
      <c r="J1328" s="45">
        <v>0</v>
      </c>
      <c r="K1328" s="45">
        <v>22000</v>
      </c>
      <c r="L1328" s="45">
        <v>0</v>
      </c>
      <c r="M1328" s="45">
        <v>0</v>
      </c>
      <c r="N1328" s="45">
        <v>0</v>
      </c>
      <c r="O1328" s="45">
        <v>0</v>
      </c>
      <c r="P1328" s="45">
        <v>0</v>
      </c>
      <c r="Q1328" s="45">
        <v>0</v>
      </c>
      <c r="R1328" s="45">
        <v>0</v>
      </c>
      <c r="S1328" s="45">
        <v>0</v>
      </c>
      <c r="T1328" s="45">
        <v>0</v>
      </c>
      <c r="U1328" s="45">
        <v>1397</v>
      </c>
      <c r="V1328" s="45">
        <v>0</v>
      </c>
      <c r="W1328" s="45">
        <v>0</v>
      </c>
      <c r="X1328" s="45">
        <v>0</v>
      </c>
      <c r="Y1328" s="45">
        <v>0</v>
      </c>
      <c r="Z1328" s="45">
        <v>0</v>
      </c>
      <c r="AA1328" s="45">
        <v>0</v>
      </c>
      <c r="AB1328" s="45">
        <v>0</v>
      </c>
      <c r="AC1328" s="45">
        <v>0</v>
      </c>
      <c r="AD1328" s="45">
        <v>0</v>
      </c>
      <c r="AE1328" s="45">
        <v>0</v>
      </c>
      <c r="AF1328" s="45">
        <v>0</v>
      </c>
      <c r="AG1328" s="45">
        <v>0</v>
      </c>
      <c r="AH1328" s="45">
        <v>0</v>
      </c>
      <c r="AI1328" s="45">
        <v>0</v>
      </c>
      <c r="AJ1328" s="45">
        <v>0</v>
      </c>
      <c r="AK1328" s="45">
        <v>0</v>
      </c>
      <c r="AL1328" s="45">
        <v>0</v>
      </c>
      <c r="AM1328" s="57" t="str">
        <f>I1328-J1328-K1328-L1328-M1328-N1328-O1328-P1328-Q1328-R1328-S1328-T1328-U1328-V1328-W1328-X1328-Y1328-Z1328-AA1328-AB1328-AC1328-AD1328-AE1328-AF1328-AG1328+AH1328-AI1328+AJ1328+AK1328-AL1328</f>
        <v>0</v>
      </c>
      <c r="AN1328" s="45"/>
    </row>
    <row r="1329" spans="1:41">
      <c r="A1329" s="45">
        <v>1301</v>
      </c>
      <c r="B1329" s="45" t="s">
        <v>5157</v>
      </c>
      <c r="C1329" s="49" t="s">
        <v>5158</v>
      </c>
      <c r="D1329" s="53" t="s">
        <v>73</v>
      </c>
      <c r="E1329" s="45" t="s">
        <v>5159</v>
      </c>
      <c r="F1329" s="45" t="s">
        <v>5160</v>
      </c>
      <c r="G1329" s="45">
        <v>5</v>
      </c>
      <c r="H1329" s="53" t="s">
        <v>5161</v>
      </c>
      <c r="I1329" s="45">
        <v>28714</v>
      </c>
      <c r="J1329" s="45">
        <v>0</v>
      </c>
      <c r="K1329" s="45">
        <v>27000</v>
      </c>
      <c r="L1329" s="45">
        <v>0</v>
      </c>
      <c r="M1329" s="45">
        <v>0</v>
      </c>
      <c r="N1329" s="45">
        <v>0</v>
      </c>
      <c r="O1329" s="45">
        <v>0</v>
      </c>
      <c r="P1329" s="45">
        <v>0</v>
      </c>
      <c r="Q1329" s="45">
        <v>0</v>
      </c>
      <c r="R1329" s="45">
        <v>0</v>
      </c>
      <c r="S1329" s="45">
        <v>0</v>
      </c>
      <c r="T1329" s="45">
        <v>0</v>
      </c>
      <c r="U1329" s="45">
        <v>1714</v>
      </c>
      <c r="V1329" s="45">
        <v>0</v>
      </c>
      <c r="W1329" s="45">
        <v>0</v>
      </c>
      <c r="X1329" s="45">
        <v>0</v>
      </c>
      <c r="Y1329" s="45">
        <v>0</v>
      </c>
      <c r="Z1329" s="45">
        <v>0</v>
      </c>
      <c r="AA1329" s="45">
        <v>0</v>
      </c>
      <c r="AB1329" s="45">
        <v>0</v>
      </c>
      <c r="AC1329" s="45">
        <v>0</v>
      </c>
      <c r="AD1329" s="45">
        <v>0</v>
      </c>
      <c r="AE1329" s="45">
        <v>0</v>
      </c>
      <c r="AF1329" s="45">
        <v>0</v>
      </c>
      <c r="AG1329" s="45">
        <v>0</v>
      </c>
      <c r="AH1329" s="45">
        <v>0</v>
      </c>
      <c r="AI1329" s="45">
        <v>0</v>
      </c>
      <c r="AJ1329" s="45">
        <v>0</v>
      </c>
      <c r="AK1329" s="45">
        <v>0</v>
      </c>
      <c r="AL1329" s="45">
        <v>0</v>
      </c>
      <c r="AM1329" s="57" t="str">
        <f>I1329-J1329-K1329-L1329-M1329-N1329-O1329-P1329-Q1329-R1329-S1329-T1329-U1329-V1329-W1329-X1329-Y1329-Z1329-AA1329-AB1329-AC1329-AD1329-AE1329-AF1329-AG1329+AH1329-AI1329+AJ1329+AK1329-AL1329</f>
        <v>0</v>
      </c>
      <c r="AN1329" s="45"/>
    </row>
    <row r="1330" spans="1:41">
      <c r="A1330" s="45">
        <v>1302</v>
      </c>
      <c r="B1330" s="45" t="s">
        <v>5162</v>
      </c>
      <c r="C1330" s="49" t="s">
        <v>5163</v>
      </c>
      <c r="D1330" s="53" t="s">
        <v>73</v>
      </c>
      <c r="E1330" s="45" t="s">
        <v>5164</v>
      </c>
      <c r="F1330" s="45" t="s">
        <v>5012</v>
      </c>
      <c r="G1330" s="45">
        <v>3</v>
      </c>
      <c r="H1330" s="53" t="s">
        <v>5165</v>
      </c>
      <c r="I1330" s="45">
        <v>834000</v>
      </c>
      <c r="J1330" s="45">
        <v>0</v>
      </c>
      <c r="K1330" s="45">
        <v>22000</v>
      </c>
      <c r="L1330" s="45">
        <v>0</v>
      </c>
      <c r="M1330" s="45">
        <v>0</v>
      </c>
      <c r="N1330" s="45">
        <v>0</v>
      </c>
      <c r="O1330" s="45">
        <v>0</v>
      </c>
      <c r="P1330" s="45">
        <v>0</v>
      </c>
      <c r="Q1330" s="45">
        <v>0</v>
      </c>
      <c r="R1330" s="45">
        <v>0</v>
      </c>
      <c r="S1330" s="45">
        <v>0</v>
      </c>
      <c r="T1330" s="45">
        <v>0</v>
      </c>
      <c r="U1330" s="45">
        <v>1397</v>
      </c>
      <c r="V1330" s="45">
        <v>0</v>
      </c>
      <c r="W1330" s="45">
        <v>0</v>
      </c>
      <c r="X1330" s="45">
        <v>0</v>
      </c>
      <c r="Y1330" s="45">
        <v>0</v>
      </c>
      <c r="Z1330" s="45">
        <v>0</v>
      </c>
      <c r="AA1330" s="45">
        <v>0</v>
      </c>
      <c r="AB1330" s="45">
        <v>0</v>
      </c>
      <c r="AC1330" s="45">
        <v>0</v>
      </c>
      <c r="AD1330" s="45">
        <v>0</v>
      </c>
      <c r="AE1330" s="45">
        <v>0</v>
      </c>
      <c r="AF1330" s="45">
        <v>0</v>
      </c>
      <c r="AG1330" s="45">
        <v>0</v>
      </c>
      <c r="AH1330" s="45">
        <v>0</v>
      </c>
      <c r="AI1330" s="45">
        <v>0</v>
      </c>
      <c r="AJ1330" s="45">
        <v>0</v>
      </c>
      <c r="AK1330" s="45">
        <v>0</v>
      </c>
      <c r="AL1330" s="45">
        <v>0</v>
      </c>
      <c r="AM1330" s="57" t="str">
        <f>I1330-J1330-K1330-L1330-M1330-N1330-O1330-P1330-Q1330-R1330-S1330-T1330-U1330-V1330-W1330-X1330-Y1330-Z1330-AA1330-AB1330-AC1330-AD1330-AE1330-AF1330-AG1330+AH1330-AI1330+AJ1330+AK1330-AL1330</f>
        <v>0</v>
      </c>
      <c r="AN1330" s="45"/>
    </row>
    <row r="1331" spans="1:41">
      <c r="A1331" s="45">
        <v>1303</v>
      </c>
      <c r="B1331" s="45" t="s">
        <v>5166</v>
      </c>
      <c r="C1331" s="49" t="s">
        <v>5167</v>
      </c>
      <c r="D1331" s="53" t="s">
        <v>73</v>
      </c>
      <c r="E1331" s="45" t="s">
        <v>5164</v>
      </c>
      <c r="F1331" s="45" t="s">
        <v>5168</v>
      </c>
      <c r="G1331" s="45">
        <v>5</v>
      </c>
      <c r="H1331" s="53" t="s">
        <v>5169</v>
      </c>
      <c r="I1331" s="45">
        <v>2470000</v>
      </c>
      <c r="J1331" s="45">
        <v>0</v>
      </c>
      <c r="K1331" s="45">
        <v>27000</v>
      </c>
      <c r="L1331" s="45">
        <v>0</v>
      </c>
      <c r="M1331" s="45">
        <v>0</v>
      </c>
      <c r="N1331" s="45">
        <v>0</v>
      </c>
      <c r="O1331" s="45">
        <v>0</v>
      </c>
      <c r="P1331" s="45">
        <v>0</v>
      </c>
      <c r="Q1331" s="45">
        <v>0</v>
      </c>
      <c r="R1331" s="45">
        <v>0</v>
      </c>
      <c r="S1331" s="45">
        <v>0</v>
      </c>
      <c r="T1331" s="45">
        <v>0</v>
      </c>
      <c r="U1331" s="45">
        <v>1714</v>
      </c>
      <c r="V1331" s="45">
        <v>0</v>
      </c>
      <c r="W1331" s="45">
        <v>0</v>
      </c>
      <c r="X1331" s="45">
        <v>0</v>
      </c>
      <c r="Y1331" s="45">
        <v>0</v>
      </c>
      <c r="Z1331" s="45">
        <v>0</v>
      </c>
      <c r="AA1331" s="45">
        <v>0</v>
      </c>
      <c r="AB1331" s="45">
        <v>0</v>
      </c>
      <c r="AC1331" s="45">
        <v>0</v>
      </c>
      <c r="AD1331" s="45">
        <v>0</v>
      </c>
      <c r="AE1331" s="45">
        <v>0</v>
      </c>
      <c r="AF1331" s="45">
        <v>0</v>
      </c>
      <c r="AG1331" s="45">
        <v>0</v>
      </c>
      <c r="AH1331" s="45">
        <v>0</v>
      </c>
      <c r="AI1331" s="45">
        <v>0</v>
      </c>
      <c r="AJ1331" s="45">
        <v>0</v>
      </c>
      <c r="AK1331" s="45">
        <v>0</v>
      </c>
      <c r="AL1331" s="45">
        <v>0</v>
      </c>
      <c r="AM1331" s="57" t="str">
        <f>I1331-J1331-K1331-L1331-M1331-N1331-O1331-P1331-Q1331-R1331-S1331-T1331-U1331-V1331-W1331-X1331-Y1331-Z1331-AA1331-AB1331-AC1331-AD1331-AE1331-AF1331-AG1331+AH1331-AI1331+AJ1331+AK1331-AL1331</f>
        <v>0</v>
      </c>
      <c r="AN1331" s="45"/>
    </row>
    <row r="1332" spans="1:41">
      <c r="A1332" s="45">
        <v>1304</v>
      </c>
      <c r="B1332" s="45" t="s">
        <v>5170</v>
      </c>
      <c r="C1332" s="49" t="s">
        <v>5171</v>
      </c>
      <c r="D1332" s="53" t="s">
        <v>73</v>
      </c>
      <c r="E1332" s="45" t="s">
        <v>5164</v>
      </c>
      <c r="F1332" s="45" t="s">
        <v>5172</v>
      </c>
      <c r="G1332" s="45">
        <v>2</v>
      </c>
      <c r="H1332" s="53" t="s">
        <v>5173</v>
      </c>
      <c r="I1332" s="45">
        <v>450000</v>
      </c>
      <c r="J1332" s="45">
        <v>0</v>
      </c>
      <c r="K1332" s="45">
        <v>22000</v>
      </c>
      <c r="L1332" s="45">
        <v>0</v>
      </c>
      <c r="M1332" s="45">
        <v>0</v>
      </c>
      <c r="N1332" s="45">
        <v>0</v>
      </c>
      <c r="O1332" s="45">
        <v>0</v>
      </c>
      <c r="P1332" s="45">
        <v>0</v>
      </c>
      <c r="Q1332" s="45">
        <v>0</v>
      </c>
      <c r="R1332" s="45">
        <v>0</v>
      </c>
      <c r="S1332" s="45">
        <v>0</v>
      </c>
      <c r="T1332" s="45">
        <v>0</v>
      </c>
      <c r="U1332" s="45">
        <v>1397</v>
      </c>
      <c r="V1332" s="45">
        <v>0</v>
      </c>
      <c r="W1332" s="45">
        <v>0</v>
      </c>
      <c r="X1332" s="45">
        <v>0</v>
      </c>
      <c r="Y1332" s="45">
        <v>0</v>
      </c>
      <c r="Z1332" s="45">
        <v>0</v>
      </c>
      <c r="AA1332" s="45">
        <v>0</v>
      </c>
      <c r="AB1332" s="45">
        <v>0</v>
      </c>
      <c r="AC1332" s="45">
        <v>0</v>
      </c>
      <c r="AD1332" s="45">
        <v>0</v>
      </c>
      <c r="AE1332" s="45">
        <v>0</v>
      </c>
      <c r="AF1332" s="45">
        <v>0</v>
      </c>
      <c r="AG1332" s="45">
        <v>0</v>
      </c>
      <c r="AH1332" s="45">
        <v>0</v>
      </c>
      <c r="AI1332" s="45">
        <v>0</v>
      </c>
      <c r="AJ1332" s="45">
        <v>0</v>
      </c>
      <c r="AK1332" s="45">
        <v>0</v>
      </c>
      <c r="AL1332" s="45">
        <v>0</v>
      </c>
      <c r="AM1332" s="57" t="str">
        <f>I1332-J1332-K1332-L1332-M1332-N1332-O1332-P1332-Q1332-R1332-S1332-T1332-U1332-V1332-W1332-X1332-Y1332-Z1332-AA1332-AB1332-AC1332-AD1332-AE1332-AF1332-AG1332+AH1332-AI1332+AJ1332+AK1332-AL1332</f>
        <v>0</v>
      </c>
      <c r="AN1332" s="45"/>
    </row>
    <row r="1333" spans="1:41">
      <c r="A1333" s="45">
        <v>1305</v>
      </c>
      <c r="B1333" s="45" t="s">
        <v>5174</v>
      </c>
      <c r="C1333" s="49" t="s">
        <v>5175</v>
      </c>
      <c r="D1333" s="53" t="s">
        <v>73</v>
      </c>
      <c r="E1333" s="45" t="s">
        <v>5164</v>
      </c>
      <c r="F1333" s="45" t="s">
        <v>5176</v>
      </c>
      <c r="G1333" s="45">
        <v>2</v>
      </c>
      <c r="H1333" s="53" t="s">
        <v>5177</v>
      </c>
      <c r="I1333" s="45">
        <v>364000</v>
      </c>
      <c r="J1333" s="45">
        <v>0</v>
      </c>
      <c r="K1333" s="45">
        <v>22000</v>
      </c>
      <c r="L1333" s="45">
        <v>0</v>
      </c>
      <c r="M1333" s="45">
        <v>0</v>
      </c>
      <c r="N1333" s="45">
        <v>0</v>
      </c>
      <c r="O1333" s="45">
        <v>0</v>
      </c>
      <c r="P1333" s="45">
        <v>0</v>
      </c>
      <c r="Q1333" s="45">
        <v>0</v>
      </c>
      <c r="R1333" s="45">
        <v>0</v>
      </c>
      <c r="S1333" s="45">
        <v>0</v>
      </c>
      <c r="T1333" s="45">
        <v>0</v>
      </c>
      <c r="U1333" s="45">
        <v>1397</v>
      </c>
      <c r="V1333" s="45">
        <v>0</v>
      </c>
      <c r="W1333" s="45">
        <v>0</v>
      </c>
      <c r="X1333" s="45">
        <v>0</v>
      </c>
      <c r="Y1333" s="45">
        <v>0</v>
      </c>
      <c r="Z1333" s="45">
        <v>0</v>
      </c>
      <c r="AA1333" s="45">
        <v>0</v>
      </c>
      <c r="AB1333" s="45">
        <v>0</v>
      </c>
      <c r="AC1333" s="45">
        <v>0</v>
      </c>
      <c r="AD1333" s="45">
        <v>0</v>
      </c>
      <c r="AE1333" s="45">
        <v>0</v>
      </c>
      <c r="AF1333" s="45">
        <v>0</v>
      </c>
      <c r="AG1333" s="45">
        <v>0</v>
      </c>
      <c r="AH1333" s="45">
        <v>0</v>
      </c>
      <c r="AI1333" s="45">
        <v>0</v>
      </c>
      <c r="AJ1333" s="45">
        <v>0</v>
      </c>
      <c r="AK1333" s="45">
        <v>0</v>
      </c>
      <c r="AL1333" s="45">
        <v>0</v>
      </c>
      <c r="AM1333" s="57" t="str">
        <f>I1333-J1333-K1333-L1333-M1333-N1333-O1333-P1333-Q1333-R1333-S1333-T1333-U1333-V1333-W1333-X1333-Y1333-Z1333-AA1333-AB1333-AC1333-AD1333-AE1333-AF1333-AG1333+AH1333-AI1333+AJ1333+AK1333-AL1333</f>
        <v>0</v>
      </c>
      <c r="AN1333" s="45"/>
    </row>
    <row r="1334" spans="1:41">
      <c r="A1334" s="45">
        <v>1306</v>
      </c>
      <c r="B1334" s="45" t="s">
        <v>5178</v>
      </c>
      <c r="C1334" s="49" t="s">
        <v>5179</v>
      </c>
      <c r="D1334" s="53" t="s">
        <v>73</v>
      </c>
      <c r="E1334" s="45" t="s">
        <v>5164</v>
      </c>
      <c r="F1334" s="45" t="s">
        <v>5180</v>
      </c>
      <c r="G1334" s="45">
        <v>3</v>
      </c>
      <c r="H1334" s="53" t="s">
        <v>5181</v>
      </c>
      <c r="I1334" s="45">
        <v>784000</v>
      </c>
      <c r="J1334" s="45">
        <v>0</v>
      </c>
      <c r="K1334" s="45">
        <v>22000</v>
      </c>
      <c r="L1334" s="45">
        <v>0</v>
      </c>
      <c r="M1334" s="45">
        <v>0</v>
      </c>
      <c r="N1334" s="45">
        <v>0</v>
      </c>
      <c r="O1334" s="45">
        <v>0</v>
      </c>
      <c r="P1334" s="45">
        <v>0</v>
      </c>
      <c r="Q1334" s="45">
        <v>0</v>
      </c>
      <c r="R1334" s="45">
        <v>0</v>
      </c>
      <c r="S1334" s="45">
        <v>0</v>
      </c>
      <c r="T1334" s="45">
        <v>0</v>
      </c>
      <c r="U1334" s="45">
        <v>1397</v>
      </c>
      <c r="V1334" s="45">
        <v>0</v>
      </c>
      <c r="W1334" s="45">
        <v>0</v>
      </c>
      <c r="X1334" s="45">
        <v>0</v>
      </c>
      <c r="Y1334" s="45">
        <v>0</v>
      </c>
      <c r="Z1334" s="45">
        <v>0</v>
      </c>
      <c r="AA1334" s="45">
        <v>0</v>
      </c>
      <c r="AB1334" s="45">
        <v>0</v>
      </c>
      <c r="AC1334" s="45">
        <v>0</v>
      </c>
      <c r="AD1334" s="45">
        <v>0</v>
      </c>
      <c r="AE1334" s="45">
        <v>0</v>
      </c>
      <c r="AF1334" s="45">
        <v>0</v>
      </c>
      <c r="AG1334" s="45">
        <v>0</v>
      </c>
      <c r="AH1334" s="45">
        <v>0</v>
      </c>
      <c r="AI1334" s="45">
        <v>0</v>
      </c>
      <c r="AJ1334" s="45">
        <v>0</v>
      </c>
      <c r="AK1334" s="45">
        <v>0</v>
      </c>
      <c r="AL1334" s="45">
        <v>0</v>
      </c>
      <c r="AM1334" s="57" t="str">
        <f>I1334-J1334-K1334-L1334-M1334-N1334-O1334-P1334-Q1334-R1334-S1334-T1334-U1334-V1334-W1334-X1334-Y1334-Z1334-AA1334-AB1334-AC1334-AD1334-AE1334-AF1334-AG1334+AH1334-AI1334+AJ1334+AK1334-AL1334</f>
        <v>0</v>
      </c>
      <c r="AN1334" s="45"/>
    </row>
    <row r="1335" spans="1:41">
      <c r="A1335" s="45">
        <v>1307</v>
      </c>
      <c r="B1335" s="45" t="s">
        <v>5182</v>
      </c>
      <c r="C1335" s="49" t="s">
        <v>5183</v>
      </c>
      <c r="D1335" s="53" t="s">
        <v>73</v>
      </c>
      <c r="E1335" s="45" t="s">
        <v>5164</v>
      </c>
      <c r="F1335" s="45" t="s">
        <v>5184</v>
      </c>
      <c r="G1335" s="45">
        <v>3</v>
      </c>
      <c r="H1335" s="53" t="s">
        <v>5185</v>
      </c>
      <c r="I1335" s="45">
        <v>785000</v>
      </c>
      <c r="J1335" s="45">
        <v>0</v>
      </c>
      <c r="K1335" s="45">
        <v>22000</v>
      </c>
      <c r="L1335" s="45">
        <v>0</v>
      </c>
      <c r="M1335" s="45">
        <v>0</v>
      </c>
      <c r="N1335" s="45">
        <v>0</v>
      </c>
      <c r="O1335" s="45">
        <v>0</v>
      </c>
      <c r="P1335" s="45">
        <v>0</v>
      </c>
      <c r="Q1335" s="45">
        <v>0</v>
      </c>
      <c r="R1335" s="45">
        <v>0</v>
      </c>
      <c r="S1335" s="45">
        <v>0</v>
      </c>
      <c r="T1335" s="45">
        <v>0</v>
      </c>
      <c r="U1335" s="45">
        <v>1397</v>
      </c>
      <c r="V1335" s="45">
        <v>0</v>
      </c>
      <c r="W1335" s="45">
        <v>0</v>
      </c>
      <c r="X1335" s="45">
        <v>0</v>
      </c>
      <c r="Y1335" s="45">
        <v>0</v>
      </c>
      <c r="Z1335" s="45">
        <v>0</v>
      </c>
      <c r="AA1335" s="45">
        <v>0</v>
      </c>
      <c r="AB1335" s="45">
        <v>0</v>
      </c>
      <c r="AC1335" s="45">
        <v>0</v>
      </c>
      <c r="AD1335" s="45">
        <v>0</v>
      </c>
      <c r="AE1335" s="45">
        <v>0</v>
      </c>
      <c r="AF1335" s="45">
        <v>0</v>
      </c>
      <c r="AG1335" s="45">
        <v>0</v>
      </c>
      <c r="AH1335" s="45">
        <v>0</v>
      </c>
      <c r="AI1335" s="45">
        <v>0</v>
      </c>
      <c r="AJ1335" s="45">
        <v>0</v>
      </c>
      <c r="AK1335" s="45">
        <v>0</v>
      </c>
      <c r="AL1335" s="45">
        <v>0</v>
      </c>
      <c r="AM1335" s="57" t="str">
        <f>I1335-J1335-K1335-L1335-M1335-N1335-O1335-P1335-Q1335-R1335-S1335-T1335-U1335-V1335-W1335-X1335-Y1335-Z1335-AA1335-AB1335-AC1335-AD1335-AE1335-AF1335-AG1335+AH1335-AI1335+AJ1335+AK1335-AL1335</f>
        <v>0</v>
      </c>
      <c r="AN1335" s="45"/>
    </row>
    <row r="1336" spans="1:41">
      <c r="A1336" s="45">
        <v>1308</v>
      </c>
      <c r="B1336" s="45" t="s">
        <v>5186</v>
      </c>
      <c r="C1336" s="49" t="s">
        <v>5187</v>
      </c>
      <c r="D1336" s="53" t="s">
        <v>73</v>
      </c>
      <c r="E1336" s="45" t="s">
        <v>5164</v>
      </c>
      <c r="F1336" s="45" t="s">
        <v>5188</v>
      </c>
      <c r="G1336" s="45">
        <v>3</v>
      </c>
      <c r="H1336" s="53" t="s">
        <v>5189</v>
      </c>
      <c r="I1336" s="45">
        <v>560000</v>
      </c>
      <c r="J1336" s="45">
        <v>0</v>
      </c>
      <c r="K1336" s="45">
        <v>22000</v>
      </c>
      <c r="L1336" s="45">
        <v>0</v>
      </c>
      <c r="M1336" s="45">
        <v>0</v>
      </c>
      <c r="N1336" s="45">
        <v>0</v>
      </c>
      <c r="O1336" s="45">
        <v>0</v>
      </c>
      <c r="P1336" s="45">
        <v>0</v>
      </c>
      <c r="Q1336" s="45">
        <v>0</v>
      </c>
      <c r="R1336" s="45">
        <v>0</v>
      </c>
      <c r="S1336" s="45">
        <v>0</v>
      </c>
      <c r="T1336" s="45">
        <v>0</v>
      </c>
      <c r="U1336" s="45">
        <v>1397</v>
      </c>
      <c r="V1336" s="45">
        <v>0</v>
      </c>
      <c r="W1336" s="45">
        <v>0</v>
      </c>
      <c r="X1336" s="45">
        <v>0</v>
      </c>
      <c r="Y1336" s="45">
        <v>0</v>
      </c>
      <c r="Z1336" s="45">
        <v>0</v>
      </c>
      <c r="AA1336" s="45">
        <v>0</v>
      </c>
      <c r="AB1336" s="45">
        <v>0</v>
      </c>
      <c r="AC1336" s="45">
        <v>0</v>
      </c>
      <c r="AD1336" s="45">
        <v>0</v>
      </c>
      <c r="AE1336" s="45">
        <v>0</v>
      </c>
      <c r="AF1336" s="45">
        <v>0</v>
      </c>
      <c r="AG1336" s="45">
        <v>0</v>
      </c>
      <c r="AH1336" s="45">
        <v>0</v>
      </c>
      <c r="AI1336" s="45">
        <v>0</v>
      </c>
      <c r="AJ1336" s="45">
        <v>0</v>
      </c>
      <c r="AK1336" s="45">
        <v>0</v>
      </c>
      <c r="AL1336" s="45">
        <v>0</v>
      </c>
      <c r="AM1336" s="57" t="str">
        <f>I1336-J1336-K1336-L1336-M1336-N1336-O1336-P1336-Q1336-R1336-S1336-T1336-U1336-V1336-W1336-X1336-Y1336-Z1336-AA1336-AB1336-AC1336-AD1336-AE1336-AF1336-AG1336+AH1336-AI1336+AJ1336+AK1336-AL1336</f>
        <v>0</v>
      </c>
      <c r="AN1336" s="45"/>
    </row>
    <row r="1337" spans="1:41">
      <c r="A1337" s="45">
        <v>1309</v>
      </c>
      <c r="B1337" s="45" t="s">
        <v>5190</v>
      </c>
      <c r="C1337" s="49" t="s">
        <v>5191</v>
      </c>
      <c r="D1337" s="53" t="s">
        <v>73</v>
      </c>
      <c r="E1337" s="45" t="s">
        <v>5164</v>
      </c>
      <c r="F1337" s="45" t="s">
        <v>5192</v>
      </c>
      <c r="G1337" s="45">
        <v>2</v>
      </c>
      <c r="H1337" s="53" t="s">
        <v>5193</v>
      </c>
      <c r="I1337" s="45">
        <v>280000</v>
      </c>
      <c r="J1337" s="45">
        <v>0</v>
      </c>
      <c r="K1337" s="45">
        <v>22000</v>
      </c>
      <c r="L1337" s="45">
        <v>0</v>
      </c>
      <c r="M1337" s="45">
        <v>0</v>
      </c>
      <c r="N1337" s="45">
        <v>0</v>
      </c>
      <c r="O1337" s="45">
        <v>0</v>
      </c>
      <c r="P1337" s="45">
        <v>0</v>
      </c>
      <c r="Q1337" s="45">
        <v>0</v>
      </c>
      <c r="R1337" s="45">
        <v>0</v>
      </c>
      <c r="S1337" s="45">
        <v>0</v>
      </c>
      <c r="T1337" s="45">
        <v>0</v>
      </c>
      <c r="U1337" s="45">
        <v>1397</v>
      </c>
      <c r="V1337" s="45">
        <v>0</v>
      </c>
      <c r="W1337" s="45">
        <v>0</v>
      </c>
      <c r="X1337" s="45">
        <v>0</v>
      </c>
      <c r="Y1337" s="45">
        <v>0</v>
      </c>
      <c r="Z1337" s="45">
        <v>0</v>
      </c>
      <c r="AA1337" s="45">
        <v>0</v>
      </c>
      <c r="AB1337" s="45">
        <v>0</v>
      </c>
      <c r="AC1337" s="45">
        <v>0</v>
      </c>
      <c r="AD1337" s="45">
        <v>0</v>
      </c>
      <c r="AE1337" s="45">
        <v>0</v>
      </c>
      <c r="AF1337" s="45">
        <v>0</v>
      </c>
      <c r="AG1337" s="45">
        <v>0</v>
      </c>
      <c r="AH1337" s="45">
        <v>0</v>
      </c>
      <c r="AI1337" s="45">
        <v>0</v>
      </c>
      <c r="AJ1337" s="45">
        <v>0</v>
      </c>
      <c r="AK1337" s="45">
        <v>0</v>
      </c>
      <c r="AL1337" s="45">
        <v>0</v>
      </c>
      <c r="AM1337" s="57" t="str">
        <f>I1337-J1337-K1337-L1337-M1337-N1337-O1337-P1337-Q1337-R1337-S1337-T1337-U1337-V1337-W1337-X1337-Y1337-Z1337-AA1337-AB1337-AC1337-AD1337-AE1337-AF1337-AG1337+AH1337-AI1337+AJ1337+AK1337-AL1337</f>
        <v>0</v>
      </c>
      <c r="AN1337" s="45"/>
    </row>
    <row r="1338" spans="1:41">
      <c r="A1338" s="45">
        <v>1310</v>
      </c>
      <c r="B1338" s="45" t="s">
        <v>5194</v>
      </c>
      <c r="C1338" s="49" t="s">
        <v>5195</v>
      </c>
      <c r="D1338" s="53" t="s">
        <v>73</v>
      </c>
      <c r="E1338" s="45" t="s">
        <v>5164</v>
      </c>
      <c r="F1338" s="45" t="s">
        <v>5196</v>
      </c>
      <c r="G1338" s="45">
        <v>6</v>
      </c>
      <c r="H1338" s="53" t="s">
        <v>5197</v>
      </c>
      <c r="I1338" s="45">
        <v>695000</v>
      </c>
      <c r="J1338" s="45">
        <v>0</v>
      </c>
      <c r="K1338" s="45">
        <v>31000</v>
      </c>
      <c r="L1338" s="45">
        <v>0</v>
      </c>
      <c r="M1338" s="45">
        <v>0</v>
      </c>
      <c r="N1338" s="45">
        <v>0</v>
      </c>
      <c r="O1338" s="45">
        <v>0</v>
      </c>
      <c r="P1338" s="45">
        <v>0</v>
      </c>
      <c r="Q1338" s="45">
        <v>0</v>
      </c>
      <c r="R1338" s="45">
        <v>0</v>
      </c>
      <c r="S1338" s="45">
        <v>0</v>
      </c>
      <c r="T1338" s="45">
        <v>0</v>
      </c>
      <c r="U1338" s="45">
        <v>1968</v>
      </c>
      <c r="V1338" s="45">
        <v>0</v>
      </c>
      <c r="W1338" s="45">
        <v>0</v>
      </c>
      <c r="X1338" s="45">
        <v>0</v>
      </c>
      <c r="Y1338" s="45">
        <v>0</v>
      </c>
      <c r="Z1338" s="45">
        <v>0</v>
      </c>
      <c r="AA1338" s="45">
        <v>0</v>
      </c>
      <c r="AB1338" s="45">
        <v>0</v>
      </c>
      <c r="AC1338" s="45">
        <v>0</v>
      </c>
      <c r="AD1338" s="45">
        <v>0</v>
      </c>
      <c r="AE1338" s="45">
        <v>0</v>
      </c>
      <c r="AF1338" s="45">
        <v>0</v>
      </c>
      <c r="AG1338" s="45">
        <v>0</v>
      </c>
      <c r="AH1338" s="45">
        <v>0</v>
      </c>
      <c r="AI1338" s="45">
        <v>0</v>
      </c>
      <c r="AJ1338" s="45">
        <v>0</v>
      </c>
      <c r="AK1338" s="45">
        <v>0</v>
      </c>
      <c r="AL1338" s="45">
        <v>0</v>
      </c>
      <c r="AM1338" s="57" t="str">
        <f>I1338-J1338-K1338-L1338-M1338-N1338-O1338-P1338-Q1338-R1338-S1338-T1338-U1338-V1338-W1338-X1338-Y1338-Z1338-AA1338-AB1338-AC1338-AD1338-AE1338-AF1338-AG1338+AH1338-AI1338+AJ1338+AK1338-AL1338</f>
        <v>0</v>
      </c>
      <c r="AN1338" s="45"/>
    </row>
    <row r="1339" spans="1:41">
      <c r="A1339" s="45">
        <v>1311</v>
      </c>
      <c r="B1339" s="45" t="s">
        <v>5198</v>
      </c>
      <c r="C1339" s="49" t="s">
        <v>5199</v>
      </c>
      <c r="D1339" s="53" t="s">
        <v>73</v>
      </c>
      <c r="E1339" s="45" t="s">
        <v>5164</v>
      </c>
      <c r="F1339" s="45" t="s">
        <v>2548</v>
      </c>
      <c r="G1339" s="45">
        <v>4</v>
      </c>
      <c r="H1339" s="53" t="s">
        <v>5200</v>
      </c>
      <c r="I1339" s="45">
        <v>510000</v>
      </c>
      <c r="J1339" s="45">
        <v>0</v>
      </c>
      <c r="K1339" s="45">
        <v>25000</v>
      </c>
      <c r="L1339" s="45">
        <v>0</v>
      </c>
      <c r="M1339" s="45">
        <v>0</v>
      </c>
      <c r="N1339" s="45">
        <v>0</v>
      </c>
      <c r="O1339" s="45">
        <v>0</v>
      </c>
      <c r="P1339" s="45">
        <v>0</v>
      </c>
      <c r="Q1339" s="45">
        <v>0</v>
      </c>
      <c r="R1339" s="45">
        <v>0</v>
      </c>
      <c r="S1339" s="45">
        <v>0</v>
      </c>
      <c r="T1339" s="45">
        <v>0</v>
      </c>
      <c r="U1339" s="45">
        <v>1587</v>
      </c>
      <c r="V1339" s="45">
        <v>0</v>
      </c>
      <c r="W1339" s="45">
        <v>0</v>
      </c>
      <c r="X1339" s="45">
        <v>0</v>
      </c>
      <c r="Y1339" s="45">
        <v>0</v>
      </c>
      <c r="Z1339" s="45">
        <v>0</v>
      </c>
      <c r="AA1339" s="45">
        <v>0</v>
      </c>
      <c r="AB1339" s="45">
        <v>0</v>
      </c>
      <c r="AC1339" s="45">
        <v>0</v>
      </c>
      <c r="AD1339" s="45">
        <v>0</v>
      </c>
      <c r="AE1339" s="45">
        <v>0</v>
      </c>
      <c r="AF1339" s="45">
        <v>0</v>
      </c>
      <c r="AG1339" s="45">
        <v>0</v>
      </c>
      <c r="AH1339" s="45">
        <v>0</v>
      </c>
      <c r="AI1339" s="45">
        <v>0</v>
      </c>
      <c r="AJ1339" s="45">
        <v>0</v>
      </c>
      <c r="AK1339" s="45">
        <v>0</v>
      </c>
      <c r="AL1339" s="45">
        <v>0</v>
      </c>
      <c r="AM1339" s="57" t="str">
        <f>I1339-J1339-K1339-L1339-M1339-N1339-O1339-P1339-Q1339-R1339-S1339-T1339-U1339-V1339-W1339-X1339-Y1339-Z1339-AA1339-AB1339-AC1339-AD1339-AE1339-AF1339-AG1339+AH1339-AI1339+AJ1339+AK1339-AL1339</f>
        <v>0</v>
      </c>
      <c r="AN1339" s="45"/>
    </row>
    <row r="1340" spans="1:41">
      <c r="A1340" s="45">
        <v>1312</v>
      </c>
      <c r="B1340" s="45" t="s">
        <v>5201</v>
      </c>
      <c r="C1340" s="49" t="s">
        <v>5202</v>
      </c>
      <c r="D1340" s="53" t="s">
        <v>73</v>
      </c>
      <c r="E1340" s="45" t="s">
        <v>5164</v>
      </c>
      <c r="F1340" s="45" t="s">
        <v>2894</v>
      </c>
      <c r="G1340" s="45">
        <v>2</v>
      </c>
      <c r="H1340" s="53" t="s">
        <v>5203</v>
      </c>
      <c r="I1340" s="45">
        <v>310000</v>
      </c>
      <c r="J1340" s="45">
        <v>0</v>
      </c>
      <c r="K1340" s="45">
        <v>22000</v>
      </c>
      <c r="L1340" s="45">
        <v>0</v>
      </c>
      <c r="M1340" s="45">
        <v>0</v>
      </c>
      <c r="N1340" s="45">
        <v>0</v>
      </c>
      <c r="O1340" s="45">
        <v>0</v>
      </c>
      <c r="P1340" s="45">
        <v>0</v>
      </c>
      <c r="Q1340" s="45">
        <v>0</v>
      </c>
      <c r="R1340" s="45">
        <v>0</v>
      </c>
      <c r="S1340" s="45">
        <v>0</v>
      </c>
      <c r="T1340" s="45">
        <v>0</v>
      </c>
      <c r="U1340" s="45">
        <v>1397</v>
      </c>
      <c r="V1340" s="45">
        <v>0</v>
      </c>
      <c r="W1340" s="45">
        <v>0</v>
      </c>
      <c r="X1340" s="45">
        <v>0</v>
      </c>
      <c r="Y1340" s="45">
        <v>0</v>
      </c>
      <c r="Z1340" s="45">
        <v>0</v>
      </c>
      <c r="AA1340" s="45">
        <v>0</v>
      </c>
      <c r="AB1340" s="45">
        <v>0</v>
      </c>
      <c r="AC1340" s="45">
        <v>0</v>
      </c>
      <c r="AD1340" s="45">
        <v>0</v>
      </c>
      <c r="AE1340" s="45">
        <v>0</v>
      </c>
      <c r="AF1340" s="45">
        <v>0</v>
      </c>
      <c r="AG1340" s="45">
        <v>0</v>
      </c>
      <c r="AH1340" s="45">
        <v>0</v>
      </c>
      <c r="AI1340" s="45">
        <v>0</v>
      </c>
      <c r="AJ1340" s="45">
        <v>0</v>
      </c>
      <c r="AK1340" s="45">
        <v>0</v>
      </c>
      <c r="AL1340" s="45">
        <v>0</v>
      </c>
      <c r="AM1340" s="57" t="str">
        <f>I1340-J1340-K1340-L1340-M1340-N1340-O1340-P1340-Q1340-R1340-S1340-T1340-U1340-V1340-W1340-X1340-Y1340-Z1340-AA1340-AB1340-AC1340-AD1340-AE1340-AF1340-AG1340+AH1340-AI1340+AJ1340+AK1340-AL1340</f>
        <v>0</v>
      </c>
      <c r="AN1340" s="45"/>
    </row>
    <row r="1341" spans="1:41">
      <c r="A1341" s="45">
        <v>1313</v>
      </c>
      <c r="B1341" s="45" t="s">
        <v>5204</v>
      </c>
      <c r="C1341" s="49" t="s">
        <v>5205</v>
      </c>
      <c r="D1341" s="53" t="s">
        <v>73</v>
      </c>
      <c r="E1341" s="45" t="s">
        <v>5164</v>
      </c>
      <c r="F1341" s="45" t="s">
        <v>5206</v>
      </c>
      <c r="G1341" s="45">
        <v>5</v>
      </c>
      <c r="H1341" s="53" t="s">
        <v>5207</v>
      </c>
      <c r="I1341" s="45">
        <v>985000</v>
      </c>
      <c r="J1341" s="45">
        <v>0</v>
      </c>
      <c r="K1341" s="45">
        <v>27000</v>
      </c>
      <c r="L1341" s="45">
        <v>0</v>
      </c>
      <c r="M1341" s="45">
        <v>0</v>
      </c>
      <c r="N1341" s="45">
        <v>0</v>
      </c>
      <c r="O1341" s="45">
        <v>0</v>
      </c>
      <c r="P1341" s="45">
        <v>0</v>
      </c>
      <c r="Q1341" s="45">
        <v>0</v>
      </c>
      <c r="R1341" s="45">
        <v>0</v>
      </c>
      <c r="S1341" s="45">
        <v>0</v>
      </c>
      <c r="T1341" s="45">
        <v>0</v>
      </c>
      <c r="U1341" s="45">
        <v>1714</v>
      </c>
      <c r="V1341" s="45">
        <v>0</v>
      </c>
      <c r="W1341" s="45">
        <v>0</v>
      </c>
      <c r="X1341" s="45">
        <v>0</v>
      </c>
      <c r="Y1341" s="45">
        <v>0</v>
      </c>
      <c r="Z1341" s="45">
        <v>0</v>
      </c>
      <c r="AA1341" s="45">
        <v>0</v>
      </c>
      <c r="AB1341" s="45">
        <v>0</v>
      </c>
      <c r="AC1341" s="45">
        <v>0</v>
      </c>
      <c r="AD1341" s="45">
        <v>0</v>
      </c>
      <c r="AE1341" s="45">
        <v>0</v>
      </c>
      <c r="AF1341" s="45">
        <v>0</v>
      </c>
      <c r="AG1341" s="45">
        <v>0</v>
      </c>
      <c r="AH1341" s="45">
        <v>0</v>
      </c>
      <c r="AI1341" s="45">
        <v>0</v>
      </c>
      <c r="AJ1341" s="45">
        <v>0</v>
      </c>
      <c r="AK1341" s="45">
        <v>0</v>
      </c>
      <c r="AL1341" s="45">
        <v>0</v>
      </c>
      <c r="AM1341" s="57" t="str">
        <f>I1341-J1341-K1341-L1341-M1341-N1341-O1341-P1341-Q1341-R1341-S1341-T1341-U1341-V1341-W1341-X1341-Y1341-Z1341-AA1341-AB1341-AC1341-AD1341-AE1341-AF1341-AG1341+AH1341-AI1341+AJ1341+AK1341-AL1341</f>
        <v>0</v>
      </c>
      <c r="AN1341" s="45"/>
    </row>
    <row r="1342" spans="1:41">
      <c r="A1342" s="45">
        <v>1314</v>
      </c>
      <c r="B1342" s="45" t="s">
        <v>5208</v>
      </c>
      <c r="C1342" s="49" t="s">
        <v>5209</v>
      </c>
      <c r="D1342" s="53" t="s">
        <v>73</v>
      </c>
      <c r="E1342" s="45" t="s">
        <v>5164</v>
      </c>
      <c r="F1342" s="45" t="s">
        <v>5210</v>
      </c>
      <c r="G1342" s="45">
        <v>11</v>
      </c>
      <c r="H1342" s="53" t="s">
        <v>5211</v>
      </c>
      <c r="I1342" s="45">
        <v>3739000</v>
      </c>
      <c r="J1342" s="45">
        <v>18695</v>
      </c>
      <c r="K1342" s="45">
        <v>54000</v>
      </c>
      <c r="L1342" s="45">
        <v>0</v>
      </c>
      <c r="M1342" s="45">
        <v>0</v>
      </c>
      <c r="N1342" s="45">
        <v>0</v>
      </c>
      <c r="O1342" s="45">
        <v>0</v>
      </c>
      <c r="P1342" s="45">
        <v>0</v>
      </c>
      <c r="Q1342" s="45">
        <v>0</v>
      </c>
      <c r="R1342" s="45">
        <v>0</v>
      </c>
      <c r="S1342" s="45">
        <v>0</v>
      </c>
      <c r="T1342" s="45">
        <v>0</v>
      </c>
      <c r="U1342" s="45">
        <v>3429</v>
      </c>
      <c r="V1342" s="45">
        <v>0</v>
      </c>
      <c r="W1342" s="45">
        <v>0</v>
      </c>
      <c r="X1342" s="45">
        <v>0</v>
      </c>
      <c r="Y1342" s="45">
        <v>0</v>
      </c>
      <c r="Z1342" s="45">
        <v>0</v>
      </c>
      <c r="AA1342" s="45">
        <v>0</v>
      </c>
      <c r="AB1342" s="45">
        <v>0</v>
      </c>
      <c r="AC1342" s="45">
        <v>0</v>
      </c>
      <c r="AD1342" s="45">
        <v>0</v>
      </c>
      <c r="AE1342" s="45">
        <v>0</v>
      </c>
      <c r="AF1342" s="45">
        <v>0</v>
      </c>
      <c r="AG1342" s="45">
        <v>0</v>
      </c>
      <c r="AH1342" s="45">
        <v>0</v>
      </c>
      <c r="AI1342" s="45">
        <v>0</v>
      </c>
      <c r="AJ1342" s="45">
        <v>0</v>
      </c>
      <c r="AK1342" s="45">
        <v>0</v>
      </c>
      <c r="AL1342" s="45">
        <v>0</v>
      </c>
      <c r="AM1342" s="57" t="str">
        <f>I1342-J1342-K1342-L1342-M1342-N1342-O1342-P1342-Q1342-R1342-S1342-T1342-U1342-V1342-W1342-X1342-Y1342-Z1342-AA1342-AB1342-AC1342-AD1342-AE1342-AF1342-AG1342+AH1342-AI1342+AJ1342+AK1342-AL1342</f>
        <v>0</v>
      </c>
      <c r="AN1342" s="45"/>
    </row>
    <row r="1343" spans="1:41">
      <c r="A1343" s="45">
        <v>1315</v>
      </c>
      <c r="B1343" s="45" t="s">
        <v>5212</v>
      </c>
      <c r="C1343" s="49" t="s">
        <v>5213</v>
      </c>
      <c r="D1343" s="53" t="s">
        <v>73</v>
      </c>
      <c r="E1343" s="45" t="s">
        <v>5164</v>
      </c>
      <c r="F1343" s="45" t="s">
        <v>3251</v>
      </c>
      <c r="G1343" s="45">
        <v>2</v>
      </c>
      <c r="H1343" s="53" t="s">
        <v>5214</v>
      </c>
      <c r="I1343" s="45">
        <v>214000</v>
      </c>
      <c r="J1343" s="45">
        <v>0</v>
      </c>
      <c r="K1343" s="45">
        <v>22000</v>
      </c>
      <c r="L1343" s="45">
        <v>0</v>
      </c>
      <c r="M1343" s="45">
        <v>0</v>
      </c>
      <c r="N1343" s="45">
        <v>0</v>
      </c>
      <c r="O1343" s="45">
        <v>0</v>
      </c>
      <c r="P1343" s="45">
        <v>0</v>
      </c>
      <c r="Q1343" s="45">
        <v>0</v>
      </c>
      <c r="R1343" s="45">
        <v>0</v>
      </c>
      <c r="S1343" s="45">
        <v>0</v>
      </c>
      <c r="T1343" s="45">
        <v>0</v>
      </c>
      <c r="U1343" s="45">
        <v>1397</v>
      </c>
      <c r="V1343" s="45">
        <v>0</v>
      </c>
      <c r="W1343" s="45">
        <v>0</v>
      </c>
      <c r="X1343" s="45">
        <v>0</v>
      </c>
      <c r="Y1343" s="45">
        <v>0</v>
      </c>
      <c r="Z1343" s="45">
        <v>0</v>
      </c>
      <c r="AA1343" s="45">
        <v>0</v>
      </c>
      <c r="AB1343" s="45">
        <v>0</v>
      </c>
      <c r="AC1343" s="45">
        <v>0</v>
      </c>
      <c r="AD1343" s="45">
        <v>0</v>
      </c>
      <c r="AE1343" s="45">
        <v>0</v>
      </c>
      <c r="AF1343" s="45">
        <v>0</v>
      </c>
      <c r="AG1343" s="45">
        <v>0</v>
      </c>
      <c r="AH1343" s="45">
        <v>0</v>
      </c>
      <c r="AI1343" s="45">
        <v>0</v>
      </c>
      <c r="AJ1343" s="45">
        <v>0</v>
      </c>
      <c r="AK1343" s="45">
        <v>0</v>
      </c>
      <c r="AL1343" s="45">
        <v>0</v>
      </c>
      <c r="AM1343" s="57" t="str">
        <f>I1343-J1343-K1343-L1343-M1343-N1343-O1343-P1343-Q1343-R1343-S1343-T1343-U1343-V1343-W1343-X1343-Y1343-Z1343-AA1343-AB1343-AC1343-AD1343-AE1343-AF1343-AG1343+AH1343-AI1343+AJ1343+AK1343-AL1343</f>
        <v>0</v>
      </c>
      <c r="AN1343" s="45"/>
    </row>
    <row r="1344" spans="1:41">
      <c r="A1344" s="45">
        <v>1316</v>
      </c>
      <c r="B1344" s="45" t="s">
        <v>5215</v>
      </c>
      <c r="C1344" s="49" t="s">
        <v>5216</v>
      </c>
      <c r="D1344" s="53" t="s">
        <v>73</v>
      </c>
      <c r="E1344" s="45" t="s">
        <v>5164</v>
      </c>
      <c r="F1344" s="45" t="s">
        <v>4350</v>
      </c>
      <c r="G1344" s="45">
        <v>2</v>
      </c>
      <c r="H1344" s="53" t="s">
        <v>5217</v>
      </c>
      <c r="I1344" s="45">
        <v>254000</v>
      </c>
      <c r="J1344" s="45">
        <v>0</v>
      </c>
      <c r="K1344" s="45">
        <v>22000</v>
      </c>
      <c r="L1344" s="45">
        <v>0</v>
      </c>
      <c r="M1344" s="45">
        <v>0</v>
      </c>
      <c r="N1344" s="45">
        <v>0</v>
      </c>
      <c r="O1344" s="45">
        <v>0</v>
      </c>
      <c r="P1344" s="45">
        <v>0</v>
      </c>
      <c r="Q1344" s="45">
        <v>0</v>
      </c>
      <c r="R1344" s="45">
        <v>0</v>
      </c>
      <c r="S1344" s="45">
        <v>0</v>
      </c>
      <c r="T1344" s="45">
        <v>0</v>
      </c>
      <c r="U1344" s="45">
        <v>1397</v>
      </c>
      <c r="V1344" s="45">
        <v>0</v>
      </c>
      <c r="W1344" s="45">
        <v>0</v>
      </c>
      <c r="X1344" s="45">
        <v>0</v>
      </c>
      <c r="Y1344" s="45">
        <v>0</v>
      </c>
      <c r="Z1344" s="45">
        <v>0</v>
      </c>
      <c r="AA1344" s="45">
        <v>0</v>
      </c>
      <c r="AB1344" s="45">
        <v>0</v>
      </c>
      <c r="AC1344" s="45">
        <v>0</v>
      </c>
      <c r="AD1344" s="45">
        <v>0</v>
      </c>
      <c r="AE1344" s="45">
        <v>0</v>
      </c>
      <c r="AF1344" s="45">
        <v>0</v>
      </c>
      <c r="AG1344" s="45">
        <v>0</v>
      </c>
      <c r="AH1344" s="45">
        <v>0</v>
      </c>
      <c r="AI1344" s="45">
        <v>0</v>
      </c>
      <c r="AJ1344" s="45">
        <v>0</v>
      </c>
      <c r="AK1344" s="45">
        <v>0</v>
      </c>
      <c r="AL1344" s="45">
        <v>0</v>
      </c>
      <c r="AM1344" s="57" t="str">
        <f>I1344-J1344-K1344-L1344-M1344-N1344-O1344-P1344-Q1344-R1344-S1344-T1344-U1344-V1344-W1344-X1344-Y1344-Z1344-AA1344-AB1344-AC1344-AD1344-AE1344-AF1344-AG1344+AH1344-AI1344+AJ1344+AK1344-AL1344</f>
        <v>0</v>
      </c>
      <c r="AN1344" s="45"/>
    </row>
    <row r="1345" spans="1:41">
      <c r="A1345" s="45">
        <v>1317</v>
      </c>
      <c r="B1345" s="45" t="s">
        <v>5218</v>
      </c>
      <c r="C1345" s="49" t="s">
        <v>5219</v>
      </c>
      <c r="D1345" s="53" t="s">
        <v>73</v>
      </c>
      <c r="E1345" s="45" t="s">
        <v>5164</v>
      </c>
      <c r="F1345" s="45" t="s">
        <v>5220</v>
      </c>
      <c r="G1345" s="45">
        <v>2</v>
      </c>
      <c r="H1345" s="53" t="s">
        <v>5221</v>
      </c>
      <c r="I1345" s="45">
        <v>324000</v>
      </c>
      <c r="J1345" s="45">
        <v>0</v>
      </c>
      <c r="K1345" s="45">
        <v>22000</v>
      </c>
      <c r="L1345" s="45">
        <v>0</v>
      </c>
      <c r="M1345" s="45">
        <v>0</v>
      </c>
      <c r="N1345" s="45">
        <v>0</v>
      </c>
      <c r="O1345" s="45">
        <v>0</v>
      </c>
      <c r="P1345" s="45">
        <v>0</v>
      </c>
      <c r="Q1345" s="45">
        <v>0</v>
      </c>
      <c r="R1345" s="45">
        <v>0</v>
      </c>
      <c r="S1345" s="45">
        <v>0</v>
      </c>
      <c r="T1345" s="45">
        <v>0</v>
      </c>
      <c r="U1345" s="45">
        <v>1397</v>
      </c>
      <c r="V1345" s="45">
        <v>0</v>
      </c>
      <c r="W1345" s="45">
        <v>0</v>
      </c>
      <c r="X1345" s="45">
        <v>0</v>
      </c>
      <c r="Y1345" s="45">
        <v>0</v>
      </c>
      <c r="Z1345" s="45">
        <v>0</v>
      </c>
      <c r="AA1345" s="45">
        <v>0</v>
      </c>
      <c r="AB1345" s="45">
        <v>0</v>
      </c>
      <c r="AC1345" s="45">
        <v>0</v>
      </c>
      <c r="AD1345" s="45">
        <v>0</v>
      </c>
      <c r="AE1345" s="45">
        <v>0</v>
      </c>
      <c r="AF1345" s="45">
        <v>0</v>
      </c>
      <c r="AG1345" s="45">
        <v>0</v>
      </c>
      <c r="AH1345" s="45">
        <v>0</v>
      </c>
      <c r="AI1345" s="45">
        <v>0</v>
      </c>
      <c r="AJ1345" s="45">
        <v>0</v>
      </c>
      <c r="AK1345" s="45">
        <v>0</v>
      </c>
      <c r="AL1345" s="45">
        <v>0</v>
      </c>
      <c r="AM1345" s="57" t="str">
        <f>I1345-J1345-K1345-L1345-M1345-N1345-O1345-P1345-Q1345-R1345-S1345-T1345-U1345-V1345-W1345-X1345-Y1345-Z1345-AA1345-AB1345-AC1345-AD1345-AE1345-AF1345-AG1345+AH1345-AI1345+AJ1345+AK1345-AL1345</f>
        <v>0</v>
      </c>
      <c r="AN1345" s="45"/>
    </row>
    <row r="1346" spans="1:41">
      <c r="A1346" s="45">
        <v>1318</v>
      </c>
      <c r="B1346" s="45" t="s">
        <v>5222</v>
      </c>
      <c r="C1346" s="49" t="s">
        <v>5223</v>
      </c>
      <c r="D1346" s="53" t="s">
        <v>73</v>
      </c>
      <c r="E1346" s="45" t="s">
        <v>5164</v>
      </c>
      <c r="F1346" s="45" t="s">
        <v>5224</v>
      </c>
      <c r="G1346" s="45">
        <v>5</v>
      </c>
      <c r="H1346" s="53" t="s">
        <v>5225</v>
      </c>
      <c r="I1346" s="45">
        <v>1449000</v>
      </c>
      <c r="J1346" s="45">
        <v>0</v>
      </c>
      <c r="K1346" s="45">
        <v>27000</v>
      </c>
      <c r="L1346" s="45">
        <v>0</v>
      </c>
      <c r="M1346" s="45">
        <v>0</v>
      </c>
      <c r="N1346" s="45">
        <v>0</v>
      </c>
      <c r="O1346" s="45">
        <v>0</v>
      </c>
      <c r="P1346" s="45">
        <v>0</v>
      </c>
      <c r="Q1346" s="45">
        <v>0</v>
      </c>
      <c r="R1346" s="45">
        <v>0</v>
      </c>
      <c r="S1346" s="45">
        <v>0</v>
      </c>
      <c r="T1346" s="45">
        <v>0</v>
      </c>
      <c r="U1346" s="45">
        <v>1714</v>
      </c>
      <c r="V1346" s="45">
        <v>0</v>
      </c>
      <c r="W1346" s="45">
        <v>0</v>
      </c>
      <c r="X1346" s="45">
        <v>0</v>
      </c>
      <c r="Y1346" s="45">
        <v>0</v>
      </c>
      <c r="Z1346" s="45">
        <v>0</v>
      </c>
      <c r="AA1346" s="45">
        <v>0</v>
      </c>
      <c r="AB1346" s="45">
        <v>0</v>
      </c>
      <c r="AC1346" s="45">
        <v>0</v>
      </c>
      <c r="AD1346" s="45">
        <v>0</v>
      </c>
      <c r="AE1346" s="45">
        <v>0</v>
      </c>
      <c r="AF1346" s="45">
        <v>0</v>
      </c>
      <c r="AG1346" s="45">
        <v>0</v>
      </c>
      <c r="AH1346" s="45">
        <v>0</v>
      </c>
      <c r="AI1346" s="45">
        <v>0</v>
      </c>
      <c r="AJ1346" s="45">
        <v>0</v>
      </c>
      <c r="AK1346" s="45">
        <v>0</v>
      </c>
      <c r="AL1346" s="45">
        <v>0</v>
      </c>
      <c r="AM1346" s="57" t="str">
        <f>I1346-J1346-K1346-L1346-M1346-N1346-O1346-P1346-Q1346-R1346-S1346-T1346-U1346-V1346-W1346-X1346-Y1346-Z1346-AA1346-AB1346-AC1346-AD1346-AE1346-AF1346-AG1346+AH1346-AI1346+AJ1346+AK1346-AL1346</f>
        <v>0</v>
      </c>
      <c r="AN1346" s="45"/>
    </row>
    <row r="1347" spans="1:41">
      <c r="A1347" s="45">
        <v>1319</v>
      </c>
      <c r="B1347" s="45" t="s">
        <v>5226</v>
      </c>
      <c r="C1347" s="49" t="s">
        <v>5227</v>
      </c>
      <c r="D1347" s="53" t="s">
        <v>73</v>
      </c>
      <c r="E1347" s="45" t="s">
        <v>5164</v>
      </c>
      <c r="F1347" s="45" t="s">
        <v>781</v>
      </c>
      <c r="G1347" s="45">
        <v>9</v>
      </c>
      <c r="H1347" s="53" t="s">
        <v>5228</v>
      </c>
      <c r="I1347" s="45">
        <v>1900000</v>
      </c>
      <c r="J1347" s="45">
        <v>0</v>
      </c>
      <c r="K1347" s="45">
        <v>40000</v>
      </c>
      <c r="L1347" s="45">
        <v>0</v>
      </c>
      <c r="M1347" s="45">
        <v>0</v>
      </c>
      <c r="N1347" s="45">
        <v>0</v>
      </c>
      <c r="O1347" s="45">
        <v>0</v>
      </c>
      <c r="P1347" s="45">
        <v>0</v>
      </c>
      <c r="Q1347" s="45">
        <v>0</v>
      </c>
      <c r="R1347" s="45">
        <v>0</v>
      </c>
      <c r="S1347" s="45">
        <v>0</v>
      </c>
      <c r="T1347" s="45">
        <v>0</v>
      </c>
      <c r="U1347" s="45">
        <v>2540</v>
      </c>
      <c r="V1347" s="45">
        <v>0</v>
      </c>
      <c r="W1347" s="45">
        <v>0</v>
      </c>
      <c r="X1347" s="45">
        <v>0</v>
      </c>
      <c r="Y1347" s="45">
        <v>0</v>
      </c>
      <c r="Z1347" s="45">
        <v>0</v>
      </c>
      <c r="AA1347" s="45">
        <v>0</v>
      </c>
      <c r="AB1347" s="45">
        <v>0</v>
      </c>
      <c r="AC1347" s="45">
        <v>0</v>
      </c>
      <c r="AD1347" s="45">
        <v>0</v>
      </c>
      <c r="AE1347" s="45">
        <v>0</v>
      </c>
      <c r="AF1347" s="45">
        <v>0</v>
      </c>
      <c r="AG1347" s="45">
        <v>0</v>
      </c>
      <c r="AH1347" s="45">
        <v>0</v>
      </c>
      <c r="AI1347" s="45">
        <v>0</v>
      </c>
      <c r="AJ1347" s="45">
        <v>0</v>
      </c>
      <c r="AK1347" s="45">
        <v>0</v>
      </c>
      <c r="AL1347" s="45">
        <v>0</v>
      </c>
      <c r="AM1347" s="57" t="str">
        <f>I1347-J1347-K1347-L1347-M1347-N1347-O1347-P1347-Q1347-R1347-S1347-T1347-U1347-V1347-W1347-X1347-Y1347-Z1347-AA1347-AB1347-AC1347-AD1347-AE1347-AF1347-AG1347+AH1347-AI1347+AJ1347+AK1347-AL1347</f>
        <v>0</v>
      </c>
      <c r="AN1347" s="45"/>
    </row>
    <row r="1348" spans="1:41">
      <c r="A1348" s="45">
        <v>1320</v>
      </c>
      <c r="B1348" s="45" t="s">
        <v>5229</v>
      </c>
      <c r="C1348" s="49" t="s">
        <v>5230</v>
      </c>
      <c r="D1348" s="53" t="s">
        <v>73</v>
      </c>
      <c r="E1348" s="45" t="s">
        <v>5164</v>
      </c>
      <c r="F1348" s="45" t="s">
        <v>5231</v>
      </c>
      <c r="G1348" s="45">
        <v>3</v>
      </c>
      <c r="H1348" s="53" t="s">
        <v>5232</v>
      </c>
      <c r="I1348" s="45">
        <v>560000</v>
      </c>
      <c r="J1348" s="45">
        <v>0</v>
      </c>
      <c r="K1348" s="45">
        <v>22000</v>
      </c>
      <c r="L1348" s="45">
        <v>0</v>
      </c>
      <c r="M1348" s="45">
        <v>0</v>
      </c>
      <c r="N1348" s="45">
        <v>0</v>
      </c>
      <c r="O1348" s="45">
        <v>0</v>
      </c>
      <c r="P1348" s="45">
        <v>0</v>
      </c>
      <c r="Q1348" s="45">
        <v>0</v>
      </c>
      <c r="R1348" s="45">
        <v>0</v>
      </c>
      <c r="S1348" s="45">
        <v>0</v>
      </c>
      <c r="T1348" s="45">
        <v>0</v>
      </c>
      <c r="U1348" s="45">
        <v>1397</v>
      </c>
      <c r="V1348" s="45">
        <v>0</v>
      </c>
      <c r="W1348" s="45">
        <v>0</v>
      </c>
      <c r="X1348" s="45">
        <v>0</v>
      </c>
      <c r="Y1348" s="45">
        <v>0</v>
      </c>
      <c r="Z1348" s="45">
        <v>0</v>
      </c>
      <c r="AA1348" s="45">
        <v>0</v>
      </c>
      <c r="AB1348" s="45">
        <v>0</v>
      </c>
      <c r="AC1348" s="45">
        <v>0</v>
      </c>
      <c r="AD1348" s="45">
        <v>0</v>
      </c>
      <c r="AE1348" s="45">
        <v>0</v>
      </c>
      <c r="AF1348" s="45">
        <v>0</v>
      </c>
      <c r="AG1348" s="45">
        <v>0</v>
      </c>
      <c r="AH1348" s="45">
        <v>0</v>
      </c>
      <c r="AI1348" s="45">
        <v>0</v>
      </c>
      <c r="AJ1348" s="45">
        <v>0</v>
      </c>
      <c r="AK1348" s="45">
        <v>0</v>
      </c>
      <c r="AL1348" s="45">
        <v>0</v>
      </c>
      <c r="AM1348" s="57" t="str">
        <f>I1348-J1348-K1348-L1348-M1348-N1348-O1348-P1348-Q1348-R1348-S1348-T1348-U1348-V1348-W1348-X1348-Y1348-Z1348-AA1348-AB1348-AC1348-AD1348-AE1348-AF1348-AG1348+AH1348-AI1348+AJ1348+AK1348-AL1348</f>
        <v>0</v>
      </c>
      <c r="AN1348" s="45"/>
    </row>
    <row r="1349" spans="1:41">
      <c r="A1349" s="45">
        <v>1321</v>
      </c>
      <c r="B1349" s="45" t="s">
        <v>5233</v>
      </c>
      <c r="C1349" s="49" t="s">
        <v>5234</v>
      </c>
      <c r="D1349" s="53" t="s">
        <v>73</v>
      </c>
      <c r="E1349" s="45" t="s">
        <v>5164</v>
      </c>
      <c r="F1349" s="45" t="s">
        <v>5235</v>
      </c>
      <c r="G1349" s="45">
        <v>5.8</v>
      </c>
      <c r="H1349" s="53" t="s">
        <v>5236</v>
      </c>
      <c r="I1349" s="45">
        <v>634000</v>
      </c>
      <c r="J1349" s="45">
        <v>0</v>
      </c>
      <c r="K1349" s="45">
        <v>31000</v>
      </c>
      <c r="L1349" s="45">
        <v>0</v>
      </c>
      <c r="M1349" s="45">
        <v>0</v>
      </c>
      <c r="N1349" s="45">
        <v>0</v>
      </c>
      <c r="O1349" s="45">
        <v>0</v>
      </c>
      <c r="P1349" s="45">
        <v>0</v>
      </c>
      <c r="Q1349" s="45">
        <v>0</v>
      </c>
      <c r="R1349" s="45">
        <v>0</v>
      </c>
      <c r="S1349" s="45">
        <v>0</v>
      </c>
      <c r="T1349" s="45">
        <v>0</v>
      </c>
      <c r="U1349" s="45">
        <v>1968</v>
      </c>
      <c r="V1349" s="45">
        <v>0</v>
      </c>
      <c r="W1349" s="45">
        <v>0</v>
      </c>
      <c r="X1349" s="45">
        <v>0</v>
      </c>
      <c r="Y1349" s="45">
        <v>0</v>
      </c>
      <c r="Z1349" s="45">
        <v>0</v>
      </c>
      <c r="AA1349" s="45">
        <v>0</v>
      </c>
      <c r="AB1349" s="45">
        <v>0</v>
      </c>
      <c r="AC1349" s="45">
        <v>0</v>
      </c>
      <c r="AD1349" s="45">
        <v>0</v>
      </c>
      <c r="AE1349" s="45">
        <v>0</v>
      </c>
      <c r="AF1349" s="45">
        <v>0</v>
      </c>
      <c r="AG1349" s="45">
        <v>0</v>
      </c>
      <c r="AH1349" s="45">
        <v>0</v>
      </c>
      <c r="AI1349" s="45">
        <v>0</v>
      </c>
      <c r="AJ1349" s="45">
        <v>0</v>
      </c>
      <c r="AK1349" s="45">
        <v>0</v>
      </c>
      <c r="AL1349" s="45">
        <v>0</v>
      </c>
      <c r="AM1349" s="57" t="str">
        <f>I1349-J1349-K1349-L1349-M1349-N1349-O1349-P1349-Q1349-R1349-S1349-T1349-U1349-V1349-W1349-X1349-Y1349-Z1349-AA1349-AB1349-AC1349-AD1349-AE1349-AF1349-AG1349+AH1349-AI1349+AJ1349+AK1349-AL1349</f>
        <v>0</v>
      </c>
      <c r="AN1349" s="45"/>
    </row>
    <row r="1350" spans="1:41">
      <c r="A1350" s="45">
        <v>1322</v>
      </c>
      <c r="B1350" s="45" t="s">
        <v>5237</v>
      </c>
      <c r="C1350" s="49" t="s">
        <v>5238</v>
      </c>
      <c r="D1350" s="53" t="s">
        <v>73</v>
      </c>
      <c r="E1350" s="45" t="s">
        <v>5164</v>
      </c>
      <c r="F1350" s="45" t="s">
        <v>3077</v>
      </c>
      <c r="G1350" s="45">
        <v>3</v>
      </c>
      <c r="H1350" s="53" t="s">
        <v>5239</v>
      </c>
      <c r="I1350" s="45">
        <v>494000</v>
      </c>
      <c r="J1350" s="45">
        <v>0</v>
      </c>
      <c r="K1350" s="45">
        <v>22000</v>
      </c>
      <c r="L1350" s="45">
        <v>0</v>
      </c>
      <c r="M1350" s="45">
        <v>0</v>
      </c>
      <c r="N1350" s="45">
        <v>0</v>
      </c>
      <c r="O1350" s="45">
        <v>0</v>
      </c>
      <c r="P1350" s="45">
        <v>0</v>
      </c>
      <c r="Q1350" s="45">
        <v>0</v>
      </c>
      <c r="R1350" s="45">
        <v>0</v>
      </c>
      <c r="S1350" s="45">
        <v>0</v>
      </c>
      <c r="T1350" s="45">
        <v>0</v>
      </c>
      <c r="U1350" s="45">
        <v>1397</v>
      </c>
      <c r="V1350" s="45">
        <v>0</v>
      </c>
      <c r="W1350" s="45">
        <v>0</v>
      </c>
      <c r="X1350" s="45">
        <v>0</v>
      </c>
      <c r="Y1350" s="45">
        <v>0</v>
      </c>
      <c r="Z1350" s="45">
        <v>0</v>
      </c>
      <c r="AA1350" s="45">
        <v>0</v>
      </c>
      <c r="AB1350" s="45">
        <v>0</v>
      </c>
      <c r="AC1350" s="45">
        <v>0</v>
      </c>
      <c r="AD1350" s="45">
        <v>0</v>
      </c>
      <c r="AE1350" s="45">
        <v>0</v>
      </c>
      <c r="AF1350" s="45">
        <v>0</v>
      </c>
      <c r="AG1350" s="45">
        <v>0</v>
      </c>
      <c r="AH1350" s="45">
        <v>0</v>
      </c>
      <c r="AI1350" s="45">
        <v>0</v>
      </c>
      <c r="AJ1350" s="45">
        <v>0</v>
      </c>
      <c r="AK1350" s="45">
        <v>0</v>
      </c>
      <c r="AL1350" s="45">
        <v>0</v>
      </c>
      <c r="AM1350" s="57" t="str">
        <f>I1350-J1350-K1350-L1350-M1350-N1350-O1350-P1350-Q1350-R1350-S1350-T1350-U1350-V1350-W1350-X1350-Y1350-Z1350-AA1350-AB1350-AC1350-AD1350-AE1350-AF1350-AG1350+AH1350-AI1350+AJ1350+AK1350-AL1350</f>
        <v>0</v>
      </c>
      <c r="AN1350" s="45"/>
    </row>
    <row r="1351" spans="1:41">
      <c r="A1351" s="45">
        <v>1323</v>
      </c>
      <c r="B1351" s="45" t="s">
        <v>5240</v>
      </c>
      <c r="C1351" s="49" t="s">
        <v>5241</v>
      </c>
      <c r="D1351" s="53" t="s">
        <v>73</v>
      </c>
      <c r="E1351" s="45" t="s">
        <v>5164</v>
      </c>
      <c r="F1351" s="45" t="s">
        <v>5242</v>
      </c>
      <c r="G1351" s="45">
        <v>14</v>
      </c>
      <c r="H1351" s="53" t="s">
        <v>5243</v>
      </c>
      <c r="I1351" s="45">
        <v>2993000</v>
      </c>
      <c r="J1351" s="45">
        <v>0</v>
      </c>
      <c r="K1351" s="45">
        <v>56000</v>
      </c>
      <c r="L1351" s="45">
        <v>0</v>
      </c>
      <c r="M1351" s="45">
        <v>0</v>
      </c>
      <c r="N1351" s="45">
        <v>0</v>
      </c>
      <c r="O1351" s="45">
        <v>0</v>
      </c>
      <c r="P1351" s="45">
        <v>0</v>
      </c>
      <c r="Q1351" s="45">
        <v>0</v>
      </c>
      <c r="R1351" s="45">
        <v>0</v>
      </c>
      <c r="S1351" s="45">
        <v>0</v>
      </c>
      <c r="T1351" s="45">
        <v>0</v>
      </c>
      <c r="U1351" s="45">
        <v>3556</v>
      </c>
      <c r="V1351" s="45">
        <v>0</v>
      </c>
      <c r="W1351" s="45">
        <v>0</v>
      </c>
      <c r="X1351" s="45">
        <v>0</v>
      </c>
      <c r="Y1351" s="45">
        <v>0</v>
      </c>
      <c r="Z1351" s="45">
        <v>0</v>
      </c>
      <c r="AA1351" s="45">
        <v>0</v>
      </c>
      <c r="AB1351" s="45">
        <v>0</v>
      </c>
      <c r="AC1351" s="45">
        <v>0</v>
      </c>
      <c r="AD1351" s="45">
        <v>0</v>
      </c>
      <c r="AE1351" s="45">
        <v>0</v>
      </c>
      <c r="AF1351" s="45">
        <v>0</v>
      </c>
      <c r="AG1351" s="45">
        <v>0</v>
      </c>
      <c r="AH1351" s="45">
        <v>0</v>
      </c>
      <c r="AI1351" s="45">
        <v>0</v>
      </c>
      <c r="AJ1351" s="45">
        <v>0</v>
      </c>
      <c r="AK1351" s="45">
        <v>0</v>
      </c>
      <c r="AL1351" s="45">
        <v>0</v>
      </c>
      <c r="AM1351" s="57" t="str">
        <f>I1351-J1351-K1351-L1351-M1351-N1351-O1351-P1351-Q1351-R1351-S1351-T1351-U1351-V1351-W1351-X1351-Y1351-Z1351-AA1351-AB1351-AC1351-AD1351-AE1351-AF1351-AG1351+AH1351-AI1351+AJ1351+AK1351-AL1351</f>
        <v>0</v>
      </c>
      <c r="AN1351" s="45"/>
    </row>
    <row r="1352" spans="1:41">
      <c r="A1352" s="45">
        <v>1324</v>
      </c>
      <c r="B1352" s="45" t="s">
        <v>5244</v>
      </c>
      <c r="C1352" s="49" t="s">
        <v>5245</v>
      </c>
      <c r="D1352" s="53" t="s">
        <v>73</v>
      </c>
      <c r="E1352" s="45" t="s">
        <v>5164</v>
      </c>
      <c r="F1352" s="45" t="s">
        <v>5246</v>
      </c>
      <c r="G1352" s="45">
        <v>3</v>
      </c>
      <c r="H1352" s="53" t="s">
        <v>5247</v>
      </c>
      <c r="I1352" s="45">
        <v>785000</v>
      </c>
      <c r="J1352" s="45">
        <v>0</v>
      </c>
      <c r="K1352" s="45">
        <v>22000</v>
      </c>
      <c r="L1352" s="45">
        <v>0</v>
      </c>
      <c r="M1352" s="45">
        <v>0</v>
      </c>
      <c r="N1352" s="45">
        <v>0</v>
      </c>
      <c r="O1352" s="45">
        <v>0</v>
      </c>
      <c r="P1352" s="45">
        <v>0</v>
      </c>
      <c r="Q1352" s="45">
        <v>0</v>
      </c>
      <c r="R1352" s="45">
        <v>0</v>
      </c>
      <c r="S1352" s="45">
        <v>0</v>
      </c>
      <c r="T1352" s="45">
        <v>0</v>
      </c>
      <c r="U1352" s="45">
        <v>1397</v>
      </c>
      <c r="V1352" s="45">
        <v>0</v>
      </c>
      <c r="W1352" s="45">
        <v>0</v>
      </c>
      <c r="X1352" s="45">
        <v>0</v>
      </c>
      <c r="Y1352" s="45">
        <v>0</v>
      </c>
      <c r="Z1352" s="45">
        <v>0</v>
      </c>
      <c r="AA1352" s="45">
        <v>0</v>
      </c>
      <c r="AB1352" s="45">
        <v>0</v>
      </c>
      <c r="AC1352" s="45">
        <v>0</v>
      </c>
      <c r="AD1352" s="45">
        <v>0</v>
      </c>
      <c r="AE1352" s="45">
        <v>0</v>
      </c>
      <c r="AF1352" s="45">
        <v>0</v>
      </c>
      <c r="AG1352" s="45">
        <v>0</v>
      </c>
      <c r="AH1352" s="45">
        <v>0</v>
      </c>
      <c r="AI1352" s="45">
        <v>0</v>
      </c>
      <c r="AJ1352" s="45">
        <v>0</v>
      </c>
      <c r="AK1352" s="45">
        <v>0</v>
      </c>
      <c r="AL1352" s="45">
        <v>0</v>
      </c>
      <c r="AM1352" s="57" t="str">
        <f>I1352-J1352-K1352-L1352-M1352-N1352-O1352-P1352-Q1352-R1352-S1352-T1352-U1352-V1352-W1352-X1352-Y1352-Z1352-AA1352-AB1352-AC1352-AD1352-AE1352-AF1352-AG1352+AH1352-AI1352+AJ1352+AK1352-AL1352</f>
        <v>0</v>
      </c>
      <c r="AN1352" s="45"/>
    </row>
    <row r="1353" spans="1:41">
      <c r="A1353" s="45">
        <v>1325</v>
      </c>
      <c r="B1353" s="45" t="s">
        <v>5248</v>
      </c>
      <c r="C1353" s="49" t="s">
        <v>5249</v>
      </c>
      <c r="D1353" s="53" t="s">
        <v>73</v>
      </c>
      <c r="E1353" s="45" t="s">
        <v>5164</v>
      </c>
      <c r="F1353" s="45" t="s">
        <v>5250</v>
      </c>
      <c r="G1353" s="45">
        <v>3</v>
      </c>
      <c r="H1353" s="53" t="s">
        <v>5251</v>
      </c>
      <c r="I1353" s="45">
        <v>785000</v>
      </c>
      <c r="J1353" s="45">
        <v>0</v>
      </c>
      <c r="K1353" s="45">
        <v>22000</v>
      </c>
      <c r="L1353" s="45">
        <v>0</v>
      </c>
      <c r="M1353" s="45">
        <v>0</v>
      </c>
      <c r="N1353" s="45">
        <v>0</v>
      </c>
      <c r="O1353" s="45">
        <v>0</v>
      </c>
      <c r="P1353" s="45">
        <v>0</v>
      </c>
      <c r="Q1353" s="45">
        <v>0</v>
      </c>
      <c r="R1353" s="45">
        <v>0</v>
      </c>
      <c r="S1353" s="45">
        <v>0</v>
      </c>
      <c r="T1353" s="45">
        <v>0</v>
      </c>
      <c r="U1353" s="45">
        <v>1397</v>
      </c>
      <c r="V1353" s="45">
        <v>0</v>
      </c>
      <c r="W1353" s="45">
        <v>0</v>
      </c>
      <c r="X1353" s="45">
        <v>0</v>
      </c>
      <c r="Y1353" s="45">
        <v>0</v>
      </c>
      <c r="Z1353" s="45">
        <v>0</v>
      </c>
      <c r="AA1353" s="45">
        <v>0</v>
      </c>
      <c r="AB1353" s="45">
        <v>0</v>
      </c>
      <c r="AC1353" s="45">
        <v>0</v>
      </c>
      <c r="AD1353" s="45">
        <v>0</v>
      </c>
      <c r="AE1353" s="45">
        <v>0</v>
      </c>
      <c r="AF1353" s="45">
        <v>0</v>
      </c>
      <c r="AG1353" s="45">
        <v>0</v>
      </c>
      <c r="AH1353" s="45">
        <v>0</v>
      </c>
      <c r="AI1353" s="45">
        <v>0</v>
      </c>
      <c r="AJ1353" s="45">
        <v>0</v>
      </c>
      <c r="AK1353" s="45">
        <v>0</v>
      </c>
      <c r="AL1353" s="45">
        <v>0</v>
      </c>
      <c r="AM1353" s="57" t="str">
        <f>I1353-J1353-K1353-L1353-M1353-N1353-O1353-P1353-Q1353-R1353-S1353-T1353-U1353-V1353-W1353-X1353-Y1353-Z1353-AA1353-AB1353-AC1353-AD1353-AE1353-AF1353-AG1353+AH1353-AI1353+AJ1353+AK1353-AL1353</f>
        <v>0</v>
      </c>
      <c r="AN1353" s="45"/>
    </row>
    <row r="1354" spans="1:41">
      <c r="A1354" s="45">
        <v>1326</v>
      </c>
      <c r="B1354" s="45" t="s">
        <v>5252</v>
      </c>
      <c r="C1354" s="49" t="s">
        <v>5253</v>
      </c>
      <c r="D1354" s="53" t="s">
        <v>73</v>
      </c>
      <c r="E1354" s="45" t="s">
        <v>5254</v>
      </c>
      <c r="F1354" s="45" t="s">
        <v>380</v>
      </c>
      <c r="G1354" s="45">
        <v>5.8</v>
      </c>
      <c r="H1354" s="53" t="s">
        <v>5255</v>
      </c>
      <c r="I1354" s="45">
        <v>634000</v>
      </c>
      <c r="J1354" s="45">
        <v>0</v>
      </c>
      <c r="K1354" s="45">
        <v>31000</v>
      </c>
      <c r="L1354" s="45">
        <v>0</v>
      </c>
      <c r="M1354" s="45">
        <v>0</v>
      </c>
      <c r="N1354" s="45">
        <v>0</v>
      </c>
      <c r="O1354" s="45">
        <v>0</v>
      </c>
      <c r="P1354" s="45">
        <v>0</v>
      </c>
      <c r="Q1354" s="45">
        <v>0</v>
      </c>
      <c r="R1354" s="45">
        <v>0</v>
      </c>
      <c r="S1354" s="45">
        <v>0</v>
      </c>
      <c r="T1354" s="45">
        <v>0</v>
      </c>
      <c r="U1354" s="45">
        <v>1968</v>
      </c>
      <c r="V1354" s="45">
        <v>0</v>
      </c>
      <c r="W1354" s="45">
        <v>0</v>
      </c>
      <c r="X1354" s="45">
        <v>0</v>
      </c>
      <c r="Y1354" s="45">
        <v>0</v>
      </c>
      <c r="Z1354" s="45">
        <v>0</v>
      </c>
      <c r="AA1354" s="45">
        <v>0</v>
      </c>
      <c r="AB1354" s="45">
        <v>0</v>
      </c>
      <c r="AC1354" s="45">
        <v>0</v>
      </c>
      <c r="AD1354" s="45">
        <v>0</v>
      </c>
      <c r="AE1354" s="45">
        <v>0</v>
      </c>
      <c r="AF1354" s="45">
        <v>0</v>
      </c>
      <c r="AG1354" s="45">
        <v>0</v>
      </c>
      <c r="AH1354" s="45">
        <v>0</v>
      </c>
      <c r="AI1354" s="45">
        <v>0</v>
      </c>
      <c r="AJ1354" s="45">
        <v>0</v>
      </c>
      <c r="AK1354" s="45">
        <v>0</v>
      </c>
      <c r="AL1354" s="45">
        <v>0</v>
      </c>
      <c r="AM1354" s="57" t="str">
        <f>I1354-J1354-K1354-L1354-M1354-N1354-O1354-P1354-Q1354-R1354-S1354-T1354-U1354-V1354-W1354-X1354-Y1354-Z1354-AA1354-AB1354-AC1354-AD1354-AE1354-AF1354-AG1354+AH1354-AI1354+AJ1354+AK1354-AL1354</f>
        <v>0</v>
      </c>
      <c r="AN1354" s="45"/>
    </row>
    <row r="1355" spans="1:41">
      <c r="A1355" s="45">
        <v>1327</v>
      </c>
      <c r="B1355" s="45" t="s">
        <v>5256</v>
      </c>
      <c r="C1355" s="49" t="s">
        <v>5257</v>
      </c>
      <c r="D1355" s="53" t="s">
        <v>73</v>
      </c>
      <c r="E1355" s="45" t="s">
        <v>5254</v>
      </c>
      <c r="F1355" s="45" t="s">
        <v>1005</v>
      </c>
      <c r="G1355" s="45">
        <v>6</v>
      </c>
      <c r="H1355" s="53" t="s">
        <v>5258</v>
      </c>
      <c r="I1355" s="45">
        <v>1360000</v>
      </c>
      <c r="J1355" s="45">
        <v>0</v>
      </c>
      <c r="K1355" s="45">
        <v>31000</v>
      </c>
      <c r="L1355" s="45">
        <v>0</v>
      </c>
      <c r="M1355" s="45">
        <v>0</v>
      </c>
      <c r="N1355" s="45">
        <v>0</v>
      </c>
      <c r="O1355" s="45">
        <v>0</v>
      </c>
      <c r="P1355" s="45">
        <v>0</v>
      </c>
      <c r="Q1355" s="45">
        <v>0</v>
      </c>
      <c r="R1355" s="45">
        <v>0</v>
      </c>
      <c r="S1355" s="45">
        <v>0</v>
      </c>
      <c r="T1355" s="45">
        <v>0</v>
      </c>
      <c r="U1355" s="45">
        <v>1968</v>
      </c>
      <c r="V1355" s="45">
        <v>0</v>
      </c>
      <c r="W1355" s="45">
        <v>0</v>
      </c>
      <c r="X1355" s="45">
        <v>0</v>
      </c>
      <c r="Y1355" s="45">
        <v>0</v>
      </c>
      <c r="Z1355" s="45">
        <v>0</v>
      </c>
      <c r="AA1355" s="45">
        <v>0</v>
      </c>
      <c r="AB1355" s="45">
        <v>0</v>
      </c>
      <c r="AC1355" s="45">
        <v>0</v>
      </c>
      <c r="AD1355" s="45">
        <v>0</v>
      </c>
      <c r="AE1355" s="45">
        <v>0</v>
      </c>
      <c r="AF1355" s="45">
        <v>0</v>
      </c>
      <c r="AG1355" s="45">
        <v>0</v>
      </c>
      <c r="AH1355" s="45">
        <v>0</v>
      </c>
      <c r="AI1355" s="45">
        <v>0</v>
      </c>
      <c r="AJ1355" s="45">
        <v>0</v>
      </c>
      <c r="AK1355" s="45">
        <v>0</v>
      </c>
      <c r="AL1355" s="45">
        <v>0</v>
      </c>
      <c r="AM1355" s="57" t="str">
        <f>I1355-J1355-K1355-L1355-M1355-N1355-O1355-P1355-Q1355-R1355-S1355-T1355-U1355-V1355-W1355-X1355-Y1355-Z1355-AA1355-AB1355-AC1355-AD1355-AE1355-AF1355-AG1355+AH1355-AI1355+AJ1355+AK1355-AL1355</f>
        <v>0</v>
      </c>
      <c r="AN1355" s="45"/>
    </row>
    <row r="1356" spans="1:41">
      <c r="A1356" s="45">
        <v>1328</v>
      </c>
      <c r="B1356" s="45" t="s">
        <v>5259</v>
      </c>
      <c r="C1356" s="49" t="s">
        <v>5260</v>
      </c>
      <c r="D1356" s="53" t="s">
        <v>73</v>
      </c>
      <c r="E1356" s="45" t="s">
        <v>5254</v>
      </c>
      <c r="F1356" s="45" t="s">
        <v>5261</v>
      </c>
      <c r="G1356" s="45">
        <v>2</v>
      </c>
      <c r="H1356" s="53" t="s">
        <v>5262</v>
      </c>
      <c r="I1356" s="45">
        <v>134000</v>
      </c>
      <c r="J1356" s="45">
        <v>0</v>
      </c>
      <c r="K1356" s="45">
        <v>22000</v>
      </c>
      <c r="L1356" s="45">
        <v>0</v>
      </c>
      <c r="M1356" s="45">
        <v>0</v>
      </c>
      <c r="N1356" s="45">
        <v>0</v>
      </c>
      <c r="O1356" s="45">
        <v>0</v>
      </c>
      <c r="P1356" s="45">
        <v>0</v>
      </c>
      <c r="Q1356" s="45">
        <v>0</v>
      </c>
      <c r="R1356" s="45">
        <v>0</v>
      </c>
      <c r="S1356" s="45">
        <v>0</v>
      </c>
      <c r="T1356" s="45">
        <v>0</v>
      </c>
      <c r="U1356" s="45">
        <v>1397</v>
      </c>
      <c r="V1356" s="45">
        <v>0</v>
      </c>
      <c r="W1356" s="45">
        <v>0</v>
      </c>
      <c r="X1356" s="45">
        <v>0</v>
      </c>
      <c r="Y1356" s="45">
        <v>0</v>
      </c>
      <c r="Z1356" s="45">
        <v>0</v>
      </c>
      <c r="AA1356" s="45">
        <v>0</v>
      </c>
      <c r="AB1356" s="45">
        <v>0</v>
      </c>
      <c r="AC1356" s="45">
        <v>0</v>
      </c>
      <c r="AD1356" s="45">
        <v>0</v>
      </c>
      <c r="AE1356" s="45">
        <v>0</v>
      </c>
      <c r="AF1356" s="45">
        <v>0</v>
      </c>
      <c r="AG1356" s="45">
        <v>0</v>
      </c>
      <c r="AH1356" s="45">
        <v>0</v>
      </c>
      <c r="AI1356" s="45">
        <v>0</v>
      </c>
      <c r="AJ1356" s="45">
        <v>0</v>
      </c>
      <c r="AK1356" s="45">
        <v>0</v>
      </c>
      <c r="AL1356" s="45">
        <v>0</v>
      </c>
      <c r="AM1356" s="57" t="str">
        <f>I1356-J1356-K1356-L1356-M1356-N1356-O1356-P1356-Q1356-R1356-S1356-T1356-U1356-V1356-W1356-X1356-Y1356-Z1356-AA1356-AB1356-AC1356-AD1356-AE1356-AF1356-AG1356+AH1356-AI1356+AJ1356+AK1356-AL1356</f>
        <v>0</v>
      </c>
      <c r="AN1356" s="45"/>
    </row>
    <row r="1357" spans="1:41">
      <c r="A1357" s="45">
        <v>1329</v>
      </c>
      <c r="B1357" s="45" t="s">
        <v>5263</v>
      </c>
      <c r="C1357" s="49" t="s">
        <v>5264</v>
      </c>
      <c r="D1357" s="53" t="s">
        <v>73</v>
      </c>
      <c r="E1357" s="45" t="s">
        <v>5254</v>
      </c>
      <c r="F1357" s="45" t="s">
        <v>5265</v>
      </c>
      <c r="G1357" s="45">
        <v>4</v>
      </c>
      <c r="H1357" s="53" t="s">
        <v>5266</v>
      </c>
      <c r="I1357" s="45">
        <v>0</v>
      </c>
      <c r="J1357" s="45">
        <v>0</v>
      </c>
      <c r="K1357" s="45">
        <v>25000</v>
      </c>
      <c r="L1357" s="45">
        <v>0</v>
      </c>
      <c r="M1357" s="45">
        <v>0</v>
      </c>
      <c r="N1357" s="45">
        <v>0</v>
      </c>
      <c r="O1357" s="45">
        <v>0</v>
      </c>
      <c r="P1357" s="45">
        <v>0</v>
      </c>
      <c r="Q1357" s="45">
        <v>0</v>
      </c>
      <c r="R1357" s="45">
        <v>0</v>
      </c>
      <c r="S1357" s="45">
        <v>0</v>
      </c>
      <c r="T1357" s="45">
        <v>0</v>
      </c>
      <c r="U1357" s="45">
        <v>1587</v>
      </c>
      <c r="V1357" s="45">
        <v>0</v>
      </c>
      <c r="W1357" s="45">
        <v>0</v>
      </c>
      <c r="X1357" s="45">
        <v>0</v>
      </c>
      <c r="Y1357" s="45">
        <v>0</v>
      </c>
      <c r="Z1357" s="45">
        <v>0</v>
      </c>
      <c r="AA1357" s="45">
        <v>0</v>
      </c>
      <c r="AB1357" s="45">
        <v>0</v>
      </c>
      <c r="AC1357" s="45">
        <v>0</v>
      </c>
      <c r="AD1357" s="45">
        <v>0</v>
      </c>
      <c r="AE1357" s="45">
        <v>0</v>
      </c>
      <c r="AF1357" s="45">
        <v>0</v>
      </c>
      <c r="AG1357" s="45">
        <v>0</v>
      </c>
      <c r="AH1357" s="45">
        <v>0</v>
      </c>
      <c r="AI1357" s="45">
        <v>0</v>
      </c>
      <c r="AJ1357" s="45">
        <v>0</v>
      </c>
      <c r="AK1357" s="45">
        <v>0</v>
      </c>
      <c r="AL1357" s="45">
        <v>0</v>
      </c>
      <c r="AM1357" s="57" t="str">
        <f>I1357-J1357-K1357-L1357-M1357-N1357-O1357-P1357-Q1357-R1357-S1357-T1357-U1357-V1357-W1357-X1357-Y1357-Z1357-AA1357-AB1357-AC1357-AD1357-AE1357-AF1357-AG1357+AH1357-AI1357+AJ1357+AK1357-AL1357</f>
        <v>0</v>
      </c>
      <c r="AN1357" s="45"/>
    </row>
    <row r="1358" spans="1:41">
      <c r="A1358" s="45">
        <v>1330</v>
      </c>
      <c r="B1358" s="45" t="s">
        <v>5267</v>
      </c>
      <c r="C1358" s="49" t="s">
        <v>5268</v>
      </c>
      <c r="D1358" s="53" t="s">
        <v>73</v>
      </c>
      <c r="E1358" s="45" t="s">
        <v>5254</v>
      </c>
      <c r="F1358" s="45" t="s">
        <v>5269</v>
      </c>
      <c r="G1358" s="45">
        <v>4</v>
      </c>
      <c r="H1358" s="53" t="s">
        <v>5270</v>
      </c>
      <c r="I1358" s="45">
        <v>572000</v>
      </c>
      <c r="J1358" s="45">
        <v>0</v>
      </c>
      <c r="K1358" s="45">
        <v>25000</v>
      </c>
      <c r="L1358" s="45">
        <v>0</v>
      </c>
      <c r="M1358" s="45">
        <v>0</v>
      </c>
      <c r="N1358" s="45">
        <v>0</v>
      </c>
      <c r="O1358" s="45">
        <v>0</v>
      </c>
      <c r="P1358" s="45">
        <v>0</v>
      </c>
      <c r="Q1358" s="45">
        <v>0</v>
      </c>
      <c r="R1358" s="45">
        <v>0</v>
      </c>
      <c r="S1358" s="45">
        <v>0</v>
      </c>
      <c r="T1358" s="45">
        <v>0</v>
      </c>
      <c r="U1358" s="45">
        <v>1587</v>
      </c>
      <c r="V1358" s="45">
        <v>0</v>
      </c>
      <c r="W1358" s="45">
        <v>0</v>
      </c>
      <c r="X1358" s="45">
        <v>0</v>
      </c>
      <c r="Y1358" s="45">
        <v>0</v>
      </c>
      <c r="Z1358" s="45">
        <v>0</v>
      </c>
      <c r="AA1358" s="45">
        <v>0</v>
      </c>
      <c r="AB1358" s="45">
        <v>0</v>
      </c>
      <c r="AC1358" s="45">
        <v>0</v>
      </c>
      <c r="AD1358" s="45">
        <v>0</v>
      </c>
      <c r="AE1358" s="45">
        <v>0</v>
      </c>
      <c r="AF1358" s="45">
        <v>0</v>
      </c>
      <c r="AG1358" s="45">
        <v>0</v>
      </c>
      <c r="AH1358" s="45">
        <v>0</v>
      </c>
      <c r="AI1358" s="45">
        <v>0</v>
      </c>
      <c r="AJ1358" s="45">
        <v>0</v>
      </c>
      <c r="AK1358" s="45">
        <v>0</v>
      </c>
      <c r="AL1358" s="45">
        <v>0</v>
      </c>
      <c r="AM1358" s="57" t="str">
        <f>I1358-J1358-K1358-L1358-M1358-N1358-O1358-P1358-Q1358-R1358-S1358-T1358-U1358-V1358-W1358-X1358-Y1358-Z1358-AA1358-AB1358-AC1358-AD1358-AE1358-AF1358-AG1358+AH1358-AI1358+AJ1358+AK1358-AL1358</f>
        <v>0</v>
      </c>
      <c r="AN1358" s="45"/>
    </row>
    <row r="1359" spans="1:41">
      <c r="A1359" s="45">
        <v>1331</v>
      </c>
      <c r="B1359" s="45" t="s">
        <v>5271</v>
      </c>
      <c r="C1359" s="49" t="s">
        <v>5272</v>
      </c>
      <c r="D1359" s="53" t="s">
        <v>73</v>
      </c>
      <c r="E1359" s="45" t="s">
        <v>5273</v>
      </c>
      <c r="F1359" s="45" t="s">
        <v>5274</v>
      </c>
      <c r="G1359" s="45">
        <v>5</v>
      </c>
      <c r="H1359" s="53" t="s">
        <v>5275</v>
      </c>
      <c r="I1359" s="45">
        <v>1532000</v>
      </c>
      <c r="J1359" s="45">
        <v>0</v>
      </c>
      <c r="K1359" s="45">
        <v>27000</v>
      </c>
      <c r="L1359" s="45">
        <v>0</v>
      </c>
      <c r="M1359" s="45">
        <v>0</v>
      </c>
      <c r="N1359" s="45">
        <v>0</v>
      </c>
      <c r="O1359" s="45">
        <v>0</v>
      </c>
      <c r="P1359" s="45">
        <v>0</v>
      </c>
      <c r="Q1359" s="45">
        <v>0</v>
      </c>
      <c r="R1359" s="45">
        <v>0</v>
      </c>
      <c r="S1359" s="45">
        <v>0</v>
      </c>
      <c r="T1359" s="45">
        <v>0</v>
      </c>
      <c r="U1359" s="45">
        <v>1714</v>
      </c>
      <c r="V1359" s="45">
        <v>0</v>
      </c>
      <c r="W1359" s="45">
        <v>0</v>
      </c>
      <c r="X1359" s="45">
        <v>0</v>
      </c>
      <c r="Y1359" s="45">
        <v>0</v>
      </c>
      <c r="Z1359" s="45">
        <v>0</v>
      </c>
      <c r="AA1359" s="45">
        <v>0</v>
      </c>
      <c r="AB1359" s="45">
        <v>0</v>
      </c>
      <c r="AC1359" s="45">
        <v>0</v>
      </c>
      <c r="AD1359" s="45">
        <v>0</v>
      </c>
      <c r="AE1359" s="45">
        <v>0</v>
      </c>
      <c r="AF1359" s="45">
        <v>0</v>
      </c>
      <c r="AG1359" s="45">
        <v>0</v>
      </c>
      <c r="AH1359" s="45">
        <v>0</v>
      </c>
      <c r="AI1359" s="45">
        <v>0</v>
      </c>
      <c r="AJ1359" s="45">
        <v>0</v>
      </c>
      <c r="AK1359" s="45">
        <v>0</v>
      </c>
      <c r="AL1359" s="45">
        <v>0</v>
      </c>
      <c r="AM1359" s="57" t="str">
        <f>I1359-J1359-K1359-L1359-M1359-N1359-O1359-P1359-Q1359-R1359-S1359-T1359-U1359-V1359-W1359-X1359-Y1359-Z1359-AA1359-AB1359-AC1359-AD1359-AE1359-AF1359-AG1359+AH1359-AI1359+AJ1359+AK1359-AL1359</f>
        <v>0</v>
      </c>
      <c r="AN1359" s="45"/>
    </row>
    <row r="1360" spans="1:41">
      <c r="A1360" s="45">
        <v>1332</v>
      </c>
      <c r="B1360" s="45" t="s">
        <v>5276</v>
      </c>
      <c r="C1360" s="49" t="s">
        <v>5277</v>
      </c>
      <c r="D1360" s="53" t="s">
        <v>62</v>
      </c>
      <c r="E1360" s="45" t="s">
        <v>5278</v>
      </c>
      <c r="F1360" s="45" t="s">
        <v>5279</v>
      </c>
      <c r="G1360" s="45">
        <v>2</v>
      </c>
      <c r="H1360" s="53" t="s">
        <v>5280</v>
      </c>
      <c r="I1360" s="45">
        <v>0</v>
      </c>
      <c r="J1360" s="45">
        <v>0</v>
      </c>
      <c r="K1360" s="45">
        <v>22000</v>
      </c>
      <c r="L1360" s="45">
        <v>0</v>
      </c>
      <c r="M1360" s="45">
        <v>0</v>
      </c>
      <c r="N1360" s="45">
        <v>0</v>
      </c>
      <c r="O1360" s="45">
        <v>0</v>
      </c>
      <c r="P1360" s="45">
        <v>0</v>
      </c>
      <c r="Q1360" s="45">
        <v>0</v>
      </c>
      <c r="R1360" s="45">
        <v>0</v>
      </c>
      <c r="S1360" s="45">
        <v>0</v>
      </c>
      <c r="T1360" s="45">
        <v>0</v>
      </c>
      <c r="U1360" s="45">
        <v>1397</v>
      </c>
      <c r="V1360" s="45">
        <v>0</v>
      </c>
      <c r="W1360" s="45">
        <v>0</v>
      </c>
      <c r="X1360" s="45">
        <v>0</v>
      </c>
      <c r="Y1360" s="45">
        <v>5000</v>
      </c>
      <c r="Z1360" s="45">
        <v>0</v>
      </c>
      <c r="AA1360" s="45">
        <v>0</v>
      </c>
      <c r="AB1360" s="45">
        <v>0</v>
      </c>
      <c r="AC1360" s="45">
        <v>0</v>
      </c>
      <c r="AD1360" s="45">
        <v>0</v>
      </c>
      <c r="AE1360" s="45">
        <v>0</v>
      </c>
      <c r="AF1360" s="45">
        <v>0</v>
      </c>
      <c r="AG1360" s="45">
        <v>0</v>
      </c>
      <c r="AH1360" s="45">
        <v>0</v>
      </c>
      <c r="AI1360" s="45">
        <v>0</v>
      </c>
      <c r="AJ1360" s="45">
        <v>0</v>
      </c>
      <c r="AK1360" s="45">
        <v>0</v>
      </c>
      <c r="AL1360" s="45">
        <v>0</v>
      </c>
      <c r="AM1360" s="57" t="str">
        <f>I1360-J1360-K1360-L1360-M1360-N1360-O1360-P1360-Q1360-R1360-S1360-T1360-U1360-V1360-W1360-X1360-Y1360-Z1360-AA1360-AB1360-AC1360-AD1360-AE1360-AF1360-AG1360+AH1360-AI1360+AJ1360+AK1360-AL1360</f>
        <v>0</v>
      </c>
      <c r="AN1360" s="45"/>
    </row>
    <row r="1361" spans="1:41">
      <c r="A1361" s="45">
        <v>1333</v>
      </c>
      <c r="B1361" s="45" t="s">
        <v>5281</v>
      </c>
      <c r="C1361" s="49" t="s">
        <v>5282</v>
      </c>
      <c r="D1361" s="53" t="s">
        <v>73</v>
      </c>
      <c r="E1361" s="45" t="s">
        <v>5278</v>
      </c>
      <c r="F1361" s="45" t="s">
        <v>5283</v>
      </c>
      <c r="G1361" s="45">
        <v>2</v>
      </c>
      <c r="H1361" s="53" t="s">
        <v>5284</v>
      </c>
      <c r="I1361" s="45">
        <v>320000</v>
      </c>
      <c r="J1361" s="45">
        <v>0</v>
      </c>
      <c r="K1361" s="45">
        <v>22000</v>
      </c>
      <c r="L1361" s="45">
        <v>0</v>
      </c>
      <c r="M1361" s="45">
        <v>0</v>
      </c>
      <c r="N1361" s="45">
        <v>0</v>
      </c>
      <c r="O1361" s="45">
        <v>0</v>
      </c>
      <c r="P1361" s="45">
        <v>0</v>
      </c>
      <c r="Q1361" s="45">
        <v>0</v>
      </c>
      <c r="R1361" s="45">
        <v>0</v>
      </c>
      <c r="S1361" s="45">
        <v>0</v>
      </c>
      <c r="T1361" s="45">
        <v>0</v>
      </c>
      <c r="U1361" s="45">
        <v>1397</v>
      </c>
      <c r="V1361" s="45">
        <v>0</v>
      </c>
      <c r="W1361" s="45">
        <v>0</v>
      </c>
      <c r="X1361" s="45">
        <v>0</v>
      </c>
      <c r="Y1361" s="45">
        <v>0</v>
      </c>
      <c r="Z1361" s="45">
        <v>0</v>
      </c>
      <c r="AA1361" s="45">
        <v>0</v>
      </c>
      <c r="AB1361" s="45">
        <v>0</v>
      </c>
      <c r="AC1361" s="45">
        <v>0</v>
      </c>
      <c r="AD1361" s="45">
        <v>0</v>
      </c>
      <c r="AE1361" s="45">
        <v>0</v>
      </c>
      <c r="AF1361" s="45">
        <v>0</v>
      </c>
      <c r="AG1361" s="45">
        <v>0</v>
      </c>
      <c r="AH1361" s="45">
        <v>0</v>
      </c>
      <c r="AI1361" s="45">
        <v>0</v>
      </c>
      <c r="AJ1361" s="45">
        <v>0</v>
      </c>
      <c r="AK1361" s="45">
        <v>0</v>
      </c>
      <c r="AL1361" s="45">
        <v>0</v>
      </c>
      <c r="AM1361" s="57" t="str">
        <f>I1361-J1361-K1361-L1361-M1361-N1361-O1361-P1361-Q1361-R1361-S1361-T1361-U1361-V1361-W1361-X1361-Y1361-Z1361-AA1361-AB1361-AC1361-AD1361-AE1361-AF1361-AG1361+AH1361-AI1361+AJ1361+AK1361-AL1361</f>
        <v>0</v>
      </c>
      <c r="AN1361" s="45"/>
    </row>
    <row r="1362" spans="1:41">
      <c r="A1362" s="45">
        <v>1334</v>
      </c>
      <c r="B1362" s="45" t="s">
        <v>5285</v>
      </c>
      <c r="C1362" s="49" t="s">
        <v>5286</v>
      </c>
      <c r="D1362" s="53" t="s">
        <v>73</v>
      </c>
      <c r="E1362" s="45" t="s">
        <v>5278</v>
      </c>
      <c r="F1362" s="45" t="s">
        <v>5188</v>
      </c>
      <c r="G1362" s="45">
        <v>2</v>
      </c>
      <c r="H1362" s="53" t="s">
        <v>5287</v>
      </c>
      <c r="I1362" s="45">
        <v>320000</v>
      </c>
      <c r="J1362" s="45">
        <v>0</v>
      </c>
      <c r="K1362" s="45">
        <v>22000</v>
      </c>
      <c r="L1362" s="45">
        <v>0</v>
      </c>
      <c r="M1362" s="45">
        <v>0</v>
      </c>
      <c r="N1362" s="45">
        <v>0</v>
      </c>
      <c r="O1362" s="45">
        <v>0</v>
      </c>
      <c r="P1362" s="45">
        <v>0</v>
      </c>
      <c r="Q1362" s="45">
        <v>0</v>
      </c>
      <c r="R1362" s="45">
        <v>0</v>
      </c>
      <c r="S1362" s="45">
        <v>0</v>
      </c>
      <c r="T1362" s="45">
        <v>0</v>
      </c>
      <c r="U1362" s="45">
        <v>1397</v>
      </c>
      <c r="V1362" s="45">
        <v>0</v>
      </c>
      <c r="W1362" s="45">
        <v>0</v>
      </c>
      <c r="X1362" s="45">
        <v>0</v>
      </c>
      <c r="Y1362" s="45">
        <v>0</v>
      </c>
      <c r="Z1362" s="45">
        <v>0</v>
      </c>
      <c r="AA1362" s="45">
        <v>0</v>
      </c>
      <c r="AB1362" s="45">
        <v>0</v>
      </c>
      <c r="AC1362" s="45">
        <v>0</v>
      </c>
      <c r="AD1362" s="45">
        <v>0</v>
      </c>
      <c r="AE1362" s="45">
        <v>0</v>
      </c>
      <c r="AF1362" s="45">
        <v>0</v>
      </c>
      <c r="AG1362" s="45">
        <v>0</v>
      </c>
      <c r="AH1362" s="45">
        <v>0</v>
      </c>
      <c r="AI1362" s="45">
        <v>0</v>
      </c>
      <c r="AJ1362" s="45">
        <v>0</v>
      </c>
      <c r="AK1362" s="45">
        <v>0</v>
      </c>
      <c r="AL1362" s="45">
        <v>0</v>
      </c>
      <c r="AM1362" s="57" t="str">
        <f>I1362-J1362-K1362-L1362-M1362-N1362-O1362-P1362-Q1362-R1362-S1362-T1362-U1362-V1362-W1362-X1362-Y1362-Z1362-AA1362-AB1362-AC1362-AD1362-AE1362-AF1362-AG1362+AH1362-AI1362+AJ1362+AK1362-AL1362</f>
        <v>0</v>
      </c>
      <c r="AN1362" s="45"/>
    </row>
    <row r="1363" spans="1:41">
      <c r="A1363" s="45">
        <v>1335</v>
      </c>
      <c r="B1363" s="45" t="s">
        <v>5288</v>
      </c>
      <c r="C1363" s="49" t="s">
        <v>5289</v>
      </c>
      <c r="D1363" s="53" t="s">
        <v>73</v>
      </c>
      <c r="E1363" s="45" t="s">
        <v>5278</v>
      </c>
      <c r="F1363" s="45" t="s">
        <v>5290</v>
      </c>
      <c r="G1363" s="45">
        <v>2</v>
      </c>
      <c r="H1363" s="53" t="s">
        <v>5291</v>
      </c>
      <c r="I1363" s="45">
        <v>320000</v>
      </c>
      <c r="J1363" s="45">
        <v>0</v>
      </c>
      <c r="K1363" s="45">
        <v>22000</v>
      </c>
      <c r="L1363" s="45">
        <v>0</v>
      </c>
      <c r="M1363" s="45">
        <v>0</v>
      </c>
      <c r="N1363" s="45">
        <v>0</v>
      </c>
      <c r="O1363" s="45">
        <v>0</v>
      </c>
      <c r="P1363" s="45">
        <v>0</v>
      </c>
      <c r="Q1363" s="45">
        <v>0</v>
      </c>
      <c r="R1363" s="45">
        <v>0</v>
      </c>
      <c r="S1363" s="45">
        <v>0</v>
      </c>
      <c r="T1363" s="45">
        <v>0</v>
      </c>
      <c r="U1363" s="45">
        <v>1397</v>
      </c>
      <c r="V1363" s="45">
        <v>0</v>
      </c>
      <c r="W1363" s="45">
        <v>0</v>
      </c>
      <c r="X1363" s="45">
        <v>0</v>
      </c>
      <c r="Y1363" s="45">
        <v>0</v>
      </c>
      <c r="Z1363" s="45">
        <v>0</v>
      </c>
      <c r="AA1363" s="45">
        <v>0</v>
      </c>
      <c r="AB1363" s="45">
        <v>0</v>
      </c>
      <c r="AC1363" s="45">
        <v>0</v>
      </c>
      <c r="AD1363" s="45">
        <v>0</v>
      </c>
      <c r="AE1363" s="45">
        <v>0</v>
      </c>
      <c r="AF1363" s="45">
        <v>0</v>
      </c>
      <c r="AG1363" s="45">
        <v>0</v>
      </c>
      <c r="AH1363" s="45">
        <v>0</v>
      </c>
      <c r="AI1363" s="45">
        <v>0</v>
      </c>
      <c r="AJ1363" s="45">
        <v>0</v>
      </c>
      <c r="AK1363" s="45">
        <v>0</v>
      </c>
      <c r="AL1363" s="45">
        <v>0</v>
      </c>
      <c r="AM1363" s="57" t="str">
        <f>I1363-J1363-K1363-L1363-M1363-N1363-O1363-P1363-Q1363-R1363-S1363-T1363-U1363-V1363-W1363-X1363-Y1363-Z1363-AA1363-AB1363-AC1363-AD1363-AE1363-AF1363-AG1363+AH1363-AI1363+AJ1363+AK1363-AL1363</f>
        <v>0</v>
      </c>
      <c r="AN1363" s="45"/>
    </row>
    <row r="1364" spans="1:41">
      <c r="A1364" s="45">
        <v>1336</v>
      </c>
      <c r="B1364" s="45" t="s">
        <v>5292</v>
      </c>
      <c r="C1364" s="49" t="s">
        <v>5293</v>
      </c>
      <c r="D1364" s="53" t="s">
        <v>73</v>
      </c>
      <c r="E1364" s="45" t="s">
        <v>5278</v>
      </c>
      <c r="F1364" s="45" t="s">
        <v>5294</v>
      </c>
      <c r="G1364" s="45">
        <v>2</v>
      </c>
      <c r="H1364" s="53" t="s">
        <v>5295</v>
      </c>
      <c r="I1364" s="45">
        <v>320000</v>
      </c>
      <c r="J1364" s="45">
        <v>0</v>
      </c>
      <c r="K1364" s="45">
        <v>22000</v>
      </c>
      <c r="L1364" s="45">
        <v>0</v>
      </c>
      <c r="M1364" s="45">
        <v>0</v>
      </c>
      <c r="N1364" s="45">
        <v>0</v>
      </c>
      <c r="O1364" s="45">
        <v>0</v>
      </c>
      <c r="P1364" s="45">
        <v>0</v>
      </c>
      <c r="Q1364" s="45">
        <v>0</v>
      </c>
      <c r="R1364" s="45">
        <v>0</v>
      </c>
      <c r="S1364" s="45">
        <v>0</v>
      </c>
      <c r="T1364" s="45">
        <v>0</v>
      </c>
      <c r="U1364" s="45">
        <v>1397</v>
      </c>
      <c r="V1364" s="45">
        <v>0</v>
      </c>
      <c r="W1364" s="45">
        <v>0</v>
      </c>
      <c r="X1364" s="45">
        <v>0</v>
      </c>
      <c r="Y1364" s="45">
        <v>0</v>
      </c>
      <c r="Z1364" s="45">
        <v>0</v>
      </c>
      <c r="AA1364" s="45">
        <v>0</v>
      </c>
      <c r="AB1364" s="45">
        <v>0</v>
      </c>
      <c r="AC1364" s="45">
        <v>0</v>
      </c>
      <c r="AD1364" s="45">
        <v>0</v>
      </c>
      <c r="AE1364" s="45">
        <v>0</v>
      </c>
      <c r="AF1364" s="45">
        <v>0</v>
      </c>
      <c r="AG1364" s="45">
        <v>0</v>
      </c>
      <c r="AH1364" s="45">
        <v>0</v>
      </c>
      <c r="AI1364" s="45">
        <v>0</v>
      </c>
      <c r="AJ1364" s="45">
        <v>0</v>
      </c>
      <c r="AK1364" s="45">
        <v>0</v>
      </c>
      <c r="AL1364" s="45">
        <v>0</v>
      </c>
      <c r="AM1364" s="57" t="str">
        <f>I1364-J1364-K1364-L1364-M1364-N1364-O1364-P1364-Q1364-R1364-S1364-T1364-U1364-V1364-W1364-X1364-Y1364-Z1364-AA1364-AB1364-AC1364-AD1364-AE1364-AF1364-AG1364+AH1364-AI1364+AJ1364+AK1364-AL1364</f>
        <v>0</v>
      </c>
      <c r="AN1364" s="45"/>
    </row>
    <row r="1365" spans="1:41">
      <c r="A1365" s="45">
        <v>1337</v>
      </c>
      <c r="B1365" s="45" t="s">
        <v>5296</v>
      </c>
      <c r="C1365" s="49" t="s">
        <v>5297</v>
      </c>
      <c r="D1365" s="53" t="s">
        <v>73</v>
      </c>
      <c r="E1365" s="45" t="s">
        <v>5278</v>
      </c>
      <c r="F1365" s="45" t="s">
        <v>5298</v>
      </c>
      <c r="G1365" s="45">
        <v>2</v>
      </c>
      <c r="H1365" s="53" t="s">
        <v>5299</v>
      </c>
      <c r="I1365" s="45">
        <v>155000</v>
      </c>
      <c r="J1365" s="45">
        <v>0</v>
      </c>
      <c r="K1365" s="45">
        <v>22000</v>
      </c>
      <c r="L1365" s="45">
        <v>0</v>
      </c>
      <c r="M1365" s="45">
        <v>0</v>
      </c>
      <c r="N1365" s="45">
        <v>0</v>
      </c>
      <c r="O1365" s="45">
        <v>0</v>
      </c>
      <c r="P1365" s="45">
        <v>0</v>
      </c>
      <c r="Q1365" s="45">
        <v>0</v>
      </c>
      <c r="R1365" s="45">
        <v>0</v>
      </c>
      <c r="S1365" s="45">
        <v>0</v>
      </c>
      <c r="T1365" s="45">
        <v>0</v>
      </c>
      <c r="U1365" s="45">
        <v>1397</v>
      </c>
      <c r="V1365" s="45">
        <v>0</v>
      </c>
      <c r="W1365" s="45">
        <v>0</v>
      </c>
      <c r="X1365" s="45">
        <v>0</v>
      </c>
      <c r="Y1365" s="45">
        <v>0</v>
      </c>
      <c r="Z1365" s="45">
        <v>0</v>
      </c>
      <c r="AA1365" s="45">
        <v>0</v>
      </c>
      <c r="AB1365" s="45">
        <v>0</v>
      </c>
      <c r="AC1365" s="45">
        <v>0</v>
      </c>
      <c r="AD1365" s="45">
        <v>0</v>
      </c>
      <c r="AE1365" s="45">
        <v>0</v>
      </c>
      <c r="AF1365" s="45">
        <v>0</v>
      </c>
      <c r="AG1365" s="45">
        <v>0</v>
      </c>
      <c r="AH1365" s="45">
        <v>0</v>
      </c>
      <c r="AI1365" s="45">
        <v>0</v>
      </c>
      <c r="AJ1365" s="45">
        <v>0</v>
      </c>
      <c r="AK1365" s="45">
        <v>0</v>
      </c>
      <c r="AL1365" s="45">
        <v>0</v>
      </c>
      <c r="AM1365" s="57" t="str">
        <f>I1365-J1365-K1365-L1365-M1365-N1365-O1365-P1365-Q1365-R1365-S1365-T1365-U1365-V1365-W1365-X1365-Y1365-Z1365-AA1365-AB1365-AC1365-AD1365-AE1365-AF1365-AG1365+AH1365-AI1365+AJ1365+AK1365-AL1365</f>
        <v>0</v>
      </c>
      <c r="AN1365" s="45"/>
    </row>
    <row r="1366" spans="1:41">
      <c r="A1366" s="45">
        <v>1338</v>
      </c>
      <c r="B1366" s="45" t="s">
        <v>5300</v>
      </c>
      <c r="C1366" s="49" t="s">
        <v>5301</v>
      </c>
      <c r="D1366" s="53" t="s">
        <v>73</v>
      </c>
      <c r="E1366" s="45" t="s">
        <v>5278</v>
      </c>
      <c r="F1366" s="45" t="s">
        <v>5302</v>
      </c>
      <c r="G1366" s="45">
        <v>2</v>
      </c>
      <c r="H1366" s="53" t="s">
        <v>5303</v>
      </c>
      <c r="I1366" s="45">
        <v>155000</v>
      </c>
      <c r="J1366" s="45">
        <v>0</v>
      </c>
      <c r="K1366" s="45">
        <v>22000</v>
      </c>
      <c r="L1366" s="45">
        <v>0</v>
      </c>
      <c r="M1366" s="45">
        <v>0</v>
      </c>
      <c r="N1366" s="45">
        <v>0</v>
      </c>
      <c r="O1366" s="45">
        <v>0</v>
      </c>
      <c r="P1366" s="45">
        <v>0</v>
      </c>
      <c r="Q1366" s="45">
        <v>0</v>
      </c>
      <c r="R1366" s="45">
        <v>0</v>
      </c>
      <c r="S1366" s="45">
        <v>0</v>
      </c>
      <c r="T1366" s="45">
        <v>0</v>
      </c>
      <c r="U1366" s="45">
        <v>1397</v>
      </c>
      <c r="V1366" s="45">
        <v>0</v>
      </c>
      <c r="W1366" s="45">
        <v>0</v>
      </c>
      <c r="X1366" s="45">
        <v>0</v>
      </c>
      <c r="Y1366" s="45">
        <v>0</v>
      </c>
      <c r="Z1366" s="45">
        <v>0</v>
      </c>
      <c r="AA1366" s="45">
        <v>0</v>
      </c>
      <c r="AB1366" s="45">
        <v>0</v>
      </c>
      <c r="AC1366" s="45">
        <v>0</v>
      </c>
      <c r="AD1366" s="45">
        <v>0</v>
      </c>
      <c r="AE1366" s="45">
        <v>0</v>
      </c>
      <c r="AF1366" s="45">
        <v>0</v>
      </c>
      <c r="AG1366" s="45">
        <v>0</v>
      </c>
      <c r="AH1366" s="45">
        <v>0</v>
      </c>
      <c r="AI1366" s="45">
        <v>0</v>
      </c>
      <c r="AJ1366" s="45">
        <v>0</v>
      </c>
      <c r="AK1366" s="45">
        <v>0</v>
      </c>
      <c r="AL1366" s="45">
        <v>0</v>
      </c>
      <c r="AM1366" s="57" t="str">
        <f>I1366-J1366-K1366-L1366-M1366-N1366-O1366-P1366-Q1366-R1366-S1366-T1366-U1366-V1366-W1366-X1366-Y1366-Z1366-AA1366-AB1366-AC1366-AD1366-AE1366-AF1366-AG1366+AH1366-AI1366+AJ1366+AK1366-AL1366</f>
        <v>0</v>
      </c>
      <c r="AN1366" s="45"/>
    </row>
    <row r="1367" spans="1:41">
      <c r="A1367" s="45">
        <v>1339</v>
      </c>
      <c r="B1367" s="45" t="s">
        <v>5304</v>
      </c>
      <c r="C1367" s="49" t="s">
        <v>5305</v>
      </c>
      <c r="D1367" s="53" t="s">
        <v>73</v>
      </c>
      <c r="E1367" s="45" t="s">
        <v>5278</v>
      </c>
      <c r="F1367" s="45" t="s">
        <v>1822</v>
      </c>
      <c r="G1367" s="45">
        <v>2</v>
      </c>
      <c r="H1367" s="53" t="s">
        <v>5306</v>
      </c>
      <c r="I1367" s="45">
        <v>155000</v>
      </c>
      <c r="J1367" s="45">
        <v>0</v>
      </c>
      <c r="K1367" s="45">
        <v>22000</v>
      </c>
      <c r="L1367" s="45">
        <v>0</v>
      </c>
      <c r="M1367" s="45">
        <v>0</v>
      </c>
      <c r="N1367" s="45">
        <v>0</v>
      </c>
      <c r="O1367" s="45">
        <v>0</v>
      </c>
      <c r="P1367" s="45">
        <v>0</v>
      </c>
      <c r="Q1367" s="45">
        <v>0</v>
      </c>
      <c r="R1367" s="45">
        <v>0</v>
      </c>
      <c r="S1367" s="45">
        <v>0</v>
      </c>
      <c r="T1367" s="45">
        <v>0</v>
      </c>
      <c r="U1367" s="45">
        <v>1397</v>
      </c>
      <c r="V1367" s="45">
        <v>0</v>
      </c>
      <c r="W1367" s="45">
        <v>0</v>
      </c>
      <c r="X1367" s="45">
        <v>0</v>
      </c>
      <c r="Y1367" s="45">
        <v>0</v>
      </c>
      <c r="Z1367" s="45">
        <v>0</v>
      </c>
      <c r="AA1367" s="45">
        <v>0</v>
      </c>
      <c r="AB1367" s="45">
        <v>0</v>
      </c>
      <c r="AC1367" s="45">
        <v>0</v>
      </c>
      <c r="AD1367" s="45">
        <v>0</v>
      </c>
      <c r="AE1367" s="45">
        <v>0</v>
      </c>
      <c r="AF1367" s="45">
        <v>0</v>
      </c>
      <c r="AG1367" s="45">
        <v>0</v>
      </c>
      <c r="AH1367" s="45">
        <v>0</v>
      </c>
      <c r="AI1367" s="45">
        <v>0</v>
      </c>
      <c r="AJ1367" s="45">
        <v>0</v>
      </c>
      <c r="AK1367" s="45">
        <v>0</v>
      </c>
      <c r="AL1367" s="45">
        <v>0</v>
      </c>
      <c r="AM1367" s="57" t="str">
        <f>I1367-J1367-K1367-L1367-M1367-N1367-O1367-P1367-Q1367-R1367-S1367-T1367-U1367-V1367-W1367-X1367-Y1367-Z1367-AA1367-AB1367-AC1367-AD1367-AE1367-AF1367-AG1367+AH1367-AI1367+AJ1367+AK1367-AL1367</f>
        <v>0</v>
      </c>
      <c r="AN1367" s="45"/>
    </row>
    <row r="1368" spans="1:41">
      <c r="A1368" s="45">
        <v>1340</v>
      </c>
      <c r="B1368" s="45" t="s">
        <v>5307</v>
      </c>
      <c r="C1368" s="49" t="s">
        <v>5308</v>
      </c>
      <c r="D1368" s="53" t="s">
        <v>73</v>
      </c>
      <c r="E1368" s="45" t="s">
        <v>5278</v>
      </c>
      <c r="F1368" s="45" t="s">
        <v>5309</v>
      </c>
      <c r="G1368" s="45">
        <v>2</v>
      </c>
      <c r="H1368" s="53" t="s">
        <v>5310</v>
      </c>
      <c r="I1368" s="45">
        <v>155000</v>
      </c>
      <c r="J1368" s="45">
        <v>0</v>
      </c>
      <c r="K1368" s="45">
        <v>22000</v>
      </c>
      <c r="L1368" s="45">
        <v>0</v>
      </c>
      <c r="M1368" s="45">
        <v>0</v>
      </c>
      <c r="N1368" s="45">
        <v>0</v>
      </c>
      <c r="O1368" s="45">
        <v>0</v>
      </c>
      <c r="P1368" s="45">
        <v>0</v>
      </c>
      <c r="Q1368" s="45">
        <v>0</v>
      </c>
      <c r="R1368" s="45">
        <v>0</v>
      </c>
      <c r="S1368" s="45">
        <v>0</v>
      </c>
      <c r="T1368" s="45">
        <v>0</v>
      </c>
      <c r="U1368" s="45">
        <v>1397</v>
      </c>
      <c r="V1368" s="45">
        <v>0</v>
      </c>
      <c r="W1368" s="45">
        <v>0</v>
      </c>
      <c r="X1368" s="45">
        <v>0</v>
      </c>
      <c r="Y1368" s="45">
        <v>0</v>
      </c>
      <c r="Z1368" s="45">
        <v>0</v>
      </c>
      <c r="AA1368" s="45">
        <v>0</v>
      </c>
      <c r="AB1368" s="45">
        <v>0</v>
      </c>
      <c r="AC1368" s="45">
        <v>0</v>
      </c>
      <c r="AD1368" s="45">
        <v>0</v>
      </c>
      <c r="AE1368" s="45">
        <v>0</v>
      </c>
      <c r="AF1368" s="45">
        <v>0</v>
      </c>
      <c r="AG1368" s="45">
        <v>0</v>
      </c>
      <c r="AH1368" s="45">
        <v>0</v>
      </c>
      <c r="AI1368" s="45">
        <v>0</v>
      </c>
      <c r="AJ1368" s="45">
        <v>0</v>
      </c>
      <c r="AK1368" s="45">
        <v>0</v>
      </c>
      <c r="AL1368" s="45">
        <v>0</v>
      </c>
      <c r="AM1368" s="57" t="str">
        <f>I1368-J1368-K1368-L1368-M1368-N1368-O1368-P1368-Q1368-R1368-S1368-T1368-U1368-V1368-W1368-X1368-Y1368-Z1368-AA1368-AB1368-AC1368-AD1368-AE1368-AF1368-AG1368+AH1368-AI1368+AJ1368+AK1368-AL1368</f>
        <v>0</v>
      </c>
      <c r="AN1368" s="45"/>
    </row>
    <row r="1369" spans="1:41">
      <c r="A1369" s="45">
        <v>1341</v>
      </c>
      <c r="B1369" s="45" t="s">
        <v>5311</v>
      </c>
      <c r="C1369" s="49" t="s">
        <v>5312</v>
      </c>
      <c r="D1369" s="53" t="s">
        <v>73</v>
      </c>
      <c r="E1369" s="45" t="s">
        <v>5278</v>
      </c>
      <c r="F1369" s="45" t="s">
        <v>3433</v>
      </c>
      <c r="G1369" s="45">
        <v>2</v>
      </c>
      <c r="H1369" s="53" t="s">
        <v>5313</v>
      </c>
      <c r="I1369" s="45">
        <v>155000</v>
      </c>
      <c r="J1369" s="45">
        <v>0</v>
      </c>
      <c r="K1369" s="45">
        <v>22000</v>
      </c>
      <c r="L1369" s="45">
        <v>0</v>
      </c>
      <c r="M1369" s="45">
        <v>0</v>
      </c>
      <c r="N1369" s="45">
        <v>0</v>
      </c>
      <c r="O1369" s="45">
        <v>0</v>
      </c>
      <c r="P1369" s="45">
        <v>0</v>
      </c>
      <c r="Q1369" s="45">
        <v>0</v>
      </c>
      <c r="R1369" s="45">
        <v>0</v>
      </c>
      <c r="S1369" s="45">
        <v>0</v>
      </c>
      <c r="T1369" s="45">
        <v>0</v>
      </c>
      <c r="U1369" s="45">
        <v>1397</v>
      </c>
      <c r="V1369" s="45">
        <v>0</v>
      </c>
      <c r="W1369" s="45">
        <v>0</v>
      </c>
      <c r="X1369" s="45">
        <v>0</v>
      </c>
      <c r="Y1369" s="45">
        <v>0</v>
      </c>
      <c r="Z1369" s="45">
        <v>0</v>
      </c>
      <c r="AA1369" s="45">
        <v>0</v>
      </c>
      <c r="AB1369" s="45">
        <v>0</v>
      </c>
      <c r="AC1369" s="45">
        <v>0</v>
      </c>
      <c r="AD1369" s="45">
        <v>0</v>
      </c>
      <c r="AE1369" s="45">
        <v>0</v>
      </c>
      <c r="AF1369" s="45">
        <v>0</v>
      </c>
      <c r="AG1369" s="45">
        <v>0</v>
      </c>
      <c r="AH1369" s="45">
        <v>0</v>
      </c>
      <c r="AI1369" s="45">
        <v>0</v>
      </c>
      <c r="AJ1369" s="45">
        <v>0</v>
      </c>
      <c r="AK1369" s="45">
        <v>0</v>
      </c>
      <c r="AL1369" s="45">
        <v>0</v>
      </c>
      <c r="AM1369" s="57" t="str">
        <f>I1369-J1369-K1369-L1369-M1369-N1369-O1369-P1369-Q1369-R1369-S1369-T1369-U1369-V1369-W1369-X1369-Y1369-Z1369-AA1369-AB1369-AC1369-AD1369-AE1369-AF1369-AG1369+AH1369-AI1369+AJ1369+AK1369-AL1369</f>
        <v>0</v>
      </c>
      <c r="AN1369" s="45"/>
    </row>
    <row r="1370" spans="1:41">
      <c r="A1370" s="45">
        <v>1342</v>
      </c>
      <c r="B1370" s="45" t="s">
        <v>5314</v>
      </c>
      <c r="C1370" s="49" t="s">
        <v>5315</v>
      </c>
      <c r="D1370" s="53" t="s">
        <v>73</v>
      </c>
      <c r="E1370" s="45" t="s">
        <v>5278</v>
      </c>
      <c r="F1370" s="45" t="s">
        <v>2677</v>
      </c>
      <c r="G1370" s="45">
        <v>2</v>
      </c>
      <c r="H1370" s="53" t="s">
        <v>5316</v>
      </c>
      <c r="I1370" s="45">
        <v>155000</v>
      </c>
      <c r="J1370" s="45">
        <v>0</v>
      </c>
      <c r="K1370" s="45">
        <v>22000</v>
      </c>
      <c r="L1370" s="45">
        <v>0</v>
      </c>
      <c r="M1370" s="45">
        <v>0</v>
      </c>
      <c r="N1370" s="45">
        <v>0</v>
      </c>
      <c r="O1370" s="45">
        <v>0</v>
      </c>
      <c r="P1370" s="45">
        <v>0</v>
      </c>
      <c r="Q1370" s="45">
        <v>0</v>
      </c>
      <c r="R1370" s="45">
        <v>0</v>
      </c>
      <c r="S1370" s="45">
        <v>0</v>
      </c>
      <c r="T1370" s="45">
        <v>0</v>
      </c>
      <c r="U1370" s="45">
        <v>1397</v>
      </c>
      <c r="V1370" s="45">
        <v>0</v>
      </c>
      <c r="W1370" s="45">
        <v>0</v>
      </c>
      <c r="X1370" s="45">
        <v>0</v>
      </c>
      <c r="Y1370" s="45">
        <v>0</v>
      </c>
      <c r="Z1370" s="45">
        <v>0</v>
      </c>
      <c r="AA1370" s="45">
        <v>0</v>
      </c>
      <c r="AB1370" s="45">
        <v>0</v>
      </c>
      <c r="AC1370" s="45">
        <v>0</v>
      </c>
      <c r="AD1370" s="45">
        <v>0</v>
      </c>
      <c r="AE1370" s="45">
        <v>0</v>
      </c>
      <c r="AF1370" s="45">
        <v>0</v>
      </c>
      <c r="AG1370" s="45">
        <v>0</v>
      </c>
      <c r="AH1370" s="45">
        <v>0</v>
      </c>
      <c r="AI1370" s="45">
        <v>0</v>
      </c>
      <c r="AJ1370" s="45">
        <v>0</v>
      </c>
      <c r="AK1370" s="45">
        <v>0</v>
      </c>
      <c r="AL1370" s="45">
        <v>0</v>
      </c>
      <c r="AM1370" s="57" t="str">
        <f>I1370-J1370-K1370-L1370-M1370-N1370-O1370-P1370-Q1370-R1370-S1370-T1370-U1370-V1370-W1370-X1370-Y1370-Z1370-AA1370-AB1370-AC1370-AD1370-AE1370-AF1370-AG1370+AH1370-AI1370+AJ1370+AK1370-AL1370</f>
        <v>0</v>
      </c>
      <c r="AN1370" s="45"/>
    </row>
    <row r="1371" spans="1:41">
      <c r="A1371" s="45">
        <v>1343</v>
      </c>
      <c r="B1371" s="45" t="s">
        <v>5317</v>
      </c>
      <c r="C1371" s="49" t="s">
        <v>5318</v>
      </c>
      <c r="D1371" s="53" t="s">
        <v>73</v>
      </c>
      <c r="E1371" s="45" t="s">
        <v>5278</v>
      </c>
      <c r="F1371" s="45" t="s">
        <v>5319</v>
      </c>
      <c r="G1371" s="45">
        <v>3.2</v>
      </c>
      <c r="H1371" s="53" t="s">
        <v>5320</v>
      </c>
      <c r="I1371" s="45">
        <v>155000</v>
      </c>
      <c r="J1371" s="45">
        <v>0</v>
      </c>
      <c r="K1371" s="45">
        <v>25000</v>
      </c>
      <c r="L1371" s="45">
        <v>0</v>
      </c>
      <c r="M1371" s="45">
        <v>0</v>
      </c>
      <c r="N1371" s="45">
        <v>0</v>
      </c>
      <c r="O1371" s="45">
        <v>0</v>
      </c>
      <c r="P1371" s="45">
        <v>0</v>
      </c>
      <c r="Q1371" s="45">
        <v>0</v>
      </c>
      <c r="R1371" s="45">
        <v>0</v>
      </c>
      <c r="S1371" s="45">
        <v>0</v>
      </c>
      <c r="T1371" s="45">
        <v>0</v>
      </c>
      <c r="U1371" s="45">
        <v>1587</v>
      </c>
      <c r="V1371" s="45">
        <v>0</v>
      </c>
      <c r="W1371" s="45">
        <v>0</v>
      </c>
      <c r="X1371" s="45">
        <v>0</v>
      </c>
      <c r="Y1371" s="45">
        <v>0</v>
      </c>
      <c r="Z1371" s="45">
        <v>0</v>
      </c>
      <c r="AA1371" s="45">
        <v>0</v>
      </c>
      <c r="AB1371" s="45">
        <v>0</v>
      </c>
      <c r="AC1371" s="45">
        <v>0</v>
      </c>
      <c r="AD1371" s="45">
        <v>0</v>
      </c>
      <c r="AE1371" s="45">
        <v>0</v>
      </c>
      <c r="AF1371" s="45">
        <v>0</v>
      </c>
      <c r="AG1371" s="45">
        <v>0</v>
      </c>
      <c r="AH1371" s="45">
        <v>0</v>
      </c>
      <c r="AI1371" s="45">
        <v>0</v>
      </c>
      <c r="AJ1371" s="45">
        <v>0</v>
      </c>
      <c r="AK1371" s="45">
        <v>0</v>
      </c>
      <c r="AL1371" s="45">
        <v>0</v>
      </c>
      <c r="AM1371" s="57" t="str">
        <f>I1371-J1371-K1371-L1371-M1371-N1371-O1371-P1371-Q1371-R1371-S1371-T1371-U1371-V1371-W1371-X1371-Y1371-Z1371-AA1371-AB1371-AC1371-AD1371-AE1371-AF1371-AG1371+AH1371-AI1371+AJ1371+AK1371-AL1371</f>
        <v>0</v>
      </c>
      <c r="AN1371" s="45"/>
    </row>
    <row r="1372" spans="1:41">
      <c r="A1372" s="45">
        <v>1344</v>
      </c>
      <c r="B1372" s="45" t="s">
        <v>5321</v>
      </c>
      <c r="C1372" s="49" t="s">
        <v>5322</v>
      </c>
      <c r="D1372" s="53" t="s">
        <v>73</v>
      </c>
      <c r="E1372" s="45" t="s">
        <v>5278</v>
      </c>
      <c r="F1372" s="45" t="s">
        <v>5323</v>
      </c>
      <c r="G1372" s="45">
        <v>2</v>
      </c>
      <c r="H1372" s="53" t="s">
        <v>5324</v>
      </c>
      <c r="I1372" s="45">
        <v>155000</v>
      </c>
      <c r="J1372" s="45">
        <v>0</v>
      </c>
      <c r="K1372" s="45">
        <v>22000</v>
      </c>
      <c r="L1372" s="45">
        <v>0</v>
      </c>
      <c r="M1372" s="45">
        <v>0</v>
      </c>
      <c r="N1372" s="45">
        <v>0</v>
      </c>
      <c r="O1372" s="45">
        <v>0</v>
      </c>
      <c r="P1372" s="45">
        <v>0</v>
      </c>
      <c r="Q1372" s="45">
        <v>0</v>
      </c>
      <c r="R1372" s="45">
        <v>0</v>
      </c>
      <c r="S1372" s="45">
        <v>0</v>
      </c>
      <c r="T1372" s="45">
        <v>0</v>
      </c>
      <c r="U1372" s="45">
        <v>1397</v>
      </c>
      <c r="V1372" s="45">
        <v>0</v>
      </c>
      <c r="W1372" s="45">
        <v>0</v>
      </c>
      <c r="X1372" s="45">
        <v>0</v>
      </c>
      <c r="Y1372" s="45">
        <v>0</v>
      </c>
      <c r="Z1372" s="45">
        <v>0</v>
      </c>
      <c r="AA1372" s="45">
        <v>0</v>
      </c>
      <c r="AB1372" s="45">
        <v>0</v>
      </c>
      <c r="AC1372" s="45">
        <v>0</v>
      </c>
      <c r="AD1372" s="45">
        <v>0</v>
      </c>
      <c r="AE1372" s="45">
        <v>0</v>
      </c>
      <c r="AF1372" s="45">
        <v>0</v>
      </c>
      <c r="AG1372" s="45">
        <v>0</v>
      </c>
      <c r="AH1372" s="45">
        <v>0</v>
      </c>
      <c r="AI1372" s="45">
        <v>0</v>
      </c>
      <c r="AJ1372" s="45">
        <v>0</v>
      </c>
      <c r="AK1372" s="45">
        <v>0</v>
      </c>
      <c r="AL1372" s="45">
        <v>0</v>
      </c>
      <c r="AM1372" s="57" t="str">
        <f>I1372-J1372-K1372-L1372-M1372-N1372-O1372-P1372-Q1372-R1372-S1372-T1372-U1372-V1372-W1372-X1372-Y1372-Z1372-AA1372-AB1372-AC1372-AD1372-AE1372-AF1372-AG1372+AH1372-AI1372+AJ1372+AK1372-AL1372</f>
        <v>0</v>
      </c>
      <c r="AN1372" s="45"/>
    </row>
    <row r="1373" spans="1:41">
      <c r="A1373" s="45">
        <v>1345</v>
      </c>
      <c r="B1373" s="45" t="s">
        <v>5325</v>
      </c>
      <c r="C1373" s="49" t="s">
        <v>5326</v>
      </c>
      <c r="D1373" s="53" t="s">
        <v>73</v>
      </c>
      <c r="E1373" s="45" t="s">
        <v>5278</v>
      </c>
      <c r="F1373" s="45" t="s">
        <v>254</v>
      </c>
      <c r="G1373" s="45">
        <v>2</v>
      </c>
      <c r="H1373" s="53" t="s">
        <v>5327</v>
      </c>
      <c r="I1373" s="45">
        <v>155000</v>
      </c>
      <c r="J1373" s="45">
        <v>0</v>
      </c>
      <c r="K1373" s="45">
        <v>22000</v>
      </c>
      <c r="L1373" s="45">
        <v>0</v>
      </c>
      <c r="M1373" s="45">
        <v>0</v>
      </c>
      <c r="N1373" s="45">
        <v>0</v>
      </c>
      <c r="O1373" s="45">
        <v>0</v>
      </c>
      <c r="P1373" s="45">
        <v>0</v>
      </c>
      <c r="Q1373" s="45">
        <v>0</v>
      </c>
      <c r="R1373" s="45">
        <v>0</v>
      </c>
      <c r="S1373" s="45">
        <v>0</v>
      </c>
      <c r="T1373" s="45">
        <v>0</v>
      </c>
      <c r="U1373" s="45">
        <v>1397</v>
      </c>
      <c r="V1373" s="45">
        <v>0</v>
      </c>
      <c r="W1373" s="45">
        <v>0</v>
      </c>
      <c r="X1373" s="45">
        <v>0</v>
      </c>
      <c r="Y1373" s="45">
        <v>0</v>
      </c>
      <c r="Z1373" s="45">
        <v>0</v>
      </c>
      <c r="AA1373" s="45">
        <v>0</v>
      </c>
      <c r="AB1373" s="45">
        <v>0</v>
      </c>
      <c r="AC1373" s="45">
        <v>0</v>
      </c>
      <c r="AD1373" s="45">
        <v>0</v>
      </c>
      <c r="AE1373" s="45">
        <v>0</v>
      </c>
      <c r="AF1373" s="45">
        <v>0</v>
      </c>
      <c r="AG1373" s="45">
        <v>0</v>
      </c>
      <c r="AH1373" s="45">
        <v>0</v>
      </c>
      <c r="AI1373" s="45">
        <v>0</v>
      </c>
      <c r="AJ1373" s="45">
        <v>0</v>
      </c>
      <c r="AK1373" s="45">
        <v>0</v>
      </c>
      <c r="AL1373" s="45">
        <v>0</v>
      </c>
      <c r="AM1373" s="57" t="str">
        <f>I1373-J1373-K1373-L1373-M1373-N1373-O1373-P1373-Q1373-R1373-S1373-T1373-U1373-V1373-W1373-X1373-Y1373-Z1373-AA1373-AB1373-AC1373-AD1373-AE1373-AF1373-AG1373+AH1373-AI1373+AJ1373+AK1373-AL1373</f>
        <v>0</v>
      </c>
      <c r="AN1373" s="45"/>
    </row>
    <row r="1374" spans="1:41">
      <c r="A1374" s="45">
        <v>1346</v>
      </c>
      <c r="B1374" s="45" t="s">
        <v>5328</v>
      </c>
      <c r="C1374" s="49" t="s">
        <v>5329</v>
      </c>
      <c r="D1374" s="53" t="s">
        <v>73</v>
      </c>
      <c r="E1374" s="45" t="s">
        <v>5278</v>
      </c>
      <c r="F1374" s="45" t="s">
        <v>5330</v>
      </c>
      <c r="G1374" s="45">
        <v>2</v>
      </c>
      <c r="H1374" s="53" t="s">
        <v>5331</v>
      </c>
      <c r="I1374" s="45">
        <v>155000</v>
      </c>
      <c r="J1374" s="45">
        <v>0</v>
      </c>
      <c r="K1374" s="45">
        <v>22000</v>
      </c>
      <c r="L1374" s="45">
        <v>0</v>
      </c>
      <c r="M1374" s="45">
        <v>0</v>
      </c>
      <c r="N1374" s="45">
        <v>0</v>
      </c>
      <c r="O1374" s="45">
        <v>0</v>
      </c>
      <c r="P1374" s="45">
        <v>0</v>
      </c>
      <c r="Q1374" s="45">
        <v>0</v>
      </c>
      <c r="R1374" s="45">
        <v>0</v>
      </c>
      <c r="S1374" s="45">
        <v>0</v>
      </c>
      <c r="T1374" s="45">
        <v>0</v>
      </c>
      <c r="U1374" s="45">
        <v>1397</v>
      </c>
      <c r="V1374" s="45">
        <v>0</v>
      </c>
      <c r="W1374" s="45">
        <v>0</v>
      </c>
      <c r="X1374" s="45">
        <v>0</v>
      </c>
      <c r="Y1374" s="45">
        <v>0</v>
      </c>
      <c r="Z1374" s="45">
        <v>0</v>
      </c>
      <c r="AA1374" s="45">
        <v>0</v>
      </c>
      <c r="AB1374" s="45">
        <v>0</v>
      </c>
      <c r="AC1374" s="45">
        <v>0</v>
      </c>
      <c r="AD1374" s="45">
        <v>0</v>
      </c>
      <c r="AE1374" s="45">
        <v>0</v>
      </c>
      <c r="AF1374" s="45">
        <v>0</v>
      </c>
      <c r="AG1374" s="45">
        <v>0</v>
      </c>
      <c r="AH1374" s="45">
        <v>0</v>
      </c>
      <c r="AI1374" s="45">
        <v>0</v>
      </c>
      <c r="AJ1374" s="45">
        <v>0</v>
      </c>
      <c r="AK1374" s="45">
        <v>0</v>
      </c>
      <c r="AL1374" s="45">
        <v>0</v>
      </c>
      <c r="AM1374" s="57" t="str">
        <f>I1374-J1374-K1374-L1374-M1374-N1374-O1374-P1374-Q1374-R1374-S1374-T1374-U1374-V1374-W1374-X1374-Y1374-Z1374-AA1374-AB1374-AC1374-AD1374-AE1374-AF1374-AG1374+AH1374-AI1374+AJ1374+AK1374-AL1374</f>
        <v>0</v>
      </c>
      <c r="AN1374" s="45"/>
    </row>
    <row r="1375" spans="1:41">
      <c r="A1375" s="45">
        <v>1347</v>
      </c>
      <c r="B1375" s="45" t="s">
        <v>5332</v>
      </c>
      <c r="C1375" s="49" t="s">
        <v>5333</v>
      </c>
      <c r="D1375" s="53" t="s">
        <v>73</v>
      </c>
      <c r="E1375" s="45" t="s">
        <v>5278</v>
      </c>
      <c r="F1375" s="45" t="s">
        <v>5334</v>
      </c>
      <c r="G1375" s="45">
        <v>2</v>
      </c>
      <c r="H1375" s="53" t="s">
        <v>5335</v>
      </c>
      <c r="I1375" s="45">
        <v>155000</v>
      </c>
      <c r="J1375" s="45">
        <v>0</v>
      </c>
      <c r="K1375" s="45">
        <v>22000</v>
      </c>
      <c r="L1375" s="45">
        <v>0</v>
      </c>
      <c r="M1375" s="45">
        <v>0</v>
      </c>
      <c r="N1375" s="45">
        <v>0</v>
      </c>
      <c r="O1375" s="45">
        <v>0</v>
      </c>
      <c r="P1375" s="45">
        <v>0</v>
      </c>
      <c r="Q1375" s="45">
        <v>0</v>
      </c>
      <c r="R1375" s="45">
        <v>0</v>
      </c>
      <c r="S1375" s="45">
        <v>0</v>
      </c>
      <c r="T1375" s="45">
        <v>0</v>
      </c>
      <c r="U1375" s="45">
        <v>1397</v>
      </c>
      <c r="V1375" s="45">
        <v>0</v>
      </c>
      <c r="W1375" s="45">
        <v>0</v>
      </c>
      <c r="X1375" s="45">
        <v>0</v>
      </c>
      <c r="Y1375" s="45">
        <v>0</v>
      </c>
      <c r="Z1375" s="45">
        <v>0</v>
      </c>
      <c r="AA1375" s="45">
        <v>0</v>
      </c>
      <c r="AB1375" s="45">
        <v>0</v>
      </c>
      <c r="AC1375" s="45">
        <v>0</v>
      </c>
      <c r="AD1375" s="45">
        <v>0</v>
      </c>
      <c r="AE1375" s="45">
        <v>0</v>
      </c>
      <c r="AF1375" s="45">
        <v>0</v>
      </c>
      <c r="AG1375" s="45">
        <v>0</v>
      </c>
      <c r="AH1375" s="45">
        <v>0</v>
      </c>
      <c r="AI1375" s="45">
        <v>0</v>
      </c>
      <c r="AJ1375" s="45">
        <v>0</v>
      </c>
      <c r="AK1375" s="45">
        <v>0</v>
      </c>
      <c r="AL1375" s="45">
        <v>0</v>
      </c>
      <c r="AM1375" s="57" t="str">
        <f>I1375-J1375-K1375-L1375-M1375-N1375-O1375-P1375-Q1375-R1375-S1375-T1375-U1375-V1375-W1375-X1375-Y1375-Z1375-AA1375-AB1375-AC1375-AD1375-AE1375-AF1375-AG1375+AH1375-AI1375+AJ1375+AK1375-AL1375</f>
        <v>0</v>
      </c>
      <c r="AN1375" s="45"/>
    </row>
    <row r="1376" spans="1:41">
      <c r="A1376" s="45">
        <v>1348</v>
      </c>
      <c r="B1376" s="45" t="s">
        <v>5336</v>
      </c>
      <c r="C1376" s="49" t="s">
        <v>5337</v>
      </c>
      <c r="D1376" s="53" t="s">
        <v>73</v>
      </c>
      <c r="E1376" s="45" t="s">
        <v>5278</v>
      </c>
      <c r="F1376" s="45" t="s">
        <v>5338</v>
      </c>
      <c r="G1376" s="45">
        <v>2</v>
      </c>
      <c r="H1376" s="53" t="s">
        <v>5339</v>
      </c>
      <c r="I1376" s="45">
        <v>155000</v>
      </c>
      <c r="J1376" s="45">
        <v>0</v>
      </c>
      <c r="K1376" s="45">
        <v>22000</v>
      </c>
      <c r="L1376" s="45">
        <v>0</v>
      </c>
      <c r="M1376" s="45">
        <v>0</v>
      </c>
      <c r="N1376" s="45">
        <v>0</v>
      </c>
      <c r="O1376" s="45">
        <v>0</v>
      </c>
      <c r="P1376" s="45">
        <v>0</v>
      </c>
      <c r="Q1376" s="45">
        <v>0</v>
      </c>
      <c r="R1376" s="45">
        <v>0</v>
      </c>
      <c r="S1376" s="45">
        <v>0</v>
      </c>
      <c r="T1376" s="45">
        <v>0</v>
      </c>
      <c r="U1376" s="45">
        <v>1397</v>
      </c>
      <c r="V1376" s="45">
        <v>0</v>
      </c>
      <c r="W1376" s="45">
        <v>0</v>
      </c>
      <c r="X1376" s="45">
        <v>0</v>
      </c>
      <c r="Y1376" s="45">
        <v>0</v>
      </c>
      <c r="Z1376" s="45">
        <v>0</v>
      </c>
      <c r="AA1376" s="45">
        <v>0</v>
      </c>
      <c r="AB1376" s="45">
        <v>0</v>
      </c>
      <c r="AC1376" s="45">
        <v>0</v>
      </c>
      <c r="AD1376" s="45">
        <v>0</v>
      </c>
      <c r="AE1376" s="45">
        <v>0</v>
      </c>
      <c r="AF1376" s="45">
        <v>0</v>
      </c>
      <c r="AG1376" s="45">
        <v>0</v>
      </c>
      <c r="AH1376" s="45">
        <v>0</v>
      </c>
      <c r="AI1376" s="45">
        <v>0</v>
      </c>
      <c r="AJ1376" s="45">
        <v>0</v>
      </c>
      <c r="AK1376" s="45">
        <v>0</v>
      </c>
      <c r="AL1376" s="45">
        <v>0</v>
      </c>
      <c r="AM1376" s="57" t="str">
        <f>I1376-J1376-K1376-L1376-M1376-N1376-O1376-P1376-Q1376-R1376-S1376-T1376-U1376-V1376-W1376-X1376-Y1376-Z1376-AA1376-AB1376-AC1376-AD1376-AE1376-AF1376-AG1376+AH1376-AI1376+AJ1376+AK1376-AL1376</f>
        <v>0</v>
      </c>
      <c r="AN1376" s="45"/>
    </row>
    <row r="1377" spans="1:41">
      <c r="A1377" s="45">
        <v>1349</v>
      </c>
      <c r="B1377" s="45" t="s">
        <v>5340</v>
      </c>
      <c r="C1377" s="49" t="s">
        <v>5341</v>
      </c>
      <c r="D1377" s="53" t="s">
        <v>73</v>
      </c>
      <c r="E1377" s="45" t="s">
        <v>5278</v>
      </c>
      <c r="F1377" s="45" t="s">
        <v>3339</v>
      </c>
      <c r="G1377" s="45">
        <v>2.7</v>
      </c>
      <c r="H1377" s="53" t="s">
        <v>5342</v>
      </c>
      <c r="I1377" s="45">
        <v>155000</v>
      </c>
      <c r="J1377" s="45">
        <v>0</v>
      </c>
      <c r="K1377" s="45">
        <v>22000</v>
      </c>
      <c r="L1377" s="45">
        <v>0</v>
      </c>
      <c r="M1377" s="45">
        <v>0</v>
      </c>
      <c r="N1377" s="45">
        <v>0</v>
      </c>
      <c r="O1377" s="45">
        <v>0</v>
      </c>
      <c r="P1377" s="45">
        <v>0</v>
      </c>
      <c r="Q1377" s="45">
        <v>0</v>
      </c>
      <c r="R1377" s="45">
        <v>0</v>
      </c>
      <c r="S1377" s="45">
        <v>0</v>
      </c>
      <c r="T1377" s="45">
        <v>0</v>
      </c>
      <c r="U1377" s="45">
        <v>1397</v>
      </c>
      <c r="V1377" s="45">
        <v>0</v>
      </c>
      <c r="W1377" s="45">
        <v>0</v>
      </c>
      <c r="X1377" s="45">
        <v>0</v>
      </c>
      <c r="Y1377" s="45">
        <v>0</v>
      </c>
      <c r="Z1377" s="45">
        <v>0</v>
      </c>
      <c r="AA1377" s="45">
        <v>0</v>
      </c>
      <c r="AB1377" s="45">
        <v>0</v>
      </c>
      <c r="AC1377" s="45">
        <v>0</v>
      </c>
      <c r="AD1377" s="45">
        <v>0</v>
      </c>
      <c r="AE1377" s="45">
        <v>0</v>
      </c>
      <c r="AF1377" s="45">
        <v>0</v>
      </c>
      <c r="AG1377" s="45">
        <v>0</v>
      </c>
      <c r="AH1377" s="45">
        <v>0</v>
      </c>
      <c r="AI1377" s="45">
        <v>0</v>
      </c>
      <c r="AJ1377" s="45">
        <v>0</v>
      </c>
      <c r="AK1377" s="45">
        <v>0</v>
      </c>
      <c r="AL1377" s="45">
        <v>0</v>
      </c>
      <c r="AM1377" s="57" t="str">
        <f>I1377-J1377-K1377-L1377-M1377-N1377-O1377-P1377-Q1377-R1377-S1377-T1377-U1377-V1377-W1377-X1377-Y1377-Z1377-AA1377-AB1377-AC1377-AD1377-AE1377-AF1377-AG1377+AH1377-AI1377+AJ1377+AK1377-AL1377</f>
        <v>0</v>
      </c>
      <c r="AN1377" s="45"/>
    </row>
    <row r="1378" spans="1:41">
      <c r="A1378" s="45">
        <v>1350</v>
      </c>
      <c r="B1378" s="45" t="s">
        <v>5343</v>
      </c>
      <c r="C1378" s="49" t="s">
        <v>5344</v>
      </c>
      <c r="D1378" s="53" t="s">
        <v>73</v>
      </c>
      <c r="E1378" s="45" t="s">
        <v>5278</v>
      </c>
      <c r="F1378" s="45" t="s">
        <v>5345</v>
      </c>
      <c r="G1378" s="45">
        <v>2</v>
      </c>
      <c r="H1378" s="53" t="s">
        <v>5346</v>
      </c>
      <c r="I1378" s="45">
        <v>155000</v>
      </c>
      <c r="J1378" s="45">
        <v>0</v>
      </c>
      <c r="K1378" s="45">
        <v>22000</v>
      </c>
      <c r="L1378" s="45">
        <v>0</v>
      </c>
      <c r="M1378" s="45">
        <v>0</v>
      </c>
      <c r="N1378" s="45">
        <v>0</v>
      </c>
      <c r="O1378" s="45">
        <v>0</v>
      </c>
      <c r="P1378" s="45">
        <v>0</v>
      </c>
      <c r="Q1378" s="45">
        <v>0</v>
      </c>
      <c r="R1378" s="45">
        <v>0</v>
      </c>
      <c r="S1378" s="45">
        <v>0</v>
      </c>
      <c r="T1378" s="45">
        <v>0</v>
      </c>
      <c r="U1378" s="45">
        <v>1397</v>
      </c>
      <c r="V1378" s="45">
        <v>0</v>
      </c>
      <c r="W1378" s="45">
        <v>0</v>
      </c>
      <c r="X1378" s="45">
        <v>0</v>
      </c>
      <c r="Y1378" s="45">
        <v>0</v>
      </c>
      <c r="Z1378" s="45">
        <v>0</v>
      </c>
      <c r="AA1378" s="45">
        <v>0</v>
      </c>
      <c r="AB1378" s="45">
        <v>0</v>
      </c>
      <c r="AC1378" s="45">
        <v>0</v>
      </c>
      <c r="AD1378" s="45">
        <v>0</v>
      </c>
      <c r="AE1378" s="45">
        <v>0</v>
      </c>
      <c r="AF1378" s="45">
        <v>0</v>
      </c>
      <c r="AG1378" s="45">
        <v>0</v>
      </c>
      <c r="AH1378" s="45">
        <v>0</v>
      </c>
      <c r="AI1378" s="45">
        <v>0</v>
      </c>
      <c r="AJ1378" s="45">
        <v>0</v>
      </c>
      <c r="AK1378" s="45">
        <v>0</v>
      </c>
      <c r="AL1378" s="45">
        <v>0</v>
      </c>
      <c r="AM1378" s="57" t="str">
        <f>I1378-J1378-K1378-L1378-M1378-N1378-O1378-P1378-Q1378-R1378-S1378-T1378-U1378-V1378-W1378-X1378-Y1378-Z1378-AA1378-AB1378-AC1378-AD1378-AE1378-AF1378-AG1378+AH1378-AI1378+AJ1378+AK1378-AL1378</f>
        <v>0</v>
      </c>
      <c r="AN1378" s="45"/>
    </row>
    <row r="1379" spans="1:41">
      <c r="A1379" s="45">
        <v>1351</v>
      </c>
      <c r="B1379" s="45" t="s">
        <v>5347</v>
      </c>
      <c r="C1379" s="49" t="s">
        <v>5348</v>
      </c>
      <c r="D1379" s="53" t="s">
        <v>73</v>
      </c>
      <c r="E1379" s="45" t="s">
        <v>5349</v>
      </c>
      <c r="F1379" s="45" t="s">
        <v>5350</v>
      </c>
      <c r="G1379" s="45">
        <v>2</v>
      </c>
      <c r="H1379" s="53" t="s">
        <v>5351</v>
      </c>
      <c r="I1379" s="45">
        <v>155000</v>
      </c>
      <c r="J1379" s="45">
        <v>0</v>
      </c>
      <c r="K1379" s="45">
        <v>22000</v>
      </c>
      <c r="L1379" s="45">
        <v>0</v>
      </c>
      <c r="M1379" s="45">
        <v>0</v>
      </c>
      <c r="N1379" s="45">
        <v>0</v>
      </c>
      <c r="O1379" s="45">
        <v>0</v>
      </c>
      <c r="P1379" s="45">
        <v>0</v>
      </c>
      <c r="Q1379" s="45">
        <v>0</v>
      </c>
      <c r="R1379" s="45">
        <v>0</v>
      </c>
      <c r="S1379" s="45">
        <v>0</v>
      </c>
      <c r="T1379" s="45">
        <v>0</v>
      </c>
      <c r="U1379" s="45">
        <v>1397</v>
      </c>
      <c r="V1379" s="45">
        <v>0</v>
      </c>
      <c r="W1379" s="45">
        <v>0</v>
      </c>
      <c r="X1379" s="45">
        <v>0</v>
      </c>
      <c r="Y1379" s="45">
        <v>0</v>
      </c>
      <c r="Z1379" s="45">
        <v>0</v>
      </c>
      <c r="AA1379" s="45">
        <v>0</v>
      </c>
      <c r="AB1379" s="45">
        <v>0</v>
      </c>
      <c r="AC1379" s="45">
        <v>0</v>
      </c>
      <c r="AD1379" s="45">
        <v>0</v>
      </c>
      <c r="AE1379" s="45">
        <v>0</v>
      </c>
      <c r="AF1379" s="45">
        <v>0</v>
      </c>
      <c r="AG1379" s="45">
        <v>0</v>
      </c>
      <c r="AH1379" s="45">
        <v>0</v>
      </c>
      <c r="AI1379" s="45">
        <v>0</v>
      </c>
      <c r="AJ1379" s="45">
        <v>0</v>
      </c>
      <c r="AK1379" s="45">
        <v>0</v>
      </c>
      <c r="AL1379" s="45">
        <v>0</v>
      </c>
      <c r="AM1379" s="57" t="str">
        <f>I1379-J1379-K1379-L1379-M1379-N1379-O1379-P1379-Q1379-R1379-S1379-T1379-U1379-V1379-W1379-X1379-Y1379-Z1379-AA1379-AB1379-AC1379-AD1379-AE1379-AF1379-AG1379+AH1379-AI1379+AJ1379+AK1379-AL1379</f>
        <v>0</v>
      </c>
      <c r="AN1379" s="45"/>
    </row>
    <row r="1380" spans="1:41">
      <c r="A1380" s="45">
        <v>1352</v>
      </c>
      <c r="B1380" s="45" t="s">
        <v>5352</v>
      </c>
      <c r="C1380" s="49" t="s">
        <v>5353</v>
      </c>
      <c r="D1380" s="53" t="s">
        <v>73</v>
      </c>
      <c r="E1380" s="45" t="s">
        <v>5349</v>
      </c>
      <c r="F1380" s="45" t="s">
        <v>5354</v>
      </c>
      <c r="G1380" s="45">
        <v>2</v>
      </c>
      <c r="H1380" s="53" t="s">
        <v>5355</v>
      </c>
      <c r="I1380" s="45">
        <v>155000</v>
      </c>
      <c r="J1380" s="45">
        <v>0</v>
      </c>
      <c r="K1380" s="45">
        <v>22000</v>
      </c>
      <c r="L1380" s="45">
        <v>0</v>
      </c>
      <c r="M1380" s="45">
        <v>0</v>
      </c>
      <c r="N1380" s="45">
        <v>0</v>
      </c>
      <c r="O1380" s="45">
        <v>0</v>
      </c>
      <c r="P1380" s="45">
        <v>0</v>
      </c>
      <c r="Q1380" s="45">
        <v>0</v>
      </c>
      <c r="R1380" s="45">
        <v>0</v>
      </c>
      <c r="S1380" s="45">
        <v>0</v>
      </c>
      <c r="T1380" s="45">
        <v>0</v>
      </c>
      <c r="U1380" s="45">
        <v>1397</v>
      </c>
      <c r="V1380" s="45">
        <v>0</v>
      </c>
      <c r="W1380" s="45">
        <v>0</v>
      </c>
      <c r="X1380" s="45">
        <v>0</v>
      </c>
      <c r="Y1380" s="45">
        <v>0</v>
      </c>
      <c r="Z1380" s="45">
        <v>0</v>
      </c>
      <c r="AA1380" s="45">
        <v>0</v>
      </c>
      <c r="AB1380" s="45">
        <v>0</v>
      </c>
      <c r="AC1380" s="45">
        <v>0</v>
      </c>
      <c r="AD1380" s="45">
        <v>0</v>
      </c>
      <c r="AE1380" s="45">
        <v>0</v>
      </c>
      <c r="AF1380" s="45">
        <v>0</v>
      </c>
      <c r="AG1380" s="45">
        <v>0</v>
      </c>
      <c r="AH1380" s="45">
        <v>0</v>
      </c>
      <c r="AI1380" s="45">
        <v>0</v>
      </c>
      <c r="AJ1380" s="45">
        <v>0</v>
      </c>
      <c r="AK1380" s="45">
        <v>0</v>
      </c>
      <c r="AL1380" s="45">
        <v>0</v>
      </c>
      <c r="AM1380" s="57" t="str">
        <f>I1380-J1380-K1380-L1380-M1380-N1380-O1380-P1380-Q1380-R1380-S1380-T1380-U1380-V1380-W1380-X1380-Y1380-Z1380-AA1380-AB1380-AC1380-AD1380-AE1380-AF1380-AG1380+AH1380-AI1380+AJ1380+AK1380-AL1380</f>
        <v>0</v>
      </c>
      <c r="AN1380" s="45"/>
    </row>
    <row r="1381" spans="1:41">
      <c r="A1381" s="45">
        <v>1353</v>
      </c>
      <c r="B1381" s="45" t="s">
        <v>5356</v>
      </c>
      <c r="C1381" s="49" t="s">
        <v>5357</v>
      </c>
      <c r="D1381" s="53" t="s">
        <v>73</v>
      </c>
      <c r="E1381" s="45" t="s">
        <v>5349</v>
      </c>
      <c r="F1381" s="45" t="s">
        <v>2563</v>
      </c>
      <c r="G1381" s="45">
        <v>2</v>
      </c>
      <c r="H1381" s="53" t="s">
        <v>5358</v>
      </c>
      <c r="I1381" s="45">
        <v>155000</v>
      </c>
      <c r="J1381" s="45">
        <v>0</v>
      </c>
      <c r="K1381" s="45">
        <v>22000</v>
      </c>
      <c r="L1381" s="45">
        <v>0</v>
      </c>
      <c r="M1381" s="45">
        <v>0</v>
      </c>
      <c r="N1381" s="45">
        <v>0</v>
      </c>
      <c r="O1381" s="45">
        <v>0</v>
      </c>
      <c r="P1381" s="45">
        <v>0</v>
      </c>
      <c r="Q1381" s="45">
        <v>0</v>
      </c>
      <c r="R1381" s="45">
        <v>0</v>
      </c>
      <c r="S1381" s="45">
        <v>0</v>
      </c>
      <c r="T1381" s="45">
        <v>0</v>
      </c>
      <c r="U1381" s="45">
        <v>1397</v>
      </c>
      <c r="V1381" s="45">
        <v>0</v>
      </c>
      <c r="W1381" s="45">
        <v>0</v>
      </c>
      <c r="X1381" s="45">
        <v>0</v>
      </c>
      <c r="Y1381" s="45">
        <v>0</v>
      </c>
      <c r="Z1381" s="45">
        <v>0</v>
      </c>
      <c r="AA1381" s="45">
        <v>0</v>
      </c>
      <c r="AB1381" s="45">
        <v>0</v>
      </c>
      <c r="AC1381" s="45">
        <v>0</v>
      </c>
      <c r="AD1381" s="45">
        <v>0</v>
      </c>
      <c r="AE1381" s="45">
        <v>0</v>
      </c>
      <c r="AF1381" s="45">
        <v>0</v>
      </c>
      <c r="AG1381" s="45">
        <v>0</v>
      </c>
      <c r="AH1381" s="45">
        <v>0</v>
      </c>
      <c r="AI1381" s="45">
        <v>0</v>
      </c>
      <c r="AJ1381" s="45">
        <v>0</v>
      </c>
      <c r="AK1381" s="45">
        <v>0</v>
      </c>
      <c r="AL1381" s="45">
        <v>0</v>
      </c>
      <c r="AM1381" s="57" t="str">
        <f>I1381-J1381-K1381-L1381-M1381-N1381-O1381-P1381-Q1381-R1381-S1381-T1381-U1381-V1381-W1381-X1381-Y1381-Z1381-AA1381-AB1381-AC1381-AD1381-AE1381-AF1381-AG1381+AH1381-AI1381+AJ1381+AK1381-AL1381</f>
        <v>0</v>
      </c>
      <c r="AN1381" s="45"/>
    </row>
    <row r="1382" spans="1:41">
      <c r="A1382" s="45">
        <v>1354</v>
      </c>
      <c r="B1382" s="45" t="s">
        <v>5359</v>
      </c>
      <c r="C1382" s="49" t="s">
        <v>5360</v>
      </c>
      <c r="D1382" s="53" t="s">
        <v>73</v>
      </c>
      <c r="E1382" s="45" t="s">
        <v>5349</v>
      </c>
      <c r="F1382" s="45" t="s">
        <v>908</v>
      </c>
      <c r="G1382" s="45">
        <v>2</v>
      </c>
      <c r="H1382" s="53" t="s">
        <v>5361</v>
      </c>
      <c r="I1382" s="45">
        <v>155000</v>
      </c>
      <c r="J1382" s="45">
        <v>0</v>
      </c>
      <c r="K1382" s="45">
        <v>22000</v>
      </c>
      <c r="L1382" s="45">
        <v>0</v>
      </c>
      <c r="M1382" s="45">
        <v>0</v>
      </c>
      <c r="N1382" s="45">
        <v>0</v>
      </c>
      <c r="O1382" s="45">
        <v>0</v>
      </c>
      <c r="P1382" s="45">
        <v>0</v>
      </c>
      <c r="Q1382" s="45">
        <v>0</v>
      </c>
      <c r="R1382" s="45">
        <v>0</v>
      </c>
      <c r="S1382" s="45">
        <v>0</v>
      </c>
      <c r="T1382" s="45">
        <v>0</v>
      </c>
      <c r="U1382" s="45">
        <v>1397</v>
      </c>
      <c r="V1382" s="45">
        <v>0</v>
      </c>
      <c r="W1382" s="45">
        <v>0</v>
      </c>
      <c r="X1382" s="45">
        <v>0</v>
      </c>
      <c r="Y1382" s="45">
        <v>0</v>
      </c>
      <c r="Z1382" s="45">
        <v>0</v>
      </c>
      <c r="AA1382" s="45">
        <v>0</v>
      </c>
      <c r="AB1382" s="45">
        <v>0</v>
      </c>
      <c r="AC1382" s="45">
        <v>0</v>
      </c>
      <c r="AD1382" s="45">
        <v>0</v>
      </c>
      <c r="AE1382" s="45">
        <v>0</v>
      </c>
      <c r="AF1382" s="45">
        <v>0</v>
      </c>
      <c r="AG1382" s="45">
        <v>0</v>
      </c>
      <c r="AH1382" s="45">
        <v>0</v>
      </c>
      <c r="AI1382" s="45">
        <v>0</v>
      </c>
      <c r="AJ1382" s="45">
        <v>0</v>
      </c>
      <c r="AK1382" s="45">
        <v>0</v>
      </c>
      <c r="AL1382" s="45">
        <v>0</v>
      </c>
      <c r="AM1382" s="57" t="str">
        <f>I1382-J1382-K1382-L1382-M1382-N1382-O1382-P1382-Q1382-R1382-S1382-T1382-U1382-V1382-W1382-X1382-Y1382-Z1382-AA1382-AB1382-AC1382-AD1382-AE1382-AF1382-AG1382+AH1382-AI1382+AJ1382+AK1382-AL1382</f>
        <v>0</v>
      </c>
      <c r="AN1382" s="45"/>
    </row>
    <row r="1383" spans="1:41">
      <c r="A1383" s="45">
        <v>1355</v>
      </c>
      <c r="B1383" s="45" t="s">
        <v>5362</v>
      </c>
      <c r="C1383" s="49" t="s">
        <v>5363</v>
      </c>
      <c r="D1383" s="53" t="s">
        <v>73</v>
      </c>
      <c r="E1383" s="45" t="s">
        <v>5349</v>
      </c>
      <c r="F1383" s="45" t="s">
        <v>5364</v>
      </c>
      <c r="G1383" s="45">
        <v>2</v>
      </c>
      <c r="H1383" s="53" t="s">
        <v>5365</v>
      </c>
      <c r="I1383" s="45">
        <v>155000</v>
      </c>
      <c r="J1383" s="45">
        <v>0</v>
      </c>
      <c r="K1383" s="45">
        <v>22000</v>
      </c>
      <c r="L1383" s="45">
        <v>0</v>
      </c>
      <c r="M1383" s="45">
        <v>0</v>
      </c>
      <c r="N1383" s="45">
        <v>0</v>
      </c>
      <c r="O1383" s="45">
        <v>0</v>
      </c>
      <c r="P1383" s="45">
        <v>0</v>
      </c>
      <c r="Q1383" s="45">
        <v>0</v>
      </c>
      <c r="R1383" s="45">
        <v>0</v>
      </c>
      <c r="S1383" s="45">
        <v>0</v>
      </c>
      <c r="T1383" s="45">
        <v>0</v>
      </c>
      <c r="U1383" s="45">
        <v>1397</v>
      </c>
      <c r="V1383" s="45">
        <v>0</v>
      </c>
      <c r="W1383" s="45">
        <v>0</v>
      </c>
      <c r="X1383" s="45">
        <v>0</v>
      </c>
      <c r="Y1383" s="45">
        <v>0</v>
      </c>
      <c r="Z1383" s="45">
        <v>0</v>
      </c>
      <c r="AA1383" s="45">
        <v>0</v>
      </c>
      <c r="AB1383" s="45">
        <v>0</v>
      </c>
      <c r="AC1383" s="45">
        <v>0</v>
      </c>
      <c r="AD1383" s="45">
        <v>0</v>
      </c>
      <c r="AE1383" s="45">
        <v>0</v>
      </c>
      <c r="AF1383" s="45">
        <v>0</v>
      </c>
      <c r="AG1383" s="45">
        <v>0</v>
      </c>
      <c r="AH1383" s="45">
        <v>0</v>
      </c>
      <c r="AI1383" s="45">
        <v>0</v>
      </c>
      <c r="AJ1383" s="45">
        <v>0</v>
      </c>
      <c r="AK1383" s="45">
        <v>0</v>
      </c>
      <c r="AL1383" s="45">
        <v>0</v>
      </c>
      <c r="AM1383" s="57" t="str">
        <f>I1383-J1383-K1383-L1383-M1383-N1383-O1383-P1383-Q1383-R1383-S1383-T1383-U1383-V1383-W1383-X1383-Y1383-Z1383-AA1383-AB1383-AC1383-AD1383-AE1383-AF1383-AG1383+AH1383-AI1383+AJ1383+AK1383-AL1383</f>
        <v>0</v>
      </c>
      <c r="AN1383" s="45"/>
    </row>
    <row r="1384" spans="1:41">
      <c r="A1384" s="45">
        <v>1356</v>
      </c>
      <c r="B1384" s="45" t="s">
        <v>5366</v>
      </c>
      <c r="C1384" s="49" t="s">
        <v>5367</v>
      </c>
      <c r="D1384" s="53" t="s">
        <v>73</v>
      </c>
      <c r="E1384" s="45" t="s">
        <v>5349</v>
      </c>
      <c r="F1384" s="45" t="s">
        <v>5145</v>
      </c>
      <c r="G1384" s="45">
        <v>2</v>
      </c>
      <c r="H1384" s="53" t="s">
        <v>5368</v>
      </c>
      <c r="I1384" s="45">
        <v>155000</v>
      </c>
      <c r="J1384" s="45">
        <v>0</v>
      </c>
      <c r="K1384" s="45">
        <v>22000</v>
      </c>
      <c r="L1384" s="45">
        <v>0</v>
      </c>
      <c r="M1384" s="45">
        <v>0</v>
      </c>
      <c r="N1384" s="45">
        <v>0</v>
      </c>
      <c r="O1384" s="45">
        <v>0</v>
      </c>
      <c r="P1384" s="45">
        <v>0</v>
      </c>
      <c r="Q1384" s="45">
        <v>0</v>
      </c>
      <c r="R1384" s="45">
        <v>0</v>
      </c>
      <c r="S1384" s="45">
        <v>0</v>
      </c>
      <c r="T1384" s="45">
        <v>0</v>
      </c>
      <c r="U1384" s="45">
        <v>1397</v>
      </c>
      <c r="V1384" s="45">
        <v>0</v>
      </c>
      <c r="W1384" s="45">
        <v>0</v>
      </c>
      <c r="X1384" s="45">
        <v>0</v>
      </c>
      <c r="Y1384" s="45">
        <v>0</v>
      </c>
      <c r="Z1384" s="45">
        <v>0</v>
      </c>
      <c r="AA1384" s="45">
        <v>0</v>
      </c>
      <c r="AB1384" s="45">
        <v>0</v>
      </c>
      <c r="AC1384" s="45">
        <v>0</v>
      </c>
      <c r="AD1384" s="45">
        <v>0</v>
      </c>
      <c r="AE1384" s="45">
        <v>0</v>
      </c>
      <c r="AF1384" s="45">
        <v>0</v>
      </c>
      <c r="AG1384" s="45">
        <v>0</v>
      </c>
      <c r="AH1384" s="45">
        <v>0</v>
      </c>
      <c r="AI1384" s="45">
        <v>0</v>
      </c>
      <c r="AJ1384" s="45">
        <v>0</v>
      </c>
      <c r="AK1384" s="45">
        <v>0</v>
      </c>
      <c r="AL1384" s="45">
        <v>0</v>
      </c>
      <c r="AM1384" s="57" t="str">
        <f>I1384-J1384-K1384-L1384-M1384-N1384-O1384-P1384-Q1384-R1384-S1384-T1384-U1384-V1384-W1384-X1384-Y1384-Z1384-AA1384-AB1384-AC1384-AD1384-AE1384-AF1384-AG1384+AH1384-AI1384+AJ1384+AK1384-AL1384</f>
        <v>0</v>
      </c>
      <c r="AN1384" s="45"/>
    </row>
    <row r="1385" spans="1:41">
      <c r="A1385" s="45">
        <v>1357</v>
      </c>
      <c r="B1385" s="45" t="s">
        <v>5369</v>
      </c>
      <c r="C1385" s="49" t="s">
        <v>5370</v>
      </c>
      <c r="D1385" s="53" t="s">
        <v>73</v>
      </c>
      <c r="E1385" s="45" t="s">
        <v>5349</v>
      </c>
      <c r="F1385" s="45" t="s">
        <v>5302</v>
      </c>
      <c r="G1385" s="45">
        <v>2</v>
      </c>
      <c r="H1385" s="53" t="s">
        <v>5371</v>
      </c>
      <c r="I1385" s="45">
        <v>155000</v>
      </c>
      <c r="J1385" s="45">
        <v>0</v>
      </c>
      <c r="K1385" s="45">
        <v>22000</v>
      </c>
      <c r="L1385" s="45">
        <v>0</v>
      </c>
      <c r="M1385" s="45">
        <v>0</v>
      </c>
      <c r="N1385" s="45">
        <v>0</v>
      </c>
      <c r="O1385" s="45">
        <v>0</v>
      </c>
      <c r="P1385" s="45">
        <v>0</v>
      </c>
      <c r="Q1385" s="45">
        <v>0</v>
      </c>
      <c r="R1385" s="45">
        <v>0</v>
      </c>
      <c r="S1385" s="45">
        <v>0</v>
      </c>
      <c r="T1385" s="45">
        <v>0</v>
      </c>
      <c r="U1385" s="45">
        <v>1397</v>
      </c>
      <c r="V1385" s="45">
        <v>0</v>
      </c>
      <c r="W1385" s="45">
        <v>0</v>
      </c>
      <c r="X1385" s="45">
        <v>0</v>
      </c>
      <c r="Y1385" s="45">
        <v>0</v>
      </c>
      <c r="Z1385" s="45">
        <v>0</v>
      </c>
      <c r="AA1385" s="45">
        <v>0</v>
      </c>
      <c r="AB1385" s="45">
        <v>0</v>
      </c>
      <c r="AC1385" s="45">
        <v>0</v>
      </c>
      <c r="AD1385" s="45">
        <v>0</v>
      </c>
      <c r="AE1385" s="45">
        <v>0</v>
      </c>
      <c r="AF1385" s="45">
        <v>0</v>
      </c>
      <c r="AG1385" s="45">
        <v>0</v>
      </c>
      <c r="AH1385" s="45">
        <v>0</v>
      </c>
      <c r="AI1385" s="45">
        <v>0</v>
      </c>
      <c r="AJ1385" s="45">
        <v>0</v>
      </c>
      <c r="AK1385" s="45">
        <v>0</v>
      </c>
      <c r="AL1385" s="45">
        <v>0</v>
      </c>
      <c r="AM1385" s="57" t="str">
        <f>I1385-J1385-K1385-L1385-M1385-N1385-O1385-P1385-Q1385-R1385-S1385-T1385-U1385-V1385-W1385-X1385-Y1385-Z1385-AA1385-AB1385-AC1385-AD1385-AE1385-AF1385-AG1385+AH1385-AI1385+AJ1385+AK1385-AL1385</f>
        <v>0</v>
      </c>
      <c r="AN1385" s="45"/>
    </row>
    <row r="1386" spans="1:41">
      <c r="A1386" s="45">
        <v>1358</v>
      </c>
      <c r="B1386" s="45" t="s">
        <v>5372</v>
      </c>
      <c r="C1386" s="49" t="s">
        <v>5373</v>
      </c>
      <c r="D1386" s="53" t="s">
        <v>73</v>
      </c>
      <c r="E1386" s="45" t="s">
        <v>5349</v>
      </c>
      <c r="F1386" s="45" t="s">
        <v>4320</v>
      </c>
      <c r="G1386" s="45">
        <v>2</v>
      </c>
      <c r="H1386" s="53" t="s">
        <v>5374</v>
      </c>
      <c r="I1386" s="45">
        <v>155000</v>
      </c>
      <c r="J1386" s="45">
        <v>0</v>
      </c>
      <c r="K1386" s="45">
        <v>22000</v>
      </c>
      <c r="L1386" s="45">
        <v>0</v>
      </c>
      <c r="M1386" s="45">
        <v>0</v>
      </c>
      <c r="N1386" s="45">
        <v>0</v>
      </c>
      <c r="O1386" s="45">
        <v>0</v>
      </c>
      <c r="P1386" s="45">
        <v>0</v>
      </c>
      <c r="Q1386" s="45">
        <v>0</v>
      </c>
      <c r="R1386" s="45">
        <v>0</v>
      </c>
      <c r="S1386" s="45">
        <v>0</v>
      </c>
      <c r="T1386" s="45">
        <v>0</v>
      </c>
      <c r="U1386" s="45">
        <v>1397</v>
      </c>
      <c r="V1386" s="45">
        <v>0</v>
      </c>
      <c r="W1386" s="45">
        <v>0</v>
      </c>
      <c r="X1386" s="45">
        <v>0</v>
      </c>
      <c r="Y1386" s="45">
        <v>0</v>
      </c>
      <c r="Z1386" s="45">
        <v>0</v>
      </c>
      <c r="AA1386" s="45">
        <v>0</v>
      </c>
      <c r="AB1386" s="45">
        <v>0</v>
      </c>
      <c r="AC1386" s="45">
        <v>0</v>
      </c>
      <c r="AD1386" s="45">
        <v>0</v>
      </c>
      <c r="AE1386" s="45">
        <v>0</v>
      </c>
      <c r="AF1386" s="45">
        <v>0</v>
      </c>
      <c r="AG1386" s="45">
        <v>0</v>
      </c>
      <c r="AH1386" s="45">
        <v>0</v>
      </c>
      <c r="AI1386" s="45">
        <v>0</v>
      </c>
      <c r="AJ1386" s="45">
        <v>0</v>
      </c>
      <c r="AK1386" s="45">
        <v>0</v>
      </c>
      <c r="AL1386" s="45">
        <v>0</v>
      </c>
      <c r="AM1386" s="57" t="str">
        <f>I1386-J1386-K1386-L1386-M1386-N1386-O1386-P1386-Q1386-R1386-S1386-T1386-U1386-V1386-W1386-X1386-Y1386-Z1386-AA1386-AB1386-AC1386-AD1386-AE1386-AF1386-AG1386+AH1386-AI1386+AJ1386+AK1386-AL1386</f>
        <v>0</v>
      </c>
      <c r="AN1386" s="45"/>
    </row>
    <row r="1387" spans="1:41">
      <c r="A1387" s="45">
        <v>1359</v>
      </c>
      <c r="B1387" s="45" t="s">
        <v>5375</v>
      </c>
      <c r="C1387" s="49" t="s">
        <v>5376</v>
      </c>
      <c r="D1387" s="53" t="s">
        <v>73</v>
      </c>
      <c r="E1387" s="45" t="s">
        <v>5349</v>
      </c>
      <c r="F1387" s="45" t="s">
        <v>5184</v>
      </c>
      <c r="G1387" s="45">
        <v>2</v>
      </c>
      <c r="H1387" s="53" t="s">
        <v>5377</v>
      </c>
      <c r="I1387" s="45">
        <v>155000</v>
      </c>
      <c r="J1387" s="45">
        <v>0</v>
      </c>
      <c r="K1387" s="45">
        <v>22000</v>
      </c>
      <c r="L1387" s="45">
        <v>0</v>
      </c>
      <c r="M1387" s="45">
        <v>0</v>
      </c>
      <c r="N1387" s="45">
        <v>0</v>
      </c>
      <c r="O1387" s="45">
        <v>0</v>
      </c>
      <c r="P1387" s="45">
        <v>0</v>
      </c>
      <c r="Q1387" s="45">
        <v>0</v>
      </c>
      <c r="R1387" s="45">
        <v>0</v>
      </c>
      <c r="S1387" s="45">
        <v>0</v>
      </c>
      <c r="T1387" s="45">
        <v>0</v>
      </c>
      <c r="U1387" s="45">
        <v>1397</v>
      </c>
      <c r="V1387" s="45">
        <v>0</v>
      </c>
      <c r="W1387" s="45">
        <v>0</v>
      </c>
      <c r="X1387" s="45">
        <v>0</v>
      </c>
      <c r="Y1387" s="45">
        <v>0</v>
      </c>
      <c r="Z1387" s="45">
        <v>0</v>
      </c>
      <c r="AA1387" s="45">
        <v>0</v>
      </c>
      <c r="AB1387" s="45">
        <v>0</v>
      </c>
      <c r="AC1387" s="45">
        <v>0</v>
      </c>
      <c r="AD1387" s="45">
        <v>0</v>
      </c>
      <c r="AE1387" s="45">
        <v>0</v>
      </c>
      <c r="AF1387" s="45">
        <v>0</v>
      </c>
      <c r="AG1387" s="45">
        <v>0</v>
      </c>
      <c r="AH1387" s="45">
        <v>0</v>
      </c>
      <c r="AI1387" s="45">
        <v>0</v>
      </c>
      <c r="AJ1387" s="45">
        <v>0</v>
      </c>
      <c r="AK1387" s="45">
        <v>0</v>
      </c>
      <c r="AL1387" s="45">
        <v>0</v>
      </c>
      <c r="AM1387" s="57" t="str">
        <f>I1387-J1387-K1387-L1387-M1387-N1387-O1387-P1387-Q1387-R1387-S1387-T1387-U1387-V1387-W1387-X1387-Y1387-Z1387-AA1387-AB1387-AC1387-AD1387-AE1387-AF1387-AG1387+AH1387-AI1387+AJ1387+AK1387-AL1387</f>
        <v>0</v>
      </c>
      <c r="AN1387" s="45"/>
    </row>
    <row r="1388" spans="1:41">
      <c r="A1388" s="45">
        <v>1360</v>
      </c>
      <c r="B1388" s="45" t="s">
        <v>5378</v>
      </c>
      <c r="C1388" s="49" t="s">
        <v>5379</v>
      </c>
      <c r="D1388" s="53" t="s">
        <v>73</v>
      </c>
      <c r="E1388" s="45" t="s">
        <v>5349</v>
      </c>
      <c r="F1388" s="45" t="s">
        <v>5380</v>
      </c>
      <c r="G1388" s="45">
        <v>2</v>
      </c>
      <c r="H1388" s="53" t="s">
        <v>5381</v>
      </c>
      <c r="I1388" s="45">
        <v>155000</v>
      </c>
      <c r="J1388" s="45">
        <v>0</v>
      </c>
      <c r="K1388" s="45">
        <v>22000</v>
      </c>
      <c r="L1388" s="45">
        <v>0</v>
      </c>
      <c r="M1388" s="45">
        <v>0</v>
      </c>
      <c r="N1388" s="45">
        <v>0</v>
      </c>
      <c r="O1388" s="45">
        <v>0</v>
      </c>
      <c r="P1388" s="45">
        <v>0</v>
      </c>
      <c r="Q1388" s="45">
        <v>0</v>
      </c>
      <c r="R1388" s="45">
        <v>0</v>
      </c>
      <c r="S1388" s="45">
        <v>0</v>
      </c>
      <c r="T1388" s="45">
        <v>0</v>
      </c>
      <c r="U1388" s="45">
        <v>1397</v>
      </c>
      <c r="V1388" s="45">
        <v>0</v>
      </c>
      <c r="W1388" s="45">
        <v>0</v>
      </c>
      <c r="X1388" s="45">
        <v>0</v>
      </c>
      <c r="Y1388" s="45">
        <v>0</v>
      </c>
      <c r="Z1388" s="45">
        <v>0</v>
      </c>
      <c r="AA1388" s="45">
        <v>0</v>
      </c>
      <c r="AB1388" s="45">
        <v>0</v>
      </c>
      <c r="AC1388" s="45">
        <v>0</v>
      </c>
      <c r="AD1388" s="45">
        <v>0</v>
      </c>
      <c r="AE1388" s="45">
        <v>0</v>
      </c>
      <c r="AF1388" s="45">
        <v>0</v>
      </c>
      <c r="AG1388" s="45">
        <v>0</v>
      </c>
      <c r="AH1388" s="45">
        <v>0</v>
      </c>
      <c r="AI1388" s="45">
        <v>0</v>
      </c>
      <c r="AJ1388" s="45">
        <v>0</v>
      </c>
      <c r="AK1388" s="45">
        <v>0</v>
      </c>
      <c r="AL1388" s="45">
        <v>0</v>
      </c>
      <c r="AM1388" s="57" t="str">
        <f>I1388-J1388-K1388-L1388-M1388-N1388-O1388-P1388-Q1388-R1388-S1388-T1388-U1388-V1388-W1388-X1388-Y1388-Z1388-AA1388-AB1388-AC1388-AD1388-AE1388-AF1388-AG1388+AH1388-AI1388+AJ1388+AK1388-AL1388</f>
        <v>0</v>
      </c>
      <c r="AN1388" s="45"/>
    </row>
    <row r="1389" spans="1:41">
      <c r="A1389" s="45">
        <v>1361</v>
      </c>
      <c r="B1389" s="45" t="s">
        <v>5382</v>
      </c>
      <c r="C1389" s="49" t="s">
        <v>5383</v>
      </c>
      <c r="D1389" s="53" t="s">
        <v>73</v>
      </c>
      <c r="E1389" s="45" t="s">
        <v>5349</v>
      </c>
      <c r="F1389" s="45" t="s">
        <v>5384</v>
      </c>
      <c r="G1389" s="45">
        <v>2</v>
      </c>
      <c r="H1389" s="53" t="s">
        <v>5385</v>
      </c>
      <c r="I1389" s="45">
        <v>155000</v>
      </c>
      <c r="J1389" s="45">
        <v>0</v>
      </c>
      <c r="K1389" s="45">
        <v>22000</v>
      </c>
      <c r="L1389" s="45">
        <v>0</v>
      </c>
      <c r="M1389" s="45">
        <v>0</v>
      </c>
      <c r="N1389" s="45">
        <v>0</v>
      </c>
      <c r="O1389" s="45">
        <v>0</v>
      </c>
      <c r="P1389" s="45">
        <v>0</v>
      </c>
      <c r="Q1389" s="45">
        <v>0</v>
      </c>
      <c r="R1389" s="45">
        <v>0</v>
      </c>
      <c r="S1389" s="45">
        <v>0</v>
      </c>
      <c r="T1389" s="45">
        <v>0</v>
      </c>
      <c r="U1389" s="45">
        <v>1397</v>
      </c>
      <c r="V1389" s="45">
        <v>0</v>
      </c>
      <c r="W1389" s="45">
        <v>0</v>
      </c>
      <c r="X1389" s="45">
        <v>0</v>
      </c>
      <c r="Y1389" s="45">
        <v>0</v>
      </c>
      <c r="Z1389" s="45">
        <v>0</v>
      </c>
      <c r="AA1389" s="45">
        <v>0</v>
      </c>
      <c r="AB1389" s="45">
        <v>0</v>
      </c>
      <c r="AC1389" s="45">
        <v>0</v>
      </c>
      <c r="AD1389" s="45">
        <v>0</v>
      </c>
      <c r="AE1389" s="45">
        <v>0</v>
      </c>
      <c r="AF1389" s="45">
        <v>0</v>
      </c>
      <c r="AG1389" s="45">
        <v>0</v>
      </c>
      <c r="AH1389" s="45">
        <v>0</v>
      </c>
      <c r="AI1389" s="45">
        <v>0</v>
      </c>
      <c r="AJ1389" s="45">
        <v>0</v>
      </c>
      <c r="AK1389" s="45">
        <v>0</v>
      </c>
      <c r="AL1389" s="45">
        <v>0</v>
      </c>
      <c r="AM1389" s="57" t="str">
        <f>I1389-J1389-K1389-L1389-M1389-N1389-O1389-P1389-Q1389-R1389-S1389-T1389-U1389-V1389-W1389-X1389-Y1389-Z1389-AA1389-AB1389-AC1389-AD1389-AE1389-AF1389-AG1389+AH1389-AI1389+AJ1389+AK1389-AL1389</f>
        <v>0</v>
      </c>
      <c r="AN1389" s="45"/>
    </row>
    <row r="1390" spans="1:41">
      <c r="A1390" s="45">
        <v>1362</v>
      </c>
      <c r="B1390" s="45" t="s">
        <v>5386</v>
      </c>
      <c r="C1390" s="49" t="s">
        <v>5387</v>
      </c>
      <c r="D1390" s="53" t="s">
        <v>73</v>
      </c>
      <c r="E1390" s="45" t="s">
        <v>5349</v>
      </c>
      <c r="F1390" s="45" t="s">
        <v>1546</v>
      </c>
      <c r="G1390" s="45">
        <v>2</v>
      </c>
      <c r="H1390" s="53" t="s">
        <v>5388</v>
      </c>
      <c r="I1390" s="45">
        <v>155000</v>
      </c>
      <c r="J1390" s="45">
        <v>0</v>
      </c>
      <c r="K1390" s="45">
        <v>22000</v>
      </c>
      <c r="L1390" s="45">
        <v>0</v>
      </c>
      <c r="M1390" s="45">
        <v>0</v>
      </c>
      <c r="N1390" s="45">
        <v>0</v>
      </c>
      <c r="O1390" s="45">
        <v>0</v>
      </c>
      <c r="P1390" s="45">
        <v>0</v>
      </c>
      <c r="Q1390" s="45">
        <v>0</v>
      </c>
      <c r="R1390" s="45">
        <v>0</v>
      </c>
      <c r="S1390" s="45">
        <v>0</v>
      </c>
      <c r="T1390" s="45">
        <v>0</v>
      </c>
      <c r="U1390" s="45">
        <v>1397</v>
      </c>
      <c r="V1390" s="45">
        <v>0</v>
      </c>
      <c r="W1390" s="45">
        <v>0</v>
      </c>
      <c r="X1390" s="45">
        <v>0</v>
      </c>
      <c r="Y1390" s="45">
        <v>0</v>
      </c>
      <c r="Z1390" s="45">
        <v>0</v>
      </c>
      <c r="AA1390" s="45">
        <v>0</v>
      </c>
      <c r="AB1390" s="45">
        <v>0</v>
      </c>
      <c r="AC1390" s="45">
        <v>0</v>
      </c>
      <c r="AD1390" s="45">
        <v>0</v>
      </c>
      <c r="AE1390" s="45">
        <v>0</v>
      </c>
      <c r="AF1390" s="45">
        <v>0</v>
      </c>
      <c r="AG1390" s="45">
        <v>0</v>
      </c>
      <c r="AH1390" s="45">
        <v>0</v>
      </c>
      <c r="AI1390" s="45">
        <v>0</v>
      </c>
      <c r="AJ1390" s="45">
        <v>0</v>
      </c>
      <c r="AK1390" s="45">
        <v>0</v>
      </c>
      <c r="AL1390" s="45">
        <v>0</v>
      </c>
      <c r="AM1390" s="57" t="str">
        <f>I1390-J1390-K1390-L1390-M1390-N1390-O1390-P1390-Q1390-R1390-S1390-T1390-U1390-V1390-W1390-X1390-Y1390-Z1390-AA1390-AB1390-AC1390-AD1390-AE1390-AF1390-AG1390+AH1390-AI1390+AJ1390+AK1390-AL1390</f>
        <v>0</v>
      </c>
      <c r="AN1390" s="45"/>
    </row>
    <row r="1391" spans="1:41">
      <c r="A1391" s="45">
        <v>1363</v>
      </c>
      <c r="B1391" s="45" t="s">
        <v>5389</v>
      </c>
      <c r="C1391" s="49" t="s">
        <v>5390</v>
      </c>
      <c r="D1391" s="53" t="s">
        <v>73</v>
      </c>
      <c r="E1391" s="45" t="s">
        <v>5349</v>
      </c>
      <c r="F1391" s="45" t="s">
        <v>4280</v>
      </c>
      <c r="G1391" s="45">
        <v>2</v>
      </c>
      <c r="H1391" s="53" t="s">
        <v>5391</v>
      </c>
      <c r="I1391" s="45">
        <v>155000</v>
      </c>
      <c r="J1391" s="45">
        <v>0</v>
      </c>
      <c r="K1391" s="45">
        <v>22000</v>
      </c>
      <c r="L1391" s="45">
        <v>0</v>
      </c>
      <c r="M1391" s="45">
        <v>0</v>
      </c>
      <c r="N1391" s="45">
        <v>0</v>
      </c>
      <c r="O1391" s="45">
        <v>0</v>
      </c>
      <c r="P1391" s="45">
        <v>0</v>
      </c>
      <c r="Q1391" s="45">
        <v>0</v>
      </c>
      <c r="R1391" s="45">
        <v>0</v>
      </c>
      <c r="S1391" s="45">
        <v>0</v>
      </c>
      <c r="T1391" s="45">
        <v>0</v>
      </c>
      <c r="U1391" s="45">
        <v>1397</v>
      </c>
      <c r="V1391" s="45">
        <v>0</v>
      </c>
      <c r="W1391" s="45">
        <v>0</v>
      </c>
      <c r="X1391" s="45">
        <v>0</v>
      </c>
      <c r="Y1391" s="45">
        <v>0</v>
      </c>
      <c r="Z1391" s="45">
        <v>0</v>
      </c>
      <c r="AA1391" s="45">
        <v>0</v>
      </c>
      <c r="AB1391" s="45">
        <v>0</v>
      </c>
      <c r="AC1391" s="45">
        <v>0</v>
      </c>
      <c r="AD1391" s="45">
        <v>0</v>
      </c>
      <c r="AE1391" s="45">
        <v>0</v>
      </c>
      <c r="AF1391" s="45">
        <v>0</v>
      </c>
      <c r="AG1391" s="45">
        <v>0</v>
      </c>
      <c r="AH1391" s="45">
        <v>0</v>
      </c>
      <c r="AI1391" s="45">
        <v>0</v>
      </c>
      <c r="AJ1391" s="45">
        <v>0</v>
      </c>
      <c r="AK1391" s="45">
        <v>0</v>
      </c>
      <c r="AL1391" s="45">
        <v>0</v>
      </c>
      <c r="AM1391" s="57" t="str">
        <f>I1391-J1391-K1391-L1391-M1391-N1391-O1391-P1391-Q1391-R1391-S1391-T1391-U1391-V1391-W1391-X1391-Y1391-Z1391-AA1391-AB1391-AC1391-AD1391-AE1391-AF1391-AG1391+AH1391-AI1391+AJ1391+AK1391-AL1391</f>
        <v>0</v>
      </c>
      <c r="AN1391" s="45"/>
    </row>
    <row r="1392" spans="1:41">
      <c r="A1392" s="45">
        <v>1364</v>
      </c>
      <c r="B1392" s="45" t="s">
        <v>5392</v>
      </c>
      <c r="C1392" s="49" t="s">
        <v>5393</v>
      </c>
      <c r="D1392" s="53" t="s">
        <v>73</v>
      </c>
      <c r="E1392" s="45" t="s">
        <v>5349</v>
      </c>
      <c r="F1392" s="45" t="s">
        <v>5394</v>
      </c>
      <c r="G1392" s="45">
        <v>2</v>
      </c>
      <c r="H1392" s="53" t="s">
        <v>5395</v>
      </c>
      <c r="I1392" s="45">
        <v>155000</v>
      </c>
      <c r="J1392" s="45">
        <v>0</v>
      </c>
      <c r="K1392" s="45">
        <v>22000</v>
      </c>
      <c r="L1392" s="45">
        <v>0</v>
      </c>
      <c r="M1392" s="45">
        <v>0</v>
      </c>
      <c r="N1392" s="45">
        <v>0</v>
      </c>
      <c r="O1392" s="45">
        <v>0</v>
      </c>
      <c r="P1392" s="45">
        <v>0</v>
      </c>
      <c r="Q1392" s="45">
        <v>0</v>
      </c>
      <c r="R1392" s="45">
        <v>0</v>
      </c>
      <c r="S1392" s="45">
        <v>0</v>
      </c>
      <c r="T1392" s="45">
        <v>0</v>
      </c>
      <c r="U1392" s="45">
        <v>1397</v>
      </c>
      <c r="V1392" s="45">
        <v>0</v>
      </c>
      <c r="W1392" s="45">
        <v>0</v>
      </c>
      <c r="X1392" s="45">
        <v>0</v>
      </c>
      <c r="Y1392" s="45">
        <v>0</v>
      </c>
      <c r="Z1392" s="45">
        <v>0</v>
      </c>
      <c r="AA1392" s="45">
        <v>0</v>
      </c>
      <c r="AB1392" s="45">
        <v>0</v>
      </c>
      <c r="AC1392" s="45">
        <v>0</v>
      </c>
      <c r="AD1392" s="45">
        <v>0</v>
      </c>
      <c r="AE1392" s="45">
        <v>0</v>
      </c>
      <c r="AF1392" s="45">
        <v>0</v>
      </c>
      <c r="AG1392" s="45">
        <v>0</v>
      </c>
      <c r="AH1392" s="45">
        <v>0</v>
      </c>
      <c r="AI1392" s="45">
        <v>0</v>
      </c>
      <c r="AJ1392" s="45">
        <v>0</v>
      </c>
      <c r="AK1392" s="45">
        <v>0</v>
      </c>
      <c r="AL1392" s="45">
        <v>0</v>
      </c>
      <c r="AM1392" s="57" t="str">
        <f>I1392-J1392-K1392-L1392-M1392-N1392-O1392-P1392-Q1392-R1392-S1392-T1392-U1392-V1392-W1392-X1392-Y1392-Z1392-AA1392-AB1392-AC1392-AD1392-AE1392-AF1392-AG1392+AH1392-AI1392+AJ1392+AK1392-AL1392</f>
        <v>0</v>
      </c>
      <c r="AN1392" s="45"/>
    </row>
    <row r="1393" spans="1:41">
      <c r="A1393" s="45">
        <v>1365</v>
      </c>
      <c r="B1393" s="45" t="s">
        <v>5396</v>
      </c>
      <c r="C1393" s="49" t="s">
        <v>5397</v>
      </c>
      <c r="D1393" s="53" t="s">
        <v>73</v>
      </c>
      <c r="E1393" s="45" t="s">
        <v>5349</v>
      </c>
      <c r="F1393" s="45" t="s">
        <v>5398</v>
      </c>
      <c r="G1393" s="45">
        <v>2</v>
      </c>
      <c r="H1393" s="53" t="s">
        <v>5399</v>
      </c>
      <c r="I1393" s="45">
        <v>155000</v>
      </c>
      <c r="J1393" s="45">
        <v>0</v>
      </c>
      <c r="K1393" s="45">
        <v>22000</v>
      </c>
      <c r="L1393" s="45">
        <v>0</v>
      </c>
      <c r="M1393" s="45">
        <v>0</v>
      </c>
      <c r="N1393" s="45">
        <v>0</v>
      </c>
      <c r="O1393" s="45">
        <v>0</v>
      </c>
      <c r="P1393" s="45">
        <v>0</v>
      </c>
      <c r="Q1393" s="45">
        <v>0</v>
      </c>
      <c r="R1393" s="45">
        <v>0</v>
      </c>
      <c r="S1393" s="45">
        <v>0</v>
      </c>
      <c r="T1393" s="45">
        <v>0</v>
      </c>
      <c r="U1393" s="45">
        <v>1397</v>
      </c>
      <c r="V1393" s="45">
        <v>0</v>
      </c>
      <c r="W1393" s="45">
        <v>0</v>
      </c>
      <c r="X1393" s="45">
        <v>0</v>
      </c>
      <c r="Y1393" s="45">
        <v>0</v>
      </c>
      <c r="Z1393" s="45">
        <v>0</v>
      </c>
      <c r="AA1393" s="45">
        <v>0</v>
      </c>
      <c r="AB1393" s="45">
        <v>0</v>
      </c>
      <c r="AC1393" s="45">
        <v>0</v>
      </c>
      <c r="AD1393" s="45">
        <v>0</v>
      </c>
      <c r="AE1393" s="45">
        <v>0</v>
      </c>
      <c r="AF1393" s="45">
        <v>0</v>
      </c>
      <c r="AG1393" s="45">
        <v>0</v>
      </c>
      <c r="AH1393" s="45">
        <v>0</v>
      </c>
      <c r="AI1393" s="45">
        <v>0</v>
      </c>
      <c r="AJ1393" s="45">
        <v>0</v>
      </c>
      <c r="AK1393" s="45">
        <v>0</v>
      </c>
      <c r="AL1393" s="45">
        <v>0</v>
      </c>
      <c r="AM1393" s="57" t="str">
        <f>I1393-J1393-K1393-L1393-M1393-N1393-O1393-P1393-Q1393-R1393-S1393-T1393-U1393-V1393-W1393-X1393-Y1393-Z1393-AA1393-AB1393-AC1393-AD1393-AE1393-AF1393-AG1393+AH1393-AI1393+AJ1393+AK1393-AL1393</f>
        <v>0</v>
      </c>
      <c r="AN1393" s="45"/>
    </row>
    <row r="1394" spans="1:41">
      <c r="A1394" s="45">
        <v>1366</v>
      </c>
      <c r="B1394" s="45" t="s">
        <v>5400</v>
      </c>
      <c r="C1394" s="49" t="s">
        <v>5401</v>
      </c>
      <c r="D1394" s="53" t="s">
        <v>73</v>
      </c>
      <c r="E1394" s="45" t="s">
        <v>5349</v>
      </c>
      <c r="F1394" s="45" t="s">
        <v>946</v>
      </c>
      <c r="G1394" s="45">
        <v>2</v>
      </c>
      <c r="H1394" s="53" t="s">
        <v>5402</v>
      </c>
      <c r="I1394" s="45">
        <v>155000</v>
      </c>
      <c r="J1394" s="45">
        <v>0</v>
      </c>
      <c r="K1394" s="45">
        <v>22000</v>
      </c>
      <c r="L1394" s="45">
        <v>0</v>
      </c>
      <c r="M1394" s="45">
        <v>0</v>
      </c>
      <c r="N1394" s="45">
        <v>0</v>
      </c>
      <c r="O1394" s="45">
        <v>0</v>
      </c>
      <c r="P1394" s="45">
        <v>0</v>
      </c>
      <c r="Q1394" s="45">
        <v>0</v>
      </c>
      <c r="R1394" s="45">
        <v>0</v>
      </c>
      <c r="S1394" s="45">
        <v>0</v>
      </c>
      <c r="T1394" s="45">
        <v>0</v>
      </c>
      <c r="U1394" s="45">
        <v>1397</v>
      </c>
      <c r="V1394" s="45">
        <v>0</v>
      </c>
      <c r="W1394" s="45">
        <v>0</v>
      </c>
      <c r="X1394" s="45">
        <v>0</v>
      </c>
      <c r="Y1394" s="45">
        <v>0</v>
      </c>
      <c r="Z1394" s="45">
        <v>0</v>
      </c>
      <c r="AA1394" s="45">
        <v>0</v>
      </c>
      <c r="AB1394" s="45">
        <v>0</v>
      </c>
      <c r="AC1394" s="45">
        <v>0</v>
      </c>
      <c r="AD1394" s="45">
        <v>0</v>
      </c>
      <c r="AE1394" s="45">
        <v>0</v>
      </c>
      <c r="AF1394" s="45">
        <v>0</v>
      </c>
      <c r="AG1394" s="45">
        <v>0</v>
      </c>
      <c r="AH1394" s="45">
        <v>0</v>
      </c>
      <c r="AI1394" s="45">
        <v>0</v>
      </c>
      <c r="AJ1394" s="45">
        <v>0</v>
      </c>
      <c r="AK1394" s="45">
        <v>0</v>
      </c>
      <c r="AL1394" s="45">
        <v>0</v>
      </c>
      <c r="AM1394" s="57" t="str">
        <f>I1394-J1394-K1394-L1394-M1394-N1394-O1394-P1394-Q1394-R1394-S1394-T1394-U1394-V1394-W1394-X1394-Y1394-Z1394-AA1394-AB1394-AC1394-AD1394-AE1394-AF1394-AG1394+AH1394-AI1394+AJ1394+AK1394-AL1394</f>
        <v>0</v>
      </c>
      <c r="AN1394" s="45"/>
    </row>
    <row r="1395" spans="1:41">
      <c r="A1395" s="45">
        <v>1367</v>
      </c>
      <c r="B1395" s="45" t="s">
        <v>5403</v>
      </c>
      <c r="C1395" s="49" t="s">
        <v>5404</v>
      </c>
      <c r="D1395" s="53" t="s">
        <v>73</v>
      </c>
      <c r="E1395" s="45" t="s">
        <v>5349</v>
      </c>
      <c r="F1395" s="45" t="s">
        <v>340</v>
      </c>
      <c r="G1395" s="45">
        <v>2</v>
      </c>
      <c r="H1395" s="53" t="s">
        <v>5405</v>
      </c>
      <c r="I1395" s="45">
        <v>155000</v>
      </c>
      <c r="J1395" s="45">
        <v>0</v>
      </c>
      <c r="K1395" s="45">
        <v>22000</v>
      </c>
      <c r="L1395" s="45">
        <v>0</v>
      </c>
      <c r="M1395" s="45">
        <v>0</v>
      </c>
      <c r="N1395" s="45">
        <v>0</v>
      </c>
      <c r="O1395" s="45">
        <v>0</v>
      </c>
      <c r="P1395" s="45">
        <v>0</v>
      </c>
      <c r="Q1395" s="45">
        <v>0</v>
      </c>
      <c r="R1395" s="45">
        <v>0</v>
      </c>
      <c r="S1395" s="45">
        <v>0</v>
      </c>
      <c r="T1395" s="45">
        <v>0</v>
      </c>
      <c r="U1395" s="45">
        <v>1397</v>
      </c>
      <c r="V1395" s="45">
        <v>0</v>
      </c>
      <c r="W1395" s="45">
        <v>0</v>
      </c>
      <c r="X1395" s="45">
        <v>0</v>
      </c>
      <c r="Y1395" s="45">
        <v>0</v>
      </c>
      <c r="Z1395" s="45">
        <v>0</v>
      </c>
      <c r="AA1395" s="45">
        <v>0</v>
      </c>
      <c r="AB1395" s="45">
        <v>0</v>
      </c>
      <c r="AC1395" s="45">
        <v>0</v>
      </c>
      <c r="AD1395" s="45">
        <v>0</v>
      </c>
      <c r="AE1395" s="45">
        <v>0</v>
      </c>
      <c r="AF1395" s="45">
        <v>0</v>
      </c>
      <c r="AG1395" s="45">
        <v>0</v>
      </c>
      <c r="AH1395" s="45">
        <v>0</v>
      </c>
      <c r="AI1395" s="45">
        <v>0</v>
      </c>
      <c r="AJ1395" s="45">
        <v>0</v>
      </c>
      <c r="AK1395" s="45">
        <v>0</v>
      </c>
      <c r="AL1395" s="45">
        <v>0</v>
      </c>
      <c r="AM1395" s="57" t="str">
        <f>I1395-J1395-K1395-L1395-M1395-N1395-O1395-P1395-Q1395-R1395-S1395-T1395-U1395-V1395-W1395-X1395-Y1395-Z1395-AA1395-AB1395-AC1395-AD1395-AE1395-AF1395-AG1395+AH1395-AI1395+AJ1395+AK1395-AL1395</f>
        <v>0</v>
      </c>
      <c r="AN1395" s="45"/>
    </row>
    <row r="1396" spans="1:41">
      <c r="A1396" s="45">
        <v>1368</v>
      </c>
      <c r="B1396" s="45" t="s">
        <v>5406</v>
      </c>
      <c r="C1396" s="49" t="s">
        <v>5407</v>
      </c>
      <c r="D1396" s="53" t="s">
        <v>73</v>
      </c>
      <c r="E1396" s="45" t="s">
        <v>5349</v>
      </c>
      <c r="F1396" s="45" t="s">
        <v>1751</v>
      </c>
      <c r="G1396" s="45">
        <v>2</v>
      </c>
      <c r="H1396" s="53" t="s">
        <v>5408</v>
      </c>
      <c r="I1396" s="45">
        <v>155000</v>
      </c>
      <c r="J1396" s="45">
        <v>0</v>
      </c>
      <c r="K1396" s="45">
        <v>22000</v>
      </c>
      <c r="L1396" s="45">
        <v>0</v>
      </c>
      <c r="M1396" s="45">
        <v>0</v>
      </c>
      <c r="N1396" s="45">
        <v>0</v>
      </c>
      <c r="O1396" s="45">
        <v>0</v>
      </c>
      <c r="P1396" s="45">
        <v>0</v>
      </c>
      <c r="Q1396" s="45">
        <v>0</v>
      </c>
      <c r="R1396" s="45">
        <v>0</v>
      </c>
      <c r="S1396" s="45">
        <v>0</v>
      </c>
      <c r="T1396" s="45">
        <v>0</v>
      </c>
      <c r="U1396" s="45">
        <v>1397</v>
      </c>
      <c r="V1396" s="45">
        <v>0</v>
      </c>
      <c r="W1396" s="45">
        <v>0</v>
      </c>
      <c r="X1396" s="45">
        <v>0</v>
      </c>
      <c r="Y1396" s="45">
        <v>0</v>
      </c>
      <c r="Z1396" s="45">
        <v>0</v>
      </c>
      <c r="AA1396" s="45">
        <v>0</v>
      </c>
      <c r="AB1396" s="45">
        <v>0</v>
      </c>
      <c r="AC1396" s="45">
        <v>0</v>
      </c>
      <c r="AD1396" s="45">
        <v>0</v>
      </c>
      <c r="AE1396" s="45">
        <v>0</v>
      </c>
      <c r="AF1396" s="45">
        <v>0</v>
      </c>
      <c r="AG1396" s="45">
        <v>0</v>
      </c>
      <c r="AH1396" s="45">
        <v>0</v>
      </c>
      <c r="AI1396" s="45">
        <v>0</v>
      </c>
      <c r="AJ1396" s="45">
        <v>0</v>
      </c>
      <c r="AK1396" s="45">
        <v>0</v>
      </c>
      <c r="AL1396" s="45">
        <v>0</v>
      </c>
      <c r="AM1396" s="57" t="str">
        <f>I1396-J1396-K1396-L1396-M1396-N1396-O1396-P1396-Q1396-R1396-S1396-T1396-U1396-V1396-W1396-X1396-Y1396-Z1396-AA1396-AB1396-AC1396-AD1396-AE1396-AF1396-AG1396+AH1396-AI1396+AJ1396+AK1396-AL1396</f>
        <v>0</v>
      </c>
      <c r="AN1396" s="45"/>
    </row>
    <row r="1397" spans="1:41">
      <c r="A1397" s="45">
        <v>1369</v>
      </c>
      <c r="B1397" s="45" t="s">
        <v>5409</v>
      </c>
      <c r="C1397" s="49" t="s">
        <v>5410</v>
      </c>
      <c r="D1397" s="53" t="s">
        <v>73</v>
      </c>
      <c r="E1397" s="45" t="s">
        <v>5349</v>
      </c>
      <c r="F1397" s="45" t="s">
        <v>1822</v>
      </c>
      <c r="G1397" s="45">
        <v>2</v>
      </c>
      <c r="H1397" s="53" t="s">
        <v>5411</v>
      </c>
      <c r="I1397" s="45">
        <v>155000</v>
      </c>
      <c r="J1397" s="45">
        <v>0</v>
      </c>
      <c r="K1397" s="45">
        <v>22000</v>
      </c>
      <c r="L1397" s="45">
        <v>0</v>
      </c>
      <c r="M1397" s="45">
        <v>0</v>
      </c>
      <c r="N1397" s="45">
        <v>0</v>
      </c>
      <c r="O1397" s="45">
        <v>0</v>
      </c>
      <c r="P1397" s="45">
        <v>0</v>
      </c>
      <c r="Q1397" s="45">
        <v>0</v>
      </c>
      <c r="R1397" s="45">
        <v>0</v>
      </c>
      <c r="S1397" s="45">
        <v>0</v>
      </c>
      <c r="T1397" s="45">
        <v>0</v>
      </c>
      <c r="U1397" s="45">
        <v>1397</v>
      </c>
      <c r="V1397" s="45">
        <v>0</v>
      </c>
      <c r="W1397" s="45">
        <v>0</v>
      </c>
      <c r="X1397" s="45">
        <v>0</v>
      </c>
      <c r="Y1397" s="45">
        <v>0</v>
      </c>
      <c r="Z1397" s="45">
        <v>0</v>
      </c>
      <c r="AA1397" s="45">
        <v>0</v>
      </c>
      <c r="AB1397" s="45">
        <v>0</v>
      </c>
      <c r="AC1397" s="45">
        <v>0</v>
      </c>
      <c r="AD1397" s="45">
        <v>0</v>
      </c>
      <c r="AE1397" s="45">
        <v>0</v>
      </c>
      <c r="AF1397" s="45">
        <v>0</v>
      </c>
      <c r="AG1397" s="45">
        <v>0</v>
      </c>
      <c r="AH1397" s="45">
        <v>0</v>
      </c>
      <c r="AI1397" s="45">
        <v>0</v>
      </c>
      <c r="AJ1397" s="45">
        <v>0</v>
      </c>
      <c r="AK1397" s="45">
        <v>0</v>
      </c>
      <c r="AL1397" s="45">
        <v>0</v>
      </c>
      <c r="AM1397" s="57" t="str">
        <f>I1397-J1397-K1397-L1397-M1397-N1397-O1397-P1397-Q1397-R1397-S1397-T1397-U1397-V1397-W1397-X1397-Y1397-Z1397-AA1397-AB1397-AC1397-AD1397-AE1397-AF1397-AG1397+AH1397-AI1397+AJ1397+AK1397-AL1397</f>
        <v>0</v>
      </c>
      <c r="AN1397" s="45"/>
    </row>
    <row r="1398" spans="1:41">
      <c r="A1398" s="45">
        <v>1370</v>
      </c>
      <c r="B1398" s="45" t="s">
        <v>5412</v>
      </c>
      <c r="C1398" s="49" t="s">
        <v>5413</v>
      </c>
      <c r="D1398" s="53" t="s">
        <v>73</v>
      </c>
      <c r="E1398" s="45" t="s">
        <v>5349</v>
      </c>
      <c r="F1398" s="45" t="s">
        <v>4483</v>
      </c>
      <c r="G1398" s="45">
        <v>2</v>
      </c>
      <c r="H1398" s="53" t="s">
        <v>5414</v>
      </c>
      <c r="I1398" s="45">
        <v>155000</v>
      </c>
      <c r="J1398" s="45">
        <v>0</v>
      </c>
      <c r="K1398" s="45">
        <v>22000</v>
      </c>
      <c r="L1398" s="45">
        <v>0</v>
      </c>
      <c r="M1398" s="45">
        <v>0</v>
      </c>
      <c r="N1398" s="45">
        <v>0</v>
      </c>
      <c r="O1398" s="45">
        <v>0</v>
      </c>
      <c r="P1398" s="45">
        <v>0</v>
      </c>
      <c r="Q1398" s="45">
        <v>0</v>
      </c>
      <c r="R1398" s="45">
        <v>0</v>
      </c>
      <c r="S1398" s="45">
        <v>0</v>
      </c>
      <c r="T1398" s="45">
        <v>0</v>
      </c>
      <c r="U1398" s="45">
        <v>1397</v>
      </c>
      <c r="V1398" s="45">
        <v>0</v>
      </c>
      <c r="W1398" s="45">
        <v>0</v>
      </c>
      <c r="X1398" s="45">
        <v>0</v>
      </c>
      <c r="Y1398" s="45">
        <v>0</v>
      </c>
      <c r="Z1398" s="45">
        <v>0</v>
      </c>
      <c r="AA1398" s="45">
        <v>0</v>
      </c>
      <c r="AB1398" s="45">
        <v>0</v>
      </c>
      <c r="AC1398" s="45">
        <v>0</v>
      </c>
      <c r="AD1398" s="45">
        <v>0</v>
      </c>
      <c r="AE1398" s="45">
        <v>0</v>
      </c>
      <c r="AF1398" s="45">
        <v>0</v>
      </c>
      <c r="AG1398" s="45">
        <v>0</v>
      </c>
      <c r="AH1398" s="45">
        <v>0</v>
      </c>
      <c r="AI1398" s="45">
        <v>0</v>
      </c>
      <c r="AJ1398" s="45">
        <v>0</v>
      </c>
      <c r="AK1398" s="45">
        <v>0</v>
      </c>
      <c r="AL1398" s="45">
        <v>0</v>
      </c>
      <c r="AM1398" s="57" t="str">
        <f>I1398-J1398-K1398-L1398-M1398-N1398-O1398-P1398-Q1398-R1398-S1398-T1398-U1398-V1398-W1398-X1398-Y1398-Z1398-AA1398-AB1398-AC1398-AD1398-AE1398-AF1398-AG1398+AH1398-AI1398+AJ1398+AK1398-AL1398</f>
        <v>0</v>
      </c>
      <c r="AN1398" s="45"/>
    </row>
    <row r="1399" spans="1:41">
      <c r="A1399" s="45">
        <v>1371</v>
      </c>
      <c r="B1399" s="45" t="s">
        <v>5415</v>
      </c>
      <c r="C1399" s="49" t="s">
        <v>5416</v>
      </c>
      <c r="D1399" s="53" t="s">
        <v>73</v>
      </c>
      <c r="E1399" s="45" t="s">
        <v>5349</v>
      </c>
      <c r="F1399" s="45" t="s">
        <v>5417</v>
      </c>
      <c r="G1399" s="45">
        <v>2</v>
      </c>
      <c r="H1399" s="53" t="s">
        <v>5418</v>
      </c>
      <c r="I1399" s="45">
        <v>155000</v>
      </c>
      <c r="J1399" s="45">
        <v>0</v>
      </c>
      <c r="K1399" s="45">
        <v>22000</v>
      </c>
      <c r="L1399" s="45">
        <v>0</v>
      </c>
      <c r="M1399" s="45">
        <v>0</v>
      </c>
      <c r="N1399" s="45">
        <v>0</v>
      </c>
      <c r="O1399" s="45">
        <v>0</v>
      </c>
      <c r="P1399" s="45">
        <v>0</v>
      </c>
      <c r="Q1399" s="45">
        <v>0</v>
      </c>
      <c r="R1399" s="45">
        <v>0</v>
      </c>
      <c r="S1399" s="45">
        <v>0</v>
      </c>
      <c r="T1399" s="45">
        <v>0</v>
      </c>
      <c r="U1399" s="45">
        <v>1397</v>
      </c>
      <c r="V1399" s="45">
        <v>0</v>
      </c>
      <c r="W1399" s="45">
        <v>0</v>
      </c>
      <c r="X1399" s="45">
        <v>0</v>
      </c>
      <c r="Y1399" s="45">
        <v>0</v>
      </c>
      <c r="Z1399" s="45">
        <v>0</v>
      </c>
      <c r="AA1399" s="45">
        <v>0</v>
      </c>
      <c r="AB1399" s="45">
        <v>0</v>
      </c>
      <c r="AC1399" s="45">
        <v>0</v>
      </c>
      <c r="AD1399" s="45">
        <v>0</v>
      </c>
      <c r="AE1399" s="45">
        <v>0</v>
      </c>
      <c r="AF1399" s="45">
        <v>0</v>
      </c>
      <c r="AG1399" s="45">
        <v>0</v>
      </c>
      <c r="AH1399" s="45">
        <v>0</v>
      </c>
      <c r="AI1399" s="45">
        <v>0</v>
      </c>
      <c r="AJ1399" s="45">
        <v>0</v>
      </c>
      <c r="AK1399" s="45">
        <v>0</v>
      </c>
      <c r="AL1399" s="45">
        <v>0</v>
      </c>
      <c r="AM1399" s="57" t="str">
        <f>I1399-J1399-K1399-L1399-M1399-N1399-O1399-P1399-Q1399-R1399-S1399-T1399-U1399-V1399-W1399-X1399-Y1399-Z1399-AA1399-AB1399-AC1399-AD1399-AE1399-AF1399-AG1399+AH1399-AI1399+AJ1399+AK1399-AL1399</f>
        <v>0</v>
      </c>
      <c r="AN1399" s="45"/>
    </row>
    <row r="1400" spans="1:41">
      <c r="A1400" s="45">
        <v>1372</v>
      </c>
      <c r="B1400" s="45" t="s">
        <v>5419</v>
      </c>
      <c r="C1400" s="49" t="s">
        <v>5420</v>
      </c>
      <c r="D1400" s="53" t="s">
        <v>73</v>
      </c>
      <c r="E1400" s="45" t="s">
        <v>5349</v>
      </c>
      <c r="F1400" s="45" t="s">
        <v>1646</v>
      </c>
      <c r="G1400" s="45">
        <v>2</v>
      </c>
      <c r="H1400" s="53" t="s">
        <v>5421</v>
      </c>
      <c r="I1400" s="45">
        <v>155000</v>
      </c>
      <c r="J1400" s="45">
        <v>0</v>
      </c>
      <c r="K1400" s="45">
        <v>22000</v>
      </c>
      <c r="L1400" s="45">
        <v>0</v>
      </c>
      <c r="M1400" s="45">
        <v>0</v>
      </c>
      <c r="N1400" s="45">
        <v>0</v>
      </c>
      <c r="O1400" s="45">
        <v>0</v>
      </c>
      <c r="P1400" s="45">
        <v>0</v>
      </c>
      <c r="Q1400" s="45">
        <v>0</v>
      </c>
      <c r="R1400" s="45">
        <v>0</v>
      </c>
      <c r="S1400" s="45">
        <v>0</v>
      </c>
      <c r="T1400" s="45">
        <v>0</v>
      </c>
      <c r="U1400" s="45">
        <v>1397</v>
      </c>
      <c r="V1400" s="45">
        <v>0</v>
      </c>
      <c r="W1400" s="45">
        <v>0</v>
      </c>
      <c r="X1400" s="45">
        <v>0</v>
      </c>
      <c r="Y1400" s="45">
        <v>0</v>
      </c>
      <c r="Z1400" s="45">
        <v>0</v>
      </c>
      <c r="AA1400" s="45">
        <v>0</v>
      </c>
      <c r="AB1400" s="45">
        <v>0</v>
      </c>
      <c r="AC1400" s="45">
        <v>0</v>
      </c>
      <c r="AD1400" s="45">
        <v>0</v>
      </c>
      <c r="AE1400" s="45">
        <v>0</v>
      </c>
      <c r="AF1400" s="45">
        <v>0</v>
      </c>
      <c r="AG1400" s="45">
        <v>0</v>
      </c>
      <c r="AH1400" s="45">
        <v>0</v>
      </c>
      <c r="AI1400" s="45">
        <v>0</v>
      </c>
      <c r="AJ1400" s="45">
        <v>0</v>
      </c>
      <c r="AK1400" s="45">
        <v>0</v>
      </c>
      <c r="AL1400" s="45">
        <v>0</v>
      </c>
      <c r="AM1400" s="57" t="str">
        <f>I1400-J1400-K1400-L1400-M1400-N1400-O1400-P1400-Q1400-R1400-S1400-T1400-U1400-V1400-W1400-X1400-Y1400-Z1400-AA1400-AB1400-AC1400-AD1400-AE1400-AF1400-AG1400+AH1400-AI1400+AJ1400+AK1400-AL1400</f>
        <v>0</v>
      </c>
      <c r="AN1400" s="45"/>
    </row>
    <row r="1401" spans="1:41">
      <c r="A1401" s="45">
        <v>1373</v>
      </c>
      <c r="B1401" s="45" t="s">
        <v>5422</v>
      </c>
      <c r="C1401" s="49" t="s">
        <v>5423</v>
      </c>
      <c r="D1401" s="53" t="s">
        <v>73</v>
      </c>
      <c r="E1401" s="45" t="s">
        <v>5424</v>
      </c>
      <c r="F1401" s="45" t="s">
        <v>254</v>
      </c>
      <c r="G1401" s="45">
        <v>2</v>
      </c>
      <c r="H1401" s="53" t="s">
        <v>5425</v>
      </c>
      <c r="I1401" s="45">
        <v>155000</v>
      </c>
      <c r="J1401" s="45">
        <v>0</v>
      </c>
      <c r="K1401" s="45">
        <v>22000</v>
      </c>
      <c r="L1401" s="45">
        <v>0</v>
      </c>
      <c r="M1401" s="45">
        <v>0</v>
      </c>
      <c r="N1401" s="45">
        <v>0</v>
      </c>
      <c r="O1401" s="45">
        <v>0</v>
      </c>
      <c r="P1401" s="45">
        <v>0</v>
      </c>
      <c r="Q1401" s="45">
        <v>0</v>
      </c>
      <c r="R1401" s="45">
        <v>0</v>
      </c>
      <c r="S1401" s="45">
        <v>0</v>
      </c>
      <c r="T1401" s="45">
        <v>0</v>
      </c>
      <c r="U1401" s="45">
        <v>1397</v>
      </c>
      <c r="V1401" s="45">
        <v>0</v>
      </c>
      <c r="W1401" s="45">
        <v>0</v>
      </c>
      <c r="X1401" s="45">
        <v>0</v>
      </c>
      <c r="Y1401" s="45">
        <v>0</v>
      </c>
      <c r="Z1401" s="45">
        <v>0</v>
      </c>
      <c r="AA1401" s="45">
        <v>0</v>
      </c>
      <c r="AB1401" s="45">
        <v>0</v>
      </c>
      <c r="AC1401" s="45">
        <v>0</v>
      </c>
      <c r="AD1401" s="45">
        <v>0</v>
      </c>
      <c r="AE1401" s="45">
        <v>0</v>
      </c>
      <c r="AF1401" s="45">
        <v>0</v>
      </c>
      <c r="AG1401" s="45">
        <v>0</v>
      </c>
      <c r="AH1401" s="45">
        <v>0</v>
      </c>
      <c r="AI1401" s="45">
        <v>0</v>
      </c>
      <c r="AJ1401" s="45">
        <v>0</v>
      </c>
      <c r="AK1401" s="45">
        <v>0</v>
      </c>
      <c r="AL1401" s="45">
        <v>0</v>
      </c>
      <c r="AM1401" s="57" t="str">
        <f>I1401-J1401-K1401-L1401-M1401-N1401-O1401-P1401-Q1401-R1401-S1401-T1401-U1401-V1401-W1401-X1401-Y1401-Z1401-AA1401-AB1401-AC1401-AD1401-AE1401-AF1401-AG1401+AH1401-AI1401+AJ1401+AK1401-AL1401</f>
        <v>0</v>
      </c>
      <c r="AN1401" s="45"/>
    </row>
    <row r="1402" spans="1:41">
      <c r="A1402" s="45">
        <v>1374</v>
      </c>
      <c r="B1402" s="45" t="s">
        <v>5426</v>
      </c>
      <c r="C1402" s="49" t="s">
        <v>5427</v>
      </c>
      <c r="D1402" s="53" t="s">
        <v>73</v>
      </c>
      <c r="E1402" s="45" t="s">
        <v>5424</v>
      </c>
      <c r="F1402" s="45" t="s">
        <v>5428</v>
      </c>
      <c r="G1402" s="45">
        <v>2</v>
      </c>
      <c r="H1402" s="53" t="s">
        <v>5429</v>
      </c>
      <c r="I1402" s="45">
        <v>155000</v>
      </c>
      <c r="J1402" s="45">
        <v>0</v>
      </c>
      <c r="K1402" s="45">
        <v>22000</v>
      </c>
      <c r="L1402" s="45">
        <v>0</v>
      </c>
      <c r="M1402" s="45">
        <v>0</v>
      </c>
      <c r="N1402" s="45">
        <v>0</v>
      </c>
      <c r="O1402" s="45">
        <v>0</v>
      </c>
      <c r="P1402" s="45">
        <v>0</v>
      </c>
      <c r="Q1402" s="45">
        <v>0</v>
      </c>
      <c r="R1402" s="45">
        <v>0</v>
      </c>
      <c r="S1402" s="45">
        <v>0</v>
      </c>
      <c r="T1402" s="45">
        <v>0</v>
      </c>
      <c r="U1402" s="45">
        <v>1397</v>
      </c>
      <c r="V1402" s="45">
        <v>0</v>
      </c>
      <c r="W1402" s="45">
        <v>0</v>
      </c>
      <c r="X1402" s="45">
        <v>0</v>
      </c>
      <c r="Y1402" s="45">
        <v>0</v>
      </c>
      <c r="Z1402" s="45">
        <v>0</v>
      </c>
      <c r="AA1402" s="45">
        <v>0</v>
      </c>
      <c r="AB1402" s="45">
        <v>0</v>
      </c>
      <c r="AC1402" s="45">
        <v>0</v>
      </c>
      <c r="AD1402" s="45">
        <v>0</v>
      </c>
      <c r="AE1402" s="45">
        <v>0</v>
      </c>
      <c r="AF1402" s="45">
        <v>0</v>
      </c>
      <c r="AG1402" s="45">
        <v>0</v>
      </c>
      <c r="AH1402" s="45">
        <v>0</v>
      </c>
      <c r="AI1402" s="45">
        <v>0</v>
      </c>
      <c r="AJ1402" s="45">
        <v>0</v>
      </c>
      <c r="AK1402" s="45">
        <v>0</v>
      </c>
      <c r="AL1402" s="45">
        <v>0</v>
      </c>
      <c r="AM1402" s="57" t="str">
        <f>I1402-J1402-K1402-L1402-M1402-N1402-O1402-P1402-Q1402-R1402-S1402-T1402-U1402-V1402-W1402-X1402-Y1402-Z1402-AA1402-AB1402-AC1402-AD1402-AE1402-AF1402-AG1402+AH1402-AI1402+AJ1402+AK1402-AL1402</f>
        <v>0</v>
      </c>
      <c r="AN1402" s="45"/>
    </row>
    <row r="1403" spans="1:41">
      <c r="A1403" s="45">
        <v>1375</v>
      </c>
      <c r="B1403" s="45" t="s">
        <v>5430</v>
      </c>
      <c r="C1403" s="49" t="s">
        <v>5431</v>
      </c>
      <c r="D1403" s="53" t="s">
        <v>73</v>
      </c>
      <c r="E1403" s="45" t="s">
        <v>5424</v>
      </c>
      <c r="F1403" s="45" t="s">
        <v>5432</v>
      </c>
      <c r="G1403" s="45">
        <v>2</v>
      </c>
      <c r="H1403" s="53" t="s">
        <v>5433</v>
      </c>
      <c r="I1403" s="45">
        <v>155000</v>
      </c>
      <c r="J1403" s="45">
        <v>0</v>
      </c>
      <c r="K1403" s="45">
        <v>22000</v>
      </c>
      <c r="L1403" s="45">
        <v>0</v>
      </c>
      <c r="M1403" s="45">
        <v>0</v>
      </c>
      <c r="N1403" s="45">
        <v>0</v>
      </c>
      <c r="O1403" s="45">
        <v>0</v>
      </c>
      <c r="P1403" s="45">
        <v>0</v>
      </c>
      <c r="Q1403" s="45">
        <v>0</v>
      </c>
      <c r="R1403" s="45">
        <v>0</v>
      </c>
      <c r="S1403" s="45">
        <v>0</v>
      </c>
      <c r="T1403" s="45">
        <v>0</v>
      </c>
      <c r="U1403" s="45">
        <v>1397</v>
      </c>
      <c r="V1403" s="45">
        <v>0</v>
      </c>
      <c r="W1403" s="45">
        <v>0</v>
      </c>
      <c r="X1403" s="45">
        <v>0</v>
      </c>
      <c r="Y1403" s="45">
        <v>0</v>
      </c>
      <c r="Z1403" s="45">
        <v>0</v>
      </c>
      <c r="AA1403" s="45">
        <v>0</v>
      </c>
      <c r="AB1403" s="45">
        <v>0</v>
      </c>
      <c r="AC1403" s="45">
        <v>0</v>
      </c>
      <c r="AD1403" s="45">
        <v>0</v>
      </c>
      <c r="AE1403" s="45">
        <v>0</v>
      </c>
      <c r="AF1403" s="45">
        <v>0</v>
      </c>
      <c r="AG1403" s="45">
        <v>0</v>
      </c>
      <c r="AH1403" s="45">
        <v>0</v>
      </c>
      <c r="AI1403" s="45">
        <v>0</v>
      </c>
      <c r="AJ1403" s="45">
        <v>0</v>
      </c>
      <c r="AK1403" s="45">
        <v>0</v>
      </c>
      <c r="AL1403" s="45">
        <v>0</v>
      </c>
      <c r="AM1403" s="57" t="str">
        <f>I1403-J1403-K1403-L1403-M1403-N1403-O1403-P1403-Q1403-R1403-S1403-T1403-U1403-V1403-W1403-X1403-Y1403-Z1403-AA1403-AB1403-AC1403-AD1403-AE1403-AF1403-AG1403+AH1403-AI1403+AJ1403+AK1403-AL1403</f>
        <v>0</v>
      </c>
      <c r="AN1403" s="45"/>
    </row>
    <row r="1404" spans="1:41">
      <c r="A1404" s="45">
        <v>1376</v>
      </c>
      <c r="B1404" s="45" t="s">
        <v>5434</v>
      </c>
      <c r="C1404" s="49" t="s">
        <v>5435</v>
      </c>
      <c r="D1404" s="53" t="s">
        <v>62</v>
      </c>
      <c r="E1404" s="45" t="s">
        <v>5424</v>
      </c>
      <c r="F1404" s="45" t="s">
        <v>5436</v>
      </c>
      <c r="G1404" s="45">
        <v>2.6</v>
      </c>
      <c r="H1404" s="53" t="s">
        <v>5437</v>
      </c>
      <c r="I1404" s="45">
        <v>0</v>
      </c>
      <c r="J1404" s="45">
        <v>0</v>
      </c>
      <c r="K1404" s="45">
        <v>22000</v>
      </c>
      <c r="L1404" s="45">
        <v>0</v>
      </c>
      <c r="M1404" s="45">
        <v>0</v>
      </c>
      <c r="N1404" s="45">
        <v>0</v>
      </c>
      <c r="O1404" s="45">
        <v>0</v>
      </c>
      <c r="P1404" s="45">
        <v>0</v>
      </c>
      <c r="Q1404" s="45">
        <v>0</v>
      </c>
      <c r="R1404" s="45">
        <v>0</v>
      </c>
      <c r="S1404" s="45">
        <v>0</v>
      </c>
      <c r="T1404" s="45">
        <v>0</v>
      </c>
      <c r="U1404" s="45">
        <v>1397</v>
      </c>
      <c r="V1404" s="45">
        <v>0</v>
      </c>
      <c r="W1404" s="45">
        <v>0</v>
      </c>
      <c r="X1404" s="45">
        <v>0</v>
      </c>
      <c r="Y1404" s="45">
        <v>5000</v>
      </c>
      <c r="Z1404" s="45">
        <v>0</v>
      </c>
      <c r="AA1404" s="45">
        <v>0</v>
      </c>
      <c r="AB1404" s="45">
        <v>0</v>
      </c>
      <c r="AC1404" s="45">
        <v>0</v>
      </c>
      <c r="AD1404" s="45">
        <v>0</v>
      </c>
      <c r="AE1404" s="45">
        <v>0</v>
      </c>
      <c r="AF1404" s="45">
        <v>0</v>
      </c>
      <c r="AG1404" s="45">
        <v>0</v>
      </c>
      <c r="AH1404" s="45">
        <v>0</v>
      </c>
      <c r="AI1404" s="45">
        <v>0</v>
      </c>
      <c r="AJ1404" s="45">
        <v>0</v>
      </c>
      <c r="AK1404" s="45">
        <v>0</v>
      </c>
      <c r="AL1404" s="45">
        <v>0</v>
      </c>
      <c r="AM1404" s="57" t="str">
        <f>I1404-J1404-K1404-L1404-M1404-N1404-O1404-P1404-Q1404-R1404-S1404-T1404-U1404-V1404-W1404-X1404-Y1404-Z1404-AA1404-AB1404-AC1404-AD1404-AE1404-AF1404-AG1404+AH1404-AI1404+AJ1404+AK1404-AL1404</f>
        <v>0</v>
      </c>
      <c r="AN1404" s="45"/>
    </row>
    <row r="1405" spans="1:41">
      <c r="A1405" s="45">
        <v>1377</v>
      </c>
      <c r="B1405" s="45" t="s">
        <v>5438</v>
      </c>
      <c r="C1405" s="49" t="s">
        <v>5439</v>
      </c>
      <c r="D1405" s="53" t="s">
        <v>62</v>
      </c>
      <c r="E1405" s="45" t="s">
        <v>5424</v>
      </c>
      <c r="F1405" s="45" t="s">
        <v>5440</v>
      </c>
      <c r="G1405" s="45">
        <v>2</v>
      </c>
      <c r="H1405" s="53" t="s">
        <v>5441</v>
      </c>
      <c r="I1405" s="45">
        <v>0</v>
      </c>
      <c r="J1405" s="45">
        <v>0</v>
      </c>
      <c r="K1405" s="45">
        <v>22000</v>
      </c>
      <c r="L1405" s="45">
        <v>0</v>
      </c>
      <c r="M1405" s="45">
        <v>0</v>
      </c>
      <c r="N1405" s="45">
        <v>0</v>
      </c>
      <c r="O1405" s="45">
        <v>0</v>
      </c>
      <c r="P1405" s="45">
        <v>0</v>
      </c>
      <c r="Q1405" s="45">
        <v>0</v>
      </c>
      <c r="R1405" s="45">
        <v>0</v>
      </c>
      <c r="S1405" s="45">
        <v>0</v>
      </c>
      <c r="T1405" s="45">
        <v>0</v>
      </c>
      <c r="U1405" s="45">
        <v>1397</v>
      </c>
      <c r="V1405" s="45">
        <v>0</v>
      </c>
      <c r="W1405" s="45">
        <v>0</v>
      </c>
      <c r="X1405" s="45">
        <v>0</v>
      </c>
      <c r="Y1405" s="45">
        <v>5000</v>
      </c>
      <c r="Z1405" s="45">
        <v>0</v>
      </c>
      <c r="AA1405" s="45">
        <v>0</v>
      </c>
      <c r="AB1405" s="45">
        <v>0</v>
      </c>
      <c r="AC1405" s="45">
        <v>0</v>
      </c>
      <c r="AD1405" s="45">
        <v>0</v>
      </c>
      <c r="AE1405" s="45">
        <v>0</v>
      </c>
      <c r="AF1405" s="45">
        <v>0</v>
      </c>
      <c r="AG1405" s="45">
        <v>0</v>
      </c>
      <c r="AH1405" s="45">
        <v>0</v>
      </c>
      <c r="AI1405" s="45">
        <v>0</v>
      </c>
      <c r="AJ1405" s="45">
        <v>0</v>
      </c>
      <c r="AK1405" s="45">
        <v>0</v>
      </c>
      <c r="AL1405" s="45">
        <v>0</v>
      </c>
      <c r="AM1405" s="57" t="str">
        <f>I1405-J1405-K1405-L1405-M1405-N1405-O1405-P1405-Q1405-R1405-S1405-T1405-U1405-V1405-W1405-X1405-Y1405-Z1405-AA1405-AB1405-AC1405-AD1405-AE1405-AF1405-AG1405+AH1405-AI1405+AJ1405+AK1405-AL1405</f>
        <v>0</v>
      </c>
      <c r="AN1405" s="45"/>
    </row>
    <row r="1406" spans="1:41">
      <c r="A1406" s="45">
        <v>1378</v>
      </c>
      <c r="B1406" s="45" t="s">
        <v>5442</v>
      </c>
      <c r="C1406" s="49" t="s">
        <v>5443</v>
      </c>
      <c r="D1406" s="53" t="s">
        <v>73</v>
      </c>
      <c r="E1406" s="45" t="s">
        <v>5424</v>
      </c>
      <c r="F1406" s="45" t="s">
        <v>3785</v>
      </c>
      <c r="G1406" s="45">
        <v>2</v>
      </c>
      <c r="H1406" s="53" t="s">
        <v>5444</v>
      </c>
      <c r="I1406" s="45">
        <v>155000</v>
      </c>
      <c r="J1406" s="45">
        <v>0</v>
      </c>
      <c r="K1406" s="45">
        <v>22000</v>
      </c>
      <c r="L1406" s="45">
        <v>0</v>
      </c>
      <c r="M1406" s="45">
        <v>0</v>
      </c>
      <c r="N1406" s="45">
        <v>0</v>
      </c>
      <c r="O1406" s="45">
        <v>0</v>
      </c>
      <c r="P1406" s="45">
        <v>0</v>
      </c>
      <c r="Q1406" s="45">
        <v>0</v>
      </c>
      <c r="R1406" s="45">
        <v>0</v>
      </c>
      <c r="S1406" s="45">
        <v>0</v>
      </c>
      <c r="T1406" s="45">
        <v>0</v>
      </c>
      <c r="U1406" s="45">
        <v>1397</v>
      </c>
      <c r="V1406" s="45">
        <v>0</v>
      </c>
      <c r="W1406" s="45">
        <v>0</v>
      </c>
      <c r="X1406" s="45">
        <v>0</v>
      </c>
      <c r="Y1406" s="45">
        <v>0</v>
      </c>
      <c r="Z1406" s="45">
        <v>0</v>
      </c>
      <c r="AA1406" s="45">
        <v>0</v>
      </c>
      <c r="AB1406" s="45">
        <v>0</v>
      </c>
      <c r="AC1406" s="45">
        <v>0</v>
      </c>
      <c r="AD1406" s="45">
        <v>0</v>
      </c>
      <c r="AE1406" s="45">
        <v>0</v>
      </c>
      <c r="AF1406" s="45">
        <v>0</v>
      </c>
      <c r="AG1406" s="45">
        <v>0</v>
      </c>
      <c r="AH1406" s="45">
        <v>0</v>
      </c>
      <c r="AI1406" s="45">
        <v>0</v>
      </c>
      <c r="AJ1406" s="45">
        <v>0</v>
      </c>
      <c r="AK1406" s="45">
        <v>0</v>
      </c>
      <c r="AL1406" s="45">
        <v>0</v>
      </c>
      <c r="AM1406" s="57" t="str">
        <f>I1406-J1406-K1406-L1406-M1406-N1406-O1406-P1406-Q1406-R1406-S1406-T1406-U1406-V1406-W1406-X1406-Y1406-Z1406-AA1406-AB1406-AC1406-AD1406-AE1406-AF1406-AG1406+AH1406-AI1406+AJ1406+AK1406-AL1406</f>
        <v>0</v>
      </c>
      <c r="AN1406" s="45"/>
    </row>
    <row r="1407" spans="1:41">
      <c r="A1407" s="45">
        <v>1379</v>
      </c>
      <c r="B1407" s="45" t="s">
        <v>5445</v>
      </c>
      <c r="C1407" s="49" t="s">
        <v>5446</v>
      </c>
      <c r="D1407" s="53" t="s">
        <v>73</v>
      </c>
      <c r="E1407" s="45" t="s">
        <v>5424</v>
      </c>
      <c r="F1407" s="45" t="s">
        <v>5447</v>
      </c>
      <c r="G1407" s="45">
        <v>2</v>
      </c>
      <c r="H1407" s="53" t="s">
        <v>5448</v>
      </c>
      <c r="I1407" s="45">
        <v>155000</v>
      </c>
      <c r="J1407" s="45">
        <v>0</v>
      </c>
      <c r="K1407" s="45">
        <v>22000</v>
      </c>
      <c r="L1407" s="45">
        <v>0</v>
      </c>
      <c r="M1407" s="45">
        <v>0</v>
      </c>
      <c r="N1407" s="45">
        <v>0</v>
      </c>
      <c r="O1407" s="45">
        <v>0</v>
      </c>
      <c r="P1407" s="45">
        <v>0</v>
      </c>
      <c r="Q1407" s="45">
        <v>0</v>
      </c>
      <c r="R1407" s="45">
        <v>0</v>
      </c>
      <c r="S1407" s="45">
        <v>0</v>
      </c>
      <c r="T1407" s="45">
        <v>0</v>
      </c>
      <c r="U1407" s="45">
        <v>1397</v>
      </c>
      <c r="V1407" s="45">
        <v>0</v>
      </c>
      <c r="W1407" s="45">
        <v>0</v>
      </c>
      <c r="X1407" s="45">
        <v>0</v>
      </c>
      <c r="Y1407" s="45">
        <v>0</v>
      </c>
      <c r="Z1407" s="45">
        <v>0</v>
      </c>
      <c r="AA1407" s="45">
        <v>0</v>
      </c>
      <c r="AB1407" s="45">
        <v>0</v>
      </c>
      <c r="AC1407" s="45">
        <v>0</v>
      </c>
      <c r="AD1407" s="45">
        <v>0</v>
      </c>
      <c r="AE1407" s="45">
        <v>0</v>
      </c>
      <c r="AF1407" s="45">
        <v>0</v>
      </c>
      <c r="AG1407" s="45">
        <v>0</v>
      </c>
      <c r="AH1407" s="45">
        <v>0</v>
      </c>
      <c r="AI1407" s="45">
        <v>0</v>
      </c>
      <c r="AJ1407" s="45">
        <v>0</v>
      </c>
      <c r="AK1407" s="45">
        <v>0</v>
      </c>
      <c r="AL1407" s="45">
        <v>0</v>
      </c>
      <c r="AM1407" s="57" t="str">
        <f>I1407-J1407-K1407-L1407-M1407-N1407-O1407-P1407-Q1407-R1407-S1407-T1407-U1407-V1407-W1407-X1407-Y1407-Z1407-AA1407-AB1407-AC1407-AD1407-AE1407-AF1407-AG1407+AH1407-AI1407+AJ1407+AK1407-AL1407</f>
        <v>0</v>
      </c>
      <c r="AN1407" s="45"/>
    </row>
    <row r="1408" spans="1:41">
      <c r="A1408" s="45">
        <v>1380</v>
      </c>
      <c r="B1408" s="45" t="s">
        <v>5449</v>
      </c>
      <c r="C1408" s="49" t="s">
        <v>5450</v>
      </c>
      <c r="D1408" s="53" t="s">
        <v>73</v>
      </c>
      <c r="E1408" s="45" t="s">
        <v>5424</v>
      </c>
      <c r="F1408" s="45" t="s">
        <v>5451</v>
      </c>
      <c r="G1408" s="45">
        <v>2</v>
      </c>
      <c r="H1408" s="53" t="s">
        <v>5452</v>
      </c>
      <c r="I1408" s="45">
        <v>155000</v>
      </c>
      <c r="J1408" s="45">
        <v>0</v>
      </c>
      <c r="K1408" s="45">
        <v>22000</v>
      </c>
      <c r="L1408" s="45">
        <v>0</v>
      </c>
      <c r="M1408" s="45">
        <v>0</v>
      </c>
      <c r="N1408" s="45">
        <v>0</v>
      </c>
      <c r="O1408" s="45">
        <v>0</v>
      </c>
      <c r="P1408" s="45">
        <v>0</v>
      </c>
      <c r="Q1408" s="45">
        <v>0</v>
      </c>
      <c r="R1408" s="45">
        <v>0</v>
      </c>
      <c r="S1408" s="45">
        <v>0</v>
      </c>
      <c r="T1408" s="45">
        <v>0</v>
      </c>
      <c r="U1408" s="45">
        <v>1397</v>
      </c>
      <c r="V1408" s="45">
        <v>0</v>
      </c>
      <c r="W1408" s="45">
        <v>0</v>
      </c>
      <c r="X1408" s="45">
        <v>0</v>
      </c>
      <c r="Y1408" s="45">
        <v>0</v>
      </c>
      <c r="Z1408" s="45">
        <v>0</v>
      </c>
      <c r="AA1408" s="45">
        <v>0</v>
      </c>
      <c r="AB1408" s="45">
        <v>0</v>
      </c>
      <c r="AC1408" s="45">
        <v>0</v>
      </c>
      <c r="AD1408" s="45">
        <v>0</v>
      </c>
      <c r="AE1408" s="45">
        <v>0</v>
      </c>
      <c r="AF1408" s="45">
        <v>0</v>
      </c>
      <c r="AG1408" s="45">
        <v>0</v>
      </c>
      <c r="AH1408" s="45">
        <v>0</v>
      </c>
      <c r="AI1408" s="45">
        <v>0</v>
      </c>
      <c r="AJ1408" s="45">
        <v>0</v>
      </c>
      <c r="AK1408" s="45">
        <v>0</v>
      </c>
      <c r="AL1408" s="45">
        <v>0</v>
      </c>
      <c r="AM1408" s="57" t="str">
        <f>I1408-J1408-K1408-L1408-M1408-N1408-O1408-P1408-Q1408-R1408-S1408-T1408-U1408-V1408-W1408-X1408-Y1408-Z1408-AA1408-AB1408-AC1408-AD1408-AE1408-AF1408-AG1408+AH1408-AI1408+AJ1408+AK1408-AL1408</f>
        <v>0</v>
      </c>
      <c r="AN1408" s="45"/>
    </row>
    <row r="1409" spans="1:41">
      <c r="A1409" s="45">
        <v>1381</v>
      </c>
      <c r="B1409" s="45" t="s">
        <v>5453</v>
      </c>
      <c r="C1409" s="49" t="s">
        <v>5454</v>
      </c>
      <c r="D1409" s="53" t="s">
        <v>73</v>
      </c>
      <c r="E1409" s="45" t="s">
        <v>5424</v>
      </c>
      <c r="F1409" s="45" t="s">
        <v>5455</v>
      </c>
      <c r="G1409" s="45">
        <v>2</v>
      </c>
      <c r="H1409" s="53" t="s">
        <v>5456</v>
      </c>
      <c r="I1409" s="45">
        <v>155000</v>
      </c>
      <c r="J1409" s="45">
        <v>0</v>
      </c>
      <c r="K1409" s="45">
        <v>22000</v>
      </c>
      <c r="L1409" s="45">
        <v>0</v>
      </c>
      <c r="M1409" s="45">
        <v>0</v>
      </c>
      <c r="N1409" s="45">
        <v>0</v>
      </c>
      <c r="O1409" s="45">
        <v>0</v>
      </c>
      <c r="P1409" s="45">
        <v>0</v>
      </c>
      <c r="Q1409" s="45">
        <v>0</v>
      </c>
      <c r="R1409" s="45">
        <v>0</v>
      </c>
      <c r="S1409" s="45">
        <v>0</v>
      </c>
      <c r="T1409" s="45">
        <v>0</v>
      </c>
      <c r="U1409" s="45">
        <v>1397</v>
      </c>
      <c r="V1409" s="45">
        <v>0</v>
      </c>
      <c r="W1409" s="45">
        <v>0</v>
      </c>
      <c r="X1409" s="45">
        <v>0</v>
      </c>
      <c r="Y1409" s="45">
        <v>0</v>
      </c>
      <c r="Z1409" s="45">
        <v>0</v>
      </c>
      <c r="AA1409" s="45">
        <v>0</v>
      </c>
      <c r="AB1409" s="45">
        <v>0</v>
      </c>
      <c r="AC1409" s="45">
        <v>0</v>
      </c>
      <c r="AD1409" s="45">
        <v>0</v>
      </c>
      <c r="AE1409" s="45">
        <v>0</v>
      </c>
      <c r="AF1409" s="45">
        <v>0</v>
      </c>
      <c r="AG1409" s="45">
        <v>0</v>
      </c>
      <c r="AH1409" s="45">
        <v>0</v>
      </c>
      <c r="AI1409" s="45">
        <v>0</v>
      </c>
      <c r="AJ1409" s="45">
        <v>0</v>
      </c>
      <c r="AK1409" s="45">
        <v>0</v>
      </c>
      <c r="AL1409" s="45">
        <v>0</v>
      </c>
      <c r="AM1409" s="57" t="str">
        <f>I1409-J1409-K1409-L1409-M1409-N1409-O1409-P1409-Q1409-R1409-S1409-T1409-U1409-V1409-W1409-X1409-Y1409-Z1409-AA1409-AB1409-AC1409-AD1409-AE1409-AF1409-AG1409+AH1409-AI1409+AJ1409+AK1409-AL1409</f>
        <v>0</v>
      </c>
      <c r="AN1409" s="45"/>
    </row>
    <row r="1410" spans="1:41">
      <c r="A1410" s="45">
        <v>1382</v>
      </c>
      <c r="B1410" s="45" t="s">
        <v>5457</v>
      </c>
      <c r="C1410" s="49" t="s">
        <v>5458</v>
      </c>
      <c r="D1410" s="53" t="s">
        <v>73</v>
      </c>
      <c r="E1410" s="45" t="s">
        <v>5424</v>
      </c>
      <c r="F1410" s="45" t="s">
        <v>5459</v>
      </c>
      <c r="G1410" s="45">
        <v>2</v>
      </c>
      <c r="H1410" s="53" t="s">
        <v>5460</v>
      </c>
      <c r="I1410" s="45">
        <v>155000</v>
      </c>
      <c r="J1410" s="45">
        <v>0</v>
      </c>
      <c r="K1410" s="45">
        <v>22000</v>
      </c>
      <c r="L1410" s="45">
        <v>0</v>
      </c>
      <c r="M1410" s="45">
        <v>0</v>
      </c>
      <c r="N1410" s="45">
        <v>0</v>
      </c>
      <c r="O1410" s="45">
        <v>0</v>
      </c>
      <c r="P1410" s="45">
        <v>0</v>
      </c>
      <c r="Q1410" s="45">
        <v>0</v>
      </c>
      <c r="R1410" s="45">
        <v>0</v>
      </c>
      <c r="S1410" s="45">
        <v>0</v>
      </c>
      <c r="T1410" s="45">
        <v>0</v>
      </c>
      <c r="U1410" s="45">
        <v>1397</v>
      </c>
      <c r="V1410" s="45">
        <v>0</v>
      </c>
      <c r="W1410" s="45">
        <v>0</v>
      </c>
      <c r="X1410" s="45">
        <v>0</v>
      </c>
      <c r="Y1410" s="45">
        <v>0</v>
      </c>
      <c r="Z1410" s="45">
        <v>0</v>
      </c>
      <c r="AA1410" s="45">
        <v>0</v>
      </c>
      <c r="AB1410" s="45">
        <v>0</v>
      </c>
      <c r="AC1410" s="45">
        <v>0</v>
      </c>
      <c r="AD1410" s="45">
        <v>0</v>
      </c>
      <c r="AE1410" s="45">
        <v>0</v>
      </c>
      <c r="AF1410" s="45">
        <v>0</v>
      </c>
      <c r="AG1410" s="45">
        <v>0</v>
      </c>
      <c r="AH1410" s="45">
        <v>0</v>
      </c>
      <c r="AI1410" s="45">
        <v>0</v>
      </c>
      <c r="AJ1410" s="45">
        <v>0</v>
      </c>
      <c r="AK1410" s="45">
        <v>0</v>
      </c>
      <c r="AL1410" s="45">
        <v>0</v>
      </c>
      <c r="AM1410" s="57" t="str">
        <f>I1410-J1410-K1410-L1410-M1410-N1410-O1410-P1410-Q1410-R1410-S1410-T1410-U1410-V1410-W1410-X1410-Y1410-Z1410-AA1410-AB1410-AC1410-AD1410-AE1410-AF1410-AG1410+AH1410-AI1410+AJ1410+AK1410-AL1410</f>
        <v>0</v>
      </c>
      <c r="AN1410" s="45"/>
    </row>
    <row r="1411" spans="1:41">
      <c r="A1411" s="45">
        <v>1383</v>
      </c>
      <c r="B1411" s="45" t="s">
        <v>5461</v>
      </c>
      <c r="C1411" s="49" t="s">
        <v>5462</v>
      </c>
      <c r="D1411" s="53" t="s">
        <v>73</v>
      </c>
      <c r="E1411" s="45" t="s">
        <v>5424</v>
      </c>
      <c r="F1411" s="45" t="s">
        <v>3153</v>
      </c>
      <c r="G1411" s="45">
        <v>2</v>
      </c>
      <c r="H1411" s="53" t="s">
        <v>5463</v>
      </c>
      <c r="I1411" s="45">
        <v>155000</v>
      </c>
      <c r="J1411" s="45">
        <v>0</v>
      </c>
      <c r="K1411" s="45">
        <v>22000</v>
      </c>
      <c r="L1411" s="45">
        <v>0</v>
      </c>
      <c r="M1411" s="45">
        <v>0</v>
      </c>
      <c r="N1411" s="45">
        <v>0</v>
      </c>
      <c r="O1411" s="45">
        <v>0</v>
      </c>
      <c r="P1411" s="45">
        <v>0</v>
      </c>
      <c r="Q1411" s="45">
        <v>0</v>
      </c>
      <c r="R1411" s="45">
        <v>0</v>
      </c>
      <c r="S1411" s="45">
        <v>0</v>
      </c>
      <c r="T1411" s="45">
        <v>0</v>
      </c>
      <c r="U1411" s="45">
        <v>1397</v>
      </c>
      <c r="V1411" s="45">
        <v>0</v>
      </c>
      <c r="W1411" s="45">
        <v>0</v>
      </c>
      <c r="X1411" s="45">
        <v>0</v>
      </c>
      <c r="Y1411" s="45">
        <v>0</v>
      </c>
      <c r="Z1411" s="45">
        <v>0</v>
      </c>
      <c r="AA1411" s="45">
        <v>0</v>
      </c>
      <c r="AB1411" s="45">
        <v>0</v>
      </c>
      <c r="AC1411" s="45">
        <v>0</v>
      </c>
      <c r="AD1411" s="45">
        <v>0</v>
      </c>
      <c r="AE1411" s="45">
        <v>0</v>
      </c>
      <c r="AF1411" s="45">
        <v>0</v>
      </c>
      <c r="AG1411" s="45">
        <v>0</v>
      </c>
      <c r="AH1411" s="45">
        <v>0</v>
      </c>
      <c r="AI1411" s="45">
        <v>0</v>
      </c>
      <c r="AJ1411" s="45">
        <v>0</v>
      </c>
      <c r="AK1411" s="45">
        <v>0</v>
      </c>
      <c r="AL1411" s="45">
        <v>0</v>
      </c>
      <c r="AM1411" s="57" t="str">
        <f>I1411-J1411-K1411-L1411-M1411-N1411-O1411-P1411-Q1411-R1411-S1411-T1411-U1411-V1411-W1411-X1411-Y1411-Z1411-AA1411-AB1411-AC1411-AD1411-AE1411-AF1411-AG1411+AH1411-AI1411+AJ1411+AK1411-AL1411</f>
        <v>0</v>
      </c>
      <c r="AN1411" s="45"/>
    </row>
    <row r="1412" spans="1:41">
      <c r="A1412" s="45">
        <v>1384</v>
      </c>
      <c r="B1412" s="45" t="s">
        <v>5464</v>
      </c>
      <c r="C1412" s="49" t="s">
        <v>5465</v>
      </c>
      <c r="D1412" s="53" t="s">
        <v>73</v>
      </c>
      <c r="E1412" s="45" t="s">
        <v>5424</v>
      </c>
      <c r="F1412" s="45" t="s">
        <v>4019</v>
      </c>
      <c r="G1412" s="45">
        <v>2</v>
      </c>
      <c r="H1412" s="53" t="s">
        <v>5466</v>
      </c>
      <c r="I1412" s="45">
        <v>155000</v>
      </c>
      <c r="J1412" s="45">
        <v>0</v>
      </c>
      <c r="K1412" s="45">
        <v>22000</v>
      </c>
      <c r="L1412" s="45">
        <v>0</v>
      </c>
      <c r="M1412" s="45">
        <v>0</v>
      </c>
      <c r="N1412" s="45">
        <v>0</v>
      </c>
      <c r="O1412" s="45">
        <v>0</v>
      </c>
      <c r="P1412" s="45">
        <v>0</v>
      </c>
      <c r="Q1412" s="45">
        <v>0</v>
      </c>
      <c r="R1412" s="45">
        <v>0</v>
      </c>
      <c r="S1412" s="45">
        <v>0</v>
      </c>
      <c r="T1412" s="45">
        <v>0</v>
      </c>
      <c r="U1412" s="45">
        <v>1397</v>
      </c>
      <c r="V1412" s="45">
        <v>0</v>
      </c>
      <c r="W1412" s="45">
        <v>0</v>
      </c>
      <c r="X1412" s="45">
        <v>0</v>
      </c>
      <c r="Y1412" s="45">
        <v>0</v>
      </c>
      <c r="Z1412" s="45">
        <v>0</v>
      </c>
      <c r="AA1412" s="45">
        <v>0</v>
      </c>
      <c r="AB1412" s="45">
        <v>0</v>
      </c>
      <c r="AC1412" s="45">
        <v>0</v>
      </c>
      <c r="AD1412" s="45">
        <v>0</v>
      </c>
      <c r="AE1412" s="45">
        <v>0</v>
      </c>
      <c r="AF1412" s="45">
        <v>0</v>
      </c>
      <c r="AG1412" s="45">
        <v>0</v>
      </c>
      <c r="AH1412" s="45">
        <v>0</v>
      </c>
      <c r="AI1412" s="45">
        <v>0</v>
      </c>
      <c r="AJ1412" s="45">
        <v>0</v>
      </c>
      <c r="AK1412" s="45">
        <v>0</v>
      </c>
      <c r="AL1412" s="45">
        <v>0</v>
      </c>
      <c r="AM1412" s="57" t="str">
        <f>I1412-J1412-K1412-L1412-M1412-N1412-O1412-P1412-Q1412-R1412-S1412-T1412-U1412-V1412-W1412-X1412-Y1412-Z1412-AA1412-AB1412-AC1412-AD1412-AE1412-AF1412-AG1412+AH1412-AI1412+AJ1412+AK1412-AL1412</f>
        <v>0</v>
      </c>
      <c r="AN1412" s="45"/>
    </row>
    <row r="1413" spans="1:41">
      <c r="A1413" s="45">
        <v>1385</v>
      </c>
      <c r="B1413" s="45" t="s">
        <v>5467</v>
      </c>
      <c r="C1413" s="49" t="s">
        <v>5468</v>
      </c>
      <c r="D1413" s="53" t="s">
        <v>73</v>
      </c>
      <c r="E1413" s="45" t="s">
        <v>5424</v>
      </c>
      <c r="F1413" s="45" t="s">
        <v>5469</v>
      </c>
      <c r="G1413" s="45">
        <v>2</v>
      </c>
      <c r="H1413" s="53" t="s">
        <v>5470</v>
      </c>
      <c r="I1413" s="45">
        <v>155000</v>
      </c>
      <c r="J1413" s="45">
        <v>0</v>
      </c>
      <c r="K1413" s="45">
        <v>22000</v>
      </c>
      <c r="L1413" s="45">
        <v>0</v>
      </c>
      <c r="M1413" s="45">
        <v>0</v>
      </c>
      <c r="N1413" s="45">
        <v>0</v>
      </c>
      <c r="O1413" s="45">
        <v>0</v>
      </c>
      <c r="P1413" s="45">
        <v>0</v>
      </c>
      <c r="Q1413" s="45">
        <v>0</v>
      </c>
      <c r="R1413" s="45">
        <v>0</v>
      </c>
      <c r="S1413" s="45">
        <v>0</v>
      </c>
      <c r="T1413" s="45">
        <v>0</v>
      </c>
      <c r="U1413" s="45">
        <v>1397</v>
      </c>
      <c r="V1413" s="45">
        <v>0</v>
      </c>
      <c r="W1413" s="45">
        <v>0</v>
      </c>
      <c r="X1413" s="45">
        <v>0</v>
      </c>
      <c r="Y1413" s="45">
        <v>0</v>
      </c>
      <c r="Z1413" s="45">
        <v>0</v>
      </c>
      <c r="AA1413" s="45">
        <v>0</v>
      </c>
      <c r="AB1413" s="45">
        <v>0</v>
      </c>
      <c r="AC1413" s="45">
        <v>0</v>
      </c>
      <c r="AD1413" s="45">
        <v>0</v>
      </c>
      <c r="AE1413" s="45">
        <v>0</v>
      </c>
      <c r="AF1413" s="45">
        <v>0</v>
      </c>
      <c r="AG1413" s="45">
        <v>0</v>
      </c>
      <c r="AH1413" s="45">
        <v>0</v>
      </c>
      <c r="AI1413" s="45">
        <v>0</v>
      </c>
      <c r="AJ1413" s="45">
        <v>0</v>
      </c>
      <c r="AK1413" s="45">
        <v>0</v>
      </c>
      <c r="AL1413" s="45">
        <v>0</v>
      </c>
      <c r="AM1413" s="57" t="str">
        <f>I1413-J1413-K1413-L1413-M1413-N1413-O1413-P1413-Q1413-R1413-S1413-T1413-U1413-V1413-W1413-X1413-Y1413-Z1413-AA1413-AB1413-AC1413-AD1413-AE1413-AF1413-AG1413+AH1413-AI1413+AJ1413+AK1413-AL1413</f>
        <v>0</v>
      </c>
      <c r="AN1413" s="45"/>
    </row>
    <row r="1414" spans="1:41">
      <c r="A1414" s="45">
        <v>1386</v>
      </c>
      <c r="B1414" s="45" t="s">
        <v>5471</v>
      </c>
      <c r="C1414" s="49" t="s">
        <v>5472</v>
      </c>
      <c r="D1414" s="53" t="s">
        <v>73</v>
      </c>
      <c r="E1414" s="45" t="s">
        <v>5424</v>
      </c>
      <c r="F1414" s="45" t="s">
        <v>3339</v>
      </c>
      <c r="G1414" s="45">
        <v>2.6</v>
      </c>
      <c r="H1414" s="53" t="s">
        <v>5473</v>
      </c>
      <c r="I1414" s="45">
        <v>155000</v>
      </c>
      <c r="J1414" s="45">
        <v>0</v>
      </c>
      <c r="K1414" s="45">
        <v>22000</v>
      </c>
      <c r="L1414" s="45">
        <v>0</v>
      </c>
      <c r="M1414" s="45">
        <v>0</v>
      </c>
      <c r="N1414" s="45">
        <v>0</v>
      </c>
      <c r="O1414" s="45">
        <v>0</v>
      </c>
      <c r="P1414" s="45">
        <v>0</v>
      </c>
      <c r="Q1414" s="45">
        <v>0</v>
      </c>
      <c r="R1414" s="45">
        <v>0</v>
      </c>
      <c r="S1414" s="45">
        <v>0</v>
      </c>
      <c r="T1414" s="45">
        <v>0</v>
      </c>
      <c r="U1414" s="45">
        <v>1397</v>
      </c>
      <c r="V1414" s="45">
        <v>0</v>
      </c>
      <c r="W1414" s="45">
        <v>0</v>
      </c>
      <c r="X1414" s="45">
        <v>0</v>
      </c>
      <c r="Y1414" s="45">
        <v>0</v>
      </c>
      <c r="Z1414" s="45">
        <v>0</v>
      </c>
      <c r="AA1414" s="45">
        <v>0</v>
      </c>
      <c r="AB1414" s="45">
        <v>0</v>
      </c>
      <c r="AC1414" s="45">
        <v>0</v>
      </c>
      <c r="AD1414" s="45">
        <v>0</v>
      </c>
      <c r="AE1414" s="45">
        <v>0</v>
      </c>
      <c r="AF1414" s="45">
        <v>0</v>
      </c>
      <c r="AG1414" s="45">
        <v>0</v>
      </c>
      <c r="AH1414" s="45">
        <v>0</v>
      </c>
      <c r="AI1414" s="45">
        <v>0</v>
      </c>
      <c r="AJ1414" s="45">
        <v>0</v>
      </c>
      <c r="AK1414" s="45">
        <v>0</v>
      </c>
      <c r="AL1414" s="45">
        <v>0</v>
      </c>
      <c r="AM1414" s="57" t="str">
        <f>I1414-J1414-K1414-L1414-M1414-N1414-O1414-P1414-Q1414-R1414-S1414-T1414-U1414-V1414-W1414-X1414-Y1414-Z1414-AA1414-AB1414-AC1414-AD1414-AE1414-AF1414-AG1414+AH1414-AI1414+AJ1414+AK1414-AL1414</f>
        <v>0</v>
      </c>
      <c r="AN1414" s="45"/>
    </row>
    <row r="1415" spans="1:41">
      <c r="A1415" s="45">
        <v>1387</v>
      </c>
      <c r="B1415" s="45" t="s">
        <v>5474</v>
      </c>
      <c r="C1415" s="49" t="s">
        <v>5475</v>
      </c>
      <c r="D1415" s="53" t="s">
        <v>73</v>
      </c>
      <c r="E1415" s="45" t="s">
        <v>5424</v>
      </c>
      <c r="F1415" s="45" t="s">
        <v>3587</v>
      </c>
      <c r="G1415" s="45">
        <v>2</v>
      </c>
      <c r="H1415" s="53" t="s">
        <v>5476</v>
      </c>
      <c r="I1415" s="45">
        <v>155000</v>
      </c>
      <c r="J1415" s="45">
        <v>0</v>
      </c>
      <c r="K1415" s="45">
        <v>22000</v>
      </c>
      <c r="L1415" s="45">
        <v>0</v>
      </c>
      <c r="M1415" s="45">
        <v>0</v>
      </c>
      <c r="N1415" s="45">
        <v>0</v>
      </c>
      <c r="O1415" s="45">
        <v>0</v>
      </c>
      <c r="P1415" s="45">
        <v>0</v>
      </c>
      <c r="Q1415" s="45">
        <v>0</v>
      </c>
      <c r="R1415" s="45">
        <v>0</v>
      </c>
      <c r="S1415" s="45">
        <v>0</v>
      </c>
      <c r="T1415" s="45">
        <v>0</v>
      </c>
      <c r="U1415" s="45">
        <v>1397</v>
      </c>
      <c r="V1415" s="45">
        <v>0</v>
      </c>
      <c r="W1415" s="45">
        <v>0</v>
      </c>
      <c r="X1415" s="45">
        <v>0</v>
      </c>
      <c r="Y1415" s="45">
        <v>0</v>
      </c>
      <c r="Z1415" s="45">
        <v>0</v>
      </c>
      <c r="AA1415" s="45">
        <v>0</v>
      </c>
      <c r="AB1415" s="45">
        <v>0</v>
      </c>
      <c r="AC1415" s="45">
        <v>0</v>
      </c>
      <c r="AD1415" s="45">
        <v>0</v>
      </c>
      <c r="AE1415" s="45">
        <v>0</v>
      </c>
      <c r="AF1415" s="45">
        <v>0</v>
      </c>
      <c r="AG1415" s="45">
        <v>0</v>
      </c>
      <c r="AH1415" s="45">
        <v>0</v>
      </c>
      <c r="AI1415" s="45">
        <v>0</v>
      </c>
      <c r="AJ1415" s="45">
        <v>0</v>
      </c>
      <c r="AK1415" s="45">
        <v>0</v>
      </c>
      <c r="AL1415" s="45">
        <v>0</v>
      </c>
      <c r="AM1415" s="57" t="str">
        <f>I1415-J1415-K1415-L1415-M1415-N1415-O1415-P1415-Q1415-R1415-S1415-T1415-U1415-V1415-W1415-X1415-Y1415-Z1415-AA1415-AB1415-AC1415-AD1415-AE1415-AF1415-AG1415+AH1415-AI1415+AJ1415+AK1415-AL1415</f>
        <v>0</v>
      </c>
      <c r="AN1415" s="45"/>
    </row>
    <row r="1416" spans="1:41">
      <c r="A1416" s="45">
        <v>1388</v>
      </c>
      <c r="B1416" s="45" t="s">
        <v>5477</v>
      </c>
      <c r="C1416" s="49" t="s">
        <v>5478</v>
      </c>
      <c r="D1416" s="53" t="s">
        <v>73</v>
      </c>
      <c r="E1416" s="45" t="s">
        <v>5424</v>
      </c>
      <c r="F1416" s="45" t="s">
        <v>904</v>
      </c>
      <c r="G1416" s="45">
        <v>2</v>
      </c>
      <c r="H1416" s="53" t="s">
        <v>5479</v>
      </c>
      <c r="I1416" s="45">
        <v>155000</v>
      </c>
      <c r="J1416" s="45">
        <v>0</v>
      </c>
      <c r="K1416" s="45">
        <v>22000</v>
      </c>
      <c r="L1416" s="45">
        <v>0</v>
      </c>
      <c r="M1416" s="45">
        <v>0</v>
      </c>
      <c r="N1416" s="45">
        <v>0</v>
      </c>
      <c r="O1416" s="45">
        <v>0</v>
      </c>
      <c r="P1416" s="45">
        <v>0</v>
      </c>
      <c r="Q1416" s="45">
        <v>0</v>
      </c>
      <c r="R1416" s="45">
        <v>0</v>
      </c>
      <c r="S1416" s="45">
        <v>0</v>
      </c>
      <c r="T1416" s="45">
        <v>0</v>
      </c>
      <c r="U1416" s="45">
        <v>1397</v>
      </c>
      <c r="V1416" s="45">
        <v>0</v>
      </c>
      <c r="W1416" s="45">
        <v>0</v>
      </c>
      <c r="X1416" s="45">
        <v>0</v>
      </c>
      <c r="Y1416" s="45">
        <v>0</v>
      </c>
      <c r="Z1416" s="45">
        <v>0</v>
      </c>
      <c r="AA1416" s="45">
        <v>0</v>
      </c>
      <c r="AB1416" s="45">
        <v>0</v>
      </c>
      <c r="AC1416" s="45">
        <v>0</v>
      </c>
      <c r="AD1416" s="45">
        <v>0</v>
      </c>
      <c r="AE1416" s="45">
        <v>0</v>
      </c>
      <c r="AF1416" s="45">
        <v>0</v>
      </c>
      <c r="AG1416" s="45">
        <v>0</v>
      </c>
      <c r="AH1416" s="45">
        <v>0</v>
      </c>
      <c r="AI1416" s="45">
        <v>0</v>
      </c>
      <c r="AJ1416" s="45">
        <v>0</v>
      </c>
      <c r="AK1416" s="45">
        <v>0</v>
      </c>
      <c r="AL1416" s="45">
        <v>0</v>
      </c>
      <c r="AM1416" s="57" t="str">
        <f>I1416-J1416-K1416-L1416-M1416-N1416-O1416-P1416-Q1416-R1416-S1416-T1416-U1416-V1416-W1416-X1416-Y1416-Z1416-AA1416-AB1416-AC1416-AD1416-AE1416-AF1416-AG1416+AH1416-AI1416+AJ1416+AK1416-AL1416</f>
        <v>0</v>
      </c>
      <c r="AN1416" s="45"/>
    </row>
    <row r="1417" spans="1:41">
      <c r="A1417" s="45">
        <v>1389</v>
      </c>
      <c r="B1417" s="45" t="s">
        <v>5480</v>
      </c>
      <c r="C1417" s="49" t="s">
        <v>5481</v>
      </c>
      <c r="D1417" s="53" t="s">
        <v>73</v>
      </c>
      <c r="E1417" s="45" t="s">
        <v>5482</v>
      </c>
      <c r="F1417" s="45" t="s">
        <v>647</v>
      </c>
      <c r="G1417" s="45">
        <v>2</v>
      </c>
      <c r="H1417" s="53" t="s">
        <v>5483</v>
      </c>
      <c r="I1417" s="45">
        <v>0</v>
      </c>
      <c r="J1417" s="45">
        <v>0</v>
      </c>
      <c r="K1417" s="45">
        <v>22000</v>
      </c>
      <c r="L1417" s="45">
        <v>0</v>
      </c>
      <c r="M1417" s="45">
        <v>0</v>
      </c>
      <c r="N1417" s="45">
        <v>0</v>
      </c>
      <c r="O1417" s="45">
        <v>0</v>
      </c>
      <c r="P1417" s="45">
        <v>0</v>
      </c>
      <c r="Q1417" s="45">
        <v>0</v>
      </c>
      <c r="R1417" s="45">
        <v>0</v>
      </c>
      <c r="S1417" s="45">
        <v>0</v>
      </c>
      <c r="T1417" s="45">
        <v>0</v>
      </c>
      <c r="U1417" s="45">
        <v>1397</v>
      </c>
      <c r="V1417" s="45">
        <v>0</v>
      </c>
      <c r="W1417" s="45">
        <v>0</v>
      </c>
      <c r="X1417" s="45">
        <v>0</v>
      </c>
      <c r="Y1417" s="45">
        <v>0</v>
      </c>
      <c r="Z1417" s="45">
        <v>0</v>
      </c>
      <c r="AA1417" s="45">
        <v>0</v>
      </c>
      <c r="AB1417" s="45">
        <v>0</v>
      </c>
      <c r="AC1417" s="45">
        <v>0</v>
      </c>
      <c r="AD1417" s="45">
        <v>0</v>
      </c>
      <c r="AE1417" s="45">
        <v>0</v>
      </c>
      <c r="AF1417" s="45">
        <v>0</v>
      </c>
      <c r="AG1417" s="45">
        <v>0</v>
      </c>
      <c r="AH1417" s="45">
        <v>0</v>
      </c>
      <c r="AI1417" s="45">
        <v>0</v>
      </c>
      <c r="AJ1417" s="45">
        <v>0</v>
      </c>
      <c r="AK1417" s="45">
        <v>0</v>
      </c>
      <c r="AL1417" s="45">
        <v>0</v>
      </c>
      <c r="AM1417" s="57" t="str">
        <f>I1417-J1417-K1417-L1417-M1417-N1417-O1417-P1417-Q1417-R1417-S1417-T1417-U1417-V1417-W1417-X1417-Y1417-Z1417-AA1417-AB1417-AC1417-AD1417-AE1417-AF1417-AG1417+AH1417-AI1417+AJ1417+AK1417-AL1417</f>
        <v>0</v>
      </c>
      <c r="AN1417" s="45"/>
    </row>
    <row r="1418" spans="1:41">
      <c r="A1418" s="45">
        <v>1390</v>
      </c>
      <c r="B1418" s="45" t="s">
        <v>5484</v>
      </c>
      <c r="C1418" s="49" t="s">
        <v>5485</v>
      </c>
      <c r="D1418" s="53" t="s">
        <v>73</v>
      </c>
      <c r="E1418" s="45" t="s">
        <v>5482</v>
      </c>
      <c r="F1418" s="45" t="s">
        <v>5486</v>
      </c>
      <c r="G1418" s="45">
        <v>3</v>
      </c>
      <c r="H1418" s="53" t="s">
        <v>5487</v>
      </c>
      <c r="I1418" s="45">
        <v>0</v>
      </c>
      <c r="J1418" s="45">
        <v>0</v>
      </c>
      <c r="K1418" s="45">
        <v>22000</v>
      </c>
      <c r="L1418" s="45">
        <v>0</v>
      </c>
      <c r="M1418" s="45">
        <v>0</v>
      </c>
      <c r="N1418" s="45">
        <v>0</v>
      </c>
      <c r="O1418" s="45">
        <v>0</v>
      </c>
      <c r="P1418" s="45">
        <v>0</v>
      </c>
      <c r="Q1418" s="45">
        <v>0</v>
      </c>
      <c r="R1418" s="45">
        <v>0</v>
      </c>
      <c r="S1418" s="45">
        <v>0</v>
      </c>
      <c r="T1418" s="45">
        <v>0</v>
      </c>
      <c r="U1418" s="45">
        <v>1397</v>
      </c>
      <c r="V1418" s="45">
        <v>0</v>
      </c>
      <c r="W1418" s="45">
        <v>0</v>
      </c>
      <c r="X1418" s="45">
        <v>0</v>
      </c>
      <c r="Y1418" s="45">
        <v>0</v>
      </c>
      <c r="Z1418" s="45">
        <v>0</v>
      </c>
      <c r="AA1418" s="45">
        <v>0</v>
      </c>
      <c r="AB1418" s="45">
        <v>0</v>
      </c>
      <c r="AC1418" s="45">
        <v>0</v>
      </c>
      <c r="AD1418" s="45">
        <v>0</v>
      </c>
      <c r="AE1418" s="45">
        <v>0</v>
      </c>
      <c r="AF1418" s="45">
        <v>0</v>
      </c>
      <c r="AG1418" s="45">
        <v>0</v>
      </c>
      <c r="AH1418" s="45">
        <v>0</v>
      </c>
      <c r="AI1418" s="45">
        <v>0</v>
      </c>
      <c r="AJ1418" s="45">
        <v>0</v>
      </c>
      <c r="AK1418" s="45">
        <v>0</v>
      </c>
      <c r="AL1418" s="45">
        <v>0</v>
      </c>
      <c r="AM1418" s="57" t="str">
        <f>I1418-J1418-K1418-L1418-M1418-N1418-O1418-P1418-Q1418-R1418-S1418-T1418-U1418-V1418-W1418-X1418-Y1418-Z1418-AA1418-AB1418-AC1418-AD1418-AE1418-AF1418-AG1418+AH1418-AI1418+AJ1418+AK1418-AL1418</f>
        <v>0</v>
      </c>
      <c r="AN1418" s="45"/>
    </row>
    <row r="1419" spans="1:41">
      <c r="A1419" s="45">
        <v>1391</v>
      </c>
      <c r="B1419" s="45" t="s">
        <v>5488</v>
      </c>
      <c r="C1419" s="49" t="s">
        <v>5489</v>
      </c>
      <c r="D1419" s="53" t="s">
        <v>73</v>
      </c>
      <c r="E1419" s="45" t="s">
        <v>5482</v>
      </c>
      <c r="F1419" s="45" t="s">
        <v>5490</v>
      </c>
      <c r="G1419" s="45">
        <v>1</v>
      </c>
      <c r="H1419" s="53" t="s">
        <v>5491</v>
      </c>
      <c r="I1419" s="45">
        <v>0</v>
      </c>
      <c r="J1419" s="45">
        <v>0</v>
      </c>
      <c r="K1419" s="45">
        <v>22000</v>
      </c>
      <c r="L1419" s="45">
        <v>0</v>
      </c>
      <c r="M1419" s="45">
        <v>0</v>
      </c>
      <c r="N1419" s="45">
        <v>0</v>
      </c>
      <c r="O1419" s="45">
        <v>0</v>
      </c>
      <c r="P1419" s="45">
        <v>0</v>
      </c>
      <c r="Q1419" s="45">
        <v>0</v>
      </c>
      <c r="R1419" s="45">
        <v>0</v>
      </c>
      <c r="S1419" s="45">
        <v>0</v>
      </c>
      <c r="T1419" s="45">
        <v>0</v>
      </c>
      <c r="U1419" s="45">
        <v>1397</v>
      </c>
      <c r="V1419" s="45">
        <v>0</v>
      </c>
      <c r="W1419" s="45">
        <v>0</v>
      </c>
      <c r="X1419" s="45">
        <v>0</v>
      </c>
      <c r="Y1419" s="45">
        <v>0</v>
      </c>
      <c r="Z1419" s="45">
        <v>0</v>
      </c>
      <c r="AA1419" s="45">
        <v>0</v>
      </c>
      <c r="AB1419" s="45">
        <v>0</v>
      </c>
      <c r="AC1419" s="45">
        <v>0</v>
      </c>
      <c r="AD1419" s="45">
        <v>0</v>
      </c>
      <c r="AE1419" s="45">
        <v>0</v>
      </c>
      <c r="AF1419" s="45">
        <v>0</v>
      </c>
      <c r="AG1419" s="45">
        <v>0</v>
      </c>
      <c r="AH1419" s="45">
        <v>0</v>
      </c>
      <c r="AI1419" s="45">
        <v>0</v>
      </c>
      <c r="AJ1419" s="45">
        <v>0</v>
      </c>
      <c r="AK1419" s="45">
        <v>0</v>
      </c>
      <c r="AL1419" s="45">
        <v>0</v>
      </c>
      <c r="AM1419" s="57" t="str">
        <f>I1419-J1419-K1419-L1419-M1419-N1419-O1419-P1419-Q1419-R1419-S1419-T1419-U1419-V1419-W1419-X1419-Y1419-Z1419-AA1419-AB1419-AC1419-AD1419-AE1419-AF1419-AG1419+AH1419-AI1419+AJ1419+AK1419-AL1419</f>
        <v>0</v>
      </c>
      <c r="AN1419" s="45"/>
    </row>
    <row r="1420" spans="1:41">
      <c r="A1420" s="45">
        <v>1392</v>
      </c>
      <c r="B1420" s="45" t="s">
        <v>5492</v>
      </c>
      <c r="C1420" s="49" t="s">
        <v>5493</v>
      </c>
      <c r="D1420" s="53" t="s">
        <v>73</v>
      </c>
      <c r="E1420" s="45" t="s">
        <v>5482</v>
      </c>
      <c r="F1420" s="45" t="s">
        <v>5494</v>
      </c>
      <c r="G1420" s="45">
        <v>2</v>
      </c>
      <c r="H1420" s="53" t="s">
        <v>5495</v>
      </c>
      <c r="I1420" s="45">
        <v>0</v>
      </c>
      <c r="J1420" s="45">
        <v>0</v>
      </c>
      <c r="K1420" s="45">
        <v>22000</v>
      </c>
      <c r="L1420" s="45">
        <v>0</v>
      </c>
      <c r="M1420" s="45">
        <v>0</v>
      </c>
      <c r="N1420" s="45">
        <v>0</v>
      </c>
      <c r="O1420" s="45">
        <v>0</v>
      </c>
      <c r="P1420" s="45">
        <v>0</v>
      </c>
      <c r="Q1420" s="45">
        <v>0</v>
      </c>
      <c r="R1420" s="45">
        <v>0</v>
      </c>
      <c r="S1420" s="45">
        <v>0</v>
      </c>
      <c r="T1420" s="45">
        <v>0</v>
      </c>
      <c r="U1420" s="45">
        <v>1397</v>
      </c>
      <c r="V1420" s="45">
        <v>0</v>
      </c>
      <c r="W1420" s="45">
        <v>0</v>
      </c>
      <c r="X1420" s="45">
        <v>0</v>
      </c>
      <c r="Y1420" s="45">
        <v>0</v>
      </c>
      <c r="Z1420" s="45">
        <v>0</v>
      </c>
      <c r="AA1420" s="45">
        <v>0</v>
      </c>
      <c r="AB1420" s="45">
        <v>0</v>
      </c>
      <c r="AC1420" s="45">
        <v>0</v>
      </c>
      <c r="AD1420" s="45">
        <v>0</v>
      </c>
      <c r="AE1420" s="45">
        <v>0</v>
      </c>
      <c r="AF1420" s="45">
        <v>0</v>
      </c>
      <c r="AG1420" s="45">
        <v>0</v>
      </c>
      <c r="AH1420" s="45">
        <v>0</v>
      </c>
      <c r="AI1420" s="45">
        <v>0</v>
      </c>
      <c r="AJ1420" s="45">
        <v>0</v>
      </c>
      <c r="AK1420" s="45">
        <v>0</v>
      </c>
      <c r="AL1420" s="45">
        <v>0</v>
      </c>
      <c r="AM1420" s="57" t="str">
        <f>I1420-J1420-K1420-L1420-M1420-N1420-O1420-P1420-Q1420-R1420-S1420-T1420-U1420-V1420-W1420-X1420-Y1420-Z1420-AA1420-AB1420-AC1420-AD1420-AE1420-AF1420-AG1420+AH1420-AI1420+AJ1420+AK1420-AL1420</f>
        <v>0</v>
      </c>
      <c r="AN1420" s="45"/>
    </row>
    <row r="1421" spans="1:41">
      <c r="A1421" s="45">
        <v>1393</v>
      </c>
      <c r="B1421" s="45" t="s">
        <v>5496</v>
      </c>
      <c r="C1421" s="49" t="s">
        <v>5497</v>
      </c>
      <c r="D1421" s="53" t="s">
        <v>73</v>
      </c>
      <c r="E1421" s="45" t="s">
        <v>5482</v>
      </c>
      <c r="F1421" s="45" t="s">
        <v>5498</v>
      </c>
      <c r="G1421" s="45">
        <v>2</v>
      </c>
      <c r="H1421" s="53" t="s">
        <v>5499</v>
      </c>
      <c r="I1421" s="45">
        <v>0</v>
      </c>
      <c r="J1421" s="45">
        <v>0</v>
      </c>
      <c r="K1421" s="45">
        <v>22000</v>
      </c>
      <c r="L1421" s="45">
        <v>0</v>
      </c>
      <c r="M1421" s="45">
        <v>0</v>
      </c>
      <c r="N1421" s="45">
        <v>0</v>
      </c>
      <c r="O1421" s="45">
        <v>0</v>
      </c>
      <c r="P1421" s="45">
        <v>0</v>
      </c>
      <c r="Q1421" s="45">
        <v>0</v>
      </c>
      <c r="R1421" s="45">
        <v>0</v>
      </c>
      <c r="S1421" s="45">
        <v>0</v>
      </c>
      <c r="T1421" s="45">
        <v>0</v>
      </c>
      <c r="U1421" s="45">
        <v>1397</v>
      </c>
      <c r="V1421" s="45">
        <v>0</v>
      </c>
      <c r="W1421" s="45">
        <v>0</v>
      </c>
      <c r="X1421" s="45">
        <v>0</v>
      </c>
      <c r="Y1421" s="45">
        <v>5000</v>
      </c>
      <c r="Z1421" s="45">
        <v>0</v>
      </c>
      <c r="AA1421" s="45">
        <v>0</v>
      </c>
      <c r="AB1421" s="45">
        <v>0</v>
      </c>
      <c r="AC1421" s="45">
        <v>0</v>
      </c>
      <c r="AD1421" s="45">
        <v>0</v>
      </c>
      <c r="AE1421" s="45">
        <v>0</v>
      </c>
      <c r="AF1421" s="45">
        <v>0</v>
      </c>
      <c r="AG1421" s="45">
        <v>0</v>
      </c>
      <c r="AH1421" s="45">
        <v>0</v>
      </c>
      <c r="AI1421" s="45">
        <v>0</v>
      </c>
      <c r="AJ1421" s="45">
        <v>0</v>
      </c>
      <c r="AK1421" s="45">
        <v>0</v>
      </c>
      <c r="AL1421" s="45">
        <v>0</v>
      </c>
      <c r="AM1421" s="57" t="str">
        <f>I1421-J1421-K1421-L1421-M1421-N1421-O1421-P1421-Q1421-R1421-S1421-T1421-U1421-V1421-W1421-X1421-Y1421-Z1421-AA1421-AB1421-AC1421-AD1421-AE1421-AF1421-AG1421+AH1421-AI1421+AJ1421+AK1421-AL1421</f>
        <v>0</v>
      </c>
      <c r="AN1421" s="45"/>
    </row>
    <row r="1422" spans="1:41">
      <c r="A1422" s="45">
        <v>1394</v>
      </c>
      <c r="B1422" s="45" t="s">
        <v>5500</v>
      </c>
      <c r="C1422" s="49" t="s">
        <v>5501</v>
      </c>
      <c r="D1422" s="53" t="s">
        <v>73</v>
      </c>
      <c r="E1422" s="45" t="s">
        <v>5482</v>
      </c>
      <c r="F1422" s="45" t="s">
        <v>5502</v>
      </c>
      <c r="G1422" s="45">
        <v>2</v>
      </c>
      <c r="H1422" s="53" t="s">
        <v>5503</v>
      </c>
      <c r="I1422" s="45">
        <v>0</v>
      </c>
      <c r="J1422" s="45">
        <v>0</v>
      </c>
      <c r="K1422" s="45">
        <v>22000</v>
      </c>
      <c r="L1422" s="45">
        <v>0</v>
      </c>
      <c r="M1422" s="45">
        <v>0</v>
      </c>
      <c r="N1422" s="45">
        <v>0</v>
      </c>
      <c r="O1422" s="45">
        <v>0</v>
      </c>
      <c r="P1422" s="45">
        <v>0</v>
      </c>
      <c r="Q1422" s="45">
        <v>0</v>
      </c>
      <c r="R1422" s="45">
        <v>0</v>
      </c>
      <c r="S1422" s="45">
        <v>0</v>
      </c>
      <c r="T1422" s="45">
        <v>0</v>
      </c>
      <c r="U1422" s="45">
        <v>1397</v>
      </c>
      <c r="V1422" s="45">
        <v>0</v>
      </c>
      <c r="W1422" s="45">
        <v>0</v>
      </c>
      <c r="X1422" s="45">
        <v>0</v>
      </c>
      <c r="Y1422" s="45">
        <v>11000</v>
      </c>
      <c r="Z1422" s="45">
        <v>0</v>
      </c>
      <c r="AA1422" s="45">
        <v>0</v>
      </c>
      <c r="AB1422" s="45">
        <v>0</v>
      </c>
      <c r="AC1422" s="45">
        <v>0</v>
      </c>
      <c r="AD1422" s="45">
        <v>0</v>
      </c>
      <c r="AE1422" s="45">
        <v>0</v>
      </c>
      <c r="AF1422" s="45">
        <v>0</v>
      </c>
      <c r="AG1422" s="45">
        <v>0</v>
      </c>
      <c r="AH1422" s="45">
        <v>0</v>
      </c>
      <c r="AI1422" s="45">
        <v>0</v>
      </c>
      <c r="AJ1422" s="45">
        <v>0</v>
      </c>
      <c r="AK1422" s="45">
        <v>0</v>
      </c>
      <c r="AL1422" s="45">
        <v>0</v>
      </c>
      <c r="AM1422" s="57" t="str">
        <f>I1422-J1422-K1422-L1422-M1422-N1422-O1422-P1422-Q1422-R1422-S1422-T1422-U1422-V1422-W1422-X1422-Y1422-Z1422-AA1422-AB1422-AC1422-AD1422-AE1422-AF1422-AG1422+AH1422-AI1422+AJ1422+AK1422-AL1422</f>
        <v>0</v>
      </c>
      <c r="AN1422" s="45"/>
    </row>
    <row r="1423" spans="1:41">
      <c r="A1423" s="45">
        <v>1395</v>
      </c>
      <c r="B1423" s="45" t="s">
        <v>5504</v>
      </c>
      <c r="C1423" s="49" t="s">
        <v>5505</v>
      </c>
      <c r="D1423" s="53" t="s">
        <v>73</v>
      </c>
      <c r="E1423" s="45" t="s">
        <v>5482</v>
      </c>
      <c r="F1423" s="45" t="s">
        <v>5506</v>
      </c>
      <c r="G1423" s="45">
        <v>4</v>
      </c>
      <c r="H1423" s="53" t="s">
        <v>5507</v>
      </c>
      <c r="I1423" s="45">
        <v>0</v>
      </c>
      <c r="J1423" s="45">
        <v>0</v>
      </c>
      <c r="K1423" s="45">
        <v>25000</v>
      </c>
      <c r="L1423" s="45">
        <v>0</v>
      </c>
      <c r="M1423" s="45">
        <v>0</v>
      </c>
      <c r="N1423" s="45">
        <v>0</v>
      </c>
      <c r="O1423" s="45">
        <v>0</v>
      </c>
      <c r="P1423" s="45">
        <v>0</v>
      </c>
      <c r="Q1423" s="45">
        <v>0</v>
      </c>
      <c r="R1423" s="45">
        <v>0</v>
      </c>
      <c r="S1423" s="45">
        <v>0</v>
      </c>
      <c r="T1423" s="45">
        <v>0</v>
      </c>
      <c r="U1423" s="45">
        <v>1587</v>
      </c>
      <c r="V1423" s="45">
        <v>0</v>
      </c>
      <c r="W1423" s="45">
        <v>0</v>
      </c>
      <c r="X1423" s="45">
        <v>0</v>
      </c>
      <c r="Y1423" s="45">
        <v>5000</v>
      </c>
      <c r="Z1423" s="45">
        <v>0</v>
      </c>
      <c r="AA1423" s="45">
        <v>0</v>
      </c>
      <c r="AB1423" s="45">
        <v>0</v>
      </c>
      <c r="AC1423" s="45">
        <v>0</v>
      </c>
      <c r="AD1423" s="45">
        <v>0</v>
      </c>
      <c r="AE1423" s="45">
        <v>0</v>
      </c>
      <c r="AF1423" s="45">
        <v>0</v>
      </c>
      <c r="AG1423" s="45">
        <v>0</v>
      </c>
      <c r="AH1423" s="45">
        <v>0</v>
      </c>
      <c r="AI1423" s="45">
        <v>0</v>
      </c>
      <c r="AJ1423" s="45">
        <v>0</v>
      </c>
      <c r="AK1423" s="45">
        <v>0</v>
      </c>
      <c r="AL1423" s="45">
        <v>0</v>
      </c>
      <c r="AM1423" s="57" t="str">
        <f>I1423-J1423-K1423-L1423-M1423-N1423-O1423-P1423-Q1423-R1423-S1423-T1423-U1423-V1423-W1423-X1423-Y1423-Z1423-AA1423-AB1423-AC1423-AD1423-AE1423-AF1423-AG1423+AH1423-AI1423+AJ1423+AK1423-AL1423</f>
        <v>0</v>
      </c>
      <c r="AN1423" s="45"/>
    </row>
    <row r="1424" spans="1:41">
      <c r="A1424" s="45">
        <v>1396</v>
      </c>
      <c r="B1424" s="45" t="s">
        <v>5508</v>
      </c>
      <c r="C1424" s="49" t="s">
        <v>5509</v>
      </c>
      <c r="D1424" s="53" t="s">
        <v>73</v>
      </c>
      <c r="E1424" s="45" t="s">
        <v>5482</v>
      </c>
      <c r="F1424" s="45" t="s">
        <v>5510</v>
      </c>
      <c r="G1424" s="45">
        <v>3</v>
      </c>
      <c r="H1424" s="53" t="s">
        <v>5511</v>
      </c>
      <c r="I1424" s="45">
        <v>0</v>
      </c>
      <c r="J1424" s="45">
        <v>0</v>
      </c>
      <c r="K1424" s="45">
        <v>22000</v>
      </c>
      <c r="L1424" s="45">
        <v>0</v>
      </c>
      <c r="M1424" s="45">
        <v>0</v>
      </c>
      <c r="N1424" s="45">
        <v>0</v>
      </c>
      <c r="O1424" s="45">
        <v>0</v>
      </c>
      <c r="P1424" s="45">
        <v>0</v>
      </c>
      <c r="Q1424" s="45">
        <v>0</v>
      </c>
      <c r="R1424" s="45">
        <v>0</v>
      </c>
      <c r="S1424" s="45">
        <v>0</v>
      </c>
      <c r="T1424" s="45">
        <v>0</v>
      </c>
      <c r="U1424" s="45">
        <v>1397</v>
      </c>
      <c r="V1424" s="45">
        <v>0</v>
      </c>
      <c r="W1424" s="45">
        <v>0</v>
      </c>
      <c r="X1424" s="45">
        <v>0</v>
      </c>
      <c r="Y1424" s="45">
        <v>11000</v>
      </c>
      <c r="Z1424" s="45">
        <v>0</v>
      </c>
      <c r="AA1424" s="45">
        <v>0</v>
      </c>
      <c r="AB1424" s="45">
        <v>0</v>
      </c>
      <c r="AC1424" s="45">
        <v>0</v>
      </c>
      <c r="AD1424" s="45">
        <v>0</v>
      </c>
      <c r="AE1424" s="45">
        <v>0</v>
      </c>
      <c r="AF1424" s="45">
        <v>0</v>
      </c>
      <c r="AG1424" s="45">
        <v>0</v>
      </c>
      <c r="AH1424" s="45">
        <v>0</v>
      </c>
      <c r="AI1424" s="45">
        <v>0</v>
      </c>
      <c r="AJ1424" s="45">
        <v>0</v>
      </c>
      <c r="AK1424" s="45">
        <v>0</v>
      </c>
      <c r="AL1424" s="45">
        <v>0</v>
      </c>
      <c r="AM1424" s="57" t="str">
        <f>I1424-J1424-K1424-L1424-M1424-N1424-O1424-P1424-Q1424-R1424-S1424-T1424-U1424-V1424-W1424-X1424-Y1424-Z1424-AA1424-AB1424-AC1424-AD1424-AE1424-AF1424-AG1424+AH1424-AI1424+AJ1424+AK1424-AL1424</f>
        <v>0</v>
      </c>
      <c r="AN1424" s="45"/>
    </row>
    <row r="1425" spans="1:41">
      <c r="A1425" s="45">
        <v>1397</v>
      </c>
      <c r="B1425" s="45" t="s">
        <v>5512</v>
      </c>
      <c r="C1425" s="49" t="s">
        <v>5513</v>
      </c>
      <c r="D1425" s="53" t="s">
        <v>73</v>
      </c>
      <c r="E1425" s="45" t="s">
        <v>5482</v>
      </c>
      <c r="F1425" s="45" t="s">
        <v>5514</v>
      </c>
      <c r="G1425" s="45">
        <v>3</v>
      </c>
      <c r="H1425" s="53" t="s">
        <v>5515</v>
      </c>
      <c r="I1425" s="45">
        <v>0</v>
      </c>
      <c r="J1425" s="45">
        <v>0</v>
      </c>
      <c r="K1425" s="45">
        <v>22000</v>
      </c>
      <c r="L1425" s="45">
        <v>0</v>
      </c>
      <c r="M1425" s="45">
        <v>0</v>
      </c>
      <c r="N1425" s="45">
        <v>0</v>
      </c>
      <c r="O1425" s="45">
        <v>0</v>
      </c>
      <c r="P1425" s="45">
        <v>0</v>
      </c>
      <c r="Q1425" s="45">
        <v>0</v>
      </c>
      <c r="R1425" s="45">
        <v>0</v>
      </c>
      <c r="S1425" s="45">
        <v>0</v>
      </c>
      <c r="T1425" s="45">
        <v>0</v>
      </c>
      <c r="U1425" s="45">
        <v>1397</v>
      </c>
      <c r="V1425" s="45">
        <v>0</v>
      </c>
      <c r="W1425" s="45">
        <v>0</v>
      </c>
      <c r="X1425" s="45">
        <v>0</v>
      </c>
      <c r="Y1425" s="45">
        <v>11000</v>
      </c>
      <c r="Z1425" s="45">
        <v>0</v>
      </c>
      <c r="AA1425" s="45">
        <v>0</v>
      </c>
      <c r="AB1425" s="45">
        <v>0</v>
      </c>
      <c r="AC1425" s="45">
        <v>0</v>
      </c>
      <c r="AD1425" s="45">
        <v>0</v>
      </c>
      <c r="AE1425" s="45">
        <v>0</v>
      </c>
      <c r="AF1425" s="45">
        <v>0</v>
      </c>
      <c r="AG1425" s="45">
        <v>0</v>
      </c>
      <c r="AH1425" s="45">
        <v>0</v>
      </c>
      <c r="AI1425" s="45">
        <v>0</v>
      </c>
      <c r="AJ1425" s="45">
        <v>0</v>
      </c>
      <c r="AK1425" s="45">
        <v>0</v>
      </c>
      <c r="AL1425" s="45">
        <v>0</v>
      </c>
      <c r="AM1425" s="57" t="str">
        <f>I1425-J1425-K1425-L1425-M1425-N1425-O1425-P1425-Q1425-R1425-S1425-T1425-U1425-V1425-W1425-X1425-Y1425-Z1425-AA1425-AB1425-AC1425-AD1425-AE1425-AF1425-AG1425+AH1425-AI1425+AJ1425+AK1425-AL1425</f>
        <v>0</v>
      </c>
      <c r="AN1425" s="45"/>
    </row>
    <row r="1426" spans="1:41">
      <c r="A1426" s="45">
        <v>1398</v>
      </c>
      <c r="B1426" s="45" t="s">
        <v>5516</v>
      </c>
      <c r="C1426" s="49" t="s">
        <v>5517</v>
      </c>
      <c r="D1426" s="53" t="s">
        <v>73</v>
      </c>
      <c r="E1426" s="45" t="s">
        <v>5482</v>
      </c>
      <c r="F1426" s="45" t="s">
        <v>4721</v>
      </c>
      <c r="G1426" s="45">
        <v>3</v>
      </c>
      <c r="H1426" s="53" t="s">
        <v>5518</v>
      </c>
      <c r="I1426" s="45">
        <v>0</v>
      </c>
      <c r="J1426" s="45">
        <v>0</v>
      </c>
      <c r="K1426" s="45">
        <v>22000</v>
      </c>
      <c r="L1426" s="45">
        <v>0</v>
      </c>
      <c r="M1426" s="45">
        <v>0</v>
      </c>
      <c r="N1426" s="45">
        <v>0</v>
      </c>
      <c r="O1426" s="45">
        <v>0</v>
      </c>
      <c r="P1426" s="45">
        <v>0</v>
      </c>
      <c r="Q1426" s="45">
        <v>0</v>
      </c>
      <c r="R1426" s="45">
        <v>0</v>
      </c>
      <c r="S1426" s="45">
        <v>0</v>
      </c>
      <c r="T1426" s="45">
        <v>0</v>
      </c>
      <c r="U1426" s="45">
        <v>1397</v>
      </c>
      <c r="V1426" s="45">
        <v>0</v>
      </c>
      <c r="W1426" s="45">
        <v>0</v>
      </c>
      <c r="X1426" s="45">
        <v>0</v>
      </c>
      <c r="Y1426" s="45">
        <v>5000</v>
      </c>
      <c r="Z1426" s="45">
        <v>0</v>
      </c>
      <c r="AA1426" s="45">
        <v>0</v>
      </c>
      <c r="AB1426" s="45">
        <v>0</v>
      </c>
      <c r="AC1426" s="45">
        <v>0</v>
      </c>
      <c r="AD1426" s="45">
        <v>0</v>
      </c>
      <c r="AE1426" s="45">
        <v>0</v>
      </c>
      <c r="AF1426" s="45">
        <v>0</v>
      </c>
      <c r="AG1426" s="45">
        <v>0</v>
      </c>
      <c r="AH1426" s="45">
        <v>0</v>
      </c>
      <c r="AI1426" s="45">
        <v>0</v>
      </c>
      <c r="AJ1426" s="45">
        <v>0</v>
      </c>
      <c r="AK1426" s="45">
        <v>0</v>
      </c>
      <c r="AL1426" s="45">
        <v>0</v>
      </c>
      <c r="AM1426" s="57" t="str">
        <f>I1426-J1426-K1426-L1426-M1426-N1426-O1426-P1426-Q1426-R1426-S1426-T1426-U1426-V1426-W1426-X1426-Y1426-Z1426-AA1426-AB1426-AC1426-AD1426-AE1426-AF1426-AG1426+AH1426-AI1426+AJ1426+AK1426-AL1426</f>
        <v>0</v>
      </c>
      <c r="AN1426" s="45"/>
    </row>
    <row r="1427" spans="1:41">
      <c r="A1427" s="45">
        <v>1399</v>
      </c>
      <c r="B1427" s="45" t="s">
        <v>5519</v>
      </c>
      <c r="C1427" s="49" t="s">
        <v>5520</v>
      </c>
      <c r="D1427" s="53" t="s">
        <v>73</v>
      </c>
      <c r="E1427" s="45" t="s">
        <v>5482</v>
      </c>
      <c r="F1427" s="45" t="s">
        <v>5521</v>
      </c>
      <c r="G1427" s="45">
        <v>2</v>
      </c>
      <c r="H1427" s="53" t="s">
        <v>5522</v>
      </c>
      <c r="I1427" s="45">
        <v>0</v>
      </c>
      <c r="J1427" s="45">
        <v>0</v>
      </c>
      <c r="K1427" s="45">
        <v>22000</v>
      </c>
      <c r="L1427" s="45">
        <v>0</v>
      </c>
      <c r="M1427" s="45">
        <v>0</v>
      </c>
      <c r="N1427" s="45">
        <v>0</v>
      </c>
      <c r="O1427" s="45">
        <v>0</v>
      </c>
      <c r="P1427" s="45">
        <v>0</v>
      </c>
      <c r="Q1427" s="45">
        <v>0</v>
      </c>
      <c r="R1427" s="45">
        <v>0</v>
      </c>
      <c r="S1427" s="45">
        <v>0</v>
      </c>
      <c r="T1427" s="45">
        <v>0</v>
      </c>
      <c r="U1427" s="45">
        <v>1397</v>
      </c>
      <c r="V1427" s="45">
        <v>0</v>
      </c>
      <c r="W1427" s="45">
        <v>0</v>
      </c>
      <c r="X1427" s="45">
        <v>0</v>
      </c>
      <c r="Y1427" s="45">
        <v>11000</v>
      </c>
      <c r="Z1427" s="45">
        <v>0</v>
      </c>
      <c r="AA1427" s="45">
        <v>0</v>
      </c>
      <c r="AB1427" s="45">
        <v>0</v>
      </c>
      <c r="AC1427" s="45">
        <v>0</v>
      </c>
      <c r="AD1427" s="45">
        <v>0</v>
      </c>
      <c r="AE1427" s="45">
        <v>0</v>
      </c>
      <c r="AF1427" s="45">
        <v>0</v>
      </c>
      <c r="AG1427" s="45">
        <v>0</v>
      </c>
      <c r="AH1427" s="45">
        <v>0</v>
      </c>
      <c r="AI1427" s="45">
        <v>0</v>
      </c>
      <c r="AJ1427" s="45">
        <v>0</v>
      </c>
      <c r="AK1427" s="45">
        <v>0</v>
      </c>
      <c r="AL1427" s="45">
        <v>0</v>
      </c>
      <c r="AM1427" s="57" t="str">
        <f>I1427-J1427-K1427-L1427-M1427-N1427-O1427-P1427-Q1427-R1427-S1427-T1427-U1427-V1427-W1427-X1427-Y1427-Z1427-AA1427-AB1427-AC1427-AD1427-AE1427-AF1427-AG1427+AH1427-AI1427+AJ1427+AK1427-AL1427</f>
        <v>0</v>
      </c>
      <c r="AN1427" s="45"/>
    </row>
    <row r="1428" spans="1:41">
      <c r="A1428" s="45">
        <v>1400</v>
      </c>
      <c r="B1428" s="45" t="s">
        <v>5523</v>
      </c>
      <c r="C1428" s="49" t="s">
        <v>5524</v>
      </c>
      <c r="D1428" s="53" t="s">
        <v>73</v>
      </c>
      <c r="E1428" s="45" t="s">
        <v>5482</v>
      </c>
      <c r="F1428" s="45" t="s">
        <v>5525</v>
      </c>
      <c r="G1428" s="45">
        <v>2</v>
      </c>
      <c r="H1428" s="53" t="s">
        <v>5526</v>
      </c>
      <c r="I1428" s="45">
        <v>0</v>
      </c>
      <c r="J1428" s="45">
        <v>0</v>
      </c>
      <c r="K1428" s="45">
        <v>22000</v>
      </c>
      <c r="L1428" s="45">
        <v>0</v>
      </c>
      <c r="M1428" s="45">
        <v>0</v>
      </c>
      <c r="N1428" s="45">
        <v>0</v>
      </c>
      <c r="O1428" s="45">
        <v>0</v>
      </c>
      <c r="P1428" s="45">
        <v>0</v>
      </c>
      <c r="Q1428" s="45">
        <v>0</v>
      </c>
      <c r="R1428" s="45">
        <v>0</v>
      </c>
      <c r="S1428" s="45">
        <v>0</v>
      </c>
      <c r="T1428" s="45">
        <v>0</v>
      </c>
      <c r="U1428" s="45">
        <v>1397</v>
      </c>
      <c r="V1428" s="45">
        <v>0</v>
      </c>
      <c r="W1428" s="45">
        <v>0</v>
      </c>
      <c r="X1428" s="45">
        <v>0</v>
      </c>
      <c r="Y1428" s="45">
        <v>11000</v>
      </c>
      <c r="Z1428" s="45">
        <v>0</v>
      </c>
      <c r="AA1428" s="45">
        <v>0</v>
      </c>
      <c r="AB1428" s="45">
        <v>0</v>
      </c>
      <c r="AC1428" s="45">
        <v>0</v>
      </c>
      <c r="AD1428" s="45">
        <v>0</v>
      </c>
      <c r="AE1428" s="45">
        <v>0</v>
      </c>
      <c r="AF1428" s="45">
        <v>0</v>
      </c>
      <c r="AG1428" s="45">
        <v>0</v>
      </c>
      <c r="AH1428" s="45">
        <v>0</v>
      </c>
      <c r="AI1428" s="45">
        <v>0</v>
      </c>
      <c r="AJ1428" s="45">
        <v>0</v>
      </c>
      <c r="AK1428" s="45">
        <v>0</v>
      </c>
      <c r="AL1428" s="45">
        <v>0</v>
      </c>
      <c r="AM1428" s="57" t="str">
        <f>I1428-J1428-K1428-L1428-M1428-N1428-O1428-P1428-Q1428-R1428-S1428-T1428-U1428-V1428-W1428-X1428-Y1428-Z1428-AA1428-AB1428-AC1428-AD1428-AE1428-AF1428-AG1428+AH1428-AI1428+AJ1428+AK1428-AL1428</f>
        <v>0</v>
      </c>
      <c r="AN1428" s="45"/>
    </row>
    <row r="1429" spans="1:41">
      <c r="A1429" s="45">
        <v>1401</v>
      </c>
      <c r="B1429" s="45" t="s">
        <v>5527</v>
      </c>
      <c r="C1429" s="49" t="s">
        <v>5528</v>
      </c>
      <c r="D1429" s="53" t="s">
        <v>73</v>
      </c>
      <c r="E1429" s="45" t="s">
        <v>5482</v>
      </c>
      <c r="F1429" s="45" t="s">
        <v>5529</v>
      </c>
      <c r="G1429" s="45">
        <v>2</v>
      </c>
      <c r="H1429" s="53" t="s">
        <v>5530</v>
      </c>
      <c r="I1429" s="45">
        <v>0</v>
      </c>
      <c r="J1429" s="45">
        <v>0</v>
      </c>
      <c r="K1429" s="45">
        <v>22000</v>
      </c>
      <c r="L1429" s="45">
        <v>0</v>
      </c>
      <c r="M1429" s="45">
        <v>0</v>
      </c>
      <c r="N1429" s="45">
        <v>0</v>
      </c>
      <c r="O1429" s="45">
        <v>0</v>
      </c>
      <c r="P1429" s="45">
        <v>0</v>
      </c>
      <c r="Q1429" s="45">
        <v>0</v>
      </c>
      <c r="R1429" s="45">
        <v>0</v>
      </c>
      <c r="S1429" s="45">
        <v>0</v>
      </c>
      <c r="T1429" s="45">
        <v>0</v>
      </c>
      <c r="U1429" s="45">
        <v>1397</v>
      </c>
      <c r="V1429" s="45">
        <v>0</v>
      </c>
      <c r="W1429" s="45">
        <v>0</v>
      </c>
      <c r="X1429" s="45">
        <v>0</v>
      </c>
      <c r="Y1429" s="45">
        <v>5000</v>
      </c>
      <c r="Z1429" s="45">
        <v>0</v>
      </c>
      <c r="AA1429" s="45">
        <v>0</v>
      </c>
      <c r="AB1429" s="45">
        <v>0</v>
      </c>
      <c r="AC1429" s="45">
        <v>0</v>
      </c>
      <c r="AD1429" s="45">
        <v>0</v>
      </c>
      <c r="AE1429" s="45">
        <v>0</v>
      </c>
      <c r="AF1429" s="45">
        <v>0</v>
      </c>
      <c r="AG1429" s="45">
        <v>0</v>
      </c>
      <c r="AH1429" s="45">
        <v>0</v>
      </c>
      <c r="AI1429" s="45">
        <v>0</v>
      </c>
      <c r="AJ1429" s="45">
        <v>0</v>
      </c>
      <c r="AK1429" s="45">
        <v>0</v>
      </c>
      <c r="AL1429" s="45">
        <v>0</v>
      </c>
      <c r="AM1429" s="57" t="str">
        <f>I1429-J1429-K1429-L1429-M1429-N1429-O1429-P1429-Q1429-R1429-S1429-T1429-U1429-V1429-W1429-X1429-Y1429-Z1429-AA1429-AB1429-AC1429-AD1429-AE1429-AF1429-AG1429+AH1429-AI1429+AJ1429+AK1429-AL1429</f>
        <v>0</v>
      </c>
      <c r="AN1429" s="45"/>
    </row>
    <row r="1430" spans="1:41">
      <c r="A1430" s="45">
        <v>1402</v>
      </c>
      <c r="B1430" s="45" t="s">
        <v>5531</v>
      </c>
      <c r="C1430" s="49" t="s">
        <v>5532</v>
      </c>
      <c r="D1430" s="53" t="s">
        <v>73</v>
      </c>
      <c r="E1430" s="45" t="s">
        <v>5482</v>
      </c>
      <c r="F1430" s="45" t="s">
        <v>3235</v>
      </c>
      <c r="G1430" s="45">
        <v>3</v>
      </c>
      <c r="H1430" s="53" t="s">
        <v>5533</v>
      </c>
      <c r="I1430" s="45">
        <v>0</v>
      </c>
      <c r="J1430" s="45">
        <v>0</v>
      </c>
      <c r="K1430" s="45">
        <v>22000</v>
      </c>
      <c r="L1430" s="45">
        <v>0</v>
      </c>
      <c r="M1430" s="45">
        <v>0</v>
      </c>
      <c r="N1430" s="45">
        <v>0</v>
      </c>
      <c r="O1430" s="45">
        <v>0</v>
      </c>
      <c r="P1430" s="45">
        <v>0</v>
      </c>
      <c r="Q1430" s="45">
        <v>0</v>
      </c>
      <c r="R1430" s="45">
        <v>0</v>
      </c>
      <c r="S1430" s="45">
        <v>0</v>
      </c>
      <c r="T1430" s="45">
        <v>0</v>
      </c>
      <c r="U1430" s="45">
        <v>1397</v>
      </c>
      <c r="V1430" s="45">
        <v>0</v>
      </c>
      <c r="W1430" s="45">
        <v>0</v>
      </c>
      <c r="X1430" s="45">
        <v>0</v>
      </c>
      <c r="Y1430" s="45">
        <v>5000</v>
      </c>
      <c r="Z1430" s="45">
        <v>0</v>
      </c>
      <c r="AA1430" s="45">
        <v>0</v>
      </c>
      <c r="AB1430" s="45">
        <v>0</v>
      </c>
      <c r="AC1430" s="45">
        <v>0</v>
      </c>
      <c r="AD1430" s="45">
        <v>0</v>
      </c>
      <c r="AE1430" s="45">
        <v>0</v>
      </c>
      <c r="AF1430" s="45">
        <v>0</v>
      </c>
      <c r="AG1430" s="45">
        <v>0</v>
      </c>
      <c r="AH1430" s="45">
        <v>0</v>
      </c>
      <c r="AI1430" s="45">
        <v>0</v>
      </c>
      <c r="AJ1430" s="45">
        <v>0</v>
      </c>
      <c r="AK1430" s="45">
        <v>0</v>
      </c>
      <c r="AL1430" s="45">
        <v>0</v>
      </c>
      <c r="AM1430" s="57" t="str">
        <f>I1430-J1430-K1430-L1430-M1430-N1430-O1430-P1430-Q1430-R1430-S1430-T1430-U1430-V1430-W1430-X1430-Y1430-Z1430-AA1430-AB1430-AC1430-AD1430-AE1430-AF1430-AG1430+AH1430-AI1430+AJ1430+AK1430-AL1430</f>
        <v>0</v>
      </c>
      <c r="AN1430" s="45"/>
    </row>
    <row r="1431" spans="1:41">
      <c r="A1431" s="45">
        <v>1403</v>
      </c>
      <c r="B1431" s="45" t="s">
        <v>5534</v>
      </c>
      <c r="C1431" s="49" t="s">
        <v>5535</v>
      </c>
      <c r="D1431" s="53" t="s">
        <v>73</v>
      </c>
      <c r="E1431" s="45" t="s">
        <v>5482</v>
      </c>
      <c r="F1431" s="45" t="s">
        <v>5536</v>
      </c>
      <c r="G1431" s="45">
        <v>8</v>
      </c>
      <c r="H1431" s="53" t="s">
        <v>5537</v>
      </c>
      <c r="I1431" s="45">
        <v>0</v>
      </c>
      <c r="J1431" s="45">
        <v>0</v>
      </c>
      <c r="K1431" s="45">
        <v>39000</v>
      </c>
      <c r="L1431" s="45">
        <v>0</v>
      </c>
      <c r="M1431" s="45">
        <v>0</v>
      </c>
      <c r="N1431" s="45">
        <v>0</v>
      </c>
      <c r="O1431" s="45">
        <v>0</v>
      </c>
      <c r="P1431" s="45">
        <v>0</v>
      </c>
      <c r="Q1431" s="45">
        <v>0</v>
      </c>
      <c r="R1431" s="45">
        <v>0</v>
      </c>
      <c r="S1431" s="45">
        <v>0</v>
      </c>
      <c r="T1431" s="45">
        <v>0</v>
      </c>
      <c r="U1431" s="45">
        <v>2476</v>
      </c>
      <c r="V1431" s="45">
        <v>0</v>
      </c>
      <c r="W1431" s="45">
        <v>0</v>
      </c>
      <c r="X1431" s="45">
        <v>0</v>
      </c>
      <c r="Y1431" s="45">
        <v>19500</v>
      </c>
      <c r="Z1431" s="45">
        <v>0</v>
      </c>
      <c r="AA1431" s="45">
        <v>0</v>
      </c>
      <c r="AB1431" s="45">
        <v>0</v>
      </c>
      <c r="AC1431" s="45">
        <v>0</v>
      </c>
      <c r="AD1431" s="45">
        <v>0</v>
      </c>
      <c r="AE1431" s="45">
        <v>0</v>
      </c>
      <c r="AF1431" s="45">
        <v>0</v>
      </c>
      <c r="AG1431" s="45">
        <v>0</v>
      </c>
      <c r="AH1431" s="45">
        <v>0</v>
      </c>
      <c r="AI1431" s="45">
        <v>0</v>
      </c>
      <c r="AJ1431" s="45">
        <v>0</v>
      </c>
      <c r="AK1431" s="45">
        <v>0</v>
      </c>
      <c r="AL1431" s="45">
        <v>0</v>
      </c>
      <c r="AM1431" s="57" t="str">
        <f>I1431-J1431-K1431-L1431-M1431-N1431-O1431-P1431-Q1431-R1431-S1431-T1431-U1431-V1431-W1431-X1431-Y1431-Z1431-AA1431-AB1431-AC1431-AD1431-AE1431-AF1431-AG1431+AH1431-AI1431+AJ1431+AK1431-AL1431</f>
        <v>0</v>
      </c>
      <c r="AN1431" s="45"/>
    </row>
    <row r="1432" spans="1:41">
      <c r="A1432" s="45">
        <v>1404</v>
      </c>
      <c r="B1432" s="45" t="s">
        <v>5538</v>
      </c>
      <c r="C1432" s="49" t="s">
        <v>5539</v>
      </c>
      <c r="D1432" s="53" t="s">
        <v>73</v>
      </c>
      <c r="E1432" s="45" t="s">
        <v>5482</v>
      </c>
      <c r="F1432" s="45" t="s">
        <v>4089</v>
      </c>
      <c r="G1432" s="45">
        <v>4</v>
      </c>
      <c r="H1432" s="53" t="s">
        <v>5540</v>
      </c>
      <c r="I1432" s="45">
        <v>0</v>
      </c>
      <c r="J1432" s="45">
        <v>0</v>
      </c>
      <c r="K1432" s="45">
        <v>25000</v>
      </c>
      <c r="L1432" s="45">
        <v>0</v>
      </c>
      <c r="M1432" s="45">
        <v>0</v>
      </c>
      <c r="N1432" s="45">
        <v>0</v>
      </c>
      <c r="O1432" s="45">
        <v>0</v>
      </c>
      <c r="P1432" s="45">
        <v>0</v>
      </c>
      <c r="Q1432" s="45">
        <v>0</v>
      </c>
      <c r="R1432" s="45">
        <v>0</v>
      </c>
      <c r="S1432" s="45">
        <v>0</v>
      </c>
      <c r="T1432" s="45">
        <v>0</v>
      </c>
      <c r="U1432" s="45">
        <v>1587</v>
      </c>
      <c r="V1432" s="45">
        <v>0</v>
      </c>
      <c r="W1432" s="45">
        <v>0</v>
      </c>
      <c r="X1432" s="45">
        <v>0</v>
      </c>
      <c r="Y1432" s="45">
        <v>5000</v>
      </c>
      <c r="Z1432" s="45">
        <v>0</v>
      </c>
      <c r="AA1432" s="45">
        <v>0</v>
      </c>
      <c r="AB1432" s="45">
        <v>0</v>
      </c>
      <c r="AC1432" s="45">
        <v>0</v>
      </c>
      <c r="AD1432" s="45">
        <v>0</v>
      </c>
      <c r="AE1432" s="45">
        <v>0</v>
      </c>
      <c r="AF1432" s="45">
        <v>0</v>
      </c>
      <c r="AG1432" s="45">
        <v>0</v>
      </c>
      <c r="AH1432" s="45">
        <v>0</v>
      </c>
      <c r="AI1432" s="45">
        <v>0</v>
      </c>
      <c r="AJ1432" s="45">
        <v>0</v>
      </c>
      <c r="AK1432" s="45">
        <v>0</v>
      </c>
      <c r="AL1432" s="45">
        <v>0</v>
      </c>
      <c r="AM1432" s="57" t="str">
        <f>I1432-J1432-K1432-L1432-M1432-N1432-O1432-P1432-Q1432-R1432-S1432-T1432-U1432-V1432-W1432-X1432-Y1432-Z1432-AA1432-AB1432-AC1432-AD1432-AE1432-AF1432-AG1432+AH1432-AI1432+AJ1432+AK1432-AL1432</f>
        <v>0</v>
      </c>
      <c r="AN1432" s="45"/>
    </row>
    <row r="1433" spans="1:41">
      <c r="A1433" s="45">
        <v>1405</v>
      </c>
      <c r="B1433" s="45" t="s">
        <v>5541</v>
      </c>
      <c r="C1433" s="49" t="s">
        <v>5542</v>
      </c>
      <c r="D1433" s="53" t="s">
        <v>73</v>
      </c>
      <c r="E1433" s="45" t="s">
        <v>5482</v>
      </c>
      <c r="F1433" s="45" t="s">
        <v>5543</v>
      </c>
      <c r="G1433" s="45">
        <v>4</v>
      </c>
      <c r="H1433" s="53" t="s">
        <v>3475</v>
      </c>
      <c r="I1433" s="45">
        <v>0</v>
      </c>
      <c r="J1433" s="45">
        <v>0</v>
      </c>
      <c r="K1433" s="45">
        <v>25000</v>
      </c>
      <c r="L1433" s="45">
        <v>0</v>
      </c>
      <c r="M1433" s="45">
        <v>0</v>
      </c>
      <c r="N1433" s="45">
        <v>0</v>
      </c>
      <c r="O1433" s="45">
        <v>0</v>
      </c>
      <c r="P1433" s="45">
        <v>0</v>
      </c>
      <c r="Q1433" s="45">
        <v>0</v>
      </c>
      <c r="R1433" s="45">
        <v>0</v>
      </c>
      <c r="S1433" s="45">
        <v>0</v>
      </c>
      <c r="T1433" s="45">
        <v>0</v>
      </c>
      <c r="U1433" s="45">
        <v>1587</v>
      </c>
      <c r="V1433" s="45">
        <v>0</v>
      </c>
      <c r="W1433" s="45">
        <v>0</v>
      </c>
      <c r="X1433" s="45">
        <v>0</v>
      </c>
      <c r="Y1433" s="45">
        <v>12500</v>
      </c>
      <c r="Z1433" s="45">
        <v>0</v>
      </c>
      <c r="AA1433" s="45">
        <v>0</v>
      </c>
      <c r="AB1433" s="45">
        <v>0</v>
      </c>
      <c r="AC1433" s="45">
        <v>0</v>
      </c>
      <c r="AD1433" s="45">
        <v>0</v>
      </c>
      <c r="AE1433" s="45">
        <v>0</v>
      </c>
      <c r="AF1433" s="45">
        <v>0</v>
      </c>
      <c r="AG1433" s="45">
        <v>0</v>
      </c>
      <c r="AH1433" s="45">
        <v>0</v>
      </c>
      <c r="AI1433" s="45">
        <v>0</v>
      </c>
      <c r="AJ1433" s="45">
        <v>0</v>
      </c>
      <c r="AK1433" s="45">
        <v>0</v>
      </c>
      <c r="AL1433" s="45">
        <v>0</v>
      </c>
      <c r="AM1433" s="57" t="str">
        <f>I1433-J1433-K1433-L1433-M1433-N1433-O1433-P1433-Q1433-R1433-S1433-T1433-U1433-V1433-W1433-X1433-Y1433-Z1433-AA1433-AB1433-AC1433-AD1433-AE1433-AF1433-AG1433+AH1433-AI1433+AJ1433+AK1433-AL1433</f>
        <v>0</v>
      </c>
      <c r="AN1433" s="45"/>
    </row>
    <row r="1434" spans="1:41">
      <c r="A1434" s="45">
        <v>1406</v>
      </c>
      <c r="B1434" s="45" t="s">
        <v>5544</v>
      </c>
      <c r="C1434" s="49" t="s">
        <v>5545</v>
      </c>
      <c r="D1434" s="53" t="s">
        <v>73</v>
      </c>
      <c r="E1434" s="45" t="s">
        <v>5482</v>
      </c>
      <c r="F1434" s="45" t="s">
        <v>5546</v>
      </c>
      <c r="G1434" s="45">
        <v>5</v>
      </c>
      <c r="H1434" s="53" t="s">
        <v>5547</v>
      </c>
      <c r="I1434" s="45">
        <v>0</v>
      </c>
      <c r="J1434" s="45">
        <v>0</v>
      </c>
      <c r="K1434" s="45">
        <v>27000</v>
      </c>
      <c r="L1434" s="45">
        <v>0</v>
      </c>
      <c r="M1434" s="45">
        <v>0</v>
      </c>
      <c r="N1434" s="45">
        <v>0</v>
      </c>
      <c r="O1434" s="45">
        <v>0</v>
      </c>
      <c r="P1434" s="45">
        <v>0</v>
      </c>
      <c r="Q1434" s="45">
        <v>0</v>
      </c>
      <c r="R1434" s="45">
        <v>0</v>
      </c>
      <c r="S1434" s="45">
        <v>0</v>
      </c>
      <c r="T1434" s="45">
        <v>0</v>
      </c>
      <c r="U1434" s="45">
        <v>1714</v>
      </c>
      <c r="V1434" s="45">
        <v>0</v>
      </c>
      <c r="W1434" s="45">
        <v>0</v>
      </c>
      <c r="X1434" s="45">
        <v>0</v>
      </c>
      <c r="Y1434" s="45">
        <v>13500</v>
      </c>
      <c r="Z1434" s="45">
        <v>0</v>
      </c>
      <c r="AA1434" s="45">
        <v>0</v>
      </c>
      <c r="AB1434" s="45">
        <v>0</v>
      </c>
      <c r="AC1434" s="45">
        <v>0</v>
      </c>
      <c r="AD1434" s="45">
        <v>0</v>
      </c>
      <c r="AE1434" s="45">
        <v>0</v>
      </c>
      <c r="AF1434" s="45">
        <v>0</v>
      </c>
      <c r="AG1434" s="45">
        <v>0</v>
      </c>
      <c r="AH1434" s="45">
        <v>0</v>
      </c>
      <c r="AI1434" s="45">
        <v>0</v>
      </c>
      <c r="AJ1434" s="45">
        <v>0</v>
      </c>
      <c r="AK1434" s="45">
        <v>0</v>
      </c>
      <c r="AL1434" s="45">
        <v>0</v>
      </c>
      <c r="AM1434" s="57" t="str">
        <f>I1434-J1434-K1434-L1434-M1434-N1434-O1434-P1434-Q1434-R1434-S1434-T1434-U1434-V1434-W1434-X1434-Y1434-Z1434-AA1434-AB1434-AC1434-AD1434-AE1434-AF1434-AG1434+AH1434-AI1434+AJ1434+AK1434-AL1434</f>
        <v>0</v>
      </c>
      <c r="AN1434" s="45"/>
    </row>
    <row r="1435" spans="1:41">
      <c r="A1435" s="45">
        <v>1407</v>
      </c>
      <c r="B1435" s="45" t="s">
        <v>5548</v>
      </c>
      <c r="C1435" s="49" t="s">
        <v>5549</v>
      </c>
      <c r="D1435" s="53" t="s">
        <v>73</v>
      </c>
      <c r="E1435" s="45" t="s">
        <v>5482</v>
      </c>
      <c r="F1435" s="45" t="s">
        <v>2677</v>
      </c>
      <c r="G1435" s="45">
        <v>8</v>
      </c>
      <c r="H1435" s="53" t="s">
        <v>5550</v>
      </c>
      <c r="I1435" s="45">
        <v>0</v>
      </c>
      <c r="J1435" s="45">
        <v>0</v>
      </c>
      <c r="K1435" s="45">
        <v>39000</v>
      </c>
      <c r="L1435" s="45">
        <v>0</v>
      </c>
      <c r="M1435" s="45">
        <v>0</v>
      </c>
      <c r="N1435" s="45">
        <v>0</v>
      </c>
      <c r="O1435" s="45">
        <v>0</v>
      </c>
      <c r="P1435" s="45">
        <v>0</v>
      </c>
      <c r="Q1435" s="45">
        <v>0</v>
      </c>
      <c r="R1435" s="45">
        <v>0</v>
      </c>
      <c r="S1435" s="45">
        <v>0</v>
      </c>
      <c r="T1435" s="45">
        <v>0</v>
      </c>
      <c r="U1435" s="45">
        <v>2476</v>
      </c>
      <c r="V1435" s="45">
        <v>0</v>
      </c>
      <c r="W1435" s="45">
        <v>0</v>
      </c>
      <c r="X1435" s="45">
        <v>0</v>
      </c>
      <c r="Y1435" s="45">
        <v>19500</v>
      </c>
      <c r="Z1435" s="45">
        <v>0</v>
      </c>
      <c r="AA1435" s="45">
        <v>0</v>
      </c>
      <c r="AB1435" s="45">
        <v>0</v>
      </c>
      <c r="AC1435" s="45">
        <v>0</v>
      </c>
      <c r="AD1435" s="45">
        <v>0</v>
      </c>
      <c r="AE1435" s="45">
        <v>0</v>
      </c>
      <c r="AF1435" s="45">
        <v>0</v>
      </c>
      <c r="AG1435" s="45">
        <v>0</v>
      </c>
      <c r="AH1435" s="45">
        <v>0</v>
      </c>
      <c r="AI1435" s="45">
        <v>0</v>
      </c>
      <c r="AJ1435" s="45">
        <v>0</v>
      </c>
      <c r="AK1435" s="45">
        <v>0</v>
      </c>
      <c r="AL1435" s="45">
        <v>0</v>
      </c>
      <c r="AM1435" s="57" t="str">
        <f>I1435-J1435-K1435-L1435-M1435-N1435-O1435-P1435-Q1435-R1435-S1435-T1435-U1435-V1435-W1435-X1435-Y1435-Z1435-AA1435-AB1435-AC1435-AD1435-AE1435-AF1435-AG1435+AH1435-AI1435+AJ1435+AK1435-AL1435</f>
        <v>0</v>
      </c>
      <c r="AN1435" s="45"/>
    </row>
    <row r="1436" spans="1:41">
      <c r="A1436" s="45">
        <v>1408</v>
      </c>
      <c r="B1436" s="45" t="s">
        <v>5551</v>
      </c>
      <c r="C1436" s="49" t="s">
        <v>5552</v>
      </c>
      <c r="D1436" s="53" t="s">
        <v>73</v>
      </c>
      <c r="E1436" s="45" t="s">
        <v>5553</v>
      </c>
      <c r="F1436" s="45" t="s">
        <v>5554</v>
      </c>
      <c r="G1436" s="45">
        <v>2</v>
      </c>
      <c r="H1436" s="53" t="s">
        <v>5555</v>
      </c>
      <c r="I1436" s="45">
        <v>235000</v>
      </c>
      <c r="J1436" s="45">
        <v>0</v>
      </c>
      <c r="K1436" s="45">
        <v>22000</v>
      </c>
      <c r="L1436" s="45">
        <v>0</v>
      </c>
      <c r="M1436" s="45">
        <v>0</v>
      </c>
      <c r="N1436" s="45">
        <v>0</v>
      </c>
      <c r="O1436" s="45">
        <v>0</v>
      </c>
      <c r="P1436" s="45">
        <v>0</v>
      </c>
      <c r="Q1436" s="45">
        <v>0</v>
      </c>
      <c r="R1436" s="45">
        <v>0</v>
      </c>
      <c r="S1436" s="45">
        <v>0</v>
      </c>
      <c r="T1436" s="45">
        <v>0</v>
      </c>
      <c r="U1436" s="45">
        <v>1397</v>
      </c>
      <c r="V1436" s="45">
        <v>0</v>
      </c>
      <c r="W1436" s="45">
        <v>0</v>
      </c>
      <c r="X1436" s="45">
        <v>0</v>
      </c>
      <c r="Y1436" s="45">
        <v>0</v>
      </c>
      <c r="Z1436" s="45">
        <v>0</v>
      </c>
      <c r="AA1436" s="45">
        <v>0</v>
      </c>
      <c r="AB1436" s="45">
        <v>0</v>
      </c>
      <c r="AC1436" s="45">
        <v>0</v>
      </c>
      <c r="AD1436" s="45">
        <v>0</v>
      </c>
      <c r="AE1436" s="45">
        <v>0</v>
      </c>
      <c r="AF1436" s="45">
        <v>0</v>
      </c>
      <c r="AG1436" s="45">
        <v>0</v>
      </c>
      <c r="AH1436" s="45">
        <v>0</v>
      </c>
      <c r="AI1436" s="45">
        <v>0</v>
      </c>
      <c r="AJ1436" s="45">
        <v>0</v>
      </c>
      <c r="AK1436" s="45">
        <v>0</v>
      </c>
      <c r="AL1436" s="45">
        <v>0</v>
      </c>
      <c r="AM1436" s="57" t="str">
        <f>I1436-J1436-K1436-L1436-M1436-N1436-O1436-P1436-Q1436-R1436-S1436-T1436-U1436-V1436-W1436-X1436-Y1436-Z1436-AA1436-AB1436-AC1436-AD1436-AE1436-AF1436-AG1436+AH1436-AI1436+AJ1436+AK1436-AL1436</f>
        <v>0</v>
      </c>
      <c r="AN1436" s="45"/>
    </row>
    <row r="1437" spans="1:41">
      <c r="A1437" s="45">
        <v>1409</v>
      </c>
      <c r="B1437" s="45" t="s">
        <v>5556</v>
      </c>
      <c r="C1437" s="49" t="s">
        <v>5557</v>
      </c>
      <c r="D1437" s="53" t="s">
        <v>73</v>
      </c>
      <c r="E1437" s="45" t="s">
        <v>5553</v>
      </c>
      <c r="F1437" s="45" t="s">
        <v>4436</v>
      </c>
      <c r="G1437" s="45">
        <v>8</v>
      </c>
      <c r="H1437" s="53" t="s">
        <v>5558</v>
      </c>
      <c r="I1437" s="45">
        <v>615000</v>
      </c>
      <c r="J1437" s="45">
        <v>0</v>
      </c>
      <c r="K1437" s="45">
        <v>26000</v>
      </c>
      <c r="L1437" s="45">
        <v>0</v>
      </c>
      <c r="M1437" s="45">
        <v>0</v>
      </c>
      <c r="N1437" s="45">
        <v>0</v>
      </c>
      <c r="O1437" s="45">
        <v>0</v>
      </c>
      <c r="P1437" s="45">
        <v>0</v>
      </c>
      <c r="Q1437" s="45">
        <v>0</v>
      </c>
      <c r="R1437" s="45">
        <v>0</v>
      </c>
      <c r="S1437" s="45">
        <v>0</v>
      </c>
      <c r="T1437" s="45">
        <v>0</v>
      </c>
      <c r="U1437" s="45">
        <v>1651</v>
      </c>
      <c r="V1437" s="45">
        <v>0</v>
      </c>
      <c r="W1437" s="45">
        <v>0</v>
      </c>
      <c r="X1437" s="45">
        <v>0</v>
      </c>
      <c r="Y1437" s="45">
        <v>0</v>
      </c>
      <c r="Z1437" s="45">
        <v>0</v>
      </c>
      <c r="AA1437" s="45">
        <v>0</v>
      </c>
      <c r="AB1437" s="45">
        <v>0</v>
      </c>
      <c r="AC1437" s="45">
        <v>0</v>
      </c>
      <c r="AD1437" s="45">
        <v>0</v>
      </c>
      <c r="AE1437" s="45">
        <v>0</v>
      </c>
      <c r="AF1437" s="45">
        <v>0</v>
      </c>
      <c r="AG1437" s="45">
        <v>0</v>
      </c>
      <c r="AH1437" s="45">
        <v>0</v>
      </c>
      <c r="AI1437" s="45">
        <v>0</v>
      </c>
      <c r="AJ1437" s="45">
        <v>0</v>
      </c>
      <c r="AK1437" s="45">
        <v>0</v>
      </c>
      <c r="AL1437" s="45">
        <v>0</v>
      </c>
      <c r="AM1437" s="57" t="str">
        <f>I1437-J1437-K1437-L1437-M1437-N1437-O1437-P1437-Q1437-R1437-S1437-T1437-U1437-V1437-W1437-X1437-Y1437-Z1437-AA1437-AB1437-AC1437-AD1437-AE1437-AF1437-AG1437+AH1437-AI1437+AJ1437+AK1437-AL1437</f>
        <v>0</v>
      </c>
      <c r="AN1437" s="45"/>
    </row>
    <row r="1438" spans="1:41">
      <c r="A1438" s="45">
        <v>1410</v>
      </c>
      <c r="B1438" s="45" t="s">
        <v>5559</v>
      </c>
      <c r="C1438" s="49" t="s">
        <v>5560</v>
      </c>
      <c r="D1438" s="53" t="s">
        <v>73</v>
      </c>
      <c r="E1438" s="45" t="s">
        <v>5553</v>
      </c>
      <c r="F1438" s="45" t="s">
        <v>5561</v>
      </c>
      <c r="G1438" s="45">
        <v>3</v>
      </c>
      <c r="H1438" s="53" t="s">
        <v>5562</v>
      </c>
      <c r="I1438" s="45">
        <v>785000</v>
      </c>
      <c r="J1438" s="45">
        <v>0</v>
      </c>
      <c r="K1438" s="45">
        <v>23000</v>
      </c>
      <c r="L1438" s="45">
        <v>0</v>
      </c>
      <c r="M1438" s="45">
        <v>0</v>
      </c>
      <c r="N1438" s="45">
        <v>0</v>
      </c>
      <c r="O1438" s="45">
        <v>0</v>
      </c>
      <c r="P1438" s="45">
        <v>0</v>
      </c>
      <c r="Q1438" s="45">
        <v>0</v>
      </c>
      <c r="R1438" s="45">
        <v>0</v>
      </c>
      <c r="S1438" s="45">
        <v>0</v>
      </c>
      <c r="T1438" s="45">
        <v>0</v>
      </c>
      <c r="U1438" s="45">
        <v>1460</v>
      </c>
      <c r="V1438" s="45">
        <v>0</v>
      </c>
      <c r="W1438" s="45">
        <v>0</v>
      </c>
      <c r="X1438" s="45">
        <v>0</v>
      </c>
      <c r="Y1438" s="45">
        <v>0</v>
      </c>
      <c r="Z1438" s="45">
        <v>0</v>
      </c>
      <c r="AA1438" s="45">
        <v>0</v>
      </c>
      <c r="AB1438" s="45">
        <v>0</v>
      </c>
      <c r="AC1438" s="45">
        <v>0</v>
      </c>
      <c r="AD1438" s="45">
        <v>0</v>
      </c>
      <c r="AE1438" s="45">
        <v>0</v>
      </c>
      <c r="AF1438" s="45">
        <v>0</v>
      </c>
      <c r="AG1438" s="45">
        <v>0</v>
      </c>
      <c r="AH1438" s="45">
        <v>0</v>
      </c>
      <c r="AI1438" s="45">
        <v>0</v>
      </c>
      <c r="AJ1438" s="45">
        <v>0</v>
      </c>
      <c r="AK1438" s="45">
        <v>0</v>
      </c>
      <c r="AL1438" s="45">
        <v>0</v>
      </c>
      <c r="AM1438" s="57" t="str">
        <f>I1438-J1438-K1438-L1438-M1438-N1438-O1438-P1438-Q1438-R1438-S1438-T1438-U1438-V1438-W1438-X1438-Y1438-Z1438-AA1438-AB1438-AC1438-AD1438-AE1438-AF1438-AG1438+AH1438-AI1438+AJ1438+AK1438-AL1438</f>
        <v>0</v>
      </c>
      <c r="AN1438" s="45"/>
    </row>
    <row r="1439" spans="1:41">
      <c r="A1439" s="45">
        <v>1411</v>
      </c>
      <c r="B1439" s="45" t="s">
        <v>5563</v>
      </c>
      <c r="C1439" s="49" t="s">
        <v>5564</v>
      </c>
      <c r="D1439" s="53" t="s">
        <v>73</v>
      </c>
      <c r="E1439" s="45" t="s">
        <v>5553</v>
      </c>
      <c r="F1439" s="45" t="s">
        <v>5565</v>
      </c>
      <c r="G1439" s="45">
        <v>6</v>
      </c>
      <c r="H1439" s="53" t="s">
        <v>5566</v>
      </c>
      <c r="I1439" s="45">
        <v>532000</v>
      </c>
      <c r="J1439" s="45">
        <v>0</v>
      </c>
      <c r="K1439" s="45">
        <v>24000</v>
      </c>
      <c r="L1439" s="45">
        <v>0</v>
      </c>
      <c r="M1439" s="45">
        <v>0</v>
      </c>
      <c r="N1439" s="45">
        <v>0</v>
      </c>
      <c r="O1439" s="45">
        <v>0</v>
      </c>
      <c r="P1439" s="45">
        <v>0</v>
      </c>
      <c r="Q1439" s="45">
        <v>0</v>
      </c>
      <c r="R1439" s="45">
        <v>0</v>
      </c>
      <c r="S1439" s="45">
        <v>0</v>
      </c>
      <c r="T1439" s="45">
        <v>0</v>
      </c>
      <c r="U1439" s="45">
        <v>1524</v>
      </c>
      <c r="V1439" s="45">
        <v>0</v>
      </c>
      <c r="W1439" s="45">
        <v>0</v>
      </c>
      <c r="X1439" s="45">
        <v>0</v>
      </c>
      <c r="Y1439" s="45">
        <v>0</v>
      </c>
      <c r="Z1439" s="45">
        <v>0</v>
      </c>
      <c r="AA1439" s="45">
        <v>0</v>
      </c>
      <c r="AB1439" s="45">
        <v>0</v>
      </c>
      <c r="AC1439" s="45">
        <v>0</v>
      </c>
      <c r="AD1439" s="45">
        <v>0</v>
      </c>
      <c r="AE1439" s="45">
        <v>0</v>
      </c>
      <c r="AF1439" s="45">
        <v>0</v>
      </c>
      <c r="AG1439" s="45">
        <v>0</v>
      </c>
      <c r="AH1439" s="45">
        <v>0</v>
      </c>
      <c r="AI1439" s="45">
        <v>0</v>
      </c>
      <c r="AJ1439" s="45">
        <v>0</v>
      </c>
      <c r="AK1439" s="45">
        <v>0</v>
      </c>
      <c r="AL1439" s="45">
        <v>0</v>
      </c>
      <c r="AM1439" s="57" t="str">
        <f>I1439-J1439-K1439-L1439-M1439-N1439-O1439-P1439-Q1439-R1439-S1439-T1439-U1439-V1439-W1439-X1439-Y1439-Z1439-AA1439-AB1439-AC1439-AD1439-AE1439-AF1439-AG1439+AH1439-AI1439+AJ1439+AK1439-AL1439</f>
        <v>0</v>
      </c>
      <c r="AN1439" s="45"/>
    </row>
    <row r="1440" spans="1:41">
      <c r="A1440" s="45">
        <v>1412</v>
      </c>
      <c r="B1440" s="45" t="s">
        <v>5567</v>
      </c>
      <c r="C1440" s="49" t="s">
        <v>5568</v>
      </c>
      <c r="D1440" s="53" t="s">
        <v>73</v>
      </c>
      <c r="E1440" s="45" t="s">
        <v>5553</v>
      </c>
      <c r="F1440" s="45" t="s">
        <v>5569</v>
      </c>
      <c r="G1440" s="45">
        <v>2</v>
      </c>
      <c r="H1440" s="53" t="s">
        <v>5570</v>
      </c>
      <c r="I1440" s="45">
        <v>285000</v>
      </c>
      <c r="J1440" s="45">
        <v>0</v>
      </c>
      <c r="K1440" s="45">
        <v>23000</v>
      </c>
      <c r="L1440" s="45">
        <v>0</v>
      </c>
      <c r="M1440" s="45">
        <v>0</v>
      </c>
      <c r="N1440" s="45">
        <v>0</v>
      </c>
      <c r="O1440" s="45">
        <v>0</v>
      </c>
      <c r="P1440" s="45">
        <v>0</v>
      </c>
      <c r="Q1440" s="45">
        <v>0</v>
      </c>
      <c r="R1440" s="45">
        <v>0</v>
      </c>
      <c r="S1440" s="45">
        <v>0</v>
      </c>
      <c r="T1440" s="45">
        <v>0</v>
      </c>
      <c r="U1440" s="45">
        <v>1460</v>
      </c>
      <c r="V1440" s="45">
        <v>0</v>
      </c>
      <c r="W1440" s="45">
        <v>0</v>
      </c>
      <c r="X1440" s="45">
        <v>0</v>
      </c>
      <c r="Y1440" s="45">
        <v>0</v>
      </c>
      <c r="Z1440" s="45">
        <v>0</v>
      </c>
      <c r="AA1440" s="45">
        <v>0</v>
      </c>
      <c r="AB1440" s="45">
        <v>0</v>
      </c>
      <c r="AC1440" s="45">
        <v>0</v>
      </c>
      <c r="AD1440" s="45">
        <v>0</v>
      </c>
      <c r="AE1440" s="45">
        <v>0</v>
      </c>
      <c r="AF1440" s="45">
        <v>0</v>
      </c>
      <c r="AG1440" s="45">
        <v>0</v>
      </c>
      <c r="AH1440" s="45">
        <v>0</v>
      </c>
      <c r="AI1440" s="45">
        <v>0</v>
      </c>
      <c r="AJ1440" s="45">
        <v>0</v>
      </c>
      <c r="AK1440" s="45">
        <v>0</v>
      </c>
      <c r="AL1440" s="45">
        <v>0</v>
      </c>
      <c r="AM1440" s="57" t="str">
        <f>I1440-J1440-K1440-L1440-M1440-N1440-O1440-P1440-Q1440-R1440-S1440-T1440-U1440-V1440-W1440-X1440-Y1440-Z1440-AA1440-AB1440-AC1440-AD1440-AE1440-AF1440-AG1440+AH1440-AI1440+AJ1440+AK1440-AL1440</f>
        <v>0</v>
      </c>
      <c r="AN1440" s="45"/>
    </row>
    <row r="1441" spans="1:41">
      <c r="A1441" s="45">
        <v>1413</v>
      </c>
      <c r="B1441" s="45" t="s">
        <v>5571</v>
      </c>
      <c r="C1441" s="49" t="s">
        <v>5572</v>
      </c>
      <c r="D1441" s="53" t="s">
        <v>73</v>
      </c>
      <c r="E1441" s="45" t="s">
        <v>5553</v>
      </c>
      <c r="F1441" s="45" t="s">
        <v>5573</v>
      </c>
      <c r="G1441" s="45">
        <v>2</v>
      </c>
      <c r="H1441" s="53" t="s">
        <v>5574</v>
      </c>
      <c r="I1441" s="45">
        <v>334000</v>
      </c>
      <c r="J1441" s="45">
        <v>0</v>
      </c>
      <c r="K1441" s="45">
        <v>22000</v>
      </c>
      <c r="L1441" s="45">
        <v>0</v>
      </c>
      <c r="M1441" s="45">
        <v>0</v>
      </c>
      <c r="N1441" s="45">
        <v>0</v>
      </c>
      <c r="O1441" s="45">
        <v>0</v>
      </c>
      <c r="P1441" s="45">
        <v>0</v>
      </c>
      <c r="Q1441" s="45">
        <v>0</v>
      </c>
      <c r="R1441" s="45">
        <v>0</v>
      </c>
      <c r="S1441" s="45">
        <v>0</v>
      </c>
      <c r="T1441" s="45">
        <v>0</v>
      </c>
      <c r="U1441" s="45">
        <v>1397</v>
      </c>
      <c r="V1441" s="45">
        <v>0</v>
      </c>
      <c r="W1441" s="45">
        <v>0</v>
      </c>
      <c r="X1441" s="45">
        <v>0</v>
      </c>
      <c r="Y1441" s="45">
        <v>0</v>
      </c>
      <c r="Z1441" s="45">
        <v>0</v>
      </c>
      <c r="AA1441" s="45">
        <v>0</v>
      </c>
      <c r="AB1441" s="45">
        <v>0</v>
      </c>
      <c r="AC1441" s="45">
        <v>0</v>
      </c>
      <c r="AD1441" s="45">
        <v>0</v>
      </c>
      <c r="AE1441" s="45">
        <v>0</v>
      </c>
      <c r="AF1441" s="45">
        <v>0</v>
      </c>
      <c r="AG1441" s="45">
        <v>0</v>
      </c>
      <c r="AH1441" s="45">
        <v>0</v>
      </c>
      <c r="AI1441" s="45">
        <v>0</v>
      </c>
      <c r="AJ1441" s="45">
        <v>0</v>
      </c>
      <c r="AK1441" s="45">
        <v>0</v>
      </c>
      <c r="AL1441" s="45">
        <v>0</v>
      </c>
      <c r="AM1441" s="57" t="str">
        <f>I1441-J1441-K1441-L1441-M1441-N1441-O1441-P1441-Q1441-R1441-S1441-T1441-U1441-V1441-W1441-X1441-Y1441-Z1441-AA1441-AB1441-AC1441-AD1441-AE1441-AF1441-AG1441+AH1441-AI1441+AJ1441+AK1441-AL1441</f>
        <v>0</v>
      </c>
      <c r="AN1441" s="45"/>
    </row>
    <row r="1442" spans="1:41">
      <c r="A1442" s="45">
        <v>1414</v>
      </c>
      <c r="B1442" s="45" t="s">
        <v>5575</v>
      </c>
      <c r="C1442" s="49" t="s">
        <v>5576</v>
      </c>
      <c r="D1442" s="53" t="s">
        <v>73</v>
      </c>
      <c r="E1442" s="45" t="s">
        <v>5553</v>
      </c>
      <c r="F1442" s="45" t="s">
        <v>5577</v>
      </c>
      <c r="G1442" s="45">
        <v>3</v>
      </c>
      <c r="H1442" s="53" t="s">
        <v>5578</v>
      </c>
      <c r="I1442" s="45">
        <v>334000</v>
      </c>
      <c r="J1442" s="45">
        <v>0</v>
      </c>
      <c r="K1442" s="45">
        <v>23000</v>
      </c>
      <c r="L1442" s="45">
        <v>0</v>
      </c>
      <c r="M1442" s="45">
        <v>0</v>
      </c>
      <c r="N1442" s="45">
        <v>0</v>
      </c>
      <c r="O1442" s="45">
        <v>0</v>
      </c>
      <c r="P1442" s="45">
        <v>0</v>
      </c>
      <c r="Q1442" s="45">
        <v>0</v>
      </c>
      <c r="R1442" s="45">
        <v>0</v>
      </c>
      <c r="S1442" s="45">
        <v>0</v>
      </c>
      <c r="T1442" s="45">
        <v>0</v>
      </c>
      <c r="U1442" s="45">
        <v>1460</v>
      </c>
      <c r="V1442" s="45">
        <v>0</v>
      </c>
      <c r="W1442" s="45">
        <v>0</v>
      </c>
      <c r="X1442" s="45">
        <v>0</v>
      </c>
      <c r="Y1442" s="45">
        <v>0</v>
      </c>
      <c r="Z1442" s="45">
        <v>0</v>
      </c>
      <c r="AA1442" s="45">
        <v>0</v>
      </c>
      <c r="AB1442" s="45">
        <v>0</v>
      </c>
      <c r="AC1442" s="45">
        <v>0</v>
      </c>
      <c r="AD1442" s="45">
        <v>0</v>
      </c>
      <c r="AE1442" s="45">
        <v>0</v>
      </c>
      <c r="AF1442" s="45">
        <v>0</v>
      </c>
      <c r="AG1442" s="45">
        <v>0</v>
      </c>
      <c r="AH1442" s="45">
        <v>0</v>
      </c>
      <c r="AI1442" s="45">
        <v>0</v>
      </c>
      <c r="AJ1442" s="45">
        <v>0</v>
      </c>
      <c r="AK1442" s="45">
        <v>0</v>
      </c>
      <c r="AL1442" s="45">
        <v>0</v>
      </c>
      <c r="AM1442" s="57" t="str">
        <f>I1442-J1442-K1442-L1442-M1442-N1442-O1442-P1442-Q1442-R1442-S1442-T1442-U1442-V1442-W1442-X1442-Y1442-Z1442-AA1442-AB1442-AC1442-AD1442-AE1442-AF1442-AG1442+AH1442-AI1442+AJ1442+AK1442-AL1442</f>
        <v>0</v>
      </c>
      <c r="AN1442" s="45"/>
    </row>
    <row r="1443" spans="1:41">
      <c r="A1443" s="45">
        <v>1415</v>
      </c>
      <c r="B1443" s="45" t="s">
        <v>5579</v>
      </c>
      <c r="C1443" s="49" t="s">
        <v>5580</v>
      </c>
      <c r="D1443" s="53" t="s">
        <v>73</v>
      </c>
      <c r="E1443" s="45" t="s">
        <v>605</v>
      </c>
      <c r="F1443" s="45" t="s">
        <v>5569</v>
      </c>
      <c r="G1443" s="45">
        <v>2</v>
      </c>
      <c r="H1443" s="53" t="s">
        <v>5581</v>
      </c>
      <c r="I1443" s="45">
        <v>334000</v>
      </c>
      <c r="J1443" s="45">
        <v>0</v>
      </c>
      <c r="K1443" s="45">
        <v>22000</v>
      </c>
      <c r="L1443" s="45">
        <v>0</v>
      </c>
      <c r="M1443" s="45">
        <v>0</v>
      </c>
      <c r="N1443" s="45">
        <v>0</v>
      </c>
      <c r="O1443" s="45">
        <v>0</v>
      </c>
      <c r="P1443" s="45">
        <v>0</v>
      </c>
      <c r="Q1443" s="45">
        <v>0</v>
      </c>
      <c r="R1443" s="45">
        <v>0</v>
      </c>
      <c r="S1443" s="45">
        <v>0</v>
      </c>
      <c r="T1443" s="45">
        <v>0</v>
      </c>
      <c r="U1443" s="45">
        <v>1397</v>
      </c>
      <c r="V1443" s="45">
        <v>0</v>
      </c>
      <c r="W1443" s="45">
        <v>0</v>
      </c>
      <c r="X1443" s="45">
        <v>0</v>
      </c>
      <c r="Y1443" s="45">
        <v>0</v>
      </c>
      <c r="Z1443" s="45">
        <v>0</v>
      </c>
      <c r="AA1443" s="45">
        <v>0</v>
      </c>
      <c r="AB1443" s="45">
        <v>0</v>
      </c>
      <c r="AC1443" s="45">
        <v>0</v>
      </c>
      <c r="AD1443" s="45">
        <v>0</v>
      </c>
      <c r="AE1443" s="45">
        <v>0</v>
      </c>
      <c r="AF1443" s="45">
        <v>0</v>
      </c>
      <c r="AG1443" s="45">
        <v>0</v>
      </c>
      <c r="AH1443" s="45">
        <v>0</v>
      </c>
      <c r="AI1443" s="45">
        <v>0</v>
      </c>
      <c r="AJ1443" s="45">
        <v>0</v>
      </c>
      <c r="AK1443" s="45">
        <v>0</v>
      </c>
      <c r="AL1443" s="45">
        <v>0</v>
      </c>
      <c r="AM1443" s="57" t="str">
        <f>I1443-J1443-K1443-L1443-M1443-N1443-O1443-P1443-Q1443-R1443-S1443-T1443-U1443-V1443-W1443-X1443-Y1443-Z1443-AA1443-AB1443-AC1443-AD1443-AE1443-AF1443-AG1443+AH1443-AI1443+AJ1443+AK1443-AL1443</f>
        <v>0</v>
      </c>
      <c r="AN1443" s="45"/>
    </row>
    <row r="1444" spans="1:41">
      <c r="A1444" s="45">
        <v>1416</v>
      </c>
      <c r="B1444" s="45" t="s">
        <v>5582</v>
      </c>
      <c r="C1444" s="49" t="s">
        <v>5583</v>
      </c>
      <c r="D1444" s="53" t="s">
        <v>73</v>
      </c>
      <c r="E1444" s="45" t="s">
        <v>5584</v>
      </c>
      <c r="F1444" s="45" t="s">
        <v>5585</v>
      </c>
      <c r="G1444" s="45">
        <v>6</v>
      </c>
      <c r="H1444" s="53" t="s">
        <v>5586</v>
      </c>
      <c r="I1444" s="45">
        <v>934000</v>
      </c>
      <c r="J1444" s="45">
        <v>0</v>
      </c>
      <c r="K1444" s="45">
        <v>31000</v>
      </c>
      <c r="L1444" s="45">
        <v>0</v>
      </c>
      <c r="M1444" s="45">
        <v>0</v>
      </c>
      <c r="N1444" s="45">
        <v>0</v>
      </c>
      <c r="O1444" s="45">
        <v>0</v>
      </c>
      <c r="P1444" s="45">
        <v>0</v>
      </c>
      <c r="Q1444" s="45">
        <v>0</v>
      </c>
      <c r="R1444" s="45">
        <v>0</v>
      </c>
      <c r="S1444" s="45">
        <v>0</v>
      </c>
      <c r="T1444" s="45">
        <v>0</v>
      </c>
      <c r="U1444" s="45">
        <v>1968</v>
      </c>
      <c r="V1444" s="45">
        <v>0</v>
      </c>
      <c r="W1444" s="45">
        <v>0</v>
      </c>
      <c r="X1444" s="45">
        <v>0</v>
      </c>
      <c r="Y1444" s="45">
        <v>0</v>
      </c>
      <c r="Z1444" s="45">
        <v>0</v>
      </c>
      <c r="AA1444" s="45">
        <v>0</v>
      </c>
      <c r="AB1444" s="45">
        <v>0</v>
      </c>
      <c r="AC1444" s="45">
        <v>0</v>
      </c>
      <c r="AD1444" s="45">
        <v>0</v>
      </c>
      <c r="AE1444" s="45">
        <v>0</v>
      </c>
      <c r="AF1444" s="45">
        <v>0</v>
      </c>
      <c r="AG1444" s="45">
        <v>0</v>
      </c>
      <c r="AH1444" s="45">
        <v>0</v>
      </c>
      <c r="AI1444" s="45">
        <v>0</v>
      </c>
      <c r="AJ1444" s="45">
        <v>0</v>
      </c>
      <c r="AK1444" s="45">
        <v>0</v>
      </c>
      <c r="AL1444" s="45">
        <v>0</v>
      </c>
      <c r="AM1444" s="57" t="str">
        <f>I1444-J1444-K1444-L1444-M1444-N1444-O1444-P1444-Q1444-R1444-S1444-T1444-U1444-V1444-W1444-X1444-Y1444-Z1444-AA1444-AB1444-AC1444-AD1444-AE1444-AF1444-AG1444+AH1444-AI1444+AJ1444+AK1444-AL1444</f>
        <v>0</v>
      </c>
      <c r="AN1444" s="45"/>
    </row>
    <row r="1445" spans="1:41">
      <c r="A1445" s="45">
        <v>1417</v>
      </c>
      <c r="B1445" s="45" t="s">
        <v>5587</v>
      </c>
      <c r="C1445" s="49" t="s">
        <v>5588</v>
      </c>
      <c r="D1445" s="53" t="s">
        <v>73</v>
      </c>
      <c r="E1445" s="45" t="s">
        <v>5584</v>
      </c>
      <c r="F1445" s="45" t="s">
        <v>5585</v>
      </c>
      <c r="G1445" s="45">
        <v>6</v>
      </c>
      <c r="H1445" s="53" t="s">
        <v>5589</v>
      </c>
      <c r="I1445" s="45">
        <v>1058000</v>
      </c>
      <c r="J1445" s="45">
        <v>0</v>
      </c>
      <c r="K1445" s="45">
        <v>31000</v>
      </c>
      <c r="L1445" s="45">
        <v>0</v>
      </c>
      <c r="M1445" s="45">
        <v>0</v>
      </c>
      <c r="N1445" s="45">
        <v>0</v>
      </c>
      <c r="O1445" s="45">
        <v>0</v>
      </c>
      <c r="P1445" s="45">
        <v>0</v>
      </c>
      <c r="Q1445" s="45">
        <v>0</v>
      </c>
      <c r="R1445" s="45">
        <v>0</v>
      </c>
      <c r="S1445" s="45">
        <v>0</v>
      </c>
      <c r="T1445" s="45">
        <v>0</v>
      </c>
      <c r="U1445" s="45">
        <v>1968</v>
      </c>
      <c r="V1445" s="45">
        <v>0</v>
      </c>
      <c r="W1445" s="45">
        <v>0</v>
      </c>
      <c r="X1445" s="45">
        <v>0</v>
      </c>
      <c r="Y1445" s="45">
        <v>0</v>
      </c>
      <c r="Z1445" s="45">
        <v>0</v>
      </c>
      <c r="AA1445" s="45">
        <v>0</v>
      </c>
      <c r="AB1445" s="45">
        <v>0</v>
      </c>
      <c r="AC1445" s="45">
        <v>0</v>
      </c>
      <c r="AD1445" s="45">
        <v>0</v>
      </c>
      <c r="AE1445" s="45">
        <v>0</v>
      </c>
      <c r="AF1445" s="45">
        <v>0</v>
      </c>
      <c r="AG1445" s="45">
        <v>0</v>
      </c>
      <c r="AH1445" s="45">
        <v>0</v>
      </c>
      <c r="AI1445" s="45">
        <v>0</v>
      </c>
      <c r="AJ1445" s="45">
        <v>0</v>
      </c>
      <c r="AK1445" s="45">
        <v>0</v>
      </c>
      <c r="AL1445" s="45">
        <v>0</v>
      </c>
      <c r="AM1445" s="57" t="str">
        <f>I1445-J1445-K1445-L1445-M1445-N1445-O1445-P1445-Q1445-R1445-S1445-T1445-U1445-V1445-W1445-X1445-Y1445-Z1445-AA1445-AB1445-AC1445-AD1445-AE1445-AF1445-AG1445+AH1445-AI1445+AJ1445+AK1445-AL1445</f>
        <v>0</v>
      </c>
      <c r="AN1445" s="45"/>
    </row>
    <row r="1446" spans="1:41">
      <c r="A1446" s="45">
        <v>1418</v>
      </c>
      <c r="B1446" s="45" t="s">
        <v>5590</v>
      </c>
      <c r="C1446" s="49" t="s">
        <v>5591</v>
      </c>
      <c r="D1446" s="53" t="s">
        <v>73</v>
      </c>
      <c r="E1446" s="45" t="s">
        <v>5584</v>
      </c>
      <c r="F1446" s="45" t="s">
        <v>4413</v>
      </c>
      <c r="G1446" s="45">
        <v>3</v>
      </c>
      <c r="H1446" s="53" t="s">
        <v>5592</v>
      </c>
      <c r="I1446" s="45">
        <v>560000</v>
      </c>
      <c r="J1446" s="45">
        <v>0</v>
      </c>
      <c r="K1446" s="45">
        <v>22000</v>
      </c>
      <c r="L1446" s="45">
        <v>0</v>
      </c>
      <c r="M1446" s="45">
        <v>0</v>
      </c>
      <c r="N1446" s="45">
        <v>0</v>
      </c>
      <c r="O1446" s="45">
        <v>0</v>
      </c>
      <c r="P1446" s="45">
        <v>0</v>
      </c>
      <c r="Q1446" s="45">
        <v>0</v>
      </c>
      <c r="R1446" s="45">
        <v>0</v>
      </c>
      <c r="S1446" s="45">
        <v>0</v>
      </c>
      <c r="T1446" s="45">
        <v>0</v>
      </c>
      <c r="U1446" s="45">
        <v>1397</v>
      </c>
      <c r="V1446" s="45">
        <v>0</v>
      </c>
      <c r="W1446" s="45">
        <v>0</v>
      </c>
      <c r="X1446" s="45">
        <v>0</v>
      </c>
      <c r="Y1446" s="45">
        <v>0</v>
      </c>
      <c r="Z1446" s="45">
        <v>0</v>
      </c>
      <c r="AA1446" s="45">
        <v>0</v>
      </c>
      <c r="AB1446" s="45">
        <v>0</v>
      </c>
      <c r="AC1446" s="45">
        <v>0</v>
      </c>
      <c r="AD1446" s="45">
        <v>0</v>
      </c>
      <c r="AE1446" s="45">
        <v>0</v>
      </c>
      <c r="AF1446" s="45">
        <v>0</v>
      </c>
      <c r="AG1446" s="45">
        <v>0</v>
      </c>
      <c r="AH1446" s="45">
        <v>0</v>
      </c>
      <c r="AI1446" s="45">
        <v>0</v>
      </c>
      <c r="AJ1446" s="45">
        <v>0</v>
      </c>
      <c r="AK1446" s="45">
        <v>0</v>
      </c>
      <c r="AL1446" s="45">
        <v>0</v>
      </c>
      <c r="AM1446" s="57" t="str">
        <f>I1446-J1446-K1446-L1446-M1446-N1446-O1446-P1446-Q1446-R1446-S1446-T1446-U1446-V1446-W1446-X1446-Y1446-Z1446-AA1446-AB1446-AC1446-AD1446-AE1446-AF1446-AG1446+AH1446-AI1446+AJ1446+AK1446-AL1446</f>
        <v>0</v>
      </c>
      <c r="AN1446" s="45"/>
    </row>
    <row r="1447" spans="1:41">
      <c r="A1447" s="45">
        <v>1419</v>
      </c>
      <c r="B1447" s="45" t="s">
        <v>5593</v>
      </c>
      <c r="C1447" s="49" t="s">
        <v>5594</v>
      </c>
      <c r="D1447" s="53" t="s">
        <v>73</v>
      </c>
      <c r="E1447" s="45" t="s">
        <v>5584</v>
      </c>
      <c r="F1447" s="45" t="s">
        <v>950</v>
      </c>
      <c r="G1447" s="45">
        <v>4</v>
      </c>
      <c r="H1447" s="53" t="s">
        <v>5595</v>
      </c>
      <c r="I1447" s="45">
        <v>255000</v>
      </c>
      <c r="J1447" s="45">
        <v>0</v>
      </c>
      <c r="K1447" s="45">
        <v>25000</v>
      </c>
      <c r="L1447" s="45">
        <v>0</v>
      </c>
      <c r="M1447" s="45">
        <v>0</v>
      </c>
      <c r="N1447" s="45">
        <v>0</v>
      </c>
      <c r="O1447" s="45">
        <v>0</v>
      </c>
      <c r="P1447" s="45">
        <v>0</v>
      </c>
      <c r="Q1447" s="45">
        <v>0</v>
      </c>
      <c r="R1447" s="45">
        <v>0</v>
      </c>
      <c r="S1447" s="45">
        <v>0</v>
      </c>
      <c r="T1447" s="45">
        <v>0</v>
      </c>
      <c r="U1447" s="45">
        <v>1587</v>
      </c>
      <c r="V1447" s="45">
        <v>0</v>
      </c>
      <c r="W1447" s="45">
        <v>0</v>
      </c>
      <c r="X1447" s="45">
        <v>0</v>
      </c>
      <c r="Y1447" s="45">
        <v>0</v>
      </c>
      <c r="Z1447" s="45">
        <v>0</v>
      </c>
      <c r="AA1447" s="45">
        <v>0</v>
      </c>
      <c r="AB1447" s="45">
        <v>0</v>
      </c>
      <c r="AC1447" s="45">
        <v>0</v>
      </c>
      <c r="AD1447" s="45">
        <v>0</v>
      </c>
      <c r="AE1447" s="45">
        <v>0</v>
      </c>
      <c r="AF1447" s="45">
        <v>0</v>
      </c>
      <c r="AG1447" s="45">
        <v>0</v>
      </c>
      <c r="AH1447" s="45">
        <v>0</v>
      </c>
      <c r="AI1447" s="45">
        <v>0</v>
      </c>
      <c r="AJ1447" s="45">
        <v>0</v>
      </c>
      <c r="AK1447" s="45">
        <v>0</v>
      </c>
      <c r="AL1447" s="45">
        <v>0</v>
      </c>
      <c r="AM1447" s="57" t="str">
        <f>I1447-J1447-K1447-L1447-M1447-N1447-O1447-P1447-Q1447-R1447-S1447-T1447-U1447-V1447-W1447-X1447-Y1447-Z1447-AA1447-AB1447-AC1447-AD1447-AE1447-AF1447-AG1447+AH1447-AI1447+AJ1447+AK1447-AL1447</f>
        <v>0</v>
      </c>
      <c r="AN1447" s="45"/>
    </row>
    <row r="1448" spans="1:41">
      <c r="A1448" s="45">
        <v>1420</v>
      </c>
      <c r="B1448" s="45" t="s">
        <v>5596</v>
      </c>
      <c r="C1448" s="49" t="s">
        <v>5597</v>
      </c>
      <c r="D1448" s="53" t="s">
        <v>73</v>
      </c>
      <c r="E1448" s="45" t="s">
        <v>5584</v>
      </c>
      <c r="F1448" s="45" t="s">
        <v>4122</v>
      </c>
      <c r="G1448" s="45">
        <v>2</v>
      </c>
      <c r="H1448" s="53" t="s">
        <v>5598</v>
      </c>
      <c r="I1448" s="45">
        <v>314000</v>
      </c>
      <c r="J1448" s="45">
        <v>0</v>
      </c>
      <c r="K1448" s="45">
        <v>22000</v>
      </c>
      <c r="L1448" s="45">
        <v>0</v>
      </c>
      <c r="M1448" s="45">
        <v>0</v>
      </c>
      <c r="N1448" s="45">
        <v>0</v>
      </c>
      <c r="O1448" s="45">
        <v>0</v>
      </c>
      <c r="P1448" s="45">
        <v>0</v>
      </c>
      <c r="Q1448" s="45">
        <v>0</v>
      </c>
      <c r="R1448" s="45">
        <v>0</v>
      </c>
      <c r="S1448" s="45">
        <v>0</v>
      </c>
      <c r="T1448" s="45">
        <v>0</v>
      </c>
      <c r="U1448" s="45">
        <v>1397</v>
      </c>
      <c r="V1448" s="45">
        <v>0</v>
      </c>
      <c r="W1448" s="45">
        <v>0</v>
      </c>
      <c r="X1448" s="45">
        <v>0</v>
      </c>
      <c r="Y1448" s="45">
        <v>0</v>
      </c>
      <c r="Z1448" s="45">
        <v>0</v>
      </c>
      <c r="AA1448" s="45">
        <v>0</v>
      </c>
      <c r="AB1448" s="45">
        <v>0</v>
      </c>
      <c r="AC1448" s="45">
        <v>0</v>
      </c>
      <c r="AD1448" s="45">
        <v>0</v>
      </c>
      <c r="AE1448" s="45">
        <v>0</v>
      </c>
      <c r="AF1448" s="45">
        <v>0</v>
      </c>
      <c r="AG1448" s="45">
        <v>0</v>
      </c>
      <c r="AH1448" s="45">
        <v>0</v>
      </c>
      <c r="AI1448" s="45">
        <v>0</v>
      </c>
      <c r="AJ1448" s="45">
        <v>0</v>
      </c>
      <c r="AK1448" s="45">
        <v>0</v>
      </c>
      <c r="AL1448" s="45">
        <v>0</v>
      </c>
      <c r="AM1448" s="57" t="str">
        <f>I1448-J1448-K1448-L1448-M1448-N1448-O1448-P1448-Q1448-R1448-S1448-T1448-U1448-V1448-W1448-X1448-Y1448-Z1448-AA1448-AB1448-AC1448-AD1448-AE1448-AF1448-AG1448+AH1448-AI1448+AJ1448+AK1448-AL1448</f>
        <v>0</v>
      </c>
      <c r="AN1448" s="45"/>
    </row>
    <row r="1449" spans="1:41">
      <c r="A1449" s="45">
        <v>1421</v>
      </c>
      <c r="B1449" s="45" t="s">
        <v>5599</v>
      </c>
      <c r="C1449" s="49" t="s">
        <v>5600</v>
      </c>
      <c r="D1449" s="53" t="s">
        <v>73</v>
      </c>
      <c r="E1449" s="45" t="s">
        <v>5584</v>
      </c>
      <c r="F1449" s="45" t="s">
        <v>5601</v>
      </c>
      <c r="G1449" s="45">
        <v>2</v>
      </c>
      <c r="H1449" s="53" t="s">
        <v>5602</v>
      </c>
      <c r="I1449" s="45">
        <v>424000</v>
      </c>
      <c r="J1449" s="45">
        <v>0</v>
      </c>
      <c r="K1449" s="45">
        <v>22000</v>
      </c>
      <c r="L1449" s="45">
        <v>0</v>
      </c>
      <c r="M1449" s="45">
        <v>0</v>
      </c>
      <c r="N1449" s="45">
        <v>0</v>
      </c>
      <c r="O1449" s="45">
        <v>0</v>
      </c>
      <c r="P1449" s="45">
        <v>0</v>
      </c>
      <c r="Q1449" s="45">
        <v>0</v>
      </c>
      <c r="R1449" s="45">
        <v>0</v>
      </c>
      <c r="S1449" s="45">
        <v>0</v>
      </c>
      <c r="T1449" s="45">
        <v>0</v>
      </c>
      <c r="U1449" s="45">
        <v>1397</v>
      </c>
      <c r="V1449" s="45">
        <v>0</v>
      </c>
      <c r="W1449" s="45">
        <v>0</v>
      </c>
      <c r="X1449" s="45">
        <v>0</v>
      </c>
      <c r="Y1449" s="45">
        <v>0</v>
      </c>
      <c r="Z1449" s="45">
        <v>0</v>
      </c>
      <c r="AA1449" s="45">
        <v>0</v>
      </c>
      <c r="AB1449" s="45">
        <v>0</v>
      </c>
      <c r="AC1449" s="45">
        <v>0</v>
      </c>
      <c r="AD1449" s="45">
        <v>0</v>
      </c>
      <c r="AE1449" s="45">
        <v>0</v>
      </c>
      <c r="AF1449" s="45">
        <v>0</v>
      </c>
      <c r="AG1449" s="45">
        <v>0</v>
      </c>
      <c r="AH1449" s="45">
        <v>0</v>
      </c>
      <c r="AI1449" s="45">
        <v>0</v>
      </c>
      <c r="AJ1449" s="45">
        <v>0</v>
      </c>
      <c r="AK1449" s="45">
        <v>0</v>
      </c>
      <c r="AL1449" s="45">
        <v>0</v>
      </c>
      <c r="AM1449" s="57" t="str">
        <f>I1449-J1449-K1449-L1449-M1449-N1449-O1449-P1449-Q1449-R1449-S1449-T1449-U1449-V1449-W1449-X1449-Y1449-Z1449-AA1449-AB1449-AC1449-AD1449-AE1449-AF1449-AG1449+AH1449-AI1449+AJ1449+AK1449-AL1449</f>
        <v>0</v>
      </c>
      <c r="AN1449" s="45"/>
    </row>
    <row r="1450" spans="1:41">
      <c r="A1450" s="45">
        <v>1422</v>
      </c>
      <c r="B1450" s="45" t="s">
        <v>5603</v>
      </c>
      <c r="C1450" s="49" t="s">
        <v>5604</v>
      </c>
      <c r="D1450" s="53" t="s">
        <v>73</v>
      </c>
      <c r="E1450" s="45" t="s">
        <v>5584</v>
      </c>
      <c r="F1450" s="45" t="s">
        <v>5605</v>
      </c>
      <c r="G1450" s="45">
        <v>4</v>
      </c>
      <c r="H1450" s="53" t="s">
        <v>5606</v>
      </c>
      <c r="I1450" s="45">
        <v>253000</v>
      </c>
      <c r="J1450" s="45">
        <v>0</v>
      </c>
      <c r="K1450" s="45">
        <v>25000</v>
      </c>
      <c r="L1450" s="45">
        <v>0</v>
      </c>
      <c r="M1450" s="45">
        <v>0</v>
      </c>
      <c r="N1450" s="45">
        <v>0</v>
      </c>
      <c r="O1450" s="45">
        <v>0</v>
      </c>
      <c r="P1450" s="45">
        <v>0</v>
      </c>
      <c r="Q1450" s="45">
        <v>0</v>
      </c>
      <c r="R1450" s="45">
        <v>0</v>
      </c>
      <c r="S1450" s="45">
        <v>0</v>
      </c>
      <c r="T1450" s="45">
        <v>0</v>
      </c>
      <c r="U1450" s="45">
        <v>1587</v>
      </c>
      <c r="V1450" s="45">
        <v>0</v>
      </c>
      <c r="W1450" s="45">
        <v>0</v>
      </c>
      <c r="X1450" s="45">
        <v>0</v>
      </c>
      <c r="Y1450" s="45">
        <v>0</v>
      </c>
      <c r="Z1450" s="45">
        <v>0</v>
      </c>
      <c r="AA1450" s="45">
        <v>0</v>
      </c>
      <c r="AB1450" s="45">
        <v>0</v>
      </c>
      <c r="AC1450" s="45">
        <v>0</v>
      </c>
      <c r="AD1450" s="45">
        <v>0</v>
      </c>
      <c r="AE1450" s="45">
        <v>0</v>
      </c>
      <c r="AF1450" s="45">
        <v>0</v>
      </c>
      <c r="AG1450" s="45">
        <v>0</v>
      </c>
      <c r="AH1450" s="45">
        <v>0</v>
      </c>
      <c r="AI1450" s="45">
        <v>0</v>
      </c>
      <c r="AJ1450" s="45">
        <v>0</v>
      </c>
      <c r="AK1450" s="45">
        <v>0</v>
      </c>
      <c r="AL1450" s="45">
        <v>0</v>
      </c>
      <c r="AM1450" s="57" t="str">
        <f>I1450-J1450-K1450-L1450-M1450-N1450-O1450-P1450-Q1450-R1450-S1450-T1450-U1450-V1450-W1450-X1450-Y1450-Z1450-AA1450-AB1450-AC1450-AD1450-AE1450-AF1450-AG1450+AH1450-AI1450+AJ1450+AK1450-AL1450</f>
        <v>0</v>
      </c>
      <c r="AN1450" s="45"/>
    </row>
    <row r="1451" spans="1:41">
      <c r="A1451" s="45">
        <v>1423</v>
      </c>
      <c r="B1451" s="45" t="s">
        <v>5607</v>
      </c>
      <c r="C1451" s="49" t="s">
        <v>5608</v>
      </c>
      <c r="D1451" s="53" t="s">
        <v>73</v>
      </c>
      <c r="E1451" s="45" t="s">
        <v>5584</v>
      </c>
      <c r="F1451" s="45" t="s">
        <v>5609</v>
      </c>
      <c r="G1451" s="45">
        <v>5</v>
      </c>
      <c r="H1451" s="53" t="s">
        <v>5610</v>
      </c>
      <c r="I1451" s="45">
        <v>614000</v>
      </c>
      <c r="J1451" s="45">
        <v>0</v>
      </c>
      <c r="K1451" s="45">
        <v>27000</v>
      </c>
      <c r="L1451" s="45">
        <v>0</v>
      </c>
      <c r="M1451" s="45">
        <v>0</v>
      </c>
      <c r="N1451" s="45">
        <v>0</v>
      </c>
      <c r="O1451" s="45">
        <v>0</v>
      </c>
      <c r="P1451" s="45">
        <v>0</v>
      </c>
      <c r="Q1451" s="45">
        <v>0</v>
      </c>
      <c r="R1451" s="45">
        <v>0</v>
      </c>
      <c r="S1451" s="45">
        <v>0</v>
      </c>
      <c r="T1451" s="45">
        <v>0</v>
      </c>
      <c r="U1451" s="45">
        <v>1714</v>
      </c>
      <c r="V1451" s="45">
        <v>0</v>
      </c>
      <c r="W1451" s="45">
        <v>0</v>
      </c>
      <c r="X1451" s="45">
        <v>0</v>
      </c>
      <c r="Y1451" s="45">
        <v>0</v>
      </c>
      <c r="Z1451" s="45">
        <v>0</v>
      </c>
      <c r="AA1451" s="45">
        <v>0</v>
      </c>
      <c r="AB1451" s="45">
        <v>0</v>
      </c>
      <c r="AC1451" s="45">
        <v>0</v>
      </c>
      <c r="AD1451" s="45">
        <v>0</v>
      </c>
      <c r="AE1451" s="45">
        <v>0</v>
      </c>
      <c r="AF1451" s="45">
        <v>0</v>
      </c>
      <c r="AG1451" s="45">
        <v>0</v>
      </c>
      <c r="AH1451" s="45">
        <v>0</v>
      </c>
      <c r="AI1451" s="45">
        <v>0</v>
      </c>
      <c r="AJ1451" s="45">
        <v>0</v>
      </c>
      <c r="AK1451" s="45">
        <v>0</v>
      </c>
      <c r="AL1451" s="45">
        <v>0</v>
      </c>
      <c r="AM1451" s="57" t="str">
        <f>I1451-J1451-K1451-L1451-M1451-N1451-O1451-P1451-Q1451-R1451-S1451-T1451-U1451-V1451-W1451-X1451-Y1451-Z1451-AA1451-AB1451-AC1451-AD1451-AE1451-AF1451-AG1451+AH1451-AI1451+AJ1451+AK1451-AL1451</f>
        <v>0</v>
      </c>
      <c r="AN1451" s="45"/>
    </row>
    <row r="1452" spans="1:41">
      <c r="A1452" s="45">
        <v>1424</v>
      </c>
      <c r="B1452" s="45" t="s">
        <v>5611</v>
      </c>
      <c r="C1452" s="49" t="s">
        <v>5612</v>
      </c>
      <c r="D1452" s="53" t="s">
        <v>73</v>
      </c>
      <c r="E1452" s="45" t="s">
        <v>5584</v>
      </c>
      <c r="F1452" s="45" t="s">
        <v>4519</v>
      </c>
      <c r="G1452" s="45">
        <v>2</v>
      </c>
      <c r="H1452" s="53" t="s">
        <v>5613</v>
      </c>
      <c r="I1452" s="45">
        <v>290000</v>
      </c>
      <c r="J1452" s="45">
        <v>0</v>
      </c>
      <c r="K1452" s="45">
        <v>22000</v>
      </c>
      <c r="L1452" s="45">
        <v>0</v>
      </c>
      <c r="M1452" s="45">
        <v>0</v>
      </c>
      <c r="N1452" s="45">
        <v>0</v>
      </c>
      <c r="O1452" s="45">
        <v>0</v>
      </c>
      <c r="P1452" s="45">
        <v>0</v>
      </c>
      <c r="Q1452" s="45">
        <v>0</v>
      </c>
      <c r="R1452" s="45">
        <v>0</v>
      </c>
      <c r="S1452" s="45">
        <v>0</v>
      </c>
      <c r="T1452" s="45">
        <v>0</v>
      </c>
      <c r="U1452" s="45">
        <v>1397</v>
      </c>
      <c r="V1452" s="45">
        <v>0</v>
      </c>
      <c r="W1452" s="45">
        <v>0</v>
      </c>
      <c r="X1452" s="45">
        <v>0</v>
      </c>
      <c r="Y1452" s="45">
        <v>0</v>
      </c>
      <c r="Z1452" s="45">
        <v>0</v>
      </c>
      <c r="AA1452" s="45">
        <v>0</v>
      </c>
      <c r="AB1452" s="45">
        <v>0</v>
      </c>
      <c r="AC1452" s="45">
        <v>0</v>
      </c>
      <c r="AD1452" s="45">
        <v>0</v>
      </c>
      <c r="AE1452" s="45">
        <v>0</v>
      </c>
      <c r="AF1452" s="45">
        <v>0</v>
      </c>
      <c r="AG1452" s="45">
        <v>0</v>
      </c>
      <c r="AH1452" s="45">
        <v>0</v>
      </c>
      <c r="AI1452" s="45">
        <v>0</v>
      </c>
      <c r="AJ1452" s="45">
        <v>0</v>
      </c>
      <c r="AK1452" s="45">
        <v>0</v>
      </c>
      <c r="AL1452" s="45">
        <v>0</v>
      </c>
      <c r="AM1452" s="57" t="str">
        <f>I1452-J1452-K1452-L1452-M1452-N1452-O1452-P1452-Q1452-R1452-S1452-T1452-U1452-V1452-W1452-X1452-Y1452-Z1452-AA1452-AB1452-AC1452-AD1452-AE1452-AF1452-AG1452+AH1452-AI1452+AJ1452+AK1452-AL1452</f>
        <v>0</v>
      </c>
      <c r="AN1452" s="45"/>
    </row>
    <row r="1453" spans="1:41">
      <c r="A1453" s="45">
        <v>1425</v>
      </c>
      <c r="B1453" s="45" t="s">
        <v>5614</v>
      </c>
      <c r="C1453" s="49" t="s">
        <v>5615</v>
      </c>
      <c r="D1453" s="53" t="s">
        <v>73</v>
      </c>
      <c r="E1453" s="45" t="s">
        <v>5584</v>
      </c>
      <c r="F1453" s="45" t="s">
        <v>595</v>
      </c>
      <c r="G1453" s="45">
        <v>16</v>
      </c>
      <c r="H1453" s="53" t="s">
        <v>5616</v>
      </c>
      <c r="I1453" s="45">
        <v>2117000</v>
      </c>
      <c r="J1453" s="45">
        <v>0</v>
      </c>
      <c r="K1453" s="45">
        <v>64000</v>
      </c>
      <c r="L1453" s="45">
        <v>0</v>
      </c>
      <c r="M1453" s="45">
        <v>0</v>
      </c>
      <c r="N1453" s="45">
        <v>0</v>
      </c>
      <c r="O1453" s="45">
        <v>0</v>
      </c>
      <c r="P1453" s="45">
        <v>0</v>
      </c>
      <c r="Q1453" s="45">
        <v>0</v>
      </c>
      <c r="R1453" s="45">
        <v>0</v>
      </c>
      <c r="S1453" s="45">
        <v>0</v>
      </c>
      <c r="T1453" s="45">
        <v>0</v>
      </c>
      <c r="U1453" s="45">
        <v>4064</v>
      </c>
      <c r="V1453" s="45">
        <v>0</v>
      </c>
      <c r="W1453" s="45">
        <v>0</v>
      </c>
      <c r="X1453" s="45">
        <v>0</v>
      </c>
      <c r="Y1453" s="45">
        <v>0</v>
      </c>
      <c r="Z1453" s="45">
        <v>0</v>
      </c>
      <c r="AA1453" s="45">
        <v>0</v>
      </c>
      <c r="AB1453" s="45">
        <v>0</v>
      </c>
      <c r="AC1453" s="45">
        <v>0</v>
      </c>
      <c r="AD1453" s="45">
        <v>0</v>
      </c>
      <c r="AE1453" s="45">
        <v>0</v>
      </c>
      <c r="AF1453" s="45">
        <v>0</v>
      </c>
      <c r="AG1453" s="45">
        <v>0</v>
      </c>
      <c r="AH1453" s="45">
        <v>0</v>
      </c>
      <c r="AI1453" s="45">
        <v>0</v>
      </c>
      <c r="AJ1453" s="45">
        <v>0</v>
      </c>
      <c r="AK1453" s="45">
        <v>0</v>
      </c>
      <c r="AL1453" s="45">
        <v>0</v>
      </c>
      <c r="AM1453" s="57" t="str">
        <f>I1453-J1453-K1453-L1453-M1453-N1453-O1453-P1453-Q1453-R1453-S1453-T1453-U1453-V1453-W1453-X1453-Y1453-Z1453-AA1453-AB1453-AC1453-AD1453-AE1453-AF1453-AG1453+AH1453-AI1453+AJ1453+AK1453-AL1453</f>
        <v>0</v>
      </c>
      <c r="AN1453" s="45"/>
    </row>
    <row r="1454" spans="1:41">
      <c r="A1454" s="45">
        <v>1426</v>
      </c>
      <c r="B1454" s="45" t="s">
        <v>5617</v>
      </c>
      <c r="C1454" s="49" t="s">
        <v>5618</v>
      </c>
      <c r="D1454" s="53" t="s">
        <v>73</v>
      </c>
      <c r="E1454" s="45" t="s">
        <v>5584</v>
      </c>
      <c r="F1454" s="45" t="s">
        <v>4966</v>
      </c>
      <c r="G1454" s="45">
        <v>2</v>
      </c>
      <c r="H1454" s="53" t="s">
        <v>5619</v>
      </c>
      <c r="I1454" s="45">
        <v>339000</v>
      </c>
      <c r="J1454" s="45">
        <v>0</v>
      </c>
      <c r="K1454" s="45">
        <v>22000</v>
      </c>
      <c r="L1454" s="45">
        <v>0</v>
      </c>
      <c r="M1454" s="45">
        <v>0</v>
      </c>
      <c r="N1454" s="45">
        <v>0</v>
      </c>
      <c r="O1454" s="45">
        <v>0</v>
      </c>
      <c r="P1454" s="45">
        <v>0</v>
      </c>
      <c r="Q1454" s="45">
        <v>0</v>
      </c>
      <c r="R1454" s="45">
        <v>0</v>
      </c>
      <c r="S1454" s="45">
        <v>0</v>
      </c>
      <c r="T1454" s="45">
        <v>0</v>
      </c>
      <c r="U1454" s="45">
        <v>1397</v>
      </c>
      <c r="V1454" s="45">
        <v>0</v>
      </c>
      <c r="W1454" s="45">
        <v>0</v>
      </c>
      <c r="X1454" s="45">
        <v>0</v>
      </c>
      <c r="Y1454" s="45">
        <v>0</v>
      </c>
      <c r="Z1454" s="45">
        <v>0</v>
      </c>
      <c r="AA1454" s="45">
        <v>0</v>
      </c>
      <c r="AB1454" s="45">
        <v>0</v>
      </c>
      <c r="AC1454" s="45">
        <v>0</v>
      </c>
      <c r="AD1454" s="45">
        <v>0</v>
      </c>
      <c r="AE1454" s="45">
        <v>0</v>
      </c>
      <c r="AF1454" s="45">
        <v>0</v>
      </c>
      <c r="AG1454" s="45">
        <v>0</v>
      </c>
      <c r="AH1454" s="45">
        <v>0</v>
      </c>
      <c r="AI1454" s="45">
        <v>0</v>
      </c>
      <c r="AJ1454" s="45">
        <v>0</v>
      </c>
      <c r="AK1454" s="45">
        <v>0</v>
      </c>
      <c r="AL1454" s="45">
        <v>0</v>
      </c>
      <c r="AM1454" s="57" t="str">
        <f>I1454-J1454-K1454-L1454-M1454-N1454-O1454-P1454-Q1454-R1454-S1454-T1454-U1454-V1454-W1454-X1454-Y1454-Z1454-AA1454-AB1454-AC1454-AD1454-AE1454-AF1454-AG1454+AH1454-AI1454+AJ1454+AK1454-AL1454</f>
        <v>0</v>
      </c>
      <c r="AN1454" s="45"/>
    </row>
    <row r="1455" spans="1:41">
      <c r="A1455" s="45">
        <v>1427</v>
      </c>
      <c r="B1455" s="45" t="s">
        <v>5620</v>
      </c>
      <c r="C1455" s="49" t="s">
        <v>5621</v>
      </c>
      <c r="D1455" s="53" t="s">
        <v>73</v>
      </c>
      <c r="E1455" s="45" t="s">
        <v>5584</v>
      </c>
      <c r="F1455" s="45" t="s">
        <v>5035</v>
      </c>
      <c r="G1455" s="45">
        <v>5.2</v>
      </c>
      <c r="H1455" s="53" t="s">
        <v>5622</v>
      </c>
      <c r="I1455" s="45">
        <v>805000</v>
      </c>
      <c r="J1455" s="45">
        <v>0</v>
      </c>
      <c r="K1455" s="45">
        <v>31000</v>
      </c>
      <c r="L1455" s="45">
        <v>0</v>
      </c>
      <c r="M1455" s="45">
        <v>0</v>
      </c>
      <c r="N1455" s="45">
        <v>0</v>
      </c>
      <c r="O1455" s="45">
        <v>0</v>
      </c>
      <c r="P1455" s="45">
        <v>0</v>
      </c>
      <c r="Q1455" s="45">
        <v>0</v>
      </c>
      <c r="R1455" s="45">
        <v>0</v>
      </c>
      <c r="S1455" s="45">
        <v>0</v>
      </c>
      <c r="T1455" s="45">
        <v>0</v>
      </c>
      <c r="U1455" s="45">
        <v>1968</v>
      </c>
      <c r="V1455" s="45">
        <v>0</v>
      </c>
      <c r="W1455" s="45">
        <v>0</v>
      </c>
      <c r="X1455" s="45">
        <v>0</v>
      </c>
      <c r="Y1455" s="45">
        <v>0</v>
      </c>
      <c r="Z1455" s="45">
        <v>0</v>
      </c>
      <c r="AA1455" s="45">
        <v>0</v>
      </c>
      <c r="AB1455" s="45">
        <v>0</v>
      </c>
      <c r="AC1455" s="45">
        <v>0</v>
      </c>
      <c r="AD1455" s="45">
        <v>0</v>
      </c>
      <c r="AE1455" s="45">
        <v>0</v>
      </c>
      <c r="AF1455" s="45">
        <v>0</v>
      </c>
      <c r="AG1455" s="45">
        <v>0</v>
      </c>
      <c r="AH1455" s="45">
        <v>0</v>
      </c>
      <c r="AI1455" s="45">
        <v>0</v>
      </c>
      <c r="AJ1455" s="45">
        <v>0</v>
      </c>
      <c r="AK1455" s="45">
        <v>0</v>
      </c>
      <c r="AL1455" s="45">
        <v>0</v>
      </c>
      <c r="AM1455" s="57" t="str">
        <f>I1455-J1455-K1455-L1455-M1455-N1455-O1455-P1455-Q1455-R1455-S1455-T1455-U1455-V1455-W1455-X1455-Y1455-Z1455-AA1455-AB1455-AC1455-AD1455-AE1455-AF1455-AG1455+AH1455-AI1455+AJ1455+AK1455-AL1455</f>
        <v>0</v>
      </c>
      <c r="AN1455" s="45"/>
    </row>
    <row r="1456" spans="1:41">
      <c r="A1456" s="45">
        <v>1428</v>
      </c>
      <c r="B1456" s="45" t="s">
        <v>5623</v>
      </c>
      <c r="C1456" s="49" t="s">
        <v>5624</v>
      </c>
      <c r="D1456" s="53" t="s">
        <v>62</v>
      </c>
      <c r="E1456" s="45" t="s">
        <v>5584</v>
      </c>
      <c r="F1456" s="45" t="s">
        <v>5625</v>
      </c>
      <c r="G1456" s="45">
        <v>2</v>
      </c>
      <c r="H1456" s="53" t="s">
        <v>5626</v>
      </c>
      <c r="I1456" s="45">
        <v>0</v>
      </c>
      <c r="J1456" s="45">
        <v>0</v>
      </c>
      <c r="K1456" s="45">
        <v>22000</v>
      </c>
      <c r="L1456" s="45">
        <v>0</v>
      </c>
      <c r="M1456" s="45">
        <v>0</v>
      </c>
      <c r="N1456" s="45">
        <v>0</v>
      </c>
      <c r="O1456" s="45">
        <v>0</v>
      </c>
      <c r="P1456" s="45">
        <v>0</v>
      </c>
      <c r="Q1456" s="45">
        <v>0</v>
      </c>
      <c r="R1456" s="45">
        <v>0</v>
      </c>
      <c r="S1456" s="45">
        <v>0</v>
      </c>
      <c r="T1456" s="45">
        <v>0</v>
      </c>
      <c r="U1456" s="45">
        <v>1397</v>
      </c>
      <c r="V1456" s="45">
        <v>0</v>
      </c>
      <c r="W1456" s="45">
        <v>0</v>
      </c>
      <c r="X1456" s="45">
        <v>0</v>
      </c>
      <c r="Y1456" s="45">
        <v>5000</v>
      </c>
      <c r="Z1456" s="45">
        <v>0</v>
      </c>
      <c r="AA1456" s="45">
        <v>0</v>
      </c>
      <c r="AB1456" s="45">
        <v>0</v>
      </c>
      <c r="AC1456" s="45">
        <v>0</v>
      </c>
      <c r="AD1456" s="45">
        <v>0</v>
      </c>
      <c r="AE1456" s="45">
        <v>0</v>
      </c>
      <c r="AF1456" s="45">
        <v>0</v>
      </c>
      <c r="AG1456" s="45">
        <v>0</v>
      </c>
      <c r="AH1456" s="45">
        <v>0</v>
      </c>
      <c r="AI1456" s="45">
        <v>0</v>
      </c>
      <c r="AJ1456" s="45">
        <v>0</v>
      </c>
      <c r="AK1456" s="45">
        <v>0</v>
      </c>
      <c r="AL1456" s="45">
        <v>0</v>
      </c>
      <c r="AM1456" s="57" t="str">
        <f>I1456-J1456-K1456-L1456-M1456-N1456-O1456-P1456-Q1456-R1456-S1456-T1456-U1456-V1456-W1456-X1456-Y1456-Z1456-AA1456-AB1456-AC1456-AD1456-AE1456-AF1456-AG1456+AH1456-AI1456+AJ1456+AK1456-AL1456</f>
        <v>0</v>
      </c>
      <c r="AN1456" s="45"/>
    </row>
    <row r="1457" spans="1:41">
      <c r="A1457" s="45">
        <v>1429</v>
      </c>
      <c r="B1457" s="45" t="s">
        <v>5627</v>
      </c>
      <c r="C1457" s="49" t="s">
        <v>5628</v>
      </c>
      <c r="D1457" s="53" t="s">
        <v>73</v>
      </c>
      <c r="E1457" s="45" t="s">
        <v>5584</v>
      </c>
      <c r="F1457" s="45" t="s">
        <v>2968</v>
      </c>
      <c r="G1457" s="45">
        <v>2</v>
      </c>
      <c r="H1457" s="53" t="s">
        <v>5629</v>
      </c>
      <c r="I1457" s="45">
        <v>334000</v>
      </c>
      <c r="J1457" s="45">
        <v>0</v>
      </c>
      <c r="K1457" s="45">
        <v>22000</v>
      </c>
      <c r="L1457" s="45">
        <v>0</v>
      </c>
      <c r="M1457" s="45">
        <v>0</v>
      </c>
      <c r="N1457" s="45">
        <v>0</v>
      </c>
      <c r="O1457" s="45">
        <v>0</v>
      </c>
      <c r="P1457" s="45">
        <v>0</v>
      </c>
      <c r="Q1457" s="45">
        <v>0</v>
      </c>
      <c r="R1457" s="45">
        <v>0</v>
      </c>
      <c r="S1457" s="45">
        <v>0</v>
      </c>
      <c r="T1457" s="45">
        <v>0</v>
      </c>
      <c r="U1457" s="45">
        <v>1397</v>
      </c>
      <c r="V1457" s="45">
        <v>0</v>
      </c>
      <c r="W1457" s="45">
        <v>0</v>
      </c>
      <c r="X1457" s="45">
        <v>0</v>
      </c>
      <c r="Y1457" s="45">
        <v>0</v>
      </c>
      <c r="Z1457" s="45">
        <v>0</v>
      </c>
      <c r="AA1457" s="45">
        <v>0</v>
      </c>
      <c r="AB1457" s="45">
        <v>0</v>
      </c>
      <c r="AC1457" s="45">
        <v>0</v>
      </c>
      <c r="AD1457" s="45">
        <v>0</v>
      </c>
      <c r="AE1457" s="45">
        <v>0</v>
      </c>
      <c r="AF1457" s="45">
        <v>0</v>
      </c>
      <c r="AG1457" s="45">
        <v>0</v>
      </c>
      <c r="AH1457" s="45">
        <v>0</v>
      </c>
      <c r="AI1457" s="45">
        <v>0</v>
      </c>
      <c r="AJ1457" s="45">
        <v>0</v>
      </c>
      <c r="AK1457" s="45">
        <v>0</v>
      </c>
      <c r="AL1457" s="45">
        <v>0</v>
      </c>
      <c r="AM1457" s="57" t="str">
        <f>I1457-J1457-K1457-L1457-M1457-N1457-O1457-P1457-Q1457-R1457-S1457-T1457-U1457-V1457-W1457-X1457-Y1457-Z1457-AA1457-AB1457-AC1457-AD1457-AE1457-AF1457-AG1457+AH1457-AI1457+AJ1457+AK1457-AL1457</f>
        <v>0</v>
      </c>
      <c r="AN1457" s="45"/>
    </row>
    <row r="1458" spans="1:41">
      <c r="A1458" s="45">
        <v>1430</v>
      </c>
      <c r="B1458" s="45" t="s">
        <v>5630</v>
      </c>
      <c r="C1458" s="49" t="s">
        <v>5631</v>
      </c>
      <c r="D1458" s="53" t="s">
        <v>73</v>
      </c>
      <c r="E1458" s="45" t="s">
        <v>5584</v>
      </c>
      <c r="F1458" s="45" t="s">
        <v>5632</v>
      </c>
      <c r="G1458" s="45">
        <v>5</v>
      </c>
      <c r="H1458" s="53" t="s">
        <v>5633</v>
      </c>
      <c r="I1458" s="45">
        <v>0</v>
      </c>
      <c r="J1458" s="45">
        <v>0</v>
      </c>
      <c r="K1458" s="45">
        <v>27000</v>
      </c>
      <c r="L1458" s="45">
        <v>0</v>
      </c>
      <c r="M1458" s="45">
        <v>0</v>
      </c>
      <c r="N1458" s="45">
        <v>0</v>
      </c>
      <c r="O1458" s="45">
        <v>0</v>
      </c>
      <c r="P1458" s="45">
        <v>0</v>
      </c>
      <c r="Q1458" s="45">
        <v>0</v>
      </c>
      <c r="R1458" s="45">
        <v>0</v>
      </c>
      <c r="S1458" s="45">
        <v>0</v>
      </c>
      <c r="T1458" s="45">
        <v>0</v>
      </c>
      <c r="U1458" s="45">
        <v>1714</v>
      </c>
      <c r="V1458" s="45">
        <v>0</v>
      </c>
      <c r="W1458" s="45">
        <v>0</v>
      </c>
      <c r="X1458" s="45">
        <v>0</v>
      </c>
      <c r="Y1458" s="45">
        <v>0</v>
      </c>
      <c r="Z1458" s="45">
        <v>0</v>
      </c>
      <c r="AA1458" s="45">
        <v>0</v>
      </c>
      <c r="AB1458" s="45">
        <v>0</v>
      </c>
      <c r="AC1458" s="45">
        <v>0</v>
      </c>
      <c r="AD1458" s="45">
        <v>0</v>
      </c>
      <c r="AE1458" s="45">
        <v>0</v>
      </c>
      <c r="AF1458" s="45">
        <v>0</v>
      </c>
      <c r="AG1458" s="45">
        <v>0</v>
      </c>
      <c r="AH1458" s="45">
        <v>0</v>
      </c>
      <c r="AI1458" s="45">
        <v>0</v>
      </c>
      <c r="AJ1458" s="45">
        <v>0</v>
      </c>
      <c r="AK1458" s="45">
        <v>0</v>
      </c>
      <c r="AL1458" s="45">
        <v>0</v>
      </c>
      <c r="AM1458" s="57" t="str">
        <f>I1458-J1458-K1458-L1458-M1458-N1458-O1458-P1458-Q1458-R1458-S1458-T1458-U1458-V1458-W1458-X1458-Y1458-Z1458-AA1458-AB1458-AC1458-AD1458-AE1458-AF1458-AG1458+AH1458-AI1458+AJ1458+AK1458-AL1458</f>
        <v>0</v>
      </c>
      <c r="AN1458" s="45"/>
    </row>
    <row r="1459" spans="1:41">
      <c r="A1459" s="45">
        <v>1431</v>
      </c>
      <c r="B1459" s="45" t="s">
        <v>5634</v>
      </c>
      <c r="C1459" s="49" t="s">
        <v>5635</v>
      </c>
      <c r="D1459" s="53" t="s">
        <v>73</v>
      </c>
      <c r="E1459" s="45" t="s">
        <v>5584</v>
      </c>
      <c r="F1459" s="45" t="s">
        <v>5636</v>
      </c>
      <c r="G1459" s="45">
        <v>2</v>
      </c>
      <c r="H1459" s="53" t="s">
        <v>5637</v>
      </c>
      <c r="I1459" s="45">
        <v>404000</v>
      </c>
      <c r="J1459" s="45">
        <v>0</v>
      </c>
      <c r="K1459" s="45">
        <v>22000</v>
      </c>
      <c r="L1459" s="45">
        <v>0</v>
      </c>
      <c r="M1459" s="45">
        <v>0</v>
      </c>
      <c r="N1459" s="45">
        <v>0</v>
      </c>
      <c r="O1459" s="45">
        <v>0</v>
      </c>
      <c r="P1459" s="45">
        <v>0</v>
      </c>
      <c r="Q1459" s="45">
        <v>0</v>
      </c>
      <c r="R1459" s="45">
        <v>0</v>
      </c>
      <c r="S1459" s="45">
        <v>0</v>
      </c>
      <c r="T1459" s="45">
        <v>0</v>
      </c>
      <c r="U1459" s="45">
        <v>1397</v>
      </c>
      <c r="V1459" s="45">
        <v>0</v>
      </c>
      <c r="W1459" s="45">
        <v>0</v>
      </c>
      <c r="X1459" s="45">
        <v>0</v>
      </c>
      <c r="Y1459" s="45">
        <v>0</v>
      </c>
      <c r="Z1459" s="45">
        <v>0</v>
      </c>
      <c r="AA1459" s="45">
        <v>0</v>
      </c>
      <c r="AB1459" s="45">
        <v>0</v>
      </c>
      <c r="AC1459" s="45">
        <v>0</v>
      </c>
      <c r="AD1459" s="45">
        <v>0</v>
      </c>
      <c r="AE1459" s="45">
        <v>0</v>
      </c>
      <c r="AF1459" s="45">
        <v>0</v>
      </c>
      <c r="AG1459" s="45">
        <v>0</v>
      </c>
      <c r="AH1459" s="45">
        <v>0</v>
      </c>
      <c r="AI1459" s="45">
        <v>0</v>
      </c>
      <c r="AJ1459" s="45">
        <v>0</v>
      </c>
      <c r="AK1459" s="45">
        <v>0</v>
      </c>
      <c r="AL1459" s="45">
        <v>0</v>
      </c>
      <c r="AM1459" s="57" t="str">
        <f>I1459-J1459-K1459-L1459-M1459-N1459-O1459-P1459-Q1459-R1459-S1459-T1459-U1459-V1459-W1459-X1459-Y1459-Z1459-AA1459-AB1459-AC1459-AD1459-AE1459-AF1459-AG1459+AH1459-AI1459+AJ1459+AK1459-AL1459</f>
        <v>0</v>
      </c>
      <c r="AN1459" s="45"/>
    </row>
    <row r="1460" spans="1:41">
      <c r="A1460" s="45">
        <v>1432</v>
      </c>
      <c r="B1460" s="45" t="s">
        <v>5638</v>
      </c>
      <c r="C1460" s="49" t="s">
        <v>5639</v>
      </c>
      <c r="D1460" s="53" t="s">
        <v>73</v>
      </c>
      <c r="E1460" s="45" t="s">
        <v>5584</v>
      </c>
      <c r="F1460" s="45" t="s">
        <v>5640</v>
      </c>
      <c r="G1460" s="45">
        <v>3</v>
      </c>
      <c r="H1460" s="53" t="s">
        <v>5641</v>
      </c>
      <c r="I1460" s="45">
        <v>884000</v>
      </c>
      <c r="J1460" s="45">
        <v>0</v>
      </c>
      <c r="K1460" s="45">
        <v>22000</v>
      </c>
      <c r="L1460" s="45">
        <v>0</v>
      </c>
      <c r="M1460" s="45">
        <v>0</v>
      </c>
      <c r="N1460" s="45">
        <v>0</v>
      </c>
      <c r="O1460" s="45">
        <v>0</v>
      </c>
      <c r="P1460" s="45">
        <v>0</v>
      </c>
      <c r="Q1460" s="45">
        <v>0</v>
      </c>
      <c r="R1460" s="45">
        <v>0</v>
      </c>
      <c r="S1460" s="45">
        <v>0</v>
      </c>
      <c r="T1460" s="45">
        <v>0</v>
      </c>
      <c r="U1460" s="45">
        <v>1397</v>
      </c>
      <c r="V1460" s="45">
        <v>0</v>
      </c>
      <c r="W1460" s="45">
        <v>0</v>
      </c>
      <c r="X1460" s="45">
        <v>0</v>
      </c>
      <c r="Y1460" s="45">
        <v>0</v>
      </c>
      <c r="Z1460" s="45">
        <v>0</v>
      </c>
      <c r="AA1460" s="45">
        <v>0</v>
      </c>
      <c r="AB1460" s="45">
        <v>0</v>
      </c>
      <c r="AC1460" s="45">
        <v>0</v>
      </c>
      <c r="AD1460" s="45">
        <v>0</v>
      </c>
      <c r="AE1460" s="45">
        <v>0</v>
      </c>
      <c r="AF1460" s="45">
        <v>0</v>
      </c>
      <c r="AG1460" s="45">
        <v>0</v>
      </c>
      <c r="AH1460" s="45">
        <v>0</v>
      </c>
      <c r="AI1460" s="45">
        <v>0</v>
      </c>
      <c r="AJ1460" s="45">
        <v>0</v>
      </c>
      <c r="AK1460" s="45">
        <v>0</v>
      </c>
      <c r="AL1460" s="45">
        <v>0</v>
      </c>
      <c r="AM1460" s="57" t="str">
        <f>I1460-J1460-K1460-L1460-M1460-N1460-O1460-P1460-Q1460-R1460-S1460-T1460-U1460-V1460-W1460-X1460-Y1460-Z1460-AA1460-AB1460-AC1460-AD1460-AE1460-AF1460-AG1460+AH1460-AI1460+AJ1460+AK1460-AL1460</f>
        <v>0</v>
      </c>
      <c r="AN1460" s="45"/>
    </row>
    <row r="1461" spans="1:41">
      <c r="A1461" s="45">
        <v>1433</v>
      </c>
      <c r="B1461" s="45" t="s">
        <v>5642</v>
      </c>
      <c r="C1461" s="49" t="s">
        <v>5643</v>
      </c>
      <c r="D1461" s="53" t="s">
        <v>73</v>
      </c>
      <c r="E1461" s="45" t="s">
        <v>5584</v>
      </c>
      <c r="F1461" s="45" t="s">
        <v>5644</v>
      </c>
      <c r="G1461" s="45">
        <v>2</v>
      </c>
      <c r="H1461" s="53" t="s">
        <v>2094</v>
      </c>
      <c r="I1461" s="45">
        <v>154000</v>
      </c>
      <c r="J1461" s="45">
        <v>0</v>
      </c>
      <c r="K1461" s="45">
        <v>22000</v>
      </c>
      <c r="L1461" s="45">
        <v>0</v>
      </c>
      <c r="M1461" s="45">
        <v>0</v>
      </c>
      <c r="N1461" s="45">
        <v>0</v>
      </c>
      <c r="O1461" s="45">
        <v>0</v>
      </c>
      <c r="P1461" s="45">
        <v>0</v>
      </c>
      <c r="Q1461" s="45">
        <v>0</v>
      </c>
      <c r="R1461" s="45">
        <v>0</v>
      </c>
      <c r="S1461" s="45">
        <v>0</v>
      </c>
      <c r="T1461" s="45">
        <v>0</v>
      </c>
      <c r="U1461" s="45">
        <v>1397</v>
      </c>
      <c r="V1461" s="45">
        <v>0</v>
      </c>
      <c r="W1461" s="45">
        <v>0</v>
      </c>
      <c r="X1461" s="45">
        <v>0</v>
      </c>
      <c r="Y1461" s="45">
        <v>0</v>
      </c>
      <c r="Z1461" s="45">
        <v>0</v>
      </c>
      <c r="AA1461" s="45">
        <v>0</v>
      </c>
      <c r="AB1461" s="45">
        <v>0</v>
      </c>
      <c r="AC1461" s="45">
        <v>0</v>
      </c>
      <c r="AD1461" s="45">
        <v>0</v>
      </c>
      <c r="AE1461" s="45">
        <v>0</v>
      </c>
      <c r="AF1461" s="45">
        <v>0</v>
      </c>
      <c r="AG1461" s="45">
        <v>0</v>
      </c>
      <c r="AH1461" s="45">
        <v>0</v>
      </c>
      <c r="AI1461" s="45">
        <v>0</v>
      </c>
      <c r="AJ1461" s="45">
        <v>0</v>
      </c>
      <c r="AK1461" s="45">
        <v>0</v>
      </c>
      <c r="AL1461" s="45">
        <v>0</v>
      </c>
      <c r="AM1461" s="57" t="str">
        <f>I1461-J1461-K1461-L1461-M1461-N1461-O1461-P1461-Q1461-R1461-S1461-T1461-U1461-V1461-W1461-X1461-Y1461-Z1461-AA1461-AB1461-AC1461-AD1461-AE1461-AF1461-AG1461+AH1461-AI1461+AJ1461+AK1461-AL1461</f>
        <v>0</v>
      </c>
      <c r="AN1461" s="45"/>
    </row>
    <row r="1462" spans="1:41">
      <c r="A1462" s="45">
        <v>1434</v>
      </c>
      <c r="B1462" s="45" t="s">
        <v>5645</v>
      </c>
      <c r="C1462" s="49" t="s">
        <v>5646</v>
      </c>
      <c r="D1462" s="53" t="s">
        <v>73</v>
      </c>
      <c r="E1462" s="45" t="s">
        <v>5584</v>
      </c>
      <c r="F1462" s="45" t="s">
        <v>5647</v>
      </c>
      <c r="G1462" s="45">
        <v>2</v>
      </c>
      <c r="H1462" s="53" t="s">
        <v>5648</v>
      </c>
      <c r="I1462" s="45">
        <v>294000</v>
      </c>
      <c r="J1462" s="45">
        <v>0</v>
      </c>
      <c r="K1462" s="45">
        <v>22000</v>
      </c>
      <c r="L1462" s="45">
        <v>0</v>
      </c>
      <c r="M1462" s="45">
        <v>0</v>
      </c>
      <c r="N1462" s="45">
        <v>0</v>
      </c>
      <c r="O1462" s="45">
        <v>0</v>
      </c>
      <c r="P1462" s="45">
        <v>0</v>
      </c>
      <c r="Q1462" s="45">
        <v>0</v>
      </c>
      <c r="R1462" s="45">
        <v>0</v>
      </c>
      <c r="S1462" s="45">
        <v>0</v>
      </c>
      <c r="T1462" s="45">
        <v>0</v>
      </c>
      <c r="U1462" s="45">
        <v>1397</v>
      </c>
      <c r="V1462" s="45">
        <v>0</v>
      </c>
      <c r="W1462" s="45">
        <v>0</v>
      </c>
      <c r="X1462" s="45">
        <v>0</v>
      </c>
      <c r="Y1462" s="45">
        <v>0</v>
      </c>
      <c r="Z1462" s="45">
        <v>0</v>
      </c>
      <c r="AA1462" s="45">
        <v>0</v>
      </c>
      <c r="AB1462" s="45">
        <v>0</v>
      </c>
      <c r="AC1462" s="45">
        <v>0</v>
      </c>
      <c r="AD1462" s="45">
        <v>0</v>
      </c>
      <c r="AE1462" s="45">
        <v>0</v>
      </c>
      <c r="AF1462" s="45">
        <v>0</v>
      </c>
      <c r="AG1462" s="45">
        <v>0</v>
      </c>
      <c r="AH1462" s="45">
        <v>0</v>
      </c>
      <c r="AI1462" s="45">
        <v>0</v>
      </c>
      <c r="AJ1462" s="45">
        <v>0</v>
      </c>
      <c r="AK1462" s="45">
        <v>0</v>
      </c>
      <c r="AL1462" s="45">
        <v>0</v>
      </c>
      <c r="AM1462" s="57" t="str">
        <f>I1462-J1462-K1462-L1462-M1462-N1462-O1462-P1462-Q1462-R1462-S1462-T1462-U1462-V1462-W1462-X1462-Y1462-Z1462-AA1462-AB1462-AC1462-AD1462-AE1462-AF1462-AG1462+AH1462-AI1462+AJ1462+AK1462-AL1462</f>
        <v>0</v>
      </c>
      <c r="AN1462" s="45"/>
    </row>
    <row r="1463" spans="1:41">
      <c r="A1463" s="45">
        <v>1435</v>
      </c>
      <c r="B1463" s="45" t="s">
        <v>5649</v>
      </c>
      <c r="C1463" s="49" t="s">
        <v>5650</v>
      </c>
      <c r="D1463" s="53" t="s">
        <v>73</v>
      </c>
      <c r="E1463" s="45" t="s">
        <v>5584</v>
      </c>
      <c r="F1463" s="45" t="s">
        <v>4111</v>
      </c>
      <c r="G1463" s="45">
        <v>18</v>
      </c>
      <c r="H1463" s="53" t="s">
        <v>5651</v>
      </c>
      <c r="I1463" s="45">
        <v>3164000</v>
      </c>
      <c r="J1463" s="45">
        <v>15820</v>
      </c>
      <c r="K1463" s="45">
        <v>72000</v>
      </c>
      <c r="L1463" s="45">
        <v>0</v>
      </c>
      <c r="M1463" s="45">
        <v>0</v>
      </c>
      <c r="N1463" s="45">
        <v>0</v>
      </c>
      <c r="O1463" s="45">
        <v>0</v>
      </c>
      <c r="P1463" s="45">
        <v>0</v>
      </c>
      <c r="Q1463" s="45">
        <v>0</v>
      </c>
      <c r="R1463" s="45">
        <v>0</v>
      </c>
      <c r="S1463" s="45">
        <v>0</v>
      </c>
      <c r="T1463" s="45">
        <v>0</v>
      </c>
      <c r="U1463" s="45">
        <v>4572</v>
      </c>
      <c r="V1463" s="45">
        <v>0</v>
      </c>
      <c r="W1463" s="45">
        <v>0</v>
      </c>
      <c r="X1463" s="45">
        <v>0</v>
      </c>
      <c r="Y1463" s="45">
        <v>0</v>
      </c>
      <c r="Z1463" s="45">
        <v>0</v>
      </c>
      <c r="AA1463" s="45">
        <v>0</v>
      </c>
      <c r="AB1463" s="45">
        <v>0</v>
      </c>
      <c r="AC1463" s="45">
        <v>0</v>
      </c>
      <c r="AD1463" s="45">
        <v>0</v>
      </c>
      <c r="AE1463" s="45">
        <v>0</v>
      </c>
      <c r="AF1463" s="45">
        <v>0</v>
      </c>
      <c r="AG1463" s="45">
        <v>0</v>
      </c>
      <c r="AH1463" s="45">
        <v>0</v>
      </c>
      <c r="AI1463" s="45">
        <v>0</v>
      </c>
      <c r="AJ1463" s="45">
        <v>0</v>
      </c>
      <c r="AK1463" s="45">
        <v>0</v>
      </c>
      <c r="AL1463" s="45">
        <v>0</v>
      </c>
      <c r="AM1463" s="57" t="str">
        <f>I1463-J1463-K1463-L1463-M1463-N1463-O1463-P1463-Q1463-R1463-S1463-T1463-U1463-V1463-W1463-X1463-Y1463-Z1463-AA1463-AB1463-AC1463-AD1463-AE1463-AF1463-AG1463+AH1463-AI1463+AJ1463+AK1463-AL1463</f>
        <v>0</v>
      </c>
      <c r="AN1463" s="45"/>
    </row>
    <row r="1464" spans="1:41">
      <c r="A1464" s="45">
        <v>1436</v>
      </c>
      <c r="B1464" s="45" t="s">
        <v>5652</v>
      </c>
      <c r="C1464" s="49" t="s">
        <v>5653</v>
      </c>
      <c r="D1464" s="53" t="s">
        <v>73</v>
      </c>
      <c r="E1464" s="45" t="s">
        <v>5584</v>
      </c>
      <c r="F1464" s="45" t="s">
        <v>5654</v>
      </c>
      <c r="G1464" s="45">
        <v>6</v>
      </c>
      <c r="H1464" s="53" t="s">
        <v>5655</v>
      </c>
      <c r="I1464" s="45">
        <v>314000</v>
      </c>
      <c r="J1464" s="45">
        <v>0</v>
      </c>
      <c r="K1464" s="45">
        <v>31000</v>
      </c>
      <c r="L1464" s="45">
        <v>0</v>
      </c>
      <c r="M1464" s="45">
        <v>0</v>
      </c>
      <c r="N1464" s="45">
        <v>0</v>
      </c>
      <c r="O1464" s="45">
        <v>0</v>
      </c>
      <c r="P1464" s="45">
        <v>0</v>
      </c>
      <c r="Q1464" s="45">
        <v>0</v>
      </c>
      <c r="R1464" s="45">
        <v>0</v>
      </c>
      <c r="S1464" s="45">
        <v>0</v>
      </c>
      <c r="T1464" s="45">
        <v>0</v>
      </c>
      <c r="U1464" s="45">
        <v>1968</v>
      </c>
      <c r="V1464" s="45">
        <v>0</v>
      </c>
      <c r="W1464" s="45">
        <v>0</v>
      </c>
      <c r="X1464" s="45">
        <v>0</v>
      </c>
      <c r="Y1464" s="45">
        <v>0</v>
      </c>
      <c r="Z1464" s="45">
        <v>0</v>
      </c>
      <c r="AA1464" s="45">
        <v>0</v>
      </c>
      <c r="AB1464" s="45">
        <v>0</v>
      </c>
      <c r="AC1464" s="45">
        <v>0</v>
      </c>
      <c r="AD1464" s="45">
        <v>0</v>
      </c>
      <c r="AE1464" s="45">
        <v>0</v>
      </c>
      <c r="AF1464" s="45">
        <v>0</v>
      </c>
      <c r="AG1464" s="45">
        <v>0</v>
      </c>
      <c r="AH1464" s="45">
        <v>0</v>
      </c>
      <c r="AI1464" s="45">
        <v>0</v>
      </c>
      <c r="AJ1464" s="45">
        <v>0</v>
      </c>
      <c r="AK1464" s="45">
        <v>0</v>
      </c>
      <c r="AL1464" s="45">
        <v>0</v>
      </c>
      <c r="AM1464" s="57" t="str">
        <f>I1464-J1464-K1464-L1464-M1464-N1464-O1464-P1464-Q1464-R1464-S1464-T1464-U1464-V1464-W1464-X1464-Y1464-Z1464-AA1464-AB1464-AC1464-AD1464-AE1464-AF1464-AG1464+AH1464-AI1464+AJ1464+AK1464-AL1464</f>
        <v>0</v>
      </c>
      <c r="AN1464" s="45"/>
    </row>
    <row r="1465" spans="1:41">
      <c r="A1465" s="45">
        <v>1437</v>
      </c>
      <c r="B1465" s="45" t="s">
        <v>5656</v>
      </c>
      <c r="C1465" s="49" t="s">
        <v>5657</v>
      </c>
      <c r="D1465" s="53" t="s">
        <v>73</v>
      </c>
      <c r="E1465" s="45" t="s">
        <v>5584</v>
      </c>
      <c r="F1465" s="45" t="s">
        <v>5658</v>
      </c>
      <c r="G1465" s="45">
        <v>3</v>
      </c>
      <c r="H1465" s="53" t="s">
        <v>5659</v>
      </c>
      <c r="I1465" s="45">
        <v>134000</v>
      </c>
      <c r="J1465" s="45">
        <v>0</v>
      </c>
      <c r="K1465" s="45">
        <v>22000</v>
      </c>
      <c r="L1465" s="45">
        <v>0</v>
      </c>
      <c r="M1465" s="45">
        <v>0</v>
      </c>
      <c r="N1465" s="45">
        <v>0</v>
      </c>
      <c r="O1465" s="45">
        <v>0</v>
      </c>
      <c r="P1465" s="45">
        <v>0</v>
      </c>
      <c r="Q1465" s="45">
        <v>0</v>
      </c>
      <c r="R1465" s="45">
        <v>0</v>
      </c>
      <c r="S1465" s="45">
        <v>0</v>
      </c>
      <c r="T1465" s="45">
        <v>0</v>
      </c>
      <c r="U1465" s="45">
        <v>1397</v>
      </c>
      <c r="V1465" s="45">
        <v>0</v>
      </c>
      <c r="W1465" s="45">
        <v>0</v>
      </c>
      <c r="X1465" s="45">
        <v>0</v>
      </c>
      <c r="Y1465" s="45">
        <v>0</v>
      </c>
      <c r="Z1465" s="45">
        <v>0</v>
      </c>
      <c r="AA1465" s="45">
        <v>0</v>
      </c>
      <c r="AB1465" s="45">
        <v>0</v>
      </c>
      <c r="AC1465" s="45">
        <v>0</v>
      </c>
      <c r="AD1465" s="45">
        <v>0</v>
      </c>
      <c r="AE1465" s="45">
        <v>0</v>
      </c>
      <c r="AF1465" s="45">
        <v>0</v>
      </c>
      <c r="AG1465" s="45">
        <v>0</v>
      </c>
      <c r="AH1465" s="45">
        <v>0</v>
      </c>
      <c r="AI1465" s="45">
        <v>0</v>
      </c>
      <c r="AJ1465" s="45">
        <v>0</v>
      </c>
      <c r="AK1465" s="45">
        <v>0</v>
      </c>
      <c r="AL1465" s="45">
        <v>0</v>
      </c>
      <c r="AM1465" s="57" t="str">
        <f>I1465-J1465-K1465-L1465-M1465-N1465-O1465-P1465-Q1465-R1465-S1465-T1465-U1465-V1465-W1465-X1465-Y1465-Z1465-AA1465-AB1465-AC1465-AD1465-AE1465-AF1465-AG1465+AH1465-AI1465+AJ1465+AK1465-AL1465</f>
        <v>0</v>
      </c>
      <c r="AN1465" s="45"/>
    </row>
    <row r="1466" spans="1:41">
      <c r="A1466" s="45">
        <v>1438</v>
      </c>
      <c r="B1466" s="45" t="s">
        <v>5660</v>
      </c>
      <c r="C1466" s="49" t="s">
        <v>5661</v>
      </c>
      <c r="D1466" s="53" t="s">
        <v>73</v>
      </c>
      <c r="E1466" s="45" t="s">
        <v>2120</v>
      </c>
      <c r="F1466" s="45" t="s">
        <v>5662</v>
      </c>
      <c r="G1466" s="45">
        <v>12</v>
      </c>
      <c r="H1466" s="53" t="s">
        <v>5663</v>
      </c>
      <c r="I1466" s="45">
        <v>1003000</v>
      </c>
      <c r="J1466" s="45">
        <v>0</v>
      </c>
      <c r="K1466" s="45">
        <v>48000</v>
      </c>
      <c r="L1466" s="45">
        <v>0</v>
      </c>
      <c r="M1466" s="45">
        <v>0</v>
      </c>
      <c r="N1466" s="45">
        <v>0</v>
      </c>
      <c r="O1466" s="45">
        <v>0</v>
      </c>
      <c r="P1466" s="45">
        <v>0</v>
      </c>
      <c r="Q1466" s="45">
        <v>0</v>
      </c>
      <c r="R1466" s="45">
        <v>0</v>
      </c>
      <c r="S1466" s="45">
        <v>0</v>
      </c>
      <c r="T1466" s="45">
        <v>0</v>
      </c>
      <c r="U1466" s="45">
        <v>3048</v>
      </c>
      <c r="V1466" s="45">
        <v>0</v>
      </c>
      <c r="W1466" s="45">
        <v>0</v>
      </c>
      <c r="X1466" s="45">
        <v>0</v>
      </c>
      <c r="Y1466" s="45">
        <v>0</v>
      </c>
      <c r="Z1466" s="45">
        <v>0</v>
      </c>
      <c r="AA1466" s="45">
        <v>0</v>
      </c>
      <c r="AB1466" s="45">
        <v>0</v>
      </c>
      <c r="AC1466" s="45">
        <v>0</v>
      </c>
      <c r="AD1466" s="45">
        <v>0</v>
      </c>
      <c r="AE1466" s="45">
        <v>0</v>
      </c>
      <c r="AF1466" s="45">
        <v>0</v>
      </c>
      <c r="AG1466" s="45">
        <v>0</v>
      </c>
      <c r="AH1466" s="45">
        <v>0</v>
      </c>
      <c r="AI1466" s="45">
        <v>0</v>
      </c>
      <c r="AJ1466" s="45">
        <v>0</v>
      </c>
      <c r="AK1466" s="45">
        <v>0</v>
      </c>
      <c r="AL1466" s="45">
        <v>0</v>
      </c>
      <c r="AM1466" s="57" t="str">
        <f>I1466-J1466-K1466-L1466-M1466-N1466-O1466-P1466-Q1466-R1466-S1466-T1466-U1466-V1466-W1466-X1466-Y1466-Z1466-AA1466-AB1466-AC1466-AD1466-AE1466-AF1466-AG1466+AH1466-AI1466+AJ1466+AK1466-AL1466</f>
        <v>0</v>
      </c>
      <c r="AN1466" s="45"/>
    </row>
    <row r="1467" spans="1:41">
      <c r="A1467" s="45">
        <v>1439</v>
      </c>
      <c r="B1467" s="45" t="s">
        <v>5664</v>
      </c>
      <c r="C1467" s="49" t="s">
        <v>5665</v>
      </c>
      <c r="D1467" s="53" t="s">
        <v>73</v>
      </c>
      <c r="E1467" s="45" t="s">
        <v>2120</v>
      </c>
      <c r="F1467" s="45" t="s">
        <v>4668</v>
      </c>
      <c r="G1467" s="45">
        <v>3</v>
      </c>
      <c r="H1467" s="53" t="s">
        <v>5666</v>
      </c>
      <c r="I1467" s="45">
        <v>334000</v>
      </c>
      <c r="J1467" s="45">
        <v>0</v>
      </c>
      <c r="K1467" s="45">
        <v>22000</v>
      </c>
      <c r="L1467" s="45">
        <v>0</v>
      </c>
      <c r="M1467" s="45">
        <v>0</v>
      </c>
      <c r="N1467" s="45">
        <v>0</v>
      </c>
      <c r="O1467" s="45">
        <v>0</v>
      </c>
      <c r="P1467" s="45">
        <v>0</v>
      </c>
      <c r="Q1467" s="45">
        <v>0</v>
      </c>
      <c r="R1467" s="45">
        <v>0</v>
      </c>
      <c r="S1467" s="45">
        <v>0</v>
      </c>
      <c r="T1467" s="45">
        <v>0</v>
      </c>
      <c r="U1467" s="45">
        <v>1397</v>
      </c>
      <c r="V1467" s="45">
        <v>0</v>
      </c>
      <c r="W1467" s="45">
        <v>0</v>
      </c>
      <c r="X1467" s="45">
        <v>0</v>
      </c>
      <c r="Y1467" s="45">
        <v>0</v>
      </c>
      <c r="Z1467" s="45">
        <v>0</v>
      </c>
      <c r="AA1467" s="45">
        <v>0</v>
      </c>
      <c r="AB1467" s="45">
        <v>0</v>
      </c>
      <c r="AC1467" s="45">
        <v>0</v>
      </c>
      <c r="AD1467" s="45">
        <v>0</v>
      </c>
      <c r="AE1467" s="45">
        <v>0</v>
      </c>
      <c r="AF1467" s="45">
        <v>0</v>
      </c>
      <c r="AG1467" s="45">
        <v>0</v>
      </c>
      <c r="AH1467" s="45">
        <v>0</v>
      </c>
      <c r="AI1467" s="45">
        <v>0</v>
      </c>
      <c r="AJ1467" s="45">
        <v>0</v>
      </c>
      <c r="AK1467" s="45">
        <v>0</v>
      </c>
      <c r="AL1467" s="45">
        <v>0</v>
      </c>
      <c r="AM1467" s="57" t="str">
        <f>I1467-J1467-K1467-L1467-M1467-N1467-O1467-P1467-Q1467-R1467-S1467-T1467-U1467-V1467-W1467-X1467-Y1467-Z1467-AA1467-AB1467-AC1467-AD1467-AE1467-AF1467-AG1467+AH1467-AI1467+AJ1467+AK1467-AL1467</f>
        <v>0</v>
      </c>
      <c r="AN1467" s="45"/>
    </row>
    <row r="1468" spans="1:41">
      <c r="A1468" s="45">
        <v>1440</v>
      </c>
      <c r="B1468" s="45" t="s">
        <v>5667</v>
      </c>
      <c r="C1468" s="49" t="s">
        <v>5668</v>
      </c>
      <c r="D1468" s="53" t="s">
        <v>73</v>
      </c>
      <c r="E1468" s="45" t="s">
        <v>2120</v>
      </c>
      <c r="F1468" s="45" t="s">
        <v>5669</v>
      </c>
      <c r="G1468" s="45">
        <v>5.8</v>
      </c>
      <c r="H1468" s="53" t="s">
        <v>5670</v>
      </c>
      <c r="I1468" s="45">
        <v>574100</v>
      </c>
      <c r="J1468" s="45">
        <v>0</v>
      </c>
      <c r="K1468" s="45">
        <v>31000</v>
      </c>
      <c r="L1468" s="45">
        <v>0</v>
      </c>
      <c r="M1468" s="45">
        <v>0</v>
      </c>
      <c r="N1468" s="45">
        <v>0</v>
      </c>
      <c r="O1468" s="45">
        <v>0</v>
      </c>
      <c r="P1468" s="45">
        <v>0</v>
      </c>
      <c r="Q1468" s="45">
        <v>0</v>
      </c>
      <c r="R1468" s="45">
        <v>0</v>
      </c>
      <c r="S1468" s="45">
        <v>0</v>
      </c>
      <c r="T1468" s="45">
        <v>0</v>
      </c>
      <c r="U1468" s="45">
        <v>1968</v>
      </c>
      <c r="V1468" s="45">
        <v>0</v>
      </c>
      <c r="W1468" s="45">
        <v>0</v>
      </c>
      <c r="X1468" s="45">
        <v>0</v>
      </c>
      <c r="Y1468" s="45">
        <v>0</v>
      </c>
      <c r="Z1468" s="45">
        <v>0</v>
      </c>
      <c r="AA1468" s="45">
        <v>0</v>
      </c>
      <c r="AB1468" s="45">
        <v>0</v>
      </c>
      <c r="AC1468" s="45">
        <v>0</v>
      </c>
      <c r="AD1468" s="45">
        <v>0</v>
      </c>
      <c r="AE1468" s="45">
        <v>0</v>
      </c>
      <c r="AF1468" s="45">
        <v>0</v>
      </c>
      <c r="AG1468" s="45">
        <v>0</v>
      </c>
      <c r="AH1468" s="45">
        <v>0</v>
      </c>
      <c r="AI1468" s="45">
        <v>0</v>
      </c>
      <c r="AJ1468" s="45">
        <v>0</v>
      </c>
      <c r="AK1468" s="45">
        <v>0</v>
      </c>
      <c r="AL1468" s="45">
        <v>0</v>
      </c>
      <c r="AM1468" s="57" t="str">
        <f>I1468-J1468-K1468-L1468-M1468-N1468-O1468-P1468-Q1468-R1468-S1468-T1468-U1468-V1468-W1468-X1468-Y1468-Z1468-AA1468-AB1468-AC1468-AD1468-AE1468-AF1468-AG1468+AH1468-AI1468+AJ1468+AK1468-AL1468</f>
        <v>0</v>
      </c>
      <c r="AN1468" s="45"/>
    </row>
    <row r="1469" spans="1:41">
      <c r="A1469" s="45">
        <v>1441</v>
      </c>
      <c r="B1469" s="45" t="s">
        <v>5671</v>
      </c>
      <c r="C1469" s="49" t="s">
        <v>5672</v>
      </c>
      <c r="D1469" s="53" t="s">
        <v>73</v>
      </c>
      <c r="E1469" s="45" t="s">
        <v>2120</v>
      </c>
      <c r="F1469" s="45" t="s">
        <v>1554</v>
      </c>
      <c r="G1469" s="45">
        <v>2</v>
      </c>
      <c r="H1469" s="53" t="s">
        <v>5673</v>
      </c>
      <c r="I1469" s="45">
        <v>214000</v>
      </c>
      <c r="J1469" s="45">
        <v>0</v>
      </c>
      <c r="K1469" s="45">
        <v>22000</v>
      </c>
      <c r="L1469" s="45">
        <v>0</v>
      </c>
      <c r="M1469" s="45">
        <v>0</v>
      </c>
      <c r="N1469" s="45">
        <v>0</v>
      </c>
      <c r="O1469" s="45">
        <v>0</v>
      </c>
      <c r="P1469" s="45">
        <v>0</v>
      </c>
      <c r="Q1469" s="45">
        <v>0</v>
      </c>
      <c r="R1469" s="45">
        <v>0</v>
      </c>
      <c r="S1469" s="45">
        <v>0</v>
      </c>
      <c r="T1469" s="45">
        <v>0</v>
      </c>
      <c r="U1469" s="45">
        <v>1397</v>
      </c>
      <c r="V1469" s="45">
        <v>0</v>
      </c>
      <c r="W1469" s="45">
        <v>0</v>
      </c>
      <c r="X1469" s="45">
        <v>0</v>
      </c>
      <c r="Y1469" s="45">
        <v>0</v>
      </c>
      <c r="Z1469" s="45">
        <v>0</v>
      </c>
      <c r="AA1469" s="45">
        <v>0</v>
      </c>
      <c r="AB1469" s="45">
        <v>0</v>
      </c>
      <c r="AC1469" s="45">
        <v>0</v>
      </c>
      <c r="AD1469" s="45">
        <v>0</v>
      </c>
      <c r="AE1469" s="45">
        <v>0</v>
      </c>
      <c r="AF1469" s="45">
        <v>0</v>
      </c>
      <c r="AG1469" s="45">
        <v>0</v>
      </c>
      <c r="AH1469" s="45">
        <v>0</v>
      </c>
      <c r="AI1469" s="45">
        <v>0</v>
      </c>
      <c r="AJ1469" s="45">
        <v>0</v>
      </c>
      <c r="AK1469" s="45">
        <v>0</v>
      </c>
      <c r="AL1469" s="45">
        <v>0</v>
      </c>
      <c r="AM1469" s="57" t="str">
        <f>I1469-J1469-K1469-L1469-M1469-N1469-O1469-P1469-Q1469-R1469-S1469-T1469-U1469-V1469-W1469-X1469-Y1469-Z1469-AA1469-AB1469-AC1469-AD1469-AE1469-AF1469-AG1469+AH1469-AI1469+AJ1469+AK1469-AL1469</f>
        <v>0</v>
      </c>
      <c r="AN1469" s="45"/>
    </row>
    <row r="1470" spans="1:41">
      <c r="A1470" s="45">
        <v>1442</v>
      </c>
      <c r="B1470" s="45" t="s">
        <v>5674</v>
      </c>
      <c r="C1470" s="49" t="s">
        <v>5675</v>
      </c>
      <c r="D1470" s="53" t="s">
        <v>73</v>
      </c>
      <c r="E1470" s="45" t="s">
        <v>2120</v>
      </c>
      <c r="F1470" s="45" t="s">
        <v>5676</v>
      </c>
      <c r="G1470" s="45">
        <v>8</v>
      </c>
      <c r="H1470" s="53" t="s">
        <v>5677</v>
      </c>
      <c r="I1470" s="45">
        <v>1635000</v>
      </c>
      <c r="J1470" s="45">
        <v>0</v>
      </c>
      <c r="K1470" s="45">
        <v>39000</v>
      </c>
      <c r="L1470" s="45">
        <v>0</v>
      </c>
      <c r="M1470" s="45">
        <v>0</v>
      </c>
      <c r="N1470" s="45">
        <v>0</v>
      </c>
      <c r="O1470" s="45">
        <v>0</v>
      </c>
      <c r="P1470" s="45">
        <v>0</v>
      </c>
      <c r="Q1470" s="45">
        <v>0</v>
      </c>
      <c r="R1470" s="45">
        <v>0</v>
      </c>
      <c r="S1470" s="45">
        <v>0</v>
      </c>
      <c r="T1470" s="45">
        <v>0</v>
      </c>
      <c r="U1470" s="45">
        <v>2476</v>
      </c>
      <c r="V1470" s="45">
        <v>0</v>
      </c>
      <c r="W1470" s="45">
        <v>0</v>
      </c>
      <c r="X1470" s="45">
        <v>0</v>
      </c>
      <c r="Y1470" s="45">
        <v>0</v>
      </c>
      <c r="Z1470" s="45">
        <v>0</v>
      </c>
      <c r="AA1470" s="45">
        <v>0</v>
      </c>
      <c r="AB1470" s="45">
        <v>0</v>
      </c>
      <c r="AC1470" s="45">
        <v>0</v>
      </c>
      <c r="AD1470" s="45">
        <v>0</v>
      </c>
      <c r="AE1470" s="45">
        <v>0</v>
      </c>
      <c r="AF1470" s="45">
        <v>0</v>
      </c>
      <c r="AG1470" s="45">
        <v>0</v>
      </c>
      <c r="AH1470" s="45">
        <v>0</v>
      </c>
      <c r="AI1470" s="45">
        <v>0</v>
      </c>
      <c r="AJ1470" s="45">
        <v>0</v>
      </c>
      <c r="AK1470" s="45">
        <v>0</v>
      </c>
      <c r="AL1470" s="45">
        <v>0</v>
      </c>
      <c r="AM1470" s="57" t="str">
        <f>I1470-J1470-K1470-L1470-M1470-N1470-O1470-P1470-Q1470-R1470-S1470-T1470-U1470-V1470-W1470-X1470-Y1470-Z1470-AA1470-AB1470-AC1470-AD1470-AE1470-AF1470-AG1470+AH1470-AI1470+AJ1470+AK1470-AL1470</f>
        <v>0</v>
      </c>
      <c r="AN1470" s="45"/>
    </row>
    <row r="1471" spans="1:41">
      <c r="A1471" s="45">
        <v>1443</v>
      </c>
      <c r="B1471" s="45" t="s">
        <v>5678</v>
      </c>
      <c r="C1471" s="49" t="s">
        <v>5679</v>
      </c>
      <c r="D1471" s="53" t="s">
        <v>73</v>
      </c>
      <c r="E1471" s="45" t="s">
        <v>2120</v>
      </c>
      <c r="F1471" s="45" t="s">
        <v>5680</v>
      </c>
      <c r="G1471" s="45">
        <v>2</v>
      </c>
      <c r="H1471" s="53" t="s">
        <v>5681</v>
      </c>
      <c r="I1471" s="45">
        <v>134000</v>
      </c>
      <c r="J1471" s="45">
        <v>0</v>
      </c>
      <c r="K1471" s="45">
        <v>22000</v>
      </c>
      <c r="L1471" s="45">
        <v>0</v>
      </c>
      <c r="M1471" s="45">
        <v>0</v>
      </c>
      <c r="N1471" s="45">
        <v>0</v>
      </c>
      <c r="O1471" s="45">
        <v>0</v>
      </c>
      <c r="P1471" s="45">
        <v>0</v>
      </c>
      <c r="Q1471" s="45">
        <v>0</v>
      </c>
      <c r="R1471" s="45">
        <v>0</v>
      </c>
      <c r="S1471" s="45">
        <v>0</v>
      </c>
      <c r="T1471" s="45">
        <v>0</v>
      </c>
      <c r="U1471" s="45">
        <v>1397</v>
      </c>
      <c r="V1471" s="45">
        <v>0</v>
      </c>
      <c r="W1471" s="45">
        <v>0</v>
      </c>
      <c r="X1471" s="45">
        <v>0</v>
      </c>
      <c r="Y1471" s="45">
        <v>0</v>
      </c>
      <c r="Z1471" s="45">
        <v>0</v>
      </c>
      <c r="AA1471" s="45">
        <v>0</v>
      </c>
      <c r="AB1471" s="45">
        <v>0</v>
      </c>
      <c r="AC1471" s="45">
        <v>0</v>
      </c>
      <c r="AD1471" s="45">
        <v>0</v>
      </c>
      <c r="AE1471" s="45">
        <v>0</v>
      </c>
      <c r="AF1471" s="45">
        <v>0</v>
      </c>
      <c r="AG1471" s="45">
        <v>0</v>
      </c>
      <c r="AH1471" s="45">
        <v>0</v>
      </c>
      <c r="AI1471" s="45">
        <v>0</v>
      </c>
      <c r="AJ1471" s="45">
        <v>0</v>
      </c>
      <c r="AK1471" s="45">
        <v>0</v>
      </c>
      <c r="AL1471" s="45">
        <v>0</v>
      </c>
      <c r="AM1471" s="57" t="str">
        <f>I1471-J1471-K1471-L1471-M1471-N1471-O1471-P1471-Q1471-R1471-S1471-T1471-U1471-V1471-W1471-X1471-Y1471-Z1471-AA1471-AB1471-AC1471-AD1471-AE1471-AF1471-AG1471+AH1471-AI1471+AJ1471+AK1471-AL1471</f>
        <v>0</v>
      </c>
      <c r="AN1471" s="45"/>
    </row>
    <row r="1472" spans="1:41">
      <c r="A1472" s="45">
        <v>1444</v>
      </c>
      <c r="B1472" s="45" t="s">
        <v>5682</v>
      </c>
      <c r="C1472" s="49" t="s">
        <v>5683</v>
      </c>
      <c r="D1472" s="53" t="s">
        <v>73</v>
      </c>
      <c r="E1472" s="45" t="s">
        <v>2120</v>
      </c>
      <c r="F1472" s="45" t="s">
        <v>5684</v>
      </c>
      <c r="G1472" s="45">
        <v>5.8</v>
      </c>
      <c r="H1472" s="53" t="s">
        <v>5685</v>
      </c>
      <c r="I1472" s="45">
        <v>634000</v>
      </c>
      <c r="J1472" s="45">
        <v>0</v>
      </c>
      <c r="K1472" s="45">
        <v>31000</v>
      </c>
      <c r="L1472" s="45">
        <v>0</v>
      </c>
      <c r="M1472" s="45">
        <v>0</v>
      </c>
      <c r="N1472" s="45">
        <v>0</v>
      </c>
      <c r="O1472" s="45">
        <v>0</v>
      </c>
      <c r="P1472" s="45">
        <v>0</v>
      </c>
      <c r="Q1472" s="45">
        <v>0</v>
      </c>
      <c r="R1472" s="45">
        <v>0</v>
      </c>
      <c r="S1472" s="45">
        <v>0</v>
      </c>
      <c r="T1472" s="45">
        <v>0</v>
      </c>
      <c r="U1472" s="45">
        <v>1968</v>
      </c>
      <c r="V1472" s="45">
        <v>0</v>
      </c>
      <c r="W1472" s="45">
        <v>0</v>
      </c>
      <c r="X1472" s="45">
        <v>0</v>
      </c>
      <c r="Y1472" s="45">
        <v>0</v>
      </c>
      <c r="Z1472" s="45">
        <v>0</v>
      </c>
      <c r="AA1472" s="45">
        <v>0</v>
      </c>
      <c r="AB1472" s="45">
        <v>0</v>
      </c>
      <c r="AC1472" s="45">
        <v>0</v>
      </c>
      <c r="AD1472" s="45">
        <v>0</v>
      </c>
      <c r="AE1472" s="45">
        <v>0</v>
      </c>
      <c r="AF1472" s="45">
        <v>0</v>
      </c>
      <c r="AG1472" s="45">
        <v>0</v>
      </c>
      <c r="AH1472" s="45">
        <v>0</v>
      </c>
      <c r="AI1472" s="45">
        <v>0</v>
      </c>
      <c r="AJ1472" s="45">
        <v>0</v>
      </c>
      <c r="AK1472" s="45">
        <v>0</v>
      </c>
      <c r="AL1472" s="45">
        <v>0</v>
      </c>
      <c r="AM1472" s="57" t="str">
        <f>I1472-J1472-K1472-L1472-M1472-N1472-O1472-P1472-Q1472-R1472-S1472-T1472-U1472-V1472-W1472-X1472-Y1472-Z1472-AA1472-AB1472-AC1472-AD1472-AE1472-AF1472-AG1472+AH1472-AI1472+AJ1472+AK1472-AL1472</f>
        <v>0</v>
      </c>
      <c r="AN1472" s="45"/>
    </row>
    <row r="1473" spans="1:41">
      <c r="A1473" s="45">
        <v>1445</v>
      </c>
      <c r="B1473" s="45" t="s">
        <v>5686</v>
      </c>
      <c r="C1473" s="49" t="s">
        <v>5687</v>
      </c>
      <c r="D1473" s="53" t="s">
        <v>73</v>
      </c>
      <c r="E1473" s="45" t="s">
        <v>2120</v>
      </c>
      <c r="F1473" s="45" t="s">
        <v>5688</v>
      </c>
      <c r="G1473" s="45">
        <v>3</v>
      </c>
      <c r="H1473" s="53" t="s">
        <v>5689</v>
      </c>
      <c r="I1473" s="45">
        <v>585000</v>
      </c>
      <c r="J1473" s="45">
        <v>0</v>
      </c>
      <c r="K1473" s="45">
        <v>22000</v>
      </c>
      <c r="L1473" s="45">
        <v>0</v>
      </c>
      <c r="M1473" s="45">
        <v>0</v>
      </c>
      <c r="N1473" s="45">
        <v>0</v>
      </c>
      <c r="O1473" s="45">
        <v>0</v>
      </c>
      <c r="P1473" s="45">
        <v>0</v>
      </c>
      <c r="Q1473" s="45">
        <v>0</v>
      </c>
      <c r="R1473" s="45">
        <v>0</v>
      </c>
      <c r="S1473" s="45">
        <v>0</v>
      </c>
      <c r="T1473" s="45">
        <v>0</v>
      </c>
      <c r="U1473" s="45">
        <v>1397</v>
      </c>
      <c r="V1473" s="45">
        <v>0</v>
      </c>
      <c r="W1473" s="45">
        <v>0</v>
      </c>
      <c r="X1473" s="45">
        <v>0</v>
      </c>
      <c r="Y1473" s="45">
        <v>0</v>
      </c>
      <c r="Z1473" s="45">
        <v>0</v>
      </c>
      <c r="AA1473" s="45">
        <v>0</v>
      </c>
      <c r="AB1473" s="45">
        <v>0</v>
      </c>
      <c r="AC1473" s="45">
        <v>0</v>
      </c>
      <c r="AD1473" s="45">
        <v>0</v>
      </c>
      <c r="AE1473" s="45">
        <v>0</v>
      </c>
      <c r="AF1473" s="45">
        <v>0</v>
      </c>
      <c r="AG1473" s="45">
        <v>0</v>
      </c>
      <c r="AH1473" s="45">
        <v>0</v>
      </c>
      <c r="AI1473" s="45">
        <v>0</v>
      </c>
      <c r="AJ1473" s="45">
        <v>0</v>
      </c>
      <c r="AK1473" s="45">
        <v>0</v>
      </c>
      <c r="AL1473" s="45">
        <v>0</v>
      </c>
      <c r="AM1473" s="57" t="str">
        <f>I1473-J1473-K1473-L1473-M1473-N1473-O1473-P1473-Q1473-R1473-S1473-T1473-U1473-V1473-W1473-X1473-Y1473-Z1473-AA1473-AB1473-AC1473-AD1473-AE1473-AF1473-AG1473+AH1473-AI1473+AJ1473+AK1473-AL1473</f>
        <v>0</v>
      </c>
      <c r="AN1473" s="45"/>
    </row>
    <row r="1474" spans="1:41">
      <c r="A1474" s="45">
        <v>1446</v>
      </c>
      <c r="B1474" s="45" t="s">
        <v>5690</v>
      </c>
      <c r="C1474" s="49" t="s">
        <v>5691</v>
      </c>
      <c r="D1474" s="53" t="s">
        <v>73</v>
      </c>
      <c r="E1474" s="45" t="s">
        <v>2120</v>
      </c>
      <c r="F1474" s="45" t="s">
        <v>5692</v>
      </c>
      <c r="G1474" s="45">
        <v>7</v>
      </c>
      <c r="H1474" s="53" t="s">
        <v>5693</v>
      </c>
      <c r="I1474" s="45">
        <v>1540000</v>
      </c>
      <c r="J1474" s="45">
        <v>0</v>
      </c>
      <c r="K1474" s="45">
        <v>35000</v>
      </c>
      <c r="L1474" s="45">
        <v>0</v>
      </c>
      <c r="M1474" s="45">
        <v>0</v>
      </c>
      <c r="N1474" s="45">
        <v>0</v>
      </c>
      <c r="O1474" s="45">
        <v>0</v>
      </c>
      <c r="P1474" s="45">
        <v>0</v>
      </c>
      <c r="Q1474" s="45">
        <v>0</v>
      </c>
      <c r="R1474" s="45">
        <v>0</v>
      </c>
      <c r="S1474" s="45">
        <v>0</v>
      </c>
      <c r="T1474" s="45">
        <v>0</v>
      </c>
      <c r="U1474" s="45">
        <v>2222</v>
      </c>
      <c r="V1474" s="45">
        <v>0</v>
      </c>
      <c r="W1474" s="45">
        <v>0</v>
      </c>
      <c r="X1474" s="45">
        <v>0</v>
      </c>
      <c r="Y1474" s="45">
        <v>0</v>
      </c>
      <c r="Z1474" s="45">
        <v>0</v>
      </c>
      <c r="AA1474" s="45">
        <v>0</v>
      </c>
      <c r="AB1474" s="45">
        <v>0</v>
      </c>
      <c r="AC1474" s="45">
        <v>0</v>
      </c>
      <c r="AD1474" s="45">
        <v>0</v>
      </c>
      <c r="AE1474" s="45">
        <v>0</v>
      </c>
      <c r="AF1474" s="45">
        <v>0</v>
      </c>
      <c r="AG1474" s="45">
        <v>0</v>
      </c>
      <c r="AH1474" s="45">
        <v>0</v>
      </c>
      <c r="AI1474" s="45">
        <v>0</v>
      </c>
      <c r="AJ1474" s="45">
        <v>0</v>
      </c>
      <c r="AK1474" s="45">
        <v>0</v>
      </c>
      <c r="AL1474" s="45">
        <v>0</v>
      </c>
      <c r="AM1474" s="57" t="str">
        <f>I1474-J1474-K1474-L1474-M1474-N1474-O1474-P1474-Q1474-R1474-S1474-T1474-U1474-V1474-W1474-X1474-Y1474-Z1474-AA1474-AB1474-AC1474-AD1474-AE1474-AF1474-AG1474+AH1474-AI1474+AJ1474+AK1474-AL1474</f>
        <v>0</v>
      </c>
      <c r="AN1474" s="45"/>
    </row>
    <row r="1475" spans="1:41">
      <c r="A1475" s="45">
        <v>1447</v>
      </c>
      <c r="B1475" s="45" t="s">
        <v>5694</v>
      </c>
      <c r="C1475" s="49" t="s">
        <v>5695</v>
      </c>
      <c r="D1475" s="53" t="s">
        <v>73</v>
      </c>
      <c r="E1475" s="45" t="s">
        <v>2120</v>
      </c>
      <c r="F1475" s="45" t="s">
        <v>5696</v>
      </c>
      <c r="G1475" s="45">
        <v>5.8</v>
      </c>
      <c r="H1475" s="53" t="s">
        <v>5697</v>
      </c>
      <c r="I1475" s="45">
        <v>634000</v>
      </c>
      <c r="J1475" s="45">
        <v>0</v>
      </c>
      <c r="K1475" s="45">
        <v>31000</v>
      </c>
      <c r="L1475" s="45">
        <v>0</v>
      </c>
      <c r="M1475" s="45">
        <v>0</v>
      </c>
      <c r="N1475" s="45">
        <v>0</v>
      </c>
      <c r="O1475" s="45">
        <v>0</v>
      </c>
      <c r="P1475" s="45">
        <v>0</v>
      </c>
      <c r="Q1475" s="45">
        <v>0</v>
      </c>
      <c r="R1475" s="45">
        <v>0</v>
      </c>
      <c r="S1475" s="45">
        <v>0</v>
      </c>
      <c r="T1475" s="45">
        <v>0</v>
      </c>
      <c r="U1475" s="45">
        <v>1968</v>
      </c>
      <c r="V1475" s="45">
        <v>0</v>
      </c>
      <c r="W1475" s="45">
        <v>0</v>
      </c>
      <c r="X1475" s="45">
        <v>0</v>
      </c>
      <c r="Y1475" s="45">
        <v>0</v>
      </c>
      <c r="Z1475" s="45">
        <v>0</v>
      </c>
      <c r="AA1475" s="45">
        <v>0</v>
      </c>
      <c r="AB1475" s="45">
        <v>0</v>
      </c>
      <c r="AC1475" s="45">
        <v>0</v>
      </c>
      <c r="AD1475" s="45">
        <v>0</v>
      </c>
      <c r="AE1475" s="45">
        <v>0</v>
      </c>
      <c r="AF1475" s="45">
        <v>0</v>
      </c>
      <c r="AG1475" s="45">
        <v>0</v>
      </c>
      <c r="AH1475" s="45">
        <v>0</v>
      </c>
      <c r="AI1475" s="45">
        <v>0</v>
      </c>
      <c r="AJ1475" s="45">
        <v>0</v>
      </c>
      <c r="AK1475" s="45">
        <v>0</v>
      </c>
      <c r="AL1475" s="45">
        <v>0</v>
      </c>
      <c r="AM1475" s="57" t="str">
        <f>I1475-J1475-K1475-L1475-M1475-N1475-O1475-P1475-Q1475-R1475-S1475-T1475-U1475-V1475-W1475-X1475-Y1475-Z1475-AA1475-AB1475-AC1475-AD1475-AE1475-AF1475-AG1475+AH1475-AI1475+AJ1475+AK1475-AL1475</f>
        <v>0</v>
      </c>
      <c r="AN1475" s="45"/>
    </row>
    <row r="1476" spans="1:41">
      <c r="A1476" s="45">
        <v>1448</v>
      </c>
      <c r="B1476" s="45" t="s">
        <v>5698</v>
      </c>
      <c r="C1476" s="49" t="s">
        <v>5699</v>
      </c>
      <c r="D1476" s="53" t="s">
        <v>73</v>
      </c>
      <c r="E1476" s="45" t="s">
        <v>2120</v>
      </c>
      <c r="F1476" s="45" t="s">
        <v>202</v>
      </c>
      <c r="G1476" s="45">
        <v>3</v>
      </c>
      <c r="H1476" s="53" t="s">
        <v>5700</v>
      </c>
      <c r="I1476" s="45">
        <v>585000</v>
      </c>
      <c r="J1476" s="45">
        <v>0</v>
      </c>
      <c r="K1476" s="45">
        <v>22000</v>
      </c>
      <c r="L1476" s="45">
        <v>0</v>
      </c>
      <c r="M1476" s="45">
        <v>0</v>
      </c>
      <c r="N1476" s="45">
        <v>0</v>
      </c>
      <c r="O1476" s="45">
        <v>0</v>
      </c>
      <c r="P1476" s="45">
        <v>0</v>
      </c>
      <c r="Q1476" s="45">
        <v>0</v>
      </c>
      <c r="R1476" s="45">
        <v>0</v>
      </c>
      <c r="S1476" s="45">
        <v>0</v>
      </c>
      <c r="T1476" s="45">
        <v>0</v>
      </c>
      <c r="U1476" s="45">
        <v>1397</v>
      </c>
      <c r="V1476" s="45">
        <v>0</v>
      </c>
      <c r="W1476" s="45">
        <v>0</v>
      </c>
      <c r="X1476" s="45">
        <v>0</v>
      </c>
      <c r="Y1476" s="45">
        <v>0</v>
      </c>
      <c r="Z1476" s="45">
        <v>0</v>
      </c>
      <c r="AA1476" s="45">
        <v>0</v>
      </c>
      <c r="AB1476" s="45">
        <v>0</v>
      </c>
      <c r="AC1476" s="45">
        <v>0</v>
      </c>
      <c r="AD1476" s="45">
        <v>0</v>
      </c>
      <c r="AE1476" s="45">
        <v>0</v>
      </c>
      <c r="AF1476" s="45">
        <v>0</v>
      </c>
      <c r="AG1476" s="45">
        <v>0</v>
      </c>
      <c r="AH1476" s="45">
        <v>0</v>
      </c>
      <c r="AI1476" s="45">
        <v>0</v>
      </c>
      <c r="AJ1476" s="45">
        <v>0</v>
      </c>
      <c r="AK1476" s="45">
        <v>0</v>
      </c>
      <c r="AL1476" s="45">
        <v>0</v>
      </c>
      <c r="AM1476" s="57" t="str">
        <f>I1476-J1476-K1476-L1476-M1476-N1476-O1476-P1476-Q1476-R1476-S1476-T1476-U1476-V1476-W1476-X1476-Y1476-Z1476-AA1476-AB1476-AC1476-AD1476-AE1476-AF1476-AG1476+AH1476-AI1476+AJ1476+AK1476-AL1476</f>
        <v>0</v>
      </c>
      <c r="AN1476" s="45"/>
    </row>
    <row r="1477" spans="1:41">
      <c r="A1477" s="45">
        <v>1449</v>
      </c>
      <c r="B1477" s="45" t="s">
        <v>5701</v>
      </c>
      <c r="C1477" s="49" t="s">
        <v>5702</v>
      </c>
      <c r="D1477" s="53" t="s">
        <v>73</v>
      </c>
      <c r="E1477" s="45" t="s">
        <v>2120</v>
      </c>
      <c r="F1477" s="45" t="s">
        <v>5703</v>
      </c>
      <c r="G1477" s="45">
        <v>5</v>
      </c>
      <c r="H1477" s="53" t="s">
        <v>5704</v>
      </c>
      <c r="I1477" s="45">
        <v>1860000</v>
      </c>
      <c r="J1477" s="45">
        <v>0</v>
      </c>
      <c r="K1477" s="45">
        <v>27000</v>
      </c>
      <c r="L1477" s="45">
        <v>0</v>
      </c>
      <c r="M1477" s="45">
        <v>0</v>
      </c>
      <c r="N1477" s="45">
        <v>0</v>
      </c>
      <c r="O1477" s="45">
        <v>0</v>
      </c>
      <c r="P1477" s="45">
        <v>0</v>
      </c>
      <c r="Q1477" s="45">
        <v>0</v>
      </c>
      <c r="R1477" s="45">
        <v>0</v>
      </c>
      <c r="S1477" s="45">
        <v>0</v>
      </c>
      <c r="T1477" s="45">
        <v>0</v>
      </c>
      <c r="U1477" s="45">
        <v>1714</v>
      </c>
      <c r="V1477" s="45">
        <v>0</v>
      </c>
      <c r="W1477" s="45">
        <v>0</v>
      </c>
      <c r="X1477" s="45">
        <v>0</v>
      </c>
      <c r="Y1477" s="45">
        <v>0</v>
      </c>
      <c r="Z1477" s="45">
        <v>0</v>
      </c>
      <c r="AA1477" s="45">
        <v>0</v>
      </c>
      <c r="AB1477" s="45">
        <v>0</v>
      </c>
      <c r="AC1477" s="45">
        <v>0</v>
      </c>
      <c r="AD1477" s="45">
        <v>0</v>
      </c>
      <c r="AE1477" s="45">
        <v>0</v>
      </c>
      <c r="AF1477" s="45">
        <v>0</v>
      </c>
      <c r="AG1477" s="45">
        <v>0</v>
      </c>
      <c r="AH1477" s="45">
        <v>0</v>
      </c>
      <c r="AI1477" s="45">
        <v>0</v>
      </c>
      <c r="AJ1477" s="45">
        <v>0</v>
      </c>
      <c r="AK1477" s="45">
        <v>0</v>
      </c>
      <c r="AL1477" s="45">
        <v>0</v>
      </c>
      <c r="AM1477" s="57" t="str">
        <f>I1477-J1477-K1477-L1477-M1477-N1477-O1477-P1477-Q1477-R1477-S1477-T1477-U1477-V1477-W1477-X1477-Y1477-Z1477-AA1477-AB1477-AC1477-AD1477-AE1477-AF1477-AG1477+AH1477-AI1477+AJ1477+AK1477-AL1477</f>
        <v>0</v>
      </c>
      <c r="AN1477" s="45"/>
    </row>
    <row r="1478" spans="1:41">
      <c r="A1478" s="45">
        <v>1450</v>
      </c>
      <c r="B1478" s="45" t="s">
        <v>5705</v>
      </c>
      <c r="C1478" s="49" t="s">
        <v>5706</v>
      </c>
      <c r="D1478" s="53" t="s">
        <v>62</v>
      </c>
      <c r="E1478" s="45" t="s">
        <v>2120</v>
      </c>
      <c r="F1478" s="45" t="s">
        <v>5095</v>
      </c>
      <c r="G1478" s="45">
        <v>4</v>
      </c>
      <c r="H1478" s="53" t="s">
        <v>5707</v>
      </c>
      <c r="I1478" s="45">
        <v>0</v>
      </c>
      <c r="J1478" s="45">
        <v>0</v>
      </c>
      <c r="K1478" s="45">
        <v>25000</v>
      </c>
      <c r="L1478" s="45">
        <v>0</v>
      </c>
      <c r="M1478" s="45">
        <v>0</v>
      </c>
      <c r="N1478" s="45">
        <v>0</v>
      </c>
      <c r="O1478" s="45">
        <v>0</v>
      </c>
      <c r="P1478" s="45">
        <v>0</v>
      </c>
      <c r="Q1478" s="45">
        <v>0</v>
      </c>
      <c r="R1478" s="45">
        <v>0</v>
      </c>
      <c r="S1478" s="45">
        <v>0</v>
      </c>
      <c r="T1478" s="45">
        <v>0</v>
      </c>
      <c r="U1478" s="45">
        <v>1587</v>
      </c>
      <c r="V1478" s="45">
        <v>0</v>
      </c>
      <c r="W1478" s="45">
        <v>0</v>
      </c>
      <c r="X1478" s="45">
        <v>0</v>
      </c>
      <c r="Y1478" s="45">
        <v>12500</v>
      </c>
      <c r="Z1478" s="45">
        <v>0</v>
      </c>
      <c r="AA1478" s="45">
        <v>0</v>
      </c>
      <c r="AB1478" s="45">
        <v>0</v>
      </c>
      <c r="AC1478" s="45">
        <v>0</v>
      </c>
      <c r="AD1478" s="45">
        <v>0</v>
      </c>
      <c r="AE1478" s="45">
        <v>0</v>
      </c>
      <c r="AF1478" s="45">
        <v>0</v>
      </c>
      <c r="AG1478" s="45">
        <v>0</v>
      </c>
      <c r="AH1478" s="45">
        <v>0</v>
      </c>
      <c r="AI1478" s="45">
        <v>0</v>
      </c>
      <c r="AJ1478" s="45">
        <v>0</v>
      </c>
      <c r="AK1478" s="45">
        <v>0</v>
      </c>
      <c r="AL1478" s="45">
        <v>0</v>
      </c>
      <c r="AM1478" s="57" t="str">
        <f>I1478-J1478-K1478-L1478-M1478-N1478-O1478-P1478-Q1478-R1478-S1478-T1478-U1478-V1478-W1478-X1478-Y1478-Z1478-AA1478-AB1478-AC1478-AD1478-AE1478-AF1478-AG1478+AH1478-AI1478+AJ1478+AK1478-AL1478</f>
        <v>0</v>
      </c>
      <c r="AN1478" s="45"/>
    </row>
    <row r="1479" spans="1:41">
      <c r="A1479" s="45">
        <v>1451</v>
      </c>
      <c r="B1479" s="45" t="s">
        <v>5708</v>
      </c>
      <c r="C1479" s="49" t="s">
        <v>5709</v>
      </c>
      <c r="D1479" s="53" t="s">
        <v>73</v>
      </c>
      <c r="E1479" s="45" t="s">
        <v>2120</v>
      </c>
      <c r="F1479" s="45" t="s">
        <v>5710</v>
      </c>
      <c r="G1479" s="45">
        <v>2</v>
      </c>
      <c r="H1479" s="53" t="s">
        <v>5711</v>
      </c>
      <c r="I1479" s="45">
        <v>214000</v>
      </c>
      <c r="J1479" s="45">
        <v>0</v>
      </c>
      <c r="K1479" s="45">
        <v>22000</v>
      </c>
      <c r="L1479" s="45">
        <v>0</v>
      </c>
      <c r="M1479" s="45">
        <v>0</v>
      </c>
      <c r="N1479" s="45">
        <v>0</v>
      </c>
      <c r="O1479" s="45">
        <v>0</v>
      </c>
      <c r="P1479" s="45">
        <v>0</v>
      </c>
      <c r="Q1479" s="45">
        <v>0</v>
      </c>
      <c r="R1479" s="45">
        <v>0</v>
      </c>
      <c r="S1479" s="45">
        <v>0</v>
      </c>
      <c r="T1479" s="45">
        <v>0</v>
      </c>
      <c r="U1479" s="45">
        <v>1397</v>
      </c>
      <c r="V1479" s="45">
        <v>0</v>
      </c>
      <c r="W1479" s="45">
        <v>0</v>
      </c>
      <c r="X1479" s="45">
        <v>0</v>
      </c>
      <c r="Y1479" s="45">
        <v>0</v>
      </c>
      <c r="Z1479" s="45">
        <v>0</v>
      </c>
      <c r="AA1479" s="45">
        <v>0</v>
      </c>
      <c r="AB1479" s="45">
        <v>0</v>
      </c>
      <c r="AC1479" s="45">
        <v>0</v>
      </c>
      <c r="AD1479" s="45">
        <v>0</v>
      </c>
      <c r="AE1479" s="45">
        <v>0</v>
      </c>
      <c r="AF1479" s="45">
        <v>0</v>
      </c>
      <c r="AG1479" s="45">
        <v>0</v>
      </c>
      <c r="AH1479" s="45">
        <v>0</v>
      </c>
      <c r="AI1479" s="45">
        <v>0</v>
      </c>
      <c r="AJ1479" s="45">
        <v>0</v>
      </c>
      <c r="AK1479" s="45">
        <v>0</v>
      </c>
      <c r="AL1479" s="45">
        <v>0</v>
      </c>
      <c r="AM1479" s="57" t="str">
        <f>I1479-J1479-K1479-L1479-M1479-N1479-O1479-P1479-Q1479-R1479-S1479-T1479-U1479-V1479-W1479-X1479-Y1479-Z1479-AA1479-AB1479-AC1479-AD1479-AE1479-AF1479-AG1479+AH1479-AI1479+AJ1479+AK1479-AL1479</f>
        <v>0</v>
      </c>
      <c r="AN1479" s="45"/>
    </row>
    <row r="1480" spans="1:41">
      <c r="A1480" s="45">
        <v>1452</v>
      </c>
      <c r="B1480" s="45" t="s">
        <v>5712</v>
      </c>
      <c r="C1480" s="49" t="s">
        <v>5713</v>
      </c>
      <c r="D1480" s="53" t="s">
        <v>73</v>
      </c>
      <c r="E1480" s="45" t="s">
        <v>2120</v>
      </c>
      <c r="F1480" s="45" t="s">
        <v>5714</v>
      </c>
      <c r="G1480" s="45">
        <v>2</v>
      </c>
      <c r="H1480" s="53" t="s">
        <v>5715</v>
      </c>
      <c r="I1480" s="45">
        <v>140000</v>
      </c>
      <c r="J1480" s="45">
        <v>0</v>
      </c>
      <c r="K1480" s="45">
        <v>22000</v>
      </c>
      <c r="L1480" s="45">
        <v>0</v>
      </c>
      <c r="M1480" s="45">
        <v>0</v>
      </c>
      <c r="N1480" s="45">
        <v>0</v>
      </c>
      <c r="O1480" s="45">
        <v>0</v>
      </c>
      <c r="P1480" s="45">
        <v>0</v>
      </c>
      <c r="Q1480" s="45">
        <v>0</v>
      </c>
      <c r="R1480" s="45">
        <v>0</v>
      </c>
      <c r="S1480" s="45">
        <v>0</v>
      </c>
      <c r="T1480" s="45">
        <v>0</v>
      </c>
      <c r="U1480" s="45">
        <v>1397</v>
      </c>
      <c r="V1480" s="45">
        <v>0</v>
      </c>
      <c r="W1480" s="45">
        <v>0</v>
      </c>
      <c r="X1480" s="45">
        <v>0</v>
      </c>
      <c r="Y1480" s="45">
        <v>0</v>
      </c>
      <c r="Z1480" s="45">
        <v>0</v>
      </c>
      <c r="AA1480" s="45">
        <v>0</v>
      </c>
      <c r="AB1480" s="45">
        <v>0</v>
      </c>
      <c r="AC1480" s="45">
        <v>0</v>
      </c>
      <c r="AD1480" s="45">
        <v>0</v>
      </c>
      <c r="AE1480" s="45">
        <v>0</v>
      </c>
      <c r="AF1480" s="45">
        <v>0</v>
      </c>
      <c r="AG1480" s="45">
        <v>0</v>
      </c>
      <c r="AH1480" s="45">
        <v>0</v>
      </c>
      <c r="AI1480" s="45">
        <v>0</v>
      </c>
      <c r="AJ1480" s="45">
        <v>0</v>
      </c>
      <c r="AK1480" s="45">
        <v>0</v>
      </c>
      <c r="AL1480" s="45">
        <v>0</v>
      </c>
      <c r="AM1480" s="57" t="str">
        <f>I1480-J1480-K1480-L1480-M1480-N1480-O1480-P1480-Q1480-R1480-S1480-T1480-U1480-V1480-W1480-X1480-Y1480-Z1480-AA1480-AB1480-AC1480-AD1480-AE1480-AF1480-AG1480+AH1480-AI1480+AJ1480+AK1480-AL1480</f>
        <v>0</v>
      </c>
      <c r="AN1480" s="45"/>
    </row>
    <row r="1481" spans="1:41">
      <c r="A1481" s="45">
        <v>1453</v>
      </c>
      <c r="B1481" s="45" t="s">
        <v>5716</v>
      </c>
      <c r="C1481" s="49" t="s">
        <v>5717</v>
      </c>
      <c r="D1481" s="53" t="s">
        <v>73</v>
      </c>
      <c r="E1481" s="45" t="s">
        <v>2120</v>
      </c>
      <c r="F1481" s="45" t="s">
        <v>2863</v>
      </c>
      <c r="G1481" s="45">
        <v>6</v>
      </c>
      <c r="H1481" s="53" t="s">
        <v>5718</v>
      </c>
      <c r="I1481" s="45">
        <v>1360000</v>
      </c>
      <c r="J1481" s="45">
        <v>0</v>
      </c>
      <c r="K1481" s="45">
        <v>31000</v>
      </c>
      <c r="L1481" s="45">
        <v>0</v>
      </c>
      <c r="M1481" s="45">
        <v>0</v>
      </c>
      <c r="N1481" s="45">
        <v>0</v>
      </c>
      <c r="O1481" s="45">
        <v>0</v>
      </c>
      <c r="P1481" s="45">
        <v>0</v>
      </c>
      <c r="Q1481" s="45">
        <v>0</v>
      </c>
      <c r="R1481" s="45">
        <v>0</v>
      </c>
      <c r="S1481" s="45">
        <v>0</v>
      </c>
      <c r="T1481" s="45">
        <v>0</v>
      </c>
      <c r="U1481" s="45">
        <v>1968</v>
      </c>
      <c r="V1481" s="45">
        <v>0</v>
      </c>
      <c r="W1481" s="45">
        <v>0</v>
      </c>
      <c r="X1481" s="45">
        <v>0</v>
      </c>
      <c r="Y1481" s="45">
        <v>0</v>
      </c>
      <c r="Z1481" s="45">
        <v>0</v>
      </c>
      <c r="AA1481" s="45">
        <v>0</v>
      </c>
      <c r="AB1481" s="45">
        <v>0</v>
      </c>
      <c r="AC1481" s="45">
        <v>0</v>
      </c>
      <c r="AD1481" s="45">
        <v>0</v>
      </c>
      <c r="AE1481" s="45">
        <v>0</v>
      </c>
      <c r="AF1481" s="45">
        <v>0</v>
      </c>
      <c r="AG1481" s="45">
        <v>0</v>
      </c>
      <c r="AH1481" s="45">
        <v>0</v>
      </c>
      <c r="AI1481" s="45">
        <v>0</v>
      </c>
      <c r="AJ1481" s="45">
        <v>0</v>
      </c>
      <c r="AK1481" s="45">
        <v>0</v>
      </c>
      <c r="AL1481" s="45">
        <v>0</v>
      </c>
      <c r="AM1481" s="57" t="str">
        <f>I1481-J1481-K1481-L1481-M1481-N1481-O1481-P1481-Q1481-R1481-S1481-T1481-U1481-V1481-W1481-X1481-Y1481-Z1481-AA1481-AB1481-AC1481-AD1481-AE1481-AF1481-AG1481+AH1481-AI1481+AJ1481+AK1481-AL1481</f>
        <v>0</v>
      </c>
      <c r="AN1481" s="45"/>
    </row>
    <row r="1482" spans="1:41">
      <c r="A1482" s="45">
        <v>1454</v>
      </c>
      <c r="B1482" s="45" t="s">
        <v>5719</v>
      </c>
      <c r="C1482" s="49" t="s">
        <v>5720</v>
      </c>
      <c r="D1482" s="53" t="s">
        <v>73</v>
      </c>
      <c r="E1482" s="45" t="s">
        <v>2120</v>
      </c>
      <c r="F1482" s="45" t="s">
        <v>1923</v>
      </c>
      <c r="G1482" s="45">
        <v>2</v>
      </c>
      <c r="H1482" s="53" t="s">
        <v>5721</v>
      </c>
      <c r="I1482" s="45">
        <v>140000</v>
      </c>
      <c r="J1482" s="45">
        <v>0</v>
      </c>
      <c r="K1482" s="45">
        <v>22000</v>
      </c>
      <c r="L1482" s="45">
        <v>0</v>
      </c>
      <c r="M1482" s="45">
        <v>0</v>
      </c>
      <c r="N1482" s="45">
        <v>0</v>
      </c>
      <c r="O1482" s="45">
        <v>0</v>
      </c>
      <c r="P1482" s="45">
        <v>0</v>
      </c>
      <c r="Q1482" s="45">
        <v>0</v>
      </c>
      <c r="R1482" s="45">
        <v>0</v>
      </c>
      <c r="S1482" s="45">
        <v>0</v>
      </c>
      <c r="T1482" s="45">
        <v>0</v>
      </c>
      <c r="U1482" s="45">
        <v>1397</v>
      </c>
      <c r="V1482" s="45">
        <v>0</v>
      </c>
      <c r="W1482" s="45">
        <v>0</v>
      </c>
      <c r="X1482" s="45">
        <v>0</v>
      </c>
      <c r="Y1482" s="45">
        <v>0</v>
      </c>
      <c r="Z1482" s="45">
        <v>0</v>
      </c>
      <c r="AA1482" s="45">
        <v>0</v>
      </c>
      <c r="AB1482" s="45">
        <v>0</v>
      </c>
      <c r="AC1482" s="45">
        <v>0</v>
      </c>
      <c r="AD1482" s="45">
        <v>0</v>
      </c>
      <c r="AE1482" s="45">
        <v>0</v>
      </c>
      <c r="AF1482" s="45">
        <v>0</v>
      </c>
      <c r="AG1482" s="45">
        <v>0</v>
      </c>
      <c r="AH1482" s="45">
        <v>0</v>
      </c>
      <c r="AI1482" s="45">
        <v>0</v>
      </c>
      <c r="AJ1482" s="45">
        <v>0</v>
      </c>
      <c r="AK1482" s="45">
        <v>0</v>
      </c>
      <c r="AL1482" s="45">
        <v>0</v>
      </c>
      <c r="AM1482" s="57" t="str">
        <f>I1482-J1482-K1482-L1482-M1482-N1482-O1482-P1482-Q1482-R1482-S1482-T1482-U1482-V1482-W1482-X1482-Y1482-Z1482-AA1482-AB1482-AC1482-AD1482-AE1482-AF1482-AG1482+AH1482-AI1482+AJ1482+AK1482-AL1482</f>
        <v>0</v>
      </c>
      <c r="AN1482" s="45"/>
    </row>
    <row r="1483" spans="1:41">
      <c r="A1483" s="45">
        <v>1455</v>
      </c>
      <c r="B1483" s="45" t="s">
        <v>5722</v>
      </c>
      <c r="C1483" s="49" t="s">
        <v>5723</v>
      </c>
      <c r="D1483" s="53" t="s">
        <v>73</v>
      </c>
      <c r="E1483" s="45" t="s">
        <v>2120</v>
      </c>
      <c r="F1483" s="45" t="s">
        <v>2805</v>
      </c>
      <c r="G1483" s="45">
        <v>3</v>
      </c>
      <c r="H1483" s="53" t="s">
        <v>5724</v>
      </c>
      <c r="I1483" s="45">
        <v>507500</v>
      </c>
      <c r="J1483" s="45">
        <v>0</v>
      </c>
      <c r="K1483" s="45">
        <v>22000</v>
      </c>
      <c r="L1483" s="45">
        <v>0</v>
      </c>
      <c r="M1483" s="45">
        <v>0</v>
      </c>
      <c r="N1483" s="45">
        <v>0</v>
      </c>
      <c r="O1483" s="45">
        <v>0</v>
      </c>
      <c r="P1483" s="45">
        <v>0</v>
      </c>
      <c r="Q1483" s="45">
        <v>0</v>
      </c>
      <c r="R1483" s="45">
        <v>0</v>
      </c>
      <c r="S1483" s="45">
        <v>0</v>
      </c>
      <c r="T1483" s="45">
        <v>0</v>
      </c>
      <c r="U1483" s="45">
        <v>1397</v>
      </c>
      <c r="V1483" s="45">
        <v>0</v>
      </c>
      <c r="W1483" s="45">
        <v>0</v>
      </c>
      <c r="X1483" s="45">
        <v>0</v>
      </c>
      <c r="Y1483" s="45">
        <v>0</v>
      </c>
      <c r="Z1483" s="45">
        <v>0</v>
      </c>
      <c r="AA1483" s="45">
        <v>0</v>
      </c>
      <c r="AB1483" s="45">
        <v>0</v>
      </c>
      <c r="AC1483" s="45">
        <v>0</v>
      </c>
      <c r="AD1483" s="45">
        <v>0</v>
      </c>
      <c r="AE1483" s="45">
        <v>0</v>
      </c>
      <c r="AF1483" s="45">
        <v>0</v>
      </c>
      <c r="AG1483" s="45">
        <v>0</v>
      </c>
      <c r="AH1483" s="45">
        <v>0</v>
      </c>
      <c r="AI1483" s="45">
        <v>0</v>
      </c>
      <c r="AJ1483" s="45">
        <v>0</v>
      </c>
      <c r="AK1483" s="45">
        <v>0</v>
      </c>
      <c r="AL1483" s="45">
        <v>0</v>
      </c>
      <c r="AM1483" s="57" t="str">
        <f>I1483-J1483-K1483-L1483-M1483-N1483-O1483-P1483-Q1483-R1483-S1483-T1483-U1483-V1483-W1483-X1483-Y1483-Z1483-AA1483-AB1483-AC1483-AD1483-AE1483-AF1483-AG1483+AH1483-AI1483+AJ1483+AK1483-AL1483</f>
        <v>0</v>
      </c>
      <c r="AN1483" s="45"/>
    </row>
    <row r="1484" spans="1:41">
      <c r="A1484" s="45">
        <v>1456</v>
      </c>
      <c r="B1484" s="45" t="s">
        <v>5725</v>
      </c>
      <c r="C1484" s="49" t="s">
        <v>5726</v>
      </c>
      <c r="D1484" s="53" t="s">
        <v>73</v>
      </c>
      <c r="E1484" s="45" t="s">
        <v>2120</v>
      </c>
      <c r="F1484" s="45" t="s">
        <v>5727</v>
      </c>
      <c r="G1484" s="45">
        <v>8</v>
      </c>
      <c r="H1484" s="53" t="s">
        <v>5728</v>
      </c>
      <c r="I1484" s="45">
        <v>1524000</v>
      </c>
      <c r="J1484" s="45">
        <v>0</v>
      </c>
      <c r="K1484" s="45">
        <v>39000</v>
      </c>
      <c r="L1484" s="45">
        <v>0</v>
      </c>
      <c r="M1484" s="45">
        <v>0</v>
      </c>
      <c r="N1484" s="45">
        <v>0</v>
      </c>
      <c r="O1484" s="45">
        <v>0</v>
      </c>
      <c r="P1484" s="45">
        <v>0</v>
      </c>
      <c r="Q1484" s="45">
        <v>0</v>
      </c>
      <c r="R1484" s="45">
        <v>0</v>
      </c>
      <c r="S1484" s="45">
        <v>0</v>
      </c>
      <c r="T1484" s="45">
        <v>0</v>
      </c>
      <c r="U1484" s="45">
        <v>2476</v>
      </c>
      <c r="V1484" s="45">
        <v>0</v>
      </c>
      <c r="W1484" s="45">
        <v>0</v>
      </c>
      <c r="X1484" s="45">
        <v>0</v>
      </c>
      <c r="Y1484" s="45">
        <v>0</v>
      </c>
      <c r="Z1484" s="45">
        <v>0</v>
      </c>
      <c r="AA1484" s="45">
        <v>0</v>
      </c>
      <c r="AB1484" s="45">
        <v>0</v>
      </c>
      <c r="AC1484" s="45">
        <v>0</v>
      </c>
      <c r="AD1484" s="45">
        <v>0</v>
      </c>
      <c r="AE1484" s="45">
        <v>0</v>
      </c>
      <c r="AF1484" s="45">
        <v>0</v>
      </c>
      <c r="AG1484" s="45">
        <v>0</v>
      </c>
      <c r="AH1484" s="45">
        <v>0</v>
      </c>
      <c r="AI1484" s="45">
        <v>0</v>
      </c>
      <c r="AJ1484" s="45">
        <v>0</v>
      </c>
      <c r="AK1484" s="45">
        <v>0</v>
      </c>
      <c r="AL1484" s="45">
        <v>0</v>
      </c>
      <c r="AM1484" s="57" t="str">
        <f>I1484-J1484-K1484-L1484-M1484-N1484-O1484-P1484-Q1484-R1484-S1484-T1484-U1484-V1484-W1484-X1484-Y1484-Z1484-AA1484-AB1484-AC1484-AD1484-AE1484-AF1484-AG1484+AH1484-AI1484+AJ1484+AK1484-AL1484</f>
        <v>0</v>
      </c>
      <c r="AN1484" s="45"/>
    </row>
    <row r="1485" spans="1:41">
      <c r="A1485" s="45">
        <v>1457</v>
      </c>
      <c r="B1485" s="45" t="s">
        <v>5729</v>
      </c>
      <c r="C1485" s="49" t="s">
        <v>5730</v>
      </c>
      <c r="D1485" s="53" t="s">
        <v>73</v>
      </c>
      <c r="E1485" s="45" t="s">
        <v>2120</v>
      </c>
      <c r="F1485" s="45" t="s">
        <v>3754</v>
      </c>
      <c r="G1485" s="45">
        <v>11</v>
      </c>
      <c r="H1485" s="53" t="s">
        <v>5731</v>
      </c>
      <c r="I1485" s="45">
        <v>1953000</v>
      </c>
      <c r="J1485" s="45">
        <v>0</v>
      </c>
      <c r="K1485" s="45">
        <v>54000</v>
      </c>
      <c r="L1485" s="45">
        <v>0</v>
      </c>
      <c r="M1485" s="45">
        <v>0</v>
      </c>
      <c r="N1485" s="45">
        <v>0</v>
      </c>
      <c r="O1485" s="45">
        <v>0</v>
      </c>
      <c r="P1485" s="45">
        <v>0</v>
      </c>
      <c r="Q1485" s="45">
        <v>0</v>
      </c>
      <c r="R1485" s="45">
        <v>0</v>
      </c>
      <c r="S1485" s="45">
        <v>0</v>
      </c>
      <c r="T1485" s="45">
        <v>0</v>
      </c>
      <c r="U1485" s="45">
        <v>3429</v>
      </c>
      <c r="V1485" s="45">
        <v>0</v>
      </c>
      <c r="W1485" s="45">
        <v>0</v>
      </c>
      <c r="X1485" s="45">
        <v>0</v>
      </c>
      <c r="Y1485" s="45">
        <v>0</v>
      </c>
      <c r="Z1485" s="45">
        <v>0</v>
      </c>
      <c r="AA1485" s="45">
        <v>0</v>
      </c>
      <c r="AB1485" s="45">
        <v>0</v>
      </c>
      <c r="AC1485" s="45">
        <v>0</v>
      </c>
      <c r="AD1485" s="45">
        <v>0</v>
      </c>
      <c r="AE1485" s="45">
        <v>0</v>
      </c>
      <c r="AF1485" s="45">
        <v>0</v>
      </c>
      <c r="AG1485" s="45">
        <v>0</v>
      </c>
      <c r="AH1485" s="45">
        <v>0</v>
      </c>
      <c r="AI1485" s="45">
        <v>0</v>
      </c>
      <c r="AJ1485" s="45">
        <v>0</v>
      </c>
      <c r="AK1485" s="45">
        <v>0</v>
      </c>
      <c r="AL1485" s="45">
        <v>0</v>
      </c>
      <c r="AM1485" s="57" t="str">
        <f>I1485-J1485-K1485-L1485-M1485-N1485-O1485-P1485-Q1485-R1485-S1485-T1485-U1485-V1485-W1485-X1485-Y1485-Z1485-AA1485-AB1485-AC1485-AD1485-AE1485-AF1485-AG1485+AH1485-AI1485+AJ1485+AK1485-AL1485</f>
        <v>0</v>
      </c>
      <c r="AN1485" s="45"/>
    </row>
    <row r="1486" spans="1:41">
      <c r="A1486" s="45">
        <v>1458</v>
      </c>
      <c r="B1486" s="45" t="s">
        <v>5732</v>
      </c>
      <c r="C1486" s="49" t="s">
        <v>5733</v>
      </c>
      <c r="D1486" s="53" t="s">
        <v>73</v>
      </c>
      <c r="E1486" s="45" t="s">
        <v>2120</v>
      </c>
      <c r="F1486" s="45" t="s">
        <v>324</v>
      </c>
      <c r="G1486" s="45">
        <v>2</v>
      </c>
      <c r="H1486" s="53" t="s">
        <v>1156</v>
      </c>
      <c r="I1486" s="45">
        <v>134000</v>
      </c>
      <c r="J1486" s="45">
        <v>0</v>
      </c>
      <c r="K1486" s="45">
        <v>22000</v>
      </c>
      <c r="L1486" s="45">
        <v>0</v>
      </c>
      <c r="M1486" s="45">
        <v>0</v>
      </c>
      <c r="N1486" s="45">
        <v>0</v>
      </c>
      <c r="O1486" s="45">
        <v>0</v>
      </c>
      <c r="P1486" s="45">
        <v>0</v>
      </c>
      <c r="Q1486" s="45">
        <v>0</v>
      </c>
      <c r="R1486" s="45">
        <v>0</v>
      </c>
      <c r="S1486" s="45">
        <v>0</v>
      </c>
      <c r="T1486" s="45">
        <v>0</v>
      </c>
      <c r="U1486" s="45">
        <v>1397</v>
      </c>
      <c r="V1486" s="45">
        <v>0</v>
      </c>
      <c r="W1486" s="45">
        <v>0</v>
      </c>
      <c r="X1486" s="45">
        <v>0</v>
      </c>
      <c r="Y1486" s="45">
        <v>0</v>
      </c>
      <c r="Z1486" s="45">
        <v>0</v>
      </c>
      <c r="AA1486" s="45">
        <v>0</v>
      </c>
      <c r="AB1486" s="45">
        <v>0</v>
      </c>
      <c r="AC1486" s="45">
        <v>0</v>
      </c>
      <c r="AD1486" s="45">
        <v>0</v>
      </c>
      <c r="AE1486" s="45">
        <v>0</v>
      </c>
      <c r="AF1486" s="45">
        <v>0</v>
      </c>
      <c r="AG1486" s="45">
        <v>0</v>
      </c>
      <c r="AH1486" s="45">
        <v>0</v>
      </c>
      <c r="AI1486" s="45">
        <v>0</v>
      </c>
      <c r="AJ1486" s="45">
        <v>0</v>
      </c>
      <c r="AK1486" s="45">
        <v>0</v>
      </c>
      <c r="AL1486" s="45">
        <v>0</v>
      </c>
      <c r="AM1486" s="57" t="str">
        <f>I1486-J1486-K1486-L1486-M1486-N1486-O1486-P1486-Q1486-R1486-S1486-T1486-U1486-V1486-W1486-X1486-Y1486-Z1486-AA1486-AB1486-AC1486-AD1486-AE1486-AF1486-AG1486+AH1486-AI1486+AJ1486+AK1486-AL1486</f>
        <v>0</v>
      </c>
      <c r="AN1486" s="45"/>
    </row>
    <row r="1487" spans="1:41">
      <c r="A1487" s="45">
        <v>1459</v>
      </c>
      <c r="B1487" s="45" t="s">
        <v>5734</v>
      </c>
      <c r="C1487" s="49" t="s">
        <v>5735</v>
      </c>
      <c r="D1487" s="53" t="s">
        <v>73</v>
      </c>
      <c r="E1487" s="45" t="s">
        <v>2120</v>
      </c>
      <c r="F1487" s="45" t="s">
        <v>5736</v>
      </c>
      <c r="G1487" s="45">
        <v>7</v>
      </c>
      <c r="H1487" s="53" t="s">
        <v>5737</v>
      </c>
      <c r="I1487" s="45">
        <v>0</v>
      </c>
      <c r="J1487" s="45">
        <v>0</v>
      </c>
      <c r="K1487" s="45">
        <v>35000</v>
      </c>
      <c r="L1487" s="45">
        <v>0</v>
      </c>
      <c r="M1487" s="45">
        <v>0</v>
      </c>
      <c r="N1487" s="45">
        <v>0</v>
      </c>
      <c r="O1487" s="45">
        <v>0</v>
      </c>
      <c r="P1487" s="45">
        <v>0</v>
      </c>
      <c r="Q1487" s="45">
        <v>0</v>
      </c>
      <c r="R1487" s="45">
        <v>0</v>
      </c>
      <c r="S1487" s="45">
        <v>0</v>
      </c>
      <c r="T1487" s="45">
        <v>0</v>
      </c>
      <c r="U1487" s="45">
        <v>2222</v>
      </c>
      <c r="V1487" s="45">
        <v>0</v>
      </c>
      <c r="W1487" s="45">
        <v>0</v>
      </c>
      <c r="X1487" s="45">
        <v>0</v>
      </c>
      <c r="Y1487" s="45">
        <v>0</v>
      </c>
      <c r="Z1487" s="45">
        <v>0</v>
      </c>
      <c r="AA1487" s="45">
        <v>0</v>
      </c>
      <c r="AB1487" s="45">
        <v>0</v>
      </c>
      <c r="AC1487" s="45">
        <v>0</v>
      </c>
      <c r="AD1487" s="45">
        <v>0</v>
      </c>
      <c r="AE1487" s="45">
        <v>0</v>
      </c>
      <c r="AF1487" s="45">
        <v>0</v>
      </c>
      <c r="AG1487" s="45">
        <v>0</v>
      </c>
      <c r="AH1487" s="45">
        <v>0</v>
      </c>
      <c r="AI1487" s="45">
        <v>0</v>
      </c>
      <c r="AJ1487" s="45">
        <v>0</v>
      </c>
      <c r="AK1487" s="45">
        <v>0</v>
      </c>
      <c r="AL1487" s="45">
        <v>0</v>
      </c>
      <c r="AM1487" s="57" t="str">
        <f>I1487-J1487-K1487-L1487-M1487-N1487-O1487-P1487-Q1487-R1487-S1487-T1487-U1487-V1487-W1487-X1487-Y1487-Z1487-AA1487-AB1487-AC1487-AD1487-AE1487-AF1487-AG1487+AH1487-AI1487+AJ1487+AK1487-AL1487</f>
        <v>0</v>
      </c>
      <c r="AN1487" s="45"/>
    </row>
    <row r="1488" spans="1:41">
      <c r="A1488" s="45">
        <v>1460</v>
      </c>
      <c r="B1488" s="45" t="s">
        <v>5738</v>
      </c>
      <c r="C1488" s="49" t="s">
        <v>5739</v>
      </c>
      <c r="D1488" s="53" t="s">
        <v>73</v>
      </c>
      <c r="E1488" s="45" t="s">
        <v>2120</v>
      </c>
      <c r="F1488" s="45" t="s">
        <v>5740</v>
      </c>
      <c r="G1488" s="45">
        <v>2</v>
      </c>
      <c r="H1488" s="53" t="s">
        <v>5741</v>
      </c>
      <c r="I1488" s="45">
        <v>214000</v>
      </c>
      <c r="J1488" s="45">
        <v>0</v>
      </c>
      <c r="K1488" s="45">
        <v>22000</v>
      </c>
      <c r="L1488" s="45">
        <v>0</v>
      </c>
      <c r="M1488" s="45">
        <v>0</v>
      </c>
      <c r="N1488" s="45">
        <v>0</v>
      </c>
      <c r="O1488" s="45">
        <v>0</v>
      </c>
      <c r="P1488" s="45">
        <v>0</v>
      </c>
      <c r="Q1488" s="45">
        <v>0</v>
      </c>
      <c r="R1488" s="45">
        <v>0</v>
      </c>
      <c r="S1488" s="45">
        <v>0</v>
      </c>
      <c r="T1488" s="45">
        <v>0</v>
      </c>
      <c r="U1488" s="45">
        <v>1397</v>
      </c>
      <c r="V1488" s="45">
        <v>0</v>
      </c>
      <c r="W1488" s="45">
        <v>0</v>
      </c>
      <c r="X1488" s="45">
        <v>0</v>
      </c>
      <c r="Y1488" s="45">
        <v>0</v>
      </c>
      <c r="Z1488" s="45">
        <v>0</v>
      </c>
      <c r="AA1488" s="45">
        <v>0</v>
      </c>
      <c r="AB1488" s="45">
        <v>0</v>
      </c>
      <c r="AC1488" s="45">
        <v>0</v>
      </c>
      <c r="AD1488" s="45">
        <v>0</v>
      </c>
      <c r="AE1488" s="45">
        <v>0</v>
      </c>
      <c r="AF1488" s="45">
        <v>0</v>
      </c>
      <c r="AG1488" s="45">
        <v>0</v>
      </c>
      <c r="AH1488" s="45">
        <v>0</v>
      </c>
      <c r="AI1488" s="45">
        <v>0</v>
      </c>
      <c r="AJ1488" s="45">
        <v>0</v>
      </c>
      <c r="AK1488" s="45">
        <v>0</v>
      </c>
      <c r="AL1488" s="45">
        <v>0</v>
      </c>
      <c r="AM1488" s="57" t="str">
        <f>I1488-J1488-K1488-L1488-M1488-N1488-O1488-P1488-Q1488-R1488-S1488-T1488-U1488-V1488-W1488-X1488-Y1488-Z1488-AA1488-AB1488-AC1488-AD1488-AE1488-AF1488-AG1488+AH1488-AI1488+AJ1488+AK1488-AL1488</f>
        <v>0</v>
      </c>
      <c r="AN1488" s="45"/>
    </row>
    <row r="1489" spans="1:41">
      <c r="A1489" s="45">
        <v>1461</v>
      </c>
      <c r="B1489" s="45" t="s">
        <v>5742</v>
      </c>
      <c r="C1489" s="49" t="s">
        <v>5743</v>
      </c>
      <c r="D1489" s="53" t="s">
        <v>73</v>
      </c>
      <c r="E1489" s="45" t="s">
        <v>864</v>
      </c>
      <c r="F1489" s="45" t="s">
        <v>4987</v>
      </c>
      <c r="G1489" s="45">
        <v>2</v>
      </c>
      <c r="H1489" s="53" t="s">
        <v>5744</v>
      </c>
      <c r="I1489" s="45">
        <v>654000</v>
      </c>
      <c r="J1489" s="45">
        <v>0</v>
      </c>
      <c r="K1489" s="45">
        <v>22000</v>
      </c>
      <c r="L1489" s="45">
        <v>0</v>
      </c>
      <c r="M1489" s="45">
        <v>0</v>
      </c>
      <c r="N1489" s="45">
        <v>0</v>
      </c>
      <c r="O1489" s="45">
        <v>0</v>
      </c>
      <c r="P1489" s="45">
        <v>0</v>
      </c>
      <c r="Q1489" s="45">
        <v>0</v>
      </c>
      <c r="R1489" s="45">
        <v>0</v>
      </c>
      <c r="S1489" s="45">
        <v>0</v>
      </c>
      <c r="T1489" s="45">
        <v>0</v>
      </c>
      <c r="U1489" s="45">
        <v>1397</v>
      </c>
      <c r="V1489" s="45">
        <v>0</v>
      </c>
      <c r="W1489" s="45">
        <v>0</v>
      </c>
      <c r="X1489" s="45">
        <v>0</v>
      </c>
      <c r="Y1489" s="45">
        <v>0</v>
      </c>
      <c r="Z1489" s="45">
        <v>0</v>
      </c>
      <c r="AA1489" s="45">
        <v>0</v>
      </c>
      <c r="AB1489" s="45">
        <v>0</v>
      </c>
      <c r="AC1489" s="45">
        <v>0</v>
      </c>
      <c r="AD1489" s="45">
        <v>0</v>
      </c>
      <c r="AE1489" s="45">
        <v>0</v>
      </c>
      <c r="AF1489" s="45">
        <v>0</v>
      </c>
      <c r="AG1489" s="45">
        <v>0</v>
      </c>
      <c r="AH1489" s="45">
        <v>0</v>
      </c>
      <c r="AI1489" s="45">
        <v>0</v>
      </c>
      <c r="AJ1489" s="45">
        <v>0</v>
      </c>
      <c r="AK1489" s="45">
        <v>0</v>
      </c>
      <c r="AL1489" s="45">
        <v>0</v>
      </c>
      <c r="AM1489" s="57" t="str">
        <f>I1489-J1489-K1489-L1489-M1489-N1489-O1489-P1489-Q1489-R1489-S1489-T1489-U1489-V1489-W1489-X1489-Y1489-Z1489-AA1489-AB1489-AC1489-AD1489-AE1489-AF1489-AG1489+AH1489-AI1489+AJ1489+AK1489-AL1489</f>
        <v>0</v>
      </c>
      <c r="AN1489" s="45"/>
    </row>
    <row r="1490" spans="1:41">
      <c r="A1490" s="45">
        <v>1462</v>
      </c>
      <c r="B1490" s="45" t="s">
        <v>5745</v>
      </c>
      <c r="C1490" s="49" t="s">
        <v>5746</v>
      </c>
      <c r="D1490" s="53" t="s">
        <v>73</v>
      </c>
      <c r="E1490" s="45" t="s">
        <v>864</v>
      </c>
      <c r="F1490" s="45" t="s">
        <v>4924</v>
      </c>
      <c r="G1490" s="45">
        <v>3</v>
      </c>
      <c r="H1490" s="53" t="s">
        <v>5747</v>
      </c>
      <c r="I1490" s="45">
        <v>585000</v>
      </c>
      <c r="J1490" s="45">
        <v>0</v>
      </c>
      <c r="K1490" s="45">
        <v>22000</v>
      </c>
      <c r="L1490" s="45">
        <v>0</v>
      </c>
      <c r="M1490" s="45">
        <v>0</v>
      </c>
      <c r="N1490" s="45">
        <v>0</v>
      </c>
      <c r="O1490" s="45">
        <v>0</v>
      </c>
      <c r="P1490" s="45">
        <v>0</v>
      </c>
      <c r="Q1490" s="45">
        <v>0</v>
      </c>
      <c r="R1490" s="45">
        <v>0</v>
      </c>
      <c r="S1490" s="45">
        <v>0</v>
      </c>
      <c r="T1490" s="45">
        <v>0</v>
      </c>
      <c r="U1490" s="45">
        <v>1397</v>
      </c>
      <c r="V1490" s="45">
        <v>0</v>
      </c>
      <c r="W1490" s="45">
        <v>0</v>
      </c>
      <c r="X1490" s="45">
        <v>0</v>
      </c>
      <c r="Y1490" s="45">
        <v>0</v>
      </c>
      <c r="Z1490" s="45">
        <v>0</v>
      </c>
      <c r="AA1490" s="45">
        <v>0</v>
      </c>
      <c r="AB1490" s="45">
        <v>0</v>
      </c>
      <c r="AC1490" s="45">
        <v>0</v>
      </c>
      <c r="AD1490" s="45">
        <v>0</v>
      </c>
      <c r="AE1490" s="45">
        <v>0</v>
      </c>
      <c r="AF1490" s="45">
        <v>0</v>
      </c>
      <c r="AG1490" s="45">
        <v>0</v>
      </c>
      <c r="AH1490" s="45">
        <v>0</v>
      </c>
      <c r="AI1490" s="45">
        <v>0</v>
      </c>
      <c r="AJ1490" s="45">
        <v>0</v>
      </c>
      <c r="AK1490" s="45">
        <v>0</v>
      </c>
      <c r="AL1490" s="45">
        <v>0</v>
      </c>
      <c r="AM1490" s="57" t="str">
        <f>I1490-J1490-K1490-L1490-M1490-N1490-O1490-P1490-Q1490-R1490-S1490-T1490-U1490-V1490-W1490-X1490-Y1490-Z1490-AA1490-AB1490-AC1490-AD1490-AE1490-AF1490-AG1490+AH1490-AI1490+AJ1490+AK1490-AL1490</f>
        <v>0</v>
      </c>
      <c r="AN1490" s="45"/>
    </row>
    <row r="1491" spans="1:41">
      <c r="A1491" s="45">
        <v>1463</v>
      </c>
      <c r="B1491" s="45" t="s">
        <v>5748</v>
      </c>
      <c r="C1491" s="49" t="s">
        <v>5749</v>
      </c>
      <c r="D1491" s="53" t="s">
        <v>73</v>
      </c>
      <c r="E1491" s="45" t="s">
        <v>864</v>
      </c>
      <c r="F1491" s="45" t="s">
        <v>4823</v>
      </c>
      <c r="G1491" s="45">
        <v>2</v>
      </c>
      <c r="H1491" s="53" t="s">
        <v>5750</v>
      </c>
      <c r="I1491" s="45">
        <v>1799000</v>
      </c>
      <c r="J1491" s="45">
        <v>0</v>
      </c>
      <c r="K1491" s="45">
        <v>22000</v>
      </c>
      <c r="L1491" s="45">
        <v>0</v>
      </c>
      <c r="M1491" s="45">
        <v>0</v>
      </c>
      <c r="N1491" s="45">
        <v>0</v>
      </c>
      <c r="O1491" s="45">
        <v>0</v>
      </c>
      <c r="P1491" s="45">
        <v>0</v>
      </c>
      <c r="Q1491" s="45">
        <v>0</v>
      </c>
      <c r="R1491" s="45">
        <v>0</v>
      </c>
      <c r="S1491" s="45">
        <v>0</v>
      </c>
      <c r="T1491" s="45">
        <v>0</v>
      </c>
      <c r="U1491" s="45">
        <v>1397</v>
      </c>
      <c r="V1491" s="45">
        <v>0</v>
      </c>
      <c r="W1491" s="45">
        <v>0</v>
      </c>
      <c r="X1491" s="45">
        <v>0</v>
      </c>
      <c r="Y1491" s="45">
        <v>0</v>
      </c>
      <c r="Z1491" s="45">
        <v>0</v>
      </c>
      <c r="AA1491" s="45">
        <v>0</v>
      </c>
      <c r="AB1491" s="45">
        <v>0</v>
      </c>
      <c r="AC1491" s="45">
        <v>0</v>
      </c>
      <c r="AD1491" s="45">
        <v>0</v>
      </c>
      <c r="AE1491" s="45">
        <v>0</v>
      </c>
      <c r="AF1491" s="45">
        <v>0</v>
      </c>
      <c r="AG1491" s="45">
        <v>0</v>
      </c>
      <c r="AH1491" s="45">
        <v>0</v>
      </c>
      <c r="AI1491" s="45">
        <v>0</v>
      </c>
      <c r="AJ1491" s="45">
        <v>0</v>
      </c>
      <c r="AK1491" s="45">
        <v>0</v>
      </c>
      <c r="AL1491" s="45">
        <v>0</v>
      </c>
      <c r="AM1491" s="57" t="str">
        <f>I1491-J1491-K1491-L1491-M1491-N1491-O1491-P1491-Q1491-R1491-S1491-T1491-U1491-V1491-W1491-X1491-Y1491-Z1491-AA1491-AB1491-AC1491-AD1491-AE1491-AF1491-AG1491+AH1491-AI1491+AJ1491+AK1491-AL1491</f>
        <v>0</v>
      </c>
      <c r="AN1491" s="45"/>
    </row>
    <row r="1492" spans="1:41">
      <c r="A1492" s="45">
        <v>1464</v>
      </c>
      <c r="B1492" s="45" t="s">
        <v>5751</v>
      </c>
      <c r="C1492" s="49" t="s">
        <v>5752</v>
      </c>
      <c r="D1492" s="53" t="s">
        <v>73</v>
      </c>
      <c r="E1492" s="45" t="s">
        <v>554</v>
      </c>
      <c r="F1492" s="45" t="s">
        <v>3100</v>
      </c>
      <c r="G1492" s="45">
        <v>3</v>
      </c>
      <c r="H1492" s="53" t="s">
        <v>5753</v>
      </c>
      <c r="I1492" s="45">
        <v>0</v>
      </c>
      <c r="J1492" s="45">
        <v>0</v>
      </c>
      <c r="K1492" s="45">
        <v>22000</v>
      </c>
      <c r="L1492" s="45">
        <v>0</v>
      </c>
      <c r="M1492" s="45">
        <v>0</v>
      </c>
      <c r="N1492" s="45">
        <v>0</v>
      </c>
      <c r="O1492" s="45">
        <v>0</v>
      </c>
      <c r="P1492" s="45">
        <v>0</v>
      </c>
      <c r="Q1492" s="45">
        <v>0</v>
      </c>
      <c r="R1492" s="45">
        <v>0</v>
      </c>
      <c r="S1492" s="45">
        <v>0</v>
      </c>
      <c r="T1492" s="45">
        <v>0</v>
      </c>
      <c r="U1492" s="45">
        <v>1397</v>
      </c>
      <c r="V1492" s="45">
        <v>0</v>
      </c>
      <c r="W1492" s="45">
        <v>0</v>
      </c>
      <c r="X1492" s="45">
        <v>0</v>
      </c>
      <c r="Y1492" s="45">
        <v>11000</v>
      </c>
      <c r="Z1492" s="45">
        <v>0</v>
      </c>
      <c r="AA1492" s="45">
        <v>0</v>
      </c>
      <c r="AB1492" s="45">
        <v>0</v>
      </c>
      <c r="AC1492" s="45">
        <v>0</v>
      </c>
      <c r="AD1492" s="45">
        <v>0</v>
      </c>
      <c r="AE1492" s="45">
        <v>0</v>
      </c>
      <c r="AF1492" s="45">
        <v>0</v>
      </c>
      <c r="AG1492" s="45">
        <v>0</v>
      </c>
      <c r="AH1492" s="45">
        <v>0</v>
      </c>
      <c r="AI1492" s="45">
        <v>0</v>
      </c>
      <c r="AJ1492" s="45">
        <v>0</v>
      </c>
      <c r="AK1492" s="45">
        <v>0</v>
      </c>
      <c r="AL1492" s="45">
        <v>0</v>
      </c>
      <c r="AM1492" s="57" t="str">
        <f>I1492-J1492-K1492-L1492-M1492-N1492-O1492-P1492-Q1492-R1492-S1492-T1492-U1492-V1492-W1492-X1492-Y1492-Z1492-AA1492-AB1492-AC1492-AD1492-AE1492-AF1492-AG1492+AH1492-AI1492+AJ1492+AK1492-AL1492</f>
        <v>0</v>
      </c>
      <c r="AN1492" s="45"/>
    </row>
    <row r="1493" spans="1:41">
      <c r="A1493" s="45">
        <v>1465</v>
      </c>
      <c r="B1493" s="45" t="s">
        <v>5754</v>
      </c>
      <c r="C1493" s="49" t="s">
        <v>5755</v>
      </c>
      <c r="D1493" s="53" t="s">
        <v>73</v>
      </c>
      <c r="E1493" s="45" t="s">
        <v>554</v>
      </c>
      <c r="F1493" s="45" t="s">
        <v>5756</v>
      </c>
      <c r="G1493" s="45">
        <v>3</v>
      </c>
      <c r="H1493" s="53" t="s">
        <v>1580</v>
      </c>
      <c r="I1493" s="45">
        <v>0</v>
      </c>
      <c r="J1493" s="45">
        <v>0</v>
      </c>
      <c r="K1493" s="45">
        <v>22000</v>
      </c>
      <c r="L1493" s="45">
        <v>0</v>
      </c>
      <c r="M1493" s="45">
        <v>0</v>
      </c>
      <c r="N1493" s="45">
        <v>0</v>
      </c>
      <c r="O1493" s="45">
        <v>0</v>
      </c>
      <c r="P1493" s="45">
        <v>0</v>
      </c>
      <c r="Q1493" s="45">
        <v>0</v>
      </c>
      <c r="R1493" s="45">
        <v>0</v>
      </c>
      <c r="S1493" s="45">
        <v>0</v>
      </c>
      <c r="T1493" s="45">
        <v>0</v>
      </c>
      <c r="U1493" s="45">
        <v>1397</v>
      </c>
      <c r="V1493" s="45">
        <v>0</v>
      </c>
      <c r="W1493" s="45">
        <v>0</v>
      </c>
      <c r="X1493" s="45">
        <v>0</v>
      </c>
      <c r="Y1493" s="45">
        <v>11000</v>
      </c>
      <c r="Z1493" s="45">
        <v>0</v>
      </c>
      <c r="AA1493" s="45">
        <v>0</v>
      </c>
      <c r="AB1493" s="45">
        <v>0</v>
      </c>
      <c r="AC1493" s="45">
        <v>0</v>
      </c>
      <c r="AD1493" s="45">
        <v>0</v>
      </c>
      <c r="AE1493" s="45">
        <v>0</v>
      </c>
      <c r="AF1493" s="45">
        <v>0</v>
      </c>
      <c r="AG1493" s="45">
        <v>0</v>
      </c>
      <c r="AH1493" s="45">
        <v>0</v>
      </c>
      <c r="AI1493" s="45">
        <v>0</v>
      </c>
      <c r="AJ1493" s="45">
        <v>0</v>
      </c>
      <c r="AK1493" s="45">
        <v>0</v>
      </c>
      <c r="AL1493" s="45">
        <v>0</v>
      </c>
      <c r="AM1493" s="57" t="str">
        <f>I1493-J1493-K1493-L1493-M1493-N1493-O1493-P1493-Q1493-R1493-S1493-T1493-U1493-V1493-W1493-X1493-Y1493-Z1493-AA1493-AB1493-AC1493-AD1493-AE1493-AF1493-AG1493+AH1493-AI1493+AJ1493+AK1493-AL1493</f>
        <v>0</v>
      </c>
      <c r="AN1493" s="45"/>
    </row>
    <row r="1494" spans="1:41">
      <c r="A1494" s="45">
        <v>1466</v>
      </c>
      <c r="B1494" s="45" t="s">
        <v>5757</v>
      </c>
      <c r="C1494" s="49" t="s">
        <v>5758</v>
      </c>
      <c r="D1494" s="53" t="s">
        <v>73</v>
      </c>
      <c r="E1494" s="45" t="s">
        <v>554</v>
      </c>
      <c r="F1494" s="45" t="s">
        <v>5759</v>
      </c>
      <c r="G1494" s="45">
        <v>2</v>
      </c>
      <c r="H1494" s="53" t="s">
        <v>5760</v>
      </c>
      <c r="I1494" s="45">
        <v>0</v>
      </c>
      <c r="J1494" s="45">
        <v>0</v>
      </c>
      <c r="K1494" s="45">
        <v>22000</v>
      </c>
      <c r="L1494" s="45">
        <v>0</v>
      </c>
      <c r="M1494" s="45">
        <v>0</v>
      </c>
      <c r="N1494" s="45">
        <v>0</v>
      </c>
      <c r="O1494" s="45">
        <v>0</v>
      </c>
      <c r="P1494" s="45">
        <v>0</v>
      </c>
      <c r="Q1494" s="45">
        <v>0</v>
      </c>
      <c r="R1494" s="45">
        <v>0</v>
      </c>
      <c r="S1494" s="45">
        <v>0</v>
      </c>
      <c r="T1494" s="45">
        <v>0</v>
      </c>
      <c r="U1494" s="45">
        <v>1397</v>
      </c>
      <c r="V1494" s="45">
        <v>0</v>
      </c>
      <c r="W1494" s="45">
        <v>0</v>
      </c>
      <c r="X1494" s="45">
        <v>0</v>
      </c>
      <c r="Y1494" s="45">
        <v>11000</v>
      </c>
      <c r="Z1494" s="45">
        <v>0</v>
      </c>
      <c r="AA1494" s="45">
        <v>0</v>
      </c>
      <c r="AB1494" s="45">
        <v>0</v>
      </c>
      <c r="AC1494" s="45">
        <v>0</v>
      </c>
      <c r="AD1494" s="45">
        <v>0</v>
      </c>
      <c r="AE1494" s="45">
        <v>0</v>
      </c>
      <c r="AF1494" s="45">
        <v>0</v>
      </c>
      <c r="AG1494" s="45">
        <v>0</v>
      </c>
      <c r="AH1494" s="45">
        <v>0</v>
      </c>
      <c r="AI1494" s="45">
        <v>0</v>
      </c>
      <c r="AJ1494" s="45">
        <v>0</v>
      </c>
      <c r="AK1494" s="45">
        <v>0</v>
      </c>
      <c r="AL1494" s="45">
        <v>0</v>
      </c>
      <c r="AM1494" s="57" t="str">
        <f>I1494-J1494-K1494-L1494-M1494-N1494-O1494-P1494-Q1494-R1494-S1494-T1494-U1494-V1494-W1494-X1494-Y1494-Z1494-AA1494-AB1494-AC1494-AD1494-AE1494-AF1494-AG1494+AH1494-AI1494+AJ1494+AK1494-AL1494</f>
        <v>0</v>
      </c>
      <c r="AN1494" s="45"/>
    </row>
    <row r="1495" spans="1:41">
      <c r="A1495" s="45">
        <v>1467</v>
      </c>
      <c r="B1495" s="45" t="s">
        <v>5761</v>
      </c>
      <c r="C1495" s="49" t="s">
        <v>5762</v>
      </c>
      <c r="D1495" s="53" t="s">
        <v>73</v>
      </c>
      <c r="E1495" s="45" t="s">
        <v>554</v>
      </c>
      <c r="F1495" s="45" t="s">
        <v>4507</v>
      </c>
      <c r="G1495" s="45">
        <v>7</v>
      </c>
      <c r="H1495" s="53" t="s">
        <v>5763</v>
      </c>
      <c r="I1495" s="45">
        <v>0</v>
      </c>
      <c r="J1495" s="45">
        <v>0</v>
      </c>
      <c r="K1495" s="45">
        <v>35000</v>
      </c>
      <c r="L1495" s="45">
        <v>0</v>
      </c>
      <c r="M1495" s="45">
        <v>0</v>
      </c>
      <c r="N1495" s="45">
        <v>0</v>
      </c>
      <c r="O1495" s="45">
        <v>0</v>
      </c>
      <c r="P1495" s="45">
        <v>0</v>
      </c>
      <c r="Q1495" s="45">
        <v>0</v>
      </c>
      <c r="R1495" s="45">
        <v>0</v>
      </c>
      <c r="S1495" s="45">
        <v>0</v>
      </c>
      <c r="T1495" s="45">
        <v>0</v>
      </c>
      <c r="U1495" s="45">
        <v>2222</v>
      </c>
      <c r="V1495" s="45">
        <v>0</v>
      </c>
      <c r="W1495" s="45">
        <v>0</v>
      </c>
      <c r="X1495" s="45">
        <v>0</v>
      </c>
      <c r="Y1495" s="45">
        <v>17500</v>
      </c>
      <c r="Z1495" s="45">
        <v>0</v>
      </c>
      <c r="AA1495" s="45">
        <v>0</v>
      </c>
      <c r="AB1495" s="45">
        <v>0</v>
      </c>
      <c r="AC1495" s="45">
        <v>0</v>
      </c>
      <c r="AD1495" s="45">
        <v>0</v>
      </c>
      <c r="AE1495" s="45">
        <v>0</v>
      </c>
      <c r="AF1495" s="45">
        <v>0</v>
      </c>
      <c r="AG1495" s="45">
        <v>0</v>
      </c>
      <c r="AH1495" s="45">
        <v>0</v>
      </c>
      <c r="AI1495" s="45">
        <v>0</v>
      </c>
      <c r="AJ1495" s="45">
        <v>0</v>
      </c>
      <c r="AK1495" s="45">
        <v>0</v>
      </c>
      <c r="AL1495" s="45">
        <v>0</v>
      </c>
      <c r="AM1495" s="57" t="str">
        <f>I1495-J1495-K1495-L1495-M1495-N1495-O1495-P1495-Q1495-R1495-S1495-T1495-U1495-V1495-W1495-X1495-Y1495-Z1495-AA1495-AB1495-AC1495-AD1495-AE1495-AF1495-AG1495+AH1495-AI1495+AJ1495+AK1495-AL1495</f>
        <v>0</v>
      </c>
      <c r="AN1495" s="45"/>
    </row>
    <row r="1496" spans="1:41">
      <c r="A1496" s="45">
        <v>1468</v>
      </c>
      <c r="B1496" s="45" t="s">
        <v>5764</v>
      </c>
      <c r="C1496" s="49" t="s">
        <v>5765</v>
      </c>
      <c r="D1496" s="53" t="s">
        <v>73</v>
      </c>
      <c r="E1496" s="45" t="s">
        <v>554</v>
      </c>
      <c r="F1496" s="45" t="s">
        <v>5766</v>
      </c>
      <c r="G1496" s="45">
        <v>3</v>
      </c>
      <c r="H1496" s="53" t="s">
        <v>5767</v>
      </c>
      <c r="I1496" s="45">
        <v>0</v>
      </c>
      <c r="J1496" s="45">
        <v>0</v>
      </c>
      <c r="K1496" s="45">
        <v>22000</v>
      </c>
      <c r="L1496" s="45">
        <v>0</v>
      </c>
      <c r="M1496" s="45">
        <v>0</v>
      </c>
      <c r="N1496" s="45">
        <v>0</v>
      </c>
      <c r="O1496" s="45">
        <v>0</v>
      </c>
      <c r="P1496" s="45">
        <v>0</v>
      </c>
      <c r="Q1496" s="45">
        <v>0</v>
      </c>
      <c r="R1496" s="45">
        <v>0</v>
      </c>
      <c r="S1496" s="45">
        <v>0</v>
      </c>
      <c r="T1496" s="45">
        <v>0</v>
      </c>
      <c r="U1496" s="45">
        <v>1397</v>
      </c>
      <c r="V1496" s="45">
        <v>0</v>
      </c>
      <c r="W1496" s="45">
        <v>0</v>
      </c>
      <c r="X1496" s="45">
        <v>0</v>
      </c>
      <c r="Y1496" s="45">
        <v>11000</v>
      </c>
      <c r="Z1496" s="45">
        <v>0</v>
      </c>
      <c r="AA1496" s="45">
        <v>0</v>
      </c>
      <c r="AB1496" s="45">
        <v>0</v>
      </c>
      <c r="AC1496" s="45">
        <v>0</v>
      </c>
      <c r="AD1496" s="45">
        <v>0</v>
      </c>
      <c r="AE1496" s="45">
        <v>0</v>
      </c>
      <c r="AF1496" s="45">
        <v>0</v>
      </c>
      <c r="AG1496" s="45">
        <v>0</v>
      </c>
      <c r="AH1496" s="45">
        <v>0</v>
      </c>
      <c r="AI1496" s="45">
        <v>0</v>
      </c>
      <c r="AJ1496" s="45">
        <v>0</v>
      </c>
      <c r="AK1496" s="45">
        <v>0</v>
      </c>
      <c r="AL1496" s="45">
        <v>0</v>
      </c>
      <c r="AM1496" s="57" t="str">
        <f>I1496-J1496-K1496-L1496-M1496-N1496-O1496-P1496-Q1496-R1496-S1496-T1496-U1496-V1496-W1496-X1496-Y1496-Z1496-AA1496-AB1496-AC1496-AD1496-AE1496-AF1496-AG1496+AH1496-AI1496+AJ1496+AK1496-AL1496</f>
        <v>0</v>
      </c>
      <c r="AN1496" s="45"/>
    </row>
    <row r="1497" spans="1:41">
      <c r="A1497" s="45">
        <v>1469</v>
      </c>
      <c r="B1497" s="45" t="s">
        <v>5768</v>
      </c>
      <c r="C1497" s="49" t="s">
        <v>5769</v>
      </c>
      <c r="D1497" s="53" t="s">
        <v>73</v>
      </c>
      <c r="E1497" s="45" t="s">
        <v>554</v>
      </c>
      <c r="F1497" s="45" t="s">
        <v>5770</v>
      </c>
      <c r="G1497" s="45">
        <v>3</v>
      </c>
      <c r="H1497" s="53" t="s">
        <v>5771</v>
      </c>
      <c r="I1497" s="45">
        <v>0</v>
      </c>
      <c r="J1497" s="45">
        <v>0</v>
      </c>
      <c r="K1497" s="45">
        <v>22000</v>
      </c>
      <c r="L1497" s="45">
        <v>0</v>
      </c>
      <c r="M1497" s="45">
        <v>0</v>
      </c>
      <c r="N1497" s="45">
        <v>0</v>
      </c>
      <c r="O1497" s="45">
        <v>0</v>
      </c>
      <c r="P1497" s="45">
        <v>0</v>
      </c>
      <c r="Q1497" s="45">
        <v>0</v>
      </c>
      <c r="R1497" s="45">
        <v>0</v>
      </c>
      <c r="S1497" s="45">
        <v>0</v>
      </c>
      <c r="T1497" s="45">
        <v>0</v>
      </c>
      <c r="U1497" s="45">
        <v>1397</v>
      </c>
      <c r="V1497" s="45">
        <v>0</v>
      </c>
      <c r="W1497" s="45">
        <v>0</v>
      </c>
      <c r="X1497" s="45">
        <v>0</v>
      </c>
      <c r="Y1497" s="45">
        <v>0</v>
      </c>
      <c r="Z1497" s="45">
        <v>0</v>
      </c>
      <c r="AA1497" s="45">
        <v>0</v>
      </c>
      <c r="AB1497" s="45">
        <v>0</v>
      </c>
      <c r="AC1497" s="45">
        <v>0</v>
      </c>
      <c r="AD1497" s="45">
        <v>0</v>
      </c>
      <c r="AE1497" s="45">
        <v>0</v>
      </c>
      <c r="AF1497" s="45">
        <v>0</v>
      </c>
      <c r="AG1497" s="45">
        <v>0</v>
      </c>
      <c r="AH1497" s="45">
        <v>0</v>
      </c>
      <c r="AI1497" s="45">
        <v>0</v>
      </c>
      <c r="AJ1497" s="45">
        <v>0</v>
      </c>
      <c r="AK1497" s="45">
        <v>0</v>
      </c>
      <c r="AL1497" s="45">
        <v>0</v>
      </c>
      <c r="AM1497" s="57" t="str">
        <f>I1497-J1497-K1497-L1497-M1497-N1497-O1497-P1497-Q1497-R1497-S1497-T1497-U1497-V1497-W1497-X1497-Y1497-Z1497-AA1497-AB1497-AC1497-AD1497-AE1497-AF1497-AG1497+AH1497-AI1497+AJ1497+AK1497-AL1497</f>
        <v>0</v>
      </c>
      <c r="AN1497" s="45"/>
    </row>
    <row r="1498" spans="1:41">
      <c r="A1498" s="45">
        <v>1470</v>
      </c>
      <c r="B1498" s="45" t="s">
        <v>5772</v>
      </c>
      <c r="C1498" s="49"/>
      <c r="D1498" s="53" t="s">
        <v>73</v>
      </c>
      <c r="E1498" s="45" t="s">
        <v>3085</v>
      </c>
      <c r="F1498" s="45" t="s">
        <v>5773</v>
      </c>
      <c r="G1498" s="45">
        <v>5.1</v>
      </c>
      <c r="H1498" s="53" t="s">
        <v>5774</v>
      </c>
      <c r="I1498" s="45">
        <v>0</v>
      </c>
      <c r="J1498" s="45">
        <v>0</v>
      </c>
      <c r="K1498" s="45">
        <v>31000</v>
      </c>
      <c r="L1498" s="45">
        <v>0</v>
      </c>
      <c r="M1498" s="45">
        <v>0</v>
      </c>
      <c r="N1498" s="45">
        <v>0</v>
      </c>
      <c r="O1498" s="45">
        <v>0</v>
      </c>
      <c r="P1498" s="45">
        <v>0</v>
      </c>
      <c r="Q1498" s="45">
        <v>0</v>
      </c>
      <c r="R1498" s="45">
        <v>0</v>
      </c>
      <c r="S1498" s="45">
        <v>0</v>
      </c>
      <c r="T1498" s="45">
        <v>0</v>
      </c>
      <c r="U1498" s="45">
        <v>1968</v>
      </c>
      <c r="V1498" s="45">
        <v>0</v>
      </c>
      <c r="W1498" s="45">
        <v>0</v>
      </c>
      <c r="X1498" s="45">
        <v>0</v>
      </c>
      <c r="Y1498" s="45">
        <v>15500</v>
      </c>
      <c r="Z1498" s="45">
        <v>0</v>
      </c>
      <c r="AA1498" s="45">
        <v>0</v>
      </c>
      <c r="AB1498" s="45">
        <v>0</v>
      </c>
      <c r="AC1498" s="45">
        <v>0</v>
      </c>
      <c r="AD1498" s="45">
        <v>0</v>
      </c>
      <c r="AE1498" s="45">
        <v>0</v>
      </c>
      <c r="AF1498" s="45">
        <v>0</v>
      </c>
      <c r="AG1498" s="45">
        <v>0</v>
      </c>
      <c r="AH1498" s="45">
        <v>0</v>
      </c>
      <c r="AI1498" s="45">
        <v>0</v>
      </c>
      <c r="AJ1498" s="45">
        <v>0</v>
      </c>
      <c r="AK1498" s="45">
        <v>0</v>
      </c>
      <c r="AL1498" s="45">
        <v>0</v>
      </c>
      <c r="AM1498" s="57" t="str">
        <f>I1498-J1498-K1498-L1498-M1498-N1498-O1498-P1498-Q1498-R1498-S1498-T1498-U1498-V1498-W1498-X1498-Y1498-Z1498-AA1498-AB1498-AC1498-AD1498-AE1498-AF1498-AG1498+AH1498-AI1498+AJ1498+AK1498-AL1498</f>
        <v>0</v>
      </c>
      <c r="AN1498" s="45"/>
    </row>
    <row r="1499" spans="1:41">
      <c r="A1499" s="45">
        <v>1471</v>
      </c>
      <c r="B1499" s="45" t="s">
        <v>5775</v>
      </c>
      <c r="C1499" s="49" t="s">
        <v>5776</v>
      </c>
      <c r="D1499" s="53" t="s">
        <v>73</v>
      </c>
      <c r="E1499" s="45" t="s">
        <v>5777</v>
      </c>
      <c r="F1499" s="45" t="s">
        <v>5778</v>
      </c>
      <c r="G1499" s="45">
        <v>3</v>
      </c>
      <c r="H1499" s="53" t="s">
        <v>5779</v>
      </c>
      <c r="I1499" s="45">
        <v>23397</v>
      </c>
      <c r="J1499" s="45">
        <v>0</v>
      </c>
      <c r="K1499" s="45">
        <v>22000</v>
      </c>
      <c r="L1499" s="45">
        <v>0</v>
      </c>
      <c r="M1499" s="45">
        <v>0</v>
      </c>
      <c r="N1499" s="45">
        <v>0</v>
      </c>
      <c r="O1499" s="45">
        <v>0</v>
      </c>
      <c r="P1499" s="45">
        <v>0</v>
      </c>
      <c r="Q1499" s="45">
        <v>0</v>
      </c>
      <c r="R1499" s="45">
        <v>0</v>
      </c>
      <c r="S1499" s="45">
        <v>0</v>
      </c>
      <c r="T1499" s="45">
        <v>0</v>
      </c>
      <c r="U1499" s="45">
        <v>1397</v>
      </c>
      <c r="V1499" s="45">
        <v>0</v>
      </c>
      <c r="W1499" s="45">
        <v>0</v>
      </c>
      <c r="X1499" s="45">
        <v>0</v>
      </c>
      <c r="Y1499" s="45">
        <v>0</v>
      </c>
      <c r="Z1499" s="45">
        <v>0</v>
      </c>
      <c r="AA1499" s="45">
        <v>0</v>
      </c>
      <c r="AB1499" s="45">
        <v>0</v>
      </c>
      <c r="AC1499" s="45">
        <v>0</v>
      </c>
      <c r="AD1499" s="45">
        <v>0</v>
      </c>
      <c r="AE1499" s="45">
        <v>0</v>
      </c>
      <c r="AF1499" s="45">
        <v>0</v>
      </c>
      <c r="AG1499" s="45">
        <v>0</v>
      </c>
      <c r="AH1499" s="45">
        <v>0</v>
      </c>
      <c r="AI1499" s="45">
        <v>0</v>
      </c>
      <c r="AJ1499" s="45">
        <v>0</v>
      </c>
      <c r="AK1499" s="45">
        <v>0</v>
      </c>
      <c r="AL1499" s="45">
        <v>0</v>
      </c>
      <c r="AM1499" s="57" t="str">
        <f>I1499-J1499-K1499-L1499-M1499-N1499-O1499-P1499-Q1499-R1499-S1499-T1499-U1499-V1499-W1499-X1499-Y1499-Z1499-AA1499-AB1499-AC1499-AD1499-AE1499-AF1499-AG1499+AH1499-AI1499+AJ1499+AK1499-AL1499</f>
        <v>0</v>
      </c>
      <c r="AN1499" s="45"/>
    </row>
    <row r="1500" spans="1:41">
      <c r="A1500" s="45">
        <v>1472</v>
      </c>
      <c r="B1500" s="45" t="s">
        <v>5780</v>
      </c>
      <c r="C1500" s="49" t="s">
        <v>5781</v>
      </c>
      <c r="D1500" s="53" t="s">
        <v>73</v>
      </c>
      <c r="E1500" s="45" t="s">
        <v>5782</v>
      </c>
      <c r="F1500" s="45" t="s">
        <v>5783</v>
      </c>
      <c r="G1500" s="45">
        <v>7</v>
      </c>
      <c r="H1500" s="53" t="s">
        <v>5784</v>
      </c>
      <c r="I1500" s="45">
        <v>1269000</v>
      </c>
      <c r="J1500" s="45">
        <v>0</v>
      </c>
      <c r="K1500" s="45">
        <v>35000</v>
      </c>
      <c r="L1500" s="45">
        <v>0</v>
      </c>
      <c r="M1500" s="45">
        <v>0</v>
      </c>
      <c r="N1500" s="45">
        <v>0</v>
      </c>
      <c r="O1500" s="45">
        <v>0</v>
      </c>
      <c r="P1500" s="45">
        <v>0</v>
      </c>
      <c r="Q1500" s="45">
        <v>0</v>
      </c>
      <c r="R1500" s="45">
        <v>0</v>
      </c>
      <c r="S1500" s="45">
        <v>0</v>
      </c>
      <c r="T1500" s="45">
        <v>0</v>
      </c>
      <c r="U1500" s="45">
        <v>2222</v>
      </c>
      <c r="V1500" s="45">
        <v>0</v>
      </c>
      <c r="W1500" s="45">
        <v>0</v>
      </c>
      <c r="X1500" s="45">
        <v>0</v>
      </c>
      <c r="Y1500" s="45">
        <v>0</v>
      </c>
      <c r="Z1500" s="45">
        <v>0</v>
      </c>
      <c r="AA1500" s="45">
        <v>0</v>
      </c>
      <c r="AB1500" s="45">
        <v>0</v>
      </c>
      <c r="AC1500" s="45">
        <v>0</v>
      </c>
      <c r="AD1500" s="45">
        <v>0</v>
      </c>
      <c r="AE1500" s="45">
        <v>0</v>
      </c>
      <c r="AF1500" s="45">
        <v>0</v>
      </c>
      <c r="AG1500" s="45">
        <v>0</v>
      </c>
      <c r="AH1500" s="45">
        <v>0</v>
      </c>
      <c r="AI1500" s="45">
        <v>0</v>
      </c>
      <c r="AJ1500" s="45">
        <v>0</v>
      </c>
      <c r="AK1500" s="45">
        <v>0</v>
      </c>
      <c r="AL1500" s="45">
        <v>0</v>
      </c>
      <c r="AM1500" s="57" t="str">
        <f>I1500-J1500-K1500-L1500-M1500-N1500-O1500-P1500-Q1500-R1500-S1500-T1500-U1500-V1500-W1500-X1500-Y1500-Z1500-AA1500-AB1500-AC1500-AD1500-AE1500-AF1500-AG1500+AH1500-AI1500+AJ1500+AK1500-AL1500</f>
        <v>0</v>
      </c>
      <c r="AN1500" s="45"/>
    </row>
    <row r="1501" spans="1:41">
      <c r="A1501" s="45">
        <v>1473</v>
      </c>
      <c r="B1501" s="45" t="s">
        <v>5785</v>
      </c>
      <c r="C1501" s="49" t="s">
        <v>5786</v>
      </c>
      <c r="D1501" s="53" t="s">
        <v>73</v>
      </c>
      <c r="E1501" s="45" t="s">
        <v>5782</v>
      </c>
      <c r="F1501" s="45" t="s">
        <v>5787</v>
      </c>
      <c r="G1501" s="45">
        <v>4</v>
      </c>
      <c r="H1501" s="53" t="s">
        <v>5788</v>
      </c>
      <c r="I1501" s="45">
        <v>510000</v>
      </c>
      <c r="J1501" s="45">
        <v>0</v>
      </c>
      <c r="K1501" s="45">
        <v>25000</v>
      </c>
      <c r="L1501" s="45">
        <v>0</v>
      </c>
      <c r="M1501" s="45">
        <v>0</v>
      </c>
      <c r="N1501" s="45">
        <v>0</v>
      </c>
      <c r="O1501" s="45">
        <v>0</v>
      </c>
      <c r="P1501" s="45">
        <v>0</v>
      </c>
      <c r="Q1501" s="45">
        <v>0</v>
      </c>
      <c r="R1501" s="45">
        <v>0</v>
      </c>
      <c r="S1501" s="45">
        <v>0</v>
      </c>
      <c r="T1501" s="45">
        <v>0</v>
      </c>
      <c r="U1501" s="45">
        <v>1587</v>
      </c>
      <c r="V1501" s="45">
        <v>0</v>
      </c>
      <c r="W1501" s="45">
        <v>0</v>
      </c>
      <c r="X1501" s="45">
        <v>0</v>
      </c>
      <c r="Y1501" s="45">
        <v>0</v>
      </c>
      <c r="Z1501" s="45">
        <v>0</v>
      </c>
      <c r="AA1501" s="45">
        <v>0</v>
      </c>
      <c r="AB1501" s="45">
        <v>0</v>
      </c>
      <c r="AC1501" s="45">
        <v>0</v>
      </c>
      <c r="AD1501" s="45">
        <v>0</v>
      </c>
      <c r="AE1501" s="45">
        <v>0</v>
      </c>
      <c r="AF1501" s="45">
        <v>0</v>
      </c>
      <c r="AG1501" s="45">
        <v>0</v>
      </c>
      <c r="AH1501" s="45">
        <v>0</v>
      </c>
      <c r="AI1501" s="45">
        <v>0</v>
      </c>
      <c r="AJ1501" s="45">
        <v>0</v>
      </c>
      <c r="AK1501" s="45">
        <v>0</v>
      </c>
      <c r="AL1501" s="45">
        <v>0</v>
      </c>
      <c r="AM1501" s="57" t="str">
        <f>I1501-J1501-K1501-L1501-M1501-N1501-O1501-P1501-Q1501-R1501-S1501-T1501-U1501-V1501-W1501-X1501-Y1501-Z1501-AA1501-AB1501-AC1501-AD1501-AE1501-AF1501-AG1501+AH1501-AI1501+AJ1501+AK1501-AL1501</f>
        <v>0</v>
      </c>
      <c r="AN1501" s="45"/>
    </row>
    <row r="1502" spans="1:41">
      <c r="A1502" s="45">
        <v>1474</v>
      </c>
      <c r="B1502" s="45" t="s">
        <v>5789</v>
      </c>
      <c r="C1502" s="49" t="s">
        <v>5790</v>
      </c>
      <c r="D1502" s="53" t="s">
        <v>73</v>
      </c>
      <c r="E1502" s="45" t="s">
        <v>5782</v>
      </c>
      <c r="F1502" s="45" t="s">
        <v>5791</v>
      </c>
      <c r="G1502" s="45">
        <v>4</v>
      </c>
      <c r="H1502" s="53" t="s">
        <v>5792</v>
      </c>
      <c r="I1502" s="45">
        <v>198000</v>
      </c>
      <c r="J1502" s="45">
        <v>0</v>
      </c>
      <c r="K1502" s="45">
        <v>25000</v>
      </c>
      <c r="L1502" s="45">
        <v>0</v>
      </c>
      <c r="M1502" s="45">
        <v>0</v>
      </c>
      <c r="N1502" s="45">
        <v>0</v>
      </c>
      <c r="O1502" s="45">
        <v>0</v>
      </c>
      <c r="P1502" s="45">
        <v>0</v>
      </c>
      <c r="Q1502" s="45">
        <v>0</v>
      </c>
      <c r="R1502" s="45">
        <v>0</v>
      </c>
      <c r="S1502" s="45">
        <v>0</v>
      </c>
      <c r="T1502" s="45">
        <v>0</v>
      </c>
      <c r="U1502" s="45">
        <v>1587</v>
      </c>
      <c r="V1502" s="45">
        <v>0</v>
      </c>
      <c r="W1502" s="45">
        <v>0</v>
      </c>
      <c r="X1502" s="45">
        <v>0</v>
      </c>
      <c r="Y1502" s="45">
        <v>0</v>
      </c>
      <c r="Z1502" s="45">
        <v>0</v>
      </c>
      <c r="AA1502" s="45">
        <v>0</v>
      </c>
      <c r="AB1502" s="45">
        <v>0</v>
      </c>
      <c r="AC1502" s="45">
        <v>0</v>
      </c>
      <c r="AD1502" s="45">
        <v>0</v>
      </c>
      <c r="AE1502" s="45">
        <v>0</v>
      </c>
      <c r="AF1502" s="45">
        <v>0</v>
      </c>
      <c r="AG1502" s="45">
        <v>0</v>
      </c>
      <c r="AH1502" s="45">
        <v>0</v>
      </c>
      <c r="AI1502" s="45">
        <v>0</v>
      </c>
      <c r="AJ1502" s="45">
        <v>0</v>
      </c>
      <c r="AK1502" s="45">
        <v>0</v>
      </c>
      <c r="AL1502" s="45">
        <v>0</v>
      </c>
      <c r="AM1502" s="57" t="str">
        <f>I1502-J1502-K1502-L1502-M1502-N1502-O1502-P1502-Q1502-R1502-S1502-T1502-U1502-V1502-W1502-X1502-Y1502-Z1502-AA1502-AB1502-AC1502-AD1502-AE1502-AF1502-AG1502+AH1502-AI1502+AJ1502+AK1502-AL1502</f>
        <v>0</v>
      </c>
      <c r="AN1502" s="45"/>
    </row>
    <row r="1503" spans="1:41">
      <c r="A1503" s="45">
        <v>1475</v>
      </c>
      <c r="B1503" s="45" t="s">
        <v>5793</v>
      </c>
      <c r="C1503" s="49" t="s">
        <v>5794</v>
      </c>
      <c r="D1503" s="53" t="s">
        <v>73</v>
      </c>
      <c r="E1503" s="45" t="s">
        <v>5782</v>
      </c>
      <c r="F1503" s="45" t="s">
        <v>5795</v>
      </c>
      <c r="G1503" s="45">
        <v>0.1</v>
      </c>
      <c r="H1503" s="53" t="s">
        <v>5796</v>
      </c>
      <c r="I1503" s="45">
        <v>330000</v>
      </c>
      <c r="J1503" s="45">
        <v>0</v>
      </c>
      <c r="K1503" s="45">
        <v>22000</v>
      </c>
      <c r="L1503" s="45">
        <v>0</v>
      </c>
      <c r="M1503" s="45">
        <v>0</v>
      </c>
      <c r="N1503" s="45">
        <v>0</v>
      </c>
      <c r="O1503" s="45">
        <v>0</v>
      </c>
      <c r="P1503" s="45">
        <v>0</v>
      </c>
      <c r="Q1503" s="45">
        <v>0</v>
      </c>
      <c r="R1503" s="45">
        <v>0</v>
      </c>
      <c r="S1503" s="45">
        <v>0</v>
      </c>
      <c r="T1503" s="45">
        <v>0</v>
      </c>
      <c r="U1503" s="45">
        <v>1397</v>
      </c>
      <c r="V1503" s="45">
        <v>0</v>
      </c>
      <c r="W1503" s="45">
        <v>0</v>
      </c>
      <c r="X1503" s="45">
        <v>0</v>
      </c>
      <c r="Y1503" s="45">
        <v>0</v>
      </c>
      <c r="Z1503" s="45">
        <v>0</v>
      </c>
      <c r="AA1503" s="45">
        <v>0</v>
      </c>
      <c r="AB1503" s="45">
        <v>0</v>
      </c>
      <c r="AC1503" s="45">
        <v>0</v>
      </c>
      <c r="AD1503" s="45">
        <v>0</v>
      </c>
      <c r="AE1503" s="45">
        <v>0</v>
      </c>
      <c r="AF1503" s="45">
        <v>0</v>
      </c>
      <c r="AG1503" s="45">
        <v>0</v>
      </c>
      <c r="AH1503" s="45">
        <v>0</v>
      </c>
      <c r="AI1503" s="45">
        <v>0</v>
      </c>
      <c r="AJ1503" s="45">
        <v>0</v>
      </c>
      <c r="AK1503" s="45">
        <v>0</v>
      </c>
      <c r="AL1503" s="45">
        <v>0</v>
      </c>
      <c r="AM1503" s="57" t="str">
        <f>I1503-J1503-K1503-L1503-M1503-N1503-O1503-P1503-Q1503-R1503-S1503-T1503-U1503-V1503-W1503-X1503-Y1503-Z1503-AA1503-AB1503-AC1503-AD1503-AE1503-AF1503-AG1503+AH1503-AI1503+AJ1503+AK1503-AL1503</f>
        <v>0</v>
      </c>
      <c r="AN1503" s="45"/>
    </row>
    <row r="1504" spans="1:41">
      <c r="A1504" s="45">
        <v>1476</v>
      </c>
      <c r="B1504" s="45" t="s">
        <v>5797</v>
      </c>
      <c r="C1504" s="49" t="s">
        <v>5798</v>
      </c>
      <c r="D1504" s="53" t="s">
        <v>73</v>
      </c>
      <c r="E1504" s="45" t="s">
        <v>5782</v>
      </c>
      <c r="F1504" s="45" t="s">
        <v>1947</v>
      </c>
      <c r="G1504" s="45">
        <v>2</v>
      </c>
      <c r="H1504" s="53" t="s">
        <v>5799</v>
      </c>
      <c r="I1504" s="45">
        <v>384000</v>
      </c>
      <c r="J1504" s="45">
        <v>0</v>
      </c>
      <c r="K1504" s="45">
        <v>22000</v>
      </c>
      <c r="L1504" s="45">
        <v>0</v>
      </c>
      <c r="M1504" s="45">
        <v>0</v>
      </c>
      <c r="N1504" s="45">
        <v>0</v>
      </c>
      <c r="O1504" s="45">
        <v>0</v>
      </c>
      <c r="P1504" s="45">
        <v>0</v>
      </c>
      <c r="Q1504" s="45">
        <v>0</v>
      </c>
      <c r="R1504" s="45">
        <v>0</v>
      </c>
      <c r="S1504" s="45">
        <v>0</v>
      </c>
      <c r="T1504" s="45">
        <v>0</v>
      </c>
      <c r="U1504" s="45">
        <v>1397</v>
      </c>
      <c r="V1504" s="45">
        <v>0</v>
      </c>
      <c r="W1504" s="45">
        <v>0</v>
      </c>
      <c r="X1504" s="45">
        <v>0</v>
      </c>
      <c r="Y1504" s="45">
        <v>0</v>
      </c>
      <c r="Z1504" s="45">
        <v>0</v>
      </c>
      <c r="AA1504" s="45">
        <v>0</v>
      </c>
      <c r="AB1504" s="45">
        <v>0</v>
      </c>
      <c r="AC1504" s="45">
        <v>0</v>
      </c>
      <c r="AD1504" s="45">
        <v>0</v>
      </c>
      <c r="AE1504" s="45">
        <v>0</v>
      </c>
      <c r="AF1504" s="45">
        <v>0</v>
      </c>
      <c r="AG1504" s="45">
        <v>0</v>
      </c>
      <c r="AH1504" s="45">
        <v>0</v>
      </c>
      <c r="AI1504" s="45">
        <v>0</v>
      </c>
      <c r="AJ1504" s="45">
        <v>0</v>
      </c>
      <c r="AK1504" s="45">
        <v>0</v>
      </c>
      <c r="AL1504" s="45">
        <v>0</v>
      </c>
      <c r="AM1504" s="57" t="str">
        <f>I1504-J1504-K1504-L1504-M1504-N1504-O1504-P1504-Q1504-R1504-S1504-T1504-U1504-V1504-W1504-X1504-Y1504-Z1504-AA1504-AB1504-AC1504-AD1504-AE1504-AF1504-AG1504+AH1504-AI1504+AJ1504+AK1504-AL1504</f>
        <v>0</v>
      </c>
      <c r="AN1504" s="45"/>
    </row>
    <row r="1505" spans="1:41">
      <c r="A1505" s="45">
        <v>1477</v>
      </c>
      <c r="B1505" s="45" t="s">
        <v>5800</v>
      </c>
      <c r="C1505" s="49" t="s">
        <v>5801</v>
      </c>
      <c r="D1505" s="53" t="s">
        <v>73</v>
      </c>
      <c r="E1505" s="45" t="s">
        <v>5782</v>
      </c>
      <c r="F1505" s="45" t="s">
        <v>5802</v>
      </c>
      <c r="G1505" s="45">
        <v>5</v>
      </c>
      <c r="H1505" s="53" t="s">
        <v>5803</v>
      </c>
      <c r="I1505" s="45">
        <v>799000</v>
      </c>
      <c r="J1505" s="45">
        <v>0</v>
      </c>
      <c r="K1505" s="45">
        <v>27000</v>
      </c>
      <c r="L1505" s="45">
        <v>0</v>
      </c>
      <c r="M1505" s="45">
        <v>0</v>
      </c>
      <c r="N1505" s="45">
        <v>0</v>
      </c>
      <c r="O1505" s="45">
        <v>0</v>
      </c>
      <c r="P1505" s="45">
        <v>0</v>
      </c>
      <c r="Q1505" s="45">
        <v>0</v>
      </c>
      <c r="R1505" s="45">
        <v>0</v>
      </c>
      <c r="S1505" s="45">
        <v>0</v>
      </c>
      <c r="T1505" s="45">
        <v>0</v>
      </c>
      <c r="U1505" s="45">
        <v>1714</v>
      </c>
      <c r="V1505" s="45">
        <v>0</v>
      </c>
      <c r="W1505" s="45">
        <v>0</v>
      </c>
      <c r="X1505" s="45">
        <v>0</v>
      </c>
      <c r="Y1505" s="45">
        <v>0</v>
      </c>
      <c r="Z1505" s="45">
        <v>0</v>
      </c>
      <c r="AA1505" s="45">
        <v>0</v>
      </c>
      <c r="AB1505" s="45">
        <v>0</v>
      </c>
      <c r="AC1505" s="45">
        <v>0</v>
      </c>
      <c r="AD1505" s="45">
        <v>0</v>
      </c>
      <c r="AE1505" s="45">
        <v>0</v>
      </c>
      <c r="AF1505" s="45">
        <v>0</v>
      </c>
      <c r="AG1505" s="45">
        <v>0</v>
      </c>
      <c r="AH1505" s="45">
        <v>0</v>
      </c>
      <c r="AI1505" s="45">
        <v>0</v>
      </c>
      <c r="AJ1505" s="45">
        <v>0</v>
      </c>
      <c r="AK1505" s="45">
        <v>0</v>
      </c>
      <c r="AL1505" s="45">
        <v>0</v>
      </c>
      <c r="AM1505" s="57" t="str">
        <f>I1505-J1505-K1505-L1505-M1505-N1505-O1505-P1505-Q1505-R1505-S1505-T1505-U1505-V1505-W1505-X1505-Y1505-Z1505-AA1505-AB1505-AC1505-AD1505-AE1505-AF1505-AG1505+AH1505-AI1505+AJ1505+AK1505-AL1505</f>
        <v>0</v>
      </c>
      <c r="AN1505" s="45"/>
    </row>
    <row r="1506" spans="1:41">
      <c r="A1506" s="45">
        <v>1478</v>
      </c>
      <c r="B1506" s="45" t="s">
        <v>5804</v>
      </c>
      <c r="C1506" s="49" t="s">
        <v>5805</v>
      </c>
      <c r="D1506" s="53" t="s">
        <v>73</v>
      </c>
      <c r="E1506" s="45" t="s">
        <v>5782</v>
      </c>
      <c r="F1506" s="45" t="s">
        <v>1839</v>
      </c>
      <c r="G1506" s="45">
        <v>6</v>
      </c>
      <c r="H1506" s="53" t="s">
        <v>5806</v>
      </c>
      <c r="I1506" s="45">
        <v>1600000</v>
      </c>
      <c r="J1506" s="45">
        <v>0</v>
      </c>
      <c r="K1506" s="45">
        <v>31000</v>
      </c>
      <c r="L1506" s="45">
        <v>0</v>
      </c>
      <c r="M1506" s="45">
        <v>0</v>
      </c>
      <c r="N1506" s="45">
        <v>0</v>
      </c>
      <c r="O1506" s="45">
        <v>0</v>
      </c>
      <c r="P1506" s="45">
        <v>0</v>
      </c>
      <c r="Q1506" s="45">
        <v>0</v>
      </c>
      <c r="R1506" s="45">
        <v>0</v>
      </c>
      <c r="S1506" s="45">
        <v>0</v>
      </c>
      <c r="T1506" s="45">
        <v>0</v>
      </c>
      <c r="U1506" s="45">
        <v>1968</v>
      </c>
      <c r="V1506" s="45">
        <v>0</v>
      </c>
      <c r="W1506" s="45">
        <v>0</v>
      </c>
      <c r="X1506" s="45">
        <v>0</v>
      </c>
      <c r="Y1506" s="45">
        <v>0</v>
      </c>
      <c r="Z1506" s="45">
        <v>0</v>
      </c>
      <c r="AA1506" s="45">
        <v>0</v>
      </c>
      <c r="AB1506" s="45">
        <v>0</v>
      </c>
      <c r="AC1506" s="45">
        <v>0</v>
      </c>
      <c r="AD1506" s="45">
        <v>0</v>
      </c>
      <c r="AE1506" s="45">
        <v>0</v>
      </c>
      <c r="AF1506" s="45">
        <v>0</v>
      </c>
      <c r="AG1506" s="45">
        <v>0</v>
      </c>
      <c r="AH1506" s="45">
        <v>0</v>
      </c>
      <c r="AI1506" s="45">
        <v>0</v>
      </c>
      <c r="AJ1506" s="45">
        <v>0</v>
      </c>
      <c r="AK1506" s="45">
        <v>0</v>
      </c>
      <c r="AL1506" s="45">
        <v>0</v>
      </c>
      <c r="AM1506" s="57" t="str">
        <f>I1506-J1506-K1506-L1506-M1506-N1506-O1506-P1506-Q1506-R1506-S1506-T1506-U1506-V1506-W1506-X1506-Y1506-Z1506-AA1506-AB1506-AC1506-AD1506-AE1506-AF1506-AG1506+AH1506-AI1506+AJ1506+AK1506-AL1506</f>
        <v>0</v>
      </c>
      <c r="AN1506" s="45"/>
    </row>
    <row r="1507" spans="1:41">
      <c r="A1507" s="45">
        <v>1479</v>
      </c>
      <c r="B1507" s="45" t="s">
        <v>5807</v>
      </c>
      <c r="C1507" s="49" t="s">
        <v>5808</v>
      </c>
      <c r="D1507" s="53" t="s">
        <v>73</v>
      </c>
      <c r="E1507" s="45" t="s">
        <v>5782</v>
      </c>
      <c r="F1507" s="45" t="s">
        <v>1963</v>
      </c>
      <c r="G1507" s="45">
        <v>5</v>
      </c>
      <c r="H1507" s="53" t="s">
        <v>5809</v>
      </c>
      <c r="I1507" s="45">
        <v>1690000</v>
      </c>
      <c r="J1507" s="45">
        <v>0</v>
      </c>
      <c r="K1507" s="45">
        <v>27000</v>
      </c>
      <c r="L1507" s="45">
        <v>0</v>
      </c>
      <c r="M1507" s="45">
        <v>0</v>
      </c>
      <c r="N1507" s="45">
        <v>0</v>
      </c>
      <c r="O1507" s="45">
        <v>0</v>
      </c>
      <c r="P1507" s="45">
        <v>0</v>
      </c>
      <c r="Q1507" s="45">
        <v>0</v>
      </c>
      <c r="R1507" s="45">
        <v>0</v>
      </c>
      <c r="S1507" s="45">
        <v>0</v>
      </c>
      <c r="T1507" s="45">
        <v>0</v>
      </c>
      <c r="U1507" s="45">
        <v>1714</v>
      </c>
      <c r="V1507" s="45">
        <v>0</v>
      </c>
      <c r="W1507" s="45">
        <v>0</v>
      </c>
      <c r="X1507" s="45">
        <v>0</v>
      </c>
      <c r="Y1507" s="45">
        <v>0</v>
      </c>
      <c r="Z1507" s="45">
        <v>0</v>
      </c>
      <c r="AA1507" s="45">
        <v>0</v>
      </c>
      <c r="AB1507" s="45">
        <v>0</v>
      </c>
      <c r="AC1507" s="45">
        <v>0</v>
      </c>
      <c r="AD1507" s="45">
        <v>0</v>
      </c>
      <c r="AE1507" s="45">
        <v>0</v>
      </c>
      <c r="AF1507" s="45">
        <v>0</v>
      </c>
      <c r="AG1507" s="45">
        <v>0</v>
      </c>
      <c r="AH1507" s="45">
        <v>0</v>
      </c>
      <c r="AI1507" s="45">
        <v>0</v>
      </c>
      <c r="AJ1507" s="45">
        <v>0</v>
      </c>
      <c r="AK1507" s="45">
        <v>0</v>
      </c>
      <c r="AL1507" s="45">
        <v>0</v>
      </c>
      <c r="AM1507" s="57" t="str">
        <f>I1507-J1507-K1507-L1507-M1507-N1507-O1507-P1507-Q1507-R1507-S1507-T1507-U1507-V1507-W1507-X1507-Y1507-Z1507-AA1507-AB1507-AC1507-AD1507-AE1507-AF1507-AG1507+AH1507-AI1507+AJ1507+AK1507-AL1507</f>
        <v>0</v>
      </c>
      <c r="AN1507" s="45"/>
    </row>
    <row r="1508" spans="1:41">
      <c r="A1508" s="45">
        <v>1480</v>
      </c>
      <c r="B1508" s="45" t="s">
        <v>5810</v>
      </c>
      <c r="C1508" s="49" t="s">
        <v>5811</v>
      </c>
      <c r="D1508" s="53" t="s">
        <v>73</v>
      </c>
      <c r="E1508" s="45" t="s">
        <v>5782</v>
      </c>
      <c r="F1508" s="45" t="s">
        <v>1554</v>
      </c>
      <c r="G1508" s="45">
        <v>8</v>
      </c>
      <c r="H1508" s="53" t="s">
        <v>5812</v>
      </c>
      <c r="I1508" s="45">
        <v>0</v>
      </c>
      <c r="J1508" s="45">
        <v>0</v>
      </c>
      <c r="K1508" s="45">
        <v>39000</v>
      </c>
      <c r="L1508" s="45">
        <v>0</v>
      </c>
      <c r="M1508" s="45">
        <v>0</v>
      </c>
      <c r="N1508" s="45">
        <v>0</v>
      </c>
      <c r="O1508" s="45">
        <v>0</v>
      </c>
      <c r="P1508" s="45">
        <v>0</v>
      </c>
      <c r="Q1508" s="45">
        <v>0</v>
      </c>
      <c r="R1508" s="45">
        <v>0</v>
      </c>
      <c r="S1508" s="45">
        <v>0</v>
      </c>
      <c r="T1508" s="45">
        <v>0</v>
      </c>
      <c r="U1508" s="45">
        <v>2476</v>
      </c>
      <c r="V1508" s="45">
        <v>0</v>
      </c>
      <c r="W1508" s="45">
        <v>0</v>
      </c>
      <c r="X1508" s="45">
        <v>0</v>
      </c>
      <c r="Y1508" s="45">
        <v>0</v>
      </c>
      <c r="Z1508" s="45">
        <v>0</v>
      </c>
      <c r="AA1508" s="45">
        <v>0</v>
      </c>
      <c r="AB1508" s="45">
        <v>0</v>
      </c>
      <c r="AC1508" s="45">
        <v>0</v>
      </c>
      <c r="AD1508" s="45">
        <v>0</v>
      </c>
      <c r="AE1508" s="45">
        <v>0</v>
      </c>
      <c r="AF1508" s="45">
        <v>0</v>
      </c>
      <c r="AG1508" s="45">
        <v>0</v>
      </c>
      <c r="AH1508" s="45">
        <v>0</v>
      </c>
      <c r="AI1508" s="45">
        <v>0</v>
      </c>
      <c r="AJ1508" s="45">
        <v>0</v>
      </c>
      <c r="AK1508" s="45">
        <v>0</v>
      </c>
      <c r="AL1508" s="45">
        <v>0</v>
      </c>
      <c r="AM1508" s="57" t="str">
        <f>I1508-J1508-K1508-L1508-M1508-N1508-O1508-P1508-Q1508-R1508-S1508-T1508-U1508-V1508-W1508-X1508-Y1508-Z1508-AA1508-AB1508-AC1508-AD1508-AE1508-AF1508-AG1508+AH1508-AI1508+AJ1508+AK1508-AL1508</f>
        <v>0</v>
      </c>
      <c r="AN1508" s="45"/>
    </row>
    <row r="1509" spans="1:41">
      <c r="A1509" s="45">
        <v>1481</v>
      </c>
      <c r="B1509" s="45" t="s">
        <v>5813</v>
      </c>
      <c r="C1509" s="49" t="s">
        <v>5814</v>
      </c>
      <c r="D1509" s="53" t="s">
        <v>73</v>
      </c>
      <c r="E1509" s="45" t="s">
        <v>5782</v>
      </c>
      <c r="F1509" s="45" t="s">
        <v>5815</v>
      </c>
      <c r="G1509" s="45">
        <v>2</v>
      </c>
      <c r="H1509" s="53" t="s">
        <v>5816</v>
      </c>
      <c r="I1509" s="45">
        <v>0</v>
      </c>
      <c r="J1509" s="45">
        <v>0</v>
      </c>
      <c r="K1509" s="45">
        <v>22000</v>
      </c>
      <c r="L1509" s="45">
        <v>0</v>
      </c>
      <c r="M1509" s="45">
        <v>0</v>
      </c>
      <c r="N1509" s="45">
        <v>0</v>
      </c>
      <c r="O1509" s="45">
        <v>0</v>
      </c>
      <c r="P1509" s="45">
        <v>0</v>
      </c>
      <c r="Q1509" s="45">
        <v>0</v>
      </c>
      <c r="R1509" s="45">
        <v>0</v>
      </c>
      <c r="S1509" s="45">
        <v>0</v>
      </c>
      <c r="T1509" s="45">
        <v>0</v>
      </c>
      <c r="U1509" s="45">
        <v>1397</v>
      </c>
      <c r="V1509" s="45">
        <v>0</v>
      </c>
      <c r="W1509" s="45">
        <v>0</v>
      </c>
      <c r="X1509" s="45">
        <v>0</v>
      </c>
      <c r="Y1509" s="45">
        <v>0</v>
      </c>
      <c r="Z1509" s="45">
        <v>0</v>
      </c>
      <c r="AA1509" s="45">
        <v>0</v>
      </c>
      <c r="AB1509" s="45">
        <v>0</v>
      </c>
      <c r="AC1509" s="45">
        <v>0</v>
      </c>
      <c r="AD1509" s="45">
        <v>0</v>
      </c>
      <c r="AE1509" s="45">
        <v>0</v>
      </c>
      <c r="AF1509" s="45">
        <v>0</v>
      </c>
      <c r="AG1509" s="45">
        <v>0</v>
      </c>
      <c r="AH1509" s="45">
        <v>0</v>
      </c>
      <c r="AI1509" s="45">
        <v>0</v>
      </c>
      <c r="AJ1509" s="45">
        <v>0</v>
      </c>
      <c r="AK1509" s="45">
        <v>0</v>
      </c>
      <c r="AL1509" s="45">
        <v>0</v>
      </c>
      <c r="AM1509" s="57" t="str">
        <f>I1509-J1509-K1509-L1509-M1509-N1509-O1509-P1509-Q1509-R1509-S1509-T1509-U1509-V1509-W1509-X1509-Y1509-Z1509-AA1509-AB1509-AC1509-AD1509-AE1509-AF1509-AG1509+AH1509-AI1509+AJ1509+AK1509-AL1509</f>
        <v>0</v>
      </c>
      <c r="AN1509" s="45"/>
    </row>
    <row r="1510" spans="1:41">
      <c r="A1510" s="45">
        <v>1482</v>
      </c>
      <c r="B1510" s="45" t="s">
        <v>5817</v>
      </c>
      <c r="C1510" s="49" t="s">
        <v>5818</v>
      </c>
      <c r="D1510" s="53" t="s">
        <v>73</v>
      </c>
      <c r="E1510" s="45" t="s">
        <v>5782</v>
      </c>
      <c r="F1510" s="45" t="s">
        <v>5819</v>
      </c>
      <c r="G1510" s="45">
        <v>3</v>
      </c>
      <c r="H1510" s="53" t="s">
        <v>5820</v>
      </c>
      <c r="I1510" s="45">
        <v>219000</v>
      </c>
      <c r="J1510" s="45">
        <v>0</v>
      </c>
      <c r="K1510" s="45">
        <v>22000</v>
      </c>
      <c r="L1510" s="45">
        <v>0</v>
      </c>
      <c r="M1510" s="45">
        <v>0</v>
      </c>
      <c r="N1510" s="45">
        <v>0</v>
      </c>
      <c r="O1510" s="45">
        <v>0</v>
      </c>
      <c r="P1510" s="45">
        <v>0</v>
      </c>
      <c r="Q1510" s="45">
        <v>0</v>
      </c>
      <c r="R1510" s="45">
        <v>0</v>
      </c>
      <c r="S1510" s="45">
        <v>0</v>
      </c>
      <c r="T1510" s="45">
        <v>0</v>
      </c>
      <c r="U1510" s="45">
        <v>1397</v>
      </c>
      <c r="V1510" s="45">
        <v>0</v>
      </c>
      <c r="W1510" s="45">
        <v>0</v>
      </c>
      <c r="X1510" s="45">
        <v>0</v>
      </c>
      <c r="Y1510" s="45">
        <v>0</v>
      </c>
      <c r="Z1510" s="45">
        <v>0</v>
      </c>
      <c r="AA1510" s="45">
        <v>0</v>
      </c>
      <c r="AB1510" s="45">
        <v>0</v>
      </c>
      <c r="AC1510" s="45">
        <v>0</v>
      </c>
      <c r="AD1510" s="45">
        <v>0</v>
      </c>
      <c r="AE1510" s="45">
        <v>0</v>
      </c>
      <c r="AF1510" s="45">
        <v>0</v>
      </c>
      <c r="AG1510" s="45">
        <v>0</v>
      </c>
      <c r="AH1510" s="45">
        <v>0</v>
      </c>
      <c r="AI1510" s="45">
        <v>0</v>
      </c>
      <c r="AJ1510" s="45">
        <v>0</v>
      </c>
      <c r="AK1510" s="45">
        <v>0</v>
      </c>
      <c r="AL1510" s="45">
        <v>0</v>
      </c>
      <c r="AM1510" s="57" t="str">
        <f>I1510-J1510-K1510-L1510-M1510-N1510-O1510-P1510-Q1510-R1510-S1510-T1510-U1510-V1510-W1510-X1510-Y1510-Z1510-AA1510-AB1510-AC1510-AD1510-AE1510-AF1510-AG1510+AH1510-AI1510+AJ1510+AK1510-AL1510</f>
        <v>0</v>
      </c>
      <c r="AN1510" s="45"/>
    </row>
    <row r="1511" spans="1:41">
      <c r="A1511" s="45">
        <v>1483</v>
      </c>
      <c r="B1511" s="45" t="s">
        <v>5821</v>
      </c>
      <c r="C1511" s="49" t="s">
        <v>5822</v>
      </c>
      <c r="D1511" s="53" t="s">
        <v>73</v>
      </c>
      <c r="E1511" s="45" t="s">
        <v>5782</v>
      </c>
      <c r="F1511" s="45" t="s">
        <v>5823</v>
      </c>
      <c r="G1511" s="45">
        <v>2</v>
      </c>
      <c r="H1511" s="53" t="s">
        <v>5824</v>
      </c>
      <c r="I1511" s="45">
        <v>199000</v>
      </c>
      <c r="J1511" s="45">
        <v>0</v>
      </c>
      <c r="K1511" s="45">
        <v>22000</v>
      </c>
      <c r="L1511" s="45">
        <v>0</v>
      </c>
      <c r="M1511" s="45">
        <v>0</v>
      </c>
      <c r="N1511" s="45">
        <v>0</v>
      </c>
      <c r="O1511" s="45">
        <v>0</v>
      </c>
      <c r="P1511" s="45">
        <v>0</v>
      </c>
      <c r="Q1511" s="45">
        <v>0</v>
      </c>
      <c r="R1511" s="45">
        <v>0</v>
      </c>
      <c r="S1511" s="45">
        <v>0</v>
      </c>
      <c r="T1511" s="45">
        <v>0</v>
      </c>
      <c r="U1511" s="45">
        <v>1397</v>
      </c>
      <c r="V1511" s="45">
        <v>0</v>
      </c>
      <c r="W1511" s="45">
        <v>0</v>
      </c>
      <c r="X1511" s="45">
        <v>0</v>
      </c>
      <c r="Y1511" s="45">
        <v>0</v>
      </c>
      <c r="Z1511" s="45">
        <v>0</v>
      </c>
      <c r="AA1511" s="45">
        <v>0</v>
      </c>
      <c r="AB1511" s="45">
        <v>0</v>
      </c>
      <c r="AC1511" s="45">
        <v>0</v>
      </c>
      <c r="AD1511" s="45">
        <v>0</v>
      </c>
      <c r="AE1511" s="45">
        <v>0</v>
      </c>
      <c r="AF1511" s="45">
        <v>0</v>
      </c>
      <c r="AG1511" s="45">
        <v>0</v>
      </c>
      <c r="AH1511" s="45">
        <v>0</v>
      </c>
      <c r="AI1511" s="45">
        <v>0</v>
      </c>
      <c r="AJ1511" s="45">
        <v>0</v>
      </c>
      <c r="AK1511" s="45">
        <v>0</v>
      </c>
      <c r="AL1511" s="45">
        <v>0</v>
      </c>
      <c r="AM1511" s="57" t="str">
        <f>I1511-J1511-K1511-L1511-M1511-N1511-O1511-P1511-Q1511-R1511-S1511-T1511-U1511-V1511-W1511-X1511-Y1511-Z1511-AA1511-AB1511-AC1511-AD1511-AE1511-AF1511-AG1511+AH1511-AI1511+AJ1511+AK1511-AL1511</f>
        <v>0</v>
      </c>
      <c r="AN1511" s="45"/>
    </row>
    <row r="1512" spans="1:41">
      <c r="A1512" s="45">
        <v>1484</v>
      </c>
      <c r="B1512" s="45" t="s">
        <v>5825</v>
      </c>
      <c r="C1512" s="49" t="s">
        <v>5826</v>
      </c>
      <c r="D1512" s="53" t="s">
        <v>73</v>
      </c>
      <c r="E1512" s="45" t="s">
        <v>5782</v>
      </c>
      <c r="F1512" s="45" t="s">
        <v>5827</v>
      </c>
      <c r="G1512" s="45">
        <v>3</v>
      </c>
      <c r="H1512" s="53" t="s">
        <v>5828</v>
      </c>
      <c r="I1512" s="45">
        <v>219000</v>
      </c>
      <c r="J1512" s="45">
        <v>0</v>
      </c>
      <c r="K1512" s="45">
        <v>22000</v>
      </c>
      <c r="L1512" s="45">
        <v>0</v>
      </c>
      <c r="M1512" s="45">
        <v>0</v>
      </c>
      <c r="N1512" s="45">
        <v>0</v>
      </c>
      <c r="O1512" s="45">
        <v>0</v>
      </c>
      <c r="P1512" s="45">
        <v>0</v>
      </c>
      <c r="Q1512" s="45">
        <v>0</v>
      </c>
      <c r="R1512" s="45">
        <v>0</v>
      </c>
      <c r="S1512" s="45">
        <v>0</v>
      </c>
      <c r="T1512" s="45">
        <v>0</v>
      </c>
      <c r="U1512" s="45">
        <v>1397</v>
      </c>
      <c r="V1512" s="45">
        <v>0</v>
      </c>
      <c r="W1512" s="45">
        <v>0</v>
      </c>
      <c r="X1512" s="45">
        <v>0</v>
      </c>
      <c r="Y1512" s="45">
        <v>0</v>
      </c>
      <c r="Z1512" s="45">
        <v>0</v>
      </c>
      <c r="AA1512" s="45">
        <v>0</v>
      </c>
      <c r="AB1512" s="45">
        <v>0</v>
      </c>
      <c r="AC1512" s="45">
        <v>0</v>
      </c>
      <c r="AD1512" s="45">
        <v>0</v>
      </c>
      <c r="AE1512" s="45">
        <v>0</v>
      </c>
      <c r="AF1512" s="45">
        <v>0</v>
      </c>
      <c r="AG1512" s="45">
        <v>0</v>
      </c>
      <c r="AH1512" s="45">
        <v>0</v>
      </c>
      <c r="AI1512" s="45">
        <v>0</v>
      </c>
      <c r="AJ1512" s="45">
        <v>0</v>
      </c>
      <c r="AK1512" s="45">
        <v>0</v>
      </c>
      <c r="AL1512" s="45">
        <v>0</v>
      </c>
      <c r="AM1512" s="57" t="str">
        <f>I1512-J1512-K1512-L1512-M1512-N1512-O1512-P1512-Q1512-R1512-S1512-T1512-U1512-V1512-W1512-X1512-Y1512-Z1512-AA1512-AB1512-AC1512-AD1512-AE1512-AF1512-AG1512+AH1512-AI1512+AJ1512+AK1512-AL1512</f>
        <v>0</v>
      </c>
      <c r="AN1512" s="45"/>
    </row>
    <row r="1513" spans="1:41">
      <c r="A1513" s="45">
        <v>1485</v>
      </c>
      <c r="B1513" s="45" t="s">
        <v>5829</v>
      </c>
      <c r="C1513" s="49" t="s">
        <v>5830</v>
      </c>
      <c r="D1513" s="53" t="s">
        <v>73</v>
      </c>
      <c r="E1513" s="45" t="s">
        <v>5782</v>
      </c>
      <c r="F1513" s="45" t="s">
        <v>5510</v>
      </c>
      <c r="G1513" s="45">
        <v>3</v>
      </c>
      <c r="H1513" s="53" t="s">
        <v>5831</v>
      </c>
      <c r="I1513" s="45">
        <v>359000</v>
      </c>
      <c r="J1513" s="45">
        <v>0</v>
      </c>
      <c r="K1513" s="45">
        <v>22000</v>
      </c>
      <c r="L1513" s="45">
        <v>0</v>
      </c>
      <c r="M1513" s="45">
        <v>0</v>
      </c>
      <c r="N1513" s="45">
        <v>0</v>
      </c>
      <c r="O1513" s="45">
        <v>0</v>
      </c>
      <c r="P1513" s="45">
        <v>0</v>
      </c>
      <c r="Q1513" s="45">
        <v>0</v>
      </c>
      <c r="R1513" s="45">
        <v>0</v>
      </c>
      <c r="S1513" s="45">
        <v>0</v>
      </c>
      <c r="T1513" s="45">
        <v>0</v>
      </c>
      <c r="U1513" s="45">
        <v>1397</v>
      </c>
      <c r="V1513" s="45">
        <v>0</v>
      </c>
      <c r="W1513" s="45">
        <v>0</v>
      </c>
      <c r="X1513" s="45">
        <v>0</v>
      </c>
      <c r="Y1513" s="45">
        <v>0</v>
      </c>
      <c r="Z1513" s="45">
        <v>0</v>
      </c>
      <c r="AA1513" s="45">
        <v>0</v>
      </c>
      <c r="AB1513" s="45">
        <v>0</v>
      </c>
      <c r="AC1513" s="45">
        <v>0</v>
      </c>
      <c r="AD1513" s="45">
        <v>0</v>
      </c>
      <c r="AE1513" s="45">
        <v>0</v>
      </c>
      <c r="AF1513" s="45">
        <v>0</v>
      </c>
      <c r="AG1513" s="45">
        <v>0</v>
      </c>
      <c r="AH1513" s="45">
        <v>0</v>
      </c>
      <c r="AI1513" s="45">
        <v>0</v>
      </c>
      <c r="AJ1513" s="45">
        <v>0</v>
      </c>
      <c r="AK1513" s="45">
        <v>0</v>
      </c>
      <c r="AL1513" s="45">
        <v>0</v>
      </c>
      <c r="AM1513" s="57" t="str">
        <f>I1513-J1513-K1513-L1513-M1513-N1513-O1513-P1513-Q1513-R1513-S1513-T1513-U1513-V1513-W1513-X1513-Y1513-Z1513-AA1513-AB1513-AC1513-AD1513-AE1513-AF1513-AG1513+AH1513-AI1513+AJ1513+AK1513-AL1513</f>
        <v>0</v>
      </c>
      <c r="AN1513" s="45"/>
    </row>
    <row r="1514" spans="1:41">
      <c r="A1514" s="45">
        <v>1486</v>
      </c>
      <c r="B1514" s="45" t="s">
        <v>5832</v>
      </c>
      <c r="C1514" s="49" t="s">
        <v>5833</v>
      </c>
      <c r="D1514" s="53" t="s">
        <v>73</v>
      </c>
      <c r="E1514" s="45" t="s">
        <v>5782</v>
      </c>
      <c r="F1514" s="45" t="s">
        <v>5834</v>
      </c>
      <c r="G1514" s="45">
        <v>3</v>
      </c>
      <c r="H1514" s="53" t="s">
        <v>5835</v>
      </c>
      <c r="I1514" s="45">
        <v>219000</v>
      </c>
      <c r="J1514" s="45">
        <v>0</v>
      </c>
      <c r="K1514" s="45">
        <v>22000</v>
      </c>
      <c r="L1514" s="45">
        <v>0</v>
      </c>
      <c r="M1514" s="45">
        <v>0</v>
      </c>
      <c r="N1514" s="45">
        <v>0</v>
      </c>
      <c r="O1514" s="45">
        <v>0</v>
      </c>
      <c r="P1514" s="45">
        <v>0</v>
      </c>
      <c r="Q1514" s="45">
        <v>0</v>
      </c>
      <c r="R1514" s="45">
        <v>0</v>
      </c>
      <c r="S1514" s="45">
        <v>0</v>
      </c>
      <c r="T1514" s="45">
        <v>0</v>
      </c>
      <c r="U1514" s="45">
        <v>1397</v>
      </c>
      <c r="V1514" s="45">
        <v>0</v>
      </c>
      <c r="W1514" s="45">
        <v>0</v>
      </c>
      <c r="X1514" s="45">
        <v>0</v>
      </c>
      <c r="Y1514" s="45">
        <v>0</v>
      </c>
      <c r="Z1514" s="45">
        <v>0</v>
      </c>
      <c r="AA1514" s="45">
        <v>0</v>
      </c>
      <c r="AB1514" s="45">
        <v>0</v>
      </c>
      <c r="AC1514" s="45">
        <v>0</v>
      </c>
      <c r="AD1514" s="45">
        <v>0</v>
      </c>
      <c r="AE1514" s="45">
        <v>0</v>
      </c>
      <c r="AF1514" s="45">
        <v>0</v>
      </c>
      <c r="AG1514" s="45">
        <v>0</v>
      </c>
      <c r="AH1514" s="45">
        <v>0</v>
      </c>
      <c r="AI1514" s="45">
        <v>0</v>
      </c>
      <c r="AJ1514" s="45">
        <v>0</v>
      </c>
      <c r="AK1514" s="45">
        <v>0</v>
      </c>
      <c r="AL1514" s="45">
        <v>0</v>
      </c>
      <c r="AM1514" s="57" t="str">
        <f>I1514-J1514-K1514-L1514-M1514-N1514-O1514-P1514-Q1514-R1514-S1514-T1514-U1514-V1514-W1514-X1514-Y1514-Z1514-AA1514-AB1514-AC1514-AD1514-AE1514-AF1514-AG1514+AH1514-AI1514+AJ1514+AK1514-AL1514</f>
        <v>0</v>
      </c>
      <c r="AN1514" s="45"/>
    </row>
    <row r="1515" spans="1:41">
      <c r="A1515" s="45">
        <v>1487</v>
      </c>
      <c r="B1515" s="45" t="s">
        <v>5836</v>
      </c>
      <c r="C1515" s="49" t="s">
        <v>5837</v>
      </c>
      <c r="D1515" s="53" t="s">
        <v>73</v>
      </c>
      <c r="E1515" s="45" t="s">
        <v>5782</v>
      </c>
      <c r="F1515" s="45" t="s">
        <v>5838</v>
      </c>
      <c r="G1515" s="45">
        <v>2</v>
      </c>
      <c r="H1515" s="53" t="s">
        <v>5839</v>
      </c>
      <c r="I1515" s="45">
        <v>0</v>
      </c>
      <c r="J1515" s="45">
        <v>0</v>
      </c>
      <c r="K1515" s="45">
        <v>22000</v>
      </c>
      <c r="L1515" s="45">
        <v>0</v>
      </c>
      <c r="M1515" s="45">
        <v>0</v>
      </c>
      <c r="N1515" s="45">
        <v>0</v>
      </c>
      <c r="O1515" s="45">
        <v>0</v>
      </c>
      <c r="P1515" s="45">
        <v>0</v>
      </c>
      <c r="Q1515" s="45">
        <v>0</v>
      </c>
      <c r="R1515" s="45">
        <v>0</v>
      </c>
      <c r="S1515" s="45">
        <v>0</v>
      </c>
      <c r="T1515" s="45">
        <v>0</v>
      </c>
      <c r="U1515" s="45">
        <v>1397</v>
      </c>
      <c r="V1515" s="45">
        <v>0</v>
      </c>
      <c r="W1515" s="45">
        <v>0</v>
      </c>
      <c r="X1515" s="45">
        <v>0</v>
      </c>
      <c r="Y1515" s="45">
        <v>0</v>
      </c>
      <c r="Z1515" s="45">
        <v>0</v>
      </c>
      <c r="AA1515" s="45">
        <v>0</v>
      </c>
      <c r="AB1515" s="45">
        <v>0</v>
      </c>
      <c r="AC1515" s="45">
        <v>0</v>
      </c>
      <c r="AD1515" s="45">
        <v>0</v>
      </c>
      <c r="AE1515" s="45">
        <v>0</v>
      </c>
      <c r="AF1515" s="45">
        <v>0</v>
      </c>
      <c r="AG1515" s="45">
        <v>0</v>
      </c>
      <c r="AH1515" s="45">
        <v>0</v>
      </c>
      <c r="AI1515" s="45">
        <v>0</v>
      </c>
      <c r="AJ1515" s="45">
        <v>0</v>
      </c>
      <c r="AK1515" s="45">
        <v>0</v>
      </c>
      <c r="AL1515" s="45">
        <v>0</v>
      </c>
      <c r="AM1515" s="57" t="str">
        <f>I1515-J1515-K1515-L1515-M1515-N1515-O1515-P1515-Q1515-R1515-S1515-T1515-U1515-V1515-W1515-X1515-Y1515-Z1515-AA1515-AB1515-AC1515-AD1515-AE1515-AF1515-AG1515+AH1515-AI1515+AJ1515+AK1515-AL1515</f>
        <v>0</v>
      </c>
      <c r="AN1515" s="45"/>
    </row>
    <row r="1516" spans="1:41">
      <c r="A1516" s="45">
        <v>1488</v>
      </c>
      <c r="B1516" s="45" t="s">
        <v>5840</v>
      </c>
      <c r="C1516" s="49" t="s">
        <v>5841</v>
      </c>
      <c r="D1516" s="53" t="s">
        <v>73</v>
      </c>
      <c r="E1516" s="45" t="s">
        <v>5782</v>
      </c>
      <c r="F1516" s="45" t="s">
        <v>2633</v>
      </c>
      <c r="G1516" s="45">
        <v>2</v>
      </c>
      <c r="H1516" s="53" t="s">
        <v>5842</v>
      </c>
      <c r="I1516" s="45">
        <v>0</v>
      </c>
      <c r="J1516" s="45">
        <v>0</v>
      </c>
      <c r="K1516" s="45">
        <v>22000</v>
      </c>
      <c r="L1516" s="45">
        <v>0</v>
      </c>
      <c r="M1516" s="45">
        <v>0</v>
      </c>
      <c r="N1516" s="45">
        <v>0</v>
      </c>
      <c r="O1516" s="45">
        <v>0</v>
      </c>
      <c r="P1516" s="45">
        <v>0</v>
      </c>
      <c r="Q1516" s="45">
        <v>0</v>
      </c>
      <c r="R1516" s="45">
        <v>0</v>
      </c>
      <c r="S1516" s="45">
        <v>0</v>
      </c>
      <c r="T1516" s="45">
        <v>0</v>
      </c>
      <c r="U1516" s="45">
        <v>1397</v>
      </c>
      <c r="V1516" s="45">
        <v>0</v>
      </c>
      <c r="W1516" s="45">
        <v>0</v>
      </c>
      <c r="X1516" s="45">
        <v>0</v>
      </c>
      <c r="Y1516" s="45">
        <v>0</v>
      </c>
      <c r="Z1516" s="45">
        <v>0</v>
      </c>
      <c r="AA1516" s="45">
        <v>0</v>
      </c>
      <c r="AB1516" s="45">
        <v>0</v>
      </c>
      <c r="AC1516" s="45">
        <v>0</v>
      </c>
      <c r="AD1516" s="45">
        <v>0</v>
      </c>
      <c r="AE1516" s="45">
        <v>0</v>
      </c>
      <c r="AF1516" s="45">
        <v>0</v>
      </c>
      <c r="AG1516" s="45">
        <v>0</v>
      </c>
      <c r="AH1516" s="45">
        <v>0</v>
      </c>
      <c r="AI1516" s="45">
        <v>0</v>
      </c>
      <c r="AJ1516" s="45">
        <v>0</v>
      </c>
      <c r="AK1516" s="45">
        <v>0</v>
      </c>
      <c r="AL1516" s="45">
        <v>0</v>
      </c>
      <c r="AM1516" s="57" t="str">
        <f>I1516-J1516-K1516-L1516-M1516-N1516-O1516-P1516-Q1516-R1516-S1516-T1516-U1516-V1516-W1516-X1516-Y1516-Z1516-AA1516-AB1516-AC1516-AD1516-AE1516-AF1516-AG1516+AH1516-AI1516+AJ1516+AK1516-AL1516</f>
        <v>0</v>
      </c>
      <c r="AN1516" s="45"/>
    </row>
    <row r="1517" spans="1:41">
      <c r="A1517" s="45">
        <v>1489</v>
      </c>
      <c r="B1517" s="45" t="s">
        <v>5843</v>
      </c>
      <c r="C1517" s="49" t="s">
        <v>5844</v>
      </c>
      <c r="D1517" s="53" t="s">
        <v>73</v>
      </c>
      <c r="E1517" s="45" t="s">
        <v>5782</v>
      </c>
      <c r="F1517" s="45" t="s">
        <v>5845</v>
      </c>
      <c r="G1517" s="45">
        <v>2</v>
      </c>
      <c r="H1517" s="53" t="s">
        <v>5846</v>
      </c>
      <c r="I1517" s="45">
        <v>0</v>
      </c>
      <c r="J1517" s="45">
        <v>0</v>
      </c>
      <c r="K1517" s="45">
        <v>22000</v>
      </c>
      <c r="L1517" s="45">
        <v>0</v>
      </c>
      <c r="M1517" s="45">
        <v>0</v>
      </c>
      <c r="N1517" s="45">
        <v>0</v>
      </c>
      <c r="O1517" s="45">
        <v>0</v>
      </c>
      <c r="P1517" s="45">
        <v>0</v>
      </c>
      <c r="Q1517" s="45">
        <v>0</v>
      </c>
      <c r="R1517" s="45">
        <v>0</v>
      </c>
      <c r="S1517" s="45">
        <v>0</v>
      </c>
      <c r="T1517" s="45">
        <v>0</v>
      </c>
      <c r="U1517" s="45">
        <v>1397</v>
      </c>
      <c r="V1517" s="45">
        <v>0</v>
      </c>
      <c r="W1517" s="45">
        <v>0</v>
      </c>
      <c r="X1517" s="45">
        <v>0</v>
      </c>
      <c r="Y1517" s="45">
        <v>0</v>
      </c>
      <c r="Z1517" s="45">
        <v>0</v>
      </c>
      <c r="AA1517" s="45">
        <v>0</v>
      </c>
      <c r="AB1517" s="45">
        <v>0</v>
      </c>
      <c r="AC1517" s="45">
        <v>0</v>
      </c>
      <c r="AD1517" s="45">
        <v>0</v>
      </c>
      <c r="AE1517" s="45">
        <v>0</v>
      </c>
      <c r="AF1517" s="45">
        <v>0</v>
      </c>
      <c r="AG1517" s="45">
        <v>0</v>
      </c>
      <c r="AH1517" s="45">
        <v>0</v>
      </c>
      <c r="AI1517" s="45">
        <v>0</v>
      </c>
      <c r="AJ1517" s="45">
        <v>0</v>
      </c>
      <c r="AK1517" s="45">
        <v>0</v>
      </c>
      <c r="AL1517" s="45">
        <v>0</v>
      </c>
      <c r="AM1517" s="57" t="str">
        <f>I1517-J1517-K1517-L1517-M1517-N1517-O1517-P1517-Q1517-R1517-S1517-T1517-U1517-V1517-W1517-X1517-Y1517-Z1517-AA1517-AB1517-AC1517-AD1517-AE1517-AF1517-AG1517+AH1517-AI1517+AJ1517+AK1517-AL1517</f>
        <v>0</v>
      </c>
      <c r="AN1517" s="45"/>
    </row>
    <row r="1518" spans="1:41">
      <c r="A1518" s="45">
        <v>1490</v>
      </c>
      <c r="B1518" s="45" t="s">
        <v>5847</v>
      </c>
      <c r="C1518" s="49" t="s">
        <v>5848</v>
      </c>
      <c r="D1518" s="53" t="s">
        <v>73</v>
      </c>
      <c r="E1518" s="45" t="s">
        <v>5782</v>
      </c>
      <c r="F1518" s="45" t="s">
        <v>1839</v>
      </c>
      <c r="G1518" s="45">
        <v>2</v>
      </c>
      <c r="H1518" s="53" t="s">
        <v>5849</v>
      </c>
      <c r="I1518" s="45">
        <v>0</v>
      </c>
      <c r="J1518" s="45">
        <v>0</v>
      </c>
      <c r="K1518" s="45">
        <v>22000</v>
      </c>
      <c r="L1518" s="45">
        <v>0</v>
      </c>
      <c r="M1518" s="45">
        <v>0</v>
      </c>
      <c r="N1518" s="45">
        <v>0</v>
      </c>
      <c r="O1518" s="45">
        <v>0</v>
      </c>
      <c r="P1518" s="45">
        <v>0</v>
      </c>
      <c r="Q1518" s="45">
        <v>0</v>
      </c>
      <c r="R1518" s="45">
        <v>0</v>
      </c>
      <c r="S1518" s="45">
        <v>0</v>
      </c>
      <c r="T1518" s="45">
        <v>0</v>
      </c>
      <c r="U1518" s="45">
        <v>1397</v>
      </c>
      <c r="V1518" s="45">
        <v>0</v>
      </c>
      <c r="W1518" s="45">
        <v>0</v>
      </c>
      <c r="X1518" s="45">
        <v>0</v>
      </c>
      <c r="Y1518" s="45">
        <v>0</v>
      </c>
      <c r="Z1518" s="45">
        <v>0</v>
      </c>
      <c r="AA1518" s="45">
        <v>0</v>
      </c>
      <c r="AB1518" s="45">
        <v>0</v>
      </c>
      <c r="AC1518" s="45">
        <v>0</v>
      </c>
      <c r="AD1518" s="45">
        <v>0</v>
      </c>
      <c r="AE1518" s="45">
        <v>0</v>
      </c>
      <c r="AF1518" s="45">
        <v>0</v>
      </c>
      <c r="AG1518" s="45">
        <v>0</v>
      </c>
      <c r="AH1518" s="45">
        <v>0</v>
      </c>
      <c r="AI1518" s="45">
        <v>0</v>
      </c>
      <c r="AJ1518" s="45">
        <v>0</v>
      </c>
      <c r="AK1518" s="45">
        <v>0</v>
      </c>
      <c r="AL1518" s="45">
        <v>0</v>
      </c>
      <c r="AM1518" s="57" t="str">
        <f>I1518-J1518-K1518-L1518-M1518-N1518-O1518-P1518-Q1518-R1518-S1518-T1518-U1518-V1518-W1518-X1518-Y1518-Z1518-AA1518-AB1518-AC1518-AD1518-AE1518-AF1518-AG1518+AH1518-AI1518+AJ1518+AK1518-AL1518</f>
        <v>0</v>
      </c>
      <c r="AN1518" s="45"/>
    </row>
    <row r="1519" spans="1:41">
      <c r="A1519" s="45">
        <v>1491</v>
      </c>
      <c r="B1519" s="45" t="s">
        <v>5850</v>
      </c>
      <c r="C1519" s="49" t="s">
        <v>5851</v>
      </c>
      <c r="D1519" s="53" t="s">
        <v>73</v>
      </c>
      <c r="E1519" s="45" t="s">
        <v>5782</v>
      </c>
      <c r="F1519" s="45" t="s">
        <v>1839</v>
      </c>
      <c r="G1519" s="45">
        <v>2</v>
      </c>
      <c r="H1519" s="53" t="s">
        <v>5852</v>
      </c>
      <c r="I1519" s="45">
        <v>0</v>
      </c>
      <c r="J1519" s="45">
        <v>0</v>
      </c>
      <c r="K1519" s="45">
        <v>22000</v>
      </c>
      <c r="L1519" s="45">
        <v>0</v>
      </c>
      <c r="M1519" s="45">
        <v>0</v>
      </c>
      <c r="N1519" s="45">
        <v>0</v>
      </c>
      <c r="O1519" s="45">
        <v>0</v>
      </c>
      <c r="P1519" s="45">
        <v>0</v>
      </c>
      <c r="Q1519" s="45">
        <v>0</v>
      </c>
      <c r="R1519" s="45">
        <v>0</v>
      </c>
      <c r="S1519" s="45">
        <v>0</v>
      </c>
      <c r="T1519" s="45">
        <v>0</v>
      </c>
      <c r="U1519" s="45">
        <v>1397</v>
      </c>
      <c r="V1519" s="45">
        <v>0</v>
      </c>
      <c r="W1519" s="45">
        <v>0</v>
      </c>
      <c r="X1519" s="45">
        <v>0</v>
      </c>
      <c r="Y1519" s="45">
        <v>0</v>
      </c>
      <c r="Z1519" s="45">
        <v>0</v>
      </c>
      <c r="AA1519" s="45">
        <v>0</v>
      </c>
      <c r="AB1519" s="45">
        <v>0</v>
      </c>
      <c r="AC1519" s="45">
        <v>0</v>
      </c>
      <c r="AD1519" s="45">
        <v>0</v>
      </c>
      <c r="AE1519" s="45">
        <v>0</v>
      </c>
      <c r="AF1519" s="45">
        <v>0</v>
      </c>
      <c r="AG1519" s="45">
        <v>0</v>
      </c>
      <c r="AH1519" s="45">
        <v>0</v>
      </c>
      <c r="AI1519" s="45">
        <v>0</v>
      </c>
      <c r="AJ1519" s="45">
        <v>0</v>
      </c>
      <c r="AK1519" s="45">
        <v>0</v>
      </c>
      <c r="AL1519" s="45">
        <v>0</v>
      </c>
      <c r="AM1519" s="57" t="str">
        <f>I1519-J1519-K1519-L1519-M1519-N1519-O1519-P1519-Q1519-R1519-S1519-T1519-U1519-V1519-W1519-X1519-Y1519-Z1519-AA1519-AB1519-AC1519-AD1519-AE1519-AF1519-AG1519+AH1519-AI1519+AJ1519+AK1519-AL1519</f>
        <v>0</v>
      </c>
      <c r="AN1519" s="45"/>
    </row>
    <row r="1520" spans="1:41">
      <c r="A1520" s="45">
        <v>1492</v>
      </c>
      <c r="B1520" s="45" t="s">
        <v>5853</v>
      </c>
      <c r="C1520" s="49" t="s">
        <v>5854</v>
      </c>
      <c r="D1520" s="53" t="s">
        <v>73</v>
      </c>
      <c r="E1520" s="45" t="s">
        <v>5782</v>
      </c>
      <c r="F1520" s="45" t="s">
        <v>5855</v>
      </c>
      <c r="G1520" s="45">
        <v>2</v>
      </c>
      <c r="H1520" s="53" t="s">
        <v>5856</v>
      </c>
      <c r="I1520" s="45">
        <v>0</v>
      </c>
      <c r="J1520" s="45">
        <v>0</v>
      </c>
      <c r="K1520" s="45">
        <v>22000</v>
      </c>
      <c r="L1520" s="45">
        <v>0</v>
      </c>
      <c r="M1520" s="45">
        <v>0</v>
      </c>
      <c r="N1520" s="45">
        <v>0</v>
      </c>
      <c r="O1520" s="45">
        <v>0</v>
      </c>
      <c r="P1520" s="45">
        <v>0</v>
      </c>
      <c r="Q1520" s="45">
        <v>0</v>
      </c>
      <c r="R1520" s="45">
        <v>0</v>
      </c>
      <c r="S1520" s="45">
        <v>0</v>
      </c>
      <c r="T1520" s="45">
        <v>0</v>
      </c>
      <c r="U1520" s="45">
        <v>1397</v>
      </c>
      <c r="V1520" s="45">
        <v>0</v>
      </c>
      <c r="W1520" s="45">
        <v>0</v>
      </c>
      <c r="X1520" s="45">
        <v>0</v>
      </c>
      <c r="Y1520" s="45">
        <v>0</v>
      </c>
      <c r="Z1520" s="45">
        <v>0</v>
      </c>
      <c r="AA1520" s="45">
        <v>0</v>
      </c>
      <c r="AB1520" s="45">
        <v>0</v>
      </c>
      <c r="AC1520" s="45">
        <v>0</v>
      </c>
      <c r="AD1520" s="45">
        <v>0</v>
      </c>
      <c r="AE1520" s="45">
        <v>0</v>
      </c>
      <c r="AF1520" s="45">
        <v>0</v>
      </c>
      <c r="AG1520" s="45">
        <v>0</v>
      </c>
      <c r="AH1520" s="45">
        <v>0</v>
      </c>
      <c r="AI1520" s="45">
        <v>0</v>
      </c>
      <c r="AJ1520" s="45">
        <v>0</v>
      </c>
      <c r="AK1520" s="45">
        <v>0</v>
      </c>
      <c r="AL1520" s="45">
        <v>0</v>
      </c>
      <c r="AM1520" s="57" t="str">
        <f>I1520-J1520-K1520-L1520-M1520-N1520-O1520-P1520-Q1520-R1520-S1520-T1520-U1520-V1520-W1520-X1520-Y1520-Z1520-AA1520-AB1520-AC1520-AD1520-AE1520-AF1520-AG1520+AH1520-AI1520+AJ1520+AK1520-AL1520</f>
        <v>0</v>
      </c>
      <c r="AN1520" s="45"/>
    </row>
    <row r="1521" spans="1:41">
      <c r="A1521" s="45">
        <v>1493</v>
      </c>
      <c r="B1521" s="45" t="s">
        <v>5857</v>
      </c>
      <c r="C1521" s="49" t="s">
        <v>5858</v>
      </c>
      <c r="D1521" s="53" t="s">
        <v>73</v>
      </c>
      <c r="E1521" s="45" t="s">
        <v>5782</v>
      </c>
      <c r="F1521" s="45" t="s">
        <v>5859</v>
      </c>
      <c r="G1521" s="45">
        <v>2</v>
      </c>
      <c r="H1521" s="53" t="s">
        <v>5860</v>
      </c>
      <c r="I1521" s="45">
        <v>0</v>
      </c>
      <c r="J1521" s="45">
        <v>0</v>
      </c>
      <c r="K1521" s="45">
        <v>22000</v>
      </c>
      <c r="L1521" s="45">
        <v>0</v>
      </c>
      <c r="M1521" s="45">
        <v>0</v>
      </c>
      <c r="N1521" s="45">
        <v>0</v>
      </c>
      <c r="O1521" s="45">
        <v>0</v>
      </c>
      <c r="P1521" s="45">
        <v>0</v>
      </c>
      <c r="Q1521" s="45">
        <v>0</v>
      </c>
      <c r="R1521" s="45">
        <v>0</v>
      </c>
      <c r="S1521" s="45">
        <v>0</v>
      </c>
      <c r="T1521" s="45">
        <v>0</v>
      </c>
      <c r="U1521" s="45">
        <v>1397</v>
      </c>
      <c r="V1521" s="45">
        <v>0</v>
      </c>
      <c r="W1521" s="45">
        <v>0</v>
      </c>
      <c r="X1521" s="45">
        <v>0</v>
      </c>
      <c r="Y1521" s="45">
        <v>0</v>
      </c>
      <c r="Z1521" s="45">
        <v>0</v>
      </c>
      <c r="AA1521" s="45">
        <v>0</v>
      </c>
      <c r="AB1521" s="45">
        <v>0</v>
      </c>
      <c r="AC1521" s="45">
        <v>0</v>
      </c>
      <c r="AD1521" s="45">
        <v>0</v>
      </c>
      <c r="AE1521" s="45">
        <v>0</v>
      </c>
      <c r="AF1521" s="45">
        <v>0</v>
      </c>
      <c r="AG1521" s="45">
        <v>0</v>
      </c>
      <c r="AH1521" s="45">
        <v>0</v>
      </c>
      <c r="AI1521" s="45">
        <v>0</v>
      </c>
      <c r="AJ1521" s="45">
        <v>0</v>
      </c>
      <c r="AK1521" s="45">
        <v>0</v>
      </c>
      <c r="AL1521" s="45">
        <v>0</v>
      </c>
      <c r="AM1521" s="57" t="str">
        <f>I1521-J1521-K1521-L1521-M1521-N1521-O1521-P1521-Q1521-R1521-S1521-T1521-U1521-V1521-W1521-X1521-Y1521-Z1521-AA1521-AB1521-AC1521-AD1521-AE1521-AF1521-AG1521+AH1521-AI1521+AJ1521+AK1521-AL1521</f>
        <v>0</v>
      </c>
      <c r="AN1521" s="45"/>
    </row>
    <row r="1522" spans="1:41">
      <c r="A1522" s="45">
        <v>1494</v>
      </c>
      <c r="B1522" s="45" t="s">
        <v>5861</v>
      </c>
      <c r="C1522" s="49" t="s">
        <v>5862</v>
      </c>
      <c r="D1522" s="53" t="s">
        <v>73</v>
      </c>
      <c r="E1522" s="45" t="s">
        <v>5782</v>
      </c>
      <c r="F1522" s="45" t="s">
        <v>5855</v>
      </c>
      <c r="G1522" s="45">
        <v>2</v>
      </c>
      <c r="H1522" s="53" t="s">
        <v>5863</v>
      </c>
      <c r="I1522" s="45">
        <v>0</v>
      </c>
      <c r="J1522" s="45">
        <v>0</v>
      </c>
      <c r="K1522" s="45">
        <v>22000</v>
      </c>
      <c r="L1522" s="45">
        <v>0</v>
      </c>
      <c r="M1522" s="45">
        <v>0</v>
      </c>
      <c r="N1522" s="45">
        <v>0</v>
      </c>
      <c r="O1522" s="45">
        <v>0</v>
      </c>
      <c r="P1522" s="45">
        <v>0</v>
      </c>
      <c r="Q1522" s="45">
        <v>0</v>
      </c>
      <c r="R1522" s="45">
        <v>0</v>
      </c>
      <c r="S1522" s="45">
        <v>0</v>
      </c>
      <c r="T1522" s="45">
        <v>0</v>
      </c>
      <c r="U1522" s="45">
        <v>1397</v>
      </c>
      <c r="V1522" s="45">
        <v>0</v>
      </c>
      <c r="W1522" s="45">
        <v>0</v>
      </c>
      <c r="X1522" s="45">
        <v>0</v>
      </c>
      <c r="Y1522" s="45">
        <v>0</v>
      </c>
      <c r="Z1522" s="45">
        <v>0</v>
      </c>
      <c r="AA1522" s="45">
        <v>0</v>
      </c>
      <c r="AB1522" s="45">
        <v>0</v>
      </c>
      <c r="AC1522" s="45">
        <v>0</v>
      </c>
      <c r="AD1522" s="45">
        <v>0</v>
      </c>
      <c r="AE1522" s="45">
        <v>0</v>
      </c>
      <c r="AF1522" s="45">
        <v>0</v>
      </c>
      <c r="AG1522" s="45">
        <v>0</v>
      </c>
      <c r="AH1522" s="45">
        <v>0</v>
      </c>
      <c r="AI1522" s="45">
        <v>0</v>
      </c>
      <c r="AJ1522" s="45">
        <v>0</v>
      </c>
      <c r="AK1522" s="45">
        <v>0</v>
      </c>
      <c r="AL1522" s="45">
        <v>0</v>
      </c>
      <c r="AM1522" s="57" t="str">
        <f>I1522-J1522-K1522-L1522-M1522-N1522-O1522-P1522-Q1522-R1522-S1522-T1522-U1522-V1522-W1522-X1522-Y1522-Z1522-AA1522-AB1522-AC1522-AD1522-AE1522-AF1522-AG1522+AH1522-AI1522+AJ1522+AK1522-AL1522</f>
        <v>0</v>
      </c>
      <c r="AN1522" s="45"/>
    </row>
    <row r="1523" spans="1:41">
      <c r="A1523" s="45">
        <v>1495</v>
      </c>
      <c r="B1523" s="45" t="s">
        <v>5864</v>
      </c>
      <c r="C1523" s="49" t="s">
        <v>5865</v>
      </c>
      <c r="D1523" s="53" t="s">
        <v>73</v>
      </c>
      <c r="E1523" s="45" t="s">
        <v>5782</v>
      </c>
      <c r="F1523" s="45" t="s">
        <v>5866</v>
      </c>
      <c r="G1523" s="45">
        <v>2</v>
      </c>
      <c r="H1523" s="53" t="s">
        <v>5867</v>
      </c>
      <c r="I1523" s="45">
        <v>0</v>
      </c>
      <c r="J1523" s="45">
        <v>0</v>
      </c>
      <c r="K1523" s="45">
        <v>22000</v>
      </c>
      <c r="L1523" s="45">
        <v>0</v>
      </c>
      <c r="M1523" s="45">
        <v>0</v>
      </c>
      <c r="N1523" s="45">
        <v>0</v>
      </c>
      <c r="O1523" s="45">
        <v>0</v>
      </c>
      <c r="P1523" s="45">
        <v>0</v>
      </c>
      <c r="Q1523" s="45">
        <v>0</v>
      </c>
      <c r="R1523" s="45">
        <v>0</v>
      </c>
      <c r="S1523" s="45">
        <v>0</v>
      </c>
      <c r="T1523" s="45">
        <v>0</v>
      </c>
      <c r="U1523" s="45">
        <v>1397</v>
      </c>
      <c r="V1523" s="45">
        <v>0</v>
      </c>
      <c r="W1523" s="45">
        <v>0</v>
      </c>
      <c r="X1523" s="45">
        <v>0</v>
      </c>
      <c r="Y1523" s="45">
        <v>0</v>
      </c>
      <c r="Z1523" s="45">
        <v>0</v>
      </c>
      <c r="AA1523" s="45">
        <v>0</v>
      </c>
      <c r="AB1523" s="45">
        <v>0</v>
      </c>
      <c r="AC1523" s="45">
        <v>0</v>
      </c>
      <c r="AD1523" s="45">
        <v>0</v>
      </c>
      <c r="AE1523" s="45">
        <v>0</v>
      </c>
      <c r="AF1523" s="45">
        <v>0</v>
      </c>
      <c r="AG1523" s="45">
        <v>0</v>
      </c>
      <c r="AH1523" s="45">
        <v>0</v>
      </c>
      <c r="AI1523" s="45">
        <v>0</v>
      </c>
      <c r="AJ1523" s="45">
        <v>0</v>
      </c>
      <c r="AK1523" s="45">
        <v>0</v>
      </c>
      <c r="AL1523" s="45">
        <v>0</v>
      </c>
      <c r="AM1523" s="57" t="str">
        <f>I1523-J1523-K1523-L1523-M1523-N1523-O1523-P1523-Q1523-R1523-S1523-T1523-U1523-V1523-W1523-X1523-Y1523-Z1523-AA1523-AB1523-AC1523-AD1523-AE1523-AF1523-AG1523+AH1523-AI1523+AJ1523+AK1523-AL1523</f>
        <v>0</v>
      </c>
      <c r="AN1523" s="45"/>
    </row>
    <row r="1524" spans="1:41">
      <c r="A1524" s="45">
        <v>1496</v>
      </c>
      <c r="B1524" s="45" t="s">
        <v>5868</v>
      </c>
      <c r="C1524" s="49" t="s">
        <v>5869</v>
      </c>
      <c r="D1524" s="53" t="s">
        <v>73</v>
      </c>
      <c r="E1524" s="45" t="s">
        <v>5782</v>
      </c>
      <c r="F1524" s="45" t="s">
        <v>1839</v>
      </c>
      <c r="G1524" s="45">
        <v>2</v>
      </c>
      <c r="H1524" s="53" t="s">
        <v>5870</v>
      </c>
      <c r="I1524" s="45">
        <v>0</v>
      </c>
      <c r="J1524" s="45">
        <v>0</v>
      </c>
      <c r="K1524" s="45">
        <v>22000</v>
      </c>
      <c r="L1524" s="45">
        <v>0</v>
      </c>
      <c r="M1524" s="45">
        <v>0</v>
      </c>
      <c r="N1524" s="45">
        <v>0</v>
      </c>
      <c r="O1524" s="45">
        <v>0</v>
      </c>
      <c r="P1524" s="45">
        <v>0</v>
      </c>
      <c r="Q1524" s="45">
        <v>0</v>
      </c>
      <c r="R1524" s="45">
        <v>0</v>
      </c>
      <c r="S1524" s="45">
        <v>0</v>
      </c>
      <c r="T1524" s="45">
        <v>0</v>
      </c>
      <c r="U1524" s="45">
        <v>1397</v>
      </c>
      <c r="V1524" s="45">
        <v>0</v>
      </c>
      <c r="W1524" s="45">
        <v>0</v>
      </c>
      <c r="X1524" s="45">
        <v>0</v>
      </c>
      <c r="Y1524" s="45">
        <v>0</v>
      </c>
      <c r="Z1524" s="45">
        <v>0</v>
      </c>
      <c r="AA1524" s="45">
        <v>0</v>
      </c>
      <c r="AB1524" s="45">
        <v>0</v>
      </c>
      <c r="AC1524" s="45">
        <v>0</v>
      </c>
      <c r="AD1524" s="45">
        <v>0</v>
      </c>
      <c r="AE1524" s="45">
        <v>0</v>
      </c>
      <c r="AF1524" s="45">
        <v>0</v>
      </c>
      <c r="AG1524" s="45">
        <v>0</v>
      </c>
      <c r="AH1524" s="45">
        <v>0</v>
      </c>
      <c r="AI1524" s="45">
        <v>0</v>
      </c>
      <c r="AJ1524" s="45">
        <v>0</v>
      </c>
      <c r="AK1524" s="45">
        <v>0</v>
      </c>
      <c r="AL1524" s="45">
        <v>0</v>
      </c>
      <c r="AM1524" s="57" t="str">
        <f>I1524-J1524-K1524-L1524-M1524-N1524-O1524-P1524-Q1524-R1524-S1524-T1524-U1524-V1524-W1524-X1524-Y1524-Z1524-AA1524-AB1524-AC1524-AD1524-AE1524-AF1524-AG1524+AH1524-AI1524+AJ1524+AK1524-AL1524</f>
        <v>0</v>
      </c>
      <c r="AN1524" s="45"/>
    </row>
    <row r="1525" spans="1:41">
      <c r="A1525" s="45">
        <v>1497</v>
      </c>
      <c r="B1525" s="45" t="s">
        <v>5871</v>
      </c>
      <c r="C1525" s="49" t="s">
        <v>5872</v>
      </c>
      <c r="D1525" s="53" t="s">
        <v>73</v>
      </c>
      <c r="E1525" s="45" t="s">
        <v>5782</v>
      </c>
      <c r="F1525" s="45" t="s">
        <v>4994</v>
      </c>
      <c r="G1525" s="45">
        <v>2</v>
      </c>
      <c r="H1525" s="53" t="s">
        <v>5873</v>
      </c>
      <c r="I1525" s="45">
        <v>0</v>
      </c>
      <c r="J1525" s="45">
        <v>0</v>
      </c>
      <c r="K1525" s="45">
        <v>22000</v>
      </c>
      <c r="L1525" s="45">
        <v>0</v>
      </c>
      <c r="M1525" s="45">
        <v>0</v>
      </c>
      <c r="N1525" s="45">
        <v>0</v>
      </c>
      <c r="O1525" s="45">
        <v>0</v>
      </c>
      <c r="P1525" s="45">
        <v>0</v>
      </c>
      <c r="Q1525" s="45">
        <v>0</v>
      </c>
      <c r="R1525" s="45">
        <v>0</v>
      </c>
      <c r="S1525" s="45">
        <v>0</v>
      </c>
      <c r="T1525" s="45">
        <v>0</v>
      </c>
      <c r="U1525" s="45">
        <v>1397</v>
      </c>
      <c r="V1525" s="45">
        <v>0</v>
      </c>
      <c r="W1525" s="45">
        <v>0</v>
      </c>
      <c r="X1525" s="45">
        <v>0</v>
      </c>
      <c r="Y1525" s="45">
        <v>0</v>
      </c>
      <c r="Z1525" s="45">
        <v>0</v>
      </c>
      <c r="AA1525" s="45">
        <v>0</v>
      </c>
      <c r="AB1525" s="45">
        <v>0</v>
      </c>
      <c r="AC1525" s="45">
        <v>0</v>
      </c>
      <c r="AD1525" s="45">
        <v>0</v>
      </c>
      <c r="AE1525" s="45">
        <v>0</v>
      </c>
      <c r="AF1525" s="45">
        <v>0</v>
      </c>
      <c r="AG1525" s="45">
        <v>0</v>
      </c>
      <c r="AH1525" s="45">
        <v>0</v>
      </c>
      <c r="AI1525" s="45">
        <v>0</v>
      </c>
      <c r="AJ1525" s="45">
        <v>0</v>
      </c>
      <c r="AK1525" s="45">
        <v>0</v>
      </c>
      <c r="AL1525" s="45">
        <v>0</v>
      </c>
      <c r="AM1525" s="57" t="str">
        <f>I1525-J1525-K1525-L1525-M1525-N1525-O1525-P1525-Q1525-R1525-S1525-T1525-U1525-V1525-W1525-X1525-Y1525-Z1525-AA1525-AB1525-AC1525-AD1525-AE1525-AF1525-AG1525+AH1525-AI1525+AJ1525+AK1525-AL1525</f>
        <v>0</v>
      </c>
      <c r="AN1525" s="45"/>
    </row>
    <row r="1526" spans="1:41">
      <c r="A1526" s="45">
        <v>1498</v>
      </c>
      <c r="B1526" s="45" t="s">
        <v>5874</v>
      </c>
      <c r="C1526" s="49" t="s">
        <v>5875</v>
      </c>
      <c r="D1526" s="53" t="s">
        <v>73</v>
      </c>
      <c r="E1526" s="45" t="s">
        <v>5876</v>
      </c>
      <c r="F1526" s="45" t="s">
        <v>5877</v>
      </c>
      <c r="G1526" s="45">
        <v>3</v>
      </c>
      <c r="H1526" s="53" t="s">
        <v>5878</v>
      </c>
      <c r="I1526" s="45">
        <v>399000</v>
      </c>
      <c r="J1526" s="45">
        <v>0</v>
      </c>
      <c r="K1526" s="45">
        <v>22000</v>
      </c>
      <c r="L1526" s="45">
        <v>0</v>
      </c>
      <c r="M1526" s="45">
        <v>0</v>
      </c>
      <c r="N1526" s="45">
        <v>0</v>
      </c>
      <c r="O1526" s="45">
        <v>0</v>
      </c>
      <c r="P1526" s="45">
        <v>0</v>
      </c>
      <c r="Q1526" s="45">
        <v>0</v>
      </c>
      <c r="R1526" s="45">
        <v>0</v>
      </c>
      <c r="S1526" s="45">
        <v>0</v>
      </c>
      <c r="T1526" s="45">
        <v>0</v>
      </c>
      <c r="U1526" s="45">
        <v>1397</v>
      </c>
      <c r="V1526" s="45">
        <v>0</v>
      </c>
      <c r="W1526" s="45">
        <v>0</v>
      </c>
      <c r="X1526" s="45">
        <v>0</v>
      </c>
      <c r="Y1526" s="45">
        <v>0</v>
      </c>
      <c r="Z1526" s="45">
        <v>0</v>
      </c>
      <c r="AA1526" s="45">
        <v>0</v>
      </c>
      <c r="AB1526" s="45">
        <v>0</v>
      </c>
      <c r="AC1526" s="45">
        <v>0</v>
      </c>
      <c r="AD1526" s="45">
        <v>0</v>
      </c>
      <c r="AE1526" s="45">
        <v>0</v>
      </c>
      <c r="AF1526" s="45">
        <v>0</v>
      </c>
      <c r="AG1526" s="45">
        <v>0</v>
      </c>
      <c r="AH1526" s="45">
        <v>0</v>
      </c>
      <c r="AI1526" s="45">
        <v>0</v>
      </c>
      <c r="AJ1526" s="45">
        <v>0</v>
      </c>
      <c r="AK1526" s="45">
        <v>0</v>
      </c>
      <c r="AL1526" s="45">
        <v>0</v>
      </c>
      <c r="AM1526" s="57" t="str">
        <f>I1526-J1526-K1526-L1526-M1526-N1526-O1526-P1526-Q1526-R1526-S1526-T1526-U1526-V1526-W1526-X1526-Y1526-Z1526-AA1526-AB1526-AC1526-AD1526-AE1526-AF1526-AG1526+AH1526-AI1526+AJ1526+AK1526-AL1526</f>
        <v>0</v>
      </c>
      <c r="AN1526" s="45"/>
    </row>
    <row r="1527" spans="1:41">
      <c r="A1527" s="45">
        <v>1499</v>
      </c>
      <c r="B1527" s="45" t="s">
        <v>5879</v>
      </c>
      <c r="C1527" s="49" t="s">
        <v>5880</v>
      </c>
      <c r="D1527" s="53" t="s">
        <v>73</v>
      </c>
      <c r="E1527" s="45" t="s">
        <v>5876</v>
      </c>
      <c r="F1527" s="45" t="s">
        <v>5881</v>
      </c>
      <c r="G1527" s="45">
        <v>2</v>
      </c>
      <c r="H1527" s="53" t="s">
        <v>5882</v>
      </c>
      <c r="I1527" s="45">
        <v>199000</v>
      </c>
      <c r="J1527" s="45">
        <v>0</v>
      </c>
      <c r="K1527" s="45">
        <v>22000</v>
      </c>
      <c r="L1527" s="45">
        <v>0</v>
      </c>
      <c r="M1527" s="45">
        <v>0</v>
      </c>
      <c r="N1527" s="45">
        <v>0</v>
      </c>
      <c r="O1527" s="45">
        <v>0</v>
      </c>
      <c r="P1527" s="45">
        <v>0</v>
      </c>
      <c r="Q1527" s="45">
        <v>0</v>
      </c>
      <c r="R1527" s="45">
        <v>0</v>
      </c>
      <c r="S1527" s="45">
        <v>0</v>
      </c>
      <c r="T1527" s="45">
        <v>0</v>
      </c>
      <c r="U1527" s="45">
        <v>1397</v>
      </c>
      <c r="V1527" s="45">
        <v>0</v>
      </c>
      <c r="W1527" s="45">
        <v>0</v>
      </c>
      <c r="X1527" s="45">
        <v>0</v>
      </c>
      <c r="Y1527" s="45">
        <v>0</v>
      </c>
      <c r="Z1527" s="45">
        <v>0</v>
      </c>
      <c r="AA1527" s="45">
        <v>0</v>
      </c>
      <c r="AB1527" s="45">
        <v>0</v>
      </c>
      <c r="AC1527" s="45">
        <v>0</v>
      </c>
      <c r="AD1527" s="45">
        <v>0</v>
      </c>
      <c r="AE1527" s="45">
        <v>0</v>
      </c>
      <c r="AF1527" s="45">
        <v>0</v>
      </c>
      <c r="AG1527" s="45">
        <v>0</v>
      </c>
      <c r="AH1527" s="45">
        <v>0</v>
      </c>
      <c r="AI1527" s="45">
        <v>0</v>
      </c>
      <c r="AJ1527" s="45">
        <v>0</v>
      </c>
      <c r="AK1527" s="45">
        <v>0</v>
      </c>
      <c r="AL1527" s="45">
        <v>0</v>
      </c>
      <c r="AM1527" s="57" t="str">
        <f>I1527-J1527-K1527-L1527-M1527-N1527-O1527-P1527-Q1527-R1527-S1527-T1527-U1527-V1527-W1527-X1527-Y1527-Z1527-AA1527-AB1527-AC1527-AD1527-AE1527-AF1527-AG1527+AH1527-AI1527+AJ1527+AK1527-AL1527</f>
        <v>0</v>
      </c>
      <c r="AN1527" s="45"/>
    </row>
    <row r="1528" spans="1:41">
      <c r="A1528" s="45">
        <v>1500</v>
      </c>
      <c r="B1528" s="45" t="s">
        <v>5883</v>
      </c>
      <c r="C1528" s="49" t="s">
        <v>5884</v>
      </c>
      <c r="D1528" s="53" t="s">
        <v>73</v>
      </c>
      <c r="E1528" s="45" t="s">
        <v>5876</v>
      </c>
      <c r="F1528" s="45" t="s">
        <v>5885</v>
      </c>
      <c r="G1528" s="45">
        <v>3</v>
      </c>
      <c r="H1528" s="53" t="s">
        <v>5886</v>
      </c>
      <c r="I1528" s="45">
        <v>219000</v>
      </c>
      <c r="J1528" s="45">
        <v>0</v>
      </c>
      <c r="K1528" s="45">
        <v>22000</v>
      </c>
      <c r="L1528" s="45">
        <v>0</v>
      </c>
      <c r="M1528" s="45">
        <v>0</v>
      </c>
      <c r="N1528" s="45">
        <v>0</v>
      </c>
      <c r="O1528" s="45">
        <v>0</v>
      </c>
      <c r="P1528" s="45">
        <v>0</v>
      </c>
      <c r="Q1528" s="45">
        <v>0</v>
      </c>
      <c r="R1528" s="45">
        <v>0</v>
      </c>
      <c r="S1528" s="45">
        <v>0</v>
      </c>
      <c r="T1528" s="45">
        <v>0</v>
      </c>
      <c r="U1528" s="45">
        <v>1397</v>
      </c>
      <c r="V1528" s="45">
        <v>0</v>
      </c>
      <c r="W1528" s="45">
        <v>0</v>
      </c>
      <c r="X1528" s="45">
        <v>0</v>
      </c>
      <c r="Y1528" s="45">
        <v>0</v>
      </c>
      <c r="Z1528" s="45">
        <v>0</v>
      </c>
      <c r="AA1528" s="45">
        <v>0</v>
      </c>
      <c r="AB1528" s="45">
        <v>0</v>
      </c>
      <c r="AC1528" s="45">
        <v>0</v>
      </c>
      <c r="AD1528" s="45">
        <v>0</v>
      </c>
      <c r="AE1528" s="45">
        <v>0</v>
      </c>
      <c r="AF1528" s="45">
        <v>0</v>
      </c>
      <c r="AG1528" s="45">
        <v>0</v>
      </c>
      <c r="AH1528" s="45">
        <v>0</v>
      </c>
      <c r="AI1528" s="45">
        <v>0</v>
      </c>
      <c r="AJ1528" s="45">
        <v>0</v>
      </c>
      <c r="AK1528" s="45">
        <v>0</v>
      </c>
      <c r="AL1528" s="45">
        <v>0</v>
      </c>
      <c r="AM1528" s="57" t="str">
        <f>I1528-J1528-K1528-L1528-M1528-N1528-O1528-P1528-Q1528-R1528-S1528-T1528-U1528-V1528-W1528-X1528-Y1528-Z1528-AA1528-AB1528-AC1528-AD1528-AE1528-AF1528-AG1528+AH1528-AI1528+AJ1528+AK1528-AL1528</f>
        <v>0</v>
      </c>
      <c r="AN1528" s="45"/>
    </row>
    <row r="1529" spans="1:41">
      <c r="A1529" s="45">
        <v>1501</v>
      </c>
      <c r="B1529" s="45" t="s">
        <v>5887</v>
      </c>
      <c r="C1529" s="49" t="s">
        <v>5888</v>
      </c>
      <c r="D1529" s="53" t="s">
        <v>73</v>
      </c>
      <c r="E1529" s="45" t="s">
        <v>5876</v>
      </c>
      <c r="F1529" s="45" t="s">
        <v>5447</v>
      </c>
      <c r="G1529" s="45">
        <v>3</v>
      </c>
      <c r="H1529" s="53" t="s">
        <v>5889</v>
      </c>
      <c r="I1529" s="45">
        <v>219000</v>
      </c>
      <c r="J1529" s="45">
        <v>0</v>
      </c>
      <c r="K1529" s="45">
        <v>22000</v>
      </c>
      <c r="L1529" s="45">
        <v>0</v>
      </c>
      <c r="M1529" s="45">
        <v>0</v>
      </c>
      <c r="N1529" s="45">
        <v>0</v>
      </c>
      <c r="O1529" s="45">
        <v>0</v>
      </c>
      <c r="P1529" s="45">
        <v>0</v>
      </c>
      <c r="Q1529" s="45">
        <v>0</v>
      </c>
      <c r="R1529" s="45">
        <v>0</v>
      </c>
      <c r="S1529" s="45">
        <v>0</v>
      </c>
      <c r="T1529" s="45">
        <v>0</v>
      </c>
      <c r="U1529" s="45">
        <v>1397</v>
      </c>
      <c r="V1529" s="45">
        <v>0</v>
      </c>
      <c r="W1529" s="45">
        <v>0</v>
      </c>
      <c r="X1529" s="45">
        <v>0</v>
      </c>
      <c r="Y1529" s="45">
        <v>0</v>
      </c>
      <c r="Z1529" s="45">
        <v>0</v>
      </c>
      <c r="AA1529" s="45">
        <v>0</v>
      </c>
      <c r="AB1529" s="45">
        <v>0</v>
      </c>
      <c r="AC1529" s="45">
        <v>0</v>
      </c>
      <c r="AD1529" s="45">
        <v>0</v>
      </c>
      <c r="AE1529" s="45">
        <v>0</v>
      </c>
      <c r="AF1529" s="45">
        <v>0</v>
      </c>
      <c r="AG1529" s="45">
        <v>0</v>
      </c>
      <c r="AH1529" s="45">
        <v>0</v>
      </c>
      <c r="AI1529" s="45">
        <v>0</v>
      </c>
      <c r="AJ1529" s="45">
        <v>0</v>
      </c>
      <c r="AK1529" s="45">
        <v>0</v>
      </c>
      <c r="AL1529" s="45">
        <v>0</v>
      </c>
      <c r="AM1529" s="57" t="str">
        <f>I1529-J1529-K1529-L1529-M1529-N1529-O1529-P1529-Q1529-R1529-S1529-T1529-U1529-V1529-W1529-X1529-Y1529-Z1529-AA1529-AB1529-AC1529-AD1529-AE1529-AF1529-AG1529+AH1529-AI1529+AJ1529+AK1529-AL1529</f>
        <v>0</v>
      </c>
      <c r="AN1529" s="45"/>
    </row>
    <row r="1530" spans="1:41">
      <c r="A1530" s="45">
        <v>1502</v>
      </c>
      <c r="B1530" s="45" t="s">
        <v>5890</v>
      </c>
      <c r="C1530" s="49" t="s">
        <v>5891</v>
      </c>
      <c r="D1530" s="53" t="s">
        <v>73</v>
      </c>
      <c r="E1530" s="45" t="s">
        <v>5876</v>
      </c>
      <c r="F1530" s="45" t="s">
        <v>5892</v>
      </c>
      <c r="G1530" s="45">
        <v>3</v>
      </c>
      <c r="H1530" s="53" t="s">
        <v>5893</v>
      </c>
      <c r="I1530" s="45">
        <v>249000</v>
      </c>
      <c r="J1530" s="45">
        <v>0</v>
      </c>
      <c r="K1530" s="45">
        <v>22000</v>
      </c>
      <c r="L1530" s="45">
        <v>0</v>
      </c>
      <c r="M1530" s="45">
        <v>0</v>
      </c>
      <c r="N1530" s="45">
        <v>0</v>
      </c>
      <c r="O1530" s="45">
        <v>0</v>
      </c>
      <c r="P1530" s="45">
        <v>0</v>
      </c>
      <c r="Q1530" s="45">
        <v>0</v>
      </c>
      <c r="R1530" s="45">
        <v>0</v>
      </c>
      <c r="S1530" s="45">
        <v>0</v>
      </c>
      <c r="T1530" s="45">
        <v>0</v>
      </c>
      <c r="U1530" s="45">
        <v>1397</v>
      </c>
      <c r="V1530" s="45">
        <v>0</v>
      </c>
      <c r="W1530" s="45">
        <v>0</v>
      </c>
      <c r="X1530" s="45">
        <v>0</v>
      </c>
      <c r="Y1530" s="45">
        <v>0</v>
      </c>
      <c r="Z1530" s="45">
        <v>0</v>
      </c>
      <c r="AA1530" s="45">
        <v>0</v>
      </c>
      <c r="AB1530" s="45">
        <v>0</v>
      </c>
      <c r="AC1530" s="45">
        <v>0</v>
      </c>
      <c r="AD1530" s="45">
        <v>0</v>
      </c>
      <c r="AE1530" s="45">
        <v>0</v>
      </c>
      <c r="AF1530" s="45">
        <v>0</v>
      </c>
      <c r="AG1530" s="45">
        <v>0</v>
      </c>
      <c r="AH1530" s="45">
        <v>0</v>
      </c>
      <c r="AI1530" s="45">
        <v>0</v>
      </c>
      <c r="AJ1530" s="45">
        <v>0</v>
      </c>
      <c r="AK1530" s="45">
        <v>0</v>
      </c>
      <c r="AL1530" s="45">
        <v>0</v>
      </c>
      <c r="AM1530" s="57" t="str">
        <f>I1530-J1530-K1530-L1530-M1530-N1530-O1530-P1530-Q1530-R1530-S1530-T1530-U1530-V1530-W1530-X1530-Y1530-Z1530-AA1530-AB1530-AC1530-AD1530-AE1530-AF1530-AG1530+AH1530-AI1530+AJ1530+AK1530-AL1530</f>
        <v>0</v>
      </c>
      <c r="AN1530" s="45"/>
    </row>
    <row r="1531" spans="1:41">
      <c r="A1531" s="45">
        <v>1503</v>
      </c>
      <c r="B1531" s="45" t="s">
        <v>5894</v>
      </c>
      <c r="C1531" s="49" t="s">
        <v>5895</v>
      </c>
      <c r="D1531" s="53" t="s">
        <v>73</v>
      </c>
      <c r="E1531" s="45" t="s">
        <v>5876</v>
      </c>
      <c r="F1531" s="45" t="s">
        <v>5279</v>
      </c>
      <c r="G1531" s="45">
        <v>3</v>
      </c>
      <c r="H1531" s="53" t="s">
        <v>5896</v>
      </c>
      <c r="I1531" s="45">
        <v>219000</v>
      </c>
      <c r="J1531" s="45">
        <v>0</v>
      </c>
      <c r="K1531" s="45">
        <v>22000</v>
      </c>
      <c r="L1531" s="45">
        <v>0</v>
      </c>
      <c r="M1531" s="45">
        <v>0</v>
      </c>
      <c r="N1531" s="45">
        <v>0</v>
      </c>
      <c r="O1531" s="45">
        <v>0</v>
      </c>
      <c r="P1531" s="45">
        <v>0</v>
      </c>
      <c r="Q1531" s="45">
        <v>0</v>
      </c>
      <c r="R1531" s="45">
        <v>0</v>
      </c>
      <c r="S1531" s="45">
        <v>0</v>
      </c>
      <c r="T1531" s="45">
        <v>0</v>
      </c>
      <c r="U1531" s="45">
        <v>1397</v>
      </c>
      <c r="V1531" s="45">
        <v>0</v>
      </c>
      <c r="W1531" s="45">
        <v>0</v>
      </c>
      <c r="X1531" s="45">
        <v>0</v>
      </c>
      <c r="Y1531" s="45">
        <v>0</v>
      </c>
      <c r="Z1531" s="45">
        <v>0</v>
      </c>
      <c r="AA1531" s="45">
        <v>0</v>
      </c>
      <c r="AB1531" s="45">
        <v>0</v>
      </c>
      <c r="AC1531" s="45">
        <v>0</v>
      </c>
      <c r="AD1531" s="45">
        <v>0</v>
      </c>
      <c r="AE1531" s="45">
        <v>0</v>
      </c>
      <c r="AF1531" s="45">
        <v>0</v>
      </c>
      <c r="AG1531" s="45">
        <v>0</v>
      </c>
      <c r="AH1531" s="45">
        <v>0</v>
      </c>
      <c r="AI1531" s="45">
        <v>0</v>
      </c>
      <c r="AJ1531" s="45">
        <v>0</v>
      </c>
      <c r="AK1531" s="45">
        <v>0</v>
      </c>
      <c r="AL1531" s="45">
        <v>0</v>
      </c>
      <c r="AM1531" s="57" t="str">
        <f>I1531-J1531-K1531-L1531-M1531-N1531-O1531-P1531-Q1531-R1531-S1531-T1531-U1531-V1531-W1531-X1531-Y1531-Z1531-AA1531-AB1531-AC1531-AD1531-AE1531-AF1531-AG1531+AH1531-AI1531+AJ1531+AK1531-AL1531</f>
        <v>0</v>
      </c>
      <c r="AN1531" s="45"/>
    </row>
    <row r="1532" spans="1:41">
      <c r="A1532" s="45">
        <v>1504</v>
      </c>
      <c r="B1532" s="45" t="s">
        <v>5897</v>
      </c>
      <c r="C1532" s="49" t="s">
        <v>5898</v>
      </c>
      <c r="D1532" s="53" t="s">
        <v>73</v>
      </c>
      <c r="E1532" s="45" t="s">
        <v>5876</v>
      </c>
      <c r="F1532" s="45" t="s">
        <v>5899</v>
      </c>
      <c r="G1532" s="45">
        <v>3</v>
      </c>
      <c r="H1532" s="53" t="s">
        <v>5900</v>
      </c>
      <c r="I1532" s="45">
        <v>334000</v>
      </c>
      <c r="J1532" s="45">
        <v>0</v>
      </c>
      <c r="K1532" s="45">
        <v>22000</v>
      </c>
      <c r="L1532" s="45">
        <v>0</v>
      </c>
      <c r="M1532" s="45">
        <v>0</v>
      </c>
      <c r="N1532" s="45">
        <v>0</v>
      </c>
      <c r="O1532" s="45">
        <v>0</v>
      </c>
      <c r="P1532" s="45">
        <v>0</v>
      </c>
      <c r="Q1532" s="45">
        <v>0</v>
      </c>
      <c r="R1532" s="45">
        <v>0</v>
      </c>
      <c r="S1532" s="45">
        <v>0</v>
      </c>
      <c r="T1532" s="45">
        <v>0</v>
      </c>
      <c r="U1532" s="45">
        <v>1397</v>
      </c>
      <c r="V1532" s="45">
        <v>0</v>
      </c>
      <c r="W1532" s="45">
        <v>0</v>
      </c>
      <c r="X1532" s="45">
        <v>0</v>
      </c>
      <c r="Y1532" s="45">
        <v>0</v>
      </c>
      <c r="Z1532" s="45">
        <v>0</v>
      </c>
      <c r="AA1532" s="45">
        <v>0</v>
      </c>
      <c r="AB1532" s="45">
        <v>0</v>
      </c>
      <c r="AC1532" s="45">
        <v>0</v>
      </c>
      <c r="AD1532" s="45">
        <v>0</v>
      </c>
      <c r="AE1532" s="45">
        <v>0</v>
      </c>
      <c r="AF1532" s="45">
        <v>0</v>
      </c>
      <c r="AG1532" s="45">
        <v>0</v>
      </c>
      <c r="AH1532" s="45">
        <v>0</v>
      </c>
      <c r="AI1532" s="45">
        <v>0</v>
      </c>
      <c r="AJ1532" s="45">
        <v>0</v>
      </c>
      <c r="AK1532" s="45">
        <v>0</v>
      </c>
      <c r="AL1532" s="45">
        <v>0</v>
      </c>
      <c r="AM1532" s="57" t="str">
        <f>I1532-J1532-K1532-L1532-M1532-N1532-O1532-P1532-Q1532-R1532-S1532-T1532-U1532-V1532-W1532-X1532-Y1532-Z1532-AA1532-AB1532-AC1532-AD1532-AE1532-AF1532-AG1532+AH1532-AI1532+AJ1532+AK1532-AL1532</f>
        <v>0</v>
      </c>
      <c r="AN1532" s="45"/>
    </row>
    <row r="1533" spans="1:41">
      <c r="A1533" s="45">
        <v>1505</v>
      </c>
      <c r="B1533" s="45" t="s">
        <v>5901</v>
      </c>
      <c r="C1533" s="49" t="s">
        <v>5902</v>
      </c>
      <c r="D1533" s="53" t="s">
        <v>73</v>
      </c>
      <c r="E1533" s="45" t="s">
        <v>5876</v>
      </c>
      <c r="F1533" s="45" t="s">
        <v>2435</v>
      </c>
      <c r="G1533" s="45">
        <v>5</v>
      </c>
      <c r="H1533" s="53" t="s">
        <v>5903</v>
      </c>
      <c r="I1533" s="45">
        <v>338000</v>
      </c>
      <c r="J1533" s="45">
        <v>0</v>
      </c>
      <c r="K1533" s="45">
        <v>27000</v>
      </c>
      <c r="L1533" s="45">
        <v>0</v>
      </c>
      <c r="M1533" s="45">
        <v>0</v>
      </c>
      <c r="N1533" s="45">
        <v>0</v>
      </c>
      <c r="O1533" s="45">
        <v>0</v>
      </c>
      <c r="P1533" s="45">
        <v>0</v>
      </c>
      <c r="Q1533" s="45">
        <v>0</v>
      </c>
      <c r="R1533" s="45">
        <v>0</v>
      </c>
      <c r="S1533" s="45">
        <v>0</v>
      </c>
      <c r="T1533" s="45">
        <v>0</v>
      </c>
      <c r="U1533" s="45">
        <v>1714</v>
      </c>
      <c r="V1533" s="45">
        <v>0</v>
      </c>
      <c r="W1533" s="45">
        <v>0</v>
      </c>
      <c r="X1533" s="45">
        <v>0</v>
      </c>
      <c r="Y1533" s="45">
        <v>0</v>
      </c>
      <c r="Z1533" s="45">
        <v>0</v>
      </c>
      <c r="AA1533" s="45">
        <v>0</v>
      </c>
      <c r="AB1533" s="45">
        <v>0</v>
      </c>
      <c r="AC1533" s="45">
        <v>0</v>
      </c>
      <c r="AD1533" s="45">
        <v>0</v>
      </c>
      <c r="AE1533" s="45">
        <v>0</v>
      </c>
      <c r="AF1533" s="45">
        <v>0</v>
      </c>
      <c r="AG1533" s="45">
        <v>0</v>
      </c>
      <c r="AH1533" s="45">
        <v>0</v>
      </c>
      <c r="AI1533" s="45">
        <v>0</v>
      </c>
      <c r="AJ1533" s="45">
        <v>0</v>
      </c>
      <c r="AK1533" s="45">
        <v>0</v>
      </c>
      <c r="AL1533" s="45">
        <v>0</v>
      </c>
      <c r="AM1533" s="57" t="str">
        <f>I1533-J1533-K1533-L1533-M1533-N1533-O1533-P1533-Q1533-R1533-S1533-T1533-U1533-V1533-W1533-X1533-Y1533-Z1533-AA1533-AB1533-AC1533-AD1533-AE1533-AF1533-AG1533+AH1533-AI1533+AJ1533+AK1533-AL1533</f>
        <v>0</v>
      </c>
      <c r="AN1533" s="45"/>
    </row>
    <row r="1534" spans="1:41">
      <c r="A1534" s="45">
        <v>1506</v>
      </c>
      <c r="B1534" s="45" t="s">
        <v>5904</v>
      </c>
      <c r="C1534" s="49" t="s">
        <v>5905</v>
      </c>
      <c r="D1534" s="53" t="s">
        <v>73</v>
      </c>
      <c r="E1534" s="45" t="s">
        <v>5876</v>
      </c>
      <c r="F1534" s="45" t="s">
        <v>5906</v>
      </c>
      <c r="G1534" s="45">
        <v>3</v>
      </c>
      <c r="H1534" s="53" t="s">
        <v>5907</v>
      </c>
      <c r="I1534" s="45">
        <v>219000</v>
      </c>
      <c r="J1534" s="45">
        <v>0</v>
      </c>
      <c r="K1534" s="45">
        <v>22000</v>
      </c>
      <c r="L1534" s="45">
        <v>0</v>
      </c>
      <c r="M1534" s="45">
        <v>0</v>
      </c>
      <c r="N1534" s="45">
        <v>0</v>
      </c>
      <c r="O1534" s="45">
        <v>0</v>
      </c>
      <c r="P1534" s="45">
        <v>0</v>
      </c>
      <c r="Q1534" s="45">
        <v>0</v>
      </c>
      <c r="R1534" s="45">
        <v>0</v>
      </c>
      <c r="S1534" s="45">
        <v>0</v>
      </c>
      <c r="T1534" s="45">
        <v>0</v>
      </c>
      <c r="U1534" s="45">
        <v>1397</v>
      </c>
      <c r="V1534" s="45">
        <v>0</v>
      </c>
      <c r="W1534" s="45">
        <v>0</v>
      </c>
      <c r="X1534" s="45">
        <v>0</v>
      </c>
      <c r="Y1534" s="45">
        <v>0</v>
      </c>
      <c r="Z1534" s="45">
        <v>0</v>
      </c>
      <c r="AA1534" s="45">
        <v>0</v>
      </c>
      <c r="AB1534" s="45">
        <v>0</v>
      </c>
      <c r="AC1534" s="45">
        <v>0</v>
      </c>
      <c r="AD1534" s="45">
        <v>0</v>
      </c>
      <c r="AE1534" s="45">
        <v>0</v>
      </c>
      <c r="AF1534" s="45">
        <v>0</v>
      </c>
      <c r="AG1534" s="45">
        <v>0</v>
      </c>
      <c r="AH1534" s="45">
        <v>0</v>
      </c>
      <c r="AI1534" s="45">
        <v>0</v>
      </c>
      <c r="AJ1534" s="45">
        <v>0</v>
      </c>
      <c r="AK1534" s="45">
        <v>0</v>
      </c>
      <c r="AL1534" s="45">
        <v>0</v>
      </c>
      <c r="AM1534" s="57" t="str">
        <f>I1534-J1534-K1534-L1534-M1534-N1534-O1534-P1534-Q1534-R1534-S1534-T1534-U1534-V1534-W1534-X1534-Y1534-Z1534-AA1534-AB1534-AC1534-AD1534-AE1534-AF1534-AG1534+AH1534-AI1534+AJ1534+AK1534-AL1534</f>
        <v>0</v>
      </c>
      <c r="AN1534" s="45"/>
    </row>
    <row r="1535" spans="1:41">
      <c r="A1535" s="45">
        <v>1507</v>
      </c>
      <c r="B1535" s="45" t="s">
        <v>5908</v>
      </c>
      <c r="C1535" s="49" t="s">
        <v>5909</v>
      </c>
      <c r="D1535" s="53" t="s">
        <v>73</v>
      </c>
      <c r="E1535" s="45" t="s">
        <v>5876</v>
      </c>
      <c r="F1535" s="45" t="s">
        <v>2727</v>
      </c>
      <c r="G1535" s="45">
        <v>7.8</v>
      </c>
      <c r="H1535" s="53" t="s">
        <v>5910</v>
      </c>
      <c r="I1535" s="45">
        <v>590000</v>
      </c>
      <c r="J1535" s="45">
        <v>0</v>
      </c>
      <c r="K1535" s="45">
        <v>39000</v>
      </c>
      <c r="L1535" s="45">
        <v>0</v>
      </c>
      <c r="M1535" s="45">
        <v>0</v>
      </c>
      <c r="N1535" s="45">
        <v>0</v>
      </c>
      <c r="O1535" s="45">
        <v>0</v>
      </c>
      <c r="P1535" s="45">
        <v>0</v>
      </c>
      <c r="Q1535" s="45">
        <v>0</v>
      </c>
      <c r="R1535" s="45">
        <v>0</v>
      </c>
      <c r="S1535" s="45">
        <v>0</v>
      </c>
      <c r="T1535" s="45">
        <v>0</v>
      </c>
      <c r="U1535" s="45">
        <v>2476</v>
      </c>
      <c r="V1535" s="45">
        <v>0</v>
      </c>
      <c r="W1535" s="45">
        <v>0</v>
      </c>
      <c r="X1535" s="45">
        <v>0</v>
      </c>
      <c r="Y1535" s="45">
        <v>0</v>
      </c>
      <c r="Z1535" s="45">
        <v>0</v>
      </c>
      <c r="AA1535" s="45">
        <v>0</v>
      </c>
      <c r="AB1535" s="45">
        <v>0</v>
      </c>
      <c r="AC1535" s="45">
        <v>0</v>
      </c>
      <c r="AD1535" s="45">
        <v>0</v>
      </c>
      <c r="AE1535" s="45">
        <v>0</v>
      </c>
      <c r="AF1535" s="45">
        <v>0</v>
      </c>
      <c r="AG1535" s="45">
        <v>0</v>
      </c>
      <c r="AH1535" s="45">
        <v>0</v>
      </c>
      <c r="AI1535" s="45">
        <v>0</v>
      </c>
      <c r="AJ1535" s="45">
        <v>0</v>
      </c>
      <c r="AK1535" s="45">
        <v>0</v>
      </c>
      <c r="AL1535" s="45">
        <v>0</v>
      </c>
      <c r="AM1535" s="57" t="str">
        <f>I1535-J1535-K1535-L1535-M1535-N1535-O1535-P1535-Q1535-R1535-S1535-T1535-U1535-V1535-W1535-X1535-Y1535-Z1535-AA1535-AB1535-AC1535-AD1535-AE1535-AF1535-AG1535+AH1535-AI1535+AJ1535+AK1535-AL1535</f>
        <v>0</v>
      </c>
      <c r="AN1535" s="45"/>
    </row>
    <row r="1536" spans="1:41">
      <c r="A1536" s="45">
        <v>1508</v>
      </c>
      <c r="B1536" s="45" t="s">
        <v>5911</v>
      </c>
      <c r="C1536" s="49" t="s">
        <v>5912</v>
      </c>
      <c r="D1536" s="53" t="s">
        <v>73</v>
      </c>
      <c r="E1536" s="45" t="s">
        <v>5876</v>
      </c>
      <c r="F1536" s="45" t="s">
        <v>1315</v>
      </c>
      <c r="G1536" s="45">
        <v>3</v>
      </c>
      <c r="H1536" s="53" t="s">
        <v>5913</v>
      </c>
      <c r="I1536" s="45">
        <v>590000</v>
      </c>
      <c r="J1536" s="45">
        <v>0</v>
      </c>
      <c r="K1536" s="45">
        <v>22000</v>
      </c>
      <c r="L1536" s="45">
        <v>0</v>
      </c>
      <c r="M1536" s="45">
        <v>0</v>
      </c>
      <c r="N1536" s="45">
        <v>0</v>
      </c>
      <c r="O1536" s="45">
        <v>0</v>
      </c>
      <c r="P1536" s="45">
        <v>0</v>
      </c>
      <c r="Q1536" s="45">
        <v>0</v>
      </c>
      <c r="R1536" s="45">
        <v>0</v>
      </c>
      <c r="S1536" s="45">
        <v>0</v>
      </c>
      <c r="T1536" s="45">
        <v>0</v>
      </c>
      <c r="U1536" s="45">
        <v>1397</v>
      </c>
      <c r="V1536" s="45">
        <v>0</v>
      </c>
      <c r="W1536" s="45">
        <v>0</v>
      </c>
      <c r="X1536" s="45">
        <v>0</v>
      </c>
      <c r="Y1536" s="45">
        <v>0</v>
      </c>
      <c r="Z1536" s="45">
        <v>0</v>
      </c>
      <c r="AA1536" s="45">
        <v>0</v>
      </c>
      <c r="AB1536" s="45">
        <v>0</v>
      </c>
      <c r="AC1536" s="45">
        <v>0</v>
      </c>
      <c r="AD1536" s="45">
        <v>0</v>
      </c>
      <c r="AE1536" s="45">
        <v>0</v>
      </c>
      <c r="AF1536" s="45">
        <v>0</v>
      </c>
      <c r="AG1536" s="45">
        <v>0</v>
      </c>
      <c r="AH1536" s="45">
        <v>0</v>
      </c>
      <c r="AI1536" s="45">
        <v>0</v>
      </c>
      <c r="AJ1536" s="45">
        <v>0</v>
      </c>
      <c r="AK1536" s="45">
        <v>0</v>
      </c>
      <c r="AL1536" s="45">
        <v>0</v>
      </c>
      <c r="AM1536" s="57" t="str">
        <f>I1536-J1536-K1536-L1536-M1536-N1536-O1536-P1536-Q1536-R1536-S1536-T1536-U1536-V1536-W1536-X1536-Y1536-Z1536-AA1536-AB1536-AC1536-AD1536-AE1536-AF1536-AG1536+AH1536-AI1536+AJ1536+AK1536-AL1536</f>
        <v>0</v>
      </c>
      <c r="AN1536" s="45"/>
    </row>
    <row r="1537" spans="1:41">
      <c r="A1537" s="45">
        <v>1509</v>
      </c>
      <c r="B1537" s="45" t="s">
        <v>5914</v>
      </c>
      <c r="C1537" s="49" t="s">
        <v>5915</v>
      </c>
      <c r="D1537" s="53" t="s">
        <v>73</v>
      </c>
      <c r="E1537" s="45" t="s">
        <v>5876</v>
      </c>
      <c r="F1537" s="45" t="s">
        <v>5916</v>
      </c>
      <c r="G1537" s="45">
        <v>6</v>
      </c>
      <c r="H1537" s="53" t="s">
        <v>5917</v>
      </c>
      <c r="I1537" s="45">
        <v>937000</v>
      </c>
      <c r="J1537" s="45">
        <v>0</v>
      </c>
      <c r="K1537" s="45">
        <v>31000</v>
      </c>
      <c r="L1537" s="45">
        <v>0</v>
      </c>
      <c r="M1537" s="45">
        <v>0</v>
      </c>
      <c r="N1537" s="45">
        <v>0</v>
      </c>
      <c r="O1537" s="45">
        <v>0</v>
      </c>
      <c r="P1537" s="45">
        <v>0</v>
      </c>
      <c r="Q1537" s="45">
        <v>0</v>
      </c>
      <c r="R1537" s="45">
        <v>0</v>
      </c>
      <c r="S1537" s="45">
        <v>0</v>
      </c>
      <c r="T1537" s="45">
        <v>0</v>
      </c>
      <c r="U1537" s="45">
        <v>1968</v>
      </c>
      <c r="V1537" s="45">
        <v>0</v>
      </c>
      <c r="W1537" s="45">
        <v>0</v>
      </c>
      <c r="X1537" s="45">
        <v>0</v>
      </c>
      <c r="Y1537" s="45">
        <v>0</v>
      </c>
      <c r="Z1537" s="45">
        <v>0</v>
      </c>
      <c r="AA1537" s="45">
        <v>0</v>
      </c>
      <c r="AB1537" s="45">
        <v>0</v>
      </c>
      <c r="AC1537" s="45">
        <v>0</v>
      </c>
      <c r="AD1537" s="45">
        <v>0</v>
      </c>
      <c r="AE1537" s="45">
        <v>0</v>
      </c>
      <c r="AF1537" s="45">
        <v>0</v>
      </c>
      <c r="AG1537" s="45">
        <v>0</v>
      </c>
      <c r="AH1537" s="45">
        <v>0</v>
      </c>
      <c r="AI1537" s="45">
        <v>0</v>
      </c>
      <c r="AJ1537" s="45">
        <v>0</v>
      </c>
      <c r="AK1537" s="45">
        <v>0</v>
      </c>
      <c r="AL1537" s="45">
        <v>0</v>
      </c>
      <c r="AM1537" s="57" t="str">
        <f>I1537-J1537-K1537-L1537-M1537-N1537-O1537-P1537-Q1537-R1537-S1537-T1537-U1537-V1537-W1537-X1537-Y1537-Z1537-AA1537-AB1537-AC1537-AD1537-AE1537-AF1537-AG1537+AH1537-AI1537+AJ1537+AK1537-AL1537</f>
        <v>0</v>
      </c>
      <c r="AN1537" s="45"/>
    </row>
    <row r="1538" spans="1:41">
      <c r="A1538" s="45">
        <v>1510</v>
      </c>
      <c r="B1538" s="45" t="s">
        <v>5918</v>
      </c>
      <c r="C1538" s="49" t="s">
        <v>5919</v>
      </c>
      <c r="D1538" s="53" t="s">
        <v>73</v>
      </c>
      <c r="E1538" s="45" t="s">
        <v>5876</v>
      </c>
      <c r="F1538" s="45" t="s">
        <v>2613</v>
      </c>
      <c r="G1538" s="45">
        <v>11</v>
      </c>
      <c r="H1538" s="53" t="s">
        <v>5920</v>
      </c>
      <c r="I1538" s="45">
        <v>1889000</v>
      </c>
      <c r="J1538" s="45">
        <v>0</v>
      </c>
      <c r="K1538" s="45">
        <v>44000</v>
      </c>
      <c r="L1538" s="45">
        <v>0</v>
      </c>
      <c r="M1538" s="45">
        <v>0</v>
      </c>
      <c r="N1538" s="45">
        <v>0</v>
      </c>
      <c r="O1538" s="45">
        <v>0</v>
      </c>
      <c r="P1538" s="45">
        <v>0</v>
      </c>
      <c r="Q1538" s="45">
        <v>0</v>
      </c>
      <c r="R1538" s="45">
        <v>0</v>
      </c>
      <c r="S1538" s="45">
        <v>0</v>
      </c>
      <c r="T1538" s="45">
        <v>0</v>
      </c>
      <c r="U1538" s="45">
        <v>2794</v>
      </c>
      <c r="V1538" s="45">
        <v>0</v>
      </c>
      <c r="W1538" s="45">
        <v>0</v>
      </c>
      <c r="X1538" s="45">
        <v>0</v>
      </c>
      <c r="Y1538" s="45">
        <v>0</v>
      </c>
      <c r="Z1538" s="45">
        <v>0</v>
      </c>
      <c r="AA1538" s="45">
        <v>0</v>
      </c>
      <c r="AB1538" s="45">
        <v>0</v>
      </c>
      <c r="AC1538" s="45">
        <v>0</v>
      </c>
      <c r="AD1538" s="45">
        <v>0</v>
      </c>
      <c r="AE1538" s="45">
        <v>0</v>
      </c>
      <c r="AF1538" s="45">
        <v>0</v>
      </c>
      <c r="AG1538" s="45">
        <v>0</v>
      </c>
      <c r="AH1538" s="45">
        <v>0</v>
      </c>
      <c r="AI1538" s="45">
        <v>0</v>
      </c>
      <c r="AJ1538" s="45">
        <v>0</v>
      </c>
      <c r="AK1538" s="45">
        <v>0</v>
      </c>
      <c r="AL1538" s="45">
        <v>0</v>
      </c>
      <c r="AM1538" s="57" t="str">
        <f>I1538-J1538-K1538-L1538-M1538-N1538-O1538-P1538-Q1538-R1538-S1538-T1538-U1538-V1538-W1538-X1538-Y1538-Z1538-AA1538-AB1538-AC1538-AD1538-AE1538-AF1538-AG1538+AH1538-AI1538+AJ1538+AK1538-AL1538</f>
        <v>0</v>
      </c>
      <c r="AN1538" s="45"/>
    </row>
    <row r="1539" spans="1:41">
      <c r="A1539" s="45">
        <v>1511</v>
      </c>
      <c r="B1539" s="45" t="s">
        <v>5921</v>
      </c>
      <c r="C1539" s="49" t="s">
        <v>5922</v>
      </c>
      <c r="D1539" s="53" t="s">
        <v>73</v>
      </c>
      <c r="E1539" s="45" t="s">
        <v>5876</v>
      </c>
      <c r="F1539" s="45" t="s">
        <v>5923</v>
      </c>
      <c r="G1539" s="45">
        <v>8</v>
      </c>
      <c r="H1539" s="53" t="s">
        <v>5924</v>
      </c>
      <c r="I1539" s="45">
        <v>1780000</v>
      </c>
      <c r="J1539" s="45">
        <v>0</v>
      </c>
      <c r="K1539" s="45">
        <v>39000</v>
      </c>
      <c r="L1539" s="45">
        <v>0</v>
      </c>
      <c r="M1539" s="45">
        <v>0</v>
      </c>
      <c r="N1539" s="45">
        <v>0</v>
      </c>
      <c r="O1539" s="45">
        <v>0</v>
      </c>
      <c r="P1539" s="45">
        <v>0</v>
      </c>
      <c r="Q1539" s="45">
        <v>0</v>
      </c>
      <c r="R1539" s="45">
        <v>0</v>
      </c>
      <c r="S1539" s="45">
        <v>0</v>
      </c>
      <c r="T1539" s="45">
        <v>0</v>
      </c>
      <c r="U1539" s="45">
        <v>2476</v>
      </c>
      <c r="V1539" s="45">
        <v>0</v>
      </c>
      <c r="W1539" s="45">
        <v>0</v>
      </c>
      <c r="X1539" s="45">
        <v>0</v>
      </c>
      <c r="Y1539" s="45">
        <v>0</v>
      </c>
      <c r="Z1539" s="45">
        <v>0</v>
      </c>
      <c r="AA1539" s="45">
        <v>0</v>
      </c>
      <c r="AB1539" s="45">
        <v>0</v>
      </c>
      <c r="AC1539" s="45">
        <v>0</v>
      </c>
      <c r="AD1539" s="45">
        <v>0</v>
      </c>
      <c r="AE1539" s="45">
        <v>0</v>
      </c>
      <c r="AF1539" s="45">
        <v>0</v>
      </c>
      <c r="AG1539" s="45">
        <v>0</v>
      </c>
      <c r="AH1539" s="45">
        <v>0</v>
      </c>
      <c r="AI1539" s="45">
        <v>0</v>
      </c>
      <c r="AJ1539" s="45">
        <v>0</v>
      </c>
      <c r="AK1539" s="45">
        <v>0</v>
      </c>
      <c r="AL1539" s="45">
        <v>0</v>
      </c>
      <c r="AM1539" s="57" t="str">
        <f>I1539-J1539-K1539-L1539-M1539-N1539-O1539-P1539-Q1539-R1539-S1539-T1539-U1539-V1539-W1539-X1539-Y1539-Z1539-AA1539-AB1539-AC1539-AD1539-AE1539-AF1539-AG1539+AH1539-AI1539+AJ1539+AK1539-AL1539</f>
        <v>0</v>
      </c>
      <c r="AN1539" s="45"/>
    </row>
    <row r="1540" spans="1:41">
      <c r="A1540" s="45">
        <v>1512</v>
      </c>
      <c r="B1540" s="45" t="s">
        <v>5925</v>
      </c>
      <c r="C1540" s="49" t="s">
        <v>5926</v>
      </c>
      <c r="D1540" s="53" t="s">
        <v>73</v>
      </c>
      <c r="E1540" s="45" t="s">
        <v>5876</v>
      </c>
      <c r="F1540" s="45" t="s">
        <v>5927</v>
      </c>
      <c r="G1540" s="45">
        <v>3</v>
      </c>
      <c r="H1540" s="53" t="s">
        <v>5928</v>
      </c>
      <c r="I1540" s="45">
        <v>560000</v>
      </c>
      <c r="J1540" s="45">
        <v>0</v>
      </c>
      <c r="K1540" s="45">
        <v>22000</v>
      </c>
      <c r="L1540" s="45">
        <v>0</v>
      </c>
      <c r="M1540" s="45">
        <v>0</v>
      </c>
      <c r="N1540" s="45">
        <v>0</v>
      </c>
      <c r="O1540" s="45">
        <v>0</v>
      </c>
      <c r="P1540" s="45">
        <v>0</v>
      </c>
      <c r="Q1540" s="45">
        <v>0</v>
      </c>
      <c r="R1540" s="45">
        <v>0</v>
      </c>
      <c r="S1540" s="45">
        <v>0</v>
      </c>
      <c r="T1540" s="45">
        <v>0</v>
      </c>
      <c r="U1540" s="45">
        <v>1397</v>
      </c>
      <c r="V1540" s="45">
        <v>0</v>
      </c>
      <c r="W1540" s="45">
        <v>0</v>
      </c>
      <c r="X1540" s="45">
        <v>0</v>
      </c>
      <c r="Y1540" s="45">
        <v>0</v>
      </c>
      <c r="Z1540" s="45">
        <v>0</v>
      </c>
      <c r="AA1540" s="45">
        <v>0</v>
      </c>
      <c r="AB1540" s="45">
        <v>0</v>
      </c>
      <c r="AC1540" s="45">
        <v>0</v>
      </c>
      <c r="AD1540" s="45">
        <v>0</v>
      </c>
      <c r="AE1540" s="45">
        <v>0</v>
      </c>
      <c r="AF1540" s="45">
        <v>0</v>
      </c>
      <c r="AG1540" s="45">
        <v>0</v>
      </c>
      <c r="AH1540" s="45">
        <v>0</v>
      </c>
      <c r="AI1540" s="45">
        <v>0</v>
      </c>
      <c r="AJ1540" s="45">
        <v>0</v>
      </c>
      <c r="AK1540" s="45">
        <v>0</v>
      </c>
      <c r="AL1540" s="45">
        <v>0</v>
      </c>
      <c r="AM1540" s="57" t="str">
        <f>I1540-J1540-K1540-L1540-M1540-N1540-O1540-P1540-Q1540-R1540-S1540-T1540-U1540-V1540-W1540-X1540-Y1540-Z1540-AA1540-AB1540-AC1540-AD1540-AE1540-AF1540-AG1540+AH1540-AI1540+AJ1540+AK1540-AL1540</f>
        <v>0</v>
      </c>
      <c r="AN1540" s="45"/>
    </row>
    <row r="1541" spans="1:41">
      <c r="A1541" s="45">
        <v>1513</v>
      </c>
      <c r="B1541" s="45" t="s">
        <v>5929</v>
      </c>
      <c r="C1541" s="49" t="s">
        <v>5930</v>
      </c>
      <c r="D1541" s="53" t="s">
        <v>73</v>
      </c>
      <c r="E1541" s="45" t="s">
        <v>5876</v>
      </c>
      <c r="F1541" s="45" t="s">
        <v>5931</v>
      </c>
      <c r="G1541" s="45">
        <v>4</v>
      </c>
      <c r="H1541" s="53" t="s">
        <v>5932</v>
      </c>
      <c r="I1541" s="45">
        <v>990000</v>
      </c>
      <c r="J1541" s="45">
        <v>0</v>
      </c>
      <c r="K1541" s="45">
        <v>25000</v>
      </c>
      <c r="L1541" s="45">
        <v>0</v>
      </c>
      <c r="M1541" s="45">
        <v>0</v>
      </c>
      <c r="N1541" s="45">
        <v>0</v>
      </c>
      <c r="O1541" s="45">
        <v>0</v>
      </c>
      <c r="P1541" s="45">
        <v>0</v>
      </c>
      <c r="Q1541" s="45">
        <v>0</v>
      </c>
      <c r="R1541" s="45">
        <v>0</v>
      </c>
      <c r="S1541" s="45">
        <v>0</v>
      </c>
      <c r="T1541" s="45">
        <v>0</v>
      </c>
      <c r="U1541" s="45">
        <v>1587</v>
      </c>
      <c r="V1541" s="45">
        <v>0</v>
      </c>
      <c r="W1541" s="45">
        <v>0</v>
      </c>
      <c r="X1541" s="45">
        <v>0</v>
      </c>
      <c r="Y1541" s="45">
        <v>0</v>
      </c>
      <c r="Z1541" s="45">
        <v>0</v>
      </c>
      <c r="AA1541" s="45">
        <v>0</v>
      </c>
      <c r="AB1541" s="45">
        <v>0</v>
      </c>
      <c r="AC1541" s="45">
        <v>0</v>
      </c>
      <c r="AD1541" s="45">
        <v>0</v>
      </c>
      <c r="AE1541" s="45">
        <v>0</v>
      </c>
      <c r="AF1541" s="45">
        <v>0</v>
      </c>
      <c r="AG1541" s="45">
        <v>0</v>
      </c>
      <c r="AH1541" s="45">
        <v>0</v>
      </c>
      <c r="AI1541" s="45">
        <v>0</v>
      </c>
      <c r="AJ1541" s="45">
        <v>0</v>
      </c>
      <c r="AK1541" s="45">
        <v>0</v>
      </c>
      <c r="AL1541" s="45">
        <v>0</v>
      </c>
      <c r="AM1541" s="57" t="str">
        <f>I1541-J1541-K1541-L1541-M1541-N1541-O1541-P1541-Q1541-R1541-S1541-T1541-U1541-V1541-W1541-X1541-Y1541-Z1541-AA1541-AB1541-AC1541-AD1541-AE1541-AF1541-AG1541+AH1541-AI1541+AJ1541+AK1541-AL1541</f>
        <v>0</v>
      </c>
      <c r="AN1541" s="45"/>
    </row>
    <row r="1542" spans="1:41">
      <c r="A1542" s="45">
        <v>1514</v>
      </c>
      <c r="B1542" s="45" t="s">
        <v>5933</v>
      </c>
      <c r="C1542" s="49" t="s">
        <v>5934</v>
      </c>
      <c r="D1542" s="53" t="s">
        <v>73</v>
      </c>
      <c r="E1542" s="45" t="s">
        <v>5876</v>
      </c>
      <c r="F1542" s="45" t="s">
        <v>5935</v>
      </c>
      <c r="G1542" s="45">
        <v>3</v>
      </c>
      <c r="H1542" s="53" t="s">
        <v>5936</v>
      </c>
      <c r="I1542" s="45">
        <v>334000</v>
      </c>
      <c r="J1542" s="45">
        <v>0</v>
      </c>
      <c r="K1542" s="45">
        <v>22000</v>
      </c>
      <c r="L1542" s="45">
        <v>0</v>
      </c>
      <c r="M1542" s="45">
        <v>0</v>
      </c>
      <c r="N1542" s="45">
        <v>0</v>
      </c>
      <c r="O1542" s="45">
        <v>0</v>
      </c>
      <c r="P1542" s="45">
        <v>0</v>
      </c>
      <c r="Q1542" s="45">
        <v>0</v>
      </c>
      <c r="R1542" s="45">
        <v>0</v>
      </c>
      <c r="S1542" s="45">
        <v>0</v>
      </c>
      <c r="T1542" s="45">
        <v>0</v>
      </c>
      <c r="U1542" s="45">
        <v>1397</v>
      </c>
      <c r="V1542" s="45">
        <v>0</v>
      </c>
      <c r="W1542" s="45">
        <v>0</v>
      </c>
      <c r="X1542" s="45">
        <v>0</v>
      </c>
      <c r="Y1542" s="45">
        <v>0</v>
      </c>
      <c r="Z1542" s="45">
        <v>0</v>
      </c>
      <c r="AA1542" s="45">
        <v>0</v>
      </c>
      <c r="AB1542" s="45">
        <v>0</v>
      </c>
      <c r="AC1542" s="45">
        <v>0</v>
      </c>
      <c r="AD1542" s="45">
        <v>0</v>
      </c>
      <c r="AE1542" s="45">
        <v>0</v>
      </c>
      <c r="AF1542" s="45">
        <v>0</v>
      </c>
      <c r="AG1542" s="45">
        <v>0</v>
      </c>
      <c r="AH1542" s="45">
        <v>0</v>
      </c>
      <c r="AI1542" s="45">
        <v>0</v>
      </c>
      <c r="AJ1542" s="45">
        <v>0</v>
      </c>
      <c r="AK1542" s="45">
        <v>0</v>
      </c>
      <c r="AL1542" s="45">
        <v>0</v>
      </c>
      <c r="AM1542" s="57" t="str">
        <f>I1542-J1542-K1542-L1542-M1542-N1542-O1542-P1542-Q1542-R1542-S1542-T1542-U1542-V1542-W1542-X1542-Y1542-Z1542-AA1542-AB1542-AC1542-AD1542-AE1542-AF1542-AG1542+AH1542-AI1542+AJ1542+AK1542-AL1542</f>
        <v>0</v>
      </c>
      <c r="AN1542" s="45"/>
    </row>
    <row r="1543" spans="1:41">
      <c r="A1543" s="45">
        <v>1515</v>
      </c>
      <c r="B1543" s="45" t="s">
        <v>5937</v>
      </c>
      <c r="C1543" s="49" t="s">
        <v>5938</v>
      </c>
      <c r="D1543" s="53" t="s">
        <v>73</v>
      </c>
      <c r="E1543" s="45" t="s">
        <v>5876</v>
      </c>
      <c r="F1543" s="45" t="s">
        <v>5939</v>
      </c>
      <c r="G1543" s="45">
        <v>3</v>
      </c>
      <c r="H1543" s="53" t="s">
        <v>5940</v>
      </c>
      <c r="I1543" s="45">
        <v>399000</v>
      </c>
      <c r="J1543" s="45">
        <v>0</v>
      </c>
      <c r="K1543" s="45">
        <v>22000</v>
      </c>
      <c r="L1543" s="45">
        <v>0</v>
      </c>
      <c r="M1543" s="45">
        <v>0</v>
      </c>
      <c r="N1543" s="45">
        <v>0</v>
      </c>
      <c r="O1543" s="45">
        <v>0</v>
      </c>
      <c r="P1543" s="45">
        <v>0</v>
      </c>
      <c r="Q1543" s="45">
        <v>0</v>
      </c>
      <c r="R1543" s="45">
        <v>0</v>
      </c>
      <c r="S1543" s="45">
        <v>0</v>
      </c>
      <c r="T1543" s="45">
        <v>0</v>
      </c>
      <c r="U1543" s="45">
        <v>1397</v>
      </c>
      <c r="V1543" s="45">
        <v>0</v>
      </c>
      <c r="W1543" s="45">
        <v>0</v>
      </c>
      <c r="X1543" s="45">
        <v>0</v>
      </c>
      <c r="Y1543" s="45">
        <v>0</v>
      </c>
      <c r="Z1543" s="45">
        <v>0</v>
      </c>
      <c r="AA1543" s="45">
        <v>0</v>
      </c>
      <c r="AB1543" s="45">
        <v>0</v>
      </c>
      <c r="AC1543" s="45">
        <v>0</v>
      </c>
      <c r="AD1543" s="45">
        <v>0</v>
      </c>
      <c r="AE1543" s="45">
        <v>0</v>
      </c>
      <c r="AF1543" s="45">
        <v>0</v>
      </c>
      <c r="AG1543" s="45">
        <v>0</v>
      </c>
      <c r="AH1543" s="45">
        <v>0</v>
      </c>
      <c r="AI1543" s="45">
        <v>0</v>
      </c>
      <c r="AJ1543" s="45">
        <v>0</v>
      </c>
      <c r="AK1543" s="45">
        <v>0</v>
      </c>
      <c r="AL1543" s="45">
        <v>0</v>
      </c>
      <c r="AM1543" s="57" t="str">
        <f>I1543-J1543-K1543-L1543-M1543-N1543-O1543-P1543-Q1543-R1543-S1543-T1543-U1543-V1543-W1543-X1543-Y1543-Z1543-AA1543-AB1543-AC1543-AD1543-AE1543-AF1543-AG1543+AH1543-AI1543+AJ1543+AK1543-AL1543</f>
        <v>0</v>
      </c>
      <c r="AN1543" s="45"/>
    </row>
    <row r="1544" spans="1:41">
      <c r="A1544" s="45">
        <v>1516</v>
      </c>
      <c r="B1544" s="45" t="s">
        <v>5941</v>
      </c>
      <c r="C1544" s="49" t="s">
        <v>5942</v>
      </c>
      <c r="D1544" s="53" t="s">
        <v>73</v>
      </c>
      <c r="E1544" s="45" t="s">
        <v>5876</v>
      </c>
      <c r="F1544" s="45" t="s">
        <v>5943</v>
      </c>
      <c r="G1544" s="45">
        <v>3</v>
      </c>
      <c r="H1544" s="53" t="s">
        <v>5944</v>
      </c>
      <c r="I1544" s="45">
        <v>399000</v>
      </c>
      <c r="J1544" s="45">
        <v>0</v>
      </c>
      <c r="K1544" s="45">
        <v>22000</v>
      </c>
      <c r="L1544" s="45">
        <v>0</v>
      </c>
      <c r="M1544" s="45">
        <v>0</v>
      </c>
      <c r="N1544" s="45">
        <v>0</v>
      </c>
      <c r="O1544" s="45">
        <v>0</v>
      </c>
      <c r="P1544" s="45">
        <v>0</v>
      </c>
      <c r="Q1544" s="45">
        <v>0</v>
      </c>
      <c r="R1544" s="45">
        <v>0</v>
      </c>
      <c r="S1544" s="45">
        <v>0</v>
      </c>
      <c r="T1544" s="45">
        <v>0</v>
      </c>
      <c r="U1544" s="45">
        <v>1397</v>
      </c>
      <c r="V1544" s="45">
        <v>0</v>
      </c>
      <c r="W1544" s="45">
        <v>0</v>
      </c>
      <c r="X1544" s="45">
        <v>0</v>
      </c>
      <c r="Y1544" s="45">
        <v>0</v>
      </c>
      <c r="Z1544" s="45">
        <v>0</v>
      </c>
      <c r="AA1544" s="45">
        <v>0</v>
      </c>
      <c r="AB1544" s="45">
        <v>0</v>
      </c>
      <c r="AC1544" s="45">
        <v>0</v>
      </c>
      <c r="AD1544" s="45">
        <v>0</v>
      </c>
      <c r="AE1544" s="45">
        <v>0</v>
      </c>
      <c r="AF1544" s="45">
        <v>0</v>
      </c>
      <c r="AG1544" s="45">
        <v>0</v>
      </c>
      <c r="AH1544" s="45">
        <v>0</v>
      </c>
      <c r="AI1544" s="45">
        <v>0</v>
      </c>
      <c r="AJ1544" s="45">
        <v>0</v>
      </c>
      <c r="AK1544" s="45">
        <v>0</v>
      </c>
      <c r="AL1544" s="45">
        <v>0</v>
      </c>
      <c r="AM1544" s="57" t="str">
        <f>I1544-J1544-K1544-L1544-M1544-N1544-O1544-P1544-Q1544-R1544-S1544-T1544-U1544-V1544-W1544-X1544-Y1544-Z1544-AA1544-AB1544-AC1544-AD1544-AE1544-AF1544-AG1544+AH1544-AI1544+AJ1544+AK1544-AL1544</f>
        <v>0</v>
      </c>
      <c r="AN1544" s="45"/>
    </row>
    <row r="1545" spans="1:41">
      <c r="A1545" s="45">
        <v>1517</v>
      </c>
      <c r="B1545" s="45" t="s">
        <v>5945</v>
      </c>
      <c r="C1545" s="49" t="s">
        <v>5946</v>
      </c>
      <c r="D1545" s="53" t="s">
        <v>73</v>
      </c>
      <c r="E1545" s="45" t="s">
        <v>5947</v>
      </c>
      <c r="F1545" s="45" t="s">
        <v>5948</v>
      </c>
      <c r="G1545" s="45">
        <v>3</v>
      </c>
      <c r="H1545" s="53" t="s">
        <v>5949</v>
      </c>
      <c r="I1545" s="45">
        <v>525000</v>
      </c>
      <c r="J1545" s="45">
        <v>0</v>
      </c>
      <c r="K1545" s="45">
        <v>22000</v>
      </c>
      <c r="L1545" s="45">
        <v>0</v>
      </c>
      <c r="M1545" s="45">
        <v>0</v>
      </c>
      <c r="N1545" s="45">
        <v>0</v>
      </c>
      <c r="O1545" s="45">
        <v>0</v>
      </c>
      <c r="P1545" s="45">
        <v>0</v>
      </c>
      <c r="Q1545" s="45">
        <v>0</v>
      </c>
      <c r="R1545" s="45">
        <v>0</v>
      </c>
      <c r="S1545" s="45">
        <v>0</v>
      </c>
      <c r="T1545" s="45">
        <v>0</v>
      </c>
      <c r="U1545" s="45">
        <v>1397</v>
      </c>
      <c r="V1545" s="45">
        <v>0</v>
      </c>
      <c r="W1545" s="45">
        <v>0</v>
      </c>
      <c r="X1545" s="45">
        <v>0</v>
      </c>
      <c r="Y1545" s="45">
        <v>0</v>
      </c>
      <c r="Z1545" s="45">
        <v>0</v>
      </c>
      <c r="AA1545" s="45">
        <v>0</v>
      </c>
      <c r="AB1545" s="45">
        <v>0</v>
      </c>
      <c r="AC1545" s="45">
        <v>0</v>
      </c>
      <c r="AD1545" s="45">
        <v>0</v>
      </c>
      <c r="AE1545" s="45">
        <v>0</v>
      </c>
      <c r="AF1545" s="45">
        <v>0</v>
      </c>
      <c r="AG1545" s="45">
        <v>0</v>
      </c>
      <c r="AH1545" s="45">
        <v>0</v>
      </c>
      <c r="AI1545" s="45">
        <v>0</v>
      </c>
      <c r="AJ1545" s="45">
        <v>0</v>
      </c>
      <c r="AK1545" s="45">
        <v>0</v>
      </c>
      <c r="AL1545" s="45">
        <v>0</v>
      </c>
      <c r="AM1545" s="57" t="str">
        <f>I1545-J1545-K1545-L1545-M1545-N1545-O1545-P1545-Q1545-R1545-S1545-T1545-U1545-V1545-W1545-X1545-Y1545-Z1545-AA1545-AB1545-AC1545-AD1545-AE1545-AF1545-AG1545+AH1545-AI1545+AJ1545+AK1545-AL1545</f>
        <v>0</v>
      </c>
      <c r="AN1545" s="45"/>
    </row>
    <row r="1546" spans="1:41">
      <c r="A1546" s="45">
        <v>1518</v>
      </c>
      <c r="B1546" s="45" t="s">
        <v>5950</v>
      </c>
      <c r="C1546" s="49" t="s">
        <v>5951</v>
      </c>
      <c r="D1546" s="53" t="s">
        <v>73</v>
      </c>
      <c r="E1546" s="45" t="s">
        <v>5947</v>
      </c>
      <c r="F1546" s="45" t="s">
        <v>2225</v>
      </c>
      <c r="G1546" s="45">
        <v>6</v>
      </c>
      <c r="H1546" s="53" t="s">
        <v>5952</v>
      </c>
      <c r="I1546" s="45">
        <v>888000</v>
      </c>
      <c r="J1546" s="45">
        <v>0</v>
      </c>
      <c r="K1546" s="45">
        <v>31000</v>
      </c>
      <c r="L1546" s="45">
        <v>0</v>
      </c>
      <c r="M1546" s="45">
        <v>0</v>
      </c>
      <c r="N1546" s="45">
        <v>0</v>
      </c>
      <c r="O1546" s="45">
        <v>0</v>
      </c>
      <c r="P1546" s="45">
        <v>0</v>
      </c>
      <c r="Q1546" s="45">
        <v>0</v>
      </c>
      <c r="R1546" s="45">
        <v>0</v>
      </c>
      <c r="S1546" s="45">
        <v>0</v>
      </c>
      <c r="T1546" s="45">
        <v>0</v>
      </c>
      <c r="U1546" s="45">
        <v>1968</v>
      </c>
      <c r="V1546" s="45">
        <v>0</v>
      </c>
      <c r="W1546" s="45">
        <v>0</v>
      </c>
      <c r="X1546" s="45">
        <v>0</v>
      </c>
      <c r="Y1546" s="45">
        <v>0</v>
      </c>
      <c r="Z1546" s="45">
        <v>0</v>
      </c>
      <c r="AA1546" s="45">
        <v>0</v>
      </c>
      <c r="AB1546" s="45">
        <v>0</v>
      </c>
      <c r="AC1546" s="45">
        <v>0</v>
      </c>
      <c r="AD1546" s="45">
        <v>0</v>
      </c>
      <c r="AE1546" s="45">
        <v>0</v>
      </c>
      <c r="AF1546" s="45">
        <v>0</v>
      </c>
      <c r="AG1546" s="45">
        <v>0</v>
      </c>
      <c r="AH1546" s="45">
        <v>0</v>
      </c>
      <c r="AI1546" s="45">
        <v>0</v>
      </c>
      <c r="AJ1546" s="45">
        <v>0</v>
      </c>
      <c r="AK1546" s="45">
        <v>0</v>
      </c>
      <c r="AL1546" s="45">
        <v>0</v>
      </c>
      <c r="AM1546" s="57" t="str">
        <f>I1546-J1546-K1546-L1546-M1546-N1546-O1546-P1546-Q1546-R1546-S1546-T1546-U1546-V1546-W1546-X1546-Y1546-Z1546-AA1546-AB1546-AC1546-AD1546-AE1546-AF1546-AG1546+AH1546-AI1546+AJ1546+AK1546-AL1546</f>
        <v>0</v>
      </c>
      <c r="AN1546" s="45"/>
    </row>
    <row r="1547" spans="1:41">
      <c r="A1547" s="45">
        <v>1519</v>
      </c>
      <c r="B1547" s="45" t="s">
        <v>5953</v>
      </c>
      <c r="C1547" s="49" t="s">
        <v>5954</v>
      </c>
      <c r="D1547" s="53" t="s">
        <v>73</v>
      </c>
      <c r="E1547" s="45" t="s">
        <v>5947</v>
      </c>
      <c r="F1547" s="45" t="s">
        <v>5955</v>
      </c>
      <c r="G1547" s="45">
        <v>7.8</v>
      </c>
      <c r="H1547" s="53" t="s">
        <v>5956</v>
      </c>
      <c r="I1547" s="45">
        <v>590000</v>
      </c>
      <c r="J1547" s="45">
        <v>0</v>
      </c>
      <c r="K1547" s="45">
        <v>39000</v>
      </c>
      <c r="L1547" s="45">
        <v>0</v>
      </c>
      <c r="M1547" s="45">
        <v>0</v>
      </c>
      <c r="N1547" s="45">
        <v>0</v>
      </c>
      <c r="O1547" s="45">
        <v>0</v>
      </c>
      <c r="P1547" s="45">
        <v>0</v>
      </c>
      <c r="Q1547" s="45">
        <v>0</v>
      </c>
      <c r="R1547" s="45">
        <v>0</v>
      </c>
      <c r="S1547" s="45">
        <v>0</v>
      </c>
      <c r="T1547" s="45">
        <v>0</v>
      </c>
      <c r="U1547" s="45">
        <v>2476</v>
      </c>
      <c r="V1547" s="45">
        <v>0</v>
      </c>
      <c r="W1547" s="45">
        <v>0</v>
      </c>
      <c r="X1547" s="45">
        <v>0</v>
      </c>
      <c r="Y1547" s="45">
        <v>0</v>
      </c>
      <c r="Z1547" s="45">
        <v>0</v>
      </c>
      <c r="AA1547" s="45">
        <v>0</v>
      </c>
      <c r="AB1547" s="45">
        <v>0</v>
      </c>
      <c r="AC1547" s="45">
        <v>0</v>
      </c>
      <c r="AD1547" s="45">
        <v>0</v>
      </c>
      <c r="AE1547" s="45">
        <v>0</v>
      </c>
      <c r="AF1547" s="45">
        <v>0</v>
      </c>
      <c r="AG1547" s="45">
        <v>0</v>
      </c>
      <c r="AH1547" s="45">
        <v>0</v>
      </c>
      <c r="AI1547" s="45">
        <v>0</v>
      </c>
      <c r="AJ1547" s="45">
        <v>0</v>
      </c>
      <c r="AK1547" s="45">
        <v>0</v>
      </c>
      <c r="AL1547" s="45">
        <v>0</v>
      </c>
      <c r="AM1547" s="57" t="str">
        <f>I1547-J1547-K1547-L1547-M1547-N1547-O1547-P1547-Q1547-R1547-S1547-T1547-U1547-V1547-W1547-X1547-Y1547-Z1547-AA1547-AB1547-AC1547-AD1547-AE1547-AF1547-AG1547+AH1547-AI1547+AJ1547+AK1547-AL1547</f>
        <v>0</v>
      </c>
      <c r="AN1547" s="45"/>
    </row>
    <row r="1548" spans="1:41">
      <c r="A1548" s="45">
        <v>1520</v>
      </c>
      <c r="B1548" s="45" t="s">
        <v>5957</v>
      </c>
      <c r="C1548" s="49" t="s">
        <v>5958</v>
      </c>
      <c r="D1548" s="53" t="s">
        <v>73</v>
      </c>
      <c r="E1548" s="45" t="s">
        <v>5947</v>
      </c>
      <c r="F1548" s="45" t="s">
        <v>5959</v>
      </c>
      <c r="G1548" s="45">
        <v>3</v>
      </c>
      <c r="H1548" s="53" t="s">
        <v>5960</v>
      </c>
      <c r="I1548" s="45">
        <v>219000</v>
      </c>
      <c r="J1548" s="45">
        <v>0</v>
      </c>
      <c r="K1548" s="45">
        <v>22000</v>
      </c>
      <c r="L1548" s="45">
        <v>0</v>
      </c>
      <c r="M1548" s="45">
        <v>0</v>
      </c>
      <c r="N1548" s="45">
        <v>0</v>
      </c>
      <c r="O1548" s="45">
        <v>0</v>
      </c>
      <c r="P1548" s="45">
        <v>0</v>
      </c>
      <c r="Q1548" s="45">
        <v>0</v>
      </c>
      <c r="R1548" s="45">
        <v>0</v>
      </c>
      <c r="S1548" s="45">
        <v>0</v>
      </c>
      <c r="T1548" s="45">
        <v>0</v>
      </c>
      <c r="U1548" s="45">
        <v>1397</v>
      </c>
      <c r="V1548" s="45">
        <v>0</v>
      </c>
      <c r="W1548" s="45">
        <v>0</v>
      </c>
      <c r="X1548" s="45">
        <v>0</v>
      </c>
      <c r="Y1548" s="45">
        <v>0</v>
      </c>
      <c r="Z1548" s="45">
        <v>0</v>
      </c>
      <c r="AA1548" s="45">
        <v>0</v>
      </c>
      <c r="AB1548" s="45">
        <v>0</v>
      </c>
      <c r="AC1548" s="45">
        <v>0</v>
      </c>
      <c r="AD1548" s="45">
        <v>0</v>
      </c>
      <c r="AE1548" s="45">
        <v>0</v>
      </c>
      <c r="AF1548" s="45">
        <v>0</v>
      </c>
      <c r="AG1548" s="45">
        <v>0</v>
      </c>
      <c r="AH1548" s="45">
        <v>0</v>
      </c>
      <c r="AI1548" s="45">
        <v>0</v>
      </c>
      <c r="AJ1548" s="45">
        <v>0</v>
      </c>
      <c r="AK1548" s="45">
        <v>0</v>
      </c>
      <c r="AL1548" s="45">
        <v>0</v>
      </c>
      <c r="AM1548" s="57" t="str">
        <f>I1548-J1548-K1548-L1548-M1548-N1548-O1548-P1548-Q1548-R1548-S1548-T1548-U1548-V1548-W1548-X1548-Y1548-Z1548-AA1548-AB1548-AC1548-AD1548-AE1548-AF1548-AG1548+AH1548-AI1548+AJ1548+AK1548-AL1548</f>
        <v>0</v>
      </c>
      <c r="AN1548" s="45"/>
    </row>
    <row r="1549" spans="1:41">
      <c r="A1549" s="45">
        <v>1521</v>
      </c>
      <c r="B1549" s="45" t="s">
        <v>5961</v>
      </c>
      <c r="C1549" s="49" t="s">
        <v>5962</v>
      </c>
      <c r="D1549" s="53" t="s">
        <v>73</v>
      </c>
      <c r="E1549" s="45" t="s">
        <v>5947</v>
      </c>
      <c r="F1549" s="45" t="s">
        <v>5963</v>
      </c>
      <c r="G1549" s="45">
        <v>2</v>
      </c>
      <c r="H1549" s="53" t="s">
        <v>5964</v>
      </c>
      <c r="I1549" s="45">
        <v>775000</v>
      </c>
      <c r="J1549" s="45">
        <v>0</v>
      </c>
      <c r="K1549" s="45">
        <v>22000</v>
      </c>
      <c r="L1549" s="45">
        <v>0</v>
      </c>
      <c r="M1549" s="45">
        <v>0</v>
      </c>
      <c r="N1549" s="45">
        <v>0</v>
      </c>
      <c r="O1549" s="45">
        <v>0</v>
      </c>
      <c r="P1549" s="45">
        <v>0</v>
      </c>
      <c r="Q1549" s="45">
        <v>0</v>
      </c>
      <c r="R1549" s="45">
        <v>0</v>
      </c>
      <c r="S1549" s="45">
        <v>0</v>
      </c>
      <c r="T1549" s="45">
        <v>0</v>
      </c>
      <c r="U1549" s="45">
        <v>1397</v>
      </c>
      <c r="V1549" s="45">
        <v>0</v>
      </c>
      <c r="W1549" s="45">
        <v>0</v>
      </c>
      <c r="X1549" s="45">
        <v>0</v>
      </c>
      <c r="Y1549" s="45">
        <v>0</v>
      </c>
      <c r="Z1549" s="45">
        <v>0</v>
      </c>
      <c r="AA1549" s="45">
        <v>0</v>
      </c>
      <c r="AB1549" s="45">
        <v>0</v>
      </c>
      <c r="AC1549" s="45">
        <v>0</v>
      </c>
      <c r="AD1549" s="45">
        <v>0</v>
      </c>
      <c r="AE1549" s="45">
        <v>0</v>
      </c>
      <c r="AF1549" s="45">
        <v>0</v>
      </c>
      <c r="AG1549" s="45">
        <v>0</v>
      </c>
      <c r="AH1549" s="45">
        <v>0</v>
      </c>
      <c r="AI1549" s="45">
        <v>0</v>
      </c>
      <c r="AJ1549" s="45">
        <v>0</v>
      </c>
      <c r="AK1549" s="45">
        <v>0</v>
      </c>
      <c r="AL1549" s="45">
        <v>0</v>
      </c>
      <c r="AM1549" s="57" t="str">
        <f>I1549-J1549-K1549-L1549-M1549-N1549-O1549-P1549-Q1549-R1549-S1549-T1549-U1549-V1549-W1549-X1549-Y1549-Z1549-AA1549-AB1549-AC1549-AD1549-AE1549-AF1549-AG1549+AH1549-AI1549+AJ1549+AK1549-AL1549</f>
        <v>0</v>
      </c>
      <c r="AN1549" s="45"/>
    </row>
    <row r="1550" spans="1:41">
      <c r="A1550" s="45">
        <v>1522</v>
      </c>
      <c r="B1550" s="45" t="s">
        <v>5965</v>
      </c>
      <c r="C1550" s="49" t="s">
        <v>5966</v>
      </c>
      <c r="D1550" s="53" t="s">
        <v>73</v>
      </c>
      <c r="E1550" s="45" t="s">
        <v>5947</v>
      </c>
      <c r="F1550" s="45" t="s">
        <v>5967</v>
      </c>
      <c r="G1550" s="45">
        <v>2</v>
      </c>
      <c r="H1550" s="53" t="s">
        <v>5968</v>
      </c>
      <c r="I1550" s="45">
        <v>775000</v>
      </c>
      <c r="J1550" s="45">
        <v>0</v>
      </c>
      <c r="K1550" s="45">
        <v>22000</v>
      </c>
      <c r="L1550" s="45">
        <v>0</v>
      </c>
      <c r="M1550" s="45">
        <v>0</v>
      </c>
      <c r="N1550" s="45">
        <v>0</v>
      </c>
      <c r="O1550" s="45">
        <v>0</v>
      </c>
      <c r="P1550" s="45">
        <v>0</v>
      </c>
      <c r="Q1550" s="45">
        <v>0</v>
      </c>
      <c r="R1550" s="45">
        <v>0</v>
      </c>
      <c r="S1550" s="45">
        <v>0</v>
      </c>
      <c r="T1550" s="45">
        <v>0</v>
      </c>
      <c r="U1550" s="45">
        <v>1397</v>
      </c>
      <c r="V1550" s="45">
        <v>0</v>
      </c>
      <c r="W1550" s="45">
        <v>0</v>
      </c>
      <c r="X1550" s="45">
        <v>0</v>
      </c>
      <c r="Y1550" s="45">
        <v>0</v>
      </c>
      <c r="Z1550" s="45">
        <v>0</v>
      </c>
      <c r="AA1550" s="45">
        <v>0</v>
      </c>
      <c r="AB1550" s="45">
        <v>0</v>
      </c>
      <c r="AC1550" s="45">
        <v>0</v>
      </c>
      <c r="AD1550" s="45">
        <v>0</v>
      </c>
      <c r="AE1550" s="45">
        <v>0</v>
      </c>
      <c r="AF1550" s="45">
        <v>0</v>
      </c>
      <c r="AG1550" s="45">
        <v>0</v>
      </c>
      <c r="AH1550" s="45">
        <v>0</v>
      </c>
      <c r="AI1550" s="45">
        <v>0</v>
      </c>
      <c r="AJ1550" s="45">
        <v>0</v>
      </c>
      <c r="AK1550" s="45">
        <v>0</v>
      </c>
      <c r="AL1550" s="45">
        <v>0</v>
      </c>
      <c r="AM1550" s="57" t="str">
        <f>I1550-J1550-K1550-L1550-M1550-N1550-O1550-P1550-Q1550-R1550-S1550-T1550-U1550-V1550-W1550-X1550-Y1550-Z1550-AA1550-AB1550-AC1550-AD1550-AE1550-AF1550-AG1550+AH1550-AI1550+AJ1550+AK1550-AL1550</f>
        <v>0</v>
      </c>
      <c r="AN1550" s="45"/>
    </row>
    <row r="1551" spans="1:41">
      <c r="A1551" s="45">
        <v>1523</v>
      </c>
      <c r="B1551" s="45" t="s">
        <v>5969</v>
      </c>
      <c r="C1551" s="49" t="s">
        <v>5970</v>
      </c>
      <c r="D1551" s="53" t="s">
        <v>73</v>
      </c>
      <c r="E1551" s="45" t="s">
        <v>5947</v>
      </c>
      <c r="F1551" s="45" t="s">
        <v>4823</v>
      </c>
      <c r="G1551" s="45">
        <v>7.8</v>
      </c>
      <c r="H1551" s="53" t="s">
        <v>5971</v>
      </c>
      <c r="I1551" s="45">
        <v>590000</v>
      </c>
      <c r="J1551" s="45">
        <v>0</v>
      </c>
      <c r="K1551" s="45">
        <v>39000</v>
      </c>
      <c r="L1551" s="45">
        <v>0</v>
      </c>
      <c r="M1551" s="45">
        <v>0</v>
      </c>
      <c r="N1551" s="45">
        <v>0</v>
      </c>
      <c r="O1551" s="45">
        <v>0</v>
      </c>
      <c r="P1551" s="45">
        <v>0</v>
      </c>
      <c r="Q1551" s="45">
        <v>0</v>
      </c>
      <c r="R1551" s="45">
        <v>0</v>
      </c>
      <c r="S1551" s="45">
        <v>0</v>
      </c>
      <c r="T1551" s="45">
        <v>0</v>
      </c>
      <c r="U1551" s="45">
        <v>2476</v>
      </c>
      <c r="V1551" s="45">
        <v>0</v>
      </c>
      <c r="W1551" s="45">
        <v>0</v>
      </c>
      <c r="X1551" s="45">
        <v>0</v>
      </c>
      <c r="Y1551" s="45">
        <v>0</v>
      </c>
      <c r="Z1551" s="45">
        <v>0</v>
      </c>
      <c r="AA1551" s="45">
        <v>0</v>
      </c>
      <c r="AB1551" s="45">
        <v>0</v>
      </c>
      <c r="AC1551" s="45">
        <v>0</v>
      </c>
      <c r="AD1551" s="45">
        <v>0</v>
      </c>
      <c r="AE1551" s="45">
        <v>0</v>
      </c>
      <c r="AF1551" s="45">
        <v>0</v>
      </c>
      <c r="AG1551" s="45">
        <v>0</v>
      </c>
      <c r="AH1551" s="45">
        <v>0</v>
      </c>
      <c r="AI1551" s="45">
        <v>0</v>
      </c>
      <c r="AJ1551" s="45">
        <v>0</v>
      </c>
      <c r="AK1551" s="45">
        <v>0</v>
      </c>
      <c r="AL1551" s="45">
        <v>0</v>
      </c>
      <c r="AM1551" s="57" t="str">
        <f>I1551-J1551-K1551-L1551-M1551-N1551-O1551-P1551-Q1551-R1551-S1551-T1551-U1551-V1551-W1551-X1551-Y1551-Z1551-AA1551-AB1551-AC1551-AD1551-AE1551-AF1551-AG1551+AH1551-AI1551+AJ1551+AK1551-AL1551</f>
        <v>0</v>
      </c>
      <c r="AN1551" s="45"/>
    </row>
    <row r="1552" spans="1:41">
      <c r="A1552" s="45">
        <v>1524</v>
      </c>
      <c r="B1552" s="45" t="s">
        <v>5972</v>
      </c>
      <c r="C1552" s="49" t="s">
        <v>5973</v>
      </c>
      <c r="D1552" s="53" t="s">
        <v>73</v>
      </c>
      <c r="E1552" s="45" t="s">
        <v>5947</v>
      </c>
      <c r="F1552" s="45" t="s">
        <v>5974</v>
      </c>
      <c r="G1552" s="45">
        <v>2</v>
      </c>
      <c r="H1552" s="53" t="s">
        <v>5975</v>
      </c>
      <c r="I1552" s="45">
        <v>119000</v>
      </c>
      <c r="J1552" s="45">
        <v>0</v>
      </c>
      <c r="K1552" s="45">
        <v>22000</v>
      </c>
      <c r="L1552" s="45">
        <v>0</v>
      </c>
      <c r="M1552" s="45">
        <v>0</v>
      </c>
      <c r="N1552" s="45">
        <v>0</v>
      </c>
      <c r="O1552" s="45">
        <v>0</v>
      </c>
      <c r="P1552" s="45">
        <v>0</v>
      </c>
      <c r="Q1552" s="45">
        <v>0</v>
      </c>
      <c r="R1552" s="45">
        <v>0</v>
      </c>
      <c r="S1552" s="45">
        <v>0</v>
      </c>
      <c r="T1552" s="45">
        <v>0</v>
      </c>
      <c r="U1552" s="45">
        <v>1397</v>
      </c>
      <c r="V1552" s="45">
        <v>0</v>
      </c>
      <c r="W1552" s="45">
        <v>0</v>
      </c>
      <c r="X1552" s="45">
        <v>0</v>
      </c>
      <c r="Y1552" s="45">
        <v>0</v>
      </c>
      <c r="Z1552" s="45">
        <v>0</v>
      </c>
      <c r="AA1552" s="45">
        <v>0</v>
      </c>
      <c r="AB1552" s="45">
        <v>0</v>
      </c>
      <c r="AC1552" s="45">
        <v>0</v>
      </c>
      <c r="AD1552" s="45">
        <v>0</v>
      </c>
      <c r="AE1552" s="45">
        <v>0</v>
      </c>
      <c r="AF1552" s="45">
        <v>0</v>
      </c>
      <c r="AG1552" s="45">
        <v>0</v>
      </c>
      <c r="AH1552" s="45">
        <v>0</v>
      </c>
      <c r="AI1552" s="45">
        <v>0</v>
      </c>
      <c r="AJ1552" s="45">
        <v>0</v>
      </c>
      <c r="AK1552" s="45">
        <v>0</v>
      </c>
      <c r="AL1552" s="45">
        <v>0</v>
      </c>
      <c r="AM1552" s="57" t="str">
        <f>I1552-J1552-K1552-L1552-M1552-N1552-O1552-P1552-Q1552-R1552-S1552-T1552-U1552-V1552-W1552-X1552-Y1552-Z1552-AA1552-AB1552-AC1552-AD1552-AE1552-AF1552-AG1552+AH1552-AI1552+AJ1552+AK1552-AL1552</f>
        <v>0</v>
      </c>
      <c r="AN1552" s="45"/>
    </row>
    <row r="1553" spans="1:41">
      <c r="A1553" s="45">
        <v>1525</v>
      </c>
      <c r="B1553" s="45" t="s">
        <v>5976</v>
      </c>
      <c r="C1553" s="49" t="s">
        <v>5977</v>
      </c>
      <c r="D1553" s="53" t="s">
        <v>73</v>
      </c>
      <c r="E1553" s="45" t="s">
        <v>5947</v>
      </c>
      <c r="F1553" s="45" t="s">
        <v>5978</v>
      </c>
      <c r="G1553" s="45">
        <v>2</v>
      </c>
      <c r="H1553" s="53" t="s">
        <v>5979</v>
      </c>
      <c r="I1553" s="45">
        <v>99000</v>
      </c>
      <c r="J1553" s="45">
        <v>0</v>
      </c>
      <c r="K1553" s="45">
        <v>22000</v>
      </c>
      <c r="L1553" s="45">
        <v>0</v>
      </c>
      <c r="M1553" s="45">
        <v>0</v>
      </c>
      <c r="N1553" s="45">
        <v>0</v>
      </c>
      <c r="O1553" s="45">
        <v>0</v>
      </c>
      <c r="P1553" s="45">
        <v>0</v>
      </c>
      <c r="Q1553" s="45">
        <v>0</v>
      </c>
      <c r="R1553" s="45">
        <v>0</v>
      </c>
      <c r="S1553" s="45">
        <v>0</v>
      </c>
      <c r="T1553" s="45">
        <v>0</v>
      </c>
      <c r="U1553" s="45">
        <v>1397</v>
      </c>
      <c r="V1553" s="45">
        <v>0</v>
      </c>
      <c r="W1553" s="45">
        <v>0</v>
      </c>
      <c r="X1553" s="45">
        <v>0</v>
      </c>
      <c r="Y1553" s="45">
        <v>0</v>
      </c>
      <c r="Z1553" s="45">
        <v>0</v>
      </c>
      <c r="AA1553" s="45">
        <v>0</v>
      </c>
      <c r="AB1553" s="45">
        <v>0</v>
      </c>
      <c r="AC1553" s="45">
        <v>0</v>
      </c>
      <c r="AD1553" s="45">
        <v>0</v>
      </c>
      <c r="AE1553" s="45">
        <v>0</v>
      </c>
      <c r="AF1553" s="45">
        <v>0</v>
      </c>
      <c r="AG1553" s="45">
        <v>0</v>
      </c>
      <c r="AH1553" s="45">
        <v>0</v>
      </c>
      <c r="AI1553" s="45">
        <v>0</v>
      </c>
      <c r="AJ1553" s="45">
        <v>0</v>
      </c>
      <c r="AK1553" s="45">
        <v>0</v>
      </c>
      <c r="AL1553" s="45">
        <v>0</v>
      </c>
      <c r="AM1553" s="57" t="str">
        <f>I1553-J1553-K1553-L1553-M1553-N1553-O1553-P1553-Q1553-R1553-S1553-T1553-U1553-V1553-W1553-X1553-Y1553-Z1553-AA1553-AB1553-AC1553-AD1553-AE1553-AF1553-AG1553+AH1553-AI1553+AJ1553+AK1553-AL1553</f>
        <v>0</v>
      </c>
      <c r="AN1553" s="45"/>
    </row>
    <row r="1554" spans="1:41">
      <c r="A1554" s="45">
        <v>1526</v>
      </c>
      <c r="B1554" s="45" t="s">
        <v>5980</v>
      </c>
      <c r="C1554" s="49" t="s">
        <v>5981</v>
      </c>
      <c r="D1554" s="53" t="s">
        <v>73</v>
      </c>
      <c r="E1554" s="45" t="s">
        <v>5947</v>
      </c>
      <c r="F1554" s="45" t="s">
        <v>5982</v>
      </c>
      <c r="G1554" s="45">
        <v>7.8</v>
      </c>
      <c r="H1554" s="53" t="s">
        <v>5983</v>
      </c>
      <c r="I1554" s="45">
        <v>590000</v>
      </c>
      <c r="J1554" s="45">
        <v>0</v>
      </c>
      <c r="K1554" s="45">
        <v>39000</v>
      </c>
      <c r="L1554" s="45">
        <v>0</v>
      </c>
      <c r="M1554" s="45">
        <v>0</v>
      </c>
      <c r="N1554" s="45">
        <v>0</v>
      </c>
      <c r="O1554" s="45">
        <v>0</v>
      </c>
      <c r="P1554" s="45">
        <v>0</v>
      </c>
      <c r="Q1554" s="45">
        <v>0</v>
      </c>
      <c r="R1554" s="45">
        <v>0</v>
      </c>
      <c r="S1554" s="45">
        <v>0</v>
      </c>
      <c r="T1554" s="45">
        <v>0</v>
      </c>
      <c r="U1554" s="45">
        <v>2476</v>
      </c>
      <c r="V1554" s="45">
        <v>0</v>
      </c>
      <c r="W1554" s="45">
        <v>0</v>
      </c>
      <c r="X1554" s="45">
        <v>0</v>
      </c>
      <c r="Y1554" s="45">
        <v>0</v>
      </c>
      <c r="Z1554" s="45">
        <v>0</v>
      </c>
      <c r="AA1554" s="45">
        <v>0</v>
      </c>
      <c r="AB1554" s="45">
        <v>0</v>
      </c>
      <c r="AC1554" s="45">
        <v>0</v>
      </c>
      <c r="AD1554" s="45">
        <v>0</v>
      </c>
      <c r="AE1554" s="45">
        <v>0</v>
      </c>
      <c r="AF1554" s="45">
        <v>0</v>
      </c>
      <c r="AG1554" s="45">
        <v>0</v>
      </c>
      <c r="AH1554" s="45">
        <v>0</v>
      </c>
      <c r="AI1554" s="45">
        <v>0</v>
      </c>
      <c r="AJ1554" s="45">
        <v>0</v>
      </c>
      <c r="AK1554" s="45">
        <v>0</v>
      </c>
      <c r="AL1554" s="45">
        <v>0</v>
      </c>
      <c r="AM1554" s="57" t="str">
        <f>I1554-J1554-K1554-L1554-M1554-N1554-O1554-P1554-Q1554-R1554-S1554-T1554-U1554-V1554-W1554-X1554-Y1554-Z1554-AA1554-AB1554-AC1554-AD1554-AE1554-AF1554-AG1554+AH1554-AI1554+AJ1554+AK1554-AL1554</f>
        <v>0</v>
      </c>
      <c r="AN1554" s="45"/>
    </row>
    <row r="1555" spans="1:41">
      <c r="A1555" s="45">
        <v>1527</v>
      </c>
      <c r="B1555" s="45" t="s">
        <v>5984</v>
      </c>
      <c r="C1555" s="49" t="s">
        <v>5985</v>
      </c>
      <c r="D1555" s="53" t="s">
        <v>73</v>
      </c>
      <c r="E1555" s="45" t="s">
        <v>5947</v>
      </c>
      <c r="F1555" s="45" t="s">
        <v>5986</v>
      </c>
      <c r="G1555" s="45">
        <v>10</v>
      </c>
      <c r="H1555" s="53" t="s">
        <v>5987</v>
      </c>
      <c r="I1555" s="45">
        <v>2289000</v>
      </c>
      <c r="J1555" s="45">
        <v>0</v>
      </c>
      <c r="K1555" s="45">
        <v>40000</v>
      </c>
      <c r="L1555" s="45">
        <v>0</v>
      </c>
      <c r="M1555" s="45">
        <v>0</v>
      </c>
      <c r="N1555" s="45">
        <v>0</v>
      </c>
      <c r="O1555" s="45">
        <v>0</v>
      </c>
      <c r="P1555" s="45">
        <v>0</v>
      </c>
      <c r="Q1555" s="45">
        <v>0</v>
      </c>
      <c r="R1555" s="45">
        <v>0</v>
      </c>
      <c r="S1555" s="45">
        <v>0</v>
      </c>
      <c r="T1555" s="45">
        <v>0</v>
      </c>
      <c r="U1555" s="45">
        <v>2540</v>
      </c>
      <c r="V1555" s="45">
        <v>0</v>
      </c>
      <c r="W1555" s="45">
        <v>0</v>
      </c>
      <c r="X1555" s="45">
        <v>0</v>
      </c>
      <c r="Y1555" s="45">
        <v>0</v>
      </c>
      <c r="Z1555" s="45">
        <v>0</v>
      </c>
      <c r="AA1555" s="45">
        <v>0</v>
      </c>
      <c r="AB1555" s="45">
        <v>0</v>
      </c>
      <c r="AC1555" s="45">
        <v>0</v>
      </c>
      <c r="AD1555" s="45">
        <v>0</v>
      </c>
      <c r="AE1555" s="45">
        <v>0</v>
      </c>
      <c r="AF1555" s="45">
        <v>0</v>
      </c>
      <c r="AG1555" s="45">
        <v>0</v>
      </c>
      <c r="AH1555" s="45">
        <v>0</v>
      </c>
      <c r="AI1555" s="45">
        <v>0</v>
      </c>
      <c r="AJ1555" s="45">
        <v>0</v>
      </c>
      <c r="AK1555" s="45">
        <v>0</v>
      </c>
      <c r="AL1555" s="45">
        <v>0</v>
      </c>
      <c r="AM1555" s="57" t="str">
        <f>I1555-J1555-K1555-L1555-M1555-N1555-O1555-P1555-Q1555-R1555-S1555-T1555-U1555-V1555-W1555-X1555-Y1555-Z1555-AA1555-AB1555-AC1555-AD1555-AE1555-AF1555-AG1555+AH1555-AI1555+AJ1555+AK1555-AL1555</f>
        <v>0</v>
      </c>
      <c r="AN1555" s="45"/>
    </row>
    <row r="1556" spans="1:41">
      <c r="A1556" s="45">
        <v>1528</v>
      </c>
      <c r="B1556" s="45" t="s">
        <v>5988</v>
      </c>
      <c r="C1556" s="49" t="s">
        <v>5989</v>
      </c>
      <c r="D1556" s="53" t="s">
        <v>73</v>
      </c>
      <c r="E1556" s="45" t="s">
        <v>5947</v>
      </c>
      <c r="F1556" s="45" t="s">
        <v>5990</v>
      </c>
      <c r="G1556" s="45">
        <v>7.8</v>
      </c>
      <c r="H1556" s="53" t="s">
        <v>5991</v>
      </c>
      <c r="I1556" s="45">
        <v>590000</v>
      </c>
      <c r="J1556" s="45">
        <v>0</v>
      </c>
      <c r="K1556" s="45">
        <v>39000</v>
      </c>
      <c r="L1556" s="45">
        <v>0</v>
      </c>
      <c r="M1556" s="45">
        <v>0</v>
      </c>
      <c r="N1556" s="45">
        <v>0</v>
      </c>
      <c r="O1556" s="45">
        <v>0</v>
      </c>
      <c r="P1556" s="45">
        <v>0</v>
      </c>
      <c r="Q1556" s="45">
        <v>0</v>
      </c>
      <c r="R1556" s="45">
        <v>0</v>
      </c>
      <c r="S1556" s="45">
        <v>0</v>
      </c>
      <c r="T1556" s="45">
        <v>0</v>
      </c>
      <c r="U1556" s="45">
        <v>2476</v>
      </c>
      <c r="V1556" s="45">
        <v>0</v>
      </c>
      <c r="W1556" s="45">
        <v>0</v>
      </c>
      <c r="X1556" s="45">
        <v>0</v>
      </c>
      <c r="Y1556" s="45">
        <v>0</v>
      </c>
      <c r="Z1556" s="45">
        <v>0</v>
      </c>
      <c r="AA1556" s="45">
        <v>0</v>
      </c>
      <c r="AB1556" s="45">
        <v>0</v>
      </c>
      <c r="AC1556" s="45">
        <v>0</v>
      </c>
      <c r="AD1556" s="45">
        <v>0</v>
      </c>
      <c r="AE1556" s="45">
        <v>0</v>
      </c>
      <c r="AF1556" s="45">
        <v>0</v>
      </c>
      <c r="AG1556" s="45">
        <v>0</v>
      </c>
      <c r="AH1556" s="45">
        <v>0</v>
      </c>
      <c r="AI1556" s="45">
        <v>0</v>
      </c>
      <c r="AJ1556" s="45">
        <v>0</v>
      </c>
      <c r="AK1556" s="45">
        <v>0</v>
      </c>
      <c r="AL1556" s="45">
        <v>0</v>
      </c>
      <c r="AM1556" s="57" t="str">
        <f>I1556-J1556-K1556-L1556-M1556-N1556-O1556-P1556-Q1556-R1556-S1556-T1556-U1556-V1556-W1556-X1556-Y1556-Z1556-AA1556-AB1556-AC1556-AD1556-AE1556-AF1556-AG1556+AH1556-AI1556+AJ1556+AK1556-AL1556</f>
        <v>0</v>
      </c>
      <c r="AN1556" s="45"/>
    </row>
    <row r="1557" spans="1:41">
      <c r="A1557" s="45">
        <v>1529</v>
      </c>
      <c r="B1557" s="45" t="s">
        <v>5992</v>
      </c>
      <c r="C1557" s="49" t="s">
        <v>5993</v>
      </c>
      <c r="D1557" s="53" t="s">
        <v>73</v>
      </c>
      <c r="E1557" s="45" t="s">
        <v>5947</v>
      </c>
      <c r="F1557" s="45" t="s">
        <v>5994</v>
      </c>
      <c r="G1557" s="45">
        <v>4</v>
      </c>
      <c r="H1557" s="53" t="s">
        <v>5995</v>
      </c>
      <c r="I1557" s="45">
        <v>990000</v>
      </c>
      <c r="J1557" s="45">
        <v>0</v>
      </c>
      <c r="K1557" s="45">
        <v>25000</v>
      </c>
      <c r="L1557" s="45">
        <v>0</v>
      </c>
      <c r="M1557" s="45">
        <v>0</v>
      </c>
      <c r="N1557" s="45">
        <v>0</v>
      </c>
      <c r="O1557" s="45">
        <v>0</v>
      </c>
      <c r="P1557" s="45">
        <v>0</v>
      </c>
      <c r="Q1557" s="45">
        <v>0</v>
      </c>
      <c r="R1557" s="45">
        <v>0</v>
      </c>
      <c r="S1557" s="45">
        <v>0</v>
      </c>
      <c r="T1557" s="45">
        <v>0</v>
      </c>
      <c r="U1557" s="45">
        <v>1587</v>
      </c>
      <c r="V1557" s="45">
        <v>0</v>
      </c>
      <c r="W1557" s="45">
        <v>0</v>
      </c>
      <c r="X1557" s="45">
        <v>0</v>
      </c>
      <c r="Y1557" s="45">
        <v>0</v>
      </c>
      <c r="Z1557" s="45">
        <v>0</v>
      </c>
      <c r="AA1557" s="45">
        <v>0</v>
      </c>
      <c r="AB1557" s="45">
        <v>0</v>
      </c>
      <c r="AC1557" s="45">
        <v>0</v>
      </c>
      <c r="AD1557" s="45">
        <v>0</v>
      </c>
      <c r="AE1557" s="45">
        <v>0</v>
      </c>
      <c r="AF1557" s="45">
        <v>0</v>
      </c>
      <c r="AG1557" s="45">
        <v>0</v>
      </c>
      <c r="AH1557" s="45">
        <v>0</v>
      </c>
      <c r="AI1557" s="45">
        <v>0</v>
      </c>
      <c r="AJ1557" s="45">
        <v>0</v>
      </c>
      <c r="AK1557" s="45">
        <v>0</v>
      </c>
      <c r="AL1557" s="45">
        <v>0</v>
      </c>
      <c r="AM1557" s="57" t="str">
        <f>I1557-J1557-K1557-L1557-M1557-N1557-O1557-P1557-Q1557-R1557-S1557-T1557-U1557-V1557-W1557-X1557-Y1557-Z1557-AA1557-AB1557-AC1557-AD1557-AE1557-AF1557-AG1557+AH1557-AI1557+AJ1557+AK1557-AL1557</f>
        <v>0</v>
      </c>
      <c r="AN1557" s="45"/>
    </row>
    <row r="1558" spans="1:41">
      <c r="A1558" s="45">
        <v>1530</v>
      </c>
      <c r="B1558" s="45" t="s">
        <v>5996</v>
      </c>
      <c r="C1558" s="49" t="s">
        <v>5997</v>
      </c>
      <c r="D1558" s="53" t="s">
        <v>73</v>
      </c>
      <c r="E1558" s="45" t="s">
        <v>5947</v>
      </c>
      <c r="F1558" s="45" t="s">
        <v>5998</v>
      </c>
      <c r="G1558" s="45">
        <v>7.8</v>
      </c>
      <c r="H1558" s="53" t="s">
        <v>5999</v>
      </c>
      <c r="I1558" s="45">
        <v>590000</v>
      </c>
      <c r="J1558" s="45">
        <v>0</v>
      </c>
      <c r="K1558" s="45">
        <v>39000</v>
      </c>
      <c r="L1558" s="45">
        <v>0</v>
      </c>
      <c r="M1558" s="45">
        <v>0</v>
      </c>
      <c r="N1558" s="45">
        <v>0</v>
      </c>
      <c r="O1558" s="45">
        <v>0</v>
      </c>
      <c r="P1558" s="45">
        <v>0</v>
      </c>
      <c r="Q1558" s="45">
        <v>0</v>
      </c>
      <c r="R1558" s="45">
        <v>0</v>
      </c>
      <c r="S1558" s="45">
        <v>0</v>
      </c>
      <c r="T1558" s="45">
        <v>0</v>
      </c>
      <c r="U1558" s="45">
        <v>2476</v>
      </c>
      <c r="V1558" s="45">
        <v>0</v>
      </c>
      <c r="W1558" s="45">
        <v>0</v>
      </c>
      <c r="X1558" s="45">
        <v>0</v>
      </c>
      <c r="Y1558" s="45">
        <v>0</v>
      </c>
      <c r="Z1558" s="45">
        <v>0</v>
      </c>
      <c r="AA1558" s="45">
        <v>0</v>
      </c>
      <c r="AB1558" s="45">
        <v>0</v>
      </c>
      <c r="AC1558" s="45">
        <v>0</v>
      </c>
      <c r="AD1558" s="45">
        <v>0</v>
      </c>
      <c r="AE1558" s="45">
        <v>0</v>
      </c>
      <c r="AF1558" s="45">
        <v>0</v>
      </c>
      <c r="AG1558" s="45">
        <v>0</v>
      </c>
      <c r="AH1558" s="45">
        <v>0</v>
      </c>
      <c r="AI1558" s="45">
        <v>0</v>
      </c>
      <c r="AJ1558" s="45">
        <v>0</v>
      </c>
      <c r="AK1558" s="45">
        <v>0</v>
      </c>
      <c r="AL1558" s="45">
        <v>0</v>
      </c>
      <c r="AM1558" s="57" t="str">
        <f>I1558-J1558-K1558-L1558-M1558-N1558-O1558-P1558-Q1558-R1558-S1558-T1558-U1558-V1558-W1558-X1558-Y1558-Z1558-AA1558-AB1558-AC1558-AD1558-AE1558-AF1558-AG1558+AH1558-AI1558+AJ1558+AK1558-AL1558</f>
        <v>0</v>
      </c>
      <c r="AN1558" s="45"/>
    </row>
    <row r="1559" spans="1:41">
      <c r="A1559" s="45">
        <v>1531</v>
      </c>
      <c r="B1559" s="45" t="s">
        <v>6000</v>
      </c>
      <c r="C1559" s="49" t="s">
        <v>6001</v>
      </c>
      <c r="D1559" s="53" t="s">
        <v>73</v>
      </c>
      <c r="E1559" s="45" t="s">
        <v>5947</v>
      </c>
      <c r="F1559" s="45" t="s">
        <v>6002</v>
      </c>
      <c r="G1559" s="45">
        <v>7.8</v>
      </c>
      <c r="H1559" s="53" t="s">
        <v>6003</v>
      </c>
      <c r="I1559" s="45">
        <v>599000</v>
      </c>
      <c r="J1559" s="45">
        <v>0</v>
      </c>
      <c r="K1559" s="45">
        <v>39000</v>
      </c>
      <c r="L1559" s="45">
        <v>0</v>
      </c>
      <c r="M1559" s="45">
        <v>0</v>
      </c>
      <c r="N1559" s="45">
        <v>0</v>
      </c>
      <c r="O1559" s="45">
        <v>0</v>
      </c>
      <c r="P1559" s="45">
        <v>0</v>
      </c>
      <c r="Q1559" s="45">
        <v>0</v>
      </c>
      <c r="R1559" s="45">
        <v>0</v>
      </c>
      <c r="S1559" s="45">
        <v>0</v>
      </c>
      <c r="T1559" s="45">
        <v>0</v>
      </c>
      <c r="U1559" s="45">
        <v>2476</v>
      </c>
      <c r="V1559" s="45">
        <v>0</v>
      </c>
      <c r="W1559" s="45">
        <v>0</v>
      </c>
      <c r="X1559" s="45">
        <v>0</v>
      </c>
      <c r="Y1559" s="45">
        <v>0</v>
      </c>
      <c r="Z1559" s="45">
        <v>0</v>
      </c>
      <c r="AA1559" s="45">
        <v>0</v>
      </c>
      <c r="AB1559" s="45">
        <v>0</v>
      </c>
      <c r="AC1559" s="45">
        <v>0</v>
      </c>
      <c r="AD1559" s="45">
        <v>0</v>
      </c>
      <c r="AE1559" s="45">
        <v>0</v>
      </c>
      <c r="AF1559" s="45">
        <v>0</v>
      </c>
      <c r="AG1559" s="45">
        <v>0</v>
      </c>
      <c r="AH1559" s="45">
        <v>0</v>
      </c>
      <c r="AI1559" s="45">
        <v>0</v>
      </c>
      <c r="AJ1559" s="45">
        <v>0</v>
      </c>
      <c r="AK1559" s="45">
        <v>0</v>
      </c>
      <c r="AL1559" s="45">
        <v>0</v>
      </c>
      <c r="AM1559" s="57" t="str">
        <f>I1559-J1559-K1559-L1559-M1559-N1559-O1559-P1559-Q1559-R1559-S1559-T1559-U1559-V1559-W1559-X1559-Y1559-Z1559-AA1559-AB1559-AC1559-AD1559-AE1559-AF1559-AG1559+AH1559-AI1559+AJ1559+AK1559-AL1559</f>
        <v>0</v>
      </c>
      <c r="AN1559" s="45"/>
    </row>
    <row r="1560" spans="1:41">
      <c r="A1560" s="45">
        <v>1532</v>
      </c>
      <c r="B1560" s="45" t="s">
        <v>6004</v>
      </c>
      <c r="C1560" s="49" t="s">
        <v>6005</v>
      </c>
      <c r="D1560" s="53" t="s">
        <v>73</v>
      </c>
      <c r="E1560" s="45" t="s">
        <v>5947</v>
      </c>
      <c r="F1560" s="45" t="s">
        <v>6006</v>
      </c>
      <c r="G1560" s="45">
        <v>4</v>
      </c>
      <c r="H1560" s="53" t="s">
        <v>6007</v>
      </c>
      <c r="I1560" s="45">
        <v>890000</v>
      </c>
      <c r="J1560" s="45">
        <v>0</v>
      </c>
      <c r="K1560" s="45">
        <v>25000</v>
      </c>
      <c r="L1560" s="45">
        <v>0</v>
      </c>
      <c r="M1560" s="45">
        <v>0</v>
      </c>
      <c r="N1560" s="45">
        <v>0</v>
      </c>
      <c r="O1560" s="45">
        <v>0</v>
      </c>
      <c r="P1560" s="45">
        <v>0</v>
      </c>
      <c r="Q1560" s="45">
        <v>0</v>
      </c>
      <c r="R1560" s="45">
        <v>0</v>
      </c>
      <c r="S1560" s="45">
        <v>0</v>
      </c>
      <c r="T1560" s="45">
        <v>0</v>
      </c>
      <c r="U1560" s="45">
        <v>1587</v>
      </c>
      <c r="V1560" s="45">
        <v>0</v>
      </c>
      <c r="W1560" s="45">
        <v>0</v>
      </c>
      <c r="X1560" s="45">
        <v>0</v>
      </c>
      <c r="Y1560" s="45">
        <v>0</v>
      </c>
      <c r="Z1560" s="45">
        <v>0</v>
      </c>
      <c r="AA1560" s="45">
        <v>0</v>
      </c>
      <c r="AB1560" s="45">
        <v>0</v>
      </c>
      <c r="AC1560" s="45">
        <v>0</v>
      </c>
      <c r="AD1560" s="45">
        <v>0</v>
      </c>
      <c r="AE1560" s="45">
        <v>0</v>
      </c>
      <c r="AF1560" s="45">
        <v>0</v>
      </c>
      <c r="AG1560" s="45">
        <v>0</v>
      </c>
      <c r="AH1560" s="45">
        <v>0</v>
      </c>
      <c r="AI1560" s="45">
        <v>0</v>
      </c>
      <c r="AJ1560" s="45">
        <v>0</v>
      </c>
      <c r="AK1560" s="45">
        <v>0</v>
      </c>
      <c r="AL1560" s="45">
        <v>0</v>
      </c>
      <c r="AM1560" s="57" t="str">
        <f>I1560-J1560-K1560-L1560-M1560-N1560-O1560-P1560-Q1560-R1560-S1560-T1560-U1560-V1560-W1560-X1560-Y1560-Z1560-AA1560-AB1560-AC1560-AD1560-AE1560-AF1560-AG1560+AH1560-AI1560+AJ1560+AK1560-AL1560</f>
        <v>0</v>
      </c>
      <c r="AN1560" s="45"/>
    </row>
    <row r="1561" spans="1:41">
      <c r="A1561" s="45">
        <v>1533</v>
      </c>
      <c r="B1561" s="45" t="s">
        <v>6008</v>
      </c>
      <c r="C1561" s="49" t="s">
        <v>6009</v>
      </c>
      <c r="D1561" s="53" t="s">
        <v>73</v>
      </c>
      <c r="E1561" s="45" t="s">
        <v>5947</v>
      </c>
      <c r="F1561" s="45" t="s">
        <v>6010</v>
      </c>
      <c r="G1561" s="45">
        <v>5</v>
      </c>
      <c r="H1561" s="53" t="s">
        <v>6011</v>
      </c>
      <c r="I1561" s="45">
        <v>750000</v>
      </c>
      <c r="J1561" s="45">
        <v>0</v>
      </c>
      <c r="K1561" s="45">
        <v>27000</v>
      </c>
      <c r="L1561" s="45">
        <v>0</v>
      </c>
      <c r="M1561" s="45">
        <v>0</v>
      </c>
      <c r="N1561" s="45">
        <v>0</v>
      </c>
      <c r="O1561" s="45">
        <v>0</v>
      </c>
      <c r="P1561" s="45">
        <v>0</v>
      </c>
      <c r="Q1561" s="45">
        <v>0</v>
      </c>
      <c r="R1561" s="45">
        <v>0</v>
      </c>
      <c r="S1561" s="45">
        <v>0</v>
      </c>
      <c r="T1561" s="45">
        <v>0</v>
      </c>
      <c r="U1561" s="45">
        <v>1714</v>
      </c>
      <c r="V1561" s="45">
        <v>0</v>
      </c>
      <c r="W1561" s="45">
        <v>0</v>
      </c>
      <c r="X1561" s="45">
        <v>0</v>
      </c>
      <c r="Y1561" s="45">
        <v>0</v>
      </c>
      <c r="Z1561" s="45">
        <v>0</v>
      </c>
      <c r="AA1561" s="45">
        <v>0</v>
      </c>
      <c r="AB1561" s="45">
        <v>0</v>
      </c>
      <c r="AC1561" s="45">
        <v>0</v>
      </c>
      <c r="AD1561" s="45">
        <v>0</v>
      </c>
      <c r="AE1561" s="45">
        <v>0</v>
      </c>
      <c r="AF1561" s="45">
        <v>0</v>
      </c>
      <c r="AG1561" s="45">
        <v>0</v>
      </c>
      <c r="AH1561" s="45">
        <v>0</v>
      </c>
      <c r="AI1561" s="45">
        <v>0</v>
      </c>
      <c r="AJ1561" s="45">
        <v>0</v>
      </c>
      <c r="AK1561" s="45">
        <v>0</v>
      </c>
      <c r="AL1561" s="45">
        <v>0</v>
      </c>
      <c r="AM1561" s="57" t="str">
        <f>I1561-J1561-K1561-L1561-M1561-N1561-O1561-P1561-Q1561-R1561-S1561-T1561-U1561-V1561-W1561-X1561-Y1561-Z1561-AA1561-AB1561-AC1561-AD1561-AE1561-AF1561-AG1561+AH1561-AI1561+AJ1561+AK1561-AL1561</f>
        <v>0</v>
      </c>
      <c r="AN1561" s="45"/>
    </row>
    <row r="1562" spans="1:41">
      <c r="A1562" s="45">
        <v>1534</v>
      </c>
      <c r="B1562" s="45" t="s">
        <v>6012</v>
      </c>
      <c r="C1562" s="49" t="s">
        <v>6013</v>
      </c>
      <c r="D1562" s="53" t="s">
        <v>73</v>
      </c>
      <c r="E1562" s="45" t="s">
        <v>5947</v>
      </c>
      <c r="F1562" s="45" t="s">
        <v>6014</v>
      </c>
      <c r="G1562" s="45">
        <v>2</v>
      </c>
      <c r="H1562" s="53" t="s">
        <v>6015</v>
      </c>
      <c r="I1562" s="45">
        <v>199000</v>
      </c>
      <c r="J1562" s="45">
        <v>0</v>
      </c>
      <c r="K1562" s="45">
        <v>22000</v>
      </c>
      <c r="L1562" s="45">
        <v>0</v>
      </c>
      <c r="M1562" s="45">
        <v>0</v>
      </c>
      <c r="N1562" s="45">
        <v>0</v>
      </c>
      <c r="O1562" s="45">
        <v>0</v>
      </c>
      <c r="P1562" s="45">
        <v>0</v>
      </c>
      <c r="Q1562" s="45">
        <v>0</v>
      </c>
      <c r="R1562" s="45">
        <v>0</v>
      </c>
      <c r="S1562" s="45">
        <v>0</v>
      </c>
      <c r="T1562" s="45">
        <v>0</v>
      </c>
      <c r="U1562" s="45">
        <v>1397</v>
      </c>
      <c r="V1562" s="45">
        <v>0</v>
      </c>
      <c r="W1562" s="45">
        <v>0</v>
      </c>
      <c r="X1562" s="45">
        <v>0</v>
      </c>
      <c r="Y1562" s="45">
        <v>0</v>
      </c>
      <c r="Z1562" s="45">
        <v>0</v>
      </c>
      <c r="AA1562" s="45">
        <v>0</v>
      </c>
      <c r="AB1562" s="45">
        <v>0</v>
      </c>
      <c r="AC1562" s="45">
        <v>0</v>
      </c>
      <c r="AD1562" s="45">
        <v>0</v>
      </c>
      <c r="AE1562" s="45">
        <v>0</v>
      </c>
      <c r="AF1562" s="45">
        <v>0</v>
      </c>
      <c r="AG1562" s="45">
        <v>0</v>
      </c>
      <c r="AH1562" s="45">
        <v>0</v>
      </c>
      <c r="AI1562" s="45">
        <v>0</v>
      </c>
      <c r="AJ1562" s="45">
        <v>0</v>
      </c>
      <c r="AK1562" s="45">
        <v>0</v>
      </c>
      <c r="AL1562" s="45">
        <v>0</v>
      </c>
      <c r="AM1562" s="57" t="str">
        <f>I1562-J1562-K1562-L1562-M1562-N1562-O1562-P1562-Q1562-R1562-S1562-T1562-U1562-V1562-W1562-X1562-Y1562-Z1562-AA1562-AB1562-AC1562-AD1562-AE1562-AF1562-AG1562+AH1562-AI1562+AJ1562+AK1562-AL1562</f>
        <v>0</v>
      </c>
      <c r="AN1562" s="45"/>
    </row>
    <row r="1563" spans="1:41">
      <c r="A1563" s="45">
        <v>1535</v>
      </c>
      <c r="B1563" s="45" t="s">
        <v>6016</v>
      </c>
      <c r="C1563" s="49" t="s">
        <v>6017</v>
      </c>
      <c r="D1563" s="53" t="s">
        <v>73</v>
      </c>
      <c r="E1563" s="45" t="s">
        <v>5947</v>
      </c>
      <c r="F1563" s="45" t="s">
        <v>6018</v>
      </c>
      <c r="G1563" s="45">
        <v>3</v>
      </c>
      <c r="H1563" s="53" t="s">
        <v>6019</v>
      </c>
      <c r="I1563" s="45">
        <v>590000</v>
      </c>
      <c r="J1563" s="45">
        <v>0</v>
      </c>
      <c r="K1563" s="45">
        <v>22000</v>
      </c>
      <c r="L1563" s="45">
        <v>0</v>
      </c>
      <c r="M1563" s="45">
        <v>0</v>
      </c>
      <c r="N1563" s="45">
        <v>0</v>
      </c>
      <c r="O1563" s="45">
        <v>0</v>
      </c>
      <c r="P1563" s="45">
        <v>0</v>
      </c>
      <c r="Q1563" s="45">
        <v>0</v>
      </c>
      <c r="R1563" s="45">
        <v>0</v>
      </c>
      <c r="S1563" s="45">
        <v>0</v>
      </c>
      <c r="T1563" s="45">
        <v>0</v>
      </c>
      <c r="U1563" s="45">
        <v>1397</v>
      </c>
      <c r="V1563" s="45">
        <v>0</v>
      </c>
      <c r="W1563" s="45">
        <v>0</v>
      </c>
      <c r="X1563" s="45">
        <v>0</v>
      </c>
      <c r="Y1563" s="45">
        <v>0</v>
      </c>
      <c r="Z1563" s="45">
        <v>0</v>
      </c>
      <c r="AA1563" s="45">
        <v>0</v>
      </c>
      <c r="AB1563" s="45">
        <v>0</v>
      </c>
      <c r="AC1563" s="45">
        <v>0</v>
      </c>
      <c r="AD1563" s="45">
        <v>0</v>
      </c>
      <c r="AE1563" s="45">
        <v>0</v>
      </c>
      <c r="AF1563" s="45">
        <v>0</v>
      </c>
      <c r="AG1563" s="45">
        <v>0</v>
      </c>
      <c r="AH1563" s="45">
        <v>0</v>
      </c>
      <c r="AI1563" s="45">
        <v>0</v>
      </c>
      <c r="AJ1563" s="45">
        <v>0</v>
      </c>
      <c r="AK1563" s="45">
        <v>0</v>
      </c>
      <c r="AL1563" s="45">
        <v>0</v>
      </c>
      <c r="AM1563" s="57" t="str">
        <f>I1563-J1563-K1563-L1563-M1563-N1563-O1563-P1563-Q1563-R1563-S1563-T1563-U1563-V1563-W1563-X1563-Y1563-Z1563-AA1563-AB1563-AC1563-AD1563-AE1563-AF1563-AG1563+AH1563-AI1563+AJ1563+AK1563-AL1563</f>
        <v>0</v>
      </c>
      <c r="AN1563" s="45"/>
    </row>
    <row r="1564" spans="1:41">
      <c r="A1564" s="45">
        <v>1536</v>
      </c>
      <c r="B1564" s="45" t="s">
        <v>6020</v>
      </c>
      <c r="C1564" s="49" t="s">
        <v>6021</v>
      </c>
      <c r="D1564" s="53" t="s">
        <v>73</v>
      </c>
      <c r="E1564" s="45" t="s">
        <v>5947</v>
      </c>
      <c r="F1564" s="45" t="s">
        <v>3885</v>
      </c>
      <c r="G1564" s="45">
        <v>7.8</v>
      </c>
      <c r="H1564" s="53" t="s">
        <v>6022</v>
      </c>
      <c r="I1564" s="45">
        <v>590000</v>
      </c>
      <c r="J1564" s="45">
        <v>0</v>
      </c>
      <c r="K1564" s="45">
        <v>39000</v>
      </c>
      <c r="L1564" s="45">
        <v>0</v>
      </c>
      <c r="M1564" s="45">
        <v>0</v>
      </c>
      <c r="N1564" s="45">
        <v>0</v>
      </c>
      <c r="O1564" s="45">
        <v>0</v>
      </c>
      <c r="P1564" s="45">
        <v>0</v>
      </c>
      <c r="Q1564" s="45">
        <v>0</v>
      </c>
      <c r="R1564" s="45">
        <v>0</v>
      </c>
      <c r="S1564" s="45">
        <v>0</v>
      </c>
      <c r="T1564" s="45">
        <v>0</v>
      </c>
      <c r="U1564" s="45">
        <v>2476</v>
      </c>
      <c r="V1564" s="45">
        <v>0</v>
      </c>
      <c r="W1564" s="45">
        <v>0</v>
      </c>
      <c r="X1564" s="45">
        <v>0</v>
      </c>
      <c r="Y1564" s="45">
        <v>0</v>
      </c>
      <c r="Z1564" s="45">
        <v>0</v>
      </c>
      <c r="AA1564" s="45">
        <v>0</v>
      </c>
      <c r="AB1564" s="45">
        <v>0</v>
      </c>
      <c r="AC1564" s="45">
        <v>0</v>
      </c>
      <c r="AD1564" s="45">
        <v>0</v>
      </c>
      <c r="AE1564" s="45">
        <v>0</v>
      </c>
      <c r="AF1564" s="45">
        <v>0</v>
      </c>
      <c r="AG1564" s="45">
        <v>0</v>
      </c>
      <c r="AH1564" s="45">
        <v>0</v>
      </c>
      <c r="AI1564" s="45">
        <v>0</v>
      </c>
      <c r="AJ1564" s="45">
        <v>0</v>
      </c>
      <c r="AK1564" s="45">
        <v>0</v>
      </c>
      <c r="AL1564" s="45">
        <v>0</v>
      </c>
      <c r="AM1564" s="57" t="str">
        <f>I1564-J1564-K1564-L1564-M1564-N1564-O1564-P1564-Q1564-R1564-S1564-T1564-U1564-V1564-W1564-X1564-Y1564-Z1564-AA1564-AB1564-AC1564-AD1564-AE1564-AF1564-AG1564+AH1564-AI1564+AJ1564+AK1564-AL1564</f>
        <v>0</v>
      </c>
      <c r="AN1564" s="45"/>
    </row>
    <row r="1565" spans="1:41">
      <c r="A1565" s="45">
        <v>1537</v>
      </c>
      <c r="B1565" s="45" t="s">
        <v>6023</v>
      </c>
      <c r="C1565" s="49" t="s">
        <v>6024</v>
      </c>
      <c r="D1565" s="53" t="s">
        <v>73</v>
      </c>
      <c r="E1565" s="45" t="s">
        <v>5947</v>
      </c>
      <c r="F1565" s="45" t="s">
        <v>6025</v>
      </c>
      <c r="G1565" s="45">
        <v>5.6</v>
      </c>
      <c r="H1565" s="53" t="s">
        <v>6026</v>
      </c>
      <c r="I1565" s="45">
        <v>890000</v>
      </c>
      <c r="J1565" s="45">
        <v>0</v>
      </c>
      <c r="K1565" s="45">
        <v>31000</v>
      </c>
      <c r="L1565" s="45">
        <v>0</v>
      </c>
      <c r="M1565" s="45">
        <v>0</v>
      </c>
      <c r="N1565" s="45">
        <v>0</v>
      </c>
      <c r="O1565" s="45">
        <v>0</v>
      </c>
      <c r="P1565" s="45">
        <v>0</v>
      </c>
      <c r="Q1565" s="45">
        <v>0</v>
      </c>
      <c r="R1565" s="45">
        <v>0</v>
      </c>
      <c r="S1565" s="45">
        <v>0</v>
      </c>
      <c r="T1565" s="45">
        <v>0</v>
      </c>
      <c r="U1565" s="45">
        <v>1968</v>
      </c>
      <c r="V1565" s="45">
        <v>0</v>
      </c>
      <c r="W1565" s="45">
        <v>0</v>
      </c>
      <c r="X1565" s="45">
        <v>0</v>
      </c>
      <c r="Y1565" s="45">
        <v>0</v>
      </c>
      <c r="Z1565" s="45">
        <v>0</v>
      </c>
      <c r="AA1565" s="45">
        <v>0</v>
      </c>
      <c r="AB1565" s="45">
        <v>0</v>
      </c>
      <c r="AC1565" s="45">
        <v>0</v>
      </c>
      <c r="AD1565" s="45">
        <v>0</v>
      </c>
      <c r="AE1565" s="45">
        <v>0</v>
      </c>
      <c r="AF1565" s="45">
        <v>0</v>
      </c>
      <c r="AG1565" s="45">
        <v>0</v>
      </c>
      <c r="AH1565" s="45">
        <v>0</v>
      </c>
      <c r="AI1565" s="45">
        <v>0</v>
      </c>
      <c r="AJ1565" s="45">
        <v>0</v>
      </c>
      <c r="AK1565" s="45">
        <v>0</v>
      </c>
      <c r="AL1565" s="45">
        <v>0</v>
      </c>
      <c r="AM1565" s="57" t="str">
        <f>I1565-J1565-K1565-L1565-M1565-N1565-O1565-P1565-Q1565-R1565-S1565-T1565-U1565-V1565-W1565-X1565-Y1565-Z1565-AA1565-AB1565-AC1565-AD1565-AE1565-AF1565-AG1565+AH1565-AI1565+AJ1565+AK1565-AL1565</f>
        <v>0</v>
      </c>
      <c r="AN1565" s="45"/>
    </row>
    <row r="1566" spans="1:41">
      <c r="A1566" s="45">
        <v>1538</v>
      </c>
      <c r="B1566" s="45" t="s">
        <v>6027</v>
      </c>
      <c r="C1566" s="49" t="s">
        <v>6028</v>
      </c>
      <c r="D1566" s="53" t="s">
        <v>73</v>
      </c>
      <c r="E1566" s="45" t="s">
        <v>6029</v>
      </c>
      <c r="F1566" s="45" t="s">
        <v>6030</v>
      </c>
      <c r="G1566" s="45">
        <v>4</v>
      </c>
      <c r="H1566" s="53" t="s">
        <v>6031</v>
      </c>
      <c r="I1566" s="45">
        <v>248000</v>
      </c>
      <c r="J1566" s="45">
        <v>0</v>
      </c>
      <c r="K1566" s="45">
        <v>25000</v>
      </c>
      <c r="L1566" s="45">
        <v>0</v>
      </c>
      <c r="M1566" s="45">
        <v>0</v>
      </c>
      <c r="N1566" s="45">
        <v>0</v>
      </c>
      <c r="O1566" s="45">
        <v>0</v>
      </c>
      <c r="P1566" s="45">
        <v>0</v>
      </c>
      <c r="Q1566" s="45">
        <v>0</v>
      </c>
      <c r="R1566" s="45">
        <v>0</v>
      </c>
      <c r="S1566" s="45">
        <v>0</v>
      </c>
      <c r="T1566" s="45">
        <v>0</v>
      </c>
      <c r="U1566" s="45">
        <v>1587</v>
      </c>
      <c r="V1566" s="45">
        <v>0</v>
      </c>
      <c r="W1566" s="45">
        <v>0</v>
      </c>
      <c r="X1566" s="45">
        <v>0</v>
      </c>
      <c r="Y1566" s="45">
        <v>0</v>
      </c>
      <c r="Z1566" s="45">
        <v>0</v>
      </c>
      <c r="AA1566" s="45">
        <v>0</v>
      </c>
      <c r="AB1566" s="45">
        <v>0</v>
      </c>
      <c r="AC1566" s="45">
        <v>0</v>
      </c>
      <c r="AD1566" s="45">
        <v>0</v>
      </c>
      <c r="AE1566" s="45">
        <v>0</v>
      </c>
      <c r="AF1566" s="45">
        <v>0</v>
      </c>
      <c r="AG1566" s="45">
        <v>0</v>
      </c>
      <c r="AH1566" s="45">
        <v>0</v>
      </c>
      <c r="AI1566" s="45">
        <v>0</v>
      </c>
      <c r="AJ1566" s="45">
        <v>0</v>
      </c>
      <c r="AK1566" s="45">
        <v>0</v>
      </c>
      <c r="AL1566" s="45">
        <v>0</v>
      </c>
      <c r="AM1566" s="57" t="str">
        <f>I1566-J1566-K1566-L1566-M1566-N1566-O1566-P1566-Q1566-R1566-S1566-T1566-U1566-V1566-W1566-X1566-Y1566-Z1566-AA1566-AB1566-AC1566-AD1566-AE1566-AF1566-AG1566+AH1566-AI1566+AJ1566+AK1566-AL1566</f>
        <v>0</v>
      </c>
      <c r="AN1566" s="45"/>
    </row>
    <row r="1567" spans="1:41">
      <c r="A1567" s="45">
        <v>1539</v>
      </c>
      <c r="B1567" s="45" t="s">
        <v>6032</v>
      </c>
      <c r="C1567" s="49" t="s">
        <v>6033</v>
      </c>
      <c r="D1567" s="53" t="s">
        <v>73</v>
      </c>
      <c r="E1567" s="45" t="s">
        <v>6029</v>
      </c>
      <c r="F1567" s="45" t="s">
        <v>4231</v>
      </c>
      <c r="G1567" s="45">
        <v>4</v>
      </c>
      <c r="H1567" s="53" t="s">
        <v>6034</v>
      </c>
      <c r="I1567" s="45">
        <v>990000</v>
      </c>
      <c r="J1567" s="45">
        <v>0</v>
      </c>
      <c r="K1567" s="45">
        <v>25000</v>
      </c>
      <c r="L1567" s="45">
        <v>0</v>
      </c>
      <c r="M1567" s="45">
        <v>0</v>
      </c>
      <c r="N1567" s="45">
        <v>0</v>
      </c>
      <c r="O1567" s="45">
        <v>0</v>
      </c>
      <c r="P1567" s="45">
        <v>0</v>
      </c>
      <c r="Q1567" s="45">
        <v>0</v>
      </c>
      <c r="R1567" s="45">
        <v>0</v>
      </c>
      <c r="S1567" s="45">
        <v>0</v>
      </c>
      <c r="T1567" s="45">
        <v>0</v>
      </c>
      <c r="U1567" s="45">
        <v>1587</v>
      </c>
      <c r="V1567" s="45">
        <v>0</v>
      </c>
      <c r="W1567" s="45">
        <v>0</v>
      </c>
      <c r="X1567" s="45">
        <v>0</v>
      </c>
      <c r="Y1567" s="45">
        <v>0</v>
      </c>
      <c r="Z1567" s="45">
        <v>0</v>
      </c>
      <c r="AA1567" s="45">
        <v>0</v>
      </c>
      <c r="AB1567" s="45">
        <v>0</v>
      </c>
      <c r="AC1567" s="45">
        <v>0</v>
      </c>
      <c r="AD1567" s="45">
        <v>0</v>
      </c>
      <c r="AE1567" s="45">
        <v>0</v>
      </c>
      <c r="AF1567" s="45">
        <v>0</v>
      </c>
      <c r="AG1567" s="45">
        <v>0</v>
      </c>
      <c r="AH1567" s="45">
        <v>0</v>
      </c>
      <c r="AI1567" s="45">
        <v>0</v>
      </c>
      <c r="AJ1567" s="45">
        <v>0</v>
      </c>
      <c r="AK1567" s="45">
        <v>0</v>
      </c>
      <c r="AL1567" s="45">
        <v>0</v>
      </c>
      <c r="AM1567" s="57" t="str">
        <f>I1567-J1567-K1567-L1567-M1567-N1567-O1567-P1567-Q1567-R1567-S1567-T1567-U1567-V1567-W1567-X1567-Y1567-Z1567-AA1567-AB1567-AC1567-AD1567-AE1567-AF1567-AG1567+AH1567-AI1567+AJ1567+AK1567-AL1567</f>
        <v>0</v>
      </c>
      <c r="AN1567" s="45"/>
    </row>
    <row r="1568" spans="1:41">
      <c r="A1568" s="45">
        <v>1540</v>
      </c>
      <c r="B1568" s="45" t="s">
        <v>6035</v>
      </c>
      <c r="C1568" s="49" t="s">
        <v>6036</v>
      </c>
      <c r="D1568" s="53" t="s">
        <v>73</v>
      </c>
      <c r="E1568" s="45" t="s">
        <v>6029</v>
      </c>
      <c r="F1568" s="45" t="s">
        <v>6037</v>
      </c>
      <c r="G1568" s="45">
        <v>11</v>
      </c>
      <c r="H1568" s="53" t="s">
        <v>6038</v>
      </c>
      <c r="I1568" s="45">
        <v>1409000</v>
      </c>
      <c r="J1568" s="45">
        <v>0</v>
      </c>
      <c r="K1568" s="45">
        <v>44000</v>
      </c>
      <c r="L1568" s="45">
        <v>0</v>
      </c>
      <c r="M1568" s="45">
        <v>0</v>
      </c>
      <c r="N1568" s="45">
        <v>0</v>
      </c>
      <c r="O1568" s="45">
        <v>0</v>
      </c>
      <c r="P1568" s="45">
        <v>0</v>
      </c>
      <c r="Q1568" s="45">
        <v>0</v>
      </c>
      <c r="R1568" s="45">
        <v>0</v>
      </c>
      <c r="S1568" s="45">
        <v>0</v>
      </c>
      <c r="T1568" s="45">
        <v>0</v>
      </c>
      <c r="U1568" s="45">
        <v>2794</v>
      </c>
      <c r="V1568" s="45">
        <v>0</v>
      </c>
      <c r="W1568" s="45">
        <v>0</v>
      </c>
      <c r="X1568" s="45">
        <v>0</v>
      </c>
      <c r="Y1568" s="45">
        <v>0</v>
      </c>
      <c r="Z1568" s="45">
        <v>0</v>
      </c>
      <c r="AA1568" s="45">
        <v>0</v>
      </c>
      <c r="AB1568" s="45">
        <v>0</v>
      </c>
      <c r="AC1568" s="45">
        <v>0</v>
      </c>
      <c r="AD1568" s="45">
        <v>0</v>
      </c>
      <c r="AE1568" s="45">
        <v>0</v>
      </c>
      <c r="AF1568" s="45">
        <v>0</v>
      </c>
      <c r="AG1568" s="45">
        <v>0</v>
      </c>
      <c r="AH1568" s="45">
        <v>0</v>
      </c>
      <c r="AI1568" s="45">
        <v>0</v>
      </c>
      <c r="AJ1568" s="45">
        <v>0</v>
      </c>
      <c r="AK1568" s="45">
        <v>0</v>
      </c>
      <c r="AL1568" s="45">
        <v>0</v>
      </c>
      <c r="AM1568" s="57" t="str">
        <f>I1568-J1568-K1568-L1568-M1568-N1568-O1568-P1568-Q1568-R1568-S1568-T1568-U1568-V1568-W1568-X1568-Y1568-Z1568-AA1568-AB1568-AC1568-AD1568-AE1568-AF1568-AG1568+AH1568-AI1568+AJ1568+AK1568-AL1568</f>
        <v>0</v>
      </c>
      <c r="AN1568" s="45"/>
    </row>
    <row r="1569" spans="1:41">
      <c r="A1569" s="45">
        <v>1541</v>
      </c>
      <c r="B1569" s="45" t="s">
        <v>6039</v>
      </c>
      <c r="C1569" s="49" t="s">
        <v>6040</v>
      </c>
      <c r="D1569" s="53" t="s">
        <v>73</v>
      </c>
      <c r="E1569" s="45" t="s">
        <v>6029</v>
      </c>
      <c r="F1569" s="45" t="s">
        <v>4672</v>
      </c>
      <c r="G1569" s="45">
        <v>7</v>
      </c>
      <c r="H1569" s="53" t="s">
        <v>6041</v>
      </c>
      <c r="I1569" s="45">
        <v>847000</v>
      </c>
      <c r="J1569" s="45">
        <v>0</v>
      </c>
      <c r="K1569" s="45">
        <v>35000</v>
      </c>
      <c r="L1569" s="45">
        <v>0</v>
      </c>
      <c r="M1569" s="45">
        <v>0</v>
      </c>
      <c r="N1569" s="45">
        <v>0</v>
      </c>
      <c r="O1569" s="45">
        <v>0</v>
      </c>
      <c r="P1569" s="45">
        <v>0</v>
      </c>
      <c r="Q1569" s="45">
        <v>0</v>
      </c>
      <c r="R1569" s="45">
        <v>0</v>
      </c>
      <c r="S1569" s="45">
        <v>0</v>
      </c>
      <c r="T1569" s="45">
        <v>0</v>
      </c>
      <c r="U1569" s="45">
        <v>2222</v>
      </c>
      <c r="V1569" s="45">
        <v>0</v>
      </c>
      <c r="W1569" s="45">
        <v>0</v>
      </c>
      <c r="X1569" s="45">
        <v>0</v>
      </c>
      <c r="Y1569" s="45">
        <v>0</v>
      </c>
      <c r="Z1569" s="45">
        <v>0</v>
      </c>
      <c r="AA1569" s="45">
        <v>0</v>
      </c>
      <c r="AB1569" s="45">
        <v>0</v>
      </c>
      <c r="AC1569" s="45">
        <v>0</v>
      </c>
      <c r="AD1569" s="45">
        <v>0</v>
      </c>
      <c r="AE1569" s="45">
        <v>0</v>
      </c>
      <c r="AF1569" s="45">
        <v>0</v>
      </c>
      <c r="AG1569" s="45">
        <v>0</v>
      </c>
      <c r="AH1569" s="45">
        <v>0</v>
      </c>
      <c r="AI1569" s="45">
        <v>0</v>
      </c>
      <c r="AJ1569" s="45">
        <v>0</v>
      </c>
      <c r="AK1569" s="45">
        <v>0</v>
      </c>
      <c r="AL1569" s="45">
        <v>0</v>
      </c>
      <c r="AM1569" s="57" t="str">
        <f>I1569-J1569-K1569-L1569-M1569-N1569-O1569-P1569-Q1569-R1569-S1569-T1569-U1569-V1569-W1569-X1569-Y1569-Z1569-AA1569-AB1569-AC1569-AD1569-AE1569-AF1569-AG1569+AH1569-AI1569+AJ1569+AK1569-AL1569</f>
        <v>0</v>
      </c>
      <c r="AN1569" s="45"/>
    </row>
    <row r="1570" spans="1:41">
      <c r="A1570" s="45">
        <v>1542</v>
      </c>
      <c r="B1570" s="45" t="s">
        <v>6042</v>
      </c>
      <c r="C1570" s="49" t="s">
        <v>6043</v>
      </c>
      <c r="D1570" s="53" t="s">
        <v>73</v>
      </c>
      <c r="E1570" s="45" t="s">
        <v>6029</v>
      </c>
      <c r="F1570" s="45" t="s">
        <v>6044</v>
      </c>
      <c r="G1570" s="45">
        <v>5</v>
      </c>
      <c r="H1570" s="53" t="s">
        <v>6045</v>
      </c>
      <c r="I1570" s="45">
        <v>750000</v>
      </c>
      <c r="J1570" s="45">
        <v>0</v>
      </c>
      <c r="K1570" s="45">
        <v>27000</v>
      </c>
      <c r="L1570" s="45">
        <v>0</v>
      </c>
      <c r="M1570" s="45">
        <v>0</v>
      </c>
      <c r="N1570" s="45">
        <v>0</v>
      </c>
      <c r="O1570" s="45">
        <v>0</v>
      </c>
      <c r="P1570" s="45">
        <v>0</v>
      </c>
      <c r="Q1570" s="45">
        <v>0</v>
      </c>
      <c r="R1570" s="45">
        <v>0</v>
      </c>
      <c r="S1570" s="45">
        <v>0</v>
      </c>
      <c r="T1570" s="45">
        <v>0</v>
      </c>
      <c r="U1570" s="45">
        <v>1714</v>
      </c>
      <c r="V1570" s="45">
        <v>0</v>
      </c>
      <c r="W1570" s="45">
        <v>0</v>
      </c>
      <c r="X1570" s="45">
        <v>0</v>
      </c>
      <c r="Y1570" s="45">
        <v>0</v>
      </c>
      <c r="Z1570" s="45">
        <v>0</v>
      </c>
      <c r="AA1570" s="45">
        <v>0</v>
      </c>
      <c r="AB1570" s="45">
        <v>0</v>
      </c>
      <c r="AC1570" s="45">
        <v>0</v>
      </c>
      <c r="AD1570" s="45">
        <v>0</v>
      </c>
      <c r="AE1570" s="45">
        <v>0</v>
      </c>
      <c r="AF1570" s="45">
        <v>0</v>
      </c>
      <c r="AG1570" s="45">
        <v>0</v>
      </c>
      <c r="AH1570" s="45">
        <v>0</v>
      </c>
      <c r="AI1570" s="45">
        <v>0</v>
      </c>
      <c r="AJ1570" s="45">
        <v>0</v>
      </c>
      <c r="AK1570" s="45">
        <v>0</v>
      </c>
      <c r="AL1570" s="45">
        <v>0</v>
      </c>
      <c r="AM1570" s="57" t="str">
        <f>I1570-J1570-K1570-L1570-M1570-N1570-O1570-P1570-Q1570-R1570-S1570-T1570-U1570-V1570-W1570-X1570-Y1570-Z1570-AA1570-AB1570-AC1570-AD1570-AE1570-AF1570-AG1570+AH1570-AI1570+AJ1570+AK1570-AL1570</f>
        <v>0</v>
      </c>
      <c r="AN1570" s="45"/>
    </row>
    <row r="1571" spans="1:41">
      <c r="A1571" s="45">
        <v>1543</v>
      </c>
      <c r="B1571" s="45" t="s">
        <v>6046</v>
      </c>
      <c r="C1571" s="49" t="s">
        <v>6047</v>
      </c>
      <c r="D1571" s="53" t="s">
        <v>73</v>
      </c>
      <c r="E1571" s="45" t="s">
        <v>6029</v>
      </c>
      <c r="F1571" s="45" t="s">
        <v>6048</v>
      </c>
      <c r="G1571" s="45">
        <v>8</v>
      </c>
      <c r="H1571" s="53" t="s">
        <v>6049</v>
      </c>
      <c r="I1571" s="45">
        <v>1190000</v>
      </c>
      <c r="J1571" s="45">
        <v>0</v>
      </c>
      <c r="K1571" s="45">
        <v>39000</v>
      </c>
      <c r="L1571" s="45">
        <v>0</v>
      </c>
      <c r="M1571" s="45">
        <v>0</v>
      </c>
      <c r="N1571" s="45">
        <v>0</v>
      </c>
      <c r="O1571" s="45">
        <v>0</v>
      </c>
      <c r="P1571" s="45">
        <v>0</v>
      </c>
      <c r="Q1571" s="45">
        <v>0</v>
      </c>
      <c r="R1571" s="45">
        <v>0</v>
      </c>
      <c r="S1571" s="45">
        <v>0</v>
      </c>
      <c r="T1571" s="45">
        <v>0</v>
      </c>
      <c r="U1571" s="45">
        <v>2476</v>
      </c>
      <c r="V1571" s="45">
        <v>0</v>
      </c>
      <c r="W1571" s="45">
        <v>0</v>
      </c>
      <c r="X1571" s="45">
        <v>0</v>
      </c>
      <c r="Y1571" s="45">
        <v>0</v>
      </c>
      <c r="Z1571" s="45">
        <v>0</v>
      </c>
      <c r="AA1571" s="45">
        <v>0</v>
      </c>
      <c r="AB1571" s="45">
        <v>0</v>
      </c>
      <c r="AC1571" s="45">
        <v>0</v>
      </c>
      <c r="AD1571" s="45">
        <v>0</v>
      </c>
      <c r="AE1571" s="45">
        <v>0</v>
      </c>
      <c r="AF1571" s="45">
        <v>0</v>
      </c>
      <c r="AG1571" s="45">
        <v>0</v>
      </c>
      <c r="AH1571" s="45">
        <v>0</v>
      </c>
      <c r="AI1571" s="45">
        <v>0</v>
      </c>
      <c r="AJ1571" s="45">
        <v>0</v>
      </c>
      <c r="AK1571" s="45">
        <v>0</v>
      </c>
      <c r="AL1571" s="45">
        <v>0</v>
      </c>
      <c r="AM1571" s="57" t="str">
        <f>I1571-J1571-K1571-L1571-M1571-N1571-O1571-P1571-Q1571-R1571-S1571-T1571-U1571-V1571-W1571-X1571-Y1571-Z1571-AA1571-AB1571-AC1571-AD1571-AE1571-AF1571-AG1571+AH1571-AI1571+AJ1571+AK1571-AL1571</f>
        <v>0</v>
      </c>
      <c r="AN1571" s="45"/>
    </row>
    <row r="1572" spans="1:41">
      <c r="A1572" s="45">
        <v>1544</v>
      </c>
      <c r="B1572" s="45" t="s">
        <v>6050</v>
      </c>
      <c r="C1572" s="49" t="s">
        <v>6051</v>
      </c>
      <c r="D1572" s="53" t="s">
        <v>73</v>
      </c>
      <c r="E1572" s="45" t="s">
        <v>6029</v>
      </c>
      <c r="F1572" s="45" t="s">
        <v>4038</v>
      </c>
      <c r="G1572" s="45">
        <v>7</v>
      </c>
      <c r="H1572" s="53" t="s">
        <v>6052</v>
      </c>
      <c r="I1572" s="45">
        <v>1490000</v>
      </c>
      <c r="J1572" s="45">
        <v>0</v>
      </c>
      <c r="K1572" s="45">
        <v>35000</v>
      </c>
      <c r="L1572" s="45">
        <v>0</v>
      </c>
      <c r="M1572" s="45">
        <v>0</v>
      </c>
      <c r="N1572" s="45">
        <v>0</v>
      </c>
      <c r="O1572" s="45">
        <v>0</v>
      </c>
      <c r="P1572" s="45">
        <v>0</v>
      </c>
      <c r="Q1572" s="45">
        <v>0</v>
      </c>
      <c r="R1572" s="45">
        <v>0</v>
      </c>
      <c r="S1572" s="45">
        <v>0</v>
      </c>
      <c r="T1572" s="45">
        <v>0</v>
      </c>
      <c r="U1572" s="45">
        <v>2222</v>
      </c>
      <c r="V1572" s="45">
        <v>0</v>
      </c>
      <c r="W1572" s="45">
        <v>0</v>
      </c>
      <c r="X1572" s="45">
        <v>0</v>
      </c>
      <c r="Y1572" s="45">
        <v>0</v>
      </c>
      <c r="Z1572" s="45">
        <v>0</v>
      </c>
      <c r="AA1572" s="45">
        <v>0</v>
      </c>
      <c r="AB1572" s="45">
        <v>0</v>
      </c>
      <c r="AC1572" s="45">
        <v>0</v>
      </c>
      <c r="AD1572" s="45">
        <v>0</v>
      </c>
      <c r="AE1572" s="45">
        <v>0</v>
      </c>
      <c r="AF1572" s="45">
        <v>0</v>
      </c>
      <c r="AG1572" s="45">
        <v>0</v>
      </c>
      <c r="AH1572" s="45">
        <v>0</v>
      </c>
      <c r="AI1572" s="45">
        <v>0</v>
      </c>
      <c r="AJ1572" s="45">
        <v>0</v>
      </c>
      <c r="AK1572" s="45">
        <v>0</v>
      </c>
      <c r="AL1572" s="45">
        <v>0</v>
      </c>
      <c r="AM1572" s="57" t="str">
        <f>I1572-J1572-K1572-L1572-M1572-N1572-O1572-P1572-Q1572-R1572-S1572-T1572-U1572-V1572-W1572-X1572-Y1572-Z1572-AA1572-AB1572-AC1572-AD1572-AE1572-AF1572-AG1572+AH1572-AI1572+AJ1572+AK1572-AL1572</f>
        <v>0</v>
      </c>
      <c r="AN1572" s="45"/>
    </row>
    <row r="1573" spans="1:41">
      <c r="A1573" s="45">
        <v>1545</v>
      </c>
      <c r="B1573" s="45" t="s">
        <v>6053</v>
      </c>
      <c r="C1573" s="49" t="s">
        <v>6054</v>
      </c>
      <c r="D1573" s="53" t="s">
        <v>73</v>
      </c>
      <c r="E1573" s="45" t="s">
        <v>6029</v>
      </c>
      <c r="F1573" s="45" t="s">
        <v>720</v>
      </c>
      <c r="G1573" s="45">
        <v>3</v>
      </c>
      <c r="H1573" s="53" t="s">
        <v>6055</v>
      </c>
      <c r="I1573" s="45">
        <v>399000</v>
      </c>
      <c r="J1573" s="45">
        <v>0</v>
      </c>
      <c r="K1573" s="45">
        <v>22000</v>
      </c>
      <c r="L1573" s="45">
        <v>0</v>
      </c>
      <c r="M1573" s="45">
        <v>0</v>
      </c>
      <c r="N1573" s="45">
        <v>0</v>
      </c>
      <c r="O1573" s="45">
        <v>0</v>
      </c>
      <c r="P1573" s="45">
        <v>0</v>
      </c>
      <c r="Q1573" s="45">
        <v>0</v>
      </c>
      <c r="R1573" s="45">
        <v>0</v>
      </c>
      <c r="S1573" s="45">
        <v>0</v>
      </c>
      <c r="T1573" s="45">
        <v>0</v>
      </c>
      <c r="U1573" s="45">
        <v>1397</v>
      </c>
      <c r="V1573" s="45">
        <v>0</v>
      </c>
      <c r="W1573" s="45">
        <v>0</v>
      </c>
      <c r="X1573" s="45">
        <v>0</v>
      </c>
      <c r="Y1573" s="45">
        <v>0</v>
      </c>
      <c r="Z1573" s="45">
        <v>0</v>
      </c>
      <c r="AA1573" s="45">
        <v>0</v>
      </c>
      <c r="AB1573" s="45">
        <v>0</v>
      </c>
      <c r="AC1573" s="45">
        <v>0</v>
      </c>
      <c r="AD1573" s="45">
        <v>0</v>
      </c>
      <c r="AE1573" s="45">
        <v>0</v>
      </c>
      <c r="AF1573" s="45">
        <v>0</v>
      </c>
      <c r="AG1573" s="45">
        <v>0</v>
      </c>
      <c r="AH1573" s="45">
        <v>0</v>
      </c>
      <c r="AI1573" s="45">
        <v>0</v>
      </c>
      <c r="AJ1573" s="45">
        <v>0</v>
      </c>
      <c r="AK1573" s="45">
        <v>0</v>
      </c>
      <c r="AL1573" s="45">
        <v>0</v>
      </c>
      <c r="AM1573" s="57" t="str">
        <f>I1573-J1573-K1573-L1573-M1573-N1573-O1573-P1573-Q1573-R1573-S1573-T1573-U1573-V1573-W1573-X1573-Y1573-Z1573-AA1573-AB1573-AC1573-AD1573-AE1573-AF1573-AG1573+AH1573-AI1573+AJ1573+AK1573-AL1573</f>
        <v>0</v>
      </c>
      <c r="AN1573" s="45"/>
    </row>
    <row r="1574" spans="1:41">
      <c r="A1574" s="45">
        <v>1546</v>
      </c>
      <c r="B1574" s="45" t="s">
        <v>6056</v>
      </c>
      <c r="C1574" s="49" t="s">
        <v>6057</v>
      </c>
      <c r="D1574" s="53" t="s">
        <v>73</v>
      </c>
      <c r="E1574" s="45" t="s">
        <v>6029</v>
      </c>
      <c r="F1574" s="45" t="s">
        <v>5680</v>
      </c>
      <c r="G1574" s="45">
        <v>3</v>
      </c>
      <c r="H1574" s="53" t="s">
        <v>6058</v>
      </c>
      <c r="I1574" s="45">
        <v>799000</v>
      </c>
      <c r="J1574" s="45">
        <v>0</v>
      </c>
      <c r="K1574" s="45">
        <v>22000</v>
      </c>
      <c r="L1574" s="45">
        <v>0</v>
      </c>
      <c r="M1574" s="45">
        <v>0</v>
      </c>
      <c r="N1574" s="45">
        <v>0</v>
      </c>
      <c r="O1574" s="45">
        <v>0</v>
      </c>
      <c r="P1574" s="45">
        <v>0</v>
      </c>
      <c r="Q1574" s="45">
        <v>0</v>
      </c>
      <c r="R1574" s="45">
        <v>0</v>
      </c>
      <c r="S1574" s="45">
        <v>0</v>
      </c>
      <c r="T1574" s="45">
        <v>0</v>
      </c>
      <c r="U1574" s="45">
        <v>1397</v>
      </c>
      <c r="V1574" s="45">
        <v>0</v>
      </c>
      <c r="W1574" s="45">
        <v>0</v>
      </c>
      <c r="X1574" s="45">
        <v>0</v>
      </c>
      <c r="Y1574" s="45">
        <v>0</v>
      </c>
      <c r="Z1574" s="45">
        <v>0</v>
      </c>
      <c r="AA1574" s="45">
        <v>0</v>
      </c>
      <c r="AB1574" s="45">
        <v>0</v>
      </c>
      <c r="AC1574" s="45">
        <v>0</v>
      </c>
      <c r="AD1574" s="45">
        <v>0</v>
      </c>
      <c r="AE1574" s="45">
        <v>0</v>
      </c>
      <c r="AF1574" s="45">
        <v>0</v>
      </c>
      <c r="AG1574" s="45">
        <v>0</v>
      </c>
      <c r="AH1574" s="45">
        <v>0</v>
      </c>
      <c r="AI1574" s="45">
        <v>0</v>
      </c>
      <c r="AJ1574" s="45">
        <v>0</v>
      </c>
      <c r="AK1574" s="45">
        <v>0</v>
      </c>
      <c r="AL1574" s="45">
        <v>0</v>
      </c>
      <c r="AM1574" s="57" t="str">
        <f>I1574-J1574-K1574-L1574-M1574-N1574-O1574-P1574-Q1574-R1574-S1574-T1574-U1574-V1574-W1574-X1574-Y1574-Z1574-AA1574-AB1574-AC1574-AD1574-AE1574-AF1574-AG1574+AH1574-AI1574+AJ1574+AK1574-AL1574</f>
        <v>0</v>
      </c>
      <c r="AN1574" s="45"/>
    </row>
    <row r="1575" spans="1:41">
      <c r="A1575" s="45">
        <v>1547</v>
      </c>
      <c r="B1575" s="45" t="s">
        <v>6059</v>
      </c>
      <c r="C1575" s="49" t="s">
        <v>6060</v>
      </c>
      <c r="D1575" s="53" t="s">
        <v>73</v>
      </c>
      <c r="E1575" s="45" t="s">
        <v>6029</v>
      </c>
      <c r="F1575" s="45" t="s">
        <v>6061</v>
      </c>
      <c r="G1575" s="45">
        <v>2</v>
      </c>
      <c r="H1575" s="53" t="s">
        <v>6062</v>
      </c>
      <c r="I1575" s="45">
        <v>99000</v>
      </c>
      <c r="J1575" s="45">
        <v>0</v>
      </c>
      <c r="K1575" s="45">
        <v>22000</v>
      </c>
      <c r="L1575" s="45">
        <v>0</v>
      </c>
      <c r="M1575" s="45">
        <v>0</v>
      </c>
      <c r="N1575" s="45">
        <v>0</v>
      </c>
      <c r="O1575" s="45">
        <v>0</v>
      </c>
      <c r="P1575" s="45">
        <v>0</v>
      </c>
      <c r="Q1575" s="45">
        <v>0</v>
      </c>
      <c r="R1575" s="45">
        <v>0</v>
      </c>
      <c r="S1575" s="45">
        <v>0</v>
      </c>
      <c r="T1575" s="45">
        <v>0</v>
      </c>
      <c r="U1575" s="45">
        <v>1397</v>
      </c>
      <c r="V1575" s="45">
        <v>0</v>
      </c>
      <c r="W1575" s="45">
        <v>0</v>
      </c>
      <c r="X1575" s="45">
        <v>0</v>
      </c>
      <c r="Y1575" s="45">
        <v>0</v>
      </c>
      <c r="Z1575" s="45">
        <v>0</v>
      </c>
      <c r="AA1575" s="45">
        <v>0</v>
      </c>
      <c r="AB1575" s="45">
        <v>0</v>
      </c>
      <c r="AC1575" s="45">
        <v>0</v>
      </c>
      <c r="AD1575" s="45">
        <v>0</v>
      </c>
      <c r="AE1575" s="45">
        <v>0</v>
      </c>
      <c r="AF1575" s="45">
        <v>0</v>
      </c>
      <c r="AG1575" s="45">
        <v>0</v>
      </c>
      <c r="AH1575" s="45">
        <v>0</v>
      </c>
      <c r="AI1575" s="45">
        <v>0</v>
      </c>
      <c r="AJ1575" s="45">
        <v>0</v>
      </c>
      <c r="AK1575" s="45">
        <v>0</v>
      </c>
      <c r="AL1575" s="45">
        <v>0</v>
      </c>
      <c r="AM1575" s="57" t="str">
        <f>I1575-J1575-K1575-L1575-M1575-N1575-O1575-P1575-Q1575-R1575-S1575-T1575-U1575-V1575-W1575-X1575-Y1575-Z1575-AA1575-AB1575-AC1575-AD1575-AE1575-AF1575-AG1575+AH1575-AI1575+AJ1575+AK1575-AL1575</f>
        <v>0</v>
      </c>
      <c r="AN1575" s="45"/>
    </row>
    <row r="1576" spans="1:41">
      <c r="A1576" s="45">
        <v>1548</v>
      </c>
      <c r="B1576" s="45" t="s">
        <v>6063</v>
      </c>
      <c r="C1576" s="49" t="s">
        <v>6064</v>
      </c>
      <c r="D1576" s="53" t="s">
        <v>73</v>
      </c>
      <c r="E1576" s="45" t="s">
        <v>6029</v>
      </c>
      <c r="F1576" s="45" t="s">
        <v>6065</v>
      </c>
      <c r="G1576" s="45">
        <v>7</v>
      </c>
      <c r="H1576" s="53" t="s">
        <v>6066</v>
      </c>
      <c r="I1576" s="45">
        <v>2064000</v>
      </c>
      <c r="J1576" s="45">
        <v>0</v>
      </c>
      <c r="K1576" s="45">
        <v>35000</v>
      </c>
      <c r="L1576" s="45">
        <v>0</v>
      </c>
      <c r="M1576" s="45">
        <v>0</v>
      </c>
      <c r="N1576" s="45">
        <v>0</v>
      </c>
      <c r="O1576" s="45">
        <v>0</v>
      </c>
      <c r="P1576" s="45">
        <v>0</v>
      </c>
      <c r="Q1576" s="45">
        <v>0</v>
      </c>
      <c r="R1576" s="45">
        <v>0</v>
      </c>
      <c r="S1576" s="45">
        <v>0</v>
      </c>
      <c r="T1576" s="45">
        <v>0</v>
      </c>
      <c r="U1576" s="45">
        <v>2222</v>
      </c>
      <c r="V1576" s="45">
        <v>0</v>
      </c>
      <c r="W1576" s="45">
        <v>0</v>
      </c>
      <c r="X1576" s="45">
        <v>0</v>
      </c>
      <c r="Y1576" s="45">
        <v>0</v>
      </c>
      <c r="Z1576" s="45">
        <v>0</v>
      </c>
      <c r="AA1576" s="45">
        <v>0</v>
      </c>
      <c r="AB1576" s="45">
        <v>0</v>
      </c>
      <c r="AC1576" s="45">
        <v>0</v>
      </c>
      <c r="AD1576" s="45">
        <v>0</v>
      </c>
      <c r="AE1576" s="45">
        <v>0</v>
      </c>
      <c r="AF1576" s="45">
        <v>0</v>
      </c>
      <c r="AG1576" s="45">
        <v>0</v>
      </c>
      <c r="AH1576" s="45">
        <v>0</v>
      </c>
      <c r="AI1576" s="45">
        <v>0</v>
      </c>
      <c r="AJ1576" s="45">
        <v>0</v>
      </c>
      <c r="AK1576" s="45">
        <v>0</v>
      </c>
      <c r="AL1576" s="45">
        <v>0</v>
      </c>
      <c r="AM1576" s="57" t="str">
        <f>I1576-J1576-K1576-L1576-M1576-N1576-O1576-P1576-Q1576-R1576-S1576-T1576-U1576-V1576-W1576-X1576-Y1576-Z1576-AA1576-AB1576-AC1576-AD1576-AE1576-AF1576-AG1576+AH1576-AI1576+AJ1576+AK1576-AL1576</f>
        <v>0</v>
      </c>
      <c r="AN1576" s="45"/>
    </row>
    <row r="1577" spans="1:41">
      <c r="A1577" s="45">
        <v>1549</v>
      </c>
      <c r="B1577" s="45" t="s">
        <v>6067</v>
      </c>
      <c r="C1577" s="49" t="s">
        <v>6068</v>
      </c>
      <c r="D1577" s="53" t="s">
        <v>73</v>
      </c>
      <c r="E1577" s="45" t="s">
        <v>6029</v>
      </c>
      <c r="F1577" s="45" t="s">
        <v>6069</v>
      </c>
      <c r="G1577" s="45">
        <v>13</v>
      </c>
      <c r="H1577" s="53" t="s">
        <v>6070</v>
      </c>
      <c r="I1577" s="45">
        <v>3008000</v>
      </c>
      <c r="J1577" s="45">
        <v>15040</v>
      </c>
      <c r="K1577" s="45">
        <v>52000</v>
      </c>
      <c r="L1577" s="45">
        <v>0</v>
      </c>
      <c r="M1577" s="45">
        <v>0</v>
      </c>
      <c r="N1577" s="45">
        <v>0</v>
      </c>
      <c r="O1577" s="45">
        <v>0</v>
      </c>
      <c r="P1577" s="45">
        <v>0</v>
      </c>
      <c r="Q1577" s="45">
        <v>0</v>
      </c>
      <c r="R1577" s="45">
        <v>0</v>
      </c>
      <c r="S1577" s="45">
        <v>0</v>
      </c>
      <c r="T1577" s="45">
        <v>0</v>
      </c>
      <c r="U1577" s="45">
        <v>3302</v>
      </c>
      <c r="V1577" s="45">
        <v>0</v>
      </c>
      <c r="W1577" s="45">
        <v>0</v>
      </c>
      <c r="X1577" s="45">
        <v>0</v>
      </c>
      <c r="Y1577" s="45">
        <v>0</v>
      </c>
      <c r="Z1577" s="45">
        <v>0</v>
      </c>
      <c r="AA1577" s="45">
        <v>0</v>
      </c>
      <c r="AB1577" s="45">
        <v>0</v>
      </c>
      <c r="AC1577" s="45">
        <v>0</v>
      </c>
      <c r="AD1577" s="45">
        <v>0</v>
      </c>
      <c r="AE1577" s="45">
        <v>0</v>
      </c>
      <c r="AF1577" s="45">
        <v>0</v>
      </c>
      <c r="AG1577" s="45">
        <v>0</v>
      </c>
      <c r="AH1577" s="45">
        <v>0</v>
      </c>
      <c r="AI1577" s="45">
        <v>0</v>
      </c>
      <c r="AJ1577" s="45">
        <v>0</v>
      </c>
      <c r="AK1577" s="45">
        <v>0</v>
      </c>
      <c r="AL1577" s="45">
        <v>0</v>
      </c>
      <c r="AM1577" s="57" t="str">
        <f>I1577-J1577-K1577-L1577-M1577-N1577-O1577-P1577-Q1577-R1577-S1577-T1577-U1577-V1577-W1577-X1577-Y1577-Z1577-AA1577-AB1577-AC1577-AD1577-AE1577-AF1577-AG1577+AH1577-AI1577+AJ1577+AK1577-AL1577</f>
        <v>0</v>
      </c>
      <c r="AN1577" s="45"/>
    </row>
    <row r="1578" spans="1:41">
      <c r="A1578" s="45">
        <v>1550</v>
      </c>
      <c r="B1578" s="45" t="s">
        <v>6071</v>
      </c>
      <c r="C1578" s="49" t="s">
        <v>6072</v>
      </c>
      <c r="D1578" s="53" t="s">
        <v>73</v>
      </c>
      <c r="E1578" s="45" t="s">
        <v>6029</v>
      </c>
      <c r="F1578" s="45" t="s">
        <v>2531</v>
      </c>
      <c r="G1578" s="45">
        <v>3</v>
      </c>
      <c r="H1578" s="53" t="s">
        <v>6073</v>
      </c>
      <c r="I1578" s="45">
        <v>560000</v>
      </c>
      <c r="J1578" s="45">
        <v>0</v>
      </c>
      <c r="K1578" s="45">
        <v>22000</v>
      </c>
      <c r="L1578" s="45">
        <v>0</v>
      </c>
      <c r="M1578" s="45">
        <v>0</v>
      </c>
      <c r="N1578" s="45">
        <v>0</v>
      </c>
      <c r="O1578" s="45">
        <v>0</v>
      </c>
      <c r="P1578" s="45">
        <v>0</v>
      </c>
      <c r="Q1578" s="45">
        <v>0</v>
      </c>
      <c r="R1578" s="45">
        <v>0</v>
      </c>
      <c r="S1578" s="45">
        <v>0</v>
      </c>
      <c r="T1578" s="45">
        <v>0</v>
      </c>
      <c r="U1578" s="45">
        <v>1397</v>
      </c>
      <c r="V1578" s="45">
        <v>0</v>
      </c>
      <c r="W1578" s="45">
        <v>0</v>
      </c>
      <c r="X1578" s="45">
        <v>0</v>
      </c>
      <c r="Y1578" s="45">
        <v>0</v>
      </c>
      <c r="Z1578" s="45">
        <v>0</v>
      </c>
      <c r="AA1578" s="45">
        <v>0</v>
      </c>
      <c r="AB1578" s="45">
        <v>0</v>
      </c>
      <c r="AC1578" s="45">
        <v>0</v>
      </c>
      <c r="AD1578" s="45">
        <v>0</v>
      </c>
      <c r="AE1578" s="45">
        <v>0</v>
      </c>
      <c r="AF1578" s="45">
        <v>0</v>
      </c>
      <c r="AG1578" s="45">
        <v>0</v>
      </c>
      <c r="AH1578" s="45">
        <v>0</v>
      </c>
      <c r="AI1578" s="45">
        <v>0</v>
      </c>
      <c r="AJ1578" s="45">
        <v>0</v>
      </c>
      <c r="AK1578" s="45">
        <v>0</v>
      </c>
      <c r="AL1578" s="45">
        <v>0</v>
      </c>
      <c r="AM1578" s="57" t="str">
        <f>I1578-J1578-K1578-L1578-M1578-N1578-O1578-P1578-Q1578-R1578-S1578-T1578-U1578-V1578-W1578-X1578-Y1578-Z1578-AA1578-AB1578-AC1578-AD1578-AE1578-AF1578-AG1578+AH1578-AI1578+AJ1578+AK1578-AL1578</f>
        <v>0</v>
      </c>
      <c r="AN1578" s="45"/>
    </row>
    <row r="1579" spans="1:41">
      <c r="A1579" s="45">
        <v>1551</v>
      </c>
      <c r="B1579" s="45" t="s">
        <v>6074</v>
      </c>
      <c r="C1579" s="49" t="s">
        <v>6075</v>
      </c>
      <c r="D1579" s="53" t="s">
        <v>73</v>
      </c>
      <c r="E1579" s="45" t="s">
        <v>6029</v>
      </c>
      <c r="F1579" s="45" t="s">
        <v>970</v>
      </c>
      <c r="G1579" s="45">
        <v>5.8</v>
      </c>
      <c r="H1579" s="53" t="s">
        <v>6076</v>
      </c>
      <c r="I1579" s="45">
        <v>634000</v>
      </c>
      <c r="J1579" s="45">
        <v>0</v>
      </c>
      <c r="K1579" s="45">
        <v>31000</v>
      </c>
      <c r="L1579" s="45">
        <v>0</v>
      </c>
      <c r="M1579" s="45">
        <v>0</v>
      </c>
      <c r="N1579" s="45">
        <v>0</v>
      </c>
      <c r="O1579" s="45">
        <v>0</v>
      </c>
      <c r="P1579" s="45">
        <v>0</v>
      </c>
      <c r="Q1579" s="45">
        <v>0</v>
      </c>
      <c r="R1579" s="45">
        <v>0</v>
      </c>
      <c r="S1579" s="45">
        <v>0</v>
      </c>
      <c r="T1579" s="45">
        <v>0</v>
      </c>
      <c r="U1579" s="45">
        <v>1968</v>
      </c>
      <c r="V1579" s="45">
        <v>0</v>
      </c>
      <c r="W1579" s="45">
        <v>0</v>
      </c>
      <c r="X1579" s="45">
        <v>0</v>
      </c>
      <c r="Y1579" s="45">
        <v>0</v>
      </c>
      <c r="Z1579" s="45">
        <v>0</v>
      </c>
      <c r="AA1579" s="45">
        <v>0</v>
      </c>
      <c r="AB1579" s="45">
        <v>0</v>
      </c>
      <c r="AC1579" s="45">
        <v>0</v>
      </c>
      <c r="AD1579" s="45">
        <v>0</v>
      </c>
      <c r="AE1579" s="45">
        <v>0</v>
      </c>
      <c r="AF1579" s="45">
        <v>0</v>
      </c>
      <c r="AG1579" s="45">
        <v>0</v>
      </c>
      <c r="AH1579" s="45">
        <v>0</v>
      </c>
      <c r="AI1579" s="45">
        <v>0</v>
      </c>
      <c r="AJ1579" s="45">
        <v>0</v>
      </c>
      <c r="AK1579" s="45">
        <v>0</v>
      </c>
      <c r="AL1579" s="45">
        <v>0</v>
      </c>
      <c r="AM1579" s="57" t="str">
        <f>I1579-J1579-K1579-L1579-M1579-N1579-O1579-P1579-Q1579-R1579-S1579-T1579-U1579-V1579-W1579-X1579-Y1579-Z1579-AA1579-AB1579-AC1579-AD1579-AE1579-AF1579-AG1579+AH1579-AI1579+AJ1579+AK1579-AL1579</f>
        <v>0</v>
      </c>
      <c r="AN1579" s="45"/>
    </row>
    <row r="1580" spans="1:41">
      <c r="A1580" s="45">
        <v>1552</v>
      </c>
      <c r="B1580" s="45" t="s">
        <v>6077</v>
      </c>
      <c r="C1580" s="49" t="s">
        <v>6078</v>
      </c>
      <c r="D1580" s="53" t="s">
        <v>73</v>
      </c>
      <c r="E1580" s="45" t="s">
        <v>6079</v>
      </c>
      <c r="F1580" s="45" t="s">
        <v>5609</v>
      </c>
      <c r="G1580" s="45">
        <v>3</v>
      </c>
      <c r="H1580" s="53" t="s">
        <v>6080</v>
      </c>
      <c r="I1580" s="45">
        <v>219000</v>
      </c>
      <c r="J1580" s="45">
        <v>0</v>
      </c>
      <c r="K1580" s="45">
        <v>22000</v>
      </c>
      <c r="L1580" s="45">
        <v>0</v>
      </c>
      <c r="M1580" s="45">
        <v>0</v>
      </c>
      <c r="N1580" s="45">
        <v>0</v>
      </c>
      <c r="O1580" s="45">
        <v>0</v>
      </c>
      <c r="P1580" s="45">
        <v>0</v>
      </c>
      <c r="Q1580" s="45">
        <v>0</v>
      </c>
      <c r="R1580" s="45">
        <v>0</v>
      </c>
      <c r="S1580" s="45">
        <v>0</v>
      </c>
      <c r="T1580" s="45">
        <v>0</v>
      </c>
      <c r="U1580" s="45">
        <v>1397</v>
      </c>
      <c r="V1580" s="45">
        <v>0</v>
      </c>
      <c r="W1580" s="45">
        <v>0</v>
      </c>
      <c r="X1580" s="45">
        <v>0</v>
      </c>
      <c r="Y1580" s="45">
        <v>0</v>
      </c>
      <c r="Z1580" s="45">
        <v>0</v>
      </c>
      <c r="AA1580" s="45">
        <v>0</v>
      </c>
      <c r="AB1580" s="45">
        <v>0</v>
      </c>
      <c r="AC1580" s="45">
        <v>0</v>
      </c>
      <c r="AD1580" s="45">
        <v>0</v>
      </c>
      <c r="AE1580" s="45">
        <v>0</v>
      </c>
      <c r="AF1580" s="45">
        <v>0</v>
      </c>
      <c r="AG1580" s="45">
        <v>0</v>
      </c>
      <c r="AH1580" s="45">
        <v>0</v>
      </c>
      <c r="AI1580" s="45">
        <v>0</v>
      </c>
      <c r="AJ1580" s="45">
        <v>0</v>
      </c>
      <c r="AK1580" s="45">
        <v>0</v>
      </c>
      <c r="AL1580" s="45">
        <v>0</v>
      </c>
      <c r="AM1580" s="57" t="str">
        <f>I1580-J1580-K1580-L1580-M1580-N1580-O1580-P1580-Q1580-R1580-S1580-T1580-U1580-V1580-W1580-X1580-Y1580-Z1580-AA1580-AB1580-AC1580-AD1580-AE1580-AF1580-AG1580+AH1580-AI1580+AJ1580+AK1580-AL1580</f>
        <v>0</v>
      </c>
      <c r="AN1580" s="45"/>
    </row>
    <row r="1581" spans="1:41">
      <c r="A1581" s="45">
        <v>1553</v>
      </c>
      <c r="B1581" s="45" t="s">
        <v>6081</v>
      </c>
      <c r="C1581" s="49" t="s">
        <v>6082</v>
      </c>
      <c r="D1581" s="53" t="s">
        <v>73</v>
      </c>
      <c r="E1581" s="45" t="s">
        <v>6083</v>
      </c>
      <c r="F1581" s="45" t="s">
        <v>6084</v>
      </c>
      <c r="G1581" s="45">
        <v>6</v>
      </c>
      <c r="H1581" s="53" t="s">
        <v>6085</v>
      </c>
      <c r="I1581" s="45">
        <v>798000</v>
      </c>
      <c r="J1581" s="45">
        <v>0</v>
      </c>
      <c r="K1581" s="45">
        <v>31000</v>
      </c>
      <c r="L1581" s="45">
        <v>0</v>
      </c>
      <c r="M1581" s="45">
        <v>0</v>
      </c>
      <c r="N1581" s="45">
        <v>0</v>
      </c>
      <c r="O1581" s="45">
        <v>0</v>
      </c>
      <c r="P1581" s="45">
        <v>0</v>
      </c>
      <c r="Q1581" s="45">
        <v>0</v>
      </c>
      <c r="R1581" s="45">
        <v>0</v>
      </c>
      <c r="S1581" s="45">
        <v>0</v>
      </c>
      <c r="T1581" s="45">
        <v>0</v>
      </c>
      <c r="U1581" s="45">
        <v>1968</v>
      </c>
      <c r="V1581" s="45">
        <v>0</v>
      </c>
      <c r="W1581" s="45">
        <v>0</v>
      </c>
      <c r="X1581" s="45">
        <v>0</v>
      </c>
      <c r="Y1581" s="45">
        <v>0</v>
      </c>
      <c r="Z1581" s="45">
        <v>0</v>
      </c>
      <c r="AA1581" s="45">
        <v>0</v>
      </c>
      <c r="AB1581" s="45">
        <v>0</v>
      </c>
      <c r="AC1581" s="45">
        <v>0</v>
      </c>
      <c r="AD1581" s="45">
        <v>0</v>
      </c>
      <c r="AE1581" s="45">
        <v>0</v>
      </c>
      <c r="AF1581" s="45">
        <v>0</v>
      </c>
      <c r="AG1581" s="45">
        <v>0</v>
      </c>
      <c r="AH1581" s="45">
        <v>0</v>
      </c>
      <c r="AI1581" s="45">
        <v>0</v>
      </c>
      <c r="AJ1581" s="45">
        <v>0</v>
      </c>
      <c r="AK1581" s="45">
        <v>0</v>
      </c>
      <c r="AL1581" s="45">
        <v>0</v>
      </c>
      <c r="AM1581" s="57" t="str">
        <f>I1581-J1581-K1581-L1581-M1581-N1581-O1581-P1581-Q1581-R1581-S1581-T1581-U1581-V1581-W1581-X1581-Y1581-Z1581-AA1581-AB1581-AC1581-AD1581-AE1581-AF1581-AG1581+AH1581-AI1581+AJ1581+AK1581-AL1581</f>
        <v>0</v>
      </c>
      <c r="AN1581" s="45"/>
    </row>
    <row r="1582" spans="1:41">
      <c r="A1582" s="45">
        <v>1554</v>
      </c>
      <c r="B1582" s="45" t="s">
        <v>6086</v>
      </c>
      <c r="C1582" s="49" t="s">
        <v>6087</v>
      </c>
      <c r="D1582" s="53" t="s">
        <v>73</v>
      </c>
      <c r="E1582" s="45" t="s">
        <v>6088</v>
      </c>
      <c r="F1582" s="45" t="s">
        <v>1383</v>
      </c>
      <c r="G1582" s="45">
        <v>2</v>
      </c>
      <c r="H1582" s="53" t="s">
        <v>6089</v>
      </c>
      <c r="I1582" s="45">
        <v>314000</v>
      </c>
      <c r="J1582" s="45">
        <v>0</v>
      </c>
      <c r="K1582" s="45">
        <v>22000</v>
      </c>
      <c r="L1582" s="45">
        <v>0</v>
      </c>
      <c r="M1582" s="45">
        <v>0</v>
      </c>
      <c r="N1582" s="45">
        <v>0</v>
      </c>
      <c r="O1582" s="45">
        <v>0</v>
      </c>
      <c r="P1582" s="45">
        <v>0</v>
      </c>
      <c r="Q1582" s="45">
        <v>0</v>
      </c>
      <c r="R1582" s="45">
        <v>0</v>
      </c>
      <c r="S1582" s="45">
        <v>0</v>
      </c>
      <c r="T1582" s="45">
        <v>0</v>
      </c>
      <c r="U1582" s="45">
        <v>1397</v>
      </c>
      <c r="V1582" s="45">
        <v>0</v>
      </c>
      <c r="W1582" s="45">
        <v>0</v>
      </c>
      <c r="X1582" s="45">
        <v>0</v>
      </c>
      <c r="Y1582" s="45">
        <v>0</v>
      </c>
      <c r="Z1582" s="45">
        <v>0</v>
      </c>
      <c r="AA1582" s="45">
        <v>0</v>
      </c>
      <c r="AB1582" s="45">
        <v>0</v>
      </c>
      <c r="AC1582" s="45">
        <v>0</v>
      </c>
      <c r="AD1582" s="45">
        <v>0</v>
      </c>
      <c r="AE1582" s="45">
        <v>0</v>
      </c>
      <c r="AF1582" s="45">
        <v>0</v>
      </c>
      <c r="AG1582" s="45">
        <v>0</v>
      </c>
      <c r="AH1582" s="45">
        <v>0</v>
      </c>
      <c r="AI1582" s="45">
        <v>0</v>
      </c>
      <c r="AJ1582" s="45">
        <v>0</v>
      </c>
      <c r="AK1582" s="45">
        <v>0</v>
      </c>
      <c r="AL1582" s="45">
        <v>0</v>
      </c>
      <c r="AM1582" s="57" t="str">
        <f>I1582-J1582-K1582-L1582-M1582-N1582-O1582-P1582-Q1582-R1582-S1582-T1582-U1582-V1582-W1582-X1582-Y1582-Z1582-AA1582-AB1582-AC1582-AD1582-AE1582-AF1582-AG1582+AH1582-AI1582+AJ1582+AK1582-AL1582</f>
        <v>0</v>
      </c>
      <c r="AN1582" s="45"/>
    </row>
    <row r="1583" spans="1:41">
      <c r="A1583" s="45">
        <v>1555</v>
      </c>
      <c r="B1583" s="45" t="s">
        <v>6090</v>
      </c>
      <c r="C1583" s="49" t="s">
        <v>6091</v>
      </c>
      <c r="D1583" s="53" t="s">
        <v>73</v>
      </c>
      <c r="E1583" s="45" t="s">
        <v>6092</v>
      </c>
      <c r="F1583" s="45" t="s">
        <v>4994</v>
      </c>
      <c r="G1583" s="45">
        <v>2</v>
      </c>
      <c r="H1583" s="53" t="s">
        <v>6093</v>
      </c>
      <c r="I1583" s="45">
        <v>0</v>
      </c>
      <c r="J1583" s="45">
        <v>0</v>
      </c>
      <c r="K1583" s="45">
        <v>22000</v>
      </c>
      <c r="L1583" s="45">
        <v>0</v>
      </c>
      <c r="M1583" s="45">
        <v>0</v>
      </c>
      <c r="N1583" s="45">
        <v>0</v>
      </c>
      <c r="O1583" s="45">
        <v>0</v>
      </c>
      <c r="P1583" s="45">
        <v>0</v>
      </c>
      <c r="Q1583" s="45">
        <v>0</v>
      </c>
      <c r="R1583" s="45">
        <v>0</v>
      </c>
      <c r="S1583" s="45">
        <v>0</v>
      </c>
      <c r="T1583" s="45">
        <v>0</v>
      </c>
      <c r="U1583" s="45">
        <v>1397</v>
      </c>
      <c r="V1583" s="45">
        <v>0</v>
      </c>
      <c r="W1583" s="45">
        <v>0</v>
      </c>
      <c r="X1583" s="45">
        <v>0</v>
      </c>
      <c r="Y1583" s="45">
        <v>0</v>
      </c>
      <c r="Z1583" s="45">
        <v>0</v>
      </c>
      <c r="AA1583" s="45">
        <v>0</v>
      </c>
      <c r="AB1583" s="45">
        <v>0</v>
      </c>
      <c r="AC1583" s="45">
        <v>0</v>
      </c>
      <c r="AD1583" s="45">
        <v>0</v>
      </c>
      <c r="AE1583" s="45">
        <v>0</v>
      </c>
      <c r="AF1583" s="45">
        <v>0</v>
      </c>
      <c r="AG1583" s="45">
        <v>0</v>
      </c>
      <c r="AH1583" s="45">
        <v>0</v>
      </c>
      <c r="AI1583" s="45">
        <v>0</v>
      </c>
      <c r="AJ1583" s="45">
        <v>0</v>
      </c>
      <c r="AK1583" s="45">
        <v>0</v>
      </c>
      <c r="AL1583" s="45">
        <v>0</v>
      </c>
      <c r="AM1583" s="57" t="str">
        <f>I1583-J1583-K1583-L1583-M1583-N1583-O1583-P1583-Q1583-R1583-S1583-T1583-U1583-V1583-W1583-X1583-Y1583-Z1583-AA1583-AB1583-AC1583-AD1583-AE1583-AF1583-AG1583+AH1583-AI1583+AJ1583+AK1583-AL1583</f>
        <v>0</v>
      </c>
      <c r="AN1583" s="45"/>
    </row>
    <row r="1584" spans="1:41">
      <c r="A1584" s="45">
        <v>1556</v>
      </c>
      <c r="B1584" s="45" t="s">
        <v>6094</v>
      </c>
      <c r="C1584" s="49" t="s">
        <v>6095</v>
      </c>
      <c r="D1584" s="53" t="s">
        <v>73</v>
      </c>
      <c r="E1584" s="45" t="s">
        <v>6096</v>
      </c>
      <c r="F1584" s="45" t="s">
        <v>6097</v>
      </c>
      <c r="G1584" s="45">
        <v>10</v>
      </c>
      <c r="H1584" s="53" t="s">
        <v>6098</v>
      </c>
      <c r="I1584" s="45">
        <v>2871000</v>
      </c>
      <c r="J1584" s="45">
        <v>15950</v>
      </c>
      <c r="K1584" s="45">
        <v>40000</v>
      </c>
      <c r="L1584" s="45">
        <v>0</v>
      </c>
      <c r="M1584" s="45">
        <v>0</v>
      </c>
      <c r="N1584" s="45">
        <v>0</v>
      </c>
      <c r="O1584" s="45">
        <v>0</v>
      </c>
      <c r="P1584" s="45">
        <v>0</v>
      </c>
      <c r="Q1584" s="45">
        <v>0</v>
      </c>
      <c r="R1584" s="45">
        <v>0</v>
      </c>
      <c r="S1584" s="45">
        <v>0</v>
      </c>
      <c r="T1584" s="45">
        <v>0</v>
      </c>
      <c r="U1584" s="45">
        <v>2540</v>
      </c>
      <c r="V1584" s="45">
        <v>0</v>
      </c>
      <c r="W1584" s="45">
        <v>0</v>
      </c>
      <c r="X1584" s="45">
        <v>0</v>
      </c>
      <c r="Y1584" s="45">
        <v>0</v>
      </c>
      <c r="Z1584" s="45">
        <v>0</v>
      </c>
      <c r="AA1584" s="45">
        <v>0</v>
      </c>
      <c r="AB1584" s="45">
        <v>0</v>
      </c>
      <c r="AC1584" s="45">
        <v>0</v>
      </c>
      <c r="AD1584" s="45">
        <v>0</v>
      </c>
      <c r="AE1584" s="45">
        <v>0</v>
      </c>
      <c r="AF1584" s="45">
        <v>0</v>
      </c>
      <c r="AG1584" s="45">
        <v>0</v>
      </c>
      <c r="AH1584" s="45">
        <v>0</v>
      </c>
      <c r="AI1584" s="45">
        <v>0</v>
      </c>
      <c r="AJ1584" s="45">
        <v>0</v>
      </c>
      <c r="AK1584" s="45">
        <v>0</v>
      </c>
      <c r="AL1584" s="45">
        <v>0</v>
      </c>
      <c r="AM1584" s="57" t="str">
        <f>I1584-J1584-K1584-L1584-M1584-N1584-O1584-P1584-Q1584-R1584-S1584-T1584-U1584-V1584-W1584-X1584-Y1584-Z1584-AA1584-AB1584-AC1584-AD1584-AE1584-AF1584-AG1584+AH1584-AI1584+AJ1584+AK1584-AL1584</f>
        <v>0</v>
      </c>
      <c r="AN1584" s="45"/>
    </row>
    <row r="1585" spans="1:41">
      <c r="A1585" s="45">
        <v>1557</v>
      </c>
      <c r="B1585" s="45" t="s">
        <v>6099</v>
      </c>
      <c r="C1585" s="49" t="s">
        <v>6100</v>
      </c>
      <c r="D1585" s="53" t="s">
        <v>73</v>
      </c>
      <c r="E1585" s="45" t="s">
        <v>1615</v>
      </c>
      <c r="F1585" s="45" t="s">
        <v>6101</v>
      </c>
      <c r="G1585" s="45">
        <v>10</v>
      </c>
      <c r="H1585" s="53" t="s">
        <v>6098</v>
      </c>
      <c r="I1585" s="45">
        <v>2871000</v>
      </c>
      <c r="J1585" s="45">
        <v>15950</v>
      </c>
      <c r="K1585" s="45">
        <v>40000</v>
      </c>
      <c r="L1585" s="45">
        <v>0</v>
      </c>
      <c r="M1585" s="45">
        <v>0</v>
      </c>
      <c r="N1585" s="45">
        <v>0</v>
      </c>
      <c r="O1585" s="45">
        <v>0</v>
      </c>
      <c r="P1585" s="45">
        <v>0</v>
      </c>
      <c r="Q1585" s="45">
        <v>0</v>
      </c>
      <c r="R1585" s="45">
        <v>0</v>
      </c>
      <c r="S1585" s="45">
        <v>0</v>
      </c>
      <c r="T1585" s="45">
        <v>0</v>
      </c>
      <c r="U1585" s="45">
        <v>2540</v>
      </c>
      <c r="V1585" s="45">
        <v>0</v>
      </c>
      <c r="W1585" s="45">
        <v>0</v>
      </c>
      <c r="X1585" s="45">
        <v>0</v>
      </c>
      <c r="Y1585" s="45">
        <v>0</v>
      </c>
      <c r="Z1585" s="45">
        <v>0</v>
      </c>
      <c r="AA1585" s="45">
        <v>0</v>
      </c>
      <c r="AB1585" s="45">
        <v>0</v>
      </c>
      <c r="AC1585" s="45">
        <v>0</v>
      </c>
      <c r="AD1585" s="45">
        <v>0</v>
      </c>
      <c r="AE1585" s="45">
        <v>0</v>
      </c>
      <c r="AF1585" s="45">
        <v>0</v>
      </c>
      <c r="AG1585" s="45">
        <v>0</v>
      </c>
      <c r="AH1585" s="45">
        <v>0</v>
      </c>
      <c r="AI1585" s="45">
        <v>0</v>
      </c>
      <c r="AJ1585" s="45">
        <v>0</v>
      </c>
      <c r="AK1585" s="45">
        <v>0</v>
      </c>
      <c r="AL1585" s="45">
        <v>0</v>
      </c>
      <c r="AM1585" s="57" t="str">
        <f>I1585-J1585-K1585-L1585-M1585-N1585-O1585-P1585-Q1585-R1585-S1585-T1585-U1585-V1585-W1585-X1585-Y1585-Z1585-AA1585-AB1585-AC1585-AD1585-AE1585-AF1585-AG1585+AH1585-AI1585+AJ1585+AK1585-AL1585</f>
        <v>0</v>
      </c>
      <c r="AN1585" s="45"/>
    </row>
    <row r="1586" spans="1:41">
      <c r="A1586" s="45">
        <v>1558</v>
      </c>
      <c r="B1586" s="45" t="s">
        <v>6102</v>
      </c>
      <c r="C1586" s="49" t="s">
        <v>6103</v>
      </c>
      <c r="D1586" s="53" t="s">
        <v>73</v>
      </c>
      <c r="E1586" s="45" t="s">
        <v>1615</v>
      </c>
      <c r="F1586" s="45" t="s">
        <v>6101</v>
      </c>
      <c r="G1586" s="45">
        <v>10</v>
      </c>
      <c r="H1586" s="53" t="s">
        <v>6098</v>
      </c>
      <c r="I1586" s="45">
        <v>2871000</v>
      </c>
      <c r="J1586" s="45">
        <v>15950</v>
      </c>
      <c r="K1586" s="45">
        <v>40000</v>
      </c>
      <c r="L1586" s="45">
        <v>0</v>
      </c>
      <c r="M1586" s="45">
        <v>0</v>
      </c>
      <c r="N1586" s="45">
        <v>0</v>
      </c>
      <c r="O1586" s="45">
        <v>0</v>
      </c>
      <c r="P1586" s="45">
        <v>0</v>
      </c>
      <c r="Q1586" s="45">
        <v>0</v>
      </c>
      <c r="R1586" s="45">
        <v>0</v>
      </c>
      <c r="S1586" s="45">
        <v>0</v>
      </c>
      <c r="T1586" s="45">
        <v>0</v>
      </c>
      <c r="U1586" s="45">
        <v>2540</v>
      </c>
      <c r="V1586" s="45">
        <v>0</v>
      </c>
      <c r="W1586" s="45">
        <v>0</v>
      </c>
      <c r="X1586" s="45">
        <v>0</v>
      </c>
      <c r="Y1586" s="45">
        <v>0</v>
      </c>
      <c r="Z1586" s="45">
        <v>0</v>
      </c>
      <c r="AA1586" s="45">
        <v>0</v>
      </c>
      <c r="AB1586" s="45">
        <v>0</v>
      </c>
      <c r="AC1586" s="45">
        <v>0</v>
      </c>
      <c r="AD1586" s="45">
        <v>0</v>
      </c>
      <c r="AE1586" s="45">
        <v>0</v>
      </c>
      <c r="AF1586" s="45">
        <v>0</v>
      </c>
      <c r="AG1586" s="45">
        <v>0</v>
      </c>
      <c r="AH1586" s="45">
        <v>0</v>
      </c>
      <c r="AI1586" s="45">
        <v>0</v>
      </c>
      <c r="AJ1586" s="45">
        <v>0</v>
      </c>
      <c r="AK1586" s="45">
        <v>0</v>
      </c>
      <c r="AL1586" s="45">
        <v>0</v>
      </c>
      <c r="AM1586" s="57" t="str">
        <f>I1586-J1586-K1586-L1586-M1586-N1586-O1586-P1586-Q1586-R1586-S1586-T1586-U1586-V1586-W1586-X1586-Y1586-Z1586-AA1586-AB1586-AC1586-AD1586-AE1586-AF1586-AG1586+AH1586-AI1586+AJ1586+AK1586-AL1586</f>
        <v>0</v>
      </c>
      <c r="AN1586" s="45"/>
    </row>
    <row r="1587" spans="1:41">
      <c r="A1587" s="45">
        <v>1559</v>
      </c>
      <c r="B1587" s="45" t="s">
        <v>6104</v>
      </c>
      <c r="C1587" s="49" t="s">
        <v>6105</v>
      </c>
      <c r="D1587" s="53" t="s">
        <v>73</v>
      </c>
      <c r="E1587" s="45" t="s">
        <v>6106</v>
      </c>
      <c r="F1587" s="45" t="s">
        <v>6097</v>
      </c>
      <c r="G1587" s="45">
        <v>10</v>
      </c>
      <c r="H1587" s="53" t="s">
        <v>6098</v>
      </c>
      <c r="I1587" s="45">
        <v>2871000</v>
      </c>
      <c r="J1587" s="45">
        <v>15950</v>
      </c>
      <c r="K1587" s="45">
        <v>40000</v>
      </c>
      <c r="L1587" s="45">
        <v>0</v>
      </c>
      <c r="M1587" s="45">
        <v>0</v>
      </c>
      <c r="N1587" s="45">
        <v>0</v>
      </c>
      <c r="O1587" s="45">
        <v>0</v>
      </c>
      <c r="P1587" s="45">
        <v>0</v>
      </c>
      <c r="Q1587" s="45">
        <v>0</v>
      </c>
      <c r="R1587" s="45">
        <v>0</v>
      </c>
      <c r="S1587" s="45">
        <v>0</v>
      </c>
      <c r="T1587" s="45">
        <v>0</v>
      </c>
      <c r="U1587" s="45">
        <v>2540</v>
      </c>
      <c r="V1587" s="45">
        <v>0</v>
      </c>
      <c r="W1587" s="45">
        <v>0</v>
      </c>
      <c r="X1587" s="45">
        <v>0</v>
      </c>
      <c r="Y1587" s="45">
        <v>0</v>
      </c>
      <c r="Z1587" s="45">
        <v>0</v>
      </c>
      <c r="AA1587" s="45">
        <v>0</v>
      </c>
      <c r="AB1587" s="45">
        <v>0</v>
      </c>
      <c r="AC1587" s="45">
        <v>0</v>
      </c>
      <c r="AD1587" s="45">
        <v>0</v>
      </c>
      <c r="AE1587" s="45">
        <v>0</v>
      </c>
      <c r="AF1587" s="45">
        <v>0</v>
      </c>
      <c r="AG1587" s="45">
        <v>0</v>
      </c>
      <c r="AH1587" s="45">
        <v>0</v>
      </c>
      <c r="AI1587" s="45">
        <v>0</v>
      </c>
      <c r="AJ1587" s="45">
        <v>0</v>
      </c>
      <c r="AK1587" s="45">
        <v>0</v>
      </c>
      <c r="AL1587" s="45">
        <v>0</v>
      </c>
      <c r="AM1587" s="57" t="str">
        <f>I1587-J1587-K1587-L1587-M1587-N1587-O1587-P1587-Q1587-R1587-S1587-T1587-U1587-V1587-W1587-X1587-Y1587-Z1587-AA1587-AB1587-AC1587-AD1587-AE1587-AF1587-AG1587+AH1587-AI1587+AJ1587+AK1587-AL1587</f>
        <v>0</v>
      </c>
      <c r="AN1587" s="45"/>
    </row>
    <row r="1588" spans="1:41">
      <c r="A1588" s="45">
        <v>1560</v>
      </c>
      <c r="B1588" s="45" t="s">
        <v>6107</v>
      </c>
      <c r="C1588" s="49" t="s">
        <v>6108</v>
      </c>
      <c r="D1588" s="53" t="s">
        <v>73</v>
      </c>
      <c r="E1588" s="45" t="s">
        <v>6106</v>
      </c>
      <c r="F1588" s="45" t="s">
        <v>6097</v>
      </c>
      <c r="G1588" s="45">
        <v>10</v>
      </c>
      <c r="H1588" s="53" t="s">
        <v>6098</v>
      </c>
      <c r="I1588" s="45">
        <v>2871000</v>
      </c>
      <c r="J1588" s="45">
        <v>15950</v>
      </c>
      <c r="K1588" s="45">
        <v>40000</v>
      </c>
      <c r="L1588" s="45">
        <v>0</v>
      </c>
      <c r="M1588" s="45">
        <v>0</v>
      </c>
      <c r="N1588" s="45">
        <v>0</v>
      </c>
      <c r="O1588" s="45">
        <v>0</v>
      </c>
      <c r="P1588" s="45">
        <v>0</v>
      </c>
      <c r="Q1588" s="45">
        <v>0</v>
      </c>
      <c r="R1588" s="45">
        <v>0</v>
      </c>
      <c r="S1588" s="45">
        <v>0</v>
      </c>
      <c r="T1588" s="45">
        <v>0</v>
      </c>
      <c r="U1588" s="45">
        <v>2540</v>
      </c>
      <c r="V1588" s="45">
        <v>0</v>
      </c>
      <c r="W1588" s="45">
        <v>0</v>
      </c>
      <c r="X1588" s="45">
        <v>0</v>
      </c>
      <c r="Y1588" s="45">
        <v>0</v>
      </c>
      <c r="Z1588" s="45">
        <v>0</v>
      </c>
      <c r="AA1588" s="45">
        <v>0</v>
      </c>
      <c r="AB1588" s="45">
        <v>0</v>
      </c>
      <c r="AC1588" s="45">
        <v>0</v>
      </c>
      <c r="AD1588" s="45">
        <v>0</v>
      </c>
      <c r="AE1588" s="45">
        <v>0</v>
      </c>
      <c r="AF1588" s="45">
        <v>0</v>
      </c>
      <c r="AG1588" s="45">
        <v>0</v>
      </c>
      <c r="AH1588" s="45">
        <v>0</v>
      </c>
      <c r="AI1588" s="45">
        <v>0</v>
      </c>
      <c r="AJ1588" s="45">
        <v>0</v>
      </c>
      <c r="AK1588" s="45">
        <v>0</v>
      </c>
      <c r="AL1588" s="45">
        <v>0</v>
      </c>
      <c r="AM1588" s="57" t="str">
        <f>I1588-J1588-K1588-L1588-M1588-N1588-O1588-P1588-Q1588-R1588-S1588-T1588-U1588-V1588-W1588-X1588-Y1588-Z1588-AA1588-AB1588-AC1588-AD1588-AE1588-AF1588-AG1588+AH1588-AI1588+AJ1588+AK1588-AL1588</f>
        <v>0</v>
      </c>
      <c r="AN1588" s="45"/>
    </row>
    <row r="1589" spans="1:41">
      <c r="A1589" s="45">
        <v>1561</v>
      </c>
      <c r="B1589" s="45" t="s">
        <v>6109</v>
      </c>
      <c r="C1589" s="49" t="s">
        <v>6110</v>
      </c>
      <c r="D1589" s="53" t="s">
        <v>73</v>
      </c>
      <c r="E1589" s="45" t="s">
        <v>6106</v>
      </c>
      <c r="F1589" s="45" t="s">
        <v>6097</v>
      </c>
      <c r="G1589" s="45">
        <v>10</v>
      </c>
      <c r="H1589" s="53" t="s">
        <v>6098</v>
      </c>
      <c r="I1589" s="45">
        <v>2871000</v>
      </c>
      <c r="J1589" s="45">
        <v>15950</v>
      </c>
      <c r="K1589" s="45">
        <v>40000</v>
      </c>
      <c r="L1589" s="45">
        <v>0</v>
      </c>
      <c r="M1589" s="45">
        <v>0</v>
      </c>
      <c r="N1589" s="45">
        <v>0</v>
      </c>
      <c r="O1589" s="45">
        <v>0</v>
      </c>
      <c r="P1589" s="45">
        <v>0</v>
      </c>
      <c r="Q1589" s="45">
        <v>0</v>
      </c>
      <c r="R1589" s="45">
        <v>0</v>
      </c>
      <c r="S1589" s="45">
        <v>0</v>
      </c>
      <c r="T1589" s="45">
        <v>0</v>
      </c>
      <c r="U1589" s="45">
        <v>2540</v>
      </c>
      <c r="V1589" s="45">
        <v>0</v>
      </c>
      <c r="W1589" s="45">
        <v>0</v>
      </c>
      <c r="X1589" s="45">
        <v>0</v>
      </c>
      <c r="Y1589" s="45">
        <v>0</v>
      </c>
      <c r="Z1589" s="45">
        <v>0</v>
      </c>
      <c r="AA1589" s="45">
        <v>0</v>
      </c>
      <c r="AB1589" s="45">
        <v>0</v>
      </c>
      <c r="AC1589" s="45">
        <v>0</v>
      </c>
      <c r="AD1589" s="45">
        <v>0</v>
      </c>
      <c r="AE1589" s="45">
        <v>0</v>
      </c>
      <c r="AF1589" s="45">
        <v>0</v>
      </c>
      <c r="AG1589" s="45">
        <v>0</v>
      </c>
      <c r="AH1589" s="45">
        <v>0</v>
      </c>
      <c r="AI1589" s="45">
        <v>0</v>
      </c>
      <c r="AJ1589" s="45">
        <v>0</v>
      </c>
      <c r="AK1589" s="45">
        <v>0</v>
      </c>
      <c r="AL1589" s="45">
        <v>0</v>
      </c>
      <c r="AM1589" s="57" t="str">
        <f>I1589-J1589-K1589-L1589-M1589-N1589-O1589-P1589-Q1589-R1589-S1589-T1589-U1589-V1589-W1589-X1589-Y1589-Z1589-AA1589-AB1589-AC1589-AD1589-AE1589-AF1589-AG1589+AH1589-AI1589+AJ1589+AK1589-AL1589</f>
        <v>0</v>
      </c>
      <c r="AN1589" s="45"/>
    </row>
    <row r="1590" spans="1:41">
      <c r="A1590" s="45">
        <v>1562</v>
      </c>
      <c r="B1590" s="45" t="s">
        <v>6111</v>
      </c>
      <c r="C1590" s="49" t="s">
        <v>6112</v>
      </c>
      <c r="D1590" s="53" t="s">
        <v>73</v>
      </c>
      <c r="E1590" s="45" t="s">
        <v>384</v>
      </c>
      <c r="F1590" s="45" t="s">
        <v>6101</v>
      </c>
      <c r="G1590" s="45">
        <v>10</v>
      </c>
      <c r="H1590" s="53" t="s">
        <v>6098</v>
      </c>
      <c r="I1590" s="45">
        <v>4839700</v>
      </c>
      <c r="J1590" s="45">
        <v>26740</v>
      </c>
      <c r="K1590" s="45">
        <v>40000</v>
      </c>
      <c r="L1590" s="45">
        <v>0</v>
      </c>
      <c r="M1590" s="45">
        <v>0</v>
      </c>
      <c r="N1590" s="45">
        <v>0</v>
      </c>
      <c r="O1590" s="45">
        <v>0</v>
      </c>
      <c r="P1590" s="45">
        <v>0</v>
      </c>
      <c r="Q1590" s="45">
        <v>0</v>
      </c>
      <c r="R1590" s="45">
        <v>0</v>
      </c>
      <c r="S1590" s="45">
        <v>0</v>
      </c>
      <c r="T1590" s="45">
        <v>0</v>
      </c>
      <c r="U1590" s="45">
        <v>2540</v>
      </c>
      <c r="V1590" s="45">
        <v>0</v>
      </c>
      <c r="W1590" s="45">
        <v>0</v>
      </c>
      <c r="X1590" s="45">
        <v>0</v>
      </c>
      <c r="Y1590" s="45">
        <v>0</v>
      </c>
      <c r="Z1590" s="45">
        <v>0</v>
      </c>
      <c r="AA1590" s="45">
        <v>0</v>
      </c>
      <c r="AB1590" s="45">
        <v>0</v>
      </c>
      <c r="AC1590" s="45">
        <v>0</v>
      </c>
      <c r="AD1590" s="45">
        <v>0</v>
      </c>
      <c r="AE1590" s="45">
        <v>0</v>
      </c>
      <c r="AF1590" s="45">
        <v>0</v>
      </c>
      <c r="AG1590" s="45">
        <v>0</v>
      </c>
      <c r="AH1590" s="45">
        <v>0</v>
      </c>
      <c r="AI1590" s="45">
        <v>0</v>
      </c>
      <c r="AJ1590" s="45">
        <v>0</v>
      </c>
      <c r="AK1590" s="45">
        <v>0</v>
      </c>
      <c r="AL1590" s="45">
        <v>0</v>
      </c>
      <c r="AM1590" s="57" t="str">
        <f>I1590-J1590-K1590-L1590-M1590-N1590-O1590-P1590-Q1590-R1590-S1590-T1590-U1590-V1590-W1590-X1590-Y1590-Z1590-AA1590-AB1590-AC1590-AD1590-AE1590-AF1590-AG1590+AH1590-AI1590+AJ1590+AK1590-AL1590</f>
        <v>0</v>
      </c>
      <c r="AN1590" s="45"/>
    </row>
    <row r="1591" spans="1:41">
      <c r="A1591" s="45">
        <v>1563</v>
      </c>
      <c r="B1591" s="45" t="s">
        <v>6113</v>
      </c>
      <c r="C1591" s="49" t="s">
        <v>6114</v>
      </c>
      <c r="D1591" s="53" t="s">
        <v>73</v>
      </c>
      <c r="E1591" s="45" t="s">
        <v>6115</v>
      </c>
      <c r="F1591" s="45" t="s">
        <v>6116</v>
      </c>
      <c r="G1591" s="45">
        <v>4</v>
      </c>
      <c r="H1591" s="53" t="s">
        <v>6117</v>
      </c>
      <c r="I1591" s="45">
        <v>372500</v>
      </c>
      <c r="J1591" s="45">
        <v>0</v>
      </c>
      <c r="K1591" s="45">
        <v>25000</v>
      </c>
      <c r="L1591" s="45">
        <v>0</v>
      </c>
      <c r="M1591" s="45">
        <v>0</v>
      </c>
      <c r="N1591" s="45">
        <v>0</v>
      </c>
      <c r="O1591" s="45">
        <v>0</v>
      </c>
      <c r="P1591" s="45">
        <v>0</v>
      </c>
      <c r="Q1591" s="45">
        <v>0</v>
      </c>
      <c r="R1591" s="45">
        <v>0</v>
      </c>
      <c r="S1591" s="45">
        <v>0</v>
      </c>
      <c r="T1591" s="45">
        <v>0</v>
      </c>
      <c r="U1591" s="45">
        <v>1587</v>
      </c>
      <c r="V1591" s="45">
        <v>0</v>
      </c>
      <c r="W1591" s="45">
        <v>0</v>
      </c>
      <c r="X1591" s="45">
        <v>0</v>
      </c>
      <c r="Y1591" s="45">
        <v>0</v>
      </c>
      <c r="Z1591" s="45">
        <v>0</v>
      </c>
      <c r="AA1591" s="45">
        <v>0</v>
      </c>
      <c r="AB1591" s="45">
        <v>0</v>
      </c>
      <c r="AC1591" s="45">
        <v>0</v>
      </c>
      <c r="AD1591" s="45">
        <v>0</v>
      </c>
      <c r="AE1591" s="45">
        <v>0</v>
      </c>
      <c r="AF1591" s="45">
        <v>0</v>
      </c>
      <c r="AG1591" s="45">
        <v>0</v>
      </c>
      <c r="AH1591" s="45">
        <v>0</v>
      </c>
      <c r="AI1591" s="45">
        <v>0</v>
      </c>
      <c r="AJ1591" s="45">
        <v>0</v>
      </c>
      <c r="AK1591" s="45">
        <v>0</v>
      </c>
      <c r="AL1591" s="45">
        <v>0</v>
      </c>
      <c r="AM1591" s="57" t="str">
        <f>I1591-J1591-K1591-L1591-M1591-N1591-O1591-P1591-Q1591-R1591-S1591-T1591-U1591-V1591-W1591-X1591-Y1591-Z1591-AA1591-AB1591-AC1591-AD1591-AE1591-AF1591-AG1591+AH1591-AI1591+AJ1591+AK1591-AL1591</f>
        <v>0</v>
      </c>
      <c r="AN1591" s="45"/>
    </row>
    <row r="1592" spans="1:41">
      <c r="A1592" s="45">
        <v>1564</v>
      </c>
      <c r="B1592" s="45" t="s">
        <v>6118</v>
      </c>
      <c r="C1592" s="49" t="s">
        <v>6119</v>
      </c>
      <c r="D1592" s="53" t="s">
        <v>73</v>
      </c>
      <c r="E1592" s="45" t="s">
        <v>6115</v>
      </c>
      <c r="F1592" s="45" t="s">
        <v>6120</v>
      </c>
      <c r="G1592" s="45">
        <v>3</v>
      </c>
      <c r="H1592" s="53" t="s">
        <v>6121</v>
      </c>
      <c r="I1592" s="45">
        <v>334000</v>
      </c>
      <c r="J1592" s="45">
        <v>0</v>
      </c>
      <c r="K1592" s="45">
        <v>22000</v>
      </c>
      <c r="L1592" s="45">
        <v>0</v>
      </c>
      <c r="M1592" s="45">
        <v>0</v>
      </c>
      <c r="N1592" s="45">
        <v>0</v>
      </c>
      <c r="O1592" s="45">
        <v>0</v>
      </c>
      <c r="P1592" s="45">
        <v>0</v>
      </c>
      <c r="Q1592" s="45">
        <v>0</v>
      </c>
      <c r="R1592" s="45">
        <v>0</v>
      </c>
      <c r="S1592" s="45">
        <v>0</v>
      </c>
      <c r="T1592" s="45">
        <v>0</v>
      </c>
      <c r="U1592" s="45">
        <v>1397</v>
      </c>
      <c r="V1592" s="45">
        <v>0</v>
      </c>
      <c r="W1592" s="45">
        <v>0</v>
      </c>
      <c r="X1592" s="45">
        <v>0</v>
      </c>
      <c r="Y1592" s="45">
        <v>0</v>
      </c>
      <c r="Z1592" s="45">
        <v>0</v>
      </c>
      <c r="AA1592" s="45">
        <v>0</v>
      </c>
      <c r="AB1592" s="45">
        <v>0</v>
      </c>
      <c r="AC1592" s="45">
        <v>0</v>
      </c>
      <c r="AD1592" s="45">
        <v>0</v>
      </c>
      <c r="AE1592" s="45">
        <v>0</v>
      </c>
      <c r="AF1592" s="45">
        <v>0</v>
      </c>
      <c r="AG1592" s="45">
        <v>0</v>
      </c>
      <c r="AH1592" s="45">
        <v>0</v>
      </c>
      <c r="AI1592" s="45">
        <v>0</v>
      </c>
      <c r="AJ1592" s="45">
        <v>0</v>
      </c>
      <c r="AK1592" s="45">
        <v>0</v>
      </c>
      <c r="AL1592" s="45">
        <v>0</v>
      </c>
      <c r="AM1592" s="57" t="str">
        <f>I1592-J1592-K1592-L1592-M1592-N1592-O1592-P1592-Q1592-R1592-S1592-T1592-U1592-V1592-W1592-X1592-Y1592-Z1592-AA1592-AB1592-AC1592-AD1592-AE1592-AF1592-AG1592+AH1592-AI1592+AJ1592+AK1592-AL1592</f>
        <v>0</v>
      </c>
      <c r="AN1592" s="45"/>
    </row>
    <row r="1593" spans="1:41">
      <c r="A1593" s="45">
        <v>1565</v>
      </c>
      <c r="B1593" s="45" t="s">
        <v>6122</v>
      </c>
      <c r="C1593" s="49" t="s">
        <v>6123</v>
      </c>
      <c r="D1593" s="53" t="s">
        <v>73</v>
      </c>
      <c r="E1593" s="45" t="s">
        <v>6115</v>
      </c>
      <c r="F1593" s="45" t="s">
        <v>3050</v>
      </c>
      <c r="G1593" s="45">
        <v>3.1</v>
      </c>
      <c r="H1593" s="53" t="s">
        <v>6124</v>
      </c>
      <c r="I1593" s="45">
        <v>575000</v>
      </c>
      <c r="J1593" s="45">
        <v>0</v>
      </c>
      <c r="K1593" s="45">
        <v>24500</v>
      </c>
      <c r="L1593" s="45">
        <v>0</v>
      </c>
      <c r="M1593" s="45">
        <v>0</v>
      </c>
      <c r="N1593" s="45">
        <v>0</v>
      </c>
      <c r="O1593" s="45">
        <v>0</v>
      </c>
      <c r="P1593" s="45">
        <v>0</v>
      </c>
      <c r="Q1593" s="45">
        <v>0</v>
      </c>
      <c r="R1593" s="45">
        <v>0</v>
      </c>
      <c r="S1593" s="45">
        <v>0</v>
      </c>
      <c r="T1593" s="45">
        <v>0</v>
      </c>
      <c r="U1593" s="45">
        <v>1555</v>
      </c>
      <c r="V1593" s="45">
        <v>0</v>
      </c>
      <c r="W1593" s="45">
        <v>0</v>
      </c>
      <c r="X1593" s="45">
        <v>0</v>
      </c>
      <c r="Y1593" s="45">
        <v>0</v>
      </c>
      <c r="Z1593" s="45">
        <v>0</v>
      </c>
      <c r="AA1593" s="45">
        <v>0</v>
      </c>
      <c r="AB1593" s="45">
        <v>0</v>
      </c>
      <c r="AC1593" s="45">
        <v>0</v>
      </c>
      <c r="AD1593" s="45">
        <v>0</v>
      </c>
      <c r="AE1593" s="45">
        <v>0</v>
      </c>
      <c r="AF1593" s="45">
        <v>0</v>
      </c>
      <c r="AG1593" s="45">
        <v>0</v>
      </c>
      <c r="AH1593" s="45">
        <v>0</v>
      </c>
      <c r="AI1593" s="45">
        <v>0</v>
      </c>
      <c r="AJ1593" s="45">
        <v>0</v>
      </c>
      <c r="AK1593" s="45">
        <v>0</v>
      </c>
      <c r="AL1593" s="45">
        <v>0</v>
      </c>
      <c r="AM1593" s="57" t="str">
        <f>I1593-J1593-K1593-L1593-M1593-N1593-O1593-P1593-Q1593-R1593-S1593-T1593-U1593-V1593-W1593-X1593-Y1593-Z1593-AA1593-AB1593-AC1593-AD1593-AE1593-AF1593-AG1593+AH1593-AI1593+AJ1593+AK1593-AL1593</f>
        <v>0</v>
      </c>
      <c r="AN1593" s="45"/>
    </row>
    <row r="1594" spans="1:41">
      <c r="A1594" s="45">
        <v>1566</v>
      </c>
      <c r="B1594" s="45" t="s">
        <v>6125</v>
      </c>
      <c r="C1594" s="49" t="s">
        <v>6126</v>
      </c>
      <c r="D1594" s="53" t="s">
        <v>73</v>
      </c>
      <c r="E1594" s="45" t="s">
        <v>6115</v>
      </c>
      <c r="F1594" s="45" t="s">
        <v>6127</v>
      </c>
      <c r="G1594" s="45">
        <v>5</v>
      </c>
      <c r="H1594" s="53" t="s">
        <v>6128</v>
      </c>
      <c r="I1594" s="45">
        <v>1029000</v>
      </c>
      <c r="J1594" s="45">
        <v>0</v>
      </c>
      <c r="K1594" s="45">
        <v>27000</v>
      </c>
      <c r="L1594" s="45">
        <v>0</v>
      </c>
      <c r="M1594" s="45">
        <v>0</v>
      </c>
      <c r="N1594" s="45">
        <v>0</v>
      </c>
      <c r="O1594" s="45">
        <v>0</v>
      </c>
      <c r="P1594" s="45">
        <v>0</v>
      </c>
      <c r="Q1594" s="45">
        <v>0</v>
      </c>
      <c r="R1594" s="45">
        <v>0</v>
      </c>
      <c r="S1594" s="45">
        <v>0</v>
      </c>
      <c r="T1594" s="45">
        <v>0</v>
      </c>
      <c r="U1594" s="45">
        <v>1714</v>
      </c>
      <c r="V1594" s="45">
        <v>0</v>
      </c>
      <c r="W1594" s="45">
        <v>0</v>
      </c>
      <c r="X1594" s="45">
        <v>0</v>
      </c>
      <c r="Y1594" s="45">
        <v>0</v>
      </c>
      <c r="Z1594" s="45">
        <v>0</v>
      </c>
      <c r="AA1594" s="45">
        <v>0</v>
      </c>
      <c r="AB1594" s="45">
        <v>0</v>
      </c>
      <c r="AC1594" s="45">
        <v>0</v>
      </c>
      <c r="AD1594" s="45">
        <v>0</v>
      </c>
      <c r="AE1594" s="45">
        <v>0</v>
      </c>
      <c r="AF1594" s="45">
        <v>0</v>
      </c>
      <c r="AG1594" s="45">
        <v>0</v>
      </c>
      <c r="AH1594" s="45">
        <v>0</v>
      </c>
      <c r="AI1594" s="45">
        <v>0</v>
      </c>
      <c r="AJ1594" s="45">
        <v>0</v>
      </c>
      <c r="AK1594" s="45">
        <v>0</v>
      </c>
      <c r="AL1594" s="45">
        <v>0</v>
      </c>
      <c r="AM1594" s="57" t="str">
        <f>I1594-J1594-K1594-L1594-M1594-N1594-O1594-P1594-Q1594-R1594-S1594-T1594-U1594-V1594-W1594-X1594-Y1594-Z1594-AA1594-AB1594-AC1594-AD1594-AE1594-AF1594-AG1594+AH1594-AI1594+AJ1594+AK1594-AL1594</f>
        <v>0</v>
      </c>
      <c r="AN1594" s="45"/>
    </row>
    <row r="1595" spans="1:41">
      <c r="A1595" s="45">
        <v>1567</v>
      </c>
      <c r="B1595" s="45" t="s">
        <v>6129</v>
      </c>
      <c r="C1595" s="49" t="s">
        <v>6130</v>
      </c>
      <c r="D1595" s="53" t="s">
        <v>73</v>
      </c>
      <c r="E1595" s="45" t="s">
        <v>6115</v>
      </c>
      <c r="F1595" s="45" t="s">
        <v>4691</v>
      </c>
      <c r="G1595" s="45">
        <v>12</v>
      </c>
      <c r="H1595" s="53" t="s">
        <v>6131</v>
      </c>
      <c r="I1595" s="45">
        <v>3790000</v>
      </c>
      <c r="J1595" s="45">
        <v>18950</v>
      </c>
      <c r="K1595" s="45">
        <v>48000</v>
      </c>
      <c r="L1595" s="45">
        <v>0</v>
      </c>
      <c r="M1595" s="45">
        <v>0</v>
      </c>
      <c r="N1595" s="45">
        <v>0</v>
      </c>
      <c r="O1595" s="45">
        <v>0</v>
      </c>
      <c r="P1595" s="45">
        <v>0</v>
      </c>
      <c r="Q1595" s="45">
        <v>0</v>
      </c>
      <c r="R1595" s="45">
        <v>0</v>
      </c>
      <c r="S1595" s="45">
        <v>0</v>
      </c>
      <c r="T1595" s="45">
        <v>0</v>
      </c>
      <c r="U1595" s="45">
        <v>3048</v>
      </c>
      <c r="V1595" s="45">
        <v>0</v>
      </c>
      <c r="W1595" s="45">
        <v>0</v>
      </c>
      <c r="X1595" s="45">
        <v>0</v>
      </c>
      <c r="Y1595" s="45">
        <v>0</v>
      </c>
      <c r="Z1595" s="45">
        <v>0</v>
      </c>
      <c r="AA1595" s="45">
        <v>0</v>
      </c>
      <c r="AB1595" s="45">
        <v>0</v>
      </c>
      <c r="AC1595" s="45">
        <v>0</v>
      </c>
      <c r="AD1595" s="45">
        <v>0</v>
      </c>
      <c r="AE1595" s="45">
        <v>0</v>
      </c>
      <c r="AF1595" s="45">
        <v>0</v>
      </c>
      <c r="AG1595" s="45">
        <v>0</v>
      </c>
      <c r="AH1595" s="45">
        <v>0</v>
      </c>
      <c r="AI1595" s="45">
        <v>0</v>
      </c>
      <c r="AJ1595" s="45">
        <v>0</v>
      </c>
      <c r="AK1595" s="45">
        <v>0</v>
      </c>
      <c r="AL1595" s="45">
        <v>0</v>
      </c>
      <c r="AM1595" s="57" t="str">
        <f>I1595-J1595-K1595-L1595-M1595-N1595-O1595-P1595-Q1595-R1595-S1595-T1595-U1595-V1595-W1595-X1595-Y1595-Z1595-AA1595-AB1595-AC1595-AD1595-AE1595-AF1595-AG1595+AH1595-AI1595+AJ1595+AK1595-AL1595</f>
        <v>0</v>
      </c>
      <c r="AN1595" s="45"/>
    </row>
    <row r="1596" spans="1:41">
      <c r="A1596" s="45">
        <v>1568</v>
      </c>
      <c r="B1596" s="45" t="s">
        <v>6132</v>
      </c>
      <c r="C1596" s="49" t="s">
        <v>6133</v>
      </c>
      <c r="D1596" s="53" t="s">
        <v>73</v>
      </c>
      <c r="E1596" s="45" t="s">
        <v>6115</v>
      </c>
      <c r="F1596" s="45" t="s">
        <v>3201</v>
      </c>
      <c r="G1596" s="45">
        <v>4</v>
      </c>
      <c r="H1596" s="53" t="s">
        <v>6134</v>
      </c>
      <c r="I1596" s="45">
        <v>405000</v>
      </c>
      <c r="J1596" s="45">
        <v>0</v>
      </c>
      <c r="K1596" s="45">
        <v>25000</v>
      </c>
      <c r="L1596" s="45">
        <v>0</v>
      </c>
      <c r="M1596" s="45">
        <v>0</v>
      </c>
      <c r="N1596" s="45">
        <v>0</v>
      </c>
      <c r="O1596" s="45">
        <v>0</v>
      </c>
      <c r="P1596" s="45">
        <v>0</v>
      </c>
      <c r="Q1596" s="45">
        <v>0</v>
      </c>
      <c r="R1596" s="45">
        <v>0</v>
      </c>
      <c r="S1596" s="45">
        <v>0</v>
      </c>
      <c r="T1596" s="45">
        <v>0</v>
      </c>
      <c r="U1596" s="45">
        <v>1587</v>
      </c>
      <c r="V1596" s="45">
        <v>0</v>
      </c>
      <c r="W1596" s="45">
        <v>0</v>
      </c>
      <c r="X1596" s="45">
        <v>0</v>
      </c>
      <c r="Y1596" s="45">
        <v>0</v>
      </c>
      <c r="Z1596" s="45">
        <v>0</v>
      </c>
      <c r="AA1596" s="45">
        <v>0</v>
      </c>
      <c r="AB1596" s="45">
        <v>0</v>
      </c>
      <c r="AC1596" s="45">
        <v>0</v>
      </c>
      <c r="AD1596" s="45">
        <v>0</v>
      </c>
      <c r="AE1596" s="45">
        <v>0</v>
      </c>
      <c r="AF1596" s="45">
        <v>0</v>
      </c>
      <c r="AG1596" s="45">
        <v>0</v>
      </c>
      <c r="AH1596" s="45">
        <v>0</v>
      </c>
      <c r="AI1596" s="45">
        <v>0</v>
      </c>
      <c r="AJ1596" s="45">
        <v>0</v>
      </c>
      <c r="AK1596" s="45">
        <v>0</v>
      </c>
      <c r="AL1596" s="45">
        <v>0</v>
      </c>
      <c r="AM1596" s="57" t="str">
        <f>I1596-J1596-K1596-L1596-M1596-N1596-O1596-P1596-Q1596-R1596-S1596-T1596-U1596-V1596-W1596-X1596-Y1596-Z1596-AA1596-AB1596-AC1596-AD1596-AE1596-AF1596-AG1596+AH1596-AI1596+AJ1596+AK1596-AL1596</f>
        <v>0</v>
      </c>
      <c r="AN1596" s="45"/>
    </row>
    <row r="1597" spans="1:41">
      <c r="A1597" s="45">
        <v>1569</v>
      </c>
      <c r="B1597" s="45" t="s">
        <v>6135</v>
      </c>
      <c r="C1597" s="49" t="s">
        <v>6136</v>
      </c>
      <c r="D1597" s="53" t="s">
        <v>62</v>
      </c>
      <c r="E1597" s="45" t="s">
        <v>6115</v>
      </c>
      <c r="F1597" s="45" t="s">
        <v>6137</v>
      </c>
      <c r="G1597" s="45">
        <v>15</v>
      </c>
      <c r="H1597" s="53" t="s">
        <v>6138</v>
      </c>
      <c r="I1597" s="45">
        <v>0</v>
      </c>
      <c r="J1597" s="45">
        <v>16950</v>
      </c>
      <c r="K1597" s="45">
        <v>60000</v>
      </c>
      <c r="L1597" s="45">
        <v>0</v>
      </c>
      <c r="M1597" s="45">
        <v>0</v>
      </c>
      <c r="N1597" s="45">
        <v>0</v>
      </c>
      <c r="O1597" s="45">
        <v>0</v>
      </c>
      <c r="P1597" s="45">
        <v>0</v>
      </c>
      <c r="Q1597" s="45">
        <v>0</v>
      </c>
      <c r="R1597" s="45">
        <v>0</v>
      </c>
      <c r="S1597" s="45">
        <v>0</v>
      </c>
      <c r="T1597" s="45">
        <v>0</v>
      </c>
      <c r="U1597" s="45">
        <v>3810</v>
      </c>
      <c r="V1597" s="45">
        <v>0</v>
      </c>
      <c r="W1597" s="45">
        <v>0</v>
      </c>
      <c r="X1597" s="45">
        <v>0</v>
      </c>
      <c r="Y1597" s="45">
        <v>5000</v>
      </c>
      <c r="Z1597" s="45">
        <v>0</v>
      </c>
      <c r="AA1597" s="45">
        <v>0</v>
      </c>
      <c r="AB1597" s="45">
        <v>0</v>
      </c>
      <c r="AC1597" s="45">
        <v>0</v>
      </c>
      <c r="AD1597" s="45">
        <v>0</v>
      </c>
      <c r="AE1597" s="45">
        <v>0</v>
      </c>
      <c r="AF1597" s="45">
        <v>0</v>
      </c>
      <c r="AG1597" s="45">
        <v>0</v>
      </c>
      <c r="AH1597" s="45">
        <v>0</v>
      </c>
      <c r="AI1597" s="45">
        <v>0</v>
      </c>
      <c r="AJ1597" s="45">
        <v>0</v>
      </c>
      <c r="AK1597" s="45">
        <v>0</v>
      </c>
      <c r="AL1597" s="45">
        <v>0</v>
      </c>
      <c r="AM1597" s="57" t="str">
        <f>I1597-J1597-K1597-L1597-M1597-N1597-O1597-P1597-Q1597-R1597-S1597-T1597-U1597-V1597-W1597-X1597-Y1597-Z1597-AA1597-AB1597-AC1597-AD1597-AE1597-AF1597-AG1597+AH1597-AI1597+AJ1597+AK1597-AL1597</f>
        <v>0</v>
      </c>
      <c r="AN1597" s="45"/>
    </row>
    <row r="1598" spans="1:41">
      <c r="A1598" s="45">
        <v>1570</v>
      </c>
      <c r="B1598" s="45" t="s">
        <v>6139</v>
      </c>
      <c r="C1598" s="49" t="s">
        <v>6140</v>
      </c>
      <c r="D1598" s="53" t="s">
        <v>73</v>
      </c>
      <c r="E1598" s="45" t="s">
        <v>6115</v>
      </c>
      <c r="F1598" s="45" t="s">
        <v>6141</v>
      </c>
      <c r="G1598" s="45">
        <v>3</v>
      </c>
      <c r="H1598" s="53" t="s">
        <v>6142</v>
      </c>
      <c r="I1598" s="45">
        <v>735000</v>
      </c>
      <c r="J1598" s="45">
        <v>0</v>
      </c>
      <c r="K1598" s="45">
        <v>22000</v>
      </c>
      <c r="L1598" s="45">
        <v>0</v>
      </c>
      <c r="M1598" s="45">
        <v>0</v>
      </c>
      <c r="N1598" s="45">
        <v>0</v>
      </c>
      <c r="O1598" s="45">
        <v>0</v>
      </c>
      <c r="P1598" s="45">
        <v>0</v>
      </c>
      <c r="Q1598" s="45">
        <v>0</v>
      </c>
      <c r="R1598" s="45">
        <v>0</v>
      </c>
      <c r="S1598" s="45">
        <v>0</v>
      </c>
      <c r="T1598" s="45">
        <v>0</v>
      </c>
      <c r="U1598" s="45">
        <v>1397</v>
      </c>
      <c r="V1598" s="45">
        <v>0</v>
      </c>
      <c r="W1598" s="45">
        <v>0</v>
      </c>
      <c r="X1598" s="45">
        <v>0</v>
      </c>
      <c r="Y1598" s="45">
        <v>0</v>
      </c>
      <c r="Z1598" s="45">
        <v>0</v>
      </c>
      <c r="AA1598" s="45">
        <v>0</v>
      </c>
      <c r="AB1598" s="45">
        <v>0</v>
      </c>
      <c r="AC1598" s="45">
        <v>0</v>
      </c>
      <c r="AD1598" s="45">
        <v>0</v>
      </c>
      <c r="AE1598" s="45">
        <v>0</v>
      </c>
      <c r="AF1598" s="45">
        <v>0</v>
      </c>
      <c r="AG1598" s="45">
        <v>0</v>
      </c>
      <c r="AH1598" s="45">
        <v>0</v>
      </c>
      <c r="AI1598" s="45">
        <v>0</v>
      </c>
      <c r="AJ1598" s="45">
        <v>0</v>
      </c>
      <c r="AK1598" s="45">
        <v>0</v>
      </c>
      <c r="AL1598" s="45">
        <v>0</v>
      </c>
      <c r="AM1598" s="57" t="str">
        <f>I1598-J1598-K1598-L1598-M1598-N1598-O1598-P1598-Q1598-R1598-S1598-T1598-U1598-V1598-W1598-X1598-Y1598-Z1598-AA1598-AB1598-AC1598-AD1598-AE1598-AF1598-AG1598+AH1598-AI1598+AJ1598+AK1598-AL1598</f>
        <v>0</v>
      </c>
      <c r="AN1598" s="45"/>
    </row>
    <row r="1599" spans="1:41">
      <c r="A1599" s="45">
        <v>1571</v>
      </c>
      <c r="B1599" s="45" t="s">
        <v>6143</v>
      </c>
      <c r="C1599" s="49" t="s">
        <v>6144</v>
      </c>
      <c r="D1599" s="53" t="s">
        <v>73</v>
      </c>
      <c r="E1599" s="45" t="s">
        <v>6115</v>
      </c>
      <c r="F1599" s="45" t="s">
        <v>6145</v>
      </c>
      <c r="G1599" s="45">
        <v>3</v>
      </c>
      <c r="H1599" s="53" t="s">
        <v>6146</v>
      </c>
      <c r="I1599" s="45">
        <v>0</v>
      </c>
      <c r="J1599" s="45">
        <v>0</v>
      </c>
      <c r="K1599" s="45">
        <v>22000</v>
      </c>
      <c r="L1599" s="45">
        <v>0</v>
      </c>
      <c r="M1599" s="45">
        <v>0</v>
      </c>
      <c r="N1599" s="45">
        <v>0</v>
      </c>
      <c r="O1599" s="45">
        <v>0</v>
      </c>
      <c r="P1599" s="45">
        <v>0</v>
      </c>
      <c r="Q1599" s="45">
        <v>0</v>
      </c>
      <c r="R1599" s="45">
        <v>0</v>
      </c>
      <c r="S1599" s="45">
        <v>0</v>
      </c>
      <c r="T1599" s="45">
        <v>0</v>
      </c>
      <c r="U1599" s="45">
        <v>1397</v>
      </c>
      <c r="V1599" s="45">
        <v>0</v>
      </c>
      <c r="W1599" s="45">
        <v>0</v>
      </c>
      <c r="X1599" s="45">
        <v>0</v>
      </c>
      <c r="Y1599" s="45">
        <v>0</v>
      </c>
      <c r="Z1599" s="45">
        <v>0</v>
      </c>
      <c r="AA1599" s="45">
        <v>0</v>
      </c>
      <c r="AB1599" s="45">
        <v>0</v>
      </c>
      <c r="AC1599" s="45">
        <v>0</v>
      </c>
      <c r="AD1599" s="45">
        <v>0</v>
      </c>
      <c r="AE1599" s="45">
        <v>0</v>
      </c>
      <c r="AF1599" s="45">
        <v>0</v>
      </c>
      <c r="AG1599" s="45">
        <v>0</v>
      </c>
      <c r="AH1599" s="45">
        <v>0</v>
      </c>
      <c r="AI1599" s="45">
        <v>0</v>
      </c>
      <c r="AJ1599" s="45">
        <v>0</v>
      </c>
      <c r="AK1599" s="45">
        <v>0</v>
      </c>
      <c r="AL1599" s="45">
        <v>0</v>
      </c>
      <c r="AM1599" s="57" t="str">
        <f>I1599-J1599-K1599-L1599-M1599-N1599-O1599-P1599-Q1599-R1599-S1599-T1599-U1599-V1599-W1599-X1599-Y1599-Z1599-AA1599-AB1599-AC1599-AD1599-AE1599-AF1599-AG1599+AH1599-AI1599+AJ1599+AK1599-AL1599</f>
        <v>0</v>
      </c>
      <c r="AN1599" s="45"/>
    </row>
    <row r="1600" spans="1:41">
      <c r="A1600" s="45">
        <v>1572</v>
      </c>
      <c r="B1600" s="45" t="s">
        <v>6147</v>
      </c>
      <c r="C1600" s="49" t="s">
        <v>6148</v>
      </c>
      <c r="D1600" s="53" t="s">
        <v>73</v>
      </c>
      <c r="E1600" s="45" t="s">
        <v>6115</v>
      </c>
      <c r="F1600" s="45" t="s">
        <v>4327</v>
      </c>
      <c r="G1600" s="45">
        <v>2</v>
      </c>
      <c r="H1600" s="53" t="s">
        <v>6149</v>
      </c>
      <c r="I1600" s="45">
        <v>425000</v>
      </c>
      <c r="J1600" s="45">
        <v>0</v>
      </c>
      <c r="K1600" s="45">
        <v>22000</v>
      </c>
      <c r="L1600" s="45">
        <v>0</v>
      </c>
      <c r="M1600" s="45">
        <v>0</v>
      </c>
      <c r="N1600" s="45">
        <v>0</v>
      </c>
      <c r="O1600" s="45">
        <v>0</v>
      </c>
      <c r="P1600" s="45">
        <v>0</v>
      </c>
      <c r="Q1600" s="45">
        <v>0</v>
      </c>
      <c r="R1600" s="45">
        <v>0</v>
      </c>
      <c r="S1600" s="45">
        <v>0</v>
      </c>
      <c r="T1600" s="45">
        <v>0</v>
      </c>
      <c r="U1600" s="45">
        <v>1397</v>
      </c>
      <c r="V1600" s="45">
        <v>0</v>
      </c>
      <c r="W1600" s="45">
        <v>0</v>
      </c>
      <c r="X1600" s="45">
        <v>0</v>
      </c>
      <c r="Y1600" s="45">
        <v>0</v>
      </c>
      <c r="Z1600" s="45">
        <v>0</v>
      </c>
      <c r="AA1600" s="45">
        <v>0</v>
      </c>
      <c r="AB1600" s="45">
        <v>0</v>
      </c>
      <c r="AC1600" s="45">
        <v>0</v>
      </c>
      <c r="AD1600" s="45">
        <v>0</v>
      </c>
      <c r="AE1600" s="45">
        <v>0</v>
      </c>
      <c r="AF1600" s="45">
        <v>0</v>
      </c>
      <c r="AG1600" s="45">
        <v>0</v>
      </c>
      <c r="AH1600" s="45">
        <v>0</v>
      </c>
      <c r="AI1600" s="45">
        <v>0</v>
      </c>
      <c r="AJ1600" s="45">
        <v>0</v>
      </c>
      <c r="AK1600" s="45">
        <v>0</v>
      </c>
      <c r="AL1600" s="45">
        <v>0</v>
      </c>
      <c r="AM1600" s="57" t="str">
        <f>I1600-J1600-K1600-L1600-M1600-N1600-O1600-P1600-Q1600-R1600-S1600-T1600-U1600-V1600-W1600-X1600-Y1600-Z1600-AA1600-AB1600-AC1600-AD1600-AE1600-AF1600-AG1600+AH1600-AI1600+AJ1600+AK1600-AL1600</f>
        <v>0</v>
      </c>
      <c r="AN1600" s="45"/>
    </row>
    <row r="1601" spans="1:41">
      <c r="A1601" s="45">
        <v>1573</v>
      </c>
      <c r="B1601" s="45" t="s">
        <v>6150</v>
      </c>
      <c r="C1601" s="49" t="s">
        <v>6151</v>
      </c>
      <c r="D1601" s="53" t="s">
        <v>73</v>
      </c>
      <c r="E1601" s="45" t="s">
        <v>6115</v>
      </c>
      <c r="F1601" s="45" t="s">
        <v>6152</v>
      </c>
      <c r="G1601" s="45">
        <v>0.1</v>
      </c>
      <c r="H1601" s="53" t="s">
        <v>6153</v>
      </c>
      <c r="I1601" s="45">
        <v>560000</v>
      </c>
      <c r="J1601" s="45">
        <v>0</v>
      </c>
      <c r="K1601" s="45">
        <v>22000</v>
      </c>
      <c r="L1601" s="45">
        <v>0</v>
      </c>
      <c r="M1601" s="45">
        <v>0</v>
      </c>
      <c r="N1601" s="45">
        <v>0</v>
      </c>
      <c r="O1601" s="45">
        <v>0</v>
      </c>
      <c r="P1601" s="45">
        <v>0</v>
      </c>
      <c r="Q1601" s="45">
        <v>0</v>
      </c>
      <c r="R1601" s="45">
        <v>0</v>
      </c>
      <c r="S1601" s="45">
        <v>0</v>
      </c>
      <c r="T1601" s="45">
        <v>0</v>
      </c>
      <c r="U1601" s="45">
        <v>1397</v>
      </c>
      <c r="V1601" s="45">
        <v>0</v>
      </c>
      <c r="W1601" s="45">
        <v>0</v>
      </c>
      <c r="X1601" s="45">
        <v>0</v>
      </c>
      <c r="Y1601" s="45">
        <v>0</v>
      </c>
      <c r="Z1601" s="45">
        <v>0</v>
      </c>
      <c r="AA1601" s="45">
        <v>0</v>
      </c>
      <c r="AB1601" s="45">
        <v>0</v>
      </c>
      <c r="AC1601" s="45">
        <v>0</v>
      </c>
      <c r="AD1601" s="45">
        <v>0</v>
      </c>
      <c r="AE1601" s="45">
        <v>0</v>
      </c>
      <c r="AF1601" s="45">
        <v>0</v>
      </c>
      <c r="AG1601" s="45">
        <v>0</v>
      </c>
      <c r="AH1601" s="45">
        <v>0</v>
      </c>
      <c r="AI1601" s="45">
        <v>0</v>
      </c>
      <c r="AJ1601" s="45">
        <v>0</v>
      </c>
      <c r="AK1601" s="45">
        <v>0</v>
      </c>
      <c r="AL1601" s="45">
        <v>0</v>
      </c>
      <c r="AM1601" s="57" t="str">
        <f>I1601-J1601-K1601-L1601-M1601-N1601-O1601-P1601-Q1601-R1601-S1601-T1601-U1601-V1601-W1601-X1601-Y1601-Z1601-AA1601-AB1601-AC1601-AD1601-AE1601-AF1601-AG1601+AH1601-AI1601+AJ1601+AK1601-AL1601</f>
        <v>0</v>
      </c>
      <c r="AN1601" s="45"/>
    </row>
    <row r="1602" spans="1:41">
      <c r="A1602" s="45">
        <v>1574</v>
      </c>
      <c r="B1602" s="45" t="s">
        <v>6154</v>
      </c>
      <c r="C1602" s="49" t="s">
        <v>6155</v>
      </c>
      <c r="D1602" s="53" t="s">
        <v>73</v>
      </c>
      <c r="E1602" s="45" t="s">
        <v>6115</v>
      </c>
      <c r="F1602" s="45" t="s">
        <v>6156</v>
      </c>
      <c r="G1602" s="45">
        <v>5</v>
      </c>
      <c r="H1602" s="53" t="s">
        <v>6157</v>
      </c>
      <c r="I1602" s="45">
        <v>819000</v>
      </c>
      <c r="J1602" s="45">
        <v>0</v>
      </c>
      <c r="K1602" s="45">
        <v>27000</v>
      </c>
      <c r="L1602" s="45">
        <v>0</v>
      </c>
      <c r="M1602" s="45">
        <v>0</v>
      </c>
      <c r="N1602" s="45">
        <v>0</v>
      </c>
      <c r="O1602" s="45">
        <v>0</v>
      </c>
      <c r="P1602" s="45">
        <v>0</v>
      </c>
      <c r="Q1602" s="45">
        <v>0</v>
      </c>
      <c r="R1602" s="45">
        <v>0</v>
      </c>
      <c r="S1602" s="45">
        <v>0</v>
      </c>
      <c r="T1602" s="45">
        <v>0</v>
      </c>
      <c r="U1602" s="45">
        <v>1714</v>
      </c>
      <c r="V1602" s="45">
        <v>0</v>
      </c>
      <c r="W1602" s="45">
        <v>0</v>
      </c>
      <c r="X1602" s="45">
        <v>0</v>
      </c>
      <c r="Y1602" s="45">
        <v>0</v>
      </c>
      <c r="Z1602" s="45">
        <v>0</v>
      </c>
      <c r="AA1602" s="45">
        <v>0</v>
      </c>
      <c r="AB1602" s="45">
        <v>0</v>
      </c>
      <c r="AC1602" s="45">
        <v>0</v>
      </c>
      <c r="AD1602" s="45">
        <v>0</v>
      </c>
      <c r="AE1602" s="45">
        <v>0</v>
      </c>
      <c r="AF1602" s="45">
        <v>0</v>
      </c>
      <c r="AG1602" s="45">
        <v>0</v>
      </c>
      <c r="AH1602" s="45">
        <v>0</v>
      </c>
      <c r="AI1602" s="45">
        <v>0</v>
      </c>
      <c r="AJ1602" s="45">
        <v>0</v>
      </c>
      <c r="AK1602" s="45">
        <v>0</v>
      </c>
      <c r="AL1602" s="45">
        <v>0</v>
      </c>
      <c r="AM1602" s="57" t="str">
        <f>I1602-J1602-K1602-L1602-M1602-N1602-O1602-P1602-Q1602-R1602-S1602-T1602-U1602-V1602-W1602-X1602-Y1602-Z1602-AA1602-AB1602-AC1602-AD1602-AE1602-AF1602-AG1602+AH1602-AI1602+AJ1602+AK1602-AL1602</f>
        <v>0</v>
      </c>
      <c r="AN1602" s="45"/>
    </row>
    <row r="1603" spans="1:41">
      <c r="A1603" s="45">
        <v>1575</v>
      </c>
      <c r="B1603" s="45" t="s">
        <v>6158</v>
      </c>
      <c r="C1603" s="49" t="s">
        <v>6159</v>
      </c>
      <c r="D1603" s="53" t="s">
        <v>73</v>
      </c>
      <c r="E1603" s="45" t="s">
        <v>6115</v>
      </c>
      <c r="F1603" s="45" t="s">
        <v>5654</v>
      </c>
      <c r="G1603" s="45">
        <v>5</v>
      </c>
      <c r="H1603" s="53" t="s">
        <v>6160</v>
      </c>
      <c r="I1603" s="45">
        <v>664000</v>
      </c>
      <c r="J1603" s="45">
        <v>0</v>
      </c>
      <c r="K1603" s="45">
        <v>27000</v>
      </c>
      <c r="L1603" s="45">
        <v>0</v>
      </c>
      <c r="M1603" s="45">
        <v>0</v>
      </c>
      <c r="N1603" s="45">
        <v>0</v>
      </c>
      <c r="O1603" s="45">
        <v>0</v>
      </c>
      <c r="P1603" s="45">
        <v>0</v>
      </c>
      <c r="Q1603" s="45">
        <v>0</v>
      </c>
      <c r="R1603" s="45">
        <v>0</v>
      </c>
      <c r="S1603" s="45">
        <v>0</v>
      </c>
      <c r="T1603" s="45">
        <v>0</v>
      </c>
      <c r="U1603" s="45">
        <v>1714</v>
      </c>
      <c r="V1603" s="45">
        <v>0</v>
      </c>
      <c r="W1603" s="45">
        <v>0</v>
      </c>
      <c r="X1603" s="45">
        <v>0</v>
      </c>
      <c r="Y1603" s="45">
        <v>0</v>
      </c>
      <c r="Z1603" s="45">
        <v>0</v>
      </c>
      <c r="AA1603" s="45">
        <v>0</v>
      </c>
      <c r="AB1603" s="45">
        <v>0</v>
      </c>
      <c r="AC1603" s="45">
        <v>0</v>
      </c>
      <c r="AD1603" s="45">
        <v>0</v>
      </c>
      <c r="AE1603" s="45">
        <v>0</v>
      </c>
      <c r="AF1603" s="45">
        <v>0</v>
      </c>
      <c r="AG1603" s="45">
        <v>0</v>
      </c>
      <c r="AH1603" s="45">
        <v>0</v>
      </c>
      <c r="AI1603" s="45">
        <v>0</v>
      </c>
      <c r="AJ1603" s="45">
        <v>0</v>
      </c>
      <c r="AK1603" s="45">
        <v>0</v>
      </c>
      <c r="AL1603" s="45">
        <v>0</v>
      </c>
      <c r="AM1603" s="57" t="str">
        <f>I1603-J1603-K1603-L1603-M1603-N1603-O1603-P1603-Q1603-R1603-S1603-T1603-U1603-V1603-W1603-X1603-Y1603-Z1603-AA1603-AB1603-AC1603-AD1603-AE1603-AF1603-AG1603+AH1603-AI1603+AJ1603+AK1603-AL1603</f>
        <v>0</v>
      </c>
      <c r="AN1603" s="45"/>
    </row>
    <row r="1604" spans="1:41">
      <c r="A1604" s="45">
        <v>1576</v>
      </c>
      <c r="B1604" s="45" t="s">
        <v>6161</v>
      </c>
      <c r="C1604" s="49" t="s">
        <v>6162</v>
      </c>
      <c r="D1604" s="53" t="s">
        <v>73</v>
      </c>
      <c r="E1604" s="45" t="s">
        <v>6115</v>
      </c>
      <c r="F1604" s="45" t="s">
        <v>5129</v>
      </c>
      <c r="G1604" s="45">
        <v>2</v>
      </c>
      <c r="H1604" s="53" t="s">
        <v>6163</v>
      </c>
      <c r="I1604" s="45">
        <v>365000</v>
      </c>
      <c r="J1604" s="45">
        <v>0</v>
      </c>
      <c r="K1604" s="45">
        <v>22000</v>
      </c>
      <c r="L1604" s="45">
        <v>0</v>
      </c>
      <c r="M1604" s="45">
        <v>0</v>
      </c>
      <c r="N1604" s="45">
        <v>0</v>
      </c>
      <c r="O1604" s="45">
        <v>0</v>
      </c>
      <c r="P1604" s="45">
        <v>0</v>
      </c>
      <c r="Q1604" s="45">
        <v>0</v>
      </c>
      <c r="R1604" s="45">
        <v>0</v>
      </c>
      <c r="S1604" s="45">
        <v>0</v>
      </c>
      <c r="T1604" s="45">
        <v>0</v>
      </c>
      <c r="U1604" s="45">
        <v>1397</v>
      </c>
      <c r="V1604" s="45">
        <v>0</v>
      </c>
      <c r="W1604" s="45">
        <v>0</v>
      </c>
      <c r="X1604" s="45">
        <v>0</v>
      </c>
      <c r="Y1604" s="45">
        <v>0</v>
      </c>
      <c r="Z1604" s="45">
        <v>0</v>
      </c>
      <c r="AA1604" s="45">
        <v>0</v>
      </c>
      <c r="AB1604" s="45">
        <v>0</v>
      </c>
      <c r="AC1604" s="45">
        <v>0</v>
      </c>
      <c r="AD1604" s="45">
        <v>0</v>
      </c>
      <c r="AE1604" s="45">
        <v>0</v>
      </c>
      <c r="AF1604" s="45">
        <v>0</v>
      </c>
      <c r="AG1604" s="45">
        <v>0</v>
      </c>
      <c r="AH1604" s="45">
        <v>0</v>
      </c>
      <c r="AI1604" s="45">
        <v>0</v>
      </c>
      <c r="AJ1604" s="45">
        <v>0</v>
      </c>
      <c r="AK1604" s="45">
        <v>0</v>
      </c>
      <c r="AL1604" s="45">
        <v>0</v>
      </c>
      <c r="AM1604" s="57" t="str">
        <f>I1604-J1604-K1604-L1604-M1604-N1604-O1604-P1604-Q1604-R1604-S1604-T1604-U1604-V1604-W1604-X1604-Y1604-Z1604-AA1604-AB1604-AC1604-AD1604-AE1604-AF1604-AG1604+AH1604-AI1604+AJ1604+AK1604-AL1604</f>
        <v>0</v>
      </c>
      <c r="AN1604" s="45"/>
    </row>
    <row r="1605" spans="1:41">
      <c r="A1605" s="45">
        <v>1577</v>
      </c>
      <c r="B1605" s="45" t="s">
        <v>6164</v>
      </c>
      <c r="C1605" s="49" t="s">
        <v>6165</v>
      </c>
      <c r="D1605" s="53" t="s">
        <v>73</v>
      </c>
      <c r="E1605" s="45" t="s">
        <v>6115</v>
      </c>
      <c r="F1605" s="45" t="s">
        <v>6166</v>
      </c>
      <c r="G1605" s="45">
        <v>2</v>
      </c>
      <c r="H1605" s="53" t="s">
        <v>6167</v>
      </c>
      <c r="I1605" s="45">
        <v>350000</v>
      </c>
      <c r="J1605" s="45">
        <v>0</v>
      </c>
      <c r="K1605" s="45">
        <v>22000</v>
      </c>
      <c r="L1605" s="45">
        <v>0</v>
      </c>
      <c r="M1605" s="45">
        <v>0</v>
      </c>
      <c r="N1605" s="45">
        <v>0</v>
      </c>
      <c r="O1605" s="45">
        <v>0</v>
      </c>
      <c r="P1605" s="45">
        <v>0</v>
      </c>
      <c r="Q1605" s="45">
        <v>0</v>
      </c>
      <c r="R1605" s="45">
        <v>0</v>
      </c>
      <c r="S1605" s="45">
        <v>0</v>
      </c>
      <c r="T1605" s="45">
        <v>0</v>
      </c>
      <c r="U1605" s="45">
        <v>1397</v>
      </c>
      <c r="V1605" s="45">
        <v>0</v>
      </c>
      <c r="W1605" s="45">
        <v>0</v>
      </c>
      <c r="X1605" s="45">
        <v>0</v>
      </c>
      <c r="Y1605" s="45">
        <v>0</v>
      </c>
      <c r="Z1605" s="45">
        <v>0</v>
      </c>
      <c r="AA1605" s="45">
        <v>0</v>
      </c>
      <c r="AB1605" s="45">
        <v>0</v>
      </c>
      <c r="AC1605" s="45">
        <v>0</v>
      </c>
      <c r="AD1605" s="45">
        <v>0</v>
      </c>
      <c r="AE1605" s="45">
        <v>0</v>
      </c>
      <c r="AF1605" s="45">
        <v>0</v>
      </c>
      <c r="AG1605" s="45">
        <v>0</v>
      </c>
      <c r="AH1605" s="45">
        <v>0</v>
      </c>
      <c r="AI1605" s="45">
        <v>0</v>
      </c>
      <c r="AJ1605" s="45">
        <v>0</v>
      </c>
      <c r="AK1605" s="45">
        <v>0</v>
      </c>
      <c r="AL1605" s="45">
        <v>0</v>
      </c>
      <c r="AM1605" s="57" t="str">
        <f>I1605-J1605-K1605-L1605-M1605-N1605-O1605-P1605-Q1605-R1605-S1605-T1605-U1605-V1605-W1605-X1605-Y1605-Z1605-AA1605-AB1605-AC1605-AD1605-AE1605-AF1605-AG1605+AH1605-AI1605+AJ1605+AK1605-AL1605</f>
        <v>0</v>
      </c>
      <c r="AN1605" s="45"/>
    </row>
    <row r="1606" spans="1:41">
      <c r="A1606" s="45">
        <v>1578</v>
      </c>
      <c r="B1606" s="45" t="s">
        <v>6168</v>
      </c>
      <c r="C1606" s="49" t="s">
        <v>6169</v>
      </c>
      <c r="D1606" s="53" t="s">
        <v>73</v>
      </c>
      <c r="E1606" s="45" t="s">
        <v>6115</v>
      </c>
      <c r="F1606" s="45" t="s">
        <v>6170</v>
      </c>
      <c r="G1606" s="45">
        <v>3</v>
      </c>
      <c r="H1606" s="53" t="s">
        <v>6171</v>
      </c>
      <c r="I1606" s="45">
        <v>810000</v>
      </c>
      <c r="J1606" s="45">
        <v>0</v>
      </c>
      <c r="K1606" s="45">
        <v>22000</v>
      </c>
      <c r="L1606" s="45">
        <v>0</v>
      </c>
      <c r="M1606" s="45">
        <v>0</v>
      </c>
      <c r="N1606" s="45">
        <v>0</v>
      </c>
      <c r="O1606" s="45">
        <v>0</v>
      </c>
      <c r="P1606" s="45">
        <v>0</v>
      </c>
      <c r="Q1606" s="45">
        <v>0</v>
      </c>
      <c r="R1606" s="45">
        <v>0</v>
      </c>
      <c r="S1606" s="45">
        <v>0</v>
      </c>
      <c r="T1606" s="45">
        <v>0</v>
      </c>
      <c r="U1606" s="45">
        <v>1397</v>
      </c>
      <c r="V1606" s="45">
        <v>0</v>
      </c>
      <c r="W1606" s="45">
        <v>0</v>
      </c>
      <c r="X1606" s="45">
        <v>0</v>
      </c>
      <c r="Y1606" s="45">
        <v>0</v>
      </c>
      <c r="Z1606" s="45">
        <v>0</v>
      </c>
      <c r="AA1606" s="45">
        <v>0</v>
      </c>
      <c r="AB1606" s="45">
        <v>0</v>
      </c>
      <c r="AC1606" s="45">
        <v>0</v>
      </c>
      <c r="AD1606" s="45">
        <v>0</v>
      </c>
      <c r="AE1606" s="45">
        <v>0</v>
      </c>
      <c r="AF1606" s="45">
        <v>0</v>
      </c>
      <c r="AG1606" s="45">
        <v>0</v>
      </c>
      <c r="AH1606" s="45">
        <v>0</v>
      </c>
      <c r="AI1606" s="45">
        <v>0</v>
      </c>
      <c r="AJ1606" s="45">
        <v>0</v>
      </c>
      <c r="AK1606" s="45">
        <v>0</v>
      </c>
      <c r="AL1606" s="45">
        <v>0</v>
      </c>
      <c r="AM1606" s="57" t="str">
        <f>I1606-J1606-K1606-L1606-M1606-N1606-O1606-P1606-Q1606-R1606-S1606-T1606-U1606-V1606-W1606-X1606-Y1606-Z1606-AA1606-AB1606-AC1606-AD1606-AE1606-AF1606-AG1606+AH1606-AI1606+AJ1606+AK1606-AL1606</f>
        <v>0</v>
      </c>
      <c r="AN1606" s="45"/>
    </row>
    <row r="1607" spans="1:41">
      <c r="A1607" s="45">
        <v>1579</v>
      </c>
      <c r="B1607" s="45" t="s">
        <v>6172</v>
      </c>
      <c r="C1607" s="49" t="s">
        <v>6173</v>
      </c>
      <c r="D1607" s="53" t="s">
        <v>73</v>
      </c>
      <c r="E1607" s="45" t="s">
        <v>6115</v>
      </c>
      <c r="F1607" s="45" t="s">
        <v>6174</v>
      </c>
      <c r="G1607" s="45">
        <v>5</v>
      </c>
      <c r="H1607" s="53" t="s">
        <v>6175</v>
      </c>
      <c r="I1607" s="45">
        <v>513000</v>
      </c>
      <c r="J1607" s="45">
        <v>0</v>
      </c>
      <c r="K1607" s="45">
        <v>27000</v>
      </c>
      <c r="L1607" s="45">
        <v>0</v>
      </c>
      <c r="M1607" s="45">
        <v>0</v>
      </c>
      <c r="N1607" s="45">
        <v>0</v>
      </c>
      <c r="O1607" s="45">
        <v>0</v>
      </c>
      <c r="P1607" s="45">
        <v>0</v>
      </c>
      <c r="Q1607" s="45">
        <v>0</v>
      </c>
      <c r="R1607" s="45">
        <v>0</v>
      </c>
      <c r="S1607" s="45">
        <v>0</v>
      </c>
      <c r="T1607" s="45">
        <v>0</v>
      </c>
      <c r="U1607" s="45">
        <v>1714</v>
      </c>
      <c r="V1607" s="45">
        <v>0</v>
      </c>
      <c r="W1607" s="45">
        <v>0</v>
      </c>
      <c r="X1607" s="45">
        <v>0</v>
      </c>
      <c r="Y1607" s="45">
        <v>0</v>
      </c>
      <c r="Z1607" s="45">
        <v>0</v>
      </c>
      <c r="AA1607" s="45">
        <v>0</v>
      </c>
      <c r="AB1607" s="45">
        <v>0</v>
      </c>
      <c r="AC1607" s="45">
        <v>0</v>
      </c>
      <c r="AD1607" s="45">
        <v>0</v>
      </c>
      <c r="AE1607" s="45">
        <v>0</v>
      </c>
      <c r="AF1607" s="45">
        <v>0</v>
      </c>
      <c r="AG1607" s="45">
        <v>0</v>
      </c>
      <c r="AH1607" s="45">
        <v>0</v>
      </c>
      <c r="AI1607" s="45">
        <v>0</v>
      </c>
      <c r="AJ1607" s="45">
        <v>0</v>
      </c>
      <c r="AK1607" s="45">
        <v>0</v>
      </c>
      <c r="AL1607" s="45">
        <v>0</v>
      </c>
      <c r="AM1607" s="57" t="str">
        <f>I1607-J1607-K1607-L1607-M1607-N1607-O1607-P1607-Q1607-R1607-S1607-T1607-U1607-V1607-W1607-X1607-Y1607-Z1607-AA1607-AB1607-AC1607-AD1607-AE1607-AF1607-AG1607+AH1607-AI1607+AJ1607+AK1607-AL1607</f>
        <v>0</v>
      </c>
      <c r="AN1607" s="45"/>
    </row>
    <row r="1608" spans="1:41">
      <c r="A1608" s="45">
        <v>1580</v>
      </c>
      <c r="B1608" s="45" t="s">
        <v>6176</v>
      </c>
      <c r="C1608" s="49" t="s">
        <v>6177</v>
      </c>
      <c r="D1608" s="53" t="s">
        <v>73</v>
      </c>
      <c r="E1608" s="45" t="s">
        <v>6115</v>
      </c>
      <c r="F1608" s="45" t="s">
        <v>5250</v>
      </c>
      <c r="G1608" s="45">
        <v>5.2</v>
      </c>
      <c r="H1608" s="53" t="s">
        <v>6178</v>
      </c>
      <c r="I1608" s="45">
        <v>805000</v>
      </c>
      <c r="J1608" s="45">
        <v>0</v>
      </c>
      <c r="K1608" s="45">
        <v>31000</v>
      </c>
      <c r="L1608" s="45">
        <v>0</v>
      </c>
      <c r="M1608" s="45">
        <v>0</v>
      </c>
      <c r="N1608" s="45">
        <v>0</v>
      </c>
      <c r="O1608" s="45">
        <v>0</v>
      </c>
      <c r="P1608" s="45">
        <v>0</v>
      </c>
      <c r="Q1608" s="45">
        <v>0</v>
      </c>
      <c r="R1608" s="45">
        <v>0</v>
      </c>
      <c r="S1608" s="45">
        <v>0</v>
      </c>
      <c r="T1608" s="45">
        <v>0</v>
      </c>
      <c r="U1608" s="45">
        <v>1968</v>
      </c>
      <c r="V1608" s="45">
        <v>0</v>
      </c>
      <c r="W1608" s="45">
        <v>0</v>
      </c>
      <c r="X1608" s="45">
        <v>0</v>
      </c>
      <c r="Y1608" s="45">
        <v>0</v>
      </c>
      <c r="Z1608" s="45">
        <v>0</v>
      </c>
      <c r="AA1608" s="45">
        <v>0</v>
      </c>
      <c r="AB1608" s="45">
        <v>0</v>
      </c>
      <c r="AC1608" s="45">
        <v>0</v>
      </c>
      <c r="AD1608" s="45">
        <v>0</v>
      </c>
      <c r="AE1608" s="45">
        <v>0</v>
      </c>
      <c r="AF1608" s="45">
        <v>0</v>
      </c>
      <c r="AG1608" s="45">
        <v>0</v>
      </c>
      <c r="AH1608" s="45">
        <v>0</v>
      </c>
      <c r="AI1608" s="45">
        <v>0</v>
      </c>
      <c r="AJ1608" s="45">
        <v>0</v>
      </c>
      <c r="AK1608" s="45">
        <v>0</v>
      </c>
      <c r="AL1608" s="45">
        <v>0</v>
      </c>
      <c r="AM1608" s="57" t="str">
        <f>I1608-J1608-K1608-L1608-M1608-N1608-O1608-P1608-Q1608-R1608-S1608-T1608-U1608-V1608-W1608-X1608-Y1608-Z1608-AA1608-AB1608-AC1608-AD1608-AE1608-AF1608-AG1608+AH1608-AI1608+AJ1608+AK1608-AL1608</f>
        <v>0</v>
      </c>
      <c r="AN1608" s="45"/>
    </row>
    <row r="1609" spans="1:41">
      <c r="A1609" s="45">
        <v>1581</v>
      </c>
      <c r="B1609" s="45" t="s">
        <v>6179</v>
      </c>
      <c r="C1609" s="49" t="s">
        <v>6180</v>
      </c>
      <c r="D1609" s="53" t="s">
        <v>73</v>
      </c>
      <c r="E1609" s="45" t="s">
        <v>6115</v>
      </c>
      <c r="F1609" s="45" t="s">
        <v>4483</v>
      </c>
      <c r="G1609" s="45">
        <v>8</v>
      </c>
      <c r="H1609" s="53" t="s">
        <v>6181</v>
      </c>
      <c r="I1609" s="45">
        <v>2250000</v>
      </c>
      <c r="J1609" s="45">
        <v>0</v>
      </c>
      <c r="K1609" s="45">
        <v>39000</v>
      </c>
      <c r="L1609" s="45">
        <v>0</v>
      </c>
      <c r="M1609" s="45">
        <v>0</v>
      </c>
      <c r="N1609" s="45">
        <v>0</v>
      </c>
      <c r="O1609" s="45">
        <v>0</v>
      </c>
      <c r="P1609" s="45">
        <v>0</v>
      </c>
      <c r="Q1609" s="45">
        <v>0</v>
      </c>
      <c r="R1609" s="45">
        <v>0</v>
      </c>
      <c r="S1609" s="45">
        <v>0</v>
      </c>
      <c r="T1609" s="45">
        <v>0</v>
      </c>
      <c r="U1609" s="45">
        <v>2476</v>
      </c>
      <c r="V1609" s="45">
        <v>0</v>
      </c>
      <c r="W1609" s="45">
        <v>0</v>
      </c>
      <c r="X1609" s="45">
        <v>0</v>
      </c>
      <c r="Y1609" s="45">
        <v>0</v>
      </c>
      <c r="Z1609" s="45">
        <v>0</v>
      </c>
      <c r="AA1609" s="45">
        <v>0</v>
      </c>
      <c r="AB1609" s="45">
        <v>0</v>
      </c>
      <c r="AC1609" s="45">
        <v>0</v>
      </c>
      <c r="AD1609" s="45">
        <v>0</v>
      </c>
      <c r="AE1609" s="45">
        <v>0</v>
      </c>
      <c r="AF1609" s="45">
        <v>0</v>
      </c>
      <c r="AG1609" s="45">
        <v>0</v>
      </c>
      <c r="AH1609" s="45">
        <v>0</v>
      </c>
      <c r="AI1609" s="45">
        <v>0</v>
      </c>
      <c r="AJ1609" s="45">
        <v>0</v>
      </c>
      <c r="AK1609" s="45">
        <v>0</v>
      </c>
      <c r="AL1609" s="45">
        <v>0</v>
      </c>
      <c r="AM1609" s="57" t="str">
        <f>I1609-J1609-K1609-L1609-M1609-N1609-O1609-P1609-Q1609-R1609-S1609-T1609-U1609-V1609-W1609-X1609-Y1609-Z1609-AA1609-AB1609-AC1609-AD1609-AE1609-AF1609-AG1609+AH1609-AI1609+AJ1609+AK1609-AL1609</f>
        <v>0</v>
      </c>
      <c r="AN1609" s="45"/>
    </row>
    <row r="1610" spans="1:41">
      <c r="A1610" s="45">
        <v>1582</v>
      </c>
      <c r="B1610" s="45" t="s">
        <v>6182</v>
      </c>
      <c r="C1610" s="49" t="s">
        <v>6183</v>
      </c>
      <c r="D1610" s="53" t="s">
        <v>73</v>
      </c>
      <c r="E1610" s="45" t="s">
        <v>6115</v>
      </c>
      <c r="F1610" s="45" t="s">
        <v>1646</v>
      </c>
      <c r="G1610" s="45">
        <v>2</v>
      </c>
      <c r="H1610" s="53" t="s">
        <v>6184</v>
      </c>
      <c r="I1610" s="45">
        <v>264000</v>
      </c>
      <c r="J1610" s="45">
        <v>0</v>
      </c>
      <c r="K1610" s="45">
        <v>22000</v>
      </c>
      <c r="L1610" s="45">
        <v>0</v>
      </c>
      <c r="M1610" s="45">
        <v>0</v>
      </c>
      <c r="N1610" s="45">
        <v>0</v>
      </c>
      <c r="O1610" s="45">
        <v>0</v>
      </c>
      <c r="P1610" s="45">
        <v>0</v>
      </c>
      <c r="Q1610" s="45">
        <v>0</v>
      </c>
      <c r="R1610" s="45">
        <v>0</v>
      </c>
      <c r="S1610" s="45">
        <v>0</v>
      </c>
      <c r="T1610" s="45">
        <v>0</v>
      </c>
      <c r="U1610" s="45">
        <v>1397</v>
      </c>
      <c r="V1610" s="45">
        <v>0</v>
      </c>
      <c r="W1610" s="45">
        <v>0</v>
      </c>
      <c r="X1610" s="45">
        <v>0</v>
      </c>
      <c r="Y1610" s="45">
        <v>0</v>
      </c>
      <c r="Z1610" s="45">
        <v>0</v>
      </c>
      <c r="AA1610" s="45">
        <v>0</v>
      </c>
      <c r="AB1610" s="45">
        <v>0</v>
      </c>
      <c r="AC1610" s="45">
        <v>0</v>
      </c>
      <c r="AD1610" s="45">
        <v>0</v>
      </c>
      <c r="AE1610" s="45">
        <v>0</v>
      </c>
      <c r="AF1610" s="45">
        <v>0</v>
      </c>
      <c r="AG1610" s="45">
        <v>0</v>
      </c>
      <c r="AH1610" s="45">
        <v>0</v>
      </c>
      <c r="AI1610" s="45">
        <v>0</v>
      </c>
      <c r="AJ1610" s="45">
        <v>0</v>
      </c>
      <c r="AK1610" s="45">
        <v>0</v>
      </c>
      <c r="AL1610" s="45">
        <v>0</v>
      </c>
      <c r="AM1610" s="57" t="str">
        <f>I1610-J1610-K1610-L1610-M1610-N1610-O1610-P1610-Q1610-R1610-S1610-T1610-U1610-V1610-W1610-X1610-Y1610-Z1610-AA1610-AB1610-AC1610-AD1610-AE1610-AF1610-AG1610+AH1610-AI1610+AJ1610+AK1610-AL1610</f>
        <v>0</v>
      </c>
      <c r="AN1610" s="45"/>
    </row>
    <row r="1611" spans="1:41">
      <c r="A1611" s="45">
        <v>1583</v>
      </c>
      <c r="B1611" s="45" t="s">
        <v>6185</v>
      </c>
      <c r="C1611" s="49" t="s">
        <v>6186</v>
      </c>
      <c r="D1611" s="53" t="s">
        <v>73</v>
      </c>
      <c r="E1611" s="45" t="s">
        <v>6115</v>
      </c>
      <c r="F1611" s="45" t="s">
        <v>3392</v>
      </c>
      <c r="G1611" s="45">
        <v>3</v>
      </c>
      <c r="H1611" s="53" t="s">
        <v>6187</v>
      </c>
      <c r="I1611" s="45">
        <v>435500</v>
      </c>
      <c r="J1611" s="45">
        <v>0</v>
      </c>
      <c r="K1611" s="45">
        <v>22000</v>
      </c>
      <c r="L1611" s="45">
        <v>0</v>
      </c>
      <c r="M1611" s="45">
        <v>0</v>
      </c>
      <c r="N1611" s="45">
        <v>0</v>
      </c>
      <c r="O1611" s="45">
        <v>0</v>
      </c>
      <c r="P1611" s="45">
        <v>0</v>
      </c>
      <c r="Q1611" s="45">
        <v>0</v>
      </c>
      <c r="R1611" s="45">
        <v>0</v>
      </c>
      <c r="S1611" s="45">
        <v>0</v>
      </c>
      <c r="T1611" s="45">
        <v>0</v>
      </c>
      <c r="U1611" s="45">
        <v>1397</v>
      </c>
      <c r="V1611" s="45">
        <v>0</v>
      </c>
      <c r="W1611" s="45">
        <v>0</v>
      </c>
      <c r="X1611" s="45">
        <v>0</v>
      </c>
      <c r="Y1611" s="45">
        <v>0</v>
      </c>
      <c r="Z1611" s="45">
        <v>0</v>
      </c>
      <c r="AA1611" s="45">
        <v>0</v>
      </c>
      <c r="AB1611" s="45">
        <v>0</v>
      </c>
      <c r="AC1611" s="45">
        <v>0</v>
      </c>
      <c r="AD1611" s="45">
        <v>0</v>
      </c>
      <c r="AE1611" s="45">
        <v>0</v>
      </c>
      <c r="AF1611" s="45">
        <v>0</v>
      </c>
      <c r="AG1611" s="45">
        <v>0</v>
      </c>
      <c r="AH1611" s="45">
        <v>0</v>
      </c>
      <c r="AI1611" s="45">
        <v>0</v>
      </c>
      <c r="AJ1611" s="45">
        <v>0</v>
      </c>
      <c r="AK1611" s="45">
        <v>0</v>
      </c>
      <c r="AL1611" s="45">
        <v>0</v>
      </c>
      <c r="AM1611" s="57" t="str">
        <f>I1611-J1611-K1611-L1611-M1611-N1611-O1611-P1611-Q1611-R1611-S1611-T1611-U1611-V1611-W1611-X1611-Y1611-Z1611-AA1611-AB1611-AC1611-AD1611-AE1611-AF1611-AG1611+AH1611-AI1611+AJ1611+AK1611-AL1611</f>
        <v>0</v>
      </c>
      <c r="AN1611" s="45"/>
    </row>
    <row r="1612" spans="1:41">
      <c r="A1612" s="45">
        <v>1584</v>
      </c>
      <c r="B1612" s="45" t="s">
        <v>6188</v>
      </c>
      <c r="C1612" s="49" t="s">
        <v>6189</v>
      </c>
      <c r="D1612" s="53" t="s">
        <v>73</v>
      </c>
      <c r="E1612" s="45" t="s">
        <v>6115</v>
      </c>
      <c r="F1612" s="45" t="s">
        <v>6190</v>
      </c>
      <c r="G1612" s="45">
        <v>4</v>
      </c>
      <c r="H1612" s="53" t="s">
        <v>6191</v>
      </c>
      <c r="I1612" s="45">
        <v>510000</v>
      </c>
      <c r="J1612" s="45">
        <v>0</v>
      </c>
      <c r="K1612" s="45">
        <v>25000</v>
      </c>
      <c r="L1612" s="45">
        <v>0</v>
      </c>
      <c r="M1612" s="45">
        <v>0</v>
      </c>
      <c r="N1612" s="45">
        <v>0</v>
      </c>
      <c r="O1612" s="45">
        <v>0</v>
      </c>
      <c r="P1612" s="45">
        <v>0</v>
      </c>
      <c r="Q1612" s="45">
        <v>0</v>
      </c>
      <c r="R1612" s="45">
        <v>0</v>
      </c>
      <c r="S1612" s="45">
        <v>0</v>
      </c>
      <c r="T1612" s="45">
        <v>0</v>
      </c>
      <c r="U1612" s="45">
        <v>1587</v>
      </c>
      <c r="V1612" s="45">
        <v>0</v>
      </c>
      <c r="W1612" s="45">
        <v>0</v>
      </c>
      <c r="X1612" s="45">
        <v>0</v>
      </c>
      <c r="Y1612" s="45">
        <v>0</v>
      </c>
      <c r="Z1612" s="45">
        <v>0</v>
      </c>
      <c r="AA1612" s="45">
        <v>0</v>
      </c>
      <c r="AB1612" s="45">
        <v>0</v>
      </c>
      <c r="AC1612" s="45">
        <v>0</v>
      </c>
      <c r="AD1612" s="45">
        <v>0</v>
      </c>
      <c r="AE1612" s="45">
        <v>0</v>
      </c>
      <c r="AF1612" s="45">
        <v>0</v>
      </c>
      <c r="AG1612" s="45">
        <v>0</v>
      </c>
      <c r="AH1612" s="45">
        <v>0</v>
      </c>
      <c r="AI1612" s="45">
        <v>0</v>
      </c>
      <c r="AJ1612" s="45">
        <v>0</v>
      </c>
      <c r="AK1612" s="45">
        <v>0</v>
      </c>
      <c r="AL1612" s="45">
        <v>0</v>
      </c>
      <c r="AM1612" s="57" t="str">
        <f>I1612-J1612-K1612-L1612-M1612-N1612-O1612-P1612-Q1612-R1612-S1612-T1612-U1612-V1612-W1612-X1612-Y1612-Z1612-AA1612-AB1612-AC1612-AD1612-AE1612-AF1612-AG1612+AH1612-AI1612+AJ1612+AK1612-AL1612</f>
        <v>0</v>
      </c>
      <c r="AN1612" s="45"/>
    </row>
    <row r="1613" spans="1:41">
      <c r="A1613" s="45">
        <v>1585</v>
      </c>
      <c r="B1613" s="45" t="s">
        <v>6192</v>
      </c>
      <c r="C1613" s="49" t="s">
        <v>6193</v>
      </c>
      <c r="D1613" s="53" t="s">
        <v>73</v>
      </c>
      <c r="E1613" s="45" t="s">
        <v>6115</v>
      </c>
      <c r="F1613" s="45" t="s">
        <v>5696</v>
      </c>
      <c r="G1613" s="45">
        <v>3</v>
      </c>
      <c r="H1613" s="53" t="s">
        <v>6194</v>
      </c>
      <c r="I1613" s="45">
        <v>320000</v>
      </c>
      <c r="J1613" s="45">
        <v>0</v>
      </c>
      <c r="K1613" s="45">
        <v>22000</v>
      </c>
      <c r="L1613" s="45">
        <v>0</v>
      </c>
      <c r="M1613" s="45">
        <v>0</v>
      </c>
      <c r="N1613" s="45">
        <v>0</v>
      </c>
      <c r="O1613" s="45">
        <v>0</v>
      </c>
      <c r="P1613" s="45">
        <v>0</v>
      </c>
      <c r="Q1613" s="45">
        <v>0</v>
      </c>
      <c r="R1613" s="45">
        <v>0</v>
      </c>
      <c r="S1613" s="45">
        <v>0</v>
      </c>
      <c r="T1613" s="45">
        <v>0</v>
      </c>
      <c r="U1613" s="45">
        <v>1397</v>
      </c>
      <c r="V1613" s="45">
        <v>0</v>
      </c>
      <c r="W1613" s="45">
        <v>0</v>
      </c>
      <c r="X1613" s="45">
        <v>0</v>
      </c>
      <c r="Y1613" s="45">
        <v>0</v>
      </c>
      <c r="Z1613" s="45">
        <v>0</v>
      </c>
      <c r="AA1613" s="45">
        <v>0</v>
      </c>
      <c r="AB1613" s="45">
        <v>0</v>
      </c>
      <c r="AC1613" s="45">
        <v>0</v>
      </c>
      <c r="AD1613" s="45">
        <v>0</v>
      </c>
      <c r="AE1613" s="45">
        <v>0</v>
      </c>
      <c r="AF1613" s="45">
        <v>0</v>
      </c>
      <c r="AG1613" s="45">
        <v>0</v>
      </c>
      <c r="AH1613" s="45">
        <v>0</v>
      </c>
      <c r="AI1613" s="45">
        <v>0</v>
      </c>
      <c r="AJ1613" s="45">
        <v>0</v>
      </c>
      <c r="AK1613" s="45">
        <v>0</v>
      </c>
      <c r="AL1613" s="45">
        <v>0</v>
      </c>
      <c r="AM1613" s="57" t="str">
        <f>I1613-J1613-K1613-L1613-M1613-N1613-O1613-P1613-Q1613-R1613-S1613-T1613-U1613-V1613-W1613-X1613-Y1613-Z1613-AA1613-AB1613-AC1613-AD1613-AE1613-AF1613-AG1613+AH1613-AI1613+AJ1613+AK1613-AL1613</f>
        <v>0</v>
      </c>
      <c r="AN1613" s="45"/>
    </row>
    <row r="1614" spans="1:41">
      <c r="A1614" s="45">
        <v>1586</v>
      </c>
      <c r="B1614" s="45" t="s">
        <v>6195</v>
      </c>
      <c r="C1614" s="49" t="s">
        <v>6196</v>
      </c>
      <c r="D1614" s="53" t="s">
        <v>73</v>
      </c>
      <c r="E1614" s="45" t="s">
        <v>6115</v>
      </c>
      <c r="F1614" s="45" t="s">
        <v>1080</v>
      </c>
      <c r="G1614" s="45">
        <v>4</v>
      </c>
      <c r="H1614" s="53" t="s">
        <v>4050</v>
      </c>
      <c r="I1614" s="45">
        <v>510000</v>
      </c>
      <c r="J1614" s="45">
        <v>0</v>
      </c>
      <c r="K1614" s="45">
        <v>25000</v>
      </c>
      <c r="L1614" s="45">
        <v>0</v>
      </c>
      <c r="M1614" s="45">
        <v>0</v>
      </c>
      <c r="N1614" s="45">
        <v>0</v>
      </c>
      <c r="O1614" s="45">
        <v>0</v>
      </c>
      <c r="P1614" s="45">
        <v>0</v>
      </c>
      <c r="Q1614" s="45">
        <v>0</v>
      </c>
      <c r="R1614" s="45">
        <v>0</v>
      </c>
      <c r="S1614" s="45">
        <v>0</v>
      </c>
      <c r="T1614" s="45">
        <v>0</v>
      </c>
      <c r="U1614" s="45">
        <v>1587</v>
      </c>
      <c r="V1614" s="45">
        <v>0</v>
      </c>
      <c r="W1614" s="45">
        <v>0</v>
      </c>
      <c r="X1614" s="45">
        <v>0</v>
      </c>
      <c r="Y1614" s="45">
        <v>0</v>
      </c>
      <c r="Z1614" s="45">
        <v>0</v>
      </c>
      <c r="AA1614" s="45">
        <v>0</v>
      </c>
      <c r="AB1614" s="45">
        <v>0</v>
      </c>
      <c r="AC1614" s="45">
        <v>0</v>
      </c>
      <c r="AD1614" s="45">
        <v>0</v>
      </c>
      <c r="AE1614" s="45">
        <v>0</v>
      </c>
      <c r="AF1614" s="45">
        <v>0</v>
      </c>
      <c r="AG1614" s="45">
        <v>0</v>
      </c>
      <c r="AH1614" s="45">
        <v>0</v>
      </c>
      <c r="AI1614" s="45">
        <v>0</v>
      </c>
      <c r="AJ1614" s="45">
        <v>0</v>
      </c>
      <c r="AK1614" s="45">
        <v>0</v>
      </c>
      <c r="AL1614" s="45">
        <v>0</v>
      </c>
      <c r="AM1614" s="57" t="str">
        <f>I1614-J1614-K1614-L1614-M1614-N1614-O1614-P1614-Q1614-R1614-S1614-T1614-U1614-V1614-W1614-X1614-Y1614-Z1614-AA1614-AB1614-AC1614-AD1614-AE1614-AF1614-AG1614+AH1614-AI1614+AJ1614+AK1614-AL1614</f>
        <v>0</v>
      </c>
      <c r="AN1614" s="45"/>
    </row>
    <row r="1615" spans="1:41">
      <c r="A1615" s="45">
        <v>1587</v>
      </c>
      <c r="B1615" s="45" t="s">
        <v>6197</v>
      </c>
      <c r="C1615" s="49" t="s">
        <v>6198</v>
      </c>
      <c r="D1615" s="53" t="s">
        <v>73</v>
      </c>
      <c r="E1615" s="45" t="s">
        <v>6115</v>
      </c>
      <c r="F1615" s="45" t="s">
        <v>6199</v>
      </c>
      <c r="G1615" s="45">
        <v>3</v>
      </c>
      <c r="H1615" s="53" t="s">
        <v>6200</v>
      </c>
      <c r="I1615" s="45">
        <v>320000</v>
      </c>
      <c r="J1615" s="45">
        <v>0</v>
      </c>
      <c r="K1615" s="45">
        <v>22000</v>
      </c>
      <c r="L1615" s="45">
        <v>0</v>
      </c>
      <c r="M1615" s="45">
        <v>0</v>
      </c>
      <c r="N1615" s="45">
        <v>0</v>
      </c>
      <c r="O1615" s="45">
        <v>0</v>
      </c>
      <c r="P1615" s="45">
        <v>0</v>
      </c>
      <c r="Q1615" s="45">
        <v>0</v>
      </c>
      <c r="R1615" s="45">
        <v>0</v>
      </c>
      <c r="S1615" s="45">
        <v>0</v>
      </c>
      <c r="T1615" s="45">
        <v>0</v>
      </c>
      <c r="U1615" s="45">
        <v>1397</v>
      </c>
      <c r="V1615" s="45">
        <v>0</v>
      </c>
      <c r="W1615" s="45">
        <v>0</v>
      </c>
      <c r="X1615" s="45">
        <v>0</v>
      </c>
      <c r="Y1615" s="45">
        <v>0</v>
      </c>
      <c r="Z1615" s="45">
        <v>0</v>
      </c>
      <c r="AA1615" s="45">
        <v>0</v>
      </c>
      <c r="AB1615" s="45">
        <v>0</v>
      </c>
      <c r="AC1615" s="45">
        <v>0</v>
      </c>
      <c r="AD1615" s="45">
        <v>0</v>
      </c>
      <c r="AE1615" s="45">
        <v>0</v>
      </c>
      <c r="AF1615" s="45">
        <v>0</v>
      </c>
      <c r="AG1615" s="45">
        <v>0</v>
      </c>
      <c r="AH1615" s="45">
        <v>0</v>
      </c>
      <c r="AI1615" s="45">
        <v>0</v>
      </c>
      <c r="AJ1615" s="45">
        <v>0</v>
      </c>
      <c r="AK1615" s="45">
        <v>0</v>
      </c>
      <c r="AL1615" s="45">
        <v>0</v>
      </c>
      <c r="AM1615" s="57" t="str">
        <f>I1615-J1615-K1615-L1615-M1615-N1615-O1615-P1615-Q1615-R1615-S1615-T1615-U1615-V1615-W1615-X1615-Y1615-Z1615-AA1615-AB1615-AC1615-AD1615-AE1615-AF1615-AG1615+AH1615-AI1615+AJ1615+AK1615-AL1615</f>
        <v>0</v>
      </c>
      <c r="AN1615" s="45"/>
    </row>
    <row r="1616" spans="1:41">
      <c r="A1616" s="45">
        <v>1588</v>
      </c>
      <c r="B1616" s="45" t="s">
        <v>6201</v>
      </c>
      <c r="C1616" s="49" t="s">
        <v>6202</v>
      </c>
      <c r="D1616" s="53" t="s">
        <v>73</v>
      </c>
      <c r="E1616" s="45" t="s">
        <v>6203</v>
      </c>
      <c r="F1616" s="45" t="s">
        <v>6204</v>
      </c>
      <c r="G1616" s="45">
        <v>8</v>
      </c>
      <c r="H1616" s="53" t="s">
        <v>6205</v>
      </c>
      <c r="I1616" s="45">
        <v>2480000</v>
      </c>
      <c r="J1616" s="45">
        <v>0</v>
      </c>
      <c r="K1616" s="45">
        <v>39000</v>
      </c>
      <c r="L1616" s="45">
        <v>0</v>
      </c>
      <c r="M1616" s="45">
        <v>0</v>
      </c>
      <c r="N1616" s="45">
        <v>0</v>
      </c>
      <c r="O1616" s="45">
        <v>0</v>
      </c>
      <c r="P1616" s="45">
        <v>0</v>
      </c>
      <c r="Q1616" s="45">
        <v>0</v>
      </c>
      <c r="R1616" s="45">
        <v>0</v>
      </c>
      <c r="S1616" s="45">
        <v>0</v>
      </c>
      <c r="T1616" s="45">
        <v>0</v>
      </c>
      <c r="U1616" s="45">
        <v>2476</v>
      </c>
      <c r="V1616" s="45">
        <v>0</v>
      </c>
      <c r="W1616" s="45">
        <v>0</v>
      </c>
      <c r="X1616" s="45">
        <v>0</v>
      </c>
      <c r="Y1616" s="45">
        <v>0</v>
      </c>
      <c r="Z1616" s="45">
        <v>0</v>
      </c>
      <c r="AA1616" s="45">
        <v>0</v>
      </c>
      <c r="AB1616" s="45">
        <v>0</v>
      </c>
      <c r="AC1616" s="45">
        <v>0</v>
      </c>
      <c r="AD1616" s="45">
        <v>0</v>
      </c>
      <c r="AE1616" s="45">
        <v>0</v>
      </c>
      <c r="AF1616" s="45">
        <v>0</v>
      </c>
      <c r="AG1616" s="45">
        <v>0</v>
      </c>
      <c r="AH1616" s="45">
        <v>0</v>
      </c>
      <c r="AI1616" s="45">
        <v>0</v>
      </c>
      <c r="AJ1616" s="45">
        <v>0</v>
      </c>
      <c r="AK1616" s="45">
        <v>0</v>
      </c>
      <c r="AL1616" s="45">
        <v>0</v>
      </c>
      <c r="AM1616" s="57" t="str">
        <f>I1616-J1616-K1616-L1616-M1616-N1616-O1616-P1616-Q1616-R1616-S1616-T1616-U1616-V1616-W1616-X1616-Y1616-Z1616-AA1616-AB1616-AC1616-AD1616-AE1616-AF1616-AG1616+AH1616-AI1616+AJ1616+AK1616-AL1616</f>
        <v>0</v>
      </c>
      <c r="AN1616" s="45"/>
    </row>
    <row r="1617" spans="1:41">
      <c r="A1617" s="45">
        <v>1589</v>
      </c>
      <c r="B1617" s="45" t="s">
        <v>6206</v>
      </c>
      <c r="C1617" s="49" t="s">
        <v>6207</v>
      </c>
      <c r="D1617" s="53" t="s">
        <v>73</v>
      </c>
      <c r="E1617" s="45" t="s">
        <v>6203</v>
      </c>
      <c r="F1617" s="45" t="s">
        <v>6208</v>
      </c>
      <c r="G1617" s="45">
        <v>2</v>
      </c>
      <c r="H1617" s="53" t="s">
        <v>6209</v>
      </c>
      <c r="I1617" s="45">
        <v>290000</v>
      </c>
      <c r="J1617" s="45">
        <v>0</v>
      </c>
      <c r="K1617" s="45">
        <v>22000</v>
      </c>
      <c r="L1617" s="45">
        <v>0</v>
      </c>
      <c r="M1617" s="45">
        <v>0</v>
      </c>
      <c r="N1617" s="45">
        <v>0</v>
      </c>
      <c r="O1617" s="45">
        <v>0</v>
      </c>
      <c r="P1617" s="45">
        <v>0</v>
      </c>
      <c r="Q1617" s="45">
        <v>0</v>
      </c>
      <c r="R1617" s="45">
        <v>0</v>
      </c>
      <c r="S1617" s="45">
        <v>0</v>
      </c>
      <c r="T1617" s="45">
        <v>0</v>
      </c>
      <c r="U1617" s="45">
        <v>1397</v>
      </c>
      <c r="V1617" s="45">
        <v>0</v>
      </c>
      <c r="W1617" s="45">
        <v>0</v>
      </c>
      <c r="X1617" s="45">
        <v>0</v>
      </c>
      <c r="Y1617" s="45">
        <v>0</v>
      </c>
      <c r="Z1617" s="45">
        <v>0</v>
      </c>
      <c r="AA1617" s="45">
        <v>0</v>
      </c>
      <c r="AB1617" s="45">
        <v>0</v>
      </c>
      <c r="AC1617" s="45">
        <v>0</v>
      </c>
      <c r="AD1617" s="45">
        <v>0</v>
      </c>
      <c r="AE1617" s="45">
        <v>0</v>
      </c>
      <c r="AF1617" s="45">
        <v>0</v>
      </c>
      <c r="AG1617" s="45">
        <v>0</v>
      </c>
      <c r="AH1617" s="45">
        <v>0</v>
      </c>
      <c r="AI1617" s="45">
        <v>0</v>
      </c>
      <c r="AJ1617" s="45">
        <v>0</v>
      </c>
      <c r="AK1617" s="45">
        <v>0</v>
      </c>
      <c r="AL1617" s="45">
        <v>0</v>
      </c>
      <c r="AM1617" s="57" t="str">
        <f>I1617-J1617-K1617-L1617-M1617-N1617-O1617-P1617-Q1617-R1617-S1617-T1617-U1617-V1617-W1617-X1617-Y1617-Z1617-AA1617-AB1617-AC1617-AD1617-AE1617-AF1617-AG1617+AH1617-AI1617+AJ1617+AK1617-AL1617</f>
        <v>0</v>
      </c>
      <c r="AN1617" s="45"/>
    </row>
    <row r="1618" spans="1:41">
      <c r="A1618" s="45">
        <v>1590</v>
      </c>
      <c r="B1618" s="45" t="s">
        <v>6210</v>
      </c>
      <c r="C1618" s="49" t="s">
        <v>6211</v>
      </c>
      <c r="D1618" s="53" t="s">
        <v>73</v>
      </c>
      <c r="E1618" s="45" t="s">
        <v>6203</v>
      </c>
      <c r="F1618" s="45" t="s">
        <v>3201</v>
      </c>
      <c r="G1618" s="45">
        <v>2</v>
      </c>
      <c r="H1618" s="53" t="s">
        <v>6212</v>
      </c>
      <c r="I1618" s="45">
        <v>290000</v>
      </c>
      <c r="J1618" s="45">
        <v>0</v>
      </c>
      <c r="K1618" s="45">
        <v>22000</v>
      </c>
      <c r="L1618" s="45">
        <v>0</v>
      </c>
      <c r="M1618" s="45">
        <v>0</v>
      </c>
      <c r="N1618" s="45">
        <v>0</v>
      </c>
      <c r="O1618" s="45">
        <v>0</v>
      </c>
      <c r="P1618" s="45">
        <v>0</v>
      </c>
      <c r="Q1618" s="45">
        <v>0</v>
      </c>
      <c r="R1618" s="45">
        <v>0</v>
      </c>
      <c r="S1618" s="45">
        <v>0</v>
      </c>
      <c r="T1618" s="45">
        <v>0</v>
      </c>
      <c r="U1618" s="45">
        <v>1397</v>
      </c>
      <c r="V1618" s="45">
        <v>0</v>
      </c>
      <c r="W1618" s="45">
        <v>0</v>
      </c>
      <c r="X1618" s="45">
        <v>0</v>
      </c>
      <c r="Y1618" s="45">
        <v>0</v>
      </c>
      <c r="Z1618" s="45">
        <v>0</v>
      </c>
      <c r="AA1618" s="45">
        <v>0</v>
      </c>
      <c r="AB1618" s="45">
        <v>0</v>
      </c>
      <c r="AC1618" s="45">
        <v>0</v>
      </c>
      <c r="AD1618" s="45">
        <v>0</v>
      </c>
      <c r="AE1618" s="45">
        <v>0</v>
      </c>
      <c r="AF1618" s="45">
        <v>0</v>
      </c>
      <c r="AG1618" s="45">
        <v>0</v>
      </c>
      <c r="AH1618" s="45">
        <v>0</v>
      </c>
      <c r="AI1618" s="45">
        <v>0</v>
      </c>
      <c r="AJ1618" s="45">
        <v>0</v>
      </c>
      <c r="AK1618" s="45">
        <v>0</v>
      </c>
      <c r="AL1618" s="45">
        <v>0</v>
      </c>
      <c r="AM1618" s="57" t="str">
        <f>I1618-J1618-K1618-L1618-M1618-N1618-O1618-P1618-Q1618-R1618-S1618-T1618-U1618-V1618-W1618-X1618-Y1618-Z1618-AA1618-AB1618-AC1618-AD1618-AE1618-AF1618-AG1618+AH1618-AI1618+AJ1618+AK1618-AL1618</f>
        <v>0</v>
      </c>
      <c r="AN1618" s="45"/>
    </row>
    <row r="1619" spans="1:41">
      <c r="A1619" s="45">
        <v>1591</v>
      </c>
      <c r="B1619" s="45" t="s">
        <v>6213</v>
      </c>
      <c r="C1619" s="49" t="s">
        <v>6214</v>
      </c>
      <c r="D1619" s="53" t="s">
        <v>73</v>
      </c>
      <c r="E1619" s="45" t="s">
        <v>6203</v>
      </c>
      <c r="F1619" s="45" t="s">
        <v>6215</v>
      </c>
      <c r="G1619" s="45">
        <v>3</v>
      </c>
      <c r="H1619" s="53" t="s">
        <v>6216</v>
      </c>
      <c r="I1619" s="45">
        <v>585000</v>
      </c>
      <c r="J1619" s="45">
        <v>0</v>
      </c>
      <c r="K1619" s="45">
        <v>22000</v>
      </c>
      <c r="L1619" s="45">
        <v>0</v>
      </c>
      <c r="M1619" s="45">
        <v>0</v>
      </c>
      <c r="N1619" s="45">
        <v>0</v>
      </c>
      <c r="O1619" s="45">
        <v>0</v>
      </c>
      <c r="P1619" s="45">
        <v>0</v>
      </c>
      <c r="Q1619" s="45">
        <v>0</v>
      </c>
      <c r="R1619" s="45">
        <v>0</v>
      </c>
      <c r="S1619" s="45">
        <v>0</v>
      </c>
      <c r="T1619" s="45">
        <v>0</v>
      </c>
      <c r="U1619" s="45">
        <v>1397</v>
      </c>
      <c r="V1619" s="45">
        <v>0</v>
      </c>
      <c r="W1619" s="45">
        <v>0</v>
      </c>
      <c r="X1619" s="45">
        <v>0</v>
      </c>
      <c r="Y1619" s="45">
        <v>0</v>
      </c>
      <c r="Z1619" s="45">
        <v>0</v>
      </c>
      <c r="AA1619" s="45">
        <v>0</v>
      </c>
      <c r="AB1619" s="45">
        <v>0</v>
      </c>
      <c r="AC1619" s="45">
        <v>0</v>
      </c>
      <c r="AD1619" s="45">
        <v>0</v>
      </c>
      <c r="AE1619" s="45">
        <v>0</v>
      </c>
      <c r="AF1619" s="45">
        <v>0</v>
      </c>
      <c r="AG1619" s="45">
        <v>0</v>
      </c>
      <c r="AH1619" s="45">
        <v>0</v>
      </c>
      <c r="AI1619" s="45">
        <v>0</v>
      </c>
      <c r="AJ1619" s="45">
        <v>0</v>
      </c>
      <c r="AK1619" s="45">
        <v>0</v>
      </c>
      <c r="AL1619" s="45">
        <v>0</v>
      </c>
      <c r="AM1619" s="57" t="str">
        <f>I1619-J1619-K1619-L1619-M1619-N1619-O1619-P1619-Q1619-R1619-S1619-T1619-U1619-V1619-W1619-X1619-Y1619-Z1619-AA1619-AB1619-AC1619-AD1619-AE1619-AF1619-AG1619+AH1619-AI1619+AJ1619+AK1619-AL1619</f>
        <v>0</v>
      </c>
      <c r="AN1619" s="45"/>
    </row>
    <row r="1620" spans="1:41">
      <c r="A1620" s="45">
        <v>1592</v>
      </c>
      <c r="B1620" s="45" t="s">
        <v>6217</v>
      </c>
      <c r="C1620" s="49" t="s">
        <v>6218</v>
      </c>
      <c r="D1620" s="53" t="s">
        <v>73</v>
      </c>
      <c r="E1620" s="45" t="s">
        <v>6203</v>
      </c>
      <c r="F1620" s="45" t="s">
        <v>3568</v>
      </c>
      <c r="G1620" s="45">
        <v>3</v>
      </c>
      <c r="H1620" s="53" t="s">
        <v>6219</v>
      </c>
      <c r="I1620" s="45">
        <v>320000</v>
      </c>
      <c r="J1620" s="45">
        <v>0</v>
      </c>
      <c r="K1620" s="45">
        <v>22000</v>
      </c>
      <c r="L1620" s="45">
        <v>0</v>
      </c>
      <c r="M1620" s="45">
        <v>0</v>
      </c>
      <c r="N1620" s="45">
        <v>0</v>
      </c>
      <c r="O1620" s="45">
        <v>0</v>
      </c>
      <c r="P1620" s="45">
        <v>0</v>
      </c>
      <c r="Q1620" s="45">
        <v>0</v>
      </c>
      <c r="R1620" s="45">
        <v>0</v>
      </c>
      <c r="S1620" s="45">
        <v>0</v>
      </c>
      <c r="T1620" s="45">
        <v>0</v>
      </c>
      <c r="U1620" s="45">
        <v>1397</v>
      </c>
      <c r="V1620" s="45">
        <v>0</v>
      </c>
      <c r="W1620" s="45">
        <v>0</v>
      </c>
      <c r="X1620" s="45">
        <v>0</v>
      </c>
      <c r="Y1620" s="45">
        <v>0</v>
      </c>
      <c r="Z1620" s="45">
        <v>0</v>
      </c>
      <c r="AA1620" s="45">
        <v>0</v>
      </c>
      <c r="AB1620" s="45">
        <v>0</v>
      </c>
      <c r="AC1620" s="45">
        <v>0</v>
      </c>
      <c r="AD1620" s="45">
        <v>0</v>
      </c>
      <c r="AE1620" s="45">
        <v>0</v>
      </c>
      <c r="AF1620" s="45">
        <v>0</v>
      </c>
      <c r="AG1620" s="45">
        <v>0</v>
      </c>
      <c r="AH1620" s="45">
        <v>0</v>
      </c>
      <c r="AI1620" s="45">
        <v>0</v>
      </c>
      <c r="AJ1620" s="45">
        <v>0</v>
      </c>
      <c r="AK1620" s="45">
        <v>0</v>
      </c>
      <c r="AL1620" s="45">
        <v>0</v>
      </c>
      <c r="AM1620" s="57" t="str">
        <f>I1620-J1620-K1620-L1620-M1620-N1620-O1620-P1620-Q1620-R1620-S1620-T1620-U1620-V1620-W1620-X1620-Y1620-Z1620-AA1620-AB1620-AC1620-AD1620-AE1620-AF1620-AG1620+AH1620-AI1620+AJ1620+AK1620-AL1620</f>
        <v>0</v>
      </c>
      <c r="AN1620" s="45"/>
    </row>
    <row r="1621" spans="1:41">
      <c r="A1621" s="45">
        <v>1593</v>
      </c>
      <c r="B1621" s="45" t="s">
        <v>6220</v>
      </c>
      <c r="C1621" s="49" t="s">
        <v>6221</v>
      </c>
      <c r="D1621" s="53" t="s">
        <v>73</v>
      </c>
      <c r="E1621" s="45" t="s">
        <v>6203</v>
      </c>
      <c r="F1621" s="45" t="s">
        <v>6222</v>
      </c>
      <c r="G1621" s="45">
        <v>4.1</v>
      </c>
      <c r="H1621" s="53" t="s">
        <v>6223</v>
      </c>
      <c r="I1621" s="45">
        <v>585000</v>
      </c>
      <c r="J1621" s="45">
        <v>0</v>
      </c>
      <c r="K1621" s="45">
        <v>23000</v>
      </c>
      <c r="L1621" s="45">
        <v>0</v>
      </c>
      <c r="M1621" s="45">
        <v>0</v>
      </c>
      <c r="N1621" s="45">
        <v>0</v>
      </c>
      <c r="O1621" s="45">
        <v>0</v>
      </c>
      <c r="P1621" s="45">
        <v>0</v>
      </c>
      <c r="Q1621" s="45">
        <v>0</v>
      </c>
      <c r="R1621" s="45">
        <v>0</v>
      </c>
      <c r="S1621" s="45">
        <v>0</v>
      </c>
      <c r="T1621" s="45">
        <v>0</v>
      </c>
      <c r="U1621" s="45">
        <v>1460</v>
      </c>
      <c r="V1621" s="45">
        <v>0</v>
      </c>
      <c r="W1621" s="45">
        <v>0</v>
      </c>
      <c r="X1621" s="45">
        <v>0</v>
      </c>
      <c r="Y1621" s="45">
        <v>0</v>
      </c>
      <c r="Z1621" s="45">
        <v>0</v>
      </c>
      <c r="AA1621" s="45">
        <v>0</v>
      </c>
      <c r="AB1621" s="45">
        <v>0</v>
      </c>
      <c r="AC1621" s="45">
        <v>0</v>
      </c>
      <c r="AD1621" s="45">
        <v>0</v>
      </c>
      <c r="AE1621" s="45">
        <v>0</v>
      </c>
      <c r="AF1621" s="45">
        <v>0</v>
      </c>
      <c r="AG1621" s="45">
        <v>0</v>
      </c>
      <c r="AH1621" s="45">
        <v>0</v>
      </c>
      <c r="AI1621" s="45">
        <v>0</v>
      </c>
      <c r="AJ1621" s="45">
        <v>0</v>
      </c>
      <c r="AK1621" s="45">
        <v>0</v>
      </c>
      <c r="AL1621" s="45">
        <v>0</v>
      </c>
      <c r="AM1621" s="57" t="str">
        <f>I1621-J1621-K1621-L1621-M1621-N1621-O1621-P1621-Q1621-R1621-S1621-T1621-U1621-V1621-W1621-X1621-Y1621-Z1621-AA1621-AB1621-AC1621-AD1621-AE1621-AF1621-AG1621+AH1621-AI1621+AJ1621+AK1621-AL1621</f>
        <v>0</v>
      </c>
      <c r="AN1621" s="45"/>
    </row>
    <row r="1622" spans="1:41">
      <c r="A1622" s="45">
        <v>1594</v>
      </c>
      <c r="B1622" s="45" t="s">
        <v>6224</v>
      </c>
      <c r="C1622" s="49" t="s">
        <v>6225</v>
      </c>
      <c r="D1622" s="53" t="s">
        <v>73</v>
      </c>
      <c r="E1622" s="45" t="s">
        <v>6203</v>
      </c>
      <c r="F1622" s="45" t="s">
        <v>5632</v>
      </c>
      <c r="G1622" s="45">
        <v>7</v>
      </c>
      <c r="H1622" s="53" t="s">
        <v>6226</v>
      </c>
      <c r="I1622" s="45">
        <v>2019000</v>
      </c>
      <c r="J1622" s="45">
        <v>0</v>
      </c>
      <c r="K1622" s="45">
        <v>25000</v>
      </c>
      <c r="L1622" s="45">
        <v>0</v>
      </c>
      <c r="M1622" s="45">
        <v>0</v>
      </c>
      <c r="N1622" s="45">
        <v>0</v>
      </c>
      <c r="O1622" s="45">
        <v>0</v>
      </c>
      <c r="P1622" s="45">
        <v>0</v>
      </c>
      <c r="Q1622" s="45">
        <v>0</v>
      </c>
      <c r="R1622" s="45">
        <v>0</v>
      </c>
      <c r="S1622" s="45">
        <v>0</v>
      </c>
      <c r="T1622" s="45">
        <v>0</v>
      </c>
      <c r="U1622" s="45">
        <v>1587</v>
      </c>
      <c r="V1622" s="45">
        <v>0</v>
      </c>
      <c r="W1622" s="45">
        <v>0</v>
      </c>
      <c r="X1622" s="45">
        <v>0</v>
      </c>
      <c r="Y1622" s="45">
        <v>0</v>
      </c>
      <c r="Z1622" s="45">
        <v>0</v>
      </c>
      <c r="AA1622" s="45">
        <v>0</v>
      </c>
      <c r="AB1622" s="45">
        <v>0</v>
      </c>
      <c r="AC1622" s="45">
        <v>0</v>
      </c>
      <c r="AD1622" s="45">
        <v>0</v>
      </c>
      <c r="AE1622" s="45">
        <v>0</v>
      </c>
      <c r="AF1622" s="45">
        <v>0</v>
      </c>
      <c r="AG1622" s="45">
        <v>0</v>
      </c>
      <c r="AH1622" s="45">
        <v>0</v>
      </c>
      <c r="AI1622" s="45">
        <v>0</v>
      </c>
      <c r="AJ1622" s="45">
        <v>0</v>
      </c>
      <c r="AK1622" s="45">
        <v>0</v>
      </c>
      <c r="AL1622" s="45">
        <v>0</v>
      </c>
      <c r="AM1622" s="57" t="str">
        <f>I1622-J1622-K1622-L1622-M1622-N1622-O1622-P1622-Q1622-R1622-S1622-T1622-U1622-V1622-W1622-X1622-Y1622-Z1622-AA1622-AB1622-AC1622-AD1622-AE1622-AF1622-AG1622+AH1622-AI1622+AJ1622+AK1622-AL1622</f>
        <v>0</v>
      </c>
      <c r="AN1622" s="45"/>
    </row>
    <row r="1623" spans="1:41">
      <c r="A1623" s="45">
        <v>1595</v>
      </c>
      <c r="B1623" s="45" t="s">
        <v>6227</v>
      </c>
      <c r="C1623" s="49" t="s">
        <v>6228</v>
      </c>
      <c r="D1623" s="53" t="s">
        <v>73</v>
      </c>
      <c r="E1623" s="45" t="s">
        <v>6203</v>
      </c>
      <c r="F1623" s="45" t="s">
        <v>6229</v>
      </c>
      <c r="G1623" s="45">
        <v>2</v>
      </c>
      <c r="H1623" s="53" t="s">
        <v>6230</v>
      </c>
      <c r="I1623" s="45">
        <v>585000</v>
      </c>
      <c r="J1623" s="45">
        <v>0</v>
      </c>
      <c r="K1623" s="45">
        <v>23000</v>
      </c>
      <c r="L1623" s="45">
        <v>0</v>
      </c>
      <c r="M1623" s="45">
        <v>0</v>
      </c>
      <c r="N1623" s="45">
        <v>0</v>
      </c>
      <c r="O1623" s="45">
        <v>0</v>
      </c>
      <c r="P1623" s="45">
        <v>0</v>
      </c>
      <c r="Q1623" s="45">
        <v>0</v>
      </c>
      <c r="R1623" s="45">
        <v>0</v>
      </c>
      <c r="S1623" s="45">
        <v>0</v>
      </c>
      <c r="T1623" s="45">
        <v>0</v>
      </c>
      <c r="U1623" s="45">
        <v>1460</v>
      </c>
      <c r="V1623" s="45">
        <v>0</v>
      </c>
      <c r="W1623" s="45">
        <v>0</v>
      </c>
      <c r="X1623" s="45">
        <v>0</v>
      </c>
      <c r="Y1623" s="45">
        <v>0</v>
      </c>
      <c r="Z1623" s="45">
        <v>0</v>
      </c>
      <c r="AA1623" s="45">
        <v>0</v>
      </c>
      <c r="AB1623" s="45">
        <v>0</v>
      </c>
      <c r="AC1623" s="45">
        <v>0</v>
      </c>
      <c r="AD1623" s="45">
        <v>0</v>
      </c>
      <c r="AE1623" s="45">
        <v>0</v>
      </c>
      <c r="AF1623" s="45">
        <v>0</v>
      </c>
      <c r="AG1623" s="45">
        <v>0</v>
      </c>
      <c r="AH1623" s="45">
        <v>0</v>
      </c>
      <c r="AI1623" s="45">
        <v>0</v>
      </c>
      <c r="AJ1623" s="45">
        <v>0</v>
      </c>
      <c r="AK1623" s="45">
        <v>0</v>
      </c>
      <c r="AL1623" s="45">
        <v>0</v>
      </c>
      <c r="AM1623" s="57" t="str">
        <f>I1623-J1623-K1623-L1623-M1623-N1623-O1623-P1623-Q1623-R1623-S1623-T1623-U1623-V1623-W1623-X1623-Y1623-Z1623-AA1623-AB1623-AC1623-AD1623-AE1623-AF1623-AG1623+AH1623-AI1623+AJ1623+AK1623-AL1623</f>
        <v>0</v>
      </c>
      <c r="AN1623" s="45"/>
    </row>
    <row r="1624" spans="1:41">
      <c r="A1624" s="45">
        <v>1596</v>
      </c>
      <c r="B1624" s="45" t="s">
        <v>6231</v>
      </c>
      <c r="C1624" s="49" t="s">
        <v>6232</v>
      </c>
      <c r="D1624" s="53" t="s">
        <v>73</v>
      </c>
      <c r="E1624" s="45" t="s">
        <v>6203</v>
      </c>
      <c r="F1624" s="45" t="s">
        <v>6233</v>
      </c>
      <c r="G1624" s="45">
        <v>3</v>
      </c>
      <c r="H1624" s="53" t="s">
        <v>6234</v>
      </c>
      <c r="I1624" s="45">
        <v>784000</v>
      </c>
      <c r="J1624" s="45">
        <v>0</v>
      </c>
      <c r="K1624" s="45">
        <v>23000</v>
      </c>
      <c r="L1624" s="45">
        <v>0</v>
      </c>
      <c r="M1624" s="45">
        <v>0</v>
      </c>
      <c r="N1624" s="45">
        <v>0</v>
      </c>
      <c r="O1624" s="45">
        <v>0</v>
      </c>
      <c r="P1624" s="45">
        <v>0</v>
      </c>
      <c r="Q1624" s="45">
        <v>0</v>
      </c>
      <c r="R1624" s="45">
        <v>0</v>
      </c>
      <c r="S1624" s="45">
        <v>0</v>
      </c>
      <c r="T1624" s="45">
        <v>0</v>
      </c>
      <c r="U1624" s="45">
        <v>1460</v>
      </c>
      <c r="V1624" s="45">
        <v>0</v>
      </c>
      <c r="W1624" s="45">
        <v>0</v>
      </c>
      <c r="X1624" s="45">
        <v>0</v>
      </c>
      <c r="Y1624" s="45">
        <v>0</v>
      </c>
      <c r="Z1624" s="45">
        <v>0</v>
      </c>
      <c r="AA1624" s="45">
        <v>0</v>
      </c>
      <c r="AB1624" s="45">
        <v>0</v>
      </c>
      <c r="AC1624" s="45">
        <v>0</v>
      </c>
      <c r="AD1624" s="45">
        <v>0</v>
      </c>
      <c r="AE1624" s="45">
        <v>0</v>
      </c>
      <c r="AF1624" s="45">
        <v>0</v>
      </c>
      <c r="AG1624" s="45">
        <v>0</v>
      </c>
      <c r="AH1624" s="45">
        <v>0</v>
      </c>
      <c r="AI1624" s="45">
        <v>0</v>
      </c>
      <c r="AJ1624" s="45">
        <v>0</v>
      </c>
      <c r="AK1624" s="45">
        <v>0</v>
      </c>
      <c r="AL1624" s="45">
        <v>0</v>
      </c>
      <c r="AM1624" s="57" t="str">
        <f>I1624-J1624-K1624-L1624-M1624-N1624-O1624-P1624-Q1624-R1624-S1624-T1624-U1624-V1624-W1624-X1624-Y1624-Z1624-AA1624-AB1624-AC1624-AD1624-AE1624-AF1624-AG1624+AH1624-AI1624+AJ1624+AK1624-AL1624</f>
        <v>0</v>
      </c>
      <c r="AN1624" s="45"/>
    </row>
    <row r="1625" spans="1:41">
      <c r="A1625" s="45">
        <v>1597</v>
      </c>
      <c r="B1625" s="45" t="s">
        <v>6235</v>
      </c>
      <c r="C1625" s="49" t="s">
        <v>6236</v>
      </c>
      <c r="D1625" s="53" t="s">
        <v>73</v>
      </c>
      <c r="E1625" s="45" t="s">
        <v>6237</v>
      </c>
      <c r="F1625" s="45" t="s">
        <v>6238</v>
      </c>
      <c r="G1625" s="45">
        <v>11.5</v>
      </c>
      <c r="H1625" s="53" t="s">
        <v>6239</v>
      </c>
      <c r="I1625" s="45">
        <v>1098000</v>
      </c>
      <c r="J1625" s="45">
        <v>0</v>
      </c>
      <c r="K1625" s="45">
        <v>48000</v>
      </c>
      <c r="L1625" s="45">
        <v>0</v>
      </c>
      <c r="M1625" s="45">
        <v>0</v>
      </c>
      <c r="N1625" s="45">
        <v>0</v>
      </c>
      <c r="O1625" s="45">
        <v>0</v>
      </c>
      <c r="P1625" s="45">
        <v>0</v>
      </c>
      <c r="Q1625" s="45">
        <v>0</v>
      </c>
      <c r="R1625" s="45">
        <v>0</v>
      </c>
      <c r="S1625" s="45">
        <v>0</v>
      </c>
      <c r="T1625" s="45">
        <v>0</v>
      </c>
      <c r="U1625" s="45">
        <v>3048</v>
      </c>
      <c r="V1625" s="45">
        <v>0</v>
      </c>
      <c r="W1625" s="45">
        <v>0</v>
      </c>
      <c r="X1625" s="45">
        <v>0</v>
      </c>
      <c r="Y1625" s="45">
        <v>0</v>
      </c>
      <c r="Z1625" s="45">
        <v>0</v>
      </c>
      <c r="AA1625" s="45">
        <v>0</v>
      </c>
      <c r="AB1625" s="45">
        <v>0</v>
      </c>
      <c r="AC1625" s="45">
        <v>0</v>
      </c>
      <c r="AD1625" s="45">
        <v>0</v>
      </c>
      <c r="AE1625" s="45">
        <v>0</v>
      </c>
      <c r="AF1625" s="45">
        <v>0</v>
      </c>
      <c r="AG1625" s="45">
        <v>0</v>
      </c>
      <c r="AH1625" s="45">
        <v>0</v>
      </c>
      <c r="AI1625" s="45">
        <v>0</v>
      </c>
      <c r="AJ1625" s="45">
        <v>0</v>
      </c>
      <c r="AK1625" s="45">
        <v>0</v>
      </c>
      <c r="AL1625" s="45">
        <v>0</v>
      </c>
      <c r="AM1625" s="57" t="str">
        <f>I1625-J1625-K1625-L1625-M1625-N1625-O1625-P1625-Q1625-R1625-S1625-T1625-U1625-V1625-W1625-X1625-Y1625-Z1625-AA1625-AB1625-AC1625-AD1625-AE1625-AF1625-AG1625+AH1625-AI1625+AJ1625+AK1625-AL1625</f>
        <v>0</v>
      </c>
      <c r="AN1625" s="45"/>
    </row>
    <row r="1626" spans="1:41">
      <c r="A1626" s="45">
        <v>1598</v>
      </c>
      <c r="B1626" s="45" t="s">
        <v>6240</v>
      </c>
      <c r="C1626" s="49" t="s">
        <v>6241</v>
      </c>
      <c r="D1626" s="53" t="s">
        <v>73</v>
      </c>
      <c r="E1626" s="45" t="s">
        <v>6237</v>
      </c>
      <c r="F1626" s="45" t="s">
        <v>6242</v>
      </c>
      <c r="G1626" s="45">
        <v>2</v>
      </c>
      <c r="H1626" s="53" t="s">
        <v>6243</v>
      </c>
      <c r="I1626" s="45">
        <v>384000</v>
      </c>
      <c r="J1626" s="45">
        <v>0</v>
      </c>
      <c r="K1626" s="45">
        <v>23000</v>
      </c>
      <c r="L1626" s="45">
        <v>0</v>
      </c>
      <c r="M1626" s="45">
        <v>0</v>
      </c>
      <c r="N1626" s="45">
        <v>0</v>
      </c>
      <c r="O1626" s="45">
        <v>0</v>
      </c>
      <c r="P1626" s="45">
        <v>0</v>
      </c>
      <c r="Q1626" s="45">
        <v>0</v>
      </c>
      <c r="R1626" s="45">
        <v>0</v>
      </c>
      <c r="S1626" s="45">
        <v>0</v>
      </c>
      <c r="T1626" s="45">
        <v>0</v>
      </c>
      <c r="U1626" s="45">
        <v>1460</v>
      </c>
      <c r="V1626" s="45">
        <v>0</v>
      </c>
      <c r="W1626" s="45">
        <v>0</v>
      </c>
      <c r="X1626" s="45">
        <v>0</v>
      </c>
      <c r="Y1626" s="45">
        <v>0</v>
      </c>
      <c r="Z1626" s="45">
        <v>0</v>
      </c>
      <c r="AA1626" s="45">
        <v>0</v>
      </c>
      <c r="AB1626" s="45">
        <v>0</v>
      </c>
      <c r="AC1626" s="45">
        <v>0</v>
      </c>
      <c r="AD1626" s="45">
        <v>0</v>
      </c>
      <c r="AE1626" s="45">
        <v>0</v>
      </c>
      <c r="AF1626" s="45">
        <v>0</v>
      </c>
      <c r="AG1626" s="45">
        <v>0</v>
      </c>
      <c r="AH1626" s="45">
        <v>0</v>
      </c>
      <c r="AI1626" s="45">
        <v>0</v>
      </c>
      <c r="AJ1626" s="45">
        <v>0</v>
      </c>
      <c r="AK1626" s="45">
        <v>0</v>
      </c>
      <c r="AL1626" s="45">
        <v>0</v>
      </c>
      <c r="AM1626" s="57" t="str">
        <f>I1626-J1626-K1626-L1626-M1626-N1626-O1626-P1626-Q1626-R1626-S1626-T1626-U1626-V1626-W1626-X1626-Y1626-Z1626-AA1626-AB1626-AC1626-AD1626-AE1626-AF1626-AG1626+AH1626-AI1626+AJ1626+AK1626-AL1626</f>
        <v>0</v>
      </c>
      <c r="AN1626" s="45"/>
    </row>
    <row r="1627" spans="1:41">
      <c r="A1627" s="45">
        <v>1599</v>
      </c>
      <c r="B1627" s="45" t="s">
        <v>6244</v>
      </c>
      <c r="C1627" s="49" t="s">
        <v>6245</v>
      </c>
      <c r="D1627" s="53" t="s">
        <v>73</v>
      </c>
      <c r="E1627" s="45" t="s">
        <v>6237</v>
      </c>
      <c r="F1627" s="45" t="s">
        <v>6242</v>
      </c>
      <c r="G1627" s="45">
        <v>3</v>
      </c>
      <c r="H1627" s="53" t="s">
        <v>6246</v>
      </c>
      <c r="I1627" s="45">
        <v>304100</v>
      </c>
      <c r="J1627" s="45">
        <v>0</v>
      </c>
      <c r="K1627" s="45">
        <v>23000</v>
      </c>
      <c r="L1627" s="45">
        <v>0</v>
      </c>
      <c r="M1627" s="45">
        <v>0</v>
      </c>
      <c r="N1627" s="45">
        <v>0</v>
      </c>
      <c r="O1627" s="45">
        <v>0</v>
      </c>
      <c r="P1627" s="45">
        <v>0</v>
      </c>
      <c r="Q1627" s="45">
        <v>0</v>
      </c>
      <c r="R1627" s="45">
        <v>0</v>
      </c>
      <c r="S1627" s="45">
        <v>0</v>
      </c>
      <c r="T1627" s="45">
        <v>0</v>
      </c>
      <c r="U1627" s="45">
        <v>1460</v>
      </c>
      <c r="V1627" s="45">
        <v>0</v>
      </c>
      <c r="W1627" s="45">
        <v>0</v>
      </c>
      <c r="X1627" s="45">
        <v>0</v>
      </c>
      <c r="Y1627" s="45">
        <v>0</v>
      </c>
      <c r="Z1627" s="45">
        <v>0</v>
      </c>
      <c r="AA1627" s="45">
        <v>0</v>
      </c>
      <c r="AB1627" s="45">
        <v>0</v>
      </c>
      <c r="AC1627" s="45">
        <v>0</v>
      </c>
      <c r="AD1627" s="45">
        <v>0</v>
      </c>
      <c r="AE1627" s="45">
        <v>0</v>
      </c>
      <c r="AF1627" s="45">
        <v>0</v>
      </c>
      <c r="AG1627" s="45">
        <v>0</v>
      </c>
      <c r="AH1627" s="45">
        <v>0</v>
      </c>
      <c r="AI1627" s="45">
        <v>0</v>
      </c>
      <c r="AJ1627" s="45">
        <v>0</v>
      </c>
      <c r="AK1627" s="45">
        <v>0</v>
      </c>
      <c r="AL1627" s="45">
        <v>0</v>
      </c>
      <c r="AM1627" s="57" t="str">
        <f>I1627-J1627-K1627-L1627-M1627-N1627-O1627-P1627-Q1627-R1627-S1627-T1627-U1627-V1627-W1627-X1627-Y1627-Z1627-AA1627-AB1627-AC1627-AD1627-AE1627-AF1627-AG1627+AH1627-AI1627+AJ1627+AK1627-AL1627</f>
        <v>0</v>
      </c>
      <c r="AN1627" s="45"/>
    </row>
    <row r="1628" spans="1:41">
      <c r="A1628" s="45">
        <v>1600</v>
      </c>
      <c r="B1628" s="45" t="s">
        <v>6247</v>
      </c>
      <c r="C1628" s="49" t="s">
        <v>6248</v>
      </c>
      <c r="D1628" s="53" t="s">
        <v>73</v>
      </c>
      <c r="E1628" s="45" t="s">
        <v>6237</v>
      </c>
      <c r="F1628" s="45" t="s">
        <v>6249</v>
      </c>
      <c r="G1628" s="45">
        <v>5.8</v>
      </c>
      <c r="H1628" s="53" t="s">
        <v>6250</v>
      </c>
      <c r="I1628" s="45">
        <v>634000</v>
      </c>
      <c r="J1628" s="45">
        <v>0</v>
      </c>
      <c r="K1628" s="45">
        <v>31000</v>
      </c>
      <c r="L1628" s="45">
        <v>0</v>
      </c>
      <c r="M1628" s="45">
        <v>0</v>
      </c>
      <c r="N1628" s="45">
        <v>0</v>
      </c>
      <c r="O1628" s="45">
        <v>0</v>
      </c>
      <c r="P1628" s="45">
        <v>0</v>
      </c>
      <c r="Q1628" s="45">
        <v>0</v>
      </c>
      <c r="R1628" s="45">
        <v>0</v>
      </c>
      <c r="S1628" s="45">
        <v>0</v>
      </c>
      <c r="T1628" s="45">
        <v>0</v>
      </c>
      <c r="U1628" s="45">
        <v>1968</v>
      </c>
      <c r="V1628" s="45">
        <v>0</v>
      </c>
      <c r="W1628" s="45">
        <v>0</v>
      </c>
      <c r="X1628" s="45">
        <v>0</v>
      </c>
      <c r="Y1628" s="45">
        <v>0</v>
      </c>
      <c r="Z1628" s="45">
        <v>0</v>
      </c>
      <c r="AA1628" s="45">
        <v>0</v>
      </c>
      <c r="AB1628" s="45">
        <v>0</v>
      </c>
      <c r="AC1628" s="45">
        <v>0</v>
      </c>
      <c r="AD1628" s="45">
        <v>0</v>
      </c>
      <c r="AE1628" s="45">
        <v>0</v>
      </c>
      <c r="AF1628" s="45">
        <v>0</v>
      </c>
      <c r="AG1628" s="45">
        <v>0</v>
      </c>
      <c r="AH1628" s="45">
        <v>0</v>
      </c>
      <c r="AI1628" s="45">
        <v>0</v>
      </c>
      <c r="AJ1628" s="45">
        <v>0</v>
      </c>
      <c r="AK1628" s="45">
        <v>0</v>
      </c>
      <c r="AL1628" s="45">
        <v>0</v>
      </c>
      <c r="AM1628" s="57" t="str">
        <f>I1628-J1628-K1628-L1628-M1628-N1628-O1628-P1628-Q1628-R1628-S1628-T1628-U1628-V1628-W1628-X1628-Y1628-Z1628-AA1628-AB1628-AC1628-AD1628-AE1628-AF1628-AG1628+AH1628-AI1628+AJ1628+AK1628-AL1628</f>
        <v>0</v>
      </c>
      <c r="AN1628" s="45"/>
    </row>
    <row r="1629" spans="1:41">
      <c r="A1629" s="45">
        <v>1601</v>
      </c>
      <c r="B1629" s="45" t="s">
        <v>6251</v>
      </c>
      <c r="C1629" s="49" t="s">
        <v>6252</v>
      </c>
      <c r="D1629" s="53" t="s">
        <v>73</v>
      </c>
      <c r="E1629" s="45" t="s">
        <v>6237</v>
      </c>
      <c r="F1629" s="45" t="s">
        <v>2335</v>
      </c>
      <c r="G1629" s="45">
        <v>3</v>
      </c>
      <c r="H1629" s="53" t="s">
        <v>6253</v>
      </c>
      <c r="I1629" s="45">
        <v>334000</v>
      </c>
      <c r="J1629" s="45">
        <v>0</v>
      </c>
      <c r="K1629" s="45">
        <v>23000</v>
      </c>
      <c r="L1629" s="45">
        <v>0</v>
      </c>
      <c r="M1629" s="45">
        <v>0</v>
      </c>
      <c r="N1629" s="45">
        <v>0</v>
      </c>
      <c r="O1629" s="45">
        <v>0</v>
      </c>
      <c r="P1629" s="45">
        <v>0</v>
      </c>
      <c r="Q1629" s="45">
        <v>0</v>
      </c>
      <c r="R1629" s="45">
        <v>0</v>
      </c>
      <c r="S1629" s="45">
        <v>0</v>
      </c>
      <c r="T1629" s="45">
        <v>0</v>
      </c>
      <c r="U1629" s="45">
        <v>1460</v>
      </c>
      <c r="V1629" s="45">
        <v>0</v>
      </c>
      <c r="W1629" s="45">
        <v>0</v>
      </c>
      <c r="X1629" s="45">
        <v>0</v>
      </c>
      <c r="Y1629" s="45">
        <v>0</v>
      </c>
      <c r="Z1629" s="45">
        <v>0</v>
      </c>
      <c r="AA1629" s="45">
        <v>0</v>
      </c>
      <c r="AB1629" s="45">
        <v>0</v>
      </c>
      <c r="AC1629" s="45">
        <v>0</v>
      </c>
      <c r="AD1629" s="45">
        <v>0</v>
      </c>
      <c r="AE1629" s="45">
        <v>0</v>
      </c>
      <c r="AF1629" s="45">
        <v>0</v>
      </c>
      <c r="AG1629" s="45">
        <v>0</v>
      </c>
      <c r="AH1629" s="45">
        <v>0</v>
      </c>
      <c r="AI1629" s="45">
        <v>0</v>
      </c>
      <c r="AJ1629" s="45">
        <v>0</v>
      </c>
      <c r="AK1629" s="45">
        <v>0</v>
      </c>
      <c r="AL1629" s="45">
        <v>0</v>
      </c>
      <c r="AM1629" s="57" t="str">
        <f>I1629-J1629-K1629-L1629-M1629-N1629-O1629-P1629-Q1629-R1629-S1629-T1629-U1629-V1629-W1629-X1629-Y1629-Z1629-AA1629-AB1629-AC1629-AD1629-AE1629-AF1629-AG1629+AH1629-AI1629+AJ1629+AK1629-AL1629</f>
        <v>0</v>
      </c>
      <c r="AN1629" s="45"/>
    </row>
    <row r="1630" spans="1:41">
      <c r="A1630" s="45">
        <v>1602</v>
      </c>
      <c r="B1630" s="45" t="s">
        <v>6254</v>
      </c>
      <c r="C1630" s="49" t="s">
        <v>6255</v>
      </c>
      <c r="D1630" s="53" t="s">
        <v>73</v>
      </c>
      <c r="E1630" s="45" t="s">
        <v>6237</v>
      </c>
      <c r="F1630" s="45" t="s">
        <v>6229</v>
      </c>
      <c r="G1630" s="45">
        <v>2</v>
      </c>
      <c r="H1630" s="53" t="s">
        <v>6256</v>
      </c>
      <c r="I1630" s="45">
        <v>334000</v>
      </c>
      <c r="J1630" s="45">
        <v>0</v>
      </c>
      <c r="K1630" s="45">
        <v>23000</v>
      </c>
      <c r="L1630" s="45">
        <v>0</v>
      </c>
      <c r="M1630" s="45">
        <v>0</v>
      </c>
      <c r="N1630" s="45">
        <v>0</v>
      </c>
      <c r="O1630" s="45">
        <v>0</v>
      </c>
      <c r="P1630" s="45">
        <v>0</v>
      </c>
      <c r="Q1630" s="45">
        <v>0</v>
      </c>
      <c r="R1630" s="45">
        <v>0</v>
      </c>
      <c r="S1630" s="45">
        <v>0</v>
      </c>
      <c r="T1630" s="45">
        <v>0</v>
      </c>
      <c r="U1630" s="45">
        <v>1460</v>
      </c>
      <c r="V1630" s="45">
        <v>0</v>
      </c>
      <c r="W1630" s="45">
        <v>0</v>
      </c>
      <c r="X1630" s="45">
        <v>0</v>
      </c>
      <c r="Y1630" s="45">
        <v>0</v>
      </c>
      <c r="Z1630" s="45">
        <v>0</v>
      </c>
      <c r="AA1630" s="45">
        <v>0</v>
      </c>
      <c r="AB1630" s="45">
        <v>0</v>
      </c>
      <c r="AC1630" s="45">
        <v>0</v>
      </c>
      <c r="AD1630" s="45">
        <v>0</v>
      </c>
      <c r="AE1630" s="45">
        <v>0</v>
      </c>
      <c r="AF1630" s="45">
        <v>0</v>
      </c>
      <c r="AG1630" s="45">
        <v>0</v>
      </c>
      <c r="AH1630" s="45">
        <v>0</v>
      </c>
      <c r="AI1630" s="45">
        <v>0</v>
      </c>
      <c r="AJ1630" s="45">
        <v>0</v>
      </c>
      <c r="AK1630" s="45">
        <v>0</v>
      </c>
      <c r="AL1630" s="45">
        <v>0</v>
      </c>
      <c r="AM1630" s="57" t="str">
        <f>I1630-J1630-K1630-L1630-M1630-N1630-O1630-P1630-Q1630-R1630-S1630-T1630-U1630-V1630-W1630-X1630-Y1630-Z1630-AA1630-AB1630-AC1630-AD1630-AE1630-AF1630-AG1630+AH1630-AI1630+AJ1630+AK1630-AL1630</f>
        <v>0</v>
      </c>
      <c r="AN1630" s="45"/>
    </row>
    <row r="1631" spans="1:41">
      <c r="A1631" s="45">
        <v>1603</v>
      </c>
      <c r="B1631" s="45" t="s">
        <v>6257</v>
      </c>
      <c r="C1631" s="49" t="s">
        <v>6258</v>
      </c>
      <c r="D1631" s="53" t="s">
        <v>73</v>
      </c>
      <c r="E1631" s="45" t="s">
        <v>6237</v>
      </c>
      <c r="F1631" s="45" t="s">
        <v>6259</v>
      </c>
      <c r="G1631" s="45">
        <v>3</v>
      </c>
      <c r="H1631" s="53" t="s">
        <v>6260</v>
      </c>
      <c r="I1631" s="45">
        <v>334000</v>
      </c>
      <c r="J1631" s="45">
        <v>0</v>
      </c>
      <c r="K1631" s="45">
        <v>22000</v>
      </c>
      <c r="L1631" s="45">
        <v>0</v>
      </c>
      <c r="M1631" s="45">
        <v>0</v>
      </c>
      <c r="N1631" s="45">
        <v>0</v>
      </c>
      <c r="O1631" s="45">
        <v>0</v>
      </c>
      <c r="P1631" s="45">
        <v>0</v>
      </c>
      <c r="Q1631" s="45">
        <v>0</v>
      </c>
      <c r="R1631" s="45">
        <v>0</v>
      </c>
      <c r="S1631" s="45">
        <v>0</v>
      </c>
      <c r="T1631" s="45">
        <v>0</v>
      </c>
      <c r="U1631" s="45">
        <v>1397</v>
      </c>
      <c r="V1631" s="45">
        <v>0</v>
      </c>
      <c r="W1631" s="45">
        <v>0</v>
      </c>
      <c r="X1631" s="45">
        <v>0</v>
      </c>
      <c r="Y1631" s="45">
        <v>0</v>
      </c>
      <c r="Z1631" s="45">
        <v>0</v>
      </c>
      <c r="AA1631" s="45">
        <v>0</v>
      </c>
      <c r="AB1631" s="45">
        <v>0</v>
      </c>
      <c r="AC1631" s="45">
        <v>0</v>
      </c>
      <c r="AD1631" s="45">
        <v>0</v>
      </c>
      <c r="AE1631" s="45">
        <v>0</v>
      </c>
      <c r="AF1631" s="45">
        <v>0</v>
      </c>
      <c r="AG1631" s="45">
        <v>0</v>
      </c>
      <c r="AH1631" s="45">
        <v>0</v>
      </c>
      <c r="AI1631" s="45">
        <v>0</v>
      </c>
      <c r="AJ1631" s="45">
        <v>0</v>
      </c>
      <c r="AK1631" s="45">
        <v>0</v>
      </c>
      <c r="AL1631" s="45">
        <v>0</v>
      </c>
      <c r="AM1631" s="57" t="str">
        <f>I1631-J1631-K1631-L1631-M1631-N1631-O1631-P1631-Q1631-R1631-S1631-T1631-U1631-V1631-W1631-X1631-Y1631-Z1631-AA1631-AB1631-AC1631-AD1631-AE1631-AF1631-AG1631+AH1631-AI1631+AJ1631+AK1631-AL1631</f>
        <v>0</v>
      </c>
      <c r="AN1631" s="45"/>
    </row>
    <row r="1632" spans="1:41">
      <c r="A1632" s="45">
        <v>1604</v>
      </c>
      <c r="B1632" s="45" t="s">
        <v>6261</v>
      </c>
      <c r="C1632" s="49" t="s">
        <v>6262</v>
      </c>
      <c r="D1632" s="53" t="s">
        <v>73</v>
      </c>
      <c r="E1632" s="45" t="s">
        <v>6263</v>
      </c>
      <c r="F1632" s="45" t="s">
        <v>6264</v>
      </c>
      <c r="G1632" s="45">
        <v>7</v>
      </c>
      <c r="H1632" s="53" t="s">
        <v>6265</v>
      </c>
      <c r="I1632" s="45">
        <v>1819000</v>
      </c>
      <c r="J1632" s="45">
        <v>0</v>
      </c>
      <c r="K1632" s="45">
        <v>35000</v>
      </c>
      <c r="L1632" s="45">
        <v>0</v>
      </c>
      <c r="M1632" s="45">
        <v>0</v>
      </c>
      <c r="N1632" s="45">
        <v>0</v>
      </c>
      <c r="O1632" s="45">
        <v>0</v>
      </c>
      <c r="P1632" s="45">
        <v>0</v>
      </c>
      <c r="Q1632" s="45">
        <v>0</v>
      </c>
      <c r="R1632" s="45">
        <v>0</v>
      </c>
      <c r="S1632" s="45">
        <v>0</v>
      </c>
      <c r="T1632" s="45">
        <v>0</v>
      </c>
      <c r="U1632" s="45">
        <v>2222</v>
      </c>
      <c r="V1632" s="45">
        <v>0</v>
      </c>
      <c r="W1632" s="45">
        <v>0</v>
      </c>
      <c r="X1632" s="45">
        <v>0</v>
      </c>
      <c r="Y1632" s="45">
        <v>0</v>
      </c>
      <c r="Z1632" s="45">
        <v>0</v>
      </c>
      <c r="AA1632" s="45">
        <v>0</v>
      </c>
      <c r="AB1632" s="45">
        <v>0</v>
      </c>
      <c r="AC1632" s="45">
        <v>0</v>
      </c>
      <c r="AD1632" s="45">
        <v>0</v>
      </c>
      <c r="AE1632" s="45">
        <v>0</v>
      </c>
      <c r="AF1632" s="45">
        <v>0</v>
      </c>
      <c r="AG1632" s="45">
        <v>0</v>
      </c>
      <c r="AH1632" s="45">
        <v>0</v>
      </c>
      <c r="AI1632" s="45">
        <v>0</v>
      </c>
      <c r="AJ1632" s="45">
        <v>0</v>
      </c>
      <c r="AK1632" s="45">
        <v>0</v>
      </c>
      <c r="AL1632" s="45">
        <v>0</v>
      </c>
      <c r="AM1632" s="57" t="str">
        <f>I1632-J1632-K1632-L1632-M1632-N1632-O1632-P1632-Q1632-R1632-S1632-T1632-U1632-V1632-W1632-X1632-Y1632-Z1632-AA1632-AB1632-AC1632-AD1632-AE1632-AF1632-AG1632+AH1632-AI1632+AJ1632+AK1632-AL1632</f>
        <v>0</v>
      </c>
      <c r="AN1632" s="45"/>
    </row>
    <row r="1633" spans="1:41">
      <c r="A1633" s="45">
        <v>1605</v>
      </c>
      <c r="B1633" s="45" t="s">
        <v>6266</v>
      </c>
      <c r="C1633" s="49" t="s">
        <v>6267</v>
      </c>
      <c r="D1633" s="53" t="s">
        <v>73</v>
      </c>
      <c r="E1633" s="45" t="s">
        <v>6263</v>
      </c>
      <c r="F1633" s="45" t="s">
        <v>6268</v>
      </c>
      <c r="G1633" s="45">
        <v>3</v>
      </c>
      <c r="H1633" s="53" t="s">
        <v>6269</v>
      </c>
      <c r="I1633" s="45">
        <v>834000</v>
      </c>
      <c r="J1633" s="45">
        <v>0</v>
      </c>
      <c r="K1633" s="45">
        <v>22000</v>
      </c>
      <c r="L1633" s="45">
        <v>0</v>
      </c>
      <c r="M1633" s="45">
        <v>0</v>
      </c>
      <c r="N1633" s="45">
        <v>0</v>
      </c>
      <c r="O1633" s="45">
        <v>0</v>
      </c>
      <c r="P1633" s="45">
        <v>0</v>
      </c>
      <c r="Q1633" s="45">
        <v>0</v>
      </c>
      <c r="R1633" s="45">
        <v>0</v>
      </c>
      <c r="S1633" s="45">
        <v>0</v>
      </c>
      <c r="T1633" s="45">
        <v>0</v>
      </c>
      <c r="U1633" s="45">
        <v>1397</v>
      </c>
      <c r="V1633" s="45">
        <v>0</v>
      </c>
      <c r="W1633" s="45">
        <v>0</v>
      </c>
      <c r="X1633" s="45">
        <v>0</v>
      </c>
      <c r="Y1633" s="45">
        <v>0</v>
      </c>
      <c r="Z1633" s="45">
        <v>0</v>
      </c>
      <c r="AA1633" s="45">
        <v>0</v>
      </c>
      <c r="AB1633" s="45">
        <v>0</v>
      </c>
      <c r="AC1633" s="45">
        <v>0</v>
      </c>
      <c r="AD1633" s="45">
        <v>0</v>
      </c>
      <c r="AE1633" s="45">
        <v>0</v>
      </c>
      <c r="AF1633" s="45">
        <v>0</v>
      </c>
      <c r="AG1633" s="45">
        <v>0</v>
      </c>
      <c r="AH1633" s="45">
        <v>0</v>
      </c>
      <c r="AI1633" s="45">
        <v>0</v>
      </c>
      <c r="AJ1633" s="45">
        <v>0</v>
      </c>
      <c r="AK1633" s="45">
        <v>0</v>
      </c>
      <c r="AL1633" s="45">
        <v>0</v>
      </c>
      <c r="AM1633" s="57" t="str">
        <f>I1633-J1633-K1633-L1633-M1633-N1633-O1633-P1633-Q1633-R1633-S1633-T1633-U1633-V1633-W1633-X1633-Y1633-Z1633-AA1633-AB1633-AC1633-AD1633-AE1633-AF1633-AG1633+AH1633-AI1633+AJ1633+AK1633-AL1633</f>
        <v>0</v>
      </c>
      <c r="AN1633" s="45"/>
    </row>
    <row r="1634" spans="1:41">
      <c r="A1634" s="45">
        <v>1606</v>
      </c>
      <c r="B1634" s="45" t="s">
        <v>6270</v>
      </c>
      <c r="C1634" s="49" t="s">
        <v>6271</v>
      </c>
      <c r="D1634" s="53" t="s">
        <v>73</v>
      </c>
      <c r="E1634" s="45" t="s">
        <v>6263</v>
      </c>
      <c r="F1634" s="45" t="s">
        <v>6272</v>
      </c>
      <c r="G1634" s="45">
        <v>5</v>
      </c>
      <c r="H1634" s="53" t="s">
        <v>6273</v>
      </c>
      <c r="I1634" s="45">
        <v>1015000</v>
      </c>
      <c r="J1634" s="45">
        <v>0</v>
      </c>
      <c r="K1634" s="45">
        <v>27000</v>
      </c>
      <c r="L1634" s="45">
        <v>0</v>
      </c>
      <c r="M1634" s="45">
        <v>0</v>
      </c>
      <c r="N1634" s="45">
        <v>0</v>
      </c>
      <c r="O1634" s="45">
        <v>0</v>
      </c>
      <c r="P1634" s="45">
        <v>0</v>
      </c>
      <c r="Q1634" s="45">
        <v>0</v>
      </c>
      <c r="R1634" s="45">
        <v>0</v>
      </c>
      <c r="S1634" s="45">
        <v>0</v>
      </c>
      <c r="T1634" s="45">
        <v>0</v>
      </c>
      <c r="U1634" s="45">
        <v>1714</v>
      </c>
      <c r="V1634" s="45">
        <v>0</v>
      </c>
      <c r="W1634" s="45">
        <v>0</v>
      </c>
      <c r="X1634" s="45">
        <v>0</v>
      </c>
      <c r="Y1634" s="45">
        <v>0</v>
      </c>
      <c r="Z1634" s="45">
        <v>0</v>
      </c>
      <c r="AA1634" s="45">
        <v>0</v>
      </c>
      <c r="AB1634" s="45">
        <v>0</v>
      </c>
      <c r="AC1634" s="45">
        <v>0</v>
      </c>
      <c r="AD1634" s="45">
        <v>0</v>
      </c>
      <c r="AE1634" s="45">
        <v>0</v>
      </c>
      <c r="AF1634" s="45">
        <v>0</v>
      </c>
      <c r="AG1634" s="45">
        <v>0</v>
      </c>
      <c r="AH1634" s="45">
        <v>0</v>
      </c>
      <c r="AI1634" s="45">
        <v>0</v>
      </c>
      <c r="AJ1634" s="45">
        <v>0</v>
      </c>
      <c r="AK1634" s="45">
        <v>0</v>
      </c>
      <c r="AL1634" s="45">
        <v>0</v>
      </c>
      <c r="AM1634" s="57" t="str">
        <f>I1634-J1634-K1634-L1634-M1634-N1634-O1634-P1634-Q1634-R1634-S1634-T1634-U1634-V1634-W1634-X1634-Y1634-Z1634-AA1634-AB1634-AC1634-AD1634-AE1634-AF1634-AG1634+AH1634-AI1634+AJ1634+AK1634-AL1634</f>
        <v>0</v>
      </c>
      <c r="AN1634" s="45"/>
    </row>
    <row r="1635" spans="1:41">
      <c r="A1635" s="45">
        <v>1607</v>
      </c>
      <c r="B1635" s="45" t="s">
        <v>6274</v>
      </c>
      <c r="C1635" s="49" t="s">
        <v>6275</v>
      </c>
      <c r="D1635" s="53" t="s">
        <v>73</v>
      </c>
      <c r="E1635" s="45" t="s">
        <v>6263</v>
      </c>
      <c r="F1635" s="45" t="s">
        <v>6190</v>
      </c>
      <c r="G1635" s="45">
        <v>5</v>
      </c>
      <c r="H1635" s="53" t="s">
        <v>6276</v>
      </c>
      <c r="I1635" s="45">
        <v>1469000</v>
      </c>
      <c r="J1635" s="45">
        <v>0</v>
      </c>
      <c r="K1635" s="45">
        <v>27000</v>
      </c>
      <c r="L1635" s="45">
        <v>0</v>
      </c>
      <c r="M1635" s="45">
        <v>0</v>
      </c>
      <c r="N1635" s="45">
        <v>0</v>
      </c>
      <c r="O1635" s="45">
        <v>0</v>
      </c>
      <c r="P1635" s="45">
        <v>0</v>
      </c>
      <c r="Q1635" s="45">
        <v>0</v>
      </c>
      <c r="R1635" s="45">
        <v>0</v>
      </c>
      <c r="S1635" s="45">
        <v>0</v>
      </c>
      <c r="T1635" s="45">
        <v>0</v>
      </c>
      <c r="U1635" s="45">
        <v>1714</v>
      </c>
      <c r="V1635" s="45">
        <v>0</v>
      </c>
      <c r="W1635" s="45">
        <v>0</v>
      </c>
      <c r="X1635" s="45">
        <v>0</v>
      </c>
      <c r="Y1635" s="45">
        <v>0</v>
      </c>
      <c r="Z1635" s="45">
        <v>0</v>
      </c>
      <c r="AA1635" s="45">
        <v>0</v>
      </c>
      <c r="AB1635" s="45">
        <v>0</v>
      </c>
      <c r="AC1635" s="45">
        <v>0</v>
      </c>
      <c r="AD1635" s="45">
        <v>0</v>
      </c>
      <c r="AE1635" s="45">
        <v>0</v>
      </c>
      <c r="AF1635" s="45">
        <v>0</v>
      </c>
      <c r="AG1635" s="45">
        <v>0</v>
      </c>
      <c r="AH1635" s="45">
        <v>0</v>
      </c>
      <c r="AI1635" s="45">
        <v>0</v>
      </c>
      <c r="AJ1635" s="45">
        <v>0</v>
      </c>
      <c r="AK1635" s="45">
        <v>0</v>
      </c>
      <c r="AL1635" s="45">
        <v>0</v>
      </c>
      <c r="AM1635" s="57" t="str">
        <f>I1635-J1635-K1635-L1635-M1635-N1635-O1635-P1635-Q1635-R1635-S1635-T1635-U1635-V1635-W1635-X1635-Y1635-Z1635-AA1635-AB1635-AC1635-AD1635-AE1635-AF1635-AG1635+AH1635-AI1635+AJ1635+AK1635-AL1635</f>
        <v>0</v>
      </c>
      <c r="AN1635" s="45"/>
    </row>
    <row r="1636" spans="1:41">
      <c r="A1636" s="45">
        <v>1608</v>
      </c>
      <c r="B1636" s="45" t="s">
        <v>6277</v>
      </c>
      <c r="C1636" s="49" t="s">
        <v>6278</v>
      </c>
      <c r="D1636" s="53" t="s">
        <v>73</v>
      </c>
      <c r="E1636" s="45" t="s">
        <v>6263</v>
      </c>
      <c r="F1636" s="45" t="s">
        <v>5963</v>
      </c>
      <c r="G1636" s="45">
        <v>2</v>
      </c>
      <c r="H1636" s="53" t="s">
        <v>6279</v>
      </c>
      <c r="I1636" s="45">
        <v>255500</v>
      </c>
      <c r="J1636" s="45">
        <v>0</v>
      </c>
      <c r="K1636" s="45">
        <v>22000</v>
      </c>
      <c r="L1636" s="45">
        <v>0</v>
      </c>
      <c r="M1636" s="45">
        <v>0</v>
      </c>
      <c r="N1636" s="45">
        <v>0</v>
      </c>
      <c r="O1636" s="45">
        <v>0</v>
      </c>
      <c r="P1636" s="45">
        <v>0</v>
      </c>
      <c r="Q1636" s="45">
        <v>0</v>
      </c>
      <c r="R1636" s="45">
        <v>0</v>
      </c>
      <c r="S1636" s="45">
        <v>0</v>
      </c>
      <c r="T1636" s="45">
        <v>0</v>
      </c>
      <c r="U1636" s="45">
        <v>1397</v>
      </c>
      <c r="V1636" s="45">
        <v>0</v>
      </c>
      <c r="W1636" s="45">
        <v>0</v>
      </c>
      <c r="X1636" s="45">
        <v>0</v>
      </c>
      <c r="Y1636" s="45">
        <v>0</v>
      </c>
      <c r="Z1636" s="45">
        <v>0</v>
      </c>
      <c r="AA1636" s="45">
        <v>0</v>
      </c>
      <c r="AB1636" s="45">
        <v>0</v>
      </c>
      <c r="AC1636" s="45">
        <v>0</v>
      </c>
      <c r="AD1636" s="45">
        <v>0</v>
      </c>
      <c r="AE1636" s="45">
        <v>0</v>
      </c>
      <c r="AF1636" s="45">
        <v>0</v>
      </c>
      <c r="AG1636" s="45">
        <v>0</v>
      </c>
      <c r="AH1636" s="45">
        <v>0</v>
      </c>
      <c r="AI1636" s="45">
        <v>0</v>
      </c>
      <c r="AJ1636" s="45">
        <v>0</v>
      </c>
      <c r="AK1636" s="45">
        <v>0</v>
      </c>
      <c r="AL1636" s="45">
        <v>0</v>
      </c>
      <c r="AM1636" s="57" t="str">
        <f>I1636-J1636-K1636-L1636-M1636-N1636-O1636-P1636-Q1636-R1636-S1636-T1636-U1636-V1636-W1636-X1636-Y1636-Z1636-AA1636-AB1636-AC1636-AD1636-AE1636-AF1636-AG1636+AH1636-AI1636+AJ1636+AK1636-AL1636</f>
        <v>0</v>
      </c>
      <c r="AN1636" s="45"/>
    </row>
    <row r="1637" spans="1:41">
      <c r="A1637" s="45">
        <v>1609</v>
      </c>
      <c r="B1637" s="45" t="s">
        <v>6280</v>
      </c>
      <c r="C1637" s="49" t="s">
        <v>6281</v>
      </c>
      <c r="D1637" s="53" t="s">
        <v>73</v>
      </c>
      <c r="E1637" s="45" t="s">
        <v>6263</v>
      </c>
      <c r="F1637" s="45" t="s">
        <v>6282</v>
      </c>
      <c r="G1637" s="45">
        <v>2</v>
      </c>
      <c r="H1637" s="53" t="s">
        <v>6283</v>
      </c>
      <c r="I1637" s="45">
        <v>654000</v>
      </c>
      <c r="J1637" s="45">
        <v>0</v>
      </c>
      <c r="K1637" s="45">
        <v>22000</v>
      </c>
      <c r="L1637" s="45">
        <v>0</v>
      </c>
      <c r="M1637" s="45">
        <v>0</v>
      </c>
      <c r="N1637" s="45">
        <v>0</v>
      </c>
      <c r="O1637" s="45">
        <v>0</v>
      </c>
      <c r="P1637" s="45">
        <v>0</v>
      </c>
      <c r="Q1637" s="45">
        <v>0</v>
      </c>
      <c r="R1637" s="45">
        <v>0</v>
      </c>
      <c r="S1637" s="45">
        <v>0</v>
      </c>
      <c r="T1637" s="45">
        <v>0</v>
      </c>
      <c r="U1637" s="45">
        <v>1397</v>
      </c>
      <c r="V1637" s="45">
        <v>0</v>
      </c>
      <c r="W1637" s="45">
        <v>0</v>
      </c>
      <c r="X1637" s="45">
        <v>0</v>
      </c>
      <c r="Y1637" s="45">
        <v>0</v>
      </c>
      <c r="Z1637" s="45">
        <v>0</v>
      </c>
      <c r="AA1637" s="45">
        <v>0</v>
      </c>
      <c r="AB1637" s="45">
        <v>0</v>
      </c>
      <c r="AC1637" s="45">
        <v>0</v>
      </c>
      <c r="AD1637" s="45">
        <v>0</v>
      </c>
      <c r="AE1637" s="45">
        <v>0</v>
      </c>
      <c r="AF1637" s="45">
        <v>0</v>
      </c>
      <c r="AG1637" s="45">
        <v>0</v>
      </c>
      <c r="AH1637" s="45">
        <v>0</v>
      </c>
      <c r="AI1637" s="45">
        <v>0</v>
      </c>
      <c r="AJ1637" s="45">
        <v>0</v>
      </c>
      <c r="AK1637" s="45">
        <v>0</v>
      </c>
      <c r="AL1637" s="45">
        <v>0</v>
      </c>
      <c r="AM1637" s="57" t="str">
        <f>I1637-J1637-K1637-L1637-M1637-N1637-O1637-P1637-Q1637-R1637-S1637-T1637-U1637-V1637-W1637-X1637-Y1637-Z1637-AA1637-AB1637-AC1637-AD1637-AE1637-AF1637-AG1637+AH1637-AI1637+AJ1637+AK1637-AL1637</f>
        <v>0</v>
      </c>
      <c r="AN1637" s="45"/>
    </row>
    <row r="1638" spans="1:41">
      <c r="A1638" s="45">
        <v>1610</v>
      </c>
      <c r="B1638" s="45" t="s">
        <v>6284</v>
      </c>
      <c r="C1638" s="49" t="s">
        <v>6285</v>
      </c>
      <c r="D1638" s="53" t="s">
        <v>73</v>
      </c>
      <c r="E1638" s="45" t="s">
        <v>6263</v>
      </c>
      <c r="F1638" s="45" t="s">
        <v>6286</v>
      </c>
      <c r="G1638" s="45">
        <v>2</v>
      </c>
      <c r="H1638" s="53" t="s">
        <v>6287</v>
      </c>
      <c r="I1638" s="45">
        <v>534000</v>
      </c>
      <c r="J1638" s="45">
        <v>0</v>
      </c>
      <c r="K1638" s="45">
        <v>22000</v>
      </c>
      <c r="L1638" s="45">
        <v>0</v>
      </c>
      <c r="M1638" s="45">
        <v>0</v>
      </c>
      <c r="N1638" s="45">
        <v>0</v>
      </c>
      <c r="O1638" s="45">
        <v>0</v>
      </c>
      <c r="P1638" s="45">
        <v>0</v>
      </c>
      <c r="Q1638" s="45">
        <v>0</v>
      </c>
      <c r="R1638" s="45">
        <v>0</v>
      </c>
      <c r="S1638" s="45">
        <v>0</v>
      </c>
      <c r="T1638" s="45">
        <v>0</v>
      </c>
      <c r="U1638" s="45">
        <v>1397</v>
      </c>
      <c r="V1638" s="45">
        <v>0</v>
      </c>
      <c r="W1638" s="45">
        <v>0</v>
      </c>
      <c r="X1638" s="45">
        <v>0</v>
      </c>
      <c r="Y1638" s="45">
        <v>0</v>
      </c>
      <c r="Z1638" s="45">
        <v>0</v>
      </c>
      <c r="AA1638" s="45">
        <v>0</v>
      </c>
      <c r="AB1638" s="45">
        <v>0</v>
      </c>
      <c r="AC1638" s="45">
        <v>0</v>
      </c>
      <c r="AD1638" s="45">
        <v>0</v>
      </c>
      <c r="AE1638" s="45">
        <v>0</v>
      </c>
      <c r="AF1638" s="45">
        <v>0</v>
      </c>
      <c r="AG1638" s="45">
        <v>0</v>
      </c>
      <c r="AH1638" s="45">
        <v>0</v>
      </c>
      <c r="AI1638" s="45">
        <v>0</v>
      </c>
      <c r="AJ1638" s="45">
        <v>0</v>
      </c>
      <c r="AK1638" s="45">
        <v>0</v>
      </c>
      <c r="AL1638" s="45">
        <v>0</v>
      </c>
      <c r="AM1638" s="57" t="str">
        <f>I1638-J1638-K1638-L1638-M1638-N1638-O1638-P1638-Q1638-R1638-S1638-T1638-U1638-V1638-W1638-X1638-Y1638-Z1638-AA1638-AB1638-AC1638-AD1638-AE1638-AF1638-AG1638+AH1638-AI1638+AJ1638+AK1638-AL1638</f>
        <v>0</v>
      </c>
      <c r="AN1638" s="45"/>
    </row>
    <row r="1639" spans="1:41">
      <c r="A1639" s="45">
        <v>1611</v>
      </c>
      <c r="B1639" s="45" t="s">
        <v>6288</v>
      </c>
      <c r="C1639" s="49" t="s">
        <v>6289</v>
      </c>
      <c r="D1639" s="53" t="s">
        <v>73</v>
      </c>
      <c r="E1639" s="45" t="s">
        <v>6263</v>
      </c>
      <c r="F1639" s="45" t="s">
        <v>4717</v>
      </c>
      <c r="G1639" s="45">
        <v>2</v>
      </c>
      <c r="H1639" s="53" t="s">
        <v>6290</v>
      </c>
      <c r="I1639" s="45">
        <v>334000</v>
      </c>
      <c r="J1639" s="45">
        <v>0</v>
      </c>
      <c r="K1639" s="45">
        <v>22000</v>
      </c>
      <c r="L1639" s="45">
        <v>0</v>
      </c>
      <c r="M1639" s="45">
        <v>0</v>
      </c>
      <c r="N1639" s="45">
        <v>0</v>
      </c>
      <c r="O1639" s="45">
        <v>0</v>
      </c>
      <c r="P1639" s="45">
        <v>0</v>
      </c>
      <c r="Q1639" s="45">
        <v>0</v>
      </c>
      <c r="R1639" s="45">
        <v>0</v>
      </c>
      <c r="S1639" s="45">
        <v>0</v>
      </c>
      <c r="T1639" s="45">
        <v>0</v>
      </c>
      <c r="U1639" s="45">
        <v>1397</v>
      </c>
      <c r="V1639" s="45">
        <v>0</v>
      </c>
      <c r="W1639" s="45">
        <v>0</v>
      </c>
      <c r="X1639" s="45">
        <v>0</v>
      </c>
      <c r="Y1639" s="45">
        <v>0</v>
      </c>
      <c r="Z1639" s="45">
        <v>0</v>
      </c>
      <c r="AA1639" s="45">
        <v>0</v>
      </c>
      <c r="AB1639" s="45">
        <v>0</v>
      </c>
      <c r="AC1639" s="45">
        <v>0</v>
      </c>
      <c r="AD1639" s="45">
        <v>0</v>
      </c>
      <c r="AE1639" s="45">
        <v>0</v>
      </c>
      <c r="AF1639" s="45">
        <v>0</v>
      </c>
      <c r="AG1639" s="45">
        <v>0</v>
      </c>
      <c r="AH1639" s="45">
        <v>0</v>
      </c>
      <c r="AI1639" s="45">
        <v>0</v>
      </c>
      <c r="AJ1639" s="45">
        <v>0</v>
      </c>
      <c r="AK1639" s="45">
        <v>0</v>
      </c>
      <c r="AL1639" s="45">
        <v>0</v>
      </c>
      <c r="AM1639" s="57" t="str">
        <f>I1639-J1639-K1639-L1639-M1639-N1639-O1639-P1639-Q1639-R1639-S1639-T1639-U1639-V1639-W1639-X1639-Y1639-Z1639-AA1639-AB1639-AC1639-AD1639-AE1639-AF1639-AG1639+AH1639-AI1639+AJ1639+AK1639-AL1639</f>
        <v>0</v>
      </c>
      <c r="AN1639" s="45"/>
    </row>
    <row r="1640" spans="1:41">
      <c r="A1640" s="45">
        <v>1612</v>
      </c>
      <c r="B1640" s="45" t="s">
        <v>6291</v>
      </c>
      <c r="C1640" s="49" t="s">
        <v>6292</v>
      </c>
      <c r="D1640" s="53" t="s">
        <v>73</v>
      </c>
      <c r="E1640" s="45" t="s">
        <v>6263</v>
      </c>
      <c r="F1640" s="45" t="s">
        <v>6293</v>
      </c>
      <c r="G1640" s="45">
        <v>3</v>
      </c>
      <c r="H1640" s="53" t="s">
        <v>6294</v>
      </c>
      <c r="I1640" s="45">
        <v>560000</v>
      </c>
      <c r="J1640" s="45">
        <v>0</v>
      </c>
      <c r="K1640" s="45">
        <v>22000</v>
      </c>
      <c r="L1640" s="45">
        <v>0</v>
      </c>
      <c r="M1640" s="45">
        <v>0</v>
      </c>
      <c r="N1640" s="45">
        <v>0</v>
      </c>
      <c r="O1640" s="45">
        <v>0</v>
      </c>
      <c r="P1640" s="45">
        <v>0</v>
      </c>
      <c r="Q1640" s="45">
        <v>0</v>
      </c>
      <c r="R1640" s="45">
        <v>0</v>
      </c>
      <c r="S1640" s="45">
        <v>0</v>
      </c>
      <c r="T1640" s="45">
        <v>0</v>
      </c>
      <c r="U1640" s="45">
        <v>1397</v>
      </c>
      <c r="V1640" s="45">
        <v>0</v>
      </c>
      <c r="W1640" s="45">
        <v>0</v>
      </c>
      <c r="X1640" s="45">
        <v>0</v>
      </c>
      <c r="Y1640" s="45">
        <v>0</v>
      </c>
      <c r="Z1640" s="45">
        <v>0</v>
      </c>
      <c r="AA1640" s="45">
        <v>0</v>
      </c>
      <c r="AB1640" s="45">
        <v>0</v>
      </c>
      <c r="AC1640" s="45">
        <v>0</v>
      </c>
      <c r="AD1640" s="45">
        <v>0</v>
      </c>
      <c r="AE1640" s="45">
        <v>0</v>
      </c>
      <c r="AF1640" s="45">
        <v>0</v>
      </c>
      <c r="AG1640" s="45">
        <v>0</v>
      </c>
      <c r="AH1640" s="45">
        <v>0</v>
      </c>
      <c r="AI1640" s="45">
        <v>0</v>
      </c>
      <c r="AJ1640" s="45">
        <v>0</v>
      </c>
      <c r="AK1640" s="45">
        <v>0</v>
      </c>
      <c r="AL1640" s="45">
        <v>0</v>
      </c>
      <c r="AM1640" s="57" t="str">
        <f>I1640-J1640-K1640-L1640-M1640-N1640-O1640-P1640-Q1640-R1640-S1640-T1640-U1640-V1640-W1640-X1640-Y1640-Z1640-AA1640-AB1640-AC1640-AD1640-AE1640-AF1640-AG1640+AH1640-AI1640+AJ1640+AK1640-AL1640</f>
        <v>0</v>
      </c>
      <c r="AN1640" s="45"/>
    </row>
    <row r="1641" spans="1:41">
      <c r="A1641" s="45">
        <v>1613</v>
      </c>
      <c r="B1641" s="45" t="s">
        <v>6295</v>
      </c>
      <c r="C1641" s="49" t="s">
        <v>6296</v>
      </c>
      <c r="D1641" s="53" t="s">
        <v>73</v>
      </c>
      <c r="E1641" s="45" t="s">
        <v>6263</v>
      </c>
      <c r="F1641" s="45" t="s">
        <v>1171</v>
      </c>
      <c r="G1641" s="45">
        <v>2</v>
      </c>
      <c r="H1641" s="53" t="s">
        <v>6297</v>
      </c>
      <c r="I1641" s="45">
        <v>260000</v>
      </c>
      <c r="J1641" s="45">
        <v>0</v>
      </c>
      <c r="K1641" s="45">
        <v>22000</v>
      </c>
      <c r="L1641" s="45">
        <v>0</v>
      </c>
      <c r="M1641" s="45">
        <v>0</v>
      </c>
      <c r="N1641" s="45">
        <v>0</v>
      </c>
      <c r="O1641" s="45">
        <v>0</v>
      </c>
      <c r="P1641" s="45">
        <v>0</v>
      </c>
      <c r="Q1641" s="45">
        <v>0</v>
      </c>
      <c r="R1641" s="45">
        <v>0</v>
      </c>
      <c r="S1641" s="45">
        <v>0</v>
      </c>
      <c r="T1641" s="45">
        <v>0</v>
      </c>
      <c r="U1641" s="45">
        <v>1397</v>
      </c>
      <c r="V1641" s="45">
        <v>0</v>
      </c>
      <c r="W1641" s="45">
        <v>0</v>
      </c>
      <c r="X1641" s="45">
        <v>0</v>
      </c>
      <c r="Y1641" s="45">
        <v>0</v>
      </c>
      <c r="Z1641" s="45">
        <v>0</v>
      </c>
      <c r="AA1641" s="45">
        <v>0</v>
      </c>
      <c r="AB1641" s="45">
        <v>0</v>
      </c>
      <c r="AC1641" s="45">
        <v>0</v>
      </c>
      <c r="AD1641" s="45">
        <v>0</v>
      </c>
      <c r="AE1641" s="45">
        <v>0</v>
      </c>
      <c r="AF1641" s="45">
        <v>0</v>
      </c>
      <c r="AG1641" s="45">
        <v>0</v>
      </c>
      <c r="AH1641" s="45">
        <v>0</v>
      </c>
      <c r="AI1641" s="45">
        <v>0</v>
      </c>
      <c r="AJ1641" s="45">
        <v>0</v>
      </c>
      <c r="AK1641" s="45">
        <v>0</v>
      </c>
      <c r="AL1641" s="45">
        <v>0</v>
      </c>
      <c r="AM1641" s="57" t="str">
        <f>I1641-J1641-K1641-L1641-M1641-N1641-O1641-P1641-Q1641-R1641-S1641-T1641-U1641-V1641-W1641-X1641-Y1641-Z1641-AA1641-AB1641-AC1641-AD1641-AE1641-AF1641-AG1641+AH1641-AI1641+AJ1641+AK1641-AL1641</f>
        <v>0</v>
      </c>
      <c r="AN1641" s="45"/>
    </row>
    <row r="1642" spans="1:41">
      <c r="A1642" s="45">
        <v>1614</v>
      </c>
      <c r="B1642" s="45" t="s">
        <v>6298</v>
      </c>
      <c r="C1642" s="49" t="s">
        <v>6299</v>
      </c>
      <c r="D1642" s="53" t="s">
        <v>73</v>
      </c>
      <c r="E1642" s="45" t="s">
        <v>6263</v>
      </c>
      <c r="F1642" s="45" t="s">
        <v>6300</v>
      </c>
      <c r="G1642" s="45">
        <v>2</v>
      </c>
      <c r="H1642" s="53" t="s">
        <v>6301</v>
      </c>
      <c r="I1642" s="45">
        <v>625000</v>
      </c>
      <c r="J1642" s="45">
        <v>0</v>
      </c>
      <c r="K1642" s="45">
        <v>22000</v>
      </c>
      <c r="L1642" s="45">
        <v>0</v>
      </c>
      <c r="M1642" s="45">
        <v>0</v>
      </c>
      <c r="N1642" s="45">
        <v>0</v>
      </c>
      <c r="O1642" s="45">
        <v>0</v>
      </c>
      <c r="P1642" s="45">
        <v>0</v>
      </c>
      <c r="Q1642" s="45">
        <v>0</v>
      </c>
      <c r="R1642" s="45">
        <v>0</v>
      </c>
      <c r="S1642" s="45">
        <v>0</v>
      </c>
      <c r="T1642" s="45">
        <v>0</v>
      </c>
      <c r="U1642" s="45">
        <v>1397</v>
      </c>
      <c r="V1642" s="45">
        <v>0</v>
      </c>
      <c r="W1642" s="45">
        <v>0</v>
      </c>
      <c r="X1642" s="45">
        <v>0</v>
      </c>
      <c r="Y1642" s="45">
        <v>0</v>
      </c>
      <c r="Z1642" s="45">
        <v>0</v>
      </c>
      <c r="AA1642" s="45">
        <v>0</v>
      </c>
      <c r="AB1642" s="45">
        <v>0</v>
      </c>
      <c r="AC1642" s="45">
        <v>0</v>
      </c>
      <c r="AD1642" s="45">
        <v>0</v>
      </c>
      <c r="AE1642" s="45">
        <v>0</v>
      </c>
      <c r="AF1642" s="45">
        <v>0</v>
      </c>
      <c r="AG1642" s="45">
        <v>0</v>
      </c>
      <c r="AH1642" s="45">
        <v>0</v>
      </c>
      <c r="AI1642" s="45">
        <v>0</v>
      </c>
      <c r="AJ1642" s="45">
        <v>0</v>
      </c>
      <c r="AK1642" s="45">
        <v>0</v>
      </c>
      <c r="AL1642" s="45">
        <v>0</v>
      </c>
      <c r="AM1642" s="57" t="str">
        <f>I1642-J1642-K1642-L1642-M1642-N1642-O1642-P1642-Q1642-R1642-S1642-T1642-U1642-V1642-W1642-X1642-Y1642-Z1642-AA1642-AB1642-AC1642-AD1642-AE1642-AF1642-AG1642+AH1642-AI1642+AJ1642+AK1642-AL1642</f>
        <v>0</v>
      </c>
      <c r="AN1642" s="45"/>
    </row>
    <row r="1643" spans="1:41">
      <c r="A1643" s="45">
        <v>1615</v>
      </c>
      <c r="B1643" s="45" t="s">
        <v>6302</v>
      </c>
      <c r="C1643" s="49" t="s">
        <v>6303</v>
      </c>
      <c r="D1643" s="53" t="s">
        <v>73</v>
      </c>
      <c r="E1643" s="45" t="s">
        <v>6263</v>
      </c>
      <c r="F1643" s="45" t="s">
        <v>6304</v>
      </c>
      <c r="G1643" s="45">
        <v>4</v>
      </c>
      <c r="H1643" s="53" t="s">
        <v>6305</v>
      </c>
      <c r="I1643" s="45">
        <v>604000</v>
      </c>
      <c r="J1643" s="45">
        <v>0</v>
      </c>
      <c r="K1643" s="45">
        <v>25000</v>
      </c>
      <c r="L1643" s="45">
        <v>0</v>
      </c>
      <c r="M1643" s="45">
        <v>0</v>
      </c>
      <c r="N1643" s="45">
        <v>0</v>
      </c>
      <c r="O1643" s="45">
        <v>0</v>
      </c>
      <c r="P1643" s="45">
        <v>0</v>
      </c>
      <c r="Q1643" s="45">
        <v>0</v>
      </c>
      <c r="R1643" s="45">
        <v>0</v>
      </c>
      <c r="S1643" s="45">
        <v>0</v>
      </c>
      <c r="T1643" s="45">
        <v>0</v>
      </c>
      <c r="U1643" s="45">
        <v>1587</v>
      </c>
      <c r="V1643" s="45">
        <v>0</v>
      </c>
      <c r="W1643" s="45">
        <v>0</v>
      </c>
      <c r="X1643" s="45">
        <v>0</v>
      </c>
      <c r="Y1643" s="45">
        <v>12500</v>
      </c>
      <c r="Z1643" s="45">
        <v>0</v>
      </c>
      <c r="AA1643" s="45">
        <v>0</v>
      </c>
      <c r="AB1643" s="45">
        <v>0</v>
      </c>
      <c r="AC1643" s="45">
        <v>0</v>
      </c>
      <c r="AD1643" s="45">
        <v>0</v>
      </c>
      <c r="AE1643" s="45">
        <v>0</v>
      </c>
      <c r="AF1643" s="45">
        <v>0</v>
      </c>
      <c r="AG1643" s="45">
        <v>0</v>
      </c>
      <c r="AH1643" s="45">
        <v>0</v>
      </c>
      <c r="AI1643" s="45">
        <v>0</v>
      </c>
      <c r="AJ1643" s="45">
        <v>0</v>
      </c>
      <c r="AK1643" s="45">
        <v>0</v>
      </c>
      <c r="AL1643" s="45">
        <v>0</v>
      </c>
      <c r="AM1643" s="57" t="str">
        <f>I1643-J1643-K1643-L1643-M1643-N1643-O1643-P1643-Q1643-R1643-S1643-T1643-U1643-V1643-W1643-X1643-Y1643-Z1643-AA1643-AB1643-AC1643-AD1643-AE1643-AF1643-AG1643+AH1643-AI1643+AJ1643+AK1643-AL1643</f>
        <v>0</v>
      </c>
      <c r="AN1643" s="45"/>
    </row>
    <row r="1644" spans="1:41">
      <c r="A1644" s="45">
        <v>1616</v>
      </c>
      <c r="B1644" s="45" t="s">
        <v>6306</v>
      </c>
      <c r="C1644" s="49" t="s">
        <v>6307</v>
      </c>
      <c r="D1644" s="53" t="s">
        <v>73</v>
      </c>
      <c r="E1644" s="45" t="s">
        <v>6263</v>
      </c>
      <c r="F1644" s="45" t="s">
        <v>3308</v>
      </c>
      <c r="G1644" s="45">
        <v>6</v>
      </c>
      <c r="H1644" s="53" t="s">
        <v>6308</v>
      </c>
      <c r="I1644" s="45">
        <v>434000</v>
      </c>
      <c r="J1644" s="45">
        <v>0</v>
      </c>
      <c r="K1644" s="45">
        <v>31000</v>
      </c>
      <c r="L1644" s="45">
        <v>0</v>
      </c>
      <c r="M1644" s="45">
        <v>0</v>
      </c>
      <c r="N1644" s="45">
        <v>0</v>
      </c>
      <c r="O1644" s="45">
        <v>0</v>
      </c>
      <c r="P1644" s="45">
        <v>0</v>
      </c>
      <c r="Q1644" s="45">
        <v>0</v>
      </c>
      <c r="R1644" s="45">
        <v>0</v>
      </c>
      <c r="S1644" s="45">
        <v>0</v>
      </c>
      <c r="T1644" s="45">
        <v>0</v>
      </c>
      <c r="U1644" s="45">
        <v>1968</v>
      </c>
      <c r="V1644" s="45">
        <v>0</v>
      </c>
      <c r="W1644" s="45">
        <v>0</v>
      </c>
      <c r="X1644" s="45">
        <v>0</v>
      </c>
      <c r="Y1644" s="45">
        <v>0</v>
      </c>
      <c r="Z1644" s="45">
        <v>0</v>
      </c>
      <c r="AA1644" s="45">
        <v>0</v>
      </c>
      <c r="AB1644" s="45">
        <v>0</v>
      </c>
      <c r="AC1644" s="45">
        <v>0</v>
      </c>
      <c r="AD1644" s="45">
        <v>0</v>
      </c>
      <c r="AE1644" s="45">
        <v>0</v>
      </c>
      <c r="AF1644" s="45">
        <v>0</v>
      </c>
      <c r="AG1644" s="45">
        <v>0</v>
      </c>
      <c r="AH1644" s="45">
        <v>0</v>
      </c>
      <c r="AI1644" s="45">
        <v>0</v>
      </c>
      <c r="AJ1644" s="45">
        <v>0</v>
      </c>
      <c r="AK1644" s="45">
        <v>0</v>
      </c>
      <c r="AL1644" s="45">
        <v>0</v>
      </c>
      <c r="AM1644" s="57" t="str">
        <f>I1644-J1644-K1644-L1644-M1644-N1644-O1644-P1644-Q1644-R1644-S1644-T1644-U1644-V1644-W1644-X1644-Y1644-Z1644-AA1644-AB1644-AC1644-AD1644-AE1644-AF1644-AG1644+AH1644-AI1644+AJ1644+AK1644-AL1644</f>
        <v>0</v>
      </c>
      <c r="AN1644" s="45"/>
    </row>
    <row r="1645" spans="1:41">
      <c r="A1645" s="45">
        <v>1617</v>
      </c>
      <c r="B1645" s="45" t="s">
        <v>6309</v>
      </c>
      <c r="C1645" s="49" t="s">
        <v>6310</v>
      </c>
      <c r="D1645" s="53" t="s">
        <v>73</v>
      </c>
      <c r="E1645" s="45" t="s">
        <v>6263</v>
      </c>
      <c r="F1645" s="45" t="s">
        <v>6311</v>
      </c>
      <c r="G1645" s="45">
        <v>4</v>
      </c>
      <c r="H1645" s="53" t="s">
        <v>6312</v>
      </c>
      <c r="I1645" s="45">
        <v>1210000</v>
      </c>
      <c r="J1645" s="45">
        <v>0</v>
      </c>
      <c r="K1645" s="45">
        <v>25000</v>
      </c>
      <c r="L1645" s="45">
        <v>0</v>
      </c>
      <c r="M1645" s="45">
        <v>0</v>
      </c>
      <c r="N1645" s="45">
        <v>0</v>
      </c>
      <c r="O1645" s="45">
        <v>0</v>
      </c>
      <c r="P1645" s="45">
        <v>0</v>
      </c>
      <c r="Q1645" s="45">
        <v>0</v>
      </c>
      <c r="R1645" s="45">
        <v>0</v>
      </c>
      <c r="S1645" s="45">
        <v>0</v>
      </c>
      <c r="T1645" s="45">
        <v>0</v>
      </c>
      <c r="U1645" s="45">
        <v>1587</v>
      </c>
      <c r="V1645" s="45">
        <v>0</v>
      </c>
      <c r="W1645" s="45">
        <v>0</v>
      </c>
      <c r="X1645" s="45">
        <v>0</v>
      </c>
      <c r="Y1645" s="45">
        <v>0</v>
      </c>
      <c r="Z1645" s="45">
        <v>0</v>
      </c>
      <c r="AA1645" s="45">
        <v>0</v>
      </c>
      <c r="AB1645" s="45">
        <v>0</v>
      </c>
      <c r="AC1645" s="45">
        <v>0</v>
      </c>
      <c r="AD1645" s="45">
        <v>0</v>
      </c>
      <c r="AE1645" s="45">
        <v>0</v>
      </c>
      <c r="AF1645" s="45">
        <v>0</v>
      </c>
      <c r="AG1645" s="45">
        <v>0</v>
      </c>
      <c r="AH1645" s="45">
        <v>0</v>
      </c>
      <c r="AI1645" s="45">
        <v>0</v>
      </c>
      <c r="AJ1645" s="45">
        <v>0</v>
      </c>
      <c r="AK1645" s="45">
        <v>0</v>
      </c>
      <c r="AL1645" s="45">
        <v>0</v>
      </c>
      <c r="AM1645" s="57" t="str">
        <f>I1645-J1645-K1645-L1645-M1645-N1645-O1645-P1645-Q1645-R1645-S1645-T1645-U1645-V1645-W1645-X1645-Y1645-Z1645-AA1645-AB1645-AC1645-AD1645-AE1645-AF1645-AG1645+AH1645-AI1645+AJ1645+AK1645-AL1645</f>
        <v>0</v>
      </c>
      <c r="AN1645" s="45"/>
    </row>
    <row r="1646" spans="1:41">
      <c r="A1646" s="45">
        <v>1618</v>
      </c>
      <c r="B1646" s="45" t="s">
        <v>6313</v>
      </c>
      <c r="C1646" s="49" t="s">
        <v>6314</v>
      </c>
      <c r="D1646" s="53" t="s">
        <v>73</v>
      </c>
      <c r="E1646" s="45" t="s">
        <v>6263</v>
      </c>
      <c r="F1646" s="45" t="s">
        <v>6315</v>
      </c>
      <c r="G1646" s="45">
        <v>2</v>
      </c>
      <c r="H1646" s="53" t="s">
        <v>6316</v>
      </c>
      <c r="I1646" s="45">
        <v>420000</v>
      </c>
      <c r="J1646" s="45">
        <v>0</v>
      </c>
      <c r="K1646" s="45">
        <v>22000</v>
      </c>
      <c r="L1646" s="45">
        <v>0</v>
      </c>
      <c r="M1646" s="45">
        <v>0</v>
      </c>
      <c r="N1646" s="45">
        <v>0</v>
      </c>
      <c r="O1646" s="45">
        <v>0</v>
      </c>
      <c r="P1646" s="45">
        <v>0</v>
      </c>
      <c r="Q1646" s="45">
        <v>0</v>
      </c>
      <c r="R1646" s="45">
        <v>0</v>
      </c>
      <c r="S1646" s="45">
        <v>0</v>
      </c>
      <c r="T1646" s="45">
        <v>0</v>
      </c>
      <c r="U1646" s="45">
        <v>1397</v>
      </c>
      <c r="V1646" s="45">
        <v>0</v>
      </c>
      <c r="W1646" s="45">
        <v>0</v>
      </c>
      <c r="X1646" s="45">
        <v>0</v>
      </c>
      <c r="Y1646" s="45">
        <v>0</v>
      </c>
      <c r="Z1646" s="45">
        <v>0</v>
      </c>
      <c r="AA1646" s="45">
        <v>0</v>
      </c>
      <c r="AB1646" s="45">
        <v>0</v>
      </c>
      <c r="AC1646" s="45">
        <v>0</v>
      </c>
      <c r="AD1646" s="45">
        <v>0</v>
      </c>
      <c r="AE1646" s="45">
        <v>0</v>
      </c>
      <c r="AF1646" s="45">
        <v>0</v>
      </c>
      <c r="AG1646" s="45">
        <v>0</v>
      </c>
      <c r="AH1646" s="45">
        <v>0</v>
      </c>
      <c r="AI1646" s="45">
        <v>0</v>
      </c>
      <c r="AJ1646" s="45">
        <v>0</v>
      </c>
      <c r="AK1646" s="45">
        <v>0</v>
      </c>
      <c r="AL1646" s="45">
        <v>0</v>
      </c>
      <c r="AM1646" s="57" t="str">
        <f>I1646-J1646-K1646-L1646-M1646-N1646-O1646-P1646-Q1646-R1646-S1646-T1646-U1646-V1646-W1646-X1646-Y1646-Z1646-AA1646-AB1646-AC1646-AD1646-AE1646-AF1646-AG1646+AH1646-AI1646+AJ1646+AK1646-AL1646</f>
        <v>0</v>
      </c>
      <c r="AN1646" s="45"/>
    </row>
    <row r="1647" spans="1:41">
      <c r="A1647" s="45">
        <v>1619</v>
      </c>
      <c r="B1647" s="45" t="s">
        <v>6317</v>
      </c>
      <c r="C1647" s="49" t="s">
        <v>6318</v>
      </c>
      <c r="D1647" s="53" t="s">
        <v>73</v>
      </c>
      <c r="E1647" s="45" t="s">
        <v>6263</v>
      </c>
      <c r="F1647" s="45" t="s">
        <v>6319</v>
      </c>
      <c r="G1647" s="45">
        <v>6</v>
      </c>
      <c r="H1647" s="53" t="s">
        <v>6320</v>
      </c>
      <c r="I1647" s="45">
        <v>323000</v>
      </c>
      <c r="J1647" s="45">
        <v>0</v>
      </c>
      <c r="K1647" s="45">
        <v>31000</v>
      </c>
      <c r="L1647" s="45">
        <v>0</v>
      </c>
      <c r="M1647" s="45">
        <v>0</v>
      </c>
      <c r="N1647" s="45">
        <v>0</v>
      </c>
      <c r="O1647" s="45">
        <v>0</v>
      </c>
      <c r="P1647" s="45">
        <v>0</v>
      </c>
      <c r="Q1647" s="45">
        <v>0</v>
      </c>
      <c r="R1647" s="45">
        <v>0</v>
      </c>
      <c r="S1647" s="45">
        <v>0</v>
      </c>
      <c r="T1647" s="45">
        <v>0</v>
      </c>
      <c r="U1647" s="45">
        <v>1968</v>
      </c>
      <c r="V1647" s="45">
        <v>0</v>
      </c>
      <c r="W1647" s="45">
        <v>0</v>
      </c>
      <c r="X1647" s="45">
        <v>0</v>
      </c>
      <c r="Y1647" s="45">
        <v>0</v>
      </c>
      <c r="Z1647" s="45">
        <v>0</v>
      </c>
      <c r="AA1647" s="45">
        <v>0</v>
      </c>
      <c r="AB1647" s="45">
        <v>0</v>
      </c>
      <c r="AC1647" s="45">
        <v>0</v>
      </c>
      <c r="AD1647" s="45">
        <v>0</v>
      </c>
      <c r="AE1647" s="45">
        <v>0</v>
      </c>
      <c r="AF1647" s="45">
        <v>0</v>
      </c>
      <c r="AG1647" s="45">
        <v>0</v>
      </c>
      <c r="AH1647" s="45">
        <v>0</v>
      </c>
      <c r="AI1647" s="45">
        <v>0</v>
      </c>
      <c r="AJ1647" s="45">
        <v>0</v>
      </c>
      <c r="AK1647" s="45">
        <v>0</v>
      </c>
      <c r="AL1647" s="45">
        <v>0</v>
      </c>
      <c r="AM1647" s="57" t="str">
        <f>I1647-J1647-K1647-L1647-M1647-N1647-O1647-P1647-Q1647-R1647-S1647-T1647-U1647-V1647-W1647-X1647-Y1647-Z1647-AA1647-AB1647-AC1647-AD1647-AE1647-AF1647-AG1647+AH1647-AI1647+AJ1647+AK1647-AL1647</f>
        <v>0</v>
      </c>
      <c r="AN1647" s="45"/>
    </row>
    <row r="1648" spans="1:41">
      <c r="A1648" s="45">
        <v>1620</v>
      </c>
      <c r="B1648" s="45" t="s">
        <v>6321</v>
      </c>
      <c r="C1648" s="49" t="s">
        <v>6322</v>
      </c>
      <c r="D1648" s="53" t="s">
        <v>73</v>
      </c>
      <c r="E1648" s="45" t="s">
        <v>6263</v>
      </c>
      <c r="F1648" s="45" t="s">
        <v>6323</v>
      </c>
      <c r="G1648" s="45">
        <v>2</v>
      </c>
      <c r="H1648" s="53" t="s">
        <v>6324</v>
      </c>
      <c r="I1648" s="45">
        <v>310000</v>
      </c>
      <c r="J1648" s="45">
        <v>0</v>
      </c>
      <c r="K1648" s="45">
        <v>22000</v>
      </c>
      <c r="L1648" s="45">
        <v>0</v>
      </c>
      <c r="M1648" s="45">
        <v>0</v>
      </c>
      <c r="N1648" s="45">
        <v>0</v>
      </c>
      <c r="O1648" s="45">
        <v>0</v>
      </c>
      <c r="P1648" s="45">
        <v>0</v>
      </c>
      <c r="Q1648" s="45">
        <v>0</v>
      </c>
      <c r="R1648" s="45">
        <v>0</v>
      </c>
      <c r="S1648" s="45">
        <v>0</v>
      </c>
      <c r="T1648" s="45">
        <v>0</v>
      </c>
      <c r="U1648" s="45">
        <v>1397</v>
      </c>
      <c r="V1648" s="45">
        <v>0</v>
      </c>
      <c r="W1648" s="45">
        <v>0</v>
      </c>
      <c r="X1648" s="45">
        <v>0</v>
      </c>
      <c r="Y1648" s="45">
        <v>0</v>
      </c>
      <c r="Z1648" s="45">
        <v>0</v>
      </c>
      <c r="AA1648" s="45">
        <v>0</v>
      </c>
      <c r="AB1648" s="45">
        <v>0</v>
      </c>
      <c r="AC1648" s="45">
        <v>0</v>
      </c>
      <c r="AD1648" s="45">
        <v>0</v>
      </c>
      <c r="AE1648" s="45">
        <v>0</v>
      </c>
      <c r="AF1648" s="45">
        <v>0</v>
      </c>
      <c r="AG1648" s="45">
        <v>0</v>
      </c>
      <c r="AH1648" s="45">
        <v>0</v>
      </c>
      <c r="AI1648" s="45">
        <v>0</v>
      </c>
      <c r="AJ1648" s="45">
        <v>0</v>
      </c>
      <c r="AK1648" s="45">
        <v>0</v>
      </c>
      <c r="AL1648" s="45">
        <v>0</v>
      </c>
      <c r="AM1648" s="57" t="str">
        <f>I1648-J1648-K1648-L1648-M1648-N1648-O1648-P1648-Q1648-R1648-S1648-T1648-U1648-V1648-W1648-X1648-Y1648-Z1648-AA1648-AB1648-AC1648-AD1648-AE1648-AF1648-AG1648+AH1648-AI1648+AJ1648+AK1648-AL1648</f>
        <v>0</v>
      </c>
      <c r="AN1648" s="45"/>
    </row>
    <row r="1649" spans="1:41">
      <c r="A1649" s="45">
        <v>1621</v>
      </c>
      <c r="B1649" s="45" t="s">
        <v>6325</v>
      </c>
      <c r="C1649" s="49" t="s">
        <v>6326</v>
      </c>
      <c r="D1649" s="53" t="s">
        <v>73</v>
      </c>
      <c r="E1649" s="45" t="s">
        <v>6263</v>
      </c>
      <c r="F1649" s="45" t="s">
        <v>6327</v>
      </c>
      <c r="G1649" s="45">
        <v>2</v>
      </c>
      <c r="H1649" s="53" t="s">
        <v>6328</v>
      </c>
      <c r="I1649" s="45">
        <v>210000</v>
      </c>
      <c r="J1649" s="45">
        <v>0</v>
      </c>
      <c r="K1649" s="45">
        <v>22000</v>
      </c>
      <c r="L1649" s="45">
        <v>0</v>
      </c>
      <c r="M1649" s="45">
        <v>0</v>
      </c>
      <c r="N1649" s="45">
        <v>0</v>
      </c>
      <c r="O1649" s="45">
        <v>0</v>
      </c>
      <c r="P1649" s="45">
        <v>0</v>
      </c>
      <c r="Q1649" s="45">
        <v>0</v>
      </c>
      <c r="R1649" s="45">
        <v>0</v>
      </c>
      <c r="S1649" s="45">
        <v>0</v>
      </c>
      <c r="T1649" s="45">
        <v>0</v>
      </c>
      <c r="U1649" s="45">
        <v>1397</v>
      </c>
      <c r="V1649" s="45">
        <v>0</v>
      </c>
      <c r="W1649" s="45">
        <v>0</v>
      </c>
      <c r="X1649" s="45">
        <v>0</v>
      </c>
      <c r="Y1649" s="45">
        <v>0</v>
      </c>
      <c r="Z1649" s="45">
        <v>0</v>
      </c>
      <c r="AA1649" s="45">
        <v>0</v>
      </c>
      <c r="AB1649" s="45">
        <v>0</v>
      </c>
      <c r="AC1649" s="45">
        <v>0</v>
      </c>
      <c r="AD1649" s="45">
        <v>0</v>
      </c>
      <c r="AE1649" s="45">
        <v>0</v>
      </c>
      <c r="AF1649" s="45">
        <v>0</v>
      </c>
      <c r="AG1649" s="45">
        <v>0</v>
      </c>
      <c r="AH1649" s="45">
        <v>0</v>
      </c>
      <c r="AI1649" s="45">
        <v>0</v>
      </c>
      <c r="AJ1649" s="45">
        <v>0</v>
      </c>
      <c r="AK1649" s="45">
        <v>0</v>
      </c>
      <c r="AL1649" s="45">
        <v>0</v>
      </c>
      <c r="AM1649" s="57" t="str">
        <f>I1649-J1649-K1649-L1649-M1649-N1649-O1649-P1649-Q1649-R1649-S1649-T1649-U1649-V1649-W1649-X1649-Y1649-Z1649-AA1649-AB1649-AC1649-AD1649-AE1649-AF1649-AG1649+AH1649-AI1649+AJ1649+AK1649-AL1649</f>
        <v>0</v>
      </c>
      <c r="AN1649" s="45"/>
    </row>
    <row r="1650" spans="1:41">
      <c r="A1650" s="45">
        <v>1622</v>
      </c>
      <c r="B1650" s="45" t="s">
        <v>6329</v>
      </c>
      <c r="C1650" s="49" t="s">
        <v>6330</v>
      </c>
      <c r="D1650" s="53" t="s">
        <v>73</v>
      </c>
      <c r="E1650" s="45" t="s">
        <v>6263</v>
      </c>
      <c r="F1650" s="45" t="s">
        <v>6331</v>
      </c>
      <c r="G1650" s="45">
        <v>2</v>
      </c>
      <c r="H1650" s="53" t="s">
        <v>6332</v>
      </c>
      <c r="I1650" s="45">
        <v>425000</v>
      </c>
      <c r="J1650" s="45">
        <v>0</v>
      </c>
      <c r="K1650" s="45">
        <v>22000</v>
      </c>
      <c r="L1650" s="45">
        <v>0</v>
      </c>
      <c r="M1650" s="45">
        <v>0</v>
      </c>
      <c r="N1650" s="45">
        <v>0</v>
      </c>
      <c r="O1650" s="45">
        <v>0</v>
      </c>
      <c r="P1650" s="45">
        <v>0</v>
      </c>
      <c r="Q1650" s="45">
        <v>0</v>
      </c>
      <c r="R1650" s="45">
        <v>0</v>
      </c>
      <c r="S1650" s="45">
        <v>0</v>
      </c>
      <c r="T1650" s="45">
        <v>0</v>
      </c>
      <c r="U1650" s="45">
        <v>1397</v>
      </c>
      <c r="V1650" s="45">
        <v>0</v>
      </c>
      <c r="W1650" s="45">
        <v>0</v>
      </c>
      <c r="X1650" s="45">
        <v>0</v>
      </c>
      <c r="Y1650" s="45">
        <v>0</v>
      </c>
      <c r="Z1650" s="45">
        <v>0</v>
      </c>
      <c r="AA1650" s="45">
        <v>0</v>
      </c>
      <c r="AB1650" s="45">
        <v>0</v>
      </c>
      <c r="AC1650" s="45">
        <v>0</v>
      </c>
      <c r="AD1650" s="45">
        <v>0</v>
      </c>
      <c r="AE1650" s="45">
        <v>0</v>
      </c>
      <c r="AF1650" s="45">
        <v>0</v>
      </c>
      <c r="AG1650" s="45">
        <v>0</v>
      </c>
      <c r="AH1650" s="45">
        <v>0</v>
      </c>
      <c r="AI1650" s="45">
        <v>0</v>
      </c>
      <c r="AJ1650" s="45">
        <v>0</v>
      </c>
      <c r="AK1650" s="45">
        <v>0</v>
      </c>
      <c r="AL1650" s="45">
        <v>0</v>
      </c>
      <c r="AM1650" s="57" t="str">
        <f>I1650-J1650-K1650-L1650-M1650-N1650-O1650-P1650-Q1650-R1650-S1650-T1650-U1650-V1650-W1650-X1650-Y1650-Z1650-AA1650-AB1650-AC1650-AD1650-AE1650-AF1650-AG1650+AH1650-AI1650+AJ1650+AK1650-AL1650</f>
        <v>0</v>
      </c>
      <c r="AN1650" s="45"/>
    </row>
    <row r="1651" spans="1:41">
      <c r="A1651" s="45">
        <v>1623</v>
      </c>
      <c r="B1651" s="45" t="s">
        <v>6333</v>
      </c>
      <c r="C1651" s="49" t="s">
        <v>6334</v>
      </c>
      <c r="D1651" s="53" t="s">
        <v>73</v>
      </c>
      <c r="E1651" s="45" t="s">
        <v>6263</v>
      </c>
      <c r="F1651" s="45" t="s">
        <v>6335</v>
      </c>
      <c r="G1651" s="45">
        <v>3</v>
      </c>
      <c r="H1651" s="53" t="s">
        <v>6336</v>
      </c>
      <c r="I1651" s="45">
        <v>434000</v>
      </c>
      <c r="J1651" s="45">
        <v>0</v>
      </c>
      <c r="K1651" s="45">
        <v>22000</v>
      </c>
      <c r="L1651" s="45">
        <v>0</v>
      </c>
      <c r="M1651" s="45">
        <v>0</v>
      </c>
      <c r="N1651" s="45">
        <v>0</v>
      </c>
      <c r="O1651" s="45">
        <v>0</v>
      </c>
      <c r="P1651" s="45">
        <v>0</v>
      </c>
      <c r="Q1651" s="45">
        <v>0</v>
      </c>
      <c r="R1651" s="45">
        <v>0</v>
      </c>
      <c r="S1651" s="45">
        <v>0</v>
      </c>
      <c r="T1651" s="45">
        <v>0</v>
      </c>
      <c r="U1651" s="45">
        <v>1397</v>
      </c>
      <c r="V1651" s="45">
        <v>0</v>
      </c>
      <c r="W1651" s="45">
        <v>0</v>
      </c>
      <c r="X1651" s="45">
        <v>0</v>
      </c>
      <c r="Y1651" s="45">
        <v>0</v>
      </c>
      <c r="Z1651" s="45">
        <v>0</v>
      </c>
      <c r="AA1651" s="45">
        <v>0</v>
      </c>
      <c r="AB1651" s="45">
        <v>0</v>
      </c>
      <c r="AC1651" s="45">
        <v>0</v>
      </c>
      <c r="AD1651" s="45">
        <v>0</v>
      </c>
      <c r="AE1651" s="45">
        <v>0</v>
      </c>
      <c r="AF1651" s="45">
        <v>0</v>
      </c>
      <c r="AG1651" s="45">
        <v>0</v>
      </c>
      <c r="AH1651" s="45">
        <v>0</v>
      </c>
      <c r="AI1651" s="45">
        <v>0</v>
      </c>
      <c r="AJ1651" s="45">
        <v>0</v>
      </c>
      <c r="AK1651" s="45">
        <v>0</v>
      </c>
      <c r="AL1651" s="45">
        <v>0</v>
      </c>
      <c r="AM1651" s="57" t="str">
        <f>I1651-J1651-K1651-L1651-M1651-N1651-O1651-P1651-Q1651-R1651-S1651-T1651-U1651-V1651-W1651-X1651-Y1651-Z1651-AA1651-AB1651-AC1651-AD1651-AE1651-AF1651-AG1651+AH1651-AI1651+AJ1651+AK1651-AL1651</f>
        <v>0</v>
      </c>
      <c r="AN1651" s="45"/>
    </row>
    <row r="1652" spans="1:41">
      <c r="A1652" s="45">
        <v>1624</v>
      </c>
      <c r="B1652" s="45" t="s">
        <v>6337</v>
      </c>
      <c r="C1652" s="49" t="s">
        <v>6338</v>
      </c>
      <c r="D1652" s="53" t="s">
        <v>73</v>
      </c>
      <c r="E1652" s="45" t="s">
        <v>6263</v>
      </c>
      <c r="F1652" s="45" t="s">
        <v>6339</v>
      </c>
      <c r="G1652" s="45">
        <v>2</v>
      </c>
      <c r="H1652" s="53" t="s">
        <v>6340</v>
      </c>
      <c r="I1652" s="45">
        <v>305000</v>
      </c>
      <c r="J1652" s="45">
        <v>0</v>
      </c>
      <c r="K1652" s="45">
        <v>22000</v>
      </c>
      <c r="L1652" s="45">
        <v>0</v>
      </c>
      <c r="M1652" s="45">
        <v>0</v>
      </c>
      <c r="N1652" s="45">
        <v>0</v>
      </c>
      <c r="O1652" s="45">
        <v>0</v>
      </c>
      <c r="P1652" s="45">
        <v>0</v>
      </c>
      <c r="Q1652" s="45">
        <v>0</v>
      </c>
      <c r="R1652" s="45">
        <v>0</v>
      </c>
      <c r="S1652" s="45">
        <v>0</v>
      </c>
      <c r="T1652" s="45">
        <v>0</v>
      </c>
      <c r="U1652" s="45">
        <v>1397</v>
      </c>
      <c r="V1652" s="45">
        <v>0</v>
      </c>
      <c r="W1652" s="45">
        <v>0</v>
      </c>
      <c r="X1652" s="45">
        <v>0</v>
      </c>
      <c r="Y1652" s="45">
        <v>0</v>
      </c>
      <c r="Z1652" s="45">
        <v>0</v>
      </c>
      <c r="AA1652" s="45">
        <v>0</v>
      </c>
      <c r="AB1652" s="45">
        <v>0</v>
      </c>
      <c r="AC1652" s="45">
        <v>0</v>
      </c>
      <c r="AD1652" s="45">
        <v>0</v>
      </c>
      <c r="AE1652" s="45">
        <v>0</v>
      </c>
      <c r="AF1652" s="45">
        <v>0</v>
      </c>
      <c r="AG1652" s="45">
        <v>0</v>
      </c>
      <c r="AH1652" s="45">
        <v>0</v>
      </c>
      <c r="AI1652" s="45">
        <v>0</v>
      </c>
      <c r="AJ1652" s="45">
        <v>0</v>
      </c>
      <c r="AK1652" s="45">
        <v>0</v>
      </c>
      <c r="AL1652" s="45">
        <v>0</v>
      </c>
      <c r="AM1652" s="57" t="str">
        <f>I1652-J1652-K1652-L1652-M1652-N1652-O1652-P1652-Q1652-R1652-S1652-T1652-U1652-V1652-W1652-X1652-Y1652-Z1652-AA1652-AB1652-AC1652-AD1652-AE1652-AF1652-AG1652+AH1652-AI1652+AJ1652+AK1652-AL1652</f>
        <v>0</v>
      </c>
      <c r="AN1652" s="45"/>
    </row>
    <row r="1653" spans="1:41">
      <c r="A1653" s="45">
        <v>1625</v>
      </c>
      <c r="B1653" s="45" t="s">
        <v>6341</v>
      </c>
      <c r="C1653" s="49" t="s">
        <v>6342</v>
      </c>
      <c r="D1653" s="53" t="s">
        <v>73</v>
      </c>
      <c r="E1653" s="45" t="s">
        <v>6263</v>
      </c>
      <c r="F1653" s="45" t="s">
        <v>6343</v>
      </c>
      <c r="G1653" s="45">
        <v>8</v>
      </c>
      <c r="H1653" s="53" t="s">
        <v>6344</v>
      </c>
      <c r="I1653" s="45">
        <v>1205000</v>
      </c>
      <c r="J1653" s="45">
        <v>0</v>
      </c>
      <c r="K1653" s="45">
        <v>39000</v>
      </c>
      <c r="L1653" s="45">
        <v>0</v>
      </c>
      <c r="M1653" s="45">
        <v>0</v>
      </c>
      <c r="N1653" s="45">
        <v>0</v>
      </c>
      <c r="O1653" s="45">
        <v>0</v>
      </c>
      <c r="P1653" s="45">
        <v>0</v>
      </c>
      <c r="Q1653" s="45">
        <v>0</v>
      </c>
      <c r="R1653" s="45">
        <v>0</v>
      </c>
      <c r="S1653" s="45">
        <v>0</v>
      </c>
      <c r="T1653" s="45">
        <v>0</v>
      </c>
      <c r="U1653" s="45">
        <v>2476</v>
      </c>
      <c r="V1653" s="45">
        <v>0</v>
      </c>
      <c r="W1653" s="45">
        <v>0</v>
      </c>
      <c r="X1653" s="45">
        <v>0</v>
      </c>
      <c r="Y1653" s="45">
        <v>0</v>
      </c>
      <c r="Z1653" s="45">
        <v>0</v>
      </c>
      <c r="AA1653" s="45">
        <v>0</v>
      </c>
      <c r="AB1653" s="45">
        <v>0</v>
      </c>
      <c r="AC1653" s="45">
        <v>0</v>
      </c>
      <c r="AD1653" s="45">
        <v>0</v>
      </c>
      <c r="AE1653" s="45">
        <v>0</v>
      </c>
      <c r="AF1653" s="45">
        <v>0</v>
      </c>
      <c r="AG1653" s="45">
        <v>0</v>
      </c>
      <c r="AH1653" s="45">
        <v>0</v>
      </c>
      <c r="AI1653" s="45">
        <v>0</v>
      </c>
      <c r="AJ1653" s="45">
        <v>0</v>
      </c>
      <c r="AK1653" s="45">
        <v>0</v>
      </c>
      <c r="AL1653" s="45">
        <v>0</v>
      </c>
      <c r="AM1653" s="57" t="str">
        <f>I1653-J1653-K1653-L1653-M1653-N1653-O1653-P1653-Q1653-R1653-S1653-T1653-U1653-V1653-W1653-X1653-Y1653-Z1653-AA1653-AB1653-AC1653-AD1653-AE1653-AF1653-AG1653+AH1653-AI1653+AJ1653+AK1653-AL1653</f>
        <v>0</v>
      </c>
      <c r="AN1653" s="45"/>
    </row>
    <row r="1654" spans="1:41">
      <c r="A1654" s="45">
        <v>1626</v>
      </c>
      <c r="B1654" s="45" t="s">
        <v>6345</v>
      </c>
      <c r="C1654" s="49" t="s">
        <v>6346</v>
      </c>
      <c r="D1654" s="53" t="s">
        <v>73</v>
      </c>
      <c r="E1654" s="45" t="s">
        <v>6263</v>
      </c>
      <c r="F1654" s="45" t="s">
        <v>6347</v>
      </c>
      <c r="G1654" s="45">
        <v>2</v>
      </c>
      <c r="H1654" s="53" t="s">
        <v>6348</v>
      </c>
      <c r="I1654" s="45">
        <v>399000</v>
      </c>
      <c r="J1654" s="45">
        <v>0</v>
      </c>
      <c r="K1654" s="45">
        <v>22000</v>
      </c>
      <c r="L1654" s="45">
        <v>0</v>
      </c>
      <c r="M1654" s="45">
        <v>0</v>
      </c>
      <c r="N1654" s="45">
        <v>0</v>
      </c>
      <c r="O1654" s="45">
        <v>0</v>
      </c>
      <c r="P1654" s="45">
        <v>0</v>
      </c>
      <c r="Q1654" s="45">
        <v>0</v>
      </c>
      <c r="R1654" s="45">
        <v>0</v>
      </c>
      <c r="S1654" s="45">
        <v>0</v>
      </c>
      <c r="T1654" s="45">
        <v>0</v>
      </c>
      <c r="U1654" s="45">
        <v>1397</v>
      </c>
      <c r="V1654" s="45">
        <v>0</v>
      </c>
      <c r="W1654" s="45">
        <v>0</v>
      </c>
      <c r="X1654" s="45">
        <v>0</v>
      </c>
      <c r="Y1654" s="45">
        <v>0</v>
      </c>
      <c r="Z1654" s="45">
        <v>0</v>
      </c>
      <c r="AA1654" s="45">
        <v>0</v>
      </c>
      <c r="AB1654" s="45">
        <v>0</v>
      </c>
      <c r="AC1654" s="45">
        <v>0</v>
      </c>
      <c r="AD1654" s="45">
        <v>0</v>
      </c>
      <c r="AE1654" s="45">
        <v>0</v>
      </c>
      <c r="AF1654" s="45">
        <v>0</v>
      </c>
      <c r="AG1654" s="45">
        <v>0</v>
      </c>
      <c r="AH1654" s="45">
        <v>0</v>
      </c>
      <c r="AI1654" s="45">
        <v>0</v>
      </c>
      <c r="AJ1654" s="45">
        <v>0</v>
      </c>
      <c r="AK1654" s="45">
        <v>0</v>
      </c>
      <c r="AL1654" s="45">
        <v>0</v>
      </c>
      <c r="AM1654" s="57" t="str">
        <f>I1654-J1654-K1654-L1654-M1654-N1654-O1654-P1654-Q1654-R1654-S1654-T1654-U1654-V1654-W1654-X1654-Y1654-Z1654-AA1654-AB1654-AC1654-AD1654-AE1654-AF1654-AG1654+AH1654-AI1654+AJ1654+AK1654-AL1654</f>
        <v>0</v>
      </c>
      <c r="AN1654" s="45"/>
    </row>
    <row r="1655" spans="1:41">
      <c r="A1655" s="45">
        <v>1627</v>
      </c>
      <c r="B1655" s="45" t="s">
        <v>6349</v>
      </c>
      <c r="C1655" s="49" t="s">
        <v>6350</v>
      </c>
      <c r="D1655" s="53" t="s">
        <v>73</v>
      </c>
      <c r="E1655" s="45" t="s">
        <v>6263</v>
      </c>
      <c r="F1655" s="45" t="s">
        <v>6351</v>
      </c>
      <c r="G1655" s="45">
        <v>3</v>
      </c>
      <c r="H1655" s="53" t="s">
        <v>6352</v>
      </c>
      <c r="I1655" s="45">
        <v>320000</v>
      </c>
      <c r="J1655" s="45">
        <v>0</v>
      </c>
      <c r="K1655" s="45">
        <v>22000</v>
      </c>
      <c r="L1655" s="45">
        <v>0</v>
      </c>
      <c r="M1655" s="45">
        <v>0</v>
      </c>
      <c r="N1655" s="45">
        <v>0</v>
      </c>
      <c r="O1655" s="45">
        <v>0</v>
      </c>
      <c r="P1655" s="45">
        <v>0</v>
      </c>
      <c r="Q1655" s="45">
        <v>0</v>
      </c>
      <c r="R1655" s="45">
        <v>0</v>
      </c>
      <c r="S1655" s="45">
        <v>0</v>
      </c>
      <c r="T1655" s="45">
        <v>0</v>
      </c>
      <c r="U1655" s="45">
        <v>1397</v>
      </c>
      <c r="V1655" s="45">
        <v>0</v>
      </c>
      <c r="W1655" s="45">
        <v>0</v>
      </c>
      <c r="X1655" s="45">
        <v>0</v>
      </c>
      <c r="Y1655" s="45">
        <v>0</v>
      </c>
      <c r="Z1655" s="45">
        <v>0</v>
      </c>
      <c r="AA1655" s="45">
        <v>0</v>
      </c>
      <c r="AB1655" s="45">
        <v>0</v>
      </c>
      <c r="AC1655" s="45">
        <v>0</v>
      </c>
      <c r="AD1655" s="45">
        <v>0</v>
      </c>
      <c r="AE1655" s="45">
        <v>0</v>
      </c>
      <c r="AF1655" s="45">
        <v>0</v>
      </c>
      <c r="AG1655" s="45">
        <v>0</v>
      </c>
      <c r="AH1655" s="45">
        <v>0</v>
      </c>
      <c r="AI1655" s="45">
        <v>0</v>
      </c>
      <c r="AJ1655" s="45">
        <v>0</v>
      </c>
      <c r="AK1655" s="45">
        <v>0</v>
      </c>
      <c r="AL1655" s="45">
        <v>0</v>
      </c>
      <c r="AM1655" s="57" t="str">
        <f>I1655-J1655-K1655-L1655-M1655-N1655-O1655-P1655-Q1655-R1655-S1655-T1655-U1655-V1655-W1655-X1655-Y1655-Z1655-AA1655-AB1655-AC1655-AD1655-AE1655-AF1655-AG1655+AH1655-AI1655+AJ1655+AK1655-AL1655</f>
        <v>0</v>
      </c>
      <c r="AN1655" s="45"/>
    </row>
    <row r="1656" spans="1:41">
      <c r="A1656" s="45">
        <v>1628</v>
      </c>
      <c r="B1656" s="45" t="s">
        <v>6353</v>
      </c>
      <c r="C1656" s="49" t="s">
        <v>6354</v>
      </c>
      <c r="D1656" s="53" t="s">
        <v>73</v>
      </c>
      <c r="E1656" s="45" t="s">
        <v>6263</v>
      </c>
      <c r="F1656" s="45" t="s">
        <v>6355</v>
      </c>
      <c r="G1656" s="45">
        <v>2</v>
      </c>
      <c r="H1656" s="53" t="s">
        <v>6356</v>
      </c>
      <c r="I1656" s="45">
        <v>94000</v>
      </c>
      <c r="J1656" s="45">
        <v>0</v>
      </c>
      <c r="K1656" s="45">
        <v>22000</v>
      </c>
      <c r="L1656" s="45">
        <v>0</v>
      </c>
      <c r="M1656" s="45">
        <v>0</v>
      </c>
      <c r="N1656" s="45">
        <v>0</v>
      </c>
      <c r="O1656" s="45">
        <v>0</v>
      </c>
      <c r="P1656" s="45">
        <v>0</v>
      </c>
      <c r="Q1656" s="45">
        <v>0</v>
      </c>
      <c r="R1656" s="45">
        <v>0</v>
      </c>
      <c r="S1656" s="45">
        <v>0</v>
      </c>
      <c r="T1656" s="45">
        <v>0</v>
      </c>
      <c r="U1656" s="45">
        <v>1397</v>
      </c>
      <c r="V1656" s="45">
        <v>0</v>
      </c>
      <c r="W1656" s="45">
        <v>0</v>
      </c>
      <c r="X1656" s="45">
        <v>0</v>
      </c>
      <c r="Y1656" s="45">
        <v>0</v>
      </c>
      <c r="Z1656" s="45">
        <v>0</v>
      </c>
      <c r="AA1656" s="45">
        <v>0</v>
      </c>
      <c r="AB1656" s="45">
        <v>0</v>
      </c>
      <c r="AC1656" s="45">
        <v>0</v>
      </c>
      <c r="AD1656" s="45">
        <v>0</v>
      </c>
      <c r="AE1656" s="45">
        <v>0</v>
      </c>
      <c r="AF1656" s="45">
        <v>0</v>
      </c>
      <c r="AG1656" s="45">
        <v>0</v>
      </c>
      <c r="AH1656" s="45">
        <v>0</v>
      </c>
      <c r="AI1656" s="45">
        <v>0</v>
      </c>
      <c r="AJ1656" s="45">
        <v>0</v>
      </c>
      <c r="AK1656" s="45">
        <v>0</v>
      </c>
      <c r="AL1656" s="45">
        <v>0</v>
      </c>
      <c r="AM1656" s="57" t="str">
        <f>I1656-J1656-K1656-L1656-M1656-N1656-O1656-P1656-Q1656-R1656-S1656-T1656-U1656-V1656-W1656-X1656-Y1656-Z1656-AA1656-AB1656-AC1656-AD1656-AE1656-AF1656-AG1656+AH1656-AI1656+AJ1656+AK1656-AL1656</f>
        <v>0</v>
      </c>
      <c r="AN1656" s="45"/>
    </row>
    <row r="1657" spans="1:41">
      <c r="A1657" s="45">
        <v>1629</v>
      </c>
      <c r="B1657" s="45" t="s">
        <v>6357</v>
      </c>
      <c r="C1657" s="49" t="s">
        <v>6358</v>
      </c>
      <c r="D1657" s="53" t="s">
        <v>73</v>
      </c>
      <c r="E1657" s="45" t="s">
        <v>6263</v>
      </c>
      <c r="F1657" s="45" t="s">
        <v>3568</v>
      </c>
      <c r="G1657" s="45">
        <v>5</v>
      </c>
      <c r="H1657" s="53" t="s">
        <v>6359</v>
      </c>
      <c r="I1657" s="45">
        <v>1815000</v>
      </c>
      <c r="J1657" s="45">
        <v>0</v>
      </c>
      <c r="K1657" s="45">
        <v>27000</v>
      </c>
      <c r="L1657" s="45">
        <v>0</v>
      </c>
      <c r="M1657" s="45">
        <v>0</v>
      </c>
      <c r="N1657" s="45">
        <v>0</v>
      </c>
      <c r="O1657" s="45">
        <v>0</v>
      </c>
      <c r="P1657" s="45">
        <v>0</v>
      </c>
      <c r="Q1657" s="45">
        <v>0</v>
      </c>
      <c r="R1657" s="45">
        <v>0</v>
      </c>
      <c r="S1657" s="45">
        <v>0</v>
      </c>
      <c r="T1657" s="45">
        <v>0</v>
      </c>
      <c r="U1657" s="45">
        <v>1714</v>
      </c>
      <c r="V1657" s="45">
        <v>0</v>
      </c>
      <c r="W1657" s="45">
        <v>0</v>
      </c>
      <c r="X1657" s="45">
        <v>0</v>
      </c>
      <c r="Y1657" s="45">
        <v>0</v>
      </c>
      <c r="Z1657" s="45">
        <v>0</v>
      </c>
      <c r="AA1657" s="45">
        <v>0</v>
      </c>
      <c r="AB1657" s="45">
        <v>0</v>
      </c>
      <c r="AC1657" s="45">
        <v>0</v>
      </c>
      <c r="AD1657" s="45">
        <v>0</v>
      </c>
      <c r="AE1657" s="45">
        <v>0</v>
      </c>
      <c r="AF1657" s="45">
        <v>0</v>
      </c>
      <c r="AG1657" s="45">
        <v>0</v>
      </c>
      <c r="AH1657" s="45">
        <v>0</v>
      </c>
      <c r="AI1657" s="45">
        <v>0</v>
      </c>
      <c r="AJ1657" s="45">
        <v>0</v>
      </c>
      <c r="AK1657" s="45">
        <v>0</v>
      </c>
      <c r="AL1657" s="45">
        <v>0</v>
      </c>
      <c r="AM1657" s="57" t="str">
        <f>I1657-J1657-K1657-L1657-M1657-N1657-O1657-P1657-Q1657-R1657-S1657-T1657-U1657-V1657-W1657-X1657-Y1657-Z1657-AA1657-AB1657-AC1657-AD1657-AE1657-AF1657-AG1657+AH1657-AI1657+AJ1657+AK1657-AL1657</f>
        <v>0</v>
      </c>
      <c r="AN1657" s="45"/>
    </row>
    <row r="1658" spans="1:41">
      <c r="A1658" s="45">
        <v>1630</v>
      </c>
      <c r="B1658" s="45" t="s">
        <v>6360</v>
      </c>
      <c r="C1658" s="49" t="s">
        <v>6361</v>
      </c>
      <c r="D1658" s="53" t="s">
        <v>73</v>
      </c>
      <c r="E1658" s="45" t="s">
        <v>6263</v>
      </c>
      <c r="F1658" s="45" t="s">
        <v>4530</v>
      </c>
      <c r="G1658" s="45">
        <v>5</v>
      </c>
      <c r="H1658" s="53" t="s">
        <v>6362</v>
      </c>
      <c r="I1658" s="45">
        <v>1440000</v>
      </c>
      <c r="J1658" s="45">
        <v>0</v>
      </c>
      <c r="K1658" s="45">
        <v>27000</v>
      </c>
      <c r="L1658" s="45">
        <v>0</v>
      </c>
      <c r="M1658" s="45">
        <v>0</v>
      </c>
      <c r="N1658" s="45">
        <v>0</v>
      </c>
      <c r="O1658" s="45">
        <v>0</v>
      </c>
      <c r="P1658" s="45">
        <v>0</v>
      </c>
      <c r="Q1658" s="45">
        <v>0</v>
      </c>
      <c r="R1658" s="45">
        <v>0</v>
      </c>
      <c r="S1658" s="45">
        <v>0</v>
      </c>
      <c r="T1658" s="45">
        <v>0</v>
      </c>
      <c r="U1658" s="45">
        <v>1714</v>
      </c>
      <c r="V1658" s="45">
        <v>0</v>
      </c>
      <c r="W1658" s="45">
        <v>0</v>
      </c>
      <c r="X1658" s="45">
        <v>0</v>
      </c>
      <c r="Y1658" s="45">
        <v>0</v>
      </c>
      <c r="Z1658" s="45">
        <v>0</v>
      </c>
      <c r="AA1658" s="45">
        <v>0</v>
      </c>
      <c r="AB1658" s="45">
        <v>0</v>
      </c>
      <c r="AC1658" s="45">
        <v>0</v>
      </c>
      <c r="AD1658" s="45">
        <v>0</v>
      </c>
      <c r="AE1658" s="45">
        <v>0</v>
      </c>
      <c r="AF1658" s="45">
        <v>0</v>
      </c>
      <c r="AG1658" s="45">
        <v>0</v>
      </c>
      <c r="AH1658" s="45">
        <v>0</v>
      </c>
      <c r="AI1658" s="45">
        <v>0</v>
      </c>
      <c r="AJ1658" s="45">
        <v>0</v>
      </c>
      <c r="AK1658" s="45">
        <v>0</v>
      </c>
      <c r="AL1658" s="45">
        <v>0</v>
      </c>
      <c r="AM1658" s="57" t="str">
        <f>I1658-J1658-K1658-L1658-M1658-N1658-O1658-P1658-Q1658-R1658-S1658-T1658-U1658-V1658-W1658-X1658-Y1658-Z1658-AA1658-AB1658-AC1658-AD1658-AE1658-AF1658-AG1658+AH1658-AI1658+AJ1658+AK1658-AL1658</f>
        <v>0</v>
      </c>
      <c r="AN1658" s="45"/>
    </row>
    <row r="1659" spans="1:41">
      <c r="A1659" s="45">
        <v>1631</v>
      </c>
      <c r="B1659" s="45" t="s">
        <v>6363</v>
      </c>
      <c r="C1659" s="49" t="s">
        <v>6364</v>
      </c>
      <c r="D1659" s="53" t="s">
        <v>73</v>
      </c>
      <c r="E1659" s="45" t="s">
        <v>6263</v>
      </c>
      <c r="F1659" s="45" t="s">
        <v>6365</v>
      </c>
      <c r="G1659" s="45">
        <v>3</v>
      </c>
      <c r="H1659" s="53" t="s">
        <v>6366</v>
      </c>
      <c r="I1659" s="45">
        <v>530000</v>
      </c>
      <c r="J1659" s="45">
        <v>0</v>
      </c>
      <c r="K1659" s="45">
        <v>22000</v>
      </c>
      <c r="L1659" s="45">
        <v>0</v>
      </c>
      <c r="M1659" s="45">
        <v>0</v>
      </c>
      <c r="N1659" s="45">
        <v>0</v>
      </c>
      <c r="O1659" s="45">
        <v>0</v>
      </c>
      <c r="P1659" s="45">
        <v>0</v>
      </c>
      <c r="Q1659" s="45">
        <v>0</v>
      </c>
      <c r="R1659" s="45">
        <v>0</v>
      </c>
      <c r="S1659" s="45">
        <v>0</v>
      </c>
      <c r="T1659" s="45">
        <v>0</v>
      </c>
      <c r="U1659" s="45">
        <v>1397</v>
      </c>
      <c r="V1659" s="45">
        <v>0</v>
      </c>
      <c r="W1659" s="45">
        <v>0</v>
      </c>
      <c r="X1659" s="45">
        <v>0</v>
      </c>
      <c r="Y1659" s="45">
        <v>0</v>
      </c>
      <c r="Z1659" s="45">
        <v>0</v>
      </c>
      <c r="AA1659" s="45">
        <v>0</v>
      </c>
      <c r="AB1659" s="45">
        <v>0</v>
      </c>
      <c r="AC1659" s="45">
        <v>0</v>
      </c>
      <c r="AD1659" s="45">
        <v>0</v>
      </c>
      <c r="AE1659" s="45">
        <v>0</v>
      </c>
      <c r="AF1659" s="45">
        <v>0</v>
      </c>
      <c r="AG1659" s="45">
        <v>0</v>
      </c>
      <c r="AH1659" s="45">
        <v>0</v>
      </c>
      <c r="AI1659" s="45">
        <v>0</v>
      </c>
      <c r="AJ1659" s="45">
        <v>0</v>
      </c>
      <c r="AK1659" s="45">
        <v>0</v>
      </c>
      <c r="AL1659" s="45">
        <v>0</v>
      </c>
      <c r="AM1659" s="57" t="str">
        <f>I1659-J1659-K1659-L1659-M1659-N1659-O1659-P1659-Q1659-R1659-S1659-T1659-U1659-V1659-W1659-X1659-Y1659-Z1659-AA1659-AB1659-AC1659-AD1659-AE1659-AF1659-AG1659+AH1659-AI1659+AJ1659+AK1659-AL1659</f>
        <v>0</v>
      </c>
      <c r="AN1659" s="45"/>
    </row>
    <row r="1660" spans="1:41">
      <c r="A1660" s="45">
        <v>1632</v>
      </c>
      <c r="B1660" s="45" t="s">
        <v>6367</v>
      </c>
      <c r="C1660" s="49" t="s">
        <v>6368</v>
      </c>
      <c r="D1660" s="53" t="s">
        <v>73</v>
      </c>
      <c r="E1660" s="45" t="s">
        <v>6263</v>
      </c>
      <c r="F1660" s="45" t="s">
        <v>3220</v>
      </c>
      <c r="G1660" s="45">
        <v>3</v>
      </c>
      <c r="H1660" s="53" t="s">
        <v>6369</v>
      </c>
      <c r="I1660" s="45">
        <v>48782</v>
      </c>
      <c r="J1660" s="45">
        <v>0</v>
      </c>
      <c r="K1660" s="45">
        <v>22000</v>
      </c>
      <c r="L1660" s="45">
        <v>0</v>
      </c>
      <c r="M1660" s="45">
        <v>0</v>
      </c>
      <c r="N1660" s="45">
        <v>0</v>
      </c>
      <c r="O1660" s="45">
        <v>0</v>
      </c>
      <c r="P1660" s="45">
        <v>0</v>
      </c>
      <c r="Q1660" s="45">
        <v>0</v>
      </c>
      <c r="R1660" s="45">
        <v>0</v>
      </c>
      <c r="S1660" s="45">
        <v>0</v>
      </c>
      <c r="T1660" s="45">
        <v>0</v>
      </c>
      <c r="U1660" s="45">
        <v>1397</v>
      </c>
      <c r="V1660" s="45">
        <v>0</v>
      </c>
      <c r="W1660" s="45">
        <v>0</v>
      </c>
      <c r="X1660" s="45">
        <v>0</v>
      </c>
      <c r="Y1660" s="45">
        <v>0</v>
      </c>
      <c r="Z1660" s="45">
        <v>0</v>
      </c>
      <c r="AA1660" s="45">
        <v>0</v>
      </c>
      <c r="AB1660" s="45">
        <v>0</v>
      </c>
      <c r="AC1660" s="45">
        <v>0</v>
      </c>
      <c r="AD1660" s="45">
        <v>0</v>
      </c>
      <c r="AE1660" s="45">
        <v>0</v>
      </c>
      <c r="AF1660" s="45">
        <v>0</v>
      </c>
      <c r="AG1660" s="45">
        <v>0</v>
      </c>
      <c r="AH1660" s="45">
        <v>0</v>
      </c>
      <c r="AI1660" s="45">
        <v>0</v>
      </c>
      <c r="AJ1660" s="45">
        <v>0</v>
      </c>
      <c r="AK1660" s="45">
        <v>0</v>
      </c>
      <c r="AL1660" s="45">
        <v>0</v>
      </c>
      <c r="AM1660" s="57" t="str">
        <f>I1660-J1660-K1660-L1660-M1660-N1660-O1660-P1660-Q1660-R1660-S1660-T1660-U1660-V1660-W1660-X1660-Y1660-Z1660-AA1660-AB1660-AC1660-AD1660-AE1660-AF1660-AG1660+AH1660-AI1660+AJ1660+AK1660-AL1660</f>
        <v>0</v>
      </c>
      <c r="AN1660" s="45"/>
    </row>
    <row r="1661" spans="1:41">
      <c r="A1661" s="45">
        <v>1633</v>
      </c>
      <c r="B1661" s="45" t="s">
        <v>6370</v>
      </c>
      <c r="C1661" s="49" t="s">
        <v>6371</v>
      </c>
      <c r="D1661" s="53" t="s">
        <v>73</v>
      </c>
      <c r="E1661" s="45" t="s">
        <v>6263</v>
      </c>
      <c r="F1661" s="45" t="s">
        <v>4272</v>
      </c>
      <c r="G1661" s="45">
        <v>3</v>
      </c>
      <c r="H1661" s="53" t="s">
        <v>6372</v>
      </c>
      <c r="I1661" s="45">
        <v>560000</v>
      </c>
      <c r="J1661" s="45">
        <v>0</v>
      </c>
      <c r="K1661" s="45">
        <v>22000</v>
      </c>
      <c r="L1661" s="45">
        <v>0</v>
      </c>
      <c r="M1661" s="45">
        <v>0</v>
      </c>
      <c r="N1661" s="45">
        <v>0</v>
      </c>
      <c r="O1661" s="45">
        <v>0</v>
      </c>
      <c r="P1661" s="45">
        <v>0</v>
      </c>
      <c r="Q1661" s="45">
        <v>0</v>
      </c>
      <c r="R1661" s="45">
        <v>0</v>
      </c>
      <c r="S1661" s="45">
        <v>0</v>
      </c>
      <c r="T1661" s="45">
        <v>0</v>
      </c>
      <c r="U1661" s="45">
        <v>1397</v>
      </c>
      <c r="V1661" s="45">
        <v>0</v>
      </c>
      <c r="W1661" s="45">
        <v>0</v>
      </c>
      <c r="X1661" s="45">
        <v>0</v>
      </c>
      <c r="Y1661" s="45">
        <v>0</v>
      </c>
      <c r="Z1661" s="45">
        <v>0</v>
      </c>
      <c r="AA1661" s="45">
        <v>0</v>
      </c>
      <c r="AB1661" s="45">
        <v>0</v>
      </c>
      <c r="AC1661" s="45">
        <v>0</v>
      </c>
      <c r="AD1661" s="45">
        <v>0</v>
      </c>
      <c r="AE1661" s="45">
        <v>0</v>
      </c>
      <c r="AF1661" s="45">
        <v>0</v>
      </c>
      <c r="AG1661" s="45">
        <v>0</v>
      </c>
      <c r="AH1661" s="45">
        <v>0</v>
      </c>
      <c r="AI1661" s="45">
        <v>0</v>
      </c>
      <c r="AJ1661" s="45">
        <v>0</v>
      </c>
      <c r="AK1661" s="45">
        <v>0</v>
      </c>
      <c r="AL1661" s="45">
        <v>0</v>
      </c>
      <c r="AM1661" s="57" t="str">
        <f>I1661-J1661-K1661-L1661-M1661-N1661-O1661-P1661-Q1661-R1661-S1661-T1661-U1661-V1661-W1661-X1661-Y1661-Z1661-AA1661-AB1661-AC1661-AD1661-AE1661-AF1661-AG1661+AH1661-AI1661+AJ1661+AK1661-AL1661</f>
        <v>0</v>
      </c>
      <c r="AN1661" s="45"/>
    </row>
    <row r="1662" spans="1:41">
      <c r="A1662" s="45">
        <v>1634</v>
      </c>
      <c r="B1662" s="45" t="s">
        <v>6373</v>
      </c>
      <c r="C1662" s="49" t="s">
        <v>6374</v>
      </c>
      <c r="D1662" s="53" t="s">
        <v>73</v>
      </c>
      <c r="E1662" s="45" t="s">
        <v>6263</v>
      </c>
      <c r="F1662" s="45" t="s">
        <v>6375</v>
      </c>
      <c r="G1662" s="45">
        <v>6</v>
      </c>
      <c r="H1662" s="53" t="s">
        <v>6376</v>
      </c>
      <c r="I1662" s="45">
        <v>964000</v>
      </c>
      <c r="J1662" s="45">
        <v>0</v>
      </c>
      <c r="K1662" s="45">
        <v>31000</v>
      </c>
      <c r="L1662" s="45">
        <v>0</v>
      </c>
      <c r="M1662" s="45">
        <v>0</v>
      </c>
      <c r="N1662" s="45">
        <v>0</v>
      </c>
      <c r="O1662" s="45">
        <v>0</v>
      </c>
      <c r="P1662" s="45">
        <v>0</v>
      </c>
      <c r="Q1662" s="45">
        <v>0</v>
      </c>
      <c r="R1662" s="45">
        <v>0</v>
      </c>
      <c r="S1662" s="45">
        <v>0</v>
      </c>
      <c r="T1662" s="45">
        <v>0</v>
      </c>
      <c r="U1662" s="45">
        <v>1968</v>
      </c>
      <c r="V1662" s="45">
        <v>0</v>
      </c>
      <c r="W1662" s="45">
        <v>0</v>
      </c>
      <c r="X1662" s="45">
        <v>0</v>
      </c>
      <c r="Y1662" s="45">
        <v>0</v>
      </c>
      <c r="Z1662" s="45">
        <v>0</v>
      </c>
      <c r="AA1662" s="45">
        <v>0</v>
      </c>
      <c r="AB1662" s="45">
        <v>0</v>
      </c>
      <c r="AC1662" s="45">
        <v>0</v>
      </c>
      <c r="AD1662" s="45">
        <v>0</v>
      </c>
      <c r="AE1662" s="45">
        <v>0</v>
      </c>
      <c r="AF1662" s="45">
        <v>0</v>
      </c>
      <c r="AG1662" s="45">
        <v>0</v>
      </c>
      <c r="AH1662" s="45">
        <v>0</v>
      </c>
      <c r="AI1662" s="45">
        <v>0</v>
      </c>
      <c r="AJ1662" s="45">
        <v>0</v>
      </c>
      <c r="AK1662" s="45">
        <v>0</v>
      </c>
      <c r="AL1662" s="45">
        <v>0</v>
      </c>
      <c r="AM1662" s="57" t="str">
        <f>I1662-J1662-K1662-L1662-M1662-N1662-O1662-P1662-Q1662-R1662-S1662-T1662-U1662-V1662-W1662-X1662-Y1662-Z1662-AA1662-AB1662-AC1662-AD1662-AE1662-AF1662-AG1662+AH1662-AI1662+AJ1662+AK1662-AL1662</f>
        <v>0</v>
      </c>
      <c r="AN1662" s="45"/>
    </row>
    <row r="1663" spans="1:41">
      <c r="A1663" s="45">
        <v>1635</v>
      </c>
      <c r="B1663" s="45" t="s">
        <v>6377</v>
      </c>
      <c r="C1663" s="49" t="s">
        <v>6378</v>
      </c>
      <c r="D1663" s="53" t="s">
        <v>73</v>
      </c>
      <c r="E1663" s="45" t="s">
        <v>6263</v>
      </c>
      <c r="F1663" s="45" t="s">
        <v>6379</v>
      </c>
      <c r="G1663" s="45">
        <v>2</v>
      </c>
      <c r="H1663" s="53" t="s">
        <v>6380</v>
      </c>
      <c r="I1663" s="45">
        <v>450000</v>
      </c>
      <c r="J1663" s="45">
        <v>0</v>
      </c>
      <c r="K1663" s="45">
        <v>22000</v>
      </c>
      <c r="L1663" s="45">
        <v>0</v>
      </c>
      <c r="M1663" s="45">
        <v>0</v>
      </c>
      <c r="N1663" s="45">
        <v>0</v>
      </c>
      <c r="O1663" s="45">
        <v>0</v>
      </c>
      <c r="P1663" s="45">
        <v>0</v>
      </c>
      <c r="Q1663" s="45">
        <v>0</v>
      </c>
      <c r="R1663" s="45">
        <v>0</v>
      </c>
      <c r="S1663" s="45">
        <v>0</v>
      </c>
      <c r="T1663" s="45">
        <v>0</v>
      </c>
      <c r="U1663" s="45">
        <v>1397</v>
      </c>
      <c r="V1663" s="45">
        <v>0</v>
      </c>
      <c r="W1663" s="45">
        <v>0</v>
      </c>
      <c r="X1663" s="45">
        <v>0</v>
      </c>
      <c r="Y1663" s="45">
        <v>0</v>
      </c>
      <c r="Z1663" s="45">
        <v>0</v>
      </c>
      <c r="AA1663" s="45">
        <v>0</v>
      </c>
      <c r="AB1663" s="45">
        <v>0</v>
      </c>
      <c r="AC1663" s="45">
        <v>0</v>
      </c>
      <c r="AD1663" s="45">
        <v>0</v>
      </c>
      <c r="AE1663" s="45">
        <v>0</v>
      </c>
      <c r="AF1663" s="45">
        <v>0</v>
      </c>
      <c r="AG1663" s="45">
        <v>0</v>
      </c>
      <c r="AH1663" s="45">
        <v>0</v>
      </c>
      <c r="AI1663" s="45">
        <v>0</v>
      </c>
      <c r="AJ1663" s="45">
        <v>0</v>
      </c>
      <c r="AK1663" s="45">
        <v>0</v>
      </c>
      <c r="AL1663" s="45">
        <v>0</v>
      </c>
      <c r="AM1663" s="57" t="str">
        <f>I1663-J1663-K1663-L1663-M1663-N1663-O1663-P1663-Q1663-R1663-S1663-T1663-U1663-V1663-W1663-X1663-Y1663-Z1663-AA1663-AB1663-AC1663-AD1663-AE1663-AF1663-AG1663+AH1663-AI1663+AJ1663+AK1663-AL1663</f>
        <v>0</v>
      </c>
      <c r="AN1663" s="45"/>
    </row>
    <row r="1664" spans="1:41">
      <c r="A1664" s="45">
        <v>1636</v>
      </c>
      <c r="B1664" s="45" t="s">
        <v>6381</v>
      </c>
      <c r="C1664" s="49" t="s">
        <v>6382</v>
      </c>
      <c r="D1664" s="53" t="s">
        <v>73</v>
      </c>
      <c r="E1664" s="45" t="s">
        <v>6263</v>
      </c>
      <c r="F1664" s="45" t="s">
        <v>6383</v>
      </c>
      <c r="G1664" s="45">
        <v>3</v>
      </c>
      <c r="H1664" s="53" t="s">
        <v>6384</v>
      </c>
      <c r="I1664" s="45">
        <v>444000</v>
      </c>
      <c r="J1664" s="45">
        <v>0</v>
      </c>
      <c r="K1664" s="45">
        <v>22000</v>
      </c>
      <c r="L1664" s="45">
        <v>0</v>
      </c>
      <c r="M1664" s="45">
        <v>0</v>
      </c>
      <c r="N1664" s="45">
        <v>0</v>
      </c>
      <c r="O1664" s="45">
        <v>0</v>
      </c>
      <c r="P1664" s="45">
        <v>0</v>
      </c>
      <c r="Q1664" s="45">
        <v>0</v>
      </c>
      <c r="R1664" s="45">
        <v>0</v>
      </c>
      <c r="S1664" s="45">
        <v>0</v>
      </c>
      <c r="T1664" s="45">
        <v>0</v>
      </c>
      <c r="U1664" s="45">
        <v>1397</v>
      </c>
      <c r="V1664" s="45">
        <v>0</v>
      </c>
      <c r="W1664" s="45">
        <v>0</v>
      </c>
      <c r="X1664" s="45">
        <v>0</v>
      </c>
      <c r="Y1664" s="45">
        <v>0</v>
      </c>
      <c r="Z1664" s="45">
        <v>0</v>
      </c>
      <c r="AA1664" s="45">
        <v>0</v>
      </c>
      <c r="AB1664" s="45">
        <v>0</v>
      </c>
      <c r="AC1664" s="45">
        <v>0</v>
      </c>
      <c r="AD1664" s="45">
        <v>0</v>
      </c>
      <c r="AE1664" s="45">
        <v>0</v>
      </c>
      <c r="AF1664" s="45">
        <v>0</v>
      </c>
      <c r="AG1664" s="45">
        <v>0</v>
      </c>
      <c r="AH1664" s="45">
        <v>0</v>
      </c>
      <c r="AI1664" s="45">
        <v>0</v>
      </c>
      <c r="AJ1664" s="45">
        <v>0</v>
      </c>
      <c r="AK1664" s="45">
        <v>0</v>
      </c>
      <c r="AL1664" s="45">
        <v>0</v>
      </c>
      <c r="AM1664" s="57" t="str">
        <f>I1664-J1664-K1664-L1664-M1664-N1664-O1664-P1664-Q1664-R1664-S1664-T1664-U1664-V1664-W1664-X1664-Y1664-Z1664-AA1664-AB1664-AC1664-AD1664-AE1664-AF1664-AG1664+AH1664-AI1664+AJ1664+AK1664-AL1664</f>
        <v>0</v>
      </c>
      <c r="AN1664" s="45"/>
    </row>
    <row r="1665" spans="1:41">
      <c r="A1665" s="45">
        <v>1637</v>
      </c>
      <c r="B1665" s="45" t="s">
        <v>6385</v>
      </c>
      <c r="C1665" s="49" t="s">
        <v>6386</v>
      </c>
      <c r="D1665" s="53" t="s">
        <v>73</v>
      </c>
      <c r="E1665" s="45" t="s">
        <v>6263</v>
      </c>
      <c r="F1665" s="45" t="s">
        <v>6387</v>
      </c>
      <c r="G1665" s="45">
        <v>3</v>
      </c>
      <c r="H1665" s="53" t="s">
        <v>6388</v>
      </c>
      <c r="I1665" s="45">
        <v>434000</v>
      </c>
      <c r="J1665" s="45">
        <v>0</v>
      </c>
      <c r="K1665" s="45">
        <v>22000</v>
      </c>
      <c r="L1665" s="45">
        <v>0</v>
      </c>
      <c r="M1665" s="45">
        <v>0</v>
      </c>
      <c r="N1665" s="45">
        <v>0</v>
      </c>
      <c r="O1665" s="45">
        <v>0</v>
      </c>
      <c r="P1665" s="45">
        <v>0</v>
      </c>
      <c r="Q1665" s="45">
        <v>0</v>
      </c>
      <c r="R1665" s="45">
        <v>0</v>
      </c>
      <c r="S1665" s="45">
        <v>0</v>
      </c>
      <c r="T1665" s="45">
        <v>0</v>
      </c>
      <c r="U1665" s="45">
        <v>1397</v>
      </c>
      <c r="V1665" s="45">
        <v>0</v>
      </c>
      <c r="W1665" s="45">
        <v>0</v>
      </c>
      <c r="X1665" s="45">
        <v>0</v>
      </c>
      <c r="Y1665" s="45">
        <v>0</v>
      </c>
      <c r="Z1665" s="45">
        <v>0</v>
      </c>
      <c r="AA1665" s="45">
        <v>0</v>
      </c>
      <c r="AB1665" s="45">
        <v>0</v>
      </c>
      <c r="AC1665" s="45">
        <v>0</v>
      </c>
      <c r="AD1665" s="45">
        <v>0</v>
      </c>
      <c r="AE1665" s="45">
        <v>0</v>
      </c>
      <c r="AF1665" s="45">
        <v>0</v>
      </c>
      <c r="AG1665" s="45">
        <v>0</v>
      </c>
      <c r="AH1665" s="45">
        <v>0</v>
      </c>
      <c r="AI1665" s="45">
        <v>0</v>
      </c>
      <c r="AJ1665" s="45">
        <v>0</v>
      </c>
      <c r="AK1665" s="45">
        <v>0</v>
      </c>
      <c r="AL1665" s="45">
        <v>0</v>
      </c>
      <c r="AM1665" s="57" t="str">
        <f>I1665-J1665-K1665-L1665-M1665-N1665-O1665-P1665-Q1665-R1665-S1665-T1665-U1665-V1665-W1665-X1665-Y1665-Z1665-AA1665-AB1665-AC1665-AD1665-AE1665-AF1665-AG1665+AH1665-AI1665+AJ1665+AK1665-AL1665</f>
        <v>0</v>
      </c>
      <c r="AN1665" s="45"/>
    </row>
    <row r="1666" spans="1:41">
      <c r="A1666" s="45">
        <v>1638</v>
      </c>
      <c r="B1666" s="45" t="s">
        <v>6389</v>
      </c>
      <c r="C1666" s="49" t="s">
        <v>6390</v>
      </c>
      <c r="D1666" s="53" t="s">
        <v>73</v>
      </c>
      <c r="E1666" s="45" t="s">
        <v>6263</v>
      </c>
      <c r="F1666" s="45" t="s">
        <v>6391</v>
      </c>
      <c r="G1666" s="45">
        <v>3</v>
      </c>
      <c r="H1666" s="53" t="s">
        <v>6392</v>
      </c>
      <c r="I1666" s="45">
        <v>460000</v>
      </c>
      <c r="J1666" s="45">
        <v>0</v>
      </c>
      <c r="K1666" s="45">
        <v>22000</v>
      </c>
      <c r="L1666" s="45">
        <v>0</v>
      </c>
      <c r="M1666" s="45">
        <v>0</v>
      </c>
      <c r="N1666" s="45">
        <v>0</v>
      </c>
      <c r="O1666" s="45">
        <v>0</v>
      </c>
      <c r="P1666" s="45">
        <v>0</v>
      </c>
      <c r="Q1666" s="45">
        <v>0</v>
      </c>
      <c r="R1666" s="45">
        <v>0</v>
      </c>
      <c r="S1666" s="45">
        <v>0</v>
      </c>
      <c r="T1666" s="45">
        <v>0</v>
      </c>
      <c r="U1666" s="45">
        <v>1397</v>
      </c>
      <c r="V1666" s="45">
        <v>0</v>
      </c>
      <c r="W1666" s="45">
        <v>0</v>
      </c>
      <c r="X1666" s="45">
        <v>0</v>
      </c>
      <c r="Y1666" s="45">
        <v>0</v>
      </c>
      <c r="Z1666" s="45">
        <v>0</v>
      </c>
      <c r="AA1666" s="45">
        <v>0</v>
      </c>
      <c r="AB1666" s="45">
        <v>0</v>
      </c>
      <c r="AC1666" s="45">
        <v>0</v>
      </c>
      <c r="AD1666" s="45">
        <v>0</v>
      </c>
      <c r="AE1666" s="45">
        <v>0</v>
      </c>
      <c r="AF1666" s="45">
        <v>0</v>
      </c>
      <c r="AG1666" s="45">
        <v>0</v>
      </c>
      <c r="AH1666" s="45">
        <v>0</v>
      </c>
      <c r="AI1666" s="45">
        <v>0</v>
      </c>
      <c r="AJ1666" s="45">
        <v>0</v>
      </c>
      <c r="AK1666" s="45">
        <v>0</v>
      </c>
      <c r="AL1666" s="45">
        <v>0</v>
      </c>
      <c r="AM1666" s="57" t="str">
        <f>I1666-J1666-K1666-L1666-M1666-N1666-O1666-P1666-Q1666-R1666-S1666-T1666-U1666-V1666-W1666-X1666-Y1666-Z1666-AA1666-AB1666-AC1666-AD1666-AE1666-AF1666-AG1666+AH1666-AI1666+AJ1666+AK1666-AL1666</f>
        <v>0</v>
      </c>
      <c r="AN1666" s="45"/>
    </row>
    <row r="1667" spans="1:41">
      <c r="A1667" s="45">
        <v>1639</v>
      </c>
      <c r="B1667" s="45" t="s">
        <v>6393</v>
      </c>
      <c r="C1667" s="49" t="s">
        <v>6394</v>
      </c>
      <c r="D1667" s="53" t="s">
        <v>73</v>
      </c>
      <c r="E1667" s="45" t="s">
        <v>6263</v>
      </c>
      <c r="F1667" s="45" t="s">
        <v>3205</v>
      </c>
      <c r="G1667" s="45">
        <v>2</v>
      </c>
      <c r="H1667" s="53" t="s">
        <v>6395</v>
      </c>
      <c r="I1667" s="45">
        <v>500000</v>
      </c>
      <c r="J1667" s="45">
        <v>0</v>
      </c>
      <c r="K1667" s="45">
        <v>22000</v>
      </c>
      <c r="L1667" s="45">
        <v>0</v>
      </c>
      <c r="M1667" s="45">
        <v>0</v>
      </c>
      <c r="N1667" s="45">
        <v>0</v>
      </c>
      <c r="O1667" s="45">
        <v>0</v>
      </c>
      <c r="P1667" s="45">
        <v>0</v>
      </c>
      <c r="Q1667" s="45">
        <v>0</v>
      </c>
      <c r="R1667" s="45">
        <v>0</v>
      </c>
      <c r="S1667" s="45">
        <v>0</v>
      </c>
      <c r="T1667" s="45">
        <v>0</v>
      </c>
      <c r="U1667" s="45">
        <v>1397</v>
      </c>
      <c r="V1667" s="45">
        <v>0</v>
      </c>
      <c r="W1667" s="45">
        <v>0</v>
      </c>
      <c r="X1667" s="45">
        <v>0</v>
      </c>
      <c r="Y1667" s="45">
        <v>0</v>
      </c>
      <c r="Z1667" s="45">
        <v>0</v>
      </c>
      <c r="AA1667" s="45">
        <v>0</v>
      </c>
      <c r="AB1667" s="45">
        <v>0</v>
      </c>
      <c r="AC1667" s="45">
        <v>0</v>
      </c>
      <c r="AD1667" s="45">
        <v>0</v>
      </c>
      <c r="AE1667" s="45">
        <v>0</v>
      </c>
      <c r="AF1667" s="45">
        <v>0</v>
      </c>
      <c r="AG1667" s="45">
        <v>0</v>
      </c>
      <c r="AH1667" s="45">
        <v>0</v>
      </c>
      <c r="AI1667" s="45">
        <v>0</v>
      </c>
      <c r="AJ1667" s="45">
        <v>0</v>
      </c>
      <c r="AK1667" s="45">
        <v>0</v>
      </c>
      <c r="AL1667" s="45">
        <v>0</v>
      </c>
      <c r="AM1667" s="57" t="str">
        <f>I1667-J1667-K1667-L1667-M1667-N1667-O1667-P1667-Q1667-R1667-S1667-T1667-U1667-V1667-W1667-X1667-Y1667-Z1667-AA1667-AB1667-AC1667-AD1667-AE1667-AF1667-AG1667+AH1667-AI1667+AJ1667+AK1667-AL1667</f>
        <v>0</v>
      </c>
      <c r="AN1667" s="45"/>
    </row>
    <row r="1668" spans="1:41">
      <c r="A1668" s="45">
        <v>1640</v>
      </c>
      <c r="B1668" s="45" t="s">
        <v>6396</v>
      </c>
      <c r="C1668" s="49" t="s">
        <v>6397</v>
      </c>
      <c r="D1668" s="53" t="s">
        <v>73</v>
      </c>
      <c r="E1668" s="45" t="s">
        <v>6263</v>
      </c>
      <c r="F1668" s="45" t="s">
        <v>6398</v>
      </c>
      <c r="G1668" s="45">
        <v>2</v>
      </c>
      <c r="H1668" s="53" t="s">
        <v>1827</v>
      </c>
      <c r="I1668" s="45">
        <v>324000</v>
      </c>
      <c r="J1668" s="45">
        <v>0</v>
      </c>
      <c r="K1668" s="45">
        <v>22000</v>
      </c>
      <c r="L1668" s="45">
        <v>0</v>
      </c>
      <c r="M1668" s="45">
        <v>0</v>
      </c>
      <c r="N1668" s="45">
        <v>0</v>
      </c>
      <c r="O1668" s="45">
        <v>0</v>
      </c>
      <c r="P1668" s="45">
        <v>0</v>
      </c>
      <c r="Q1668" s="45">
        <v>0</v>
      </c>
      <c r="R1668" s="45">
        <v>0</v>
      </c>
      <c r="S1668" s="45">
        <v>0</v>
      </c>
      <c r="T1668" s="45">
        <v>0</v>
      </c>
      <c r="U1668" s="45">
        <v>1397</v>
      </c>
      <c r="V1668" s="45">
        <v>0</v>
      </c>
      <c r="W1668" s="45">
        <v>0</v>
      </c>
      <c r="X1668" s="45">
        <v>0</v>
      </c>
      <c r="Y1668" s="45">
        <v>0</v>
      </c>
      <c r="Z1668" s="45">
        <v>0</v>
      </c>
      <c r="AA1668" s="45">
        <v>0</v>
      </c>
      <c r="AB1668" s="45">
        <v>0</v>
      </c>
      <c r="AC1668" s="45">
        <v>0</v>
      </c>
      <c r="AD1668" s="45">
        <v>0</v>
      </c>
      <c r="AE1668" s="45">
        <v>0</v>
      </c>
      <c r="AF1668" s="45">
        <v>0</v>
      </c>
      <c r="AG1668" s="45">
        <v>0</v>
      </c>
      <c r="AH1668" s="45">
        <v>0</v>
      </c>
      <c r="AI1668" s="45">
        <v>0</v>
      </c>
      <c r="AJ1668" s="45">
        <v>0</v>
      </c>
      <c r="AK1668" s="45">
        <v>0</v>
      </c>
      <c r="AL1668" s="45">
        <v>0</v>
      </c>
      <c r="AM1668" s="57" t="str">
        <f>I1668-J1668-K1668-L1668-M1668-N1668-O1668-P1668-Q1668-R1668-S1668-T1668-U1668-V1668-W1668-X1668-Y1668-Z1668-AA1668-AB1668-AC1668-AD1668-AE1668-AF1668-AG1668+AH1668-AI1668+AJ1668+AK1668-AL1668</f>
        <v>0</v>
      </c>
      <c r="AN1668" s="45"/>
    </row>
    <row r="1669" spans="1:41">
      <c r="A1669" s="45">
        <v>1641</v>
      </c>
      <c r="B1669" s="45" t="s">
        <v>6399</v>
      </c>
      <c r="C1669" s="49" t="s">
        <v>6400</v>
      </c>
      <c r="D1669" s="53" t="s">
        <v>73</v>
      </c>
      <c r="E1669" s="45" t="s">
        <v>6263</v>
      </c>
      <c r="F1669" s="45" t="s">
        <v>6401</v>
      </c>
      <c r="G1669" s="45">
        <v>3</v>
      </c>
      <c r="H1669" s="53" t="s">
        <v>6402</v>
      </c>
      <c r="I1669" s="45">
        <v>560000</v>
      </c>
      <c r="J1669" s="45">
        <v>0</v>
      </c>
      <c r="K1669" s="45">
        <v>22000</v>
      </c>
      <c r="L1669" s="45">
        <v>0</v>
      </c>
      <c r="M1669" s="45">
        <v>0</v>
      </c>
      <c r="N1669" s="45">
        <v>0</v>
      </c>
      <c r="O1669" s="45">
        <v>0</v>
      </c>
      <c r="P1669" s="45">
        <v>0</v>
      </c>
      <c r="Q1669" s="45">
        <v>0</v>
      </c>
      <c r="R1669" s="45">
        <v>0</v>
      </c>
      <c r="S1669" s="45">
        <v>0</v>
      </c>
      <c r="T1669" s="45">
        <v>0</v>
      </c>
      <c r="U1669" s="45">
        <v>1397</v>
      </c>
      <c r="V1669" s="45">
        <v>0</v>
      </c>
      <c r="W1669" s="45">
        <v>0</v>
      </c>
      <c r="X1669" s="45">
        <v>0</v>
      </c>
      <c r="Y1669" s="45">
        <v>0</v>
      </c>
      <c r="Z1669" s="45">
        <v>0</v>
      </c>
      <c r="AA1669" s="45">
        <v>0</v>
      </c>
      <c r="AB1669" s="45">
        <v>0</v>
      </c>
      <c r="AC1669" s="45">
        <v>0</v>
      </c>
      <c r="AD1669" s="45">
        <v>0</v>
      </c>
      <c r="AE1669" s="45">
        <v>0</v>
      </c>
      <c r="AF1669" s="45">
        <v>0</v>
      </c>
      <c r="AG1669" s="45">
        <v>0</v>
      </c>
      <c r="AH1669" s="45">
        <v>0</v>
      </c>
      <c r="AI1669" s="45">
        <v>0</v>
      </c>
      <c r="AJ1669" s="45">
        <v>0</v>
      </c>
      <c r="AK1669" s="45">
        <v>0</v>
      </c>
      <c r="AL1669" s="45">
        <v>0</v>
      </c>
      <c r="AM1669" s="57" t="str">
        <f>I1669-J1669-K1669-L1669-M1669-N1669-O1669-P1669-Q1669-R1669-S1669-T1669-U1669-V1669-W1669-X1669-Y1669-Z1669-AA1669-AB1669-AC1669-AD1669-AE1669-AF1669-AG1669+AH1669-AI1669+AJ1669+AK1669-AL1669</f>
        <v>0</v>
      </c>
      <c r="AN1669" s="45"/>
    </row>
    <row r="1670" spans="1:41">
      <c r="A1670" s="45">
        <v>1642</v>
      </c>
      <c r="B1670" s="45" t="s">
        <v>6403</v>
      </c>
      <c r="C1670" s="49" t="s">
        <v>6404</v>
      </c>
      <c r="D1670" s="53" t="s">
        <v>73</v>
      </c>
      <c r="E1670" s="45" t="s">
        <v>6263</v>
      </c>
      <c r="F1670" s="45" t="s">
        <v>6405</v>
      </c>
      <c r="G1670" s="45">
        <v>2</v>
      </c>
      <c r="H1670" s="53" t="s">
        <v>6406</v>
      </c>
      <c r="I1670" s="45">
        <v>365000</v>
      </c>
      <c r="J1670" s="45">
        <v>0</v>
      </c>
      <c r="K1670" s="45">
        <v>22000</v>
      </c>
      <c r="L1670" s="45">
        <v>0</v>
      </c>
      <c r="M1670" s="45">
        <v>0</v>
      </c>
      <c r="N1670" s="45">
        <v>0</v>
      </c>
      <c r="O1670" s="45">
        <v>0</v>
      </c>
      <c r="P1670" s="45">
        <v>0</v>
      </c>
      <c r="Q1670" s="45">
        <v>0</v>
      </c>
      <c r="R1670" s="45">
        <v>0</v>
      </c>
      <c r="S1670" s="45">
        <v>0</v>
      </c>
      <c r="T1670" s="45">
        <v>0</v>
      </c>
      <c r="U1670" s="45">
        <v>1397</v>
      </c>
      <c r="V1670" s="45">
        <v>0</v>
      </c>
      <c r="W1670" s="45">
        <v>0</v>
      </c>
      <c r="X1670" s="45">
        <v>0</v>
      </c>
      <c r="Y1670" s="45">
        <v>0</v>
      </c>
      <c r="Z1670" s="45">
        <v>0</v>
      </c>
      <c r="AA1670" s="45">
        <v>0</v>
      </c>
      <c r="AB1670" s="45">
        <v>0</v>
      </c>
      <c r="AC1670" s="45">
        <v>0</v>
      </c>
      <c r="AD1670" s="45">
        <v>0</v>
      </c>
      <c r="AE1670" s="45">
        <v>0</v>
      </c>
      <c r="AF1670" s="45">
        <v>0</v>
      </c>
      <c r="AG1670" s="45">
        <v>0</v>
      </c>
      <c r="AH1670" s="45">
        <v>0</v>
      </c>
      <c r="AI1670" s="45">
        <v>0</v>
      </c>
      <c r="AJ1670" s="45">
        <v>0</v>
      </c>
      <c r="AK1670" s="45">
        <v>0</v>
      </c>
      <c r="AL1670" s="45">
        <v>0</v>
      </c>
      <c r="AM1670" s="57" t="str">
        <f>I1670-J1670-K1670-L1670-M1670-N1670-O1670-P1670-Q1670-R1670-S1670-T1670-U1670-V1670-W1670-X1670-Y1670-Z1670-AA1670-AB1670-AC1670-AD1670-AE1670-AF1670-AG1670+AH1670-AI1670+AJ1670+AK1670-AL1670</f>
        <v>0</v>
      </c>
      <c r="AN1670" s="45"/>
    </row>
    <row r="1671" spans="1:41">
      <c r="A1671" s="45">
        <v>1643</v>
      </c>
      <c r="B1671" s="45" t="s">
        <v>6407</v>
      </c>
      <c r="C1671" s="49" t="s">
        <v>6408</v>
      </c>
      <c r="D1671" s="53" t="s">
        <v>73</v>
      </c>
      <c r="E1671" s="45" t="s">
        <v>6263</v>
      </c>
      <c r="F1671" s="45" t="s">
        <v>4857</v>
      </c>
      <c r="G1671" s="45">
        <v>3</v>
      </c>
      <c r="H1671" s="53" t="s">
        <v>6409</v>
      </c>
      <c r="I1671" s="45">
        <v>365000</v>
      </c>
      <c r="J1671" s="45">
        <v>0</v>
      </c>
      <c r="K1671" s="45">
        <v>22000</v>
      </c>
      <c r="L1671" s="45">
        <v>0</v>
      </c>
      <c r="M1671" s="45">
        <v>0</v>
      </c>
      <c r="N1671" s="45">
        <v>0</v>
      </c>
      <c r="O1671" s="45">
        <v>0</v>
      </c>
      <c r="P1671" s="45">
        <v>0</v>
      </c>
      <c r="Q1671" s="45">
        <v>0</v>
      </c>
      <c r="R1671" s="45">
        <v>0</v>
      </c>
      <c r="S1671" s="45">
        <v>0</v>
      </c>
      <c r="T1671" s="45">
        <v>0</v>
      </c>
      <c r="U1671" s="45">
        <v>1397</v>
      </c>
      <c r="V1671" s="45">
        <v>0</v>
      </c>
      <c r="W1671" s="45">
        <v>0</v>
      </c>
      <c r="X1671" s="45">
        <v>0</v>
      </c>
      <c r="Y1671" s="45">
        <v>0</v>
      </c>
      <c r="Z1671" s="45">
        <v>0</v>
      </c>
      <c r="AA1671" s="45">
        <v>0</v>
      </c>
      <c r="AB1671" s="45">
        <v>0</v>
      </c>
      <c r="AC1671" s="45">
        <v>0</v>
      </c>
      <c r="AD1671" s="45">
        <v>0</v>
      </c>
      <c r="AE1671" s="45">
        <v>0</v>
      </c>
      <c r="AF1671" s="45">
        <v>0</v>
      </c>
      <c r="AG1671" s="45">
        <v>0</v>
      </c>
      <c r="AH1671" s="45">
        <v>0</v>
      </c>
      <c r="AI1671" s="45">
        <v>0</v>
      </c>
      <c r="AJ1671" s="45">
        <v>0</v>
      </c>
      <c r="AK1671" s="45">
        <v>0</v>
      </c>
      <c r="AL1671" s="45">
        <v>0</v>
      </c>
      <c r="AM1671" s="57" t="str">
        <f>I1671-J1671-K1671-L1671-M1671-N1671-O1671-P1671-Q1671-R1671-S1671-T1671-U1671-V1671-W1671-X1671-Y1671-Z1671-AA1671-AB1671-AC1671-AD1671-AE1671-AF1671-AG1671+AH1671-AI1671+AJ1671+AK1671-AL1671</f>
        <v>0</v>
      </c>
      <c r="AN1671" s="45"/>
    </row>
    <row r="1672" spans="1:41">
      <c r="A1672" s="45">
        <v>1644</v>
      </c>
      <c r="B1672" s="45" t="s">
        <v>6410</v>
      </c>
      <c r="C1672" s="49" t="s">
        <v>6411</v>
      </c>
      <c r="D1672" s="53" t="s">
        <v>73</v>
      </c>
      <c r="E1672" s="45" t="s">
        <v>6263</v>
      </c>
      <c r="F1672" s="45" t="s">
        <v>6412</v>
      </c>
      <c r="G1672" s="45">
        <v>2</v>
      </c>
      <c r="H1672" s="53" t="s">
        <v>6230</v>
      </c>
      <c r="I1672" s="45">
        <v>165000</v>
      </c>
      <c r="J1672" s="45">
        <v>0</v>
      </c>
      <c r="K1672" s="45">
        <v>22000</v>
      </c>
      <c r="L1672" s="45">
        <v>0</v>
      </c>
      <c r="M1672" s="45">
        <v>0</v>
      </c>
      <c r="N1672" s="45">
        <v>0</v>
      </c>
      <c r="O1672" s="45">
        <v>0</v>
      </c>
      <c r="P1672" s="45">
        <v>0</v>
      </c>
      <c r="Q1672" s="45">
        <v>0</v>
      </c>
      <c r="R1672" s="45">
        <v>0</v>
      </c>
      <c r="S1672" s="45">
        <v>0</v>
      </c>
      <c r="T1672" s="45">
        <v>0</v>
      </c>
      <c r="U1672" s="45">
        <v>1397</v>
      </c>
      <c r="V1672" s="45">
        <v>0</v>
      </c>
      <c r="W1672" s="45">
        <v>0</v>
      </c>
      <c r="X1672" s="45">
        <v>0</v>
      </c>
      <c r="Y1672" s="45">
        <v>0</v>
      </c>
      <c r="Z1672" s="45">
        <v>0</v>
      </c>
      <c r="AA1672" s="45">
        <v>0</v>
      </c>
      <c r="AB1672" s="45">
        <v>0</v>
      </c>
      <c r="AC1672" s="45">
        <v>0</v>
      </c>
      <c r="AD1672" s="45">
        <v>0</v>
      </c>
      <c r="AE1672" s="45">
        <v>0</v>
      </c>
      <c r="AF1672" s="45">
        <v>0</v>
      </c>
      <c r="AG1672" s="45">
        <v>0</v>
      </c>
      <c r="AH1672" s="45">
        <v>0</v>
      </c>
      <c r="AI1672" s="45">
        <v>0</v>
      </c>
      <c r="AJ1672" s="45">
        <v>0</v>
      </c>
      <c r="AK1672" s="45">
        <v>0</v>
      </c>
      <c r="AL1672" s="45">
        <v>0</v>
      </c>
      <c r="AM1672" s="57" t="str">
        <f>I1672-J1672-K1672-L1672-M1672-N1672-O1672-P1672-Q1672-R1672-S1672-T1672-U1672-V1672-W1672-X1672-Y1672-Z1672-AA1672-AB1672-AC1672-AD1672-AE1672-AF1672-AG1672+AH1672-AI1672+AJ1672+AK1672-AL1672</f>
        <v>0</v>
      </c>
      <c r="AN1672" s="45"/>
    </row>
    <row r="1673" spans="1:41">
      <c r="A1673" s="45">
        <v>1645</v>
      </c>
      <c r="B1673" s="45" t="s">
        <v>6413</v>
      </c>
      <c r="C1673" s="49" t="s">
        <v>6414</v>
      </c>
      <c r="D1673" s="53" t="s">
        <v>73</v>
      </c>
      <c r="E1673" s="45" t="s">
        <v>6263</v>
      </c>
      <c r="F1673" s="45" t="s">
        <v>6415</v>
      </c>
      <c r="G1673" s="45">
        <v>3</v>
      </c>
      <c r="H1673" s="53" t="s">
        <v>6416</v>
      </c>
      <c r="I1673" s="45">
        <v>524000</v>
      </c>
      <c r="J1673" s="45">
        <v>0</v>
      </c>
      <c r="K1673" s="45">
        <v>22000</v>
      </c>
      <c r="L1673" s="45">
        <v>0</v>
      </c>
      <c r="M1673" s="45">
        <v>0</v>
      </c>
      <c r="N1673" s="45">
        <v>0</v>
      </c>
      <c r="O1673" s="45">
        <v>0</v>
      </c>
      <c r="P1673" s="45">
        <v>0</v>
      </c>
      <c r="Q1673" s="45">
        <v>0</v>
      </c>
      <c r="R1673" s="45">
        <v>0</v>
      </c>
      <c r="S1673" s="45">
        <v>0</v>
      </c>
      <c r="T1673" s="45">
        <v>0</v>
      </c>
      <c r="U1673" s="45">
        <v>1397</v>
      </c>
      <c r="V1673" s="45">
        <v>0</v>
      </c>
      <c r="W1673" s="45">
        <v>0</v>
      </c>
      <c r="X1673" s="45">
        <v>0</v>
      </c>
      <c r="Y1673" s="45">
        <v>0</v>
      </c>
      <c r="Z1673" s="45">
        <v>0</v>
      </c>
      <c r="AA1673" s="45">
        <v>0</v>
      </c>
      <c r="AB1673" s="45">
        <v>0</v>
      </c>
      <c r="AC1673" s="45">
        <v>0</v>
      </c>
      <c r="AD1673" s="45">
        <v>0</v>
      </c>
      <c r="AE1673" s="45">
        <v>0</v>
      </c>
      <c r="AF1673" s="45">
        <v>0</v>
      </c>
      <c r="AG1673" s="45">
        <v>0</v>
      </c>
      <c r="AH1673" s="45">
        <v>0</v>
      </c>
      <c r="AI1673" s="45">
        <v>0</v>
      </c>
      <c r="AJ1673" s="45">
        <v>0</v>
      </c>
      <c r="AK1673" s="45">
        <v>0</v>
      </c>
      <c r="AL1673" s="45">
        <v>0</v>
      </c>
      <c r="AM1673" s="57" t="str">
        <f>I1673-J1673-K1673-L1673-M1673-N1673-O1673-P1673-Q1673-R1673-S1673-T1673-U1673-V1673-W1673-X1673-Y1673-Z1673-AA1673-AB1673-AC1673-AD1673-AE1673-AF1673-AG1673+AH1673-AI1673+AJ1673+AK1673-AL1673</f>
        <v>0</v>
      </c>
      <c r="AN1673" s="45"/>
    </row>
    <row r="1674" spans="1:41">
      <c r="A1674" s="45">
        <v>1646</v>
      </c>
      <c r="B1674" s="45" t="s">
        <v>6417</v>
      </c>
      <c r="C1674" s="49" t="s">
        <v>6418</v>
      </c>
      <c r="D1674" s="53" t="s">
        <v>73</v>
      </c>
      <c r="E1674" s="45" t="s">
        <v>6263</v>
      </c>
      <c r="F1674" s="45" t="s">
        <v>6419</v>
      </c>
      <c r="G1674" s="45">
        <v>3</v>
      </c>
      <c r="H1674" s="53" t="s">
        <v>6420</v>
      </c>
      <c r="I1674" s="45">
        <v>560000</v>
      </c>
      <c r="J1674" s="45">
        <v>0</v>
      </c>
      <c r="K1674" s="45">
        <v>22000</v>
      </c>
      <c r="L1674" s="45">
        <v>0</v>
      </c>
      <c r="M1674" s="45">
        <v>0</v>
      </c>
      <c r="N1674" s="45">
        <v>0</v>
      </c>
      <c r="O1674" s="45">
        <v>0</v>
      </c>
      <c r="P1674" s="45">
        <v>0</v>
      </c>
      <c r="Q1674" s="45">
        <v>0</v>
      </c>
      <c r="R1674" s="45">
        <v>0</v>
      </c>
      <c r="S1674" s="45">
        <v>0</v>
      </c>
      <c r="T1674" s="45">
        <v>0</v>
      </c>
      <c r="U1674" s="45">
        <v>1397</v>
      </c>
      <c r="V1674" s="45">
        <v>0</v>
      </c>
      <c r="W1674" s="45">
        <v>0</v>
      </c>
      <c r="X1674" s="45">
        <v>0</v>
      </c>
      <c r="Y1674" s="45">
        <v>0</v>
      </c>
      <c r="Z1674" s="45">
        <v>0</v>
      </c>
      <c r="AA1674" s="45">
        <v>0</v>
      </c>
      <c r="AB1674" s="45">
        <v>0</v>
      </c>
      <c r="AC1674" s="45">
        <v>0</v>
      </c>
      <c r="AD1674" s="45">
        <v>0</v>
      </c>
      <c r="AE1674" s="45">
        <v>0</v>
      </c>
      <c r="AF1674" s="45">
        <v>0</v>
      </c>
      <c r="AG1674" s="45">
        <v>0</v>
      </c>
      <c r="AH1674" s="45">
        <v>0</v>
      </c>
      <c r="AI1674" s="45">
        <v>0</v>
      </c>
      <c r="AJ1674" s="45">
        <v>0</v>
      </c>
      <c r="AK1674" s="45">
        <v>0</v>
      </c>
      <c r="AL1674" s="45">
        <v>0</v>
      </c>
      <c r="AM1674" s="57" t="str">
        <f>I1674-J1674-K1674-L1674-M1674-N1674-O1674-P1674-Q1674-R1674-S1674-T1674-U1674-V1674-W1674-X1674-Y1674-Z1674-AA1674-AB1674-AC1674-AD1674-AE1674-AF1674-AG1674+AH1674-AI1674+AJ1674+AK1674-AL1674</f>
        <v>0</v>
      </c>
      <c r="AN1674" s="45"/>
    </row>
    <row r="1675" spans="1:41">
      <c r="A1675" s="45">
        <v>1647</v>
      </c>
      <c r="B1675" s="45" t="s">
        <v>6421</v>
      </c>
      <c r="C1675" s="49" t="s">
        <v>6422</v>
      </c>
      <c r="D1675" s="53" t="s">
        <v>73</v>
      </c>
      <c r="E1675" s="45" t="s">
        <v>6263</v>
      </c>
      <c r="F1675" s="45" t="s">
        <v>6323</v>
      </c>
      <c r="G1675" s="45">
        <v>3</v>
      </c>
      <c r="H1675" s="53" t="s">
        <v>6423</v>
      </c>
      <c r="I1675" s="45">
        <v>434000</v>
      </c>
      <c r="J1675" s="45">
        <v>0</v>
      </c>
      <c r="K1675" s="45">
        <v>22000</v>
      </c>
      <c r="L1675" s="45">
        <v>0</v>
      </c>
      <c r="M1675" s="45">
        <v>0</v>
      </c>
      <c r="N1675" s="45">
        <v>0</v>
      </c>
      <c r="O1675" s="45">
        <v>0</v>
      </c>
      <c r="P1675" s="45">
        <v>0</v>
      </c>
      <c r="Q1675" s="45">
        <v>0</v>
      </c>
      <c r="R1675" s="45">
        <v>0</v>
      </c>
      <c r="S1675" s="45">
        <v>0</v>
      </c>
      <c r="T1675" s="45">
        <v>0</v>
      </c>
      <c r="U1675" s="45">
        <v>1397</v>
      </c>
      <c r="V1675" s="45">
        <v>0</v>
      </c>
      <c r="W1675" s="45">
        <v>0</v>
      </c>
      <c r="X1675" s="45">
        <v>0</v>
      </c>
      <c r="Y1675" s="45">
        <v>0</v>
      </c>
      <c r="Z1675" s="45">
        <v>0</v>
      </c>
      <c r="AA1675" s="45">
        <v>0</v>
      </c>
      <c r="AB1675" s="45">
        <v>0</v>
      </c>
      <c r="AC1675" s="45">
        <v>0</v>
      </c>
      <c r="AD1675" s="45">
        <v>0</v>
      </c>
      <c r="AE1675" s="45">
        <v>0</v>
      </c>
      <c r="AF1675" s="45">
        <v>0</v>
      </c>
      <c r="AG1675" s="45">
        <v>0</v>
      </c>
      <c r="AH1675" s="45">
        <v>0</v>
      </c>
      <c r="AI1675" s="45">
        <v>0</v>
      </c>
      <c r="AJ1675" s="45">
        <v>0</v>
      </c>
      <c r="AK1675" s="45">
        <v>0</v>
      </c>
      <c r="AL1675" s="45">
        <v>0</v>
      </c>
      <c r="AM1675" s="57" t="str">
        <f>I1675-J1675-K1675-L1675-M1675-N1675-O1675-P1675-Q1675-R1675-S1675-T1675-U1675-V1675-W1675-X1675-Y1675-Z1675-AA1675-AB1675-AC1675-AD1675-AE1675-AF1675-AG1675+AH1675-AI1675+AJ1675+AK1675-AL1675</f>
        <v>0</v>
      </c>
      <c r="AN1675" s="45"/>
    </row>
    <row r="1676" spans="1:41">
      <c r="A1676" s="45">
        <v>1648</v>
      </c>
      <c r="B1676" s="45" t="s">
        <v>6424</v>
      </c>
      <c r="C1676" s="49" t="s">
        <v>6425</v>
      </c>
      <c r="D1676" s="53" t="s">
        <v>73</v>
      </c>
      <c r="E1676" s="45" t="s">
        <v>6263</v>
      </c>
      <c r="F1676" s="45" t="s">
        <v>6426</v>
      </c>
      <c r="G1676" s="45">
        <v>9</v>
      </c>
      <c r="H1676" s="53" t="s">
        <v>6427</v>
      </c>
      <c r="I1676" s="45">
        <v>320000</v>
      </c>
      <c r="J1676" s="45">
        <v>0</v>
      </c>
      <c r="K1676" s="45">
        <v>40000</v>
      </c>
      <c r="L1676" s="45">
        <v>0</v>
      </c>
      <c r="M1676" s="45">
        <v>0</v>
      </c>
      <c r="N1676" s="45">
        <v>0</v>
      </c>
      <c r="O1676" s="45">
        <v>0</v>
      </c>
      <c r="P1676" s="45">
        <v>0</v>
      </c>
      <c r="Q1676" s="45">
        <v>0</v>
      </c>
      <c r="R1676" s="45">
        <v>0</v>
      </c>
      <c r="S1676" s="45">
        <v>0</v>
      </c>
      <c r="T1676" s="45">
        <v>0</v>
      </c>
      <c r="U1676" s="45">
        <v>2540</v>
      </c>
      <c r="V1676" s="45">
        <v>0</v>
      </c>
      <c r="W1676" s="45">
        <v>0</v>
      </c>
      <c r="X1676" s="45">
        <v>0</v>
      </c>
      <c r="Y1676" s="45">
        <v>20000</v>
      </c>
      <c r="Z1676" s="45">
        <v>0</v>
      </c>
      <c r="AA1676" s="45">
        <v>0</v>
      </c>
      <c r="AB1676" s="45">
        <v>0</v>
      </c>
      <c r="AC1676" s="45">
        <v>0</v>
      </c>
      <c r="AD1676" s="45">
        <v>0</v>
      </c>
      <c r="AE1676" s="45">
        <v>0</v>
      </c>
      <c r="AF1676" s="45">
        <v>0</v>
      </c>
      <c r="AG1676" s="45">
        <v>0</v>
      </c>
      <c r="AH1676" s="45">
        <v>0</v>
      </c>
      <c r="AI1676" s="45">
        <v>0</v>
      </c>
      <c r="AJ1676" s="45">
        <v>0</v>
      </c>
      <c r="AK1676" s="45">
        <v>0</v>
      </c>
      <c r="AL1676" s="45">
        <v>0</v>
      </c>
      <c r="AM1676" s="57" t="str">
        <f>I1676-J1676-K1676-L1676-M1676-N1676-O1676-P1676-Q1676-R1676-S1676-T1676-U1676-V1676-W1676-X1676-Y1676-Z1676-AA1676-AB1676-AC1676-AD1676-AE1676-AF1676-AG1676+AH1676-AI1676+AJ1676+AK1676-AL1676</f>
        <v>0</v>
      </c>
      <c r="AN1676" s="45"/>
    </row>
    <row r="1677" spans="1:41">
      <c r="A1677" s="45">
        <v>1649</v>
      </c>
      <c r="B1677" s="45" t="s">
        <v>6428</v>
      </c>
      <c r="C1677" s="49" t="s">
        <v>6429</v>
      </c>
      <c r="D1677" s="53" t="s">
        <v>73</v>
      </c>
      <c r="E1677" s="45" t="s">
        <v>6263</v>
      </c>
      <c r="F1677" s="45" t="s">
        <v>6018</v>
      </c>
      <c r="G1677" s="45">
        <v>4</v>
      </c>
      <c r="H1677" s="53" t="s">
        <v>6430</v>
      </c>
      <c r="I1677" s="45">
        <v>650000</v>
      </c>
      <c r="J1677" s="45">
        <v>0</v>
      </c>
      <c r="K1677" s="45">
        <v>25000</v>
      </c>
      <c r="L1677" s="45">
        <v>0</v>
      </c>
      <c r="M1677" s="45">
        <v>0</v>
      </c>
      <c r="N1677" s="45">
        <v>0</v>
      </c>
      <c r="O1677" s="45">
        <v>0</v>
      </c>
      <c r="P1677" s="45">
        <v>0</v>
      </c>
      <c r="Q1677" s="45">
        <v>0</v>
      </c>
      <c r="R1677" s="45">
        <v>0</v>
      </c>
      <c r="S1677" s="45">
        <v>0</v>
      </c>
      <c r="T1677" s="45">
        <v>0</v>
      </c>
      <c r="U1677" s="45">
        <v>1587</v>
      </c>
      <c r="V1677" s="45">
        <v>0</v>
      </c>
      <c r="W1677" s="45">
        <v>0</v>
      </c>
      <c r="X1677" s="45">
        <v>0</v>
      </c>
      <c r="Y1677" s="45">
        <v>0</v>
      </c>
      <c r="Z1677" s="45">
        <v>0</v>
      </c>
      <c r="AA1677" s="45">
        <v>0</v>
      </c>
      <c r="AB1677" s="45">
        <v>0</v>
      </c>
      <c r="AC1677" s="45">
        <v>0</v>
      </c>
      <c r="AD1677" s="45">
        <v>0</v>
      </c>
      <c r="AE1677" s="45">
        <v>0</v>
      </c>
      <c r="AF1677" s="45">
        <v>0</v>
      </c>
      <c r="AG1677" s="45">
        <v>0</v>
      </c>
      <c r="AH1677" s="45">
        <v>0</v>
      </c>
      <c r="AI1677" s="45">
        <v>0</v>
      </c>
      <c r="AJ1677" s="45">
        <v>0</v>
      </c>
      <c r="AK1677" s="45">
        <v>0</v>
      </c>
      <c r="AL1677" s="45">
        <v>0</v>
      </c>
      <c r="AM1677" s="57" t="str">
        <f>I1677-J1677-K1677-L1677-M1677-N1677-O1677-P1677-Q1677-R1677-S1677-T1677-U1677-V1677-W1677-X1677-Y1677-Z1677-AA1677-AB1677-AC1677-AD1677-AE1677-AF1677-AG1677+AH1677-AI1677+AJ1677+AK1677-AL1677</f>
        <v>0</v>
      </c>
      <c r="AN1677" s="45"/>
    </row>
    <row r="1678" spans="1:41">
      <c r="A1678" s="45">
        <v>1650</v>
      </c>
      <c r="B1678" s="45" t="s">
        <v>6431</v>
      </c>
      <c r="C1678" s="49" t="s">
        <v>6432</v>
      </c>
      <c r="D1678" s="53" t="s">
        <v>73</v>
      </c>
      <c r="E1678" s="45" t="s">
        <v>6263</v>
      </c>
      <c r="F1678" s="45" t="s">
        <v>6433</v>
      </c>
      <c r="G1678" s="45">
        <v>2</v>
      </c>
      <c r="H1678" s="53" t="s">
        <v>6434</v>
      </c>
      <c r="I1678" s="45">
        <v>339000</v>
      </c>
      <c r="J1678" s="45">
        <v>0</v>
      </c>
      <c r="K1678" s="45">
        <v>22000</v>
      </c>
      <c r="L1678" s="45">
        <v>0</v>
      </c>
      <c r="M1678" s="45">
        <v>0</v>
      </c>
      <c r="N1678" s="45">
        <v>0</v>
      </c>
      <c r="O1678" s="45">
        <v>0</v>
      </c>
      <c r="P1678" s="45">
        <v>0</v>
      </c>
      <c r="Q1678" s="45">
        <v>0</v>
      </c>
      <c r="R1678" s="45">
        <v>0</v>
      </c>
      <c r="S1678" s="45">
        <v>0</v>
      </c>
      <c r="T1678" s="45">
        <v>0</v>
      </c>
      <c r="U1678" s="45">
        <v>1397</v>
      </c>
      <c r="V1678" s="45">
        <v>0</v>
      </c>
      <c r="W1678" s="45">
        <v>0</v>
      </c>
      <c r="X1678" s="45">
        <v>0</v>
      </c>
      <c r="Y1678" s="45">
        <v>0</v>
      </c>
      <c r="Z1678" s="45">
        <v>0</v>
      </c>
      <c r="AA1678" s="45">
        <v>0</v>
      </c>
      <c r="AB1678" s="45">
        <v>0</v>
      </c>
      <c r="AC1678" s="45">
        <v>0</v>
      </c>
      <c r="AD1678" s="45">
        <v>0</v>
      </c>
      <c r="AE1678" s="45">
        <v>0</v>
      </c>
      <c r="AF1678" s="45">
        <v>0</v>
      </c>
      <c r="AG1678" s="45">
        <v>0</v>
      </c>
      <c r="AH1678" s="45">
        <v>0</v>
      </c>
      <c r="AI1678" s="45">
        <v>0</v>
      </c>
      <c r="AJ1678" s="45">
        <v>0</v>
      </c>
      <c r="AK1678" s="45">
        <v>0</v>
      </c>
      <c r="AL1678" s="45">
        <v>0</v>
      </c>
      <c r="AM1678" s="57" t="str">
        <f>I1678-J1678-K1678-L1678-M1678-N1678-O1678-P1678-Q1678-R1678-S1678-T1678-U1678-V1678-W1678-X1678-Y1678-Z1678-AA1678-AB1678-AC1678-AD1678-AE1678-AF1678-AG1678+AH1678-AI1678+AJ1678+AK1678-AL1678</f>
        <v>0</v>
      </c>
      <c r="AN1678" s="45"/>
    </row>
    <row r="1679" spans="1:41">
      <c r="A1679" s="45">
        <v>1651</v>
      </c>
      <c r="B1679" s="45" t="s">
        <v>6435</v>
      </c>
      <c r="C1679" s="49" t="s">
        <v>6436</v>
      </c>
      <c r="D1679" s="53" t="s">
        <v>73</v>
      </c>
      <c r="E1679" s="45" t="s">
        <v>6263</v>
      </c>
      <c r="F1679" s="45" t="s">
        <v>5543</v>
      </c>
      <c r="G1679" s="45">
        <v>3</v>
      </c>
      <c r="H1679" s="53" t="s">
        <v>6437</v>
      </c>
      <c r="I1679" s="45">
        <v>784000</v>
      </c>
      <c r="J1679" s="45">
        <v>0</v>
      </c>
      <c r="K1679" s="45">
        <v>22000</v>
      </c>
      <c r="L1679" s="45">
        <v>0</v>
      </c>
      <c r="M1679" s="45">
        <v>0</v>
      </c>
      <c r="N1679" s="45">
        <v>0</v>
      </c>
      <c r="O1679" s="45">
        <v>0</v>
      </c>
      <c r="P1679" s="45">
        <v>0</v>
      </c>
      <c r="Q1679" s="45">
        <v>0</v>
      </c>
      <c r="R1679" s="45">
        <v>0</v>
      </c>
      <c r="S1679" s="45">
        <v>0</v>
      </c>
      <c r="T1679" s="45">
        <v>0</v>
      </c>
      <c r="U1679" s="45">
        <v>1397</v>
      </c>
      <c r="V1679" s="45">
        <v>0</v>
      </c>
      <c r="W1679" s="45">
        <v>0</v>
      </c>
      <c r="X1679" s="45">
        <v>0</v>
      </c>
      <c r="Y1679" s="45">
        <v>0</v>
      </c>
      <c r="Z1679" s="45">
        <v>0</v>
      </c>
      <c r="AA1679" s="45">
        <v>0</v>
      </c>
      <c r="AB1679" s="45">
        <v>0</v>
      </c>
      <c r="AC1679" s="45">
        <v>0</v>
      </c>
      <c r="AD1679" s="45">
        <v>0</v>
      </c>
      <c r="AE1679" s="45">
        <v>0</v>
      </c>
      <c r="AF1679" s="45">
        <v>0</v>
      </c>
      <c r="AG1679" s="45">
        <v>0</v>
      </c>
      <c r="AH1679" s="45">
        <v>0</v>
      </c>
      <c r="AI1679" s="45">
        <v>0</v>
      </c>
      <c r="AJ1679" s="45">
        <v>0</v>
      </c>
      <c r="AK1679" s="45">
        <v>0</v>
      </c>
      <c r="AL1679" s="45">
        <v>0</v>
      </c>
      <c r="AM1679" s="57" t="str">
        <f>I1679-J1679-K1679-L1679-M1679-N1679-O1679-P1679-Q1679-R1679-S1679-T1679-U1679-V1679-W1679-X1679-Y1679-Z1679-AA1679-AB1679-AC1679-AD1679-AE1679-AF1679-AG1679+AH1679-AI1679+AJ1679+AK1679-AL1679</f>
        <v>0</v>
      </c>
      <c r="AN1679" s="45"/>
    </row>
    <row r="1680" spans="1:41">
      <c r="A1680" s="45">
        <v>1652</v>
      </c>
      <c r="B1680" s="45" t="s">
        <v>6438</v>
      </c>
      <c r="C1680" s="49" t="s">
        <v>6439</v>
      </c>
      <c r="D1680" s="53" t="s">
        <v>73</v>
      </c>
      <c r="E1680" s="45" t="s">
        <v>6263</v>
      </c>
      <c r="F1680" s="45" t="s">
        <v>5710</v>
      </c>
      <c r="G1680" s="45">
        <v>8</v>
      </c>
      <c r="H1680" s="53" t="s">
        <v>6440</v>
      </c>
      <c r="I1680" s="45">
        <v>1650000</v>
      </c>
      <c r="J1680" s="45">
        <v>0</v>
      </c>
      <c r="K1680" s="45">
        <v>39000</v>
      </c>
      <c r="L1680" s="45">
        <v>0</v>
      </c>
      <c r="M1680" s="45">
        <v>0</v>
      </c>
      <c r="N1680" s="45">
        <v>0</v>
      </c>
      <c r="O1680" s="45">
        <v>0</v>
      </c>
      <c r="P1680" s="45">
        <v>0</v>
      </c>
      <c r="Q1680" s="45">
        <v>0</v>
      </c>
      <c r="R1680" s="45">
        <v>0</v>
      </c>
      <c r="S1680" s="45">
        <v>0</v>
      </c>
      <c r="T1680" s="45">
        <v>0</v>
      </c>
      <c r="U1680" s="45">
        <v>2476</v>
      </c>
      <c r="V1680" s="45">
        <v>0</v>
      </c>
      <c r="W1680" s="45">
        <v>0</v>
      </c>
      <c r="X1680" s="45">
        <v>0</v>
      </c>
      <c r="Y1680" s="45">
        <v>0</v>
      </c>
      <c r="Z1680" s="45">
        <v>0</v>
      </c>
      <c r="AA1680" s="45">
        <v>0</v>
      </c>
      <c r="AB1680" s="45">
        <v>0</v>
      </c>
      <c r="AC1680" s="45">
        <v>0</v>
      </c>
      <c r="AD1680" s="45">
        <v>0</v>
      </c>
      <c r="AE1680" s="45">
        <v>0</v>
      </c>
      <c r="AF1680" s="45">
        <v>0</v>
      </c>
      <c r="AG1680" s="45">
        <v>0</v>
      </c>
      <c r="AH1680" s="45">
        <v>0</v>
      </c>
      <c r="AI1680" s="45">
        <v>0</v>
      </c>
      <c r="AJ1680" s="45">
        <v>0</v>
      </c>
      <c r="AK1680" s="45">
        <v>0</v>
      </c>
      <c r="AL1680" s="45">
        <v>0</v>
      </c>
      <c r="AM1680" s="57" t="str">
        <f>I1680-J1680-K1680-L1680-M1680-N1680-O1680-P1680-Q1680-R1680-S1680-T1680-U1680-V1680-W1680-X1680-Y1680-Z1680-AA1680-AB1680-AC1680-AD1680-AE1680-AF1680-AG1680+AH1680-AI1680+AJ1680+AK1680-AL1680</f>
        <v>0</v>
      </c>
      <c r="AN1680" s="45"/>
    </row>
    <row r="1681" spans="1:41">
      <c r="A1681" s="45">
        <v>1653</v>
      </c>
      <c r="B1681" s="45" t="s">
        <v>6441</v>
      </c>
      <c r="C1681" s="49" t="s">
        <v>6442</v>
      </c>
      <c r="D1681" s="53" t="s">
        <v>73</v>
      </c>
      <c r="E1681" s="45" t="s">
        <v>6263</v>
      </c>
      <c r="F1681" s="45" t="s">
        <v>6443</v>
      </c>
      <c r="G1681" s="45">
        <v>8</v>
      </c>
      <c r="H1681" s="53" t="s">
        <v>6444</v>
      </c>
      <c r="I1681" s="45">
        <v>295000</v>
      </c>
      <c r="J1681" s="45">
        <v>0</v>
      </c>
      <c r="K1681" s="45">
        <v>39000</v>
      </c>
      <c r="L1681" s="45">
        <v>0</v>
      </c>
      <c r="M1681" s="45">
        <v>0</v>
      </c>
      <c r="N1681" s="45">
        <v>0</v>
      </c>
      <c r="O1681" s="45">
        <v>0</v>
      </c>
      <c r="P1681" s="45">
        <v>0</v>
      </c>
      <c r="Q1681" s="45">
        <v>0</v>
      </c>
      <c r="R1681" s="45">
        <v>0</v>
      </c>
      <c r="S1681" s="45">
        <v>0</v>
      </c>
      <c r="T1681" s="45">
        <v>0</v>
      </c>
      <c r="U1681" s="45">
        <v>2476</v>
      </c>
      <c r="V1681" s="45">
        <v>0</v>
      </c>
      <c r="W1681" s="45">
        <v>0</v>
      </c>
      <c r="X1681" s="45">
        <v>0</v>
      </c>
      <c r="Y1681" s="45">
        <v>0</v>
      </c>
      <c r="Z1681" s="45">
        <v>0</v>
      </c>
      <c r="AA1681" s="45">
        <v>0</v>
      </c>
      <c r="AB1681" s="45">
        <v>0</v>
      </c>
      <c r="AC1681" s="45">
        <v>0</v>
      </c>
      <c r="AD1681" s="45">
        <v>0</v>
      </c>
      <c r="AE1681" s="45">
        <v>0</v>
      </c>
      <c r="AF1681" s="45">
        <v>0</v>
      </c>
      <c r="AG1681" s="45">
        <v>0</v>
      </c>
      <c r="AH1681" s="45">
        <v>0</v>
      </c>
      <c r="AI1681" s="45">
        <v>0</v>
      </c>
      <c r="AJ1681" s="45">
        <v>0</v>
      </c>
      <c r="AK1681" s="45">
        <v>0</v>
      </c>
      <c r="AL1681" s="45">
        <v>0</v>
      </c>
      <c r="AM1681" s="57" t="str">
        <f>I1681-J1681-K1681-L1681-M1681-N1681-O1681-P1681-Q1681-R1681-S1681-T1681-U1681-V1681-W1681-X1681-Y1681-Z1681-AA1681-AB1681-AC1681-AD1681-AE1681-AF1681-AG1681+AH1681-AI1681+AJ1681+AK1681-AL1681</f>
        <v>0</v>
      </c>
      <c r="AN1681" s="45"/>
    </row>
    <row r="1682" spans="1:41">
      <c r="A1682" s="45">
        <v>1654</v>
      </c>
      <c r="B1682" s="45" t="s">
        <v>6445</v>
      </c>
      <c r="C1682" s="49" t="s">
        <v>6446</v>
      </c>
      <c r="D1682" s="53" t="s">
        <v>73</v>
      </c>
      <c r="E1682" s="45" t="s">
        <v>6263</v>
      </c>
      <c r="F1682" s="45" t="s">
        <v>6447</v>
      </c>
      <c r="G1682" s="45">
        <v>6</v>
      </c>
      <c r="H1682" s="53" t="s">
        <v>6448</v>
      </c>
      <c r="I1682" s="45">
        <v>1720000</v>
      </c>
      <c r="J1682" s="45">
        <v>0</v>
      </c>
      <c r="K1682" s="45">
        <v>31000</v>
      </c>
      <c r="L1682" s="45">
        <v>0</v>
      </c>
      <c r="M1682" s="45">
        <v>0</v>
      </c>
      <c r="N1682" s="45">
        <v>0</v>
      </c>
      <c r="O1682" s="45">
        <v>0</v>
      </c>
      <c r="P1682" s="45">
        <v>0</v>
      </c>
      <c r="Q1682" s="45">
        <v>0</v>
      </c>
      <c r="R1682" s="45">
        <v>0</v>
      </c>
      <c r="S1682" s="45">
        <v>0</v>
      </c>
      <c r="T1682" s="45">
        <v>0</v>
      </c>
      <c r="U1682" s="45">
        <v>1968</v>
      </c>
      <c r="V1682" s="45">
        <v>0</v>
      </c>
      <c r="W1682" s="45">
        <v>0</v>
      </c>
      <c r="X1682" s="45">
        <v>0</v>
      </c>
      <c r="Y1682" s="45">
        <v>0</v>
      </c>
      <c r="Z1682" s="45">
        <v>0</v>
      </c>
      <c r="AA1682" s="45">
        <v>0</v>
      </c>
      <c r="AB1682" s="45">
        <v>0</v>
      </c>
      <c r="AC1682" s="45">
        <v>0</v>
      </c>
      <c r="AD1682" s="45">
        <v>0</v>
      </c>
      <c r="AE1682" s="45">
        <v>0</v>
      </c>
      <c r="AF1682" s="45">
        <v>0</v>
      </c>
      <c r="AG1682" s="45">
        <v>0</v>
      </c>
      <c r="AH1682" s="45">
        <v>0</v>
      </c>
      <c r="AI1682" s="45">
        <v>0</v>
      </c>
      <c r="AJ1682" s="45">
        <v>0</v>
      </c>
      <c r="AK1682" s="45">
        <v>0</v>
      </c>
      <c r="AL1682" s="45">
        <v>0</v>
      </c>
      <c r="AM1682" s="57" t="str">
        <f>I1682-J1682-K1682-L1682-M1682-N1682-O1682-P1682-Q1682-R1682-S1682-T1682-U1682-V1682-W1682-X1682-Y1682-Z1682-AA1682-AB1682-AC1682-AD1682-AE1682-AF1682-AG1682+AH1682-AI1682+AJ1682+AK1682-AL1682</f>
        <v>0</v>
      </c>
      <c r="AN1682" s="45"/>
    </row>
    <row r="1683" spans="1:41">
      <c r="A1683" s="45">
        <v>1655</v>
      </c>
      <c r="B1683" s="45" t="s">
        <v>6449</v>
      </c>
      <c r="C1683" s="49" t="s">
        <v>6450</v>
      </c>
      <c r="D1683" s="53" t="s">
        <v>73</v>
      </c>
      <c r="E1683" s="45" t="s">
        <v>6451</v>
      </c>
      <c r="F1683" s="45" t="s">
        <v>6452</v>
      </c>
      <c r="G1683" s="45">
        <v>4</v>
      </c>
      <c r="H1683" s="53" t="s">
        <v>6453</v>
      </c>
      <c r="I1683" s="45">
        <v>393000</v>
      </c>
      <c r="J1683" s="45">
        <v>0</v>
      </c>
      <c r="K1683" s="45">
        <v>25000</v>
      </c>
      <c r="L1683" s="45">
        <v>0</v>
      </c>
      <c r="M1683" s="45">
        <v>0</v>
      </c>
      <c r="N1683" s="45">
        <v>0</v>
      </c>
      <c r="O1683" s="45">
        <v>0</v>
      </c>
      <c r="P1683" s="45">
        <v>0</v>
      </c>
      <c r="Q1683" s="45">
        <v>0</v>
      </c>
      <c r="R1683" s="45">
        <v>0</v>
      </c>
      <c r="S1683" s="45">
        <v>0</v>
      </c>
      <c r="T1683" s="45">
        <v>0</v>
      </c>
      <c r="U1683" s="45">
        <v>1587</v>
      </c>
      <c r="V1683" s="45">
        <v>0</v>
      </c>
      <c r="W1683" s="45">
        <v>0</v>
      </c>
      <c r="X1683" s="45">
        <v>0</v>
      </c>
      <c r="Y1683" s="45">
        <v>0</v>
      </c>
      <c r="Z1683" s="45">
        <v>0</v>
      </c>
      <c r="AA1683" s="45">
        <v>0</v>
      </c>
      <c r="AB1683" s="45">
        <v>0</v>
      </c>
      <c r="AC1683" s="45">
        <v>0</v>
      </c>
      <c r="AD1683" s="45">
        <v>0</v>
      </c>
      <c r="AE1683" s="45">
        <v>0</v>
      </c>
      <c r="AF1683" s="45">
        <v>0</v>
      </c>
      <c r="AG1683" s="45">
        <v>0</v>
      </c>
      <c r="AH1683" s="45">
        <v>0</v>
      </c>
      <c r="AI1683" s="45">
        <v>0</v>
      </c>
      <c r="AJ1683" s="45">
        <v>0</v>
      </c>
      <c r="AK1683" s="45">
        <v>0</v>
      </c>
      <c r="AL1683" s="45">
        <v>0</v>
      </c>
      <c r="AM1683" s="57" t="str">
        <f>I1683-J1683-K1683-L1683-M1683-N1683-O1683-P1683-Q1683-R1683-S1683-T1683-U1683-V1683-W1683-X1683-Y1683-Z1683-AA1683-AB1683-AC1683-AD1683-AE1683-AF1683-AG1683+AH1683-AI1683+AJ1683+AK1683-AL1683</f>
        <v>0</v>
      </c>
      <c r="AN1683" s="45"/>
    </row>
    <row r="1684" spans="1:41">
      <c r="A1684" s="45">
        <v>1656</v>
      </c>
      <c r="B1684" s="45" t="s">
        <v>6454</v>
      </c>
      <c r="C1684" s="49" t="s">
        <v>6455</v>
      </c>
      <c r="D1684" s="53" t="s">
        <v>73</v>
      </c>
      <c r="E1684" s="45" t="s">
        <v>6451</v>
      </c>
      <c r="F1684" s="45" t="s">
        <v>3870</v>
      </c>
      <c r="G1684" s="45">
        <v>9</v>
      </c>
      <c r="H1684" s="53" t="s">
        <v>6456</v>
      </c>
      <c r="I1684" s="45">
        <v>2070000</v>
      </c>
      <c r="J1684" s="45">
        <v>0</v>
      </c>
      <c r="K1684" s="45">
        <v>44000</v>
      </c>
      <c r="L1684" s="45">
        <v>0</v>
      </c>
      <c r="M1684" s="45">
        <v>0</v>
      </c>
      <c r="N1684" s="45">
        <v>0</v>
      </c>
      <c r="O1684" s="45">
        <v>0</v>
      </c>
      <c r="P1684" s="45">
        <v>0</v>
      </c>
      <c r="Q1684" s="45">
        <v>0</v>
      </c>
      <c r="R1684" s="45">
        <v>0</v>
      </c>
      <c r="S1684" s="45">
        <v>0</v>
      </c>
      <c r="T1684" s="45">
        <v>0</v>
      </c>
      <c r="U1684" s="45">
        <v>2794</v>
      </c>
      <c r="V1684" s="45">
        <v>0</v>
      </c>
      <c r="W1684" s="45">
        <v>0</v>
      </c>
      <c r="X1684" s="45">
        <v>0</v>
      </c>
      <c r="Y1684" s="45">
        <v>0</v>
      </c>
      <c r="Z1684" s="45">
        <v>0</v>
      </c>
      <c r="AA1684" s="45">
        <v>0</v>
      </c>
      <c r="AB1684" s="45">
        <v>0</v>
      </c>
      <c r="AC1684" s="45">
        <v>0</v>
      </c>
      <c r="AD1684" s="45">
        <v>0</v>
      </c>
      <c r="AE1684" s="45">
        <v>0</v>
      </c>
      <c r="AF1684" s="45">
        <v>0</v>
      </c>
      <c r="AG1684" s="45">
        <v>0</v>
      </c>
      <c r="AH1684" s="45">
        <v>0</v>
      </c>
      <c r="AI1684" s="45">
        <v>0</v>
      </c>
      <c r="AJ1684" s="45">
        <v>0</v>
      </c>
      <c r="AK1684" s="45">
        <v>0</v>
      </c>
      <c r="AL1684" s="45">
        <v>0</v>
      </c>
      <c r="AM1684" s="57" t="str">
        <f>I1684-J1684-K1684-L1684-M1684-N1684-O1684-P1684-Q1684-R1684-S1684-T1684-U1684-V1684-W1684-X1684-Y1684-Z1684-AA1684-AB1684-AC1684-AD1684-AE1684-AF1684-AG1684+AH1684-AI1684+AJ1684+AK1684-AL1684</f>
        <v>0</v>
      </c>
      <c r="AN1684" s="45"/>
    </row>
    <row r="1685" spans="1:41">
      <c r="A1685" s="45">
        <v>1657</v>
      </c>
      <c r="B1685" s="45" t="s">
        <v>6457</v>
      </c>
      <c r="C1685" s="49" t="s">
        <v>6458</v>
      </c>
      <c r="D1685" s="53" t="s">
        <v>73</v>
      </c>
      <c r="E1685" s="45" t="s">
        <v>6451</v>
      </c>
      <c r="F1685" s="45" t="s">
        <v>6459</v>
      </c>
      <c r="G1685" s="45">
        <v>3</v>
      </c>
      <c r="H1685" s="53" t="s">
        <v>6460</v>
      </c>
      <c r="I1685" s="45">
        <v>334000</v>
      </c>
      <c r="J1685" s="45">
        <v>0</v>
      </c>
      <c r="K1685" s="45">
        <v>22000</v>
      </c>
      <c r="L1685" s="45">
        <v>0</v>
      </c>
      <c r="M1685" s="45">
        <v>0</v>
      </c>
      <c r="N1685" s="45">
        <v>0</v>
      </c>
      <c r="O1685" s="45">
        <v>0</v>
      </c>
      <c r="P1685" s="45">
        <v>0</v>
      </c>
      <c r="Q1685" s="45">
        <v>0</v>
      </c>
      <c r="R1685" s="45">
        <v>0</v>
      </c>
      <c r="S1685" s="45">
        <v>0</v>
      </c>
      <c r="T1685" s="45">
        <v>0</v>
      </c>
      <c r="U1685" s="45">
        <v>1397</v>
      </c>
      <c r="V1685" s="45">
        <v>0</v>
      </c>
      <c r="W1685" s="45">
        <v>0</v>
      </c>
      <c r="X1685" s="45">
        <v>0</v>
      </c>
      <c r="Y1685" s="45">
        <v>0</v>
      </c>
      <c r="Z1685" s="45">
        <v>0</v>
      </c>
      <c r="AA1685" s="45">
        <v>0</v>
      </c>
      <c r="AB1685" s="45">
        <v>0</v>
      </c>
      <c r="AC1685" s="45">
        <v>0</v>
      </c>
      <c r="AD1685" s="45">
        <v>0</v>
      </c>
      <c r="AE1685" s="45">
        <v>0</v>
      </c>
      <c r="AF1685" s="45">
        <v>0</v>
      </c>
      <c r="AG1685" s="45">
        <v>0</v>
      </c>
      <c r="AH1685" s="45">
        <v>0</v>
      </c>
      <c r="AI1685" s="45">
        <v>0</v>
      </c>
      <c r="AJ1685" s="45">
        <v>0</v>
      </c>
      <c r="AK1685" s="45">
        <v>0</v>
      </c>
      <c r="AL1685" s="45">
        <v>0</v>
      </c>
      <c r="AM1685" s="57" t="str">
        <f>I1685-J1685-K1685-L1685-M1685-N1685-O1685-P1685-Q1685-R1685-S1685-T1685-U1685-V1685-W1685-X1685-Y1685-Z1685-AA1685-AB1685-AC1685-AD1685-AE1685-AF1685-AG1685+AH1685-AI1685+AJ1685+AK1685-AL1685</f>
        <v>0</v>
      </c>
      <c r="AN1685" s="45"/>
    </row>
    <row r="1686" spans="1:41">
      <c r="A1686" s="45">
        <v>1658</v>
      </c>
      <c r="B1686" s="45" t="s">
        <v>6461</v>
      </c>
      <c r="C1686" s="49" t="s">
        <v>6462</v>
      </c>
      <c r="D1686" s="53" t="s">
        <v>73</v>
      </c>
      <c r="E1686" s="45" t="s">
        <v>6451</v>
      </c>
      <c r="F1686" s="45" t="s">
        <v>6463</v>
      </c>
      <c r="G1686" s="45">
        <v>5.8</v>
      </c>
      <c r="H1686" s="53" t="s">
        <v>6464</v>
      </c>
      <c r="I1686" s="45">
        <v>634000</v>
      </c>
      <c r="J1686" s="45">
        <v>0</v>
      </c>
      <c r="K1686" s="45">
        <v>31000</v>
      </c>
      <c r="L1686" s="45">
        <v>0</v>
      </c>
      <c r="M1686" s="45">
        <v>0</v>
      </c>
      <c r="N1686" s="45">
        <v>0</v>
      </c>
      <c r="O1686" s="45">
        <v>0</v>
      </c>
      <c r="P1686" s="45">
        <v>0</v>
      </c>
      <c r="Q1686" s="45">
        <v>0</v>
      </c>
      <c r="R1686" s="45">
        <v>0</v>
      </c>
      <c r="S1686" s="45">
        <v>0</v>
      </c>
      <c r="T1686" s="45">
        <v>0</v>
      </c>
      <c r="U1686" s="45">
        <v>1968</v>
      </c>
      <c r="V1686" s="45">
        <v>0</v>
      </c>
      <c r="W1686" s="45">
        <v>0</v>
      </c>
      <c r="X1686" s="45">
        <v>0</v>
      </c>
      <c r="Y1686" s="45">
        <v>0</v>
      </c>
      <c r="Z1686" s="45">
        <v>0</v>
      </c>
      <c r="AA1686" s="45">
        <v>0</v>
      </c>
      <c r="AB1686" s="45">
        <v>0</v>
      </c>
      <c r="AC1686" s="45">
        <v>0</v>
      </c>
      <c r="AD1686" s="45">
        <v>0</v>
      </c>
      <c r="AE1686" s="45">
        <v>0</v>
      </c>
      <c r="AF1686" s="45">
        <v>0</v>
      </c>
      <c r="AG1686" s="45">
        <v>0</v>
      </c>
      <c r="AH1686" s="45">
        <v>0</v>
      </c>
      <c r="AI1686" s="45">
        <v>0</v>
      </c>
      <c r="AJ1686" s="45">
        <v>0</v>
      </c>
      <c r="AK1686" s="45">
        <v>0</v>
      </c>
      <c r="AL1686" s="45">
        <v>0</v>
      </c>
      <c r="AM1686" s="57" t="str">
        <f>I1686-J1686-K1686-L1686-M1686-N1686-O1686-P1686-Q1686-R1686-S1686-T1686-U1686-V1686-W1686-X1686-Y1686-Z1686-AA1686-AB1686-AC1686-AD1686-AE1686-AF1686-AG1686+AH1686-AI1686+AJ1686+AK1686-AL1686</f>
        <v>0</v>
      </c>
      <c r="AN1686" s="45"/>
    </row>
    <row r="1687" spans="1:41">
      <c r="A1687" s="45">
        <v>1659</v>
      </c>
      <c r="B1687" s="45" t="s">
        <v>6465</v>
      </c>
      <c r="C1687" s="49" t="s">
        <v>6466</v>
      </c>
      <c r="D1687" s="53" t="s">
        <v>73</v>
      </c>
      <c r="E1687" s="45" t="s">
        <v>6451</v>
      </c>
      <c r="F1687" s="45" t="s">
        <v>2809</v>
      </c>
      <c r="G1687" s="45">
        <v>3</v>
      </c>
      <c r="H1687" s="53" t="s">
        <v>6467</v>
      </c>
      <c r="I1687" s="45">
        <v>585000</v>
      </c>
      <c r="J1687" s="45">
        <v>0</v>
      </c>
      <c r="K1687" s="45">
        <v>22000</v>
      </c>
      <c r="L1687" s="45">
        <v>0</v>
      </c>
      <c r="M1687" s="45">
        <v>0</v>
      </c>
      <c r="N1687" s="45">
        <v>0</v>
      </c>
      <c r="O1687" s="45">
        <v>0</v>
      </c>
      <c r="P1687" s="45">
        <v>0</v>
      </c>
      <c r="Q1687" s="45">
        <v>0</v>
      </c>
      <c r="R1687" s="45">
        <v>0</v>
      </c>
      <c r="S1687" s="45">
        <v>0</v>
      </c>
      <c r="T1687" s="45">
        <v>0</v>
      </c>
      <c r="U1687" s="45">
        <v>1397</v>
      </c>
      <c r="V1687" s="45">
        <v>0</v>
      </c>
      <c r="W1687" s="45">
        <v>0</v>
      </c>
      <c r="X1687" s="45">
        <v>0</v>
      </c>
      <c r="Y1687" s="45">
        <v>0</v>
      </c>
      <c r="Z1687" s="45">
        <v>0</v>
      </c>
      <c r="AA1687" s="45">
        <v>0</v>
      </c>
      <c r="AB1687" s="45">
        <v>0</v>
      </c>
      <c r="AC1687" s="45">
        <v>0</v>
      </c>
      <c r="AD1687" s="45">
        <v>0</v>
      </c>
      <c r="AE1687" s="45">
        <v>0</v>
      </c>
      <c r="AF1687" s="45">
        <v>0</v>
      </c>
      <c r="AG1687" s="45">
        <v>0</v>
      </c>
      <c r="AH1687" s="45">
        <v>0</v>
      </c>
      <c r="AI1687" s="45">
        <v>0</v>
      </c>
      <c r="AJ1687" s="45">
        <v>0</v>
      </c>
      <c r="AK1687" s="45">
        <v>0</v>
      </c>
      <c r="AL1687" s="45">
        <v>0</v>
      </c>
      <c r="AM1687" s="57" t="str">
        <f>I1687-J1687-K1687-L1687-M1687-N1687-O1687-P1687-Q1687-R1687-S1687-T1687-U1687-V1687-W1687-X1687-Y1687-Z1687-AA1687-AB1687-AC1687-AD1687-AE1687-AF1687-AG1687+AH1687-AI1687+AJ1687+AK1687-AL1687</f>
        <v>0</v>
      </c>
      <c r="AN1687" s="45"/>
    </row>
    <row r="1688" spans="1:41">
      <c r="A1688" s="45">
        <v>1660</v>
      </c>
      <c r="B1688" s="45" t="s">
        <v>6468</v>
      </c>
      <c r="C1688" s="49" t="s">
        <v>6469</v>
      </c>
      <c r="D1688" s="53" t="s">
        <v>73</v>
      </c>
      <c r="E1688" s="45" t="s">
        <v>6451</v>
      </c>
      <c r="F1688" s="45" t="s">
        <v>4873</v>
      </c>
      <c r="G1688" s="45">
        <v>6</v>
      </c>
      <c r="H1688" s="53" t="s">
        <v>6470</v>
      </c>
      <c r="I1688" s="45">
        <v>0</v>
      </c>
      <c r="J1688" s="45">
        <v>0</v>
      </c>
      <c r="K1688" s="45">
        <v>31000</v>
      </c>
      <c r="L1688" s="45">
        <v>0</v>
      </c>
      <c r="M1688" s="45">
        <v>0</v>
      </c>
      <c r="N1688" s="45">
        <v>0</v>
      </c>
      <c r="O1688" s="45">
        <v>0</v>
      </c>
      <c r="P1688" s="45">
        <v>0</v>
      </c>
      <c r="Q1688" s="45">
        <v>0</v>
      </c>
      <c r="R1688" s="45">
        <v>0</v>
      </c>
      <c r="S1688" s="45">
        <v>0</v>
      </c>
      <c r="T1688" s="45">
        <v>0</v>
      </c>
      <c r="U1688" s="45">
        <v>1968</v>
      </c>
      <c r="V1688" s="45">
        <v>0</v>
      </c>
      <c r="W1688" s="45">
        <v>0</v>
      </c>
      <c r="X1688" s="45">
        <v>0</v>
      </c>
      <c r="Y1688" s="45">
        <v>0</v>
      </c>
      <c r="Z1688" s="45">
        <v>0</v>
      </c>
      <c r="AA1688" s="45">
        <v>0</v>
      </c>
      <c r="AB1688" s="45">
        <v>0</v>
      </c>
      <c r="AC1688" s="45">
        <v>0</v>
      </c>
      <c r="AD1688" s="45">
        <v>0</v>
      </c>
      <c r="AE1688" s="45">
        <v>0</v>
      </c>
      <c r="AF1688" s="45">
        <v>0</v>
      </c>
      <c r="AG1688" s="45">
        <v>0</v>
      </c>
      <c r="AH1688" s="45">
        <v>0</v>
      </c>
      <c r="AI1688" s="45">
        <v>0</v>
      </c>
      <c r="AJ1688" s="45">
        <v>0</v>
      </c>
      <c r="AK1688" s="45">
        <v>0</v>
      </c>
      <c r="AL1688" s="45">
        <v>0</v>
      </c>
      <c r="AM1688" s="57" t="str">
        <f>I1688-J1688-K1688-L1688-M1688-N1688-O1688-P1688-Q1688-R1688-S1688-T1688-U1688-V1688-W1688-X1688-Y1688-Z1688-AA1688-AB1688-AC1688-AD1688-AE1688-AF1688-AG1688+AH1688-AI1688+AJ1688+AK1688-AL1688</f>
        <v>0</v>
      </c>
      <c r="AN1688" s="45"/>
    </row>
    <row r="1689" spans="1:41">
      <c r="A1689" s="45">
        <v>1661</v>
      </c>
      <c r="B1689" s="45" t="s">
        <v>6471</v>
      </c>
      <c r="C1689" s="49" t="s">
        <v>6472</v>
      </c>
      <c r="D1689" s="53" t="s">
        <v>73</v>
      </c>
      <c r="E1689" s="45" t="s">
        <v>6451</v>
      </c>
      <c r="F1689" s="45" t="s">
        <v>6473</v>
      </c>
      <c r="G1689" s="45">
        <v>2</v>
      </c>
      <c r="H1689" s="53" t="s">
        <v>6474</v>
      </c>
      <c r="I1689" s="45">
        <v>339000</v>
      </c>
      <c r="J1689" s="45">
        <v>0</v>
      </c>
      <c r="K1689" s="45">
        <v>22000</v>
      </c>
      <c r="L1689" s="45">
        <v>0</v>
      </c>
      <c r="M1689" s="45">
        <v>0</v>
      </c>
      <c r="N1689" s="45">
        <v>0</v>
      </c>
      <c r="O1689" s="45">
        <v>0</v>
      </c>
      <c r="P1689" s="45">
        <v>0</v>
      </c>
      <c r="Q1689" s="45">
        <v>0</v>
      </c>
      <c r="R1689" s="45">
        <v>0</v>
      </c>
      <c r="S1689" s="45">
        <v>0</v>
      </c>
      <c r="T1689" s="45">
        <v>0</v>
      </c>
      <c r="U1689" s="45">
        <v>1397</v>
      </c>
      <c r="V1689" s="45">
        <v>0</v>
      </c>
      <c r="W1689" s="45">
        <v>0</v>
      </c>
      <c r="X1689" s="45">
        <v>0</v>
      </c>
      <c r="Y1689" s="45">
        <v>0</v>
      </c>
      <c r="Z1689" s="45">
        <v>0</v>
      </c>
      <c r="AA1689" s="45">
        <v>0</v>
      </c>
      <c r="AB1689" s="45">
        <v>0</v>
      </c>
      <c r="AC1689" s="45">
        <v>0</v>
      </c>
      <c r="AD1689" s="45">
        <v>0</v>
      </c>
      <c r="AE1689" s="45">
        <v>0</v>
      </c>
      <c r="AF1689" s="45">
        <v>0</v>
      </c>
      <c r="AG1689" s="45">
        <v>0</v>
      </c>
      <c r="AH1689" s="45">
        <v>0</v>
      </c>
      <c r="AI1689" s="45">
        <v>0</v>
      </c>
      <c r="AJ1689" s="45">
        <v>0</v>
      </c>
      <c r="AK1689" s="45">
        <v>0</v>
      </c>
      <c r="AL1689" s="45">
        <v>0</v>
      </c>
      <c r="AM1689" s="57" t="str">
        <f>I1689-J1689-K1689-L1689-M1689-N1689-O1689-P1689-Q1689-R1689-S1689-T1689-U1689-V1689-W1689-X1689-Y1689-Z1689-AA1689-AB1689-AC1689-AD1689-AE1689-AF1689-AG1689+AH1689-AI1689+AJ1689+AK1689-AL1689</f>
        <v>0</v>
      </c>
      <c r="AN1689" s="45"/>
    </row>
    <row r="1690" spans="1:41">
      <c r="A1690" s="45">
        <v>1662</v>
      </c>
      <c r="B1690" s="45" t="s">
        <v>6475</v>
      </c>
      <c r="C1690" s="49" t="s">
        <v>6476</v>
      </c>
      <c r="D1690" s="53" t="s">
        <v>73</v>
      </c>
      <c r="E1690" s="45" t="s">
        <v>6451</v>
      </c>
      <c r="F1690" s="45" t="s">
        <v>6477</v>
      </c>
      <c r="G1690" s="45">
        <v>3</v>
      </c>
      <c r="H1690" s="53" t="s">
        <v>6478</v>
      </c>
      <c r="I1690" s="45">
        <v>322100</v>
      </c>
      <c r="J1690" s="45">
        <v>0</v>
      </c>
      <c r="K1690" s="45">
        <v>22000</v>
      </c>
      <c r="L1690" s="45">
        <v>0</v>
      </c>
      <c r="M1690" s="45">
        <v>0</v>
      </c>
      <c r="N1690" s="45">
        <v>0</v>
      </c>
      <c r="O1690" s="45">
        <v>0</v>
      </c>
      <c r="P1690" s="45">
        <v>0</v>
      </c>
      <c r="Q1690" s="45">
        <v>0</v>
      </c>
      <c r="R1690" s="45">
        <v>0</v>
      </c>
      <c r="S1690" s="45">
        <v>0</v>
      </c>
      <c r="T1690" s="45">
        <v>0</v>
      </c>
      <c r="U1690" s="45">
        <v>1397</v>
      </c>
      <c r="V1690" s="45">
        <v>0</v>
      </c>
      <c r="W1690" s="45">
        <v>0</v>
      </c>
      <c r="X1690" s="45">
        <v>0</v>
      </c>
      <c r="Y1690" s="45">
        <v>0</v>
      </c>
      <c r="Z1690" s="45">
        <v>0</v>
      </c>
      <c r="AA1690" s="45">
        <v>0</v>
      </c>
      <c r="AB1690" s="45">
        <v>0</v>
      </c>
      <c r="AC1690" s="45">
        <v>0</v>
      </c>
      <c r="AD1690" s="45">
        <v>0</v>
      </c>
      <c r="AE1690" s="45">
        <v>0</v>
      </c>
      <c r="AF1690" s="45">
        <v>0</v>
      </c>
      <c r="AG1690" s="45">
        <v>0</v>
      </c>
      <c r="AH1690" s="45">
        <v>0</v>
      </c>
      <c r="AI1690" s="45">
        <v>0</v>
      </c>
      <c r="AJ1690" s="45">
        <v>0</v>
      </c>
      <c r="AK1690" s="45">
        <v>0</v>
      </c>
      <c r="AL1690" s="45">
        <v>0</v>
      </c>
      <c r="AM1690" s="57" t="str">
        <f>I1690-J1690-K1690-L1690-M1690-N1690-O1690-P1690-Q1690-R1690-S1690-T1690-U1690-V1690-W1690-X1690-Y1690-Z1690-AA1690-AB1690-AC1690-AD1690-AE1690-AF1690-AG1690+AH1690-AI1690+AJ1690+AK1690-AL1690</f>
        <v>0</v>
      </c>
      <c r="AN1690" s="45"/>
    </row>
    <row r="1691" spans="1:41">
      <c r="A1691" s="45">
        <v>1663</v>
      </c>
      <c r="B1691" s="45" t="s">
        <v>6479</v>
      </c>
      <c r="C1691" s="49" t="s">
        <v>6480</v>
      </c>
      <c r="D1691" s="53" t="s">
        <v>73</v>
      </c>
      <c r="E1691" s="45" t="s">
        <v>6451</v>
      </c>
      <c r="F1691" s="45" t="s">
        <v>6481</v>
      </c>
      <c r="G1691" s="45">
        <v>7</v>
      </c>
      <c r="H1691" s="53" t="s">
        <v>6482</v>
      </c>
      <c r="I1691" s="45">
        <v>1042000</v>
      </c>
      <c r="J1691" s="45">
        <v>0</v>
      </c>
      <c r="K1691" s="45">
        <v>35000</v>
      </c>
      <c r="L1691" s="45">
        <v>0</v>
      </c>
      <c r="M1691" s="45">
        <v>0</v>
      </c>
      <c r="N1691" s="45">
        <v>0</v>
      </c>
      <c r="O1691" s="45">
        <v>0</v>
      </c>
      <c r="P1691" s="45">
        <v>0</v>
      </c>
      <c r="Q1691" s="45">
        <v>0</v>
      </c>
      <c r="R1691" s="45">
        <v>0</v>
      </c>
      <c r="S1691" s="45">
        <v>0</v>
      </c>
      <c r="T1691" s="45">
        <v>0</v>
      </c>
      <c r="U1691" s="45">
        <v>2222</v>
      </c>
      <c r="V1691" s="45">
        <v>0</v>
      </c>
      <c r="W1691" s="45">
        <v>0</v>
      </c>
      <c r="X1691" s="45">
        <v>0</v>
      </c>
      <c r="Y1691" s="45">
        <v>0</v>
      </c>
      <c r="Z1691" s="45">
        <v>0</v>
      </c>
      <c r="AA1691" s="45">
        <v>0</v>
      </c>
      <c r="AB1691" s="45">
        <v>0</v>
      </c>
      <c r="AC1691" s="45">
        <v>0</v>
      </c>
      <c r="AD1691" s="45">
        <v>0</v>
      </c>
      <c r="AE1691" s="45">
        <v>0</v>
      </c>
      <c r="AF1691" s="45">
        <v>0</v>
      </c>
      <c r="AG1691" s="45">
        <v>0</v>
      </c>
      <c r="AH1691" s="45">
        <v>0</v>
      </c>
      <c r="AI1691" s="45">
        <v>0</v>
      </c>
      <c r="AJ1691" s="45">
        <v>0</v>
      </c>
      <c r="AK1691" s="45">
        <v>0</v>
      </c>
      <c r="AL1691" s="45">
        <v>0</v>
      </c>
      <c r="AM1691" s="57" t="str">
        <f>I1691-J1691-K1691-L1691-M1691-N1691-O1691-P1691-Q1691-R1691-S1691-T1691-U1691-V1691-W1691-X1691-Y1691-Z1691-AA1691-AB1691-AC1691-AD1691-AE1691-AF1691-AG1691+AH1691-AI1691+AJ1691+AK1691-AL1691</f>
        <v>0</v>
      </c>
      <c r="AN1691" s="45"/>
    </row>
    <row r="1692" spans="1:41">
      <c r="A1692" s="45">
        <v>1664</v>
      </c>
      <c r="B1692" s="45" t="s">
        <v>6483</v>
      </c>
      <c r="C1692" s="49" t="s">
        <v>6484</v>
      </c>
      <c r="D1692" s="53" t="s">
        <v>73</v>
      </c>
      <c r="E1692" s="45" t="s">
        <v>6451</v>
      </c>
      <c r="F1692" s="45" t="s">
        <v>6485</v>
      </c>
      <c r="G1692" s="45">
        <v>2</v>
      </c>
      <c r="H1692" s="53" t="s">
        <v>6486</v>
      </c>
      <c r="I1692" s="45">
        <v>214000</v>
      </c>
      <c r="J1692" s="45">
        <v>0</v>
      </c>
      <c r="K1692" s="45">
        <v>22000</v>
      </c>
      <c r="L1692" s="45">
        <v>0</v>
      </c>
      <c r="M1692" s="45">
        <v>0</v>
      </c>
      <c r="N1692" s="45">
        <v>0</v>
      </c>
      <c r="O1692" s="45">
        <v>0</v>
      </c>
      <c r="P1692" s="45">
        <v>0</v>
      </c>
      <c r="Q1692" s="45">
        <v>0</v>
      </c>
      <c r="R1692" s="45">
        <v>0</v>
      </c>
      <c r="S1692" s="45">
        <v>0</v>
      </c>
      <c r="T1692" s="45">
        <v>0</v>
      </c>
      <c r="U1692" s="45">
        <v>1397</v>
      </c>
      <c r="V1692" s="45">
        <v>0</v>
      </c>
      <c r="W1692" s="45">
        <v>0</v>
      </c>
      <c r="X1692" s="45">
        <v>0</v>
      </c>
      <c r="Y1692" s="45">
        <v>0</v>
      </c>
      <c r="Z1692" s="45">
        <v>0</v>
      </c>
      <c r="AA1692" s="45">
        <v>0</v>
      </c>
      <c r="AB1692" s="45">
        <v>0</v>
      </c>
      <c r="AC1692" s="45">
        <v>0</v>
      </c>
      <c r="AD1692" s="45">
        <v>0</v>
      </c>
      <c r="AE1692" s="45">
        <v>0</v>
      </c>
      <c r="AF1692" s="45">
        <v>0</v>
      </c>
      <c r="AG1692" s="45">
        <v>0</v>
      </c>
      <c r="AH1692" s="45">
        <v>0</v>
      </c>
      <c r="AI1692" s="45">
        <v>0</v>
      </c>
      <c r="AJ1692" s="45">
        <v>0</v>
      </c>
      <c r="AK1692" s="45">
        <v>0</v>
      </c>
      <c r="AL1692" s="45">
        <v>0</v>
      </c>
      <c r="AM1692" s="57" t="str">
        <f>I1692-J1692-K1692-L1692-M1692-N1692-O1692-P1692-Q1692-R1692-S1692-T1692-U1692-V1692-W1692-X1692-Y1692-Z1692-AA1692-AB1692-AC1692-AD1692-AE1692-AF1692-AG1692+AH1692-AI1692+AJ1692+AK1692-AL1692</f>
        <v>0</v>
      </c>
      <c r="AN1692" s="45"/>
    </row>
    <row r="1693" spans="1:41">
      <c r="A1693" s="45">
        <v>1665</v>
      </c>
      <c r="B1693" s="45" t="s">
        <v>6487</v>
      </c>
      <c r="C1693" s="49" t="s">
        <v>6488</v>
      </c>
      <c r="D1693" s="53" t="s">
        <v>73</v>
      </c>
      <c r="E1693" s="45" t="s">
        <v>6451</v>
      </c>
      <c r="F1693" s="45" t="s">
        <v>6489</v>
      </c>
      <c r="G1693" s="45">
        <v>2</v>
      </c>
      <c r="H1693" s="53" t="s">
        <v>6490</v>
      </c>
      <c r="I1693" s="45">
        <v>875000</v>
      </c>
      <c r="J1693" s="45">
        <v>0</v>
      </c>
      <c r="K1693" s="45">
        <v>22000</v>
      </c>
      <c r="L1693" s="45">
        <v>0</v>
      </c>
      <c r="M1693" s="45">
        <v>0</v>
      </c>
      <c r="N1693" s="45">
        <v>0</v>
      </c>
      <c r="O1693" s="45">
        <v>0</v>
      </c>
      <c r="P1693" s="45">
        <v>0</v>
      </c>
      <c r="Q1693" s="45">
        <v>0</v>
      </c>
      <c r="R1693" s="45">
        <v>0</v>
      </c>
      <c r="S1693" s="45">
        <v>0</v>
      </c>
      <c r="T1693" s="45">
        <v>0</v>
      </c>
      <c r="U1693" s="45">
        <v>1397</v>
      </c>
      <c r="V1693" s="45">
        <v>0</v>
      </c>
      <c r="W1693" s="45">
        <v>0</v>
      </c>
      <c r="X1693" s="45">
        <v>0</v>
      </c>
      <c r="Y1693" s="45">
        <v>0</v>
      </c>
      <c r="Z1693" s="45">
        <v>0</v>
      </c>
      <c r="AA1693" s="45">
        <v>0</v>
      </c>
      <c r="AB1693" s="45">
        <v>0</v>
      </c>
      <c r="AC1693" s="45">
        <v>0</v>
      </c>
      <c r="AD1693" s="45">
        <v>0</v>
      </c>
      <c r="AE1693" s="45">
        <v>0</v>
      </c>
      <c r="AF1693" s="45">
        <v>0</v>
      </c>
      <c r="AG1693" s="45">
        <v>0</v>
      </c>
      <c r="AH1693" s="45">
        <v>0</v>
      </c>
      <c r="AI1693" s="45">
        <v>0</v>
      </c>
      <c r="AJ1693" s="45">
        <v>0</v>
      </c>
      <c r="AK1693" s="45">
        <v>0</v>
      </c>
      <c r="AL1693" s="45">
        <v>0</v>
      </c>
      <c r="AM1693" s="57" t="str">
        <f>I1693-J1693-K1693-L1693-M1693-N1693-O1693-P1693-Q1693-R1693-S1693-T1693-U1693-V1693-W1693-X1693-Y1693-Z1693-AA1693-AB1693-AC1693-AD1693-AE1693-AF1693-AG1693+AH1693-AI1693+AJ1693+AK1693-AL1693</f>
        <v>0</v>
      </c>
      <c r="AN1693" s="45"/>
    </row>
    <row r="1694" spans="1:41">
      <c r="A1694" s="45">
        <v>1666</v>
      </c>
      <c r="B1694" s="45" t="s">
        <v>6491</v>
      </c>
      <c r="C1694" s="49" t="s">
        <v>6492</v>
      </c>
      <c r="D1694" s="53" t="s">
        <v>73</v>
      </c>
      <c r="E1694" s="45" t="s">
        <v>6451</v>
      </c>
      <c r="F1694" s="45" t="s">
        <v>6493</v>
      </c>
      <c r="G1694" s="45">
        <v>7</v>
      </c>
      <c r="H1694" s="53" t="s">
        <v>6494</v>
      </c>
      <c r="I1694" s="45">
        <v>1690000</v>
      </c>
      <c r="J1694" s="45">
        <v>0</v>
      </c>
      <c r="K1694" s="45">
        <v>35000</v>
      </c>
      <c r="L1694" s="45">
        <v>0</v>
      </c>
      <c r="M1694" s="45">
        <v>0</v>
      </c>
      <c r="N1694" s="45">
        <v>0</v>
      </c>
      <c r="O1694" s="45">
        <v>0</v>
      </c>
      <c r="P1694" s="45">
        <v>0</v>
      </c>
      <c r="Q1694" s="45">
        <v>0</v>
      </c>
      <c r="R1694" s="45">
        <v>0</v>
      </c>
      <c r="S1694" s="45">
        <v>0</v>
      </c>
      <c r="T1694" s="45">
        <v>0</v>
      </c>
      <c r="U1694" s="45">
        <v>2222</v>
      </c>
      <c r="V1694" s="45">
        <v>0</v>
      </c>
      <c r="W1694" s="45">
        <v>0</v>
      </c>
      <c r="X1694" s="45">
        <v>0</v>
      </c>
      <c r="Y1694" s="45">
        <v>0</v>
      </c>
      <c r="Z1694" s="45">
        <v>0</v>
      </c>
      <c r="AA1694" s="45">
        <v>0</v>
      </c>
      <c r="AB1694" s="45">
        <v>0</v>
      </c>
      <c r="AC1694" s="45">
        <v>0</v>
      </c>
      <c r="AD1694" s="45">
        <v>0</v>
      </c>
      <c r="AE1694" s="45">
        <v>0</v>
      </c>
      <c r="AF1694" s="45">
        <v>0</v>
      </c>
      <c r="AG1694" s="45">
        <v>0</v>
      </c>
      <c r="AH1694" s="45">
        <v>0</v>
      </c>
      <c r="AI1694" s="45">
        <v>0</v>
      </c>
      <c r="AJ1694" s="45">
        <v>0</v>
      </c>
      <c r="AK1694" s="45">
        <v>0</v>
      </c>
      <c r="AL1694" s="45">
        <v>0</v>
      </c>
      <c r="AM1694" s="57" t="str">
        <f>I1694-J1694-K1694-L1694-M1694-N1694-O1694-P1694-Q1694-R1694-S1694-T1694-U1694-V1694-W1694-X1694-Y1694-Z1694-AA1694-AB1694-AC1694-AD1694-AE1694-AF1694-AG1694+AH1694-AI1694+AJ1694+AK1694-AL1694</f>
        <v>0</v>
      </c>
      <c r="AN1694" s="45"/>
    </row>
    <row r="1695" spans="1:41">
      <c r="A1695" s="45">
        <v>1667</v>
      </c>
      <c r="B1695" s="45" t="s">
        <v>6495</v>
      </c>
      <c r="C1695" s="49" t="s">
        <v>6496</v>
      </c>
      <c r="D1695" s="53" t="s">
        <v>73</v>
      </c>
      <c r="E1695" s="45" t="s">
        <v>6451</v>
      </c>
      <c r="F1695" s="45" t="s">
        <v>6497</v>
      </c>
      <c r="G1695" s="45">
        <v>2</v>
      </c>
      <c r="H1695" s="53" t="s">
        <v>6498</v>
      </c>
      <c r="I1695" s="45">
        <v>875000</v>
      </c>
      <c r="J1695" s="45">
        <v>0</v>
      </c>
      <c r="K1695" s="45">
        <v>22000</v>
      </c>
      <c r="L1695" s="45">
        <v>0</v>
      </c>
      <c r="M1695" s="45">
        <v>0</v>
      </c>
      <c r="N1695" s="45">
        <v>0</v>
      </c>
      <c r="O1695" s="45">
        <v>0</v>
      </c>
      <c r="P1695" s="45">
        <v>0</v>
      </c>
      <c r="Q1695" s="45">
        <v>0</v>
      </c>
      <c r="R1695" s="45">
        <v>0</v>
      </c>
      <c r="S1695" s="45">
        <v>0</v>
      </c>
      <c r="T1695" s="45">
        <v>0</v>
      </c>
      <c r="U1695" s="45">
        <v>1397</v>
      </c>
      <c r="V1695" s="45">
        <v>0</v>
      </c>
      <c r="W1695" s="45">
        <v>0</v>
      </c>
      <c r="X1695" s="45">
        <v>0</v>
      </c>
      <c r="Y1695" s="45">
        <v>0</v>
      </c>
      <c r="Z1695" s="45">
        <v>0</v>
      </c>
      <c r="AA1695" s="45">
        <v>0</v>
      </c>
      <c r="AB1695" s="45">
        <v>0</v>
      </c>
      <c r="AC1695" s="45">
        <v>0</v>
      </c>
      <c r="AD1695" s="45">
        <v>0</v>
      </c>
      <c r="AE1695" s="45">
        <v>0</v>
      </c>
      <c r="AF1695" s="45">
        <v>0</v>
      </c>
      <c r="AG1695" s="45">
        <v>0</v>
      </c>
      <c r="AH1695" s="45">
        <v>0</v>
      </c>
      <c r="AI1695" s="45">
        <v>0</v>
      </c>
      <c r="AJ1695" s="45">
        <v>0</v>
      </c>
      <c r="AK1695" s="45">
        <v>0</v>
      </c>
      <c r="AL1695" s="45">
        <v>0</v>
      </c>
      <c r="AM1695" s="57" t="str">
        <f>I1695-J1695-K1695-L1695-M1695-N1695-O1695-P1695-Q1695-R1695-S1695-T1695-U1695-V1695-W1695-X1695-Y1695-Z1695-AA1695-AB1695-AC1695-AD1695-AE1695-AF1695-AG1695+AH1695-AI1695+AJ1695+AK1695-AL1695</f>
        <v>0</v>
      </c>
      <c r="AN1695" s="45"/>
    </row>
    <row r="1696" spans="1:41">
      <c r="A1696" s="45">
        <v>1668</v>
      </c>
      <c r="B1696" s="45" t="s">
        <v>6499</v>
      </c>
      <c r="C1696" s="49" t="s">
        <v>6500</v>
      </c>
      <c r="D1696" s="53" t="s">
        <v>62</v>
      </c>
      <c r="E1696" s="45" t="s">
        <v>6451</v>
      </c>
      <c r="F1696" s="45" t="s">
        <v>5834</v>
      </c>
      <c r="G1696" s="45">
        <v>5</v>
      </c>
      <c r="H1696" s="53" t="s">
        <v>6501</v>
      </c>
      <c r="I1696" s="45">
        <v>0</v>
      </c>
      <c r="J1696" s="45">
        <v>0</v>
      </c>
      <c r="K1696" s="45">
        <v>27000</v>
      </c>
      <c r="L1696" s="45">
        <v>0</v>
      </c>
      <c r="M1696" s="45">
        <v>0</v>
      </c>
      <c r="N1696" s="45">
        <v>0</v>
      </c>
      <c r="O1696" s="45">
        <v>0</v>
      </c>
      <c r="P1696" s="45">
        <v>0</v>
      </c>
      <c r="Q1696" s="45">
        <v>0</v>
      </c>
      <c r="R1696" s="45">
        <v>0</v>
      </c>
      <c r="S1696" s="45">
        <v>0</v>
      </c>
      <c r="T1696" s="45">
        <v>0</v>
      </c>
      <c r="U1696" s="45">
        <v>1714</v>
      </c>
      <c r="V1696" s="45">
        <v>0</v>
      </c>
      <c r="W1696" s="45">
        <v>0</v>
      </c>
      <c r="X1696" s="45">
        <v>0</v>
      </c>
      <c r="Y1696" s="45">
        <v>13500</v>
      </c>
      <c r="Z1696" s="45">
        <v>0</v>
      </c>
      <c r="AA1696" s="45">
        <v>0</v>
      </c>
      <c r="AB1696" s="45">
        <v>0</v>
      </c>
      <c r="AC1696" s="45">
        <v>0</v>
      </c>
      <c r="AD1696" s="45">
        <v>0</v>
      </c>
      <c r="AE1696" s="45">
        <v>0</v>
      </c>
      <c r="AF1696" s="45">
        <v>0</v>
      </c>
      <c r="AG1696" s="45">
        <v>0</v>
      </c>
      <c r="AH1696" s="45">
        <v>0</v>
      </c>
      <c r="AI1696" s="45">
        <v>0</v>
      </c>
      <c r="AJ1696" s="45">
        <v>0</v>
      </c>
      <c r="AK1696" s="45">
        <v>0</v>
      </c>
      <c r="AL1696" s="45">
        <v>0</v>
      </c>
      <c r="AM1696" s="57" t="str">
        <f>I1696-J1696-K1696-L1696-M1696-N1696-O1696-P1696-Q1696-R1696-S1696-T1696-U1696-V1696-W1696-X1696-Y1696-Z1696-AA1696-AB1696-AC1696-AD1696-AE1696-AF1696-AG1696+AH1696-AI1696+AJ1696+AK1696-AL1696</f>
        <v>0</v>
      </c>
      <c r="AN1696" s="45"/>
    </row>
    <row r="1697" spans="1:41">
      <c r="A1697" s="45">
        <v>1669</v>
      </c>
      <c r="B1697" s="45" t="s">
        <v>6502</v>
      </c>
      <c r="C1697" s="49" t="s">
        <v>6503</v>
      </c>
      <c r="D1697" s="53" t="s">
        <v>73</v>
      </c>
      <c r="E1697" s="45" t="s">
        <v>6451</v>
      </c>
      <c r="F1697" s="45" t="s">
        <v>3836</v>
      </c>
      <c r="G1697" s="45">
        <v>10</v>
      </c>
      <c r="H1697" s="53" t="s">
        <v>6504</v>
      </c>
      <c r="I1697" s="45">
        <v>1724000</v>
      </c>
      <c r="J1697" s="45">
        <v>0</v>
      </c>
      <c r="K1697" s="45">
        <v>49000</v>
      </c>
      <c r="L1697" s="45">
        <v>0</v>
      </c>
      <c r="M1697" s="45">
        <v>0</v>
      </c>
      <c r="N1697" s="45">
        <v>0</v>
      </c>
      <c r="O1697" s="45">
        <v>0</v>
      </c>
      <c r="P1697" s="45">
        <v>0</v>
      </c>
      <c r="Q1697" s="45">
        <v>0</v>
      </c>
      <c r="R1697" s="45">
        <v>0</v>
      </c>
      <c r="S1697" s="45">
        <v>0</v>
      </c>
      <c r="T1697" s="45">
        <v>0</v>
      </c>
      <c r="U1697" s="45">
        <v>3111</v>
      </c>
      <c r="V1697" s="45">
        <v>0</v>
      </c>
      <c r="W1697" s="45">
        <v>0</v>
      </c>
      <c r="X1697" s="45">
        <v>0</v>
      </c>
      <c r="Y1697" s="45">
        <v>0</v>
      </c>
      <c r="Z1697" s="45">
        <v>0</v>
      </c>
      <c r="AA1697" s="45">
        <v>0</v>
      </c>
      <c r="AB1697" s="45">
        <v>0</v>
      </c>
      <c r="AC1697" s="45">
        <v>0</v>
      </c>
      <c r="AD1697" s="45">
        <v>0</v>
      </c>
      <c r="AE1697" s="45">
        <v>0</v>
      </c>
      <c r="AF1697" s="45">
        <v>0</v>
      </c>
      <c r="AG1697" s="45">
        <v>0</v>
      </c>
      <c r="AH1697" s="45">
        <v>0</v>
      </c>
      <c r="AI1697" s="45">
        <v>0</v>
      </c>
      <c r="AJ1697" s="45">
        <v>0</v>
      </c>
      <c r="AK1697" s="45">
        <v>0</v>
      </c>
      <c r="AL1697" s="45">
        <v>0</v>
      </c>
      <c r="AM1697" s="57" t="str">
        <f>I1697-J1697-K1697-L1697-M1697-N1697-O1697-P1697-Q1697-R1697-S1697-T1697-U1697-V1697-W1697-X1697-Y1697-Z1697-AA1697-AB1697-AC1697-AD1697-AE1697-AF1697-AG1697+AH1697-AI1697+AJ1697+AK1697-AL1697</f>
        <v>0</v>
      </c>
      <c r="AN1697" s="45"/>
    </row>
    <row r="1698" spans="1:41">
      <c r="A1698" s="45">
        <v>1670</v>
      </c>
      <c r="B1698" s="45" t="s">
        <v>6505</v>
      </c>
      <c r="C1698" s="49" t="s">
        <v>6506</v>
      </c>
      <c r="D1698" s="53" t="s">
        <v>73</v>
      </c>
      <c r="E1698" s="45" t="s">
        <v>6507</v>
      </c>
      <c r="F1698" s="45" t="s">
        <v>6508</v>
      </c>
      <c r="G1698" s="45">
        <v>3</v>
      </c>
      <c r="H1698" s="53" t="s">
        <v>6509</v>
      </c>
      <c r="I1698" s="45">
        <v>305000</v>
      </c>
      <c r="J1698" s="45">
        <v>0</v>
      </c>
      <c r="K1698" s="45">
        <v>22000</v>
      </c>
      <c r="L1698" s="45">
        <v>0</v>
      </c>
      <c r="M1698" s="45">
        <v>0</v>
      </c>
      <c r="N1698" s="45">
        <v>0</v>
      </c>
      <c r="O1698" s="45">
        <v>0</v>
      </c>
      <c r="P1698" s="45">
        <v>0</v>
      </c>
      <c r="Q1698" s="45">
        <v>0</v>
      </c>
      <c r="R1698" s="45">
        <v>0</v>
      </c>
      <c r="S1698" s="45">
        <v>0</v>
      </c>
      <c r="T1698" s="45">
        <v>0</v>
      </c>
      <c r="U1698" s="45">
        <v>1397</v>
      </c>
      <c r="V1698" s="45">
        <v>0</v>
      </c>
      <c r="W1698" s="45">
        <v>0</v>
      </c>
      <c r="X1698" s="45">
        <v>0</v>
      </c>
      <c r="Y1698" s="45">
        <v>0</v>
      </c>
      <c r="Z1698" s="45">
        <v>0</v>
      </c>
      <c r="AA1698" s="45">
        <v>0</v>
      </c>
      <c r="AB1698" s="45">
        <v>0</v>
      </c>
      <c r="AC1698" s="45">
        <v>0</v>
      </c>
      <c r="AD1698" s="45">
        <v>0</v>
      </c>
      <c r="AE1698" s="45">
        <v>0</v>
      </c>
      <c r="AF1698" s="45">
        <v>0</v>
      </c>
      <c r="AG1698" s="45">
        <v>0</v>
      </c>
      <c r="AH1698" s="45">
        <v>0</v>
      </c>
      <c r="AI1698" s="45">
        <v>0</v>
      </c>
      <c r="AJ1698" s="45">
        <v>0</v>
      </c>
      <c r="AK1698" s="45">
        <v>0</v>
      </c>
      <c r="AL1698" s="45">
        <v>0</v>
      </c>
      <c r="AM1698" s="57" t="str">
        <f>I1698-J1698-K1698-L1698-M1698-N1698-O1698-P1698-Q1698-R1698-S1698-T1698-U1698-V1698-W1698-X1698-Y1698-Z1698-AA1698-AB1698-AC1698-AD1698-AE1698-AF1698-AG1698+AH1698-AI1698+AJ1698+AK1698-AL1698</f>
        <v>0</v>
      </c>
      <c r="AN1698" s="45"/>
    </row>
    <row r="1699" spans="1:41">
      <c r="A1699" s="45">
        <v>1671</v>
      </c>
      <c r="B1699" s="45" t="s">
        <v>6510</v>
      </c>
      <c r="C1699" s="49" t="s">
        <v>6511</v>
      </c>
      <c r="D1699" s="53" t="s">
        <v>73</v>
      </c>
      <c r="E1699" s="45" t="s">
        <v>6507</v>
      </c>
      <c r="F1699" s="45" t="s">
        <v>3486</v>
      </c>
      <c r="G1699" s="45">
        <v>2</v>
      </c>
      <c r="H1699" s="53" t="s">
        <v>6512</v>
      </c>
      <c r="I1699" s="45">
        <v>290000</v>
      </c>
      <c r="J1699" s="45">
        <v>0</v>
      </c>
      <c r="K1699" s="45">
        <v>22000</v>
      </c>
      <c r="L1699" s="45">
        <v>0</v>
      </c>
      <c r="M1699" s="45">
        <v>0</v>
      </c>
      <c r="N1699" s="45">
        <v>0</v>
      </c>
      <c r="O1699" s="45">
        <v>0</v>
      </c>
      <c r="P1699" s="45">
        <v>0</v>
      </c>
      <c r="Q1699" s="45">
        <v>0</v>
      </c>
      <c r="R1699" s="45">
        <v>0</v>
      </c>
      <c r="S1699" s="45">
        <v>0</v>
      </c>
      <c r="T1699" s="45">
        <v>0</v>
      </c>
      <c r="U1699" s="45">
        <v>1397</v>
      </c>
      <c r="V1699" s="45">
        <v>0</v>
      </c>
      <c r="W1699" s="45">
        <v>0</v>
      </c>
      <c r="X1699" s="45">
        <v>0</v>
      </c>
      <c r="Y1699" s="45">
        <v>0</v>
      </c>
      <c r="Z1699" s="45">
        <v>0</v>
      </c>
      <c r="AA1699" s="45">
        <v>0</v>
      </c>
      <c r="AB1699" s="45">
        <v>0</v>
      </c>
      <c r="AC1699" s="45">
        <v>0</v>
      </c>
      <c r="AD1699" s="45">
        <v>0</v>
      </c>
      <c r="AE1699" s="45">
        <v>0</v>
      </c>
      <c r="AF1699" s="45">
        <v>0</v>
      </c>
      <c r="AG1699" s="45">
        <v>0</v>
      </c>
      <c r="AH1699" s="45">
        <v>0</v>
      </c>
      <c r="AI1699" s="45">
        <v>0</v>
      </c>
      <c r="AJ1699" s="45">
        <v>0</v>
      </c>
      <c r="AK1699" s="45">
        <v>0</v>
      </c>
      <c r="AL1699" s="45">
        <v>0</v>
      </c>
      <c r="AM1699" s="57" t="str">
        <f>I1699-J1699-K1699-L1699-M1699-N1699-O1699-P1699-Q1699-R1699-S1699-T1699-U1699-V1699-W1699-X1699-Y1699-Z1699-AA1699-AB1699-AC1699-AD1699-AE1699-AF1699-AG1699+AH1699-AI1699+AJ1699+AK1699-AL1699</f>
        <v>0</v>
      </c>
      <c r="AN1699" s="45"/>
    </row>
    <row r="1700" spans="1:41">
      <c r="A1700" s="45">
        <v>1672</v>
      </c>
      <c r="B1700" s="45" t="s">
        <v>6513</v>
      </c>
      <c r="C1700" s="49" t="s">
        <v>6514</v>
      </c>
      <c r="D1700" s="53" t="s">
        <v>73</v>
      </c>
      <c r="E1700" s="45" t="s">
        <v>6507</v>
      </c>
      <c r="F1700" s="45" t="s">
        <v>6515</v>
      </c>
      <c r="G1700" s="45">
        <v>6</v>
      </c>
      <c r="H1700" s="53" t="s">
        <v>6516</v>
      </c>
      <c r="I1700" s="45">
        <v>953000</v>
      </c>
      <c r="J1700" s="45">
        <v>0</v>
      </c>
      <c r="K1700" s="45">
        <v>31000</v>
      </c>
      <c r="L1700" s="45">
        <v>0</v>
      </c>
      <c r="M1700" s="45">
        <v>0</v>
      </c>
      <c r="N1700" s="45">
        <v>0</v>
      </c>
      <c r="O1700" s="45">
        <v>0</v>
      </c>
      <c r="P1700" s="45">
        <v>0</v>
      </c>
      <c r="Q1700" s="45">
        <v>0</v>
      </c>
      <c r="R1700" s="45">
        <v>0</v>
      </c>
      <c r="S1700" s="45">
        <v>0</v>
      </c>
      <c r="T1700" s="45">
        <v>0</v>
      </c>
      <c r="U1700" s="45">
        <v>1968</v>
      </c>
      <c r="V1700" s="45">
        <v>0</v>
      </c>
      <c r="W1700" s="45">
        <v>0</v>
      </c>
      <c r="X1700" s="45">
        <v>0</v>
      </c>
      <c r="Y1700" s="45">
        <v>0</v>
      </c>
      <c r="Z1700" s="45">
        <v>0</v>
      </c>
      <c r="AA1700" s="45">
        <v>0</v>
      </c>
      <c r="AB1700" s="45">
        <v>0</v>
      </c>
      <c r="AC1700" s="45">
        <v>0</v>
      </c>
      <c r="AD1700" s="45">
        <v>0</v>
      </c>
      <c r="AE1700" s="45">
        <v>0</v>
      </c>
      <c r="AF1700" s="45">
        <v>0</v>
      </c>
      <c r="AG1700" s="45">
        <v>0</v>
      </c>
      <c r="AH1700" s="45">
        <v>0</v>
      </c>
      <c r="AI1700" s="45">
        <v>0</v>
      </c>
      <c r="AJ1700" s="45">
        <v>0</v>
      </c>
      <c r="AK1700" s="45">
        <v>0</v>
      </c>
      <c r="AL1700" s="45">
        <v>0</v>
      </c>
      <c r="AM1700" s="57" t="str">
        <f>I1700-J1700-K1700-L1700-M1700-N1700-O1700-P1700-Q1700-R1700-S1700-T1700-U1700-V1700-W1700-X1700-Y1700-Z1700-AA1700-AB1700-AC1700-AD1700-AE1700-AF1700-AG1700+AH1700-AI1700+AJ1700+AK1700-AL1700</f>
        <v>0</v>
      </c>
      <c r="AN1700" s="45"/>
    </row>
    <row r="1701" spans="1:41">
      <c r="A1701" s="45">
        <v>1673</v>
      </c>
      <c r="B1701" s="45" t="s">
        <v>6517</v>
      </c>
      <c r="C1701" s="49" t="s">
        <v>6518</v>
      </c>
      <c r="D1701" s="53" t="s">
        <v>73</v>
      </c>
      <c r="E1701" s="45" t="s">
        <v>6507</v>
      </c>
      <c r="F1701" s="45" t="s">
        <v>6519</v>
      </c>
      <c r="G1701" s="45">
        <v>5.8</v>
      </c>
      <c r="H1701" s="53" t="s">
        <v>6520</v>
      </c>
      <c r="I1701" s="45">
        <v>584000</v>
      </c>
      <c r="J1701" s="45">
        <v>0</v>
      </c>
      <c r="K1701" s="45">
        <v>31000</v>
      </c>
      <c r="L1701" s="45">
        <v>0</v>
      </c>
      <c r="M1701" s="45">
        <v>0</v>
      </c>
      <c r="N1701" s="45">
        <v>0</v>
      </c>
      <c r="O1701" s="45">
        <v>0</v>
      </c>
      <c r="P1701" s="45">
        <v>0</v>
      </c>
      <c r="Q1701" s="45">
        <v>0</v>
      </c>
      <c r="R1701" s="45">
        <v>0</v>
      </c>
      <c r="S1701" s="45">
        <v>0</v>
      </c>
      <c r="T1701" s="45">
        <v>0</v>
      </c>
      <c r="U1701" s="45">
        <v>1968</v>
      </c>
      <c r="V1701" s="45">
        <v>0</v>
      </c>
      <c r="W1701" s="45">
        <v>0</v>
      </c>
      <c r="X1701" s="45">
        <v>0</v>
      </c>
      <c r="Y1701" s="45">
        <v>0</v>
      </c>
      <c r="Z1701" s="45">
        <v>0</v>
      </c>
      <c r="AA1701" s="45">
        <v>0</v>
      </c>
      <c r="AB1701" s="45">
        <v>0</v>
      </c>
      <c r="AC1701" s="45">
        <v>0</v>
      </c>
      <c r="AD1701" s="45">
        <v>0</v>
      </c>
      <c r="AE1701" s="45">
        <v>0</v>
      </c>
      <c r="AF1701" s="45">
        <v>0</v>
      </c>
      <c r="AG1701" s="45">
        <v>0</v>
      </c>
      <c r="AH1701" s="45">
        <v>0</v>
      </c>
      <c r="AI1701" s="45">
        <v>0</v>
      </c>
      <c r="AJ1701" s="45">
        <v>0</v>
      </c>
      <c r="AK1701" s="45">
        <v>0</v>
      </c>
      <c r="AL1701" s="45">
        <v>0</v>
      </c>
      <c r="AM1701" s="57" t="str">
        <f>I1701-J1701-K1701-L1701-M1701-N1701-O1701-P1701-Q1701-R1701-S1701-T1701-U1701-V1701-W1701-X1701-Y1701-Z1701-AA1701-AB1701-AC1701-AD1701-AE1701-AF1701-AG1701+AH1701-AI1701+AJ1701+AK1701-AL1701</f>
        <v>0</v>
      </c>
      <c r="AN1701" s="45"/>
    </row>
    <row r="1702" spans="1:41">
      <c r="A1702" s="45">
        <v>1674</v>
      </c>
      <c r="B1702" s="45" t="s">
        <v>6521</v>
      </c>
      <c r="C1702" s="49" t="s">
        <v>6522</v>
      </c>
      <c r="D1702" s="53" t="s">
        <v>73</v>
      </c>
      <c r="E1702" s="45" t="s">
        <v>6507</v>
      </c>
      <c r="F1702" s="45" t="s">
        <v>6523</v>
      </c>
      <c r="G1702" s="45">
        <v>13</v>
      </c>
      <c r="H1702" s="53" t="s">
        <v>6524</v>
      </c>
      <c r="I1702" s="45">
        <v>1200000</v>
      </c>
      <c r="J1702" s="45">
        <v>0</v>
      </c>
      <c r="K1702" s="45">
        <v>64000</v>
      </c>
      <c r="L1702" s="45">
        <v>0</v>
      </c>
      <c r="M1702" s="45">
        <v>0</v>
      </c>
      <c r="N1702" s="45">
        <v>0</v>
      </c>
      <c r="O1702" s="45">
        <v>0</v>
      </c>
      <c r="P1702" s="45">
        <v>0</v>
      </c>
      <c r="Q1702" s="45">
        <v>0</v>
      </c>
      <c r="R1702" s="45">
        <v>0</v>
      </c>
      <c r="S1702" s="45">
        <v>0</v>
      </c>
      <c r="T1702" s="45">
        <v>0</v>
      </c>
      <c r="U1702" s="45">
        <v>4064</v>
      </c>
      <c r="V1702" s="45">
        <v>0</v>
      </c>
      <c r="W1702" s="45">
        <v>0</v>
      </c>
      <c r="X1702" s="45">
        <v>0</v>
      </c>
      <c r="Y1702" s="45">
        <v>0</v>
      </c>
      <c r="Z1702" s="45">
        <v>0</v>
      </c>
      <c r="AA1702" s="45">
        <v>0</v>
      </c>
      <c r="AB1702" s="45">
        <v>0</v>
      </c>
      <c r="AC1702" s="45">
        <v>0</v>
      </c>
      <c r="AD1702" s="45">
        <v>0</v>
      </c>
      <c r="AE1702" s="45">
        <v>0</v>
      </c>
      <c r="AF1702" s="45">
        <v>0</v>
      </c>
      <c r="AG1702" s="45">
        <v>0</v>
      </c>
      <c r="AH1702" s="45">
        <v>0</v>
      </c>
      <c r="AI1702" s="45">
        <v>0</v>
      </c>
      <c r="AJ1702" s="45">
        <v>0</v>
      </c>
      <c r="AK1702" s="45">
        <v>0</v>
      </c>
      <c r="AL1702" s="45">
        <v>0</v>
      </c>
      <c r="AM1702" s="57" t="str">
        <f>I1702-J1702-K1702-L1702-M1702-N1702-O1702-P1702-Q1702-R1702-S1702-T1702-U1702-V1702-W1702-X1702-Y1702-Z1702-AA1702-AB1702-AC1702-AD1702-AE1702-AF1702-AG1702+AH1702-AI1702+AJ1702+AK1702-AL1702</f>
        <v>0</v>
      </c>
      <c r="AN1702" s="45"/>
    </row>
    <row r="1703" spans="1:41">
      <c r="A1703" s="45">
        <v>1675</v>
      </c>
      <c r="B1703" s="45" t="s">
        <v>6525</v>
      </c>
      <c r="C1703" s="49" t="s">
        <v>6526</v>
      </c>
      <c r="D1703" s="53" t="s">
        <v>73</v>
      </c>
      <c r="E1703" s="45" t="s">
        <v>6507</v>
      </c>
      <c r="F1703" s="45" t="s">
        <v>3373</v>
      </c>
      <c r="G1703" s="45">
        <v>2</v>
      </c>
      <c r="H1703" s="53" t="s">
        <v>6527</v>
      </c>
      <c r="I1703" s="45">
        <v>450000</v>
      </c>
      <c r="J1703" s="45">
        <v>0</v>
      </c>
      <c r="K1703" s="45">
        <v>22000</v>
      </c>
      <c r="L1703" s="45">
        <v>0</v>
      </c>
      <c r="M1703" s="45">
        <v>0</v>
      </c>
      <c r="N1703" s="45">
        <v>0</v>
      </c>
      <c r="O1703" s="45">
        <v>0</v>
      </c>
      <c r="P1703" s="45">
        <v>0</v>
      </c>
      <c r="Q1703" s="45">
        <v>0</v>
      </c>
      <c r="R1703" s="45">
        <v>0</v>
      </c>
      <c r="S1703" s="45">
        <v>0</v>
      </c>
      <c r="T1703" s="45">
        <v>0</v>
      </c>
      <c r="U1703" s="45">
        <v>1397</v>
      </c>
      <c r="V1703" s="45">
        <v>0</v>
      </c>
      <c r="W1703" s="45">
        <v>0</v>
      </c>
      <c r="X1703" s="45">
        <v>0</v>
      </c>
      <c r="Y1703" s="45">
        <v>0</v>
      </c>
      <c r="Z1703" s="45">
        <v>0</v>
      </c>
      <c r="AA1703" s="45">
        <v>0</v>
      </c>
      <c r="AB1703" s="45">
        <v>0</v>
      </c>
      <c r="AC1703" s="45">
        <v>0</v>
      </c>
      <c r="AD1703" s="45">
        <v>0</v>
      </c>
      <c r="AE1703" s="45">
        <v>0</v>
      </c>
      <c r="AF1703" s="45">
        <v>0</v>
      </c>
      <c r="AG1703" s="45">
        <v>0</v>
      </c>
      <c r="AH1703" s="45">
        <v>0</v>
      </c>
      <c r="AI1703" s="45">
        <v>0</v>
      </c>
      <c r="AJ1703" s="45">
        <v>0</v>
      </c>
      <c r="AK1703" s="45">
        <v>0</v>
      </c>
      <c r="AL1703" s="45">
        <v>0</v>
      </c>
      <c r="AM1703" s="57" t="str">
        <f>I1703-J1703-K1703-L1703-M1703-N1703-O1703-P1703-Q1703-R1703-S1703-T1703-U1703-V1703-W1703-X1703-Y1703-Z1703-AA1703-AB1703-AC1703-AD1703-AE1703-AF1703-AG1703+AH1703-AI1703+AJ1703+AK1703-AL1703</f>
        <v>0</v>
      </c>
      <c r="AN1703" s="45"/>
    </row>
    <row r="1704" spans="1:41">
      <c r="A1704" s="45">
        <v>1676</v>
      </c>
      <c r="B1704" s="45" t="s">
        <v>6528</v>
      </c>
      <c r="C1704" s="49" t="s">
        <v>6529</v>
      </c>
      <c r="D1704" s="53" t="s">
        <v>73</v>
      </c>
      <c r="E1704" s="45" t="s">
        <v>6507</v>
      </c>
      <c r="F1704" s="45" t="s">
        <v>5543</v>
      </c>
      <c r="G1704" s="45">
        <v>2</v>
      </c>
      <c r="H1704" s="53" t="s">
        <v>6530</v>
      </c>
      <c r="I1704" s="45">
        <v>875000</v>
      </c>
      <c r="J1704" s="45">
        <v>0</v>
      </c>
      <c r="K1704" s="45">
        <v>22000</v>
      </c>
      <c r="L1704" s="45">
        <v>0</v>
      </c>
      <c r="M1704" s="45">
        <v>0</v>
      </c>
      <c r="N1704" s="45">
        <v>0</v>
      </c>
      <c r="O1704" s="45">
        <v>0</v>
      </c>
      <c r="P1704" s="45">
        <v>0</v>
      </c>
      <c r="Q1704" s="45">
        <v>0</v>
      </c>
      <c r="R1704" s="45">
        <v>0</v>
      </c>
      <c r="S1704" s="45">
        <v>0</v>
      </c>
      <c r="T1704" s="45">
        <v>0</v>
      </c>
      <c r="U1704" s="45">
        <v>1397</v>
      </c>
      <c r="V1704" s="45">
        <v>0</v>
      </c>
      <c r="W1704" s="45">
        <v>0</v>
      </c>
      <c r="X1704" s="45">
        <v>0</v>
      </c>
      <c r="Y1704" s="45">
        <v>0</v>
      </c>
      <c r="Z1704" s="45">
        <v>0</v>
      </c>
      <c r="AA1704" s="45">
        <v>0</v>
      </c>
      <c r="AB1704" s="45">
        <v>0</v>
      </c>
      <c r="AC1704" s="45">
        <v>0</v>
      </c>
      <c r="AD1704" s="45">
        <v>0</v>
      </c>
      <c r="AE1704" s="45">
        <v>0</v>
      </c>
      <c r="AF1704" s="45">
        <v>0</v>
      </c>
      <c r="AG1704" s="45">
        <v>0</v>
      </c>
      <c r="AH1704" s="45">
        <v>0</v>
      </c>
      <c r="AI1704" s="45">
        <v>0</v>
      </c>
      <c r="AJ1704" s="45">
        <v>0</v>
      </c>
      <c r="AK1704" s="45">
        <v>0</v>
      </c>
      <c r="AL1704" s="45">
        <v>0</v>
      </c>
      <c r="AM1704" s="57" t="str">
        <f>I1704-J1704-K1704-L1704-M1704-N1704-O1704-P1704-Q1704-R1704-S1704-T1704-U1704-V1704-W1704-X1704-Y1704-Z1704-AA1704-AB1704-AC1704-AD1704-AE1704-AF1704-AG1704+AH1704-AI1704+AJ1704+AK1704-AL1704</f>
        <v>0</v>
      </c>
      <c r="AN1704" s="45"/>
    </row>
    <row r="1705" spans="1:41">
      <c r="A1705" s="45">
        <v>1677</v>
      </c>
      <c r="B1705" s="45" t="s">
        <v>6531</v>
      </c>
      <c r="C1705" s="49" t="s">
        <v>6532</v>
      </c>
      <c r="D1705" s="53" t="s">
        <v>73</v>
      </c>
      <c r="E1705" s="45" t="s">
        <v>6507</v>
      </c>
      <c r="F1705" s="45" t="s">
        <v>2225</v>
      </c>
      <c r="G1705" s="45">
        <v>2</v>
      </c>
      <c r="H1705" s="53" t="s">
        <v>6533</v>
      </c>
      <c r="I1705" s="45">
        <v>450000</v>
      </c>
      <c r="J1705" s="45">
        <v>0</v>
      </c>
      <c r="K1705" s="45">
        <v>22000</v>
      </c>
      <c r="L1705" s="45">
        <v>0</v>
      </c>
      <c r="M1705" s="45">
        <v>0</v>
      </c>
      <c r="N1705" s="45">
        <v>0</v>
      </c>
      <c r="O1705" s="45">
        <v>0</v>
      </c>
      <c r="P1705" s="45">
        <v>0</v>
      </c>
      <c r="Q1705" s="45">
        <v>0</v>
      </c>
      <c r="R1705" s="45">
        <v>0</v>
      </c>
      <c r="S1705" s="45">
        <v>0</v>
      </c>
      <c r="T1705" s="45">
        <v>0</v>
      </c>
      <c r="U1705" s="45">
        <v>1397</v>
      </c>
      <c r="V1705" s="45">
        <v>0</v>
      </c>
      <c r="W1705" s="45">
        <v>0</v>
      </c>
      <c r="X1705" s="45">
        <v>0</v>
      </c>
      <c r="Y1705" s="45">
        <v>0</v>
      </c>
      <c r="Z1705" s="45">
        <v>0</v>
      </c>
      <c r="AA1705" s="45">
        <v>0</v>
      </c>
      <c r="AB1705" s="45">
        <v>0</v>
      </c>
      <c r="AC1705" s="45">
        <v>0</v>
      </c>
      <c r="AD1705" s="45">
        <v>0</v>
      </c>
      <c r="AE1705" s="45">
        <v>0</v>
      </c>
      <c r="AF1705" s="45">
        <v>0</v>
      </c>
      <c r="AG1705" s="45">
        <v>0</v>
      </c>
      <c r="AH1705" s="45">
        <v>0</v>
      </c>
      <c r="AI1705" s="45">
        <v>0</v>
      </c>
      <c r="AJ1705" s="45">
        <v>0</v>
      </c>
      <c r="AK1705" s="45">
        <v>0</v>
      </c>
      <c r="AL1705" s="45">
        <v>0</v>
      </c>
      <c r="AM1705" s="57" t="str">
        <f>I1705-J1705-K1705-L1705-M1705-N1705-O1705-P1705-Q1705-R1705-S1705-T1705-U1705-V1705-W1705-X1705-Y1705-Z1705-AA1705-AB1705-AC1705-AD1705-AE1705-AF1705-AG1705+AH1705-AI1705+AJ1705+AK1705-AL1705</f>
        <v>0</v>
      </c>
      <c r="AN1705" s="45"/>
    </row>
    <row r="1706" spans="1:41">
      <c r="A1706" s="45">
        <v>1678</v>
      </c>
      <c r="B1706" s="45" t="s">
        <v>6534</v>
      </c>
      <c r="C1706" s="49" t="s">
        <v>6535</v>
      </c>
      <c r="D1706" s="53" t="s">
        <v>73</v>
      </c>
      <c r="E1706" s="45" t="s">
        <v>6507</v>
      </c>
      <c r="F1706" s="45" t="s">
        <v>6536</v>
      </c>
      <c r="G1706" s="45">
        <v>7</v>
      </c>
      <c r="H1706" s="53" t="s">
        <v>6537</v>
      </c>
      <c r="I1706" s="45">
        <v>1540000</v>
      </c>
      <c r="J1706" s="45">
        <v>0</v>
      </c>
      <c r="K1706" s="45">
        <v>35000</v>
      </c>
      <c r="L1706" s="45">
        <v>0</v>
      </c>
      <c r="M1706" s="45">
        <v>0</v>
      </c>
      <c r="N1706" s="45">
        <v>0</v>
      </c>
      <c r="O1706" s="45">
        <v>0</v>
      </c>
      <c r="P1706" s="45">
        <v>0</v>
      </c>
      <c r="Q1706" s="45">
        <v>0</v>
      </c>
      <c r="R1706" s="45">
        <v>0</v>
      </c>
      <c r="S1706" s="45">
        <v>0</v>
      </c>
      <c r="T1706" s="45">
        <v>0</v>
      </c>
      <c r="U1706" s="45">
        <v>2222</v>
      </c>
      <c r="V1706" s="45">
        <v>0</v>
      </c>
      <c r="W1706" s="45">
        <v>0</v>
      </c>
      <c r="X1706" s="45">
        <v>0</v>
      </c>
      <c r="Y1706" s="45">
        <v>0</v>
      </c>
      <c r="Z1706" s="45">
        <v>0</v>
      </c>
      <c r="AA1706" s="45">
        <v>0</v>
      </c>
      <c r="AB1706" s="45">
        <v>0</v>
      </c>
      <c r="AC1706" s="45">
        <v>0</v>
      </c>
      <c r="AD1706" s="45">
        <v>0</v>
      </c>
      <c r="AE1706" s="45">
        <v>0</v>
      </c>
      <c r="AF1706" s="45">
        <v>0</v>
      </c>
      <c r="AG1706" s="45">
        <v>0</v>
      </c>
      <c r="AH1706" s="45">
        <v>0</v>
      </c>
      <c r="AI1706" s="45">
        <v>0</v>
      </c>
      <c r="AJ1706" s="45">
        <v>0</v>
      </c>
      <c r="AK1706" s="45">
        <v>0</v>
      </c>
      <c r="AL1706" s="45">
        <v>0</v>
      </c>
      <c r="AM1706" s="57" t="str">
        <f>I1706-J1706-K1706-L1706-M1706-N1706-O1706-P1706-Q1706-R1706-S1706-T1706-U1706-V1706-W1706-X1706-Y1706-Z1706-AA1706-AB1706-AC1706-AD1706-AE1706-AF1706-AG1706+AH1706-AI1706+AJ1706+AK1706-AL1706</f>
        <v>0</v>
      </c>
      <c r="AN1706" s="45"/>
    </row>
    <row r="1707" spans="1:41">
      <c r="A1707" s="45">
        <v>1679</v>
      </c>
      <c r="B1707" s="45" t="s">
        <v>6538</v>
      </c>
      <c r="C1707" s="49" t="s">
        <v>6539</v>
      </c>
      <c r="D1707" s="53" t="s">
        <v>73</v>
      </c>
      <c r="E1707" s="45" t="s">
        <v>6507</v>
      </c>
      <c r="F1707" s="45" t="s">
        <v>647</v>
      </c>
      <c r="G1707" s="45">
        <v>3</v>
      </c>
      <c r="H1707" s="53" t="s">
        <v>6540</v>
      </c>
      <c r="I1707" s="45">
        <v>2569000</v>
      </c>
      <c r="J1707" s="45">
        <v>0</v>
      </c>
      <c r="K1707" s="45">
        <v>22000</v>
      </c>
      <c r="L1707" s="45">
        <v>0</v>
      </c>
      <c r="M1707" s="45">
        <v>0</v>
      </c>
      <c r="N1707" s="45">
        <v>0</v>
      </c>
      <c r="O1707" s="45">
        <v>0</v>
      </c>
      <c r="P1707" s="45">
        <v>0</v>
      </c>
      <c r="Q1707" s="45">
        <v>0</v>
      </c>
      <c r="R1707" s="45">
        <v>0</v>
      </c>
      <c r="S1707" s="45">
        <v>0</v>
      </c>
      <c r="T1707" s="45">
        <v>0</v>
      </c>
      <c r="U1707" s="45">
        <v>1397</v>
      </c>
      <c r="V1707" s="45">
        <v>0</v>
      </c>
      <c r="W1707" s="45">
        <v>0</v>
      </c>
      <c r="X1707" s="45">
        <v>0</v>
      </c>
      <c r="Y1707" s="45">
        <v>0</v>
      </c>
      <c r="Z1707" s="45">
        <v>0</v>
      </c>
      <c r="AA1707" s="45">
        <v>0</v>
      </c>
      <c r="AB1707" s="45">
        <v>0</v>
      </c>
      <c r="AC1707" s="45">
        <v>0</v>
      </c>
      <c r="AD1707" s="45">
        <v>0</v>
      </c>
      <c r="AE1707" s="45">
        <v>0</v>
      </c>
      <c r="AF1707" s="45">
        <v>0</v>
      </c>
      <c r="AG1707" s="45">
        <v>0</v>
      </c>
      <c r="AH1707" s="45">
        <v>0</v>
      </c>
      <c r="AI1707" s="45">
        <v>0</v>
      </c>
      <c r="AJ1707" s="45">
        <v>0</v>
      </c>
      <c r="AK1707" s="45">
        <v>0</v>
      </c>
      <c r="AL1707" s="45">
        <v>0</v>
      </c>
      <c r="AM1707" s="57" t="str">
        <f>I1707-J1707-K1707-L1707-M1707-N1707-O1707-P1707-Q1707-R1707-S1707-T1707-U1707-V1707-W1707-X1707-Y1707-Z1707-AA1707-AB1707-AC1707-AD1707-AE1707-AF1707-AG1707+AH1707-AI1707+AJ1707+AK1707-AL1707</f>
        <v>0</v>
      </c>
      <c r="AN1707" s="45"/>
    </row>
    <row r="1708" spans="1:41">
      <c r="A1708" s="45">
        <v>1680</v>
      </c>
      <c r="B1708" s="45" t="s">
        <v>6541</v>
      </c>
      <c r="C1708" s="49" t="s">
        <v>6542</v>
      </c>
      <c r="D1708" s="53" t="s">
        <v>73</v>
      </c>
      <c r="E1708" s="45" t="s">
        <v>6507</v>
      </c>
      <c r="F1708" s="45" t="s">
        <v>3294</v>
      </c>
      <c r="G1708" s="45">
        <v>3</v>
      </c>
      <c r="H1708" s="53" t="s">
        <v>6543</v>
      </c>
      <c r="I1708" s="45">
        <v>334000</v>
      </c>
      <c r="J1708" s="45">
        <v>0</v>
      </c>
      <c r="K1708" s="45">
        <v>22000</v>
      </c>
      <c r="L1708" s="45">
        <v>0</v>
      </c>
      <c r="M1708" s="45">
        <v>0</v>
      </c>
      <c r="N1708" s="45">
        <v>0</v>
      </c>
      <c r="O1708" s="45">
        <v>0</v>
      </c>
      <c r="P1708" s="45">
        <v>0</v>
      </c>
      <c r="Q1708" s="45">
        <v>0</v>
      </c>
      <c r="R1708" s="45">
        <v>0</v>
      </c>
      <c r="S1708" s="45">
        <v>0</v>
      </c>
      <c r="T1708" s="45">
        <v>0</v>
      </c>
      <c r="U1708" s="45">
        <v>1397</v>
      </c>
      <c r="V1708" s="45">
        <v>0</v>
      </c>
      <c r="W1708" s="45">
        <v>0</v>
      </c>
      <c r="X1708" s="45">
        <v>0</v>
      </c>
      <c r="Y1708" s="45">
        <v>0</v>
      </c>
      <c r="Z1708" s="45">
        <v>0</v>
      </c>
      <c r="AA1708" s="45">
        <v>0</v>
      </c>
      <c r="AB1708" s="45">
        <v>0</v>
      </c>
      <c r="AC1708" s="45">
        <v>0</v>
      </c>
      <c r="AD1708" s="45">
        <v>0</v>
      </c>
      <c r="AE1708" s="45">
        <v>0</v>
      </c>
      <c r="AF1708" s="45">
        <v>0</v>
      </c>
      <c r="AG1708" s="45">
        <v>0</v>
      </c>
      <c r="AH1708" s="45">
        <v>0</v>
      </c>
      <c r="AI1708" s="45">
        <v>0</v>
      </c>
      <c r="AJ1708" s="45">
        <v>0</v>
      </c>
      <c r="AK1708" s="45">
        <v>0</v>
      </c>
      <c r="AL1708" s="45">
        <v>0</v>
      </c>
      <c r="AM1708" s="57" t="str">
        <f>I1708-J1708-K1708-L1708-M1708-N1708-O1708-P1708-Q1708-R1708-S1708-T1708-U1708-V1708-W1708-X1708-Y1708-Z1708-AA1708-AB1708-AC1708-AD1708-AE1708-AF1708-AG1708+AH1708-AI1708+AJ1708+AK1708-AL1708</f>
        <v>0</v>
      </c>
      <c r="AN1708" s="45"/>
    </row>
    <row r="1709" spans="1:41">
      <c r="A1709" s="45">
        <v>1681</v>
      </c>
      <c r="B1709" s="45" t="s">
        <v>6544</v>
      </c>
      <c r="C1709" s="49" t="s">
        <v>6545</v>
      </c>
      <c r="D1709" s="53" t="s">
        <v>73</v>
      </c>
      <c r="E1709" s="45" t="s">
        <v>6507</v>
      </c>
      <c r="F1709" s="45" t="s">
        <v>6546</v>
      </c>
      <c r="G1709" s="45">
        <v>2</v>
      </c>
      <c r="H1709" s="53" t="s">
        <v>6547</v>
      </c>
      <c r="I1709" s="45">
        <v>214000</v>
      </c>
      <c r="J1709" s="45">
        <v>0</v>
      </c>
      <c r="K1709" s="45">
        <v>22000</v>
      </c>
      <c r="L1709" s="45">
        <v>0</v>
      </c>
      <c r="M1709" s="45">
        <v>0</v>
      </c>
      <c r="N1709" s="45">
        <v>0</v>
      </c>
      <c r="O1709" s="45">
        <v>0</v>
      </c>
      <c r="P1709" s="45">
        <v>0</v>
      </c>
      <c r="Q1709" s="45">
        <v>0</v>
      </c>
      <c r="R1709" s="45">
        <v>0</v>
      </c>
      <c r="S1709" s="45">
        <v>0</v>
      </c>
      <c r="T1709" s="45">
        <v>0</v>
      </c>
      <c r="U1709" s="45">
        <v>1397</v>
      </c>
      <c r="V1709" s="45">
        <v>0</v>
      </c>
      <c r="W1709" s="45">
        <v>0</v>
      </c>
      <c r="X1709" s="45">
        <v>0</v>
      </c>
      <c r="Y1709" s="45">
        <v>0</v>
      </c>
      <c r="Z1709" s="45">
        <v>0</v>
      </c>
      <c r="AA1709" s="45">
        <v>0</v>
      </c>
      <c r="AB1709" s="45">
        <v>0</v>
      </c>
      <c r="AC1709" s="45">
        <v>0</v>
      </c>
      <c r="AD1709" s="45">
        <v>0</v>
      </c>
      <c r="AE1709" s="45">
        <v>0</v>
      </c>
      <c r="AF1709" s="45">
        <v>0</v>
      </c>
      <c r="AG1709" s="45">
        <v>0</v>
      </c>
      <c r="AH1709" s="45">
        <v>0</v>
      </c>
      <c r="AI1709" s="45">
        <v>0</v>
      </c>
      <c r="AJ1709" s="45">
        <v>0</v>
      </c>
      <c r="AK1709" s="45">
        <v>0</v>
      </c>
      <c r="AL1709" s="45">
        <v>0</v>
      </c>
      <c r="AM1709" s="57" t="str">
        <f>I1709-J1709-K1709-L1709-M1709-N1709-O1709-P1709-Q1709-R1709-S1709-T1709-U1709-V1709-W1709-X1709-Y1709-Z1709-AA1709-AB1709-AC1709-AD1709-AE1709-AF1709-AG1709+AH1709-AI1709+AJ1709+AK1709-AL1709</f>
        <v>0</v>
      </c>
      <c r="AN1709" s="45"/>
    </row>
    <row r="1710" spans="1:41">
      <c r="A1710" s="45">
        <v>1682</v>
      </c>
      <c r="B1710" s="45" t="s">
        <v>6548</v>
      </c>
      <c r="C1710" s="49" t="s">
        <v>6549</v>
      </c>
      <c r="D1710" s="53" t="s">
        <v>73</v>
      </c>
      <c r="E1710" s="45" t="s">
        <v>6507</v>
      </c>
      <c r="F1710" s="45" t="s">
        <v>6550</v>
      </c>
      <c r="G1710" s="45">
        <v>3</v>
      </c>
      <c r="H1710" s="53" t="s">
        <v>6551</v>
      </c>
      <c r="I1710" s="45">
        <v>334000</v>
      </c>
      <c r="J1710" s="45">
        <v>0</v>
      </c>
      <c r="K1710" s="45">
        <v>22000</v>
      </c>
      <c r="L1710" s="45">
        <v>0</v>
      </c>
      <c r="M1710" s="45">
        <v>0</v>
      </c>
      <c r="N1710" s="45">
        <v>0</v>
      </c>
      <c r="O1710" s="45">
        <v>0</v>
      </c>
      <c r="P1710" s="45">
        <v>0</v>
      </c>
      <c r="Q1710" s="45">
        <v>0</v>
      </c>
      <c r="R1710" s="45">
        <v>0</v>
      </c>
      <c r="S1710" s="45">
        <v>0</v>
      </c>
      <c r="T1710" s="45">
        <v>0</v>
      </c>
      <c r="U1710" s="45">
        <v>1397</v>
      </c>
      <c r="V1710" s="45">
        <v>0</v>
      </c>
      <c r="W1710" s="45">
        <v>0</v>
      </c>
      <c r="X1710" s="45">
        <v>0</v>
      </c>
      <c r="Y1710" s="45">
        <v>0</v>
      </c>
      <c r="Z1710" s="45">
        <v>0</v>
      </c>
      <c r="AA1710" s="45">
        <v>0</v>
      </c>
      <c r="AB1710" s="45">
        <v>0</v>
      </c>
      <c r="AC1710" s="45">
        <v>0</v>
      </c>
      <c r="AD1710" s="45">
        <v>0</v>
      </c>
      <c r="AE1710" s="45">
        <v>0</v>
      </c>
      <c r="AF1710" s="45">
        <v>0</v>
      </c>
      <c r="AG1710" s="45">
        <v>0</v>
      </c>
      <c r="AH1710" s="45">
        <v>0</v>
      </c>
      <c r="AI1710" s="45">
        <v>0</v>
      </c>
      <c r="AJ1710" s="45">
        <v>0</v>
      </c>
      <c r="AK1710" s="45">
        <v>0</v>
      </c>
      <c r="AL1710" s="45">
        <v>0</v>
      </c>
      <c r="AM1710" s="57" t="str">
        <f>I1710-J1710-K1710-L1710-M1710-N1710-O1710-P1710-Q1710-R1710-S1710-T1710-U1710-V1710-W1710-X1710-Y1710-Z1710-AA1710-AB1710-AC1710-AD1710-AE1710-AF1710-AG1710+AH1710-AI1710+AJ1710+AK1710-AL1710</f>
        <v>0</v>
      </c>
      <c r="AN1710" s="45"/>
    </row>
    <row r="1711" spans="1:41">
      <c r="A1711" s="45">
        <v>1683</v>
      </c>
      <c r="B1711" s="45" t="s">
        <v>6552</v>
      </c>
      <c r="C1711" s="49" t="s">
        <v>6553</v>
      </c>
      <c r="D1711" s="53" t="s">
        <v>73</v>
      </c>
      <c r="E1711" s="45" t="s">
        <v>6507</v>
      </c>
      <c r="F1711" s="45" t="s">
        <v>6554</v>
      </c>
      <c r="G1711" s="45">
        <v>8</v>
      </c>
      <c r="H1711" s="53" t="s">
        <v>6555</v>
      </c>
      <c r="I1711" s="45">
        <v>608000</v>
      </c>
      <c r="J1711" s="45">
        <v>0</v>
      </c>
      <c r="K1711" s="45">
        <v>39000</v>
      </c>
      <c r="L1711" s="45">
        <v>0</v>
      </c>
      <c r="M1711" s="45">
        <v>0</v>
      </c>
      <c r="N1711" s="45">
        <v>0</v>
      </c>
      <c r="O1711" s="45">
        <v>0</v>
      </c>
      <c r="P1711" s="45">
        <v>0</v>
      </c>
      <c r="Q1711" s="45">
        <v>0</v>
      </c>
      <c r="R1711" s="45">
        <v>0</v>
      </c>
      <c r="S1711" s="45">
        <v>0</v>
      </c>
      <c r="T1711" s="45">
        <v>0</v>
      </c>
      <c r="U1711" s="45">
        <v>2476</v>
      </c>
      <c r="V1711" s="45">
        <v>0</v>
      </c>
      <c r="W1711" s="45">
        <v>0</v>
      </c>
      <c r="X1711" s="45">
        <v>0</v>
      </c>
      <c r="Y1711" s="45">
        <v>0</v>
      </c>
      <c r="Z1711" s="45">
        <v>0</v>
      </c>
      <c r="AA1711" s="45">
        <v>0</v>
      </c>
      <c r="AB1711" s="45">
        <v>0</v>
      </c>
      <c r="AC1711" s="45">
        <v>0</v>
      </c>
      <c r="AD1711" s="45">
        <v>0</v>
      </c>
      <c r="AE1711" s="45">
        <v>0</v>
      </c>
      <c r="AF1711" s="45">
        <v>0</v>
      </c>
      <c r="AG1711" s="45">
        <v>0</v>
      </c>
      <c r="AH1711" s="45">
        <v>0</v>
      </c>
      <c r="AI1711" s="45">
        <v>0</v>
      </c>
      <c r="AJ1711" s="45">
        <v>0</v>
      </c>
      <c r="AK1711" s="45">
        <v>0</v>
      </c>
      <c r="AL1711" s="45">
        <v>0</v>
      </c>
      <c r="AM1711" s="57" t="str">
        <f>I1711-J1711-K1711-L1711-M1711-N1711-O1711-P1711-Q1711-R1711-S1711-T1711-U1711-V1711-W1711-X1711-Y1711-Z1711-AA1711-AB1711-AC1711-AD1711-AE1711-AF1711-AG1711+AH1711-AI1711+AJ1711+AK1711-AL1711</f>
        <v>0</v>
      </c>
      <c r="AN1711" s="45"/>
    </row>
    <row r="1712" spans="1:41">
      <c r="A1712" s="45">
        <v>1684</v>
      </c>
      <c r="B1712" s="45" t="s">
        <v>6556</v>
      </c>
      <c r="C1712" s="49" t="s">
        <v>6557</v>
      </c>
      <c r="D1712" s="53" t="s">
        <v>73</v>
      </c>
      <c r="E1712" s="45" t="s">
        <v>6507</v>
      </c>
      <c r="F1712" s="45" t="s">
        <v>6558</v>
      </c>
      <c r="G1712" s="45">
        <v>19</v>
      </c>
      <c r="H1712" s="53" t="s">
        <v>6559</v>
      </c>
      <c r="I1712" s="45">
        <v>2505000</v>
      </c>
      <c r="J1712" s="45">
        <v>0</v>
      </c>
      <c r="K1712" s="45">
        <v>94000</v>
      </c>
      <c r="L1712" s="45">
        <v>0</v>
      </c>
      <c r="M1712" s="45">
        <v>0</v>
      </c>
      <c r="N1712" s="45">
        <v>0</v>
      </c>
      <c r="O1712" s="45">
        <v>0</v>
      </c>
      <c r="P1712" s="45">
        <v>0</v>
      </c>
      <c r="Q1712" s="45">
        <v>0</v>
      </c>
      <c r="R1712" s="45">
        <v>0</v>
      </c>
      <c r="S1712" s="45">
        <v>0</v>
      </c>
      <c r="T1712" s="45">
        <v>0</v>
      </c>
      <c r="U1712" s="45">
        <v>5969</v>
      </c>
      <c r="V1712" s="45">
        <v>0</v>
      </c>
      <c r="W1712" s="45">
        <v>0</v>
      </c>
      <c r="X1712" s="45">
        <v>0</v>
      </c>
      <c r="Y1712" s="45">
        <v>0</v>
      </c>
      <c r="Z1712" s="45">
        <v>0</v>
      </c>
      <c r="AA1712" s="45">
        <v>0</v>
      </c>
      <c r="AB1712" s="45">
        <v>0</v>
      </c>
      <c r="AC1712" s="45">
        <v>0</v>
      </c>
      <c r="AD1712" s="45">
        <v>0</v>
      </c>
      <c r="AE1712" s="45">
        <v>0</v>
      </c>
      <c r="AF1712" s="45">
        <v>0</v>
      </c>
      <c r="AG1712" s="45">
        <v>0</v>
      </c>
      <c r="AH1712" s="45">
        <v>0</v>
      </c>
      <c r="AI1712" s="45">
        <v>0</v>
      </c>
      <c r="AJ1712" s="45">
        <v>0</v>
      </c>
      <c r="AK1712" s="45">
        <v>0</v>
      </c>
      <c r="AL1712" s="45">
        <v>0</v>
      </c>
      <c r="AM1712" s="57" t="str">
        <f>I1712-J1712-K1712-L1712-M1712-N1712-O1712-P1712-Q1712-R1712-S1712-T1712-U1712-V1712-W1712-X1712-Y1712-Z1712-AA1712-AB1712-AC1712-AD1712-AE1712-AF1712-AG1712+AH1712-AI1712+AJ1712+AK1712-AL1712</f>
        <v>0</v>
      </c>
      <c r="AN1712" s="45"/>
    </row>
    <row r="1713" spans="1:41">
      <c r="A1713" s="45">
        <v>1685</v>
      </c>
      <c r="B1713" s="45" t="s">
        <v>6560</v>
      </c>
      <c r="C1713" s="49" t="s">
        <v>6561</v>
      </c>
      <c r="D1713" s="53" t="s">
        <v>73</v>
      </c>
      <c r="E1713" s="45" t="s">
        <v>6507</v>
      </c>
      <c r="F1713" s="45" t="s">
        <v>3870</v>
      </c>
      <c r="G1713" s="45">
        <v>3</v>
      </c>
      <c r="H1713" s="53" t="s">
        <v>6562</v>
      </c>
      <c r="I1713" s="45">
        <v>585000</v>
      </c>
      <c r="J1713" s="45">
        <v>0</v>
      </c>
      <c r="K1713" s="45">
        <v>22000</v>
      </c>
      <c r="L1713" s="45">
        <v>0</v>
      </c>
      <c r="M1713" s="45">
        <v>0</v>
      </c>
      <c r="N1713" s="45">
        <v>0</v>
      </c>
      <c r="O1713" s="45">
        <v>0</v>
      </c>
      <c r="P1713" s="45">
        <v>0</v>
      </c>
      <c r="Q1713" s="45">
        <v>0</v>
      </c>
      <c r="R1713" s="45">
        <v>0</v>
      </c>
      <c r="S1713" s="45">
        <v>0</v>
      </c>
      <c r="T1713" s="45">
        <v>0</v>
      </c>
      <c r="U1713" s="45">
        <v>1397</v>
      </c>
      <c r="V1713" s="45">
        <v>0</v>
      </c>
      <c r="W1713" s="45">
        <v>0</v>
      </c>
      <c r="X1713" s="45">
        <v>0</v>
      </c>
      <c r="Y1713" s="45">
        <v>0</v>
      </c>
      <c r="Z1713" s="45">
        <v>0</v>
      </c>
      <c r="AA1713" s="45">
        <v>0</v>
      </c>
      <c r="AB1713" s="45">
        <v>0</v>
      </c>
      <c r="AC1713" s="45">
        <v>0</v>
      </c>
      <c r="AD1713" s="45">
        <v>0</v>
      </c>
      <c r="AE1713" s="45">
        <v>0</v>
      </c>
      <c r="AF1713" s="45">
        <v>0</v>
      </c>
      <c r="AG1713" s="45">
        <v>0</v>
      </c>
      <c r="AH1713" s="45">
        <v>0</v>
      </c>
      <c r="AI1713" s="45">
        <v>0</v>
      </c>
      <c r="AJ1713" s="45">
        <v>0</v>
      </c>
      <c r="AK1713" s="45">
        <v>0</v>
      </c>
      <c r="AL1713" s="45">
        <v>0</v>
      </c>
      <c r="AM1713" s="57" t="str">
        <f>I1713-J1713-K1713-L1713-M1713-N1713-O1713-P1713-Q1713-R1713-S1713-T1713-U1713-V1713-W1713-X1713-Y1713-Z1713-AA1713-AB1713-AC1713-AD1713-AE1713-AF1713-AG1713+AH1713-AI1713+AJ1713+AK1713-AL1713</f>
        <v>0</v>
      </c>
      <c r="AN1713" s="45"/>
    </row>
    <row r="1714" spans="1:41">
      <c r="A1714" s="45">
        <v>1686</v>
      </c>
      <c r="B1714" s="45" t="s">
        <v>6563</v>
      </c>
      <c r="C1714" s="49" t="s">
        <v>6564</v>
      </c>
      <c r="D1714" s="53" t="s">
        <v>73</v>
      </c>
      <c r="E1714" s="45" t="s">
        <v>6507</v>
      </c>
      <c r="F1714" s="45" t="s">
        <v>6565</v>
      </c>
      <c r="G1714" s="45">
        <v>13.5</v>
      </c>
      <c r="H1714" s="53" t="s">
        <v>6566</v>
      </c>
      <c r="I1714" s="45">
        <v>1844000</v>
      </c>
      <c r="J1714" s="45">
        <v>0</v>
      </c>
      <c r="K1714" s="45">
        <v>69000</v>
      </c>
      <c r="L1714" s="45">
        <v>0</v>
      </c>
      <c r="M1714" s="45">
        <v>0</v>
      </c>
      <c r="N1714" s="45">
        <v>0</v>
      </c>
      <c r="O1714" s="45">
        <v>0</v>
      </c>
      <c r="P1714" s="45">
        <v>0</v>
      </c>
      <c r="Q1714" s="45">
        <v>0</v>
      </c>
      <c r="R1714" s="45">
        <v>0</v>
      </c>
      <c r="S1714" s="45">
        <v>0</v>
      </c>
      <c r="T1714" s="45">
        <v>0</v>
      </c>
      <c r="U1714" s="45">
        <v>4381</v>
      </c>
      <c r="V1714" s="45">
        <v>0</v>
      </c>
      <c r="W1714" s="45">
        <v>0</v>
      </c>
      <c r="X1714" s="45">
        <v>0</v>
      </c>
      <c r="Y1714" s="45">
        <v>0</v>
      </c>
      <c r="Z1714" s="45">
        <v>0</v>
      </c>
      <c r="AA1714" s="45">
        <v>0</v>
      </c>
      <c r="AB1714" s="45">
        <v>0</v>
      </c>
      <c r="AC1714" s="45">
        <v>0</v>
      </c>
      <c r="AD1714" s="45">
        <v>0</v>
      </c>
      <c r="AE1714" s="45">
        <v>0</v>
      </c>
      <c r="AF1714" s="45">
        <v>0</v>
      </c>
      <c r="AG1714" s="45">
        <v>0</v>
      </c>
      <c r="AH1714" s="45">
        <v>0</v>
      </c>
      <c r="AI1714" s="45">
        <v>0</v>
      </c>
      <c r="AJ1714" s="45">
        <v>0</v>
      </c>
      <c r="AK1714" s="45">
        <v>0</v>
      </c>
      <c r="AL1714" s="45">
        <v>0</v>
      </c>
      <c r="AM1714" s="57" t="str">
        <f>I1714-J1714-K1714-L1714-M1714-N1714-O1714-P1714-Q1714-R1714-S1714-T1714-U1714-V1714-W1714-X1714-Y1714-Z1714-AA1714-AB1714-AC1714-AD1714-AE1714-AF1714-AG1714+AH1714-AI1714+AJ1714+AK1714-AL1714</f>
        <v>0</v>
      </c>
      <c r="AN1714" s="45"/>
    </row>
    <row r="1715" spans="1:41">
      <c r="A1715" s="45">
        <v>1687</v>
      </c>
      <c r="B1715" s="45" t="s">
        <v>6567</v>
      </c>
      <c r="C1715" s="49" t="s">
        <v>6568</v>
      </c>
      <c r="D1715" s="53" t="s">
        <v>73</v>
      </c>
      <c r="E1715" s="45" t="s">
        <v>6507</v>
      </c>
      <c r="F1715" s="45" t="s">
        <v>5436</v>
      </c>
      <c r="G1715" s="45">
        <v>6</v>
      </c>
      <c r="H1715" s="53" t="s">
        <v>6569</v>
      </c>
      <c r="I1715" s="45">
        <v>699000</v>
      </c>
      <c r="J1715" s="45">
        <v>0</v>
      </c>
      <c r="K1715" s="45">
        <v>31000</v>
      </c>
      <c r="L1715" s="45">
        <v>0</v>
      </c>
      <c r="M1715" s="45">
        <v>0</v>
      </c>
      <c r="N1715" s="45">
        <v>0</v>
      </c>
      <c r="O1715" s="45">
        <v>0</v>
      </c>
      <c r="P1715" s="45">
        <v>0</v>
      </c>
      <c r="Q1715" s="45">
        <v>0</v>
      </c>
      <c r="R1715" s="45">
        <v>0</v>
      </c>
      <c r="S1715" s="45">
        <v>0</v>
      </c>
      <c r="T1715" s="45">
        <v>0</v>
      </c>
      <c r="U1715" s="45">
        <v>1968</v>
      </c>
      <c r="V1715" s="45">
        <v>0</v>
      </c>
      <c r="W1715" s="45">
        <v>0</v>
      </c>
      <c r="X1715" s="45">
        <v>0</v>
      </c>
      <c r="Y1715" s="45">
        <v>0</v>
      </c>
      <c r="Z1715" s="45">
        <v>0</v>
      </c>
      <c r="AA1715" s="45">
        <v>0</v>
      </c>
      <c r="AB1715" s="45">
        <v>0</v>
      </c>
      <c r="AC1715" s="45">
        <v>0</v>
      </c>
      <c r="AD1715" s="45">
        <v>0</v>
      </c>
      <c r="AE1715" s="45">
        <v>0</v>
      </c>
      <c r="AF1715" s="45">
        <v>0</v>
      </c>
      <c r="AG1715" s="45">
        <v>0</v>
      </c>
      <c r="AH1715" s="45">
        <v>0</v>
      </c>
      <c r="AI1715" s="45">
        <v>0</v>
      </c>
      <c r="AJ1715" s="45">
        <v>0</v>
      </c>
      <c r="AK1715" s="45">
        <v>0</v>
      </c>
      <c r="AL1715" s="45">
        <v>0</v>
      </c>
      <c r="AM1715" s="57" t="str">
        <f>I1715-J1715-K1715-L1715-M1715-N1715-O1715-P1715-Q1715-R1715-S1715-T1715-U1715-V1715-W1715-X1715-Y1715-Z1715-AA1715-AB1715-AC1715-AD1715-AE1715-AF1715-AG1715+AH1715-AI1715+AJ1715+AK1715-AL1715</f>
        <v>0</v>
      </c>
      <c r="AN1715" s="45"/>
    </row>
    <row r="1716" spans="1:41">
      <c r="A1716" s="45">
        <v>1688</v>
      </c>
      <c r="B1716" s="45" t="s">
        <v>6570</v>
      </c>
      <c r="C1716" s="49" t="s">
        <v>6571</v>
      </c>
      <c r="D1716" s="53" t="s">
        <v>73</v>
      </c>
      <c r="E1716" s="45" t="s">
        <v>6507</v>
      </c>
      <c r="F1716" s="45" t="s">
        <v>5710</v>
      </c>
      <c r="G1716" s="45">
        <v>5.8</v>
      </c>
      <c r="H1716" s="53" t="s">
        <v>6572</v>
      </c>
      <c r="I1716" s="45">
        <v>634000</v>
      </c>
      <c r="J1716" s="45">
        <v>0</v>
      </c>
      <c r="K1716" s="45">
        <v>31000</v>
      </c>
      <c r="L1716" s="45">
        <v>0</v>
      </c>
      <c r="M1716" s="45">
        <v>0</v>
      </c>
      <c r="N1716" s="45">
        <v>0</v>
      </c>
      <c r="O1716" s="45">
        <v>0</v>
      </c>
      <c r="P1716" s="45">
        <v>0</v>
      </c>
      <c r="Q1716" s="45">
        <v>0</v>
      </c>
      <c r="R1716" s="45">
        <v>0</v>
      </c>
      <c r="S1716" s="45">
        <v>0</v>
      </c>
      <c r="T1716" s="45">
        <v>0</v>
      </c>
      <c r="U1716" s="45">
        <v>1968</v>
      </c>
      <c r="V1716" s="45">
        <v>0</v>
      </c>
      <c r="W1716" s="45">
        <v>0</v>
      </c>
      <c r="X1716" s="45">
        <v>0</v>
      </c>
      <c r="Y1716" s="45">
        <v>0</v>
      </c>
      <c r="Z1716" s="45">
        <v>0</v>
      </c>
      <c r="AA1716" s="45">
        <v>0</v>
      </c>
      <c r="AB1716" s="45">
        <v>0</v>
      </c>
      <c r="AC1716" s="45">
        <v>0</v>
      </c>
      <c r="AD1716" s="45">
        <v>0</v>
      </c>
      <c r="AE1716" s="45">
        <v>0</v>
      </c>
      <c r="AF1716" s="45">
        <v>0</v>
      </c>
      <c r="AG1716" s="45">
        <v>0</v>
      </c>
      <c r="AH1716" s="45">
        <v>0</v>
      </c>
      <c r="AI1716" s="45">
        <v>0</v>
      </c>
      <c r="AJ1716" s="45">
        <v>0</v>
      </c>
      <c r="AK1716" s="45">
        <v>0</v>
      </c>
      <c r="AL1716" s="45">
        <v>0</v>
      </c>
      <c r="AM1716" s="57" t="str">
        <f>I1716-J1716-K1716-L1716-M1716-N1716-O1716-P1716-Q1716-R1716-S1716-T1716-U1716-V1716-W1716-X1716-Y1716-Z1716-AA1716-AB1716-AC1716-AD1716-AE1716-AF1716-AG1716+AH1716-AI1716+AJ1716+AK1716-AL1716</f>
        <v>0</v>
      </c>
      <c r="AN1716" s="45"/>
    </row>
    <row r="1717" spans="1:41">
      <c r="A1717" s="45">
        <v>1689</v>
      </c>
      <c r="B1717" s="45" t="s">
        <v>6573</v>
      </c>
      <c r="C1717" s="49" t="s">
        <v>6574</v>
      </c>
      <c r="D1717" s="53" t="s">
        <v>73</v>
      </c>
      <c r="E1717" s="45" t="s">
        <v>6507</v>
      </c>
      <c r="F1717" s="45" t="s">
        <v>6575</v>
      </c>
      <c r="G1717" s="45">
        <v>12.8</v>
      </c>
      <c r="H1717" s="53" t="s">
        <v>6576</v>
      </c>
      <c r="I1717" s="45">
        <v>1011000</v>
      </c>
      <c r="J1717" s="45">
        <v>0</v>
      </c>
      <c r="K1717" s="45">
        <v>64000</v>
      </c>
      <c r="L1717" s="45">
        <v>0</v>
      </c>
      <c r="M1717" s="45">
        <v>0</v>
      </c>
      <c r="N1717" s="45">
        <v>0</v>
      </c>
      <c r="O1717" s="45">
        <v>0</v>
      </c>
      <c r="P1717" s="45">
        <v>0</v>
      </c>
      <c r="Q1717" s="45">
        <v>0</v>
      </c>
      <c r="R1717" s="45">
        <v>0</v>
      </c>
      <c r="S1717" s="45">
        <v>0</v>
      </c>
      <c r="T1717" s="45">
        <v>0</v>
      </c>
      <c r="U1717" s="45">
        <v>4064</v>
      </c>
      <c r="V1717" s="45">
        <v>0</v>
      </c>
      <c r="W1717" s="45">
        <v>0</v>
      </c>
      <c r="X1717" s="45">
        <v>0</v>
      </c>
      <c r="Y1717" s="45">
        <v>0</v>
      </c>
      <c r="Z1717" s="45">
        <v>0</v>
      </c>
      <c r="AA1717" s="45">
        <v>0</v>
      </c>
      <c r="AB1717" s="45">
        <v>0</v>
      </c>
      <c r="AC1717" s="45">
        <v>0</v>
      </c>
      <c r="AD1717" s="45">
        <v>0</v>
      </c>
      <c r="AE1717" s="45">
        <v>0</v>
      </c>
      <c r="AF1717" s="45">
        <v>0</v>
      </c>
      <c r="AG1717" s="45">
        <v>0</v>
      </c>
      <c r="AH1717" s="45">
        <v>0</v>
      </c>
      <c r="AI1717" s="45">
        <v>0</v>
      </c>
      <c r="AJ1717" s="45">
        <v>0</v>
      </c>
      <c r="AK1717" s="45">
        <v>0</v>
      </c>
      <c r="AL1717" s="45">
        <v>0</v>
      </c>
      <c r="AM1717" s="57" t="str">
        <f>I1717-J1717-K1717-L1717-M1717-N1717-O1717-P1717-Q1717-R1717-S1717-T1717-U1717-V1717-W1717-X1717-Y1717-Z1717-AA1717-AB1717-AC1717-AD1717-AE1717-AF1717-AG1717+AH1717-AI1717+AJ1717+AK1717-AL1717</f>
        <v>0</v>
      </c>
      <c r="AN1717" s="45"/>
    </row>
    <row r="1718" spans="1:41">
      <c r="A1718" s="45">
        <v>1690</v>
      </c>
      <c r="B1718" s="45" t="s">
        <v>6577</v>
      </c>
      <c r="C1718" s="49" t="s">
        <v>6578</v>
      </c>
      <c r="D1718" s="53" t="s">
        <v>73</v>
      </c>
      <c r="E1718" s="45" t="s">
        <v>6507</v>
      </c>
      <c r="F1718" s="45" t="s">
        <v>6331</v>
      </c>
      <c r="G1718" s="45">
        <v>3</v>
      </c>
      <c r="H1718" s="53" t="s">
        <v>6579</v>
      </c>
      <c r="I1718" s="45">
        <v>394000</v>
      </c>
      <c r="J1718" s="45">
        <v>0</v>
      </c>
      <c r="K1718" s="45">
        <v>22000</v>
      </c>
      <c r="L1718" s="45">
        <v>0</v>
      </c>
      <c r="M1718" s="45">
        <v>0</v>
      </c>
      <c r="N1718" s="45">
        <v>0</v>
      </c>
      <c r="O1718" s="45">
        <v>0</v>
      </c>
      <c r="P1718" s="45">
        <v>0</v>
      </c>
      <c r="Q1718" s="45">
        <v>0</v>
      </c>
      <c r="R1718" s="45">
        <v>0</v>
      </c>
      <c r="S1718" s="45">
        <v>0</v>
      </c>
      <c r="T1718" s="45">
        <v>0</v>
      </c>
      <c r="U1718" s="45">
        <v>1397</v>
      </c>
      <c r="V1718" s="45">
        <v>0</v>
      </c>
      <c r="W1718" s="45">
        <v>0</v>
      </c>
      <c r="X1718" s="45">
        <v>0</v>
      </c>
      <c r="Y1718" s="45">
        <v>0</v>
      </c>
      <c r="Z1718" s="45">
        <v>0</v>
      </c>
      <c r="AA1718" s="45">
        <v>0</v>
      </c>
      <c r="AB1718" s="45">
        <v>0</v>
      </c>
      <c r="AC1718" s="45">
        <v>0</v>
      </c>
      <c r="AD1718" s="45">
        <v>0</v>
      </c>
      <c r="AE1718" s="45">
        <v>0</v>
      </c>
      <c r="AF1718" s="45">
        <v>0</v>
      </c>
      <c r="AG1718" s="45">
        <v>0</v>
      </c>
      <c r="AH1718" s="45">
        <v>0</v>
      </c>
      <c r="AI1718" s="45">
        <v>0</v>
      </c>
      <c r="AJ1718" s="45">
        <v>0</v>
      </c>
      <c r="AK1718" s="45">
        <v>0</v>
      </c>
      <c r="AL1718" s="45">
        <v>0</v>
      </c>
      <c r="AM1718" s="57" t="str">
        <f>I1718-J1718-K1718-L1718-M1718-N1718-O1718-P1718-Q1718-R1718-S1718-T1718-U1718-V1718-W1718-X1718-Y1718-Z1718-AA1718-AB1718-AC1718-AD1718-AE1718-AF1718-AG1718+AH1718-AI1718+AJ1718+AK1718-AL1718</f>
        <v>0</v>
      </c>
      <c r="AN1718" s="45"/>
    </row>
    <row r="1719" spans="1:41">
      <c r="A1719" s="45">
        <v>1691</v>
      </c>
      <c r="B1719" s="45" t="s">
        <v>6580</v>
      </c>
      <c r="C1719" s="49" t="s">
        <v>6581</v>
      </c>
      <c r="D1719" s="53" t="s">
        <v>73</v>
      </c>
      <c r="E1719" s="45" t="s">
        <v>6582</v>
      </c>
      <c r="F1719" s="45" t="s">
        <v>5330</v>
      </c>
      <c r="G1719" s="45">
        <v>4</v>
      </c>
      <c r="H1719" s="53" t="s">
        <v>6583</v>
      </c>
      <c r="I1719" s="45">
        <v>510000</v>
      </c>
      <c r="J1719" s="45">
        <v>0</v>
      </c>
      <c r="K1719" s="45">
        <v>25000</v>
      </c>
      <c r="L1719" s="45">
        <v>0</v>
      </c>
      <c r="M1719" s="45">
        <v>0</v>
      </c>
      <c r="N1719" s="45">
        <v>0</v>
      </c>
      <c r="O1719" s="45">
        <v>0</v>
      </c>
      <c r="P1719" s="45">
        <v>0</v>
      </c>
      <c r="Q1719" s="45">
        <v>0</v>
      </c>
      <c r="R1719" s="45">
        <v>0</v>
      </c>
      <c r="S1719" s="45">
        <v>0</v>
      </c>
      <c r="T1719" s="45">
        <v>0</v>
      </c>
      <c r="U1719" s="45">
        <v>1587</v>
      </c>
      <c r="V1719" s="45">
        <v>0</v>
      </c>
      <c r="W1719" s="45">
        <v>0</v>
      </c>
      <c r="X1719" s="45">
        <v>0</v>
      </c>
      <c r="Y1719" s="45">
        <v>0</v>
      </c>
      <c r="Z1719" s="45">
        <v>0</v>
      </c>
      <c r="AA1719" s="45">
        <v>0</v>
      </c>
      <c r="AB1719" s="45">
        <v>0</v>
      </c>
      <c r="AC1719" s="45">
        <v>0</v>
      </c>
      <c r="AD1719" s="45">
        <v>0</v>
      </c>
      <c r="AE1719" s="45">
        <v>0</v>
      </c>
      <c r="AF1719" s="45">
        <v>0</v>
      </c>
      <c r="AG1719" s="45">
        <v>0</v>
      </c>
      <c r="AH1719" s="45">
        <v>0</v>
      </c>
      <c r="AI1719" s="45">
        <v>0</v>
      </c>
      <c r="AJ1719" s="45">
        <v>0</v>
      </c>
      <c r="AK1719" s="45">
        <v>0</v>
      </c>
      <c r="AL1719" s="45">
        <v>0</v>
      </c>
      <c r="AM1719" s="57" t="str">
        <f>I1719-J1719-K1719-L1719-M1719-N1719-O1719-P1719-Q1719-R1719-S1719-T1719-U1719-V1719-W1719-X1719-Y1719-Z1719-AA1719-AB1719-AC1719-AD1719-AE1719-AF1719-AG1719+AH1719-AI1719+AJ1719+AK1719-AL1719</f>
        <v>0</v>
      </c>
      <c r="AN1719" s="45"/>
    </row>
    <row r="1720" spans="1:41">
      <c r="A1720" s="45">
        <v>1692</v>
      </c>
      <c r="B1720" s="45" t="s">
        <v>6584</v>
      </c>
      <c r="C1720" s="49" t="s">
        <v>6585</v>
      </c>
      <c r="D1720" s="53" t="s">
        <v>73</v>
      </c>
      <c r="E1720" s="45" t="s">
        <v>6582</v>
      </c>
      <c r="F1720" s="45" t="s">
        <v>1143</v>
      </c>
      <c r="G1720" s="45">
        <v>7</v>
      </c>
      <c r="H1720" s="53" t="s">
        <v>6586</v>
      </c>
      <c r="I1720" s="45">
        <v>1570000</v>
      </c>
      <c r="J1720" s="45">
        <v>0</v>
      </c>
      <c r="K1720" s="45">
        <v>35000</v>
      </c>
      <c r="L1720" s="45">
        <v>0</v>
      </c>
      <c r="M1720" s="45">
        <v>0</v>
      </c>
      <c r="N1720" s="45">
        <v>0</v>
      </c>
      <c r="O1720" s="45">
        <v>0</v>
      </c>
      <c r="P1720" s="45">
        <v>0</v>
      </c>
      <c r="Q1720" s="45">
        <v>0</v>
      </c>
      <c r="R1720" s="45">
        <v>0</v>
      </c>
      <c r="S1720" s="45">
        <v>0</v>
      </c>
      <c r="T1720" s="45">
        <v>0</v>
      </c>
      <c r="U1720" s="45">
        <v>2222</v>
      </c>
      <c r="V1720" s="45">
        <v>0</v>
      </c>
      <c r="W1720" s="45">
        <v>0</v>
      </c>
      <c r="X1720" s="45">
        <v>0</v>
      </c>
      <c r="Y1720" s="45">
        <v>0</v>
      </c>
      <c r="Z1720" s="45">
        <v>0</v>
      </c>
      <c r="AA1720" s="45">
        <v>0</v>
      </c>
      <c r="AB1720" s="45">
        <v>0</v>
      </c>
      <c r="AC1720" s="45">
        <v>0</v>
      </c>
      <c r="AD1720" s="45">
        <v>0</v>
      </c>
      <c r="AE1720" s="45">
        <v>0</v>
      </c>
      <c r="AF1720" s="45">
        <v>0</v>
      </c>
      <c r="AG1720" s="45">
        <v>0</v>
      </c>
      <c r="AH1720" s="45">
        <v>0</v>
      </c>
      <c r="AI1720" s="45">
        <v>0</v>
      </c>
      <c r="AJ1720" s="45">
        <v>0</v>
      </c>
      <c r="AK1720" s="45">
        <v>0</v>
      </c>
      <c r="AL1720" s="45">
        <v>0</v>
      </c>
      <c r="AM1720" s="57" t="str">
        <f>I1720-J1720-K1720-L1720-M1720-N1720-O1720-P1720-Q1720-R1720-S1720-T1720-U1720-V1720-W1720-X1720-Y1720-Z1720-AA1720-AB1720-AC1720-AD1720-AE1720-AF1720-AG1720+AH1720-AI1720+AJ1720+AK1720-AL1720</f>
        <v>0</v>
      </c>
      <c r="AN1720" s="45"/>
    </row>
    <row r="1721" spans="1:41">
      <c r="A1721" s="45">
        <v>1693</v>
      </c>
      <c r="B1721" s="45" t="s">
        <v>6587</v>
      </c>
      <c r="C1721" s="49" t="s">
        <v>6588</v>
      </c>
      <c r="D1721" s="53" t="s">
        <v>73</v>
      </c>
      <c r="E1721" s="45" t="s">
        <v>6582</v>
      </c>
      <c r="F1721" s="45" t="s">
        <v>1963</v>
      </c>
      <c r="G1721" s="45">
        <v>2</v>
      </c>
      <c r="H1721" s="53" t="s">
        <v>4570</v>
      </c>
      <c r="I1721" s="45">
        <v>0</v>
      </c>
      <c r="J1721" s="45">
        <v>0</v>
      </c>
      <c r="K1721" s="45">
        <v>22000</v>
      </c>
      <c r="L1721" s="45">
        <v>0</v>
      </c>
      <c r="M1721" s="45">
        <v>0</v>
      </c>
      <c r="N1721" s="45">
        <v>0</v>
      </c>
      <c r="O1721" s="45">
        <v>0</v>
      </c>
      <c r="P1721" s="45">
        <v>0</v>
      </c>
      <c r="Q1721" s="45">
        <v>0</v>
      </c>
      <c r="R1721" s="45">
        <v>0</v>
      </c>
      <c r="S1721" s="45">
        <v>0</v>
      </c>
      <c r="T1721" s="45">
        <v>0</v>
      </c>
      <c r="U1721" s="45">
        <v>1397</v>
      </c>
      <c r="V1721" s="45">
        <v>0</v>
      </c>
      <c r="W1721" s="45">
        <v>0</v>
      </c>
      <c r="X1721" s="45">
        <v>0</v>
      </c>
      <c r="Y1721" s="45">
        <v>0</v>
      </c>
      <c r="Z1721" s="45">
        <v>0</v>
      </c>
      <c r="AA1721" s="45">
        <v>0</v>
      </c>
      <c r="AB1721" s="45">
        <v>0</v>
      </c>
      <c r="AC1721" s="45">
        <v>0</v>
      </c>
      <c r="AD1721" s="45">
        <v>0</v>
      </c>
      <c r="AE1721" s="45">
        <v>0</v>
      </c>
      <c r="AF1721" s="45">
        <v>0</v>
      </c>
      <c r="AG1721" s="45">
        <v>0</v>
      </c>
      <c r="AH1721" s="45">
        <v>0</v>
      </c>
      <c r="AI1721" s="45">
        <v>0</v>
      </c>
      <c r="AJ1721" s="45">
        <v>0</v>
      </c>
      <c r="AK1721" s="45">
        <v>0</v>
      </c>
      <c r="AL1721" s="45">
        <v>0</v>
      </c>
      <c r="AM1721" s="57" t="str">
        <f>I1721-J1721-K1721-L1721-M1721-N1721-O1721-P1721-Q1721-R1721-S1721-T1721-U1721-V1721-W1721-X1721-Y1721-Z1721-AA1721-AB1721-AC1721-AD1721-AE1721-AF1721-AG1721+AH1721-AI1721+AJ1721+AK1721-AL1721</f>
        <v>0</v>
      </c>
      <c r="AN1721" s="45"/>
    </row>
    <row r="1722" spans="1:41">
      <c r="A1722" s="45">
        <v>1694</v>
      </c>
      <c r="B1722" s="45" t="s">
        <v>6589</v>
      </c>
      <c r="C1722" s="49" t="s">
        <v>6590</v>
      </c>
      <c r="D1722" s="53" t="s">
        <v>73</v>
      </c>
      <c r="E1722" s="45" t="s">
        <v>6591</v>
      </c>
      <c r="F1722" s="45" t="s">
        <v>4558</v>
      </c>
      <c r="G1722" s="45">
        <v>3</v>
      </c>
      <c r="H1722" s="53" t="s">
        <v>6592</v>
      </c>
      <c r="I1722" s="45">
        <v>291000</v>
      </c>
      <c r="J1722" s="45">
        <v>0</v>
      </c>
      <c r="K1722" s="45">
        <v>22000</v>
      </c>
      <c r="L1722" s="45">
        <v>0</v>
      </c>
      <c r="M1722" s="45">
        <v>0</v>
      </c>
      <c r="N1722" s="45">
        <v>0</v>
      </c>
      <c r="O1722" s="45">
        <v>0</v>
      </c>
      <c r="P1722" s="45">
        <v>0</v>
      </c>
      <c r="Q1722" s="45">
        <v>0</v>
      </c>
      <c r="R1722" s="45">
        <v>0</v>
      </c>
      <c r="S1722" s="45">
        <v>0</v>
      </c>
      <c r="T1722" s="45">
        <v>0</v>
      </c>
      <c r="U1722" s="45">
        <v>1397</v>
      </c>
      <c r="V1722" s="45">
        <v>0</v>
      </c>
      <c r="W1722" s="45">
        <v>0</v>
      </c>
      <c r="X1722" s="45">
        <v>0</v>
      </c>
      <c r="Y1722" s="45">
        <v>0</v>
      </c>
      <c r="Z1722" s="45">
        <v>0</v>
      </c>
      <c r="AA1722" s="45">
        <v>0</v>
      </c>
      <c r="AB1722" s="45">
        <v>0</v>
      </c>
      <c r="AC1722" s="45">
        <v>0</v>
      </c>
      <c r="AD1722" s="45">
        <v>0</v>
      </c>
      <c r="AE1722" s="45">
        <v>0</v>
      </c>
      <c r="AF1722" s="45">
        <v>0</v>
      </c>
      <c r="AG1722" s="45">
        <v>0</v>
      </c>
      <c r="AH1722" s="45">
        <v>0</v>
      </c>
      <c r="AI1722" s="45">
        <v>0</v>
      </c>
      <c r="AJ1722" s="45">
        <v>0</v>
      </c>
      <c r="AK1722" s="45">
        <v>0</v>
      </c>
      <c r="AL1722" s="45">
        <v>0</v>
      </c>
      <c r="AM1722" s="57" t="str">
        <f>I1722-J1722-K1722-L1722-M1722-N1722-O1722-P1722-Q1722-R1722-S1722-T1722-U1722-V1722-W1722-X1722-Y1722-Z1722-AA1722-AB1722-AC1722-AD1722-AE1722-AF1722-AG1722+AH1722-AI1722+AJ1722+AK1722-AL1722</f>
        <v>0</v>
      </c>
      <c r="AN1722" s="45"/>
    </row>
    <row r="1723" spans="1:41">
      <c r="A1723" s="45">
        <v>1695</v>
      </c>
      <c r="B1723" s="45" t="s">
        <v>6593</v>
      </c>
      <c r="C1723" s="49" t="s">
        <v>6594</v>
      </c>
      <c r="D1723" s="53" t="s">
        <v>73</v>
      </c>
      <c r="E1723" s="45" t="s">
        <v>6591</v>
      </c>
      <c r="F1723" s="45" t="s">
        <v>6595</v>
      </c>
      <c r="G1723" s="45">
        <v>3</v>
      </c>
      <c r="H1723" s="53" t="s">
        <v>6596</v>
      </c>
      <c r="I1723" s="45">
        <v>434000</v>
      </c>
      <c r="J1723" s="45">
        <v>0</v>
      </c>
      <c r="K1723" s="45">
        <v>22000</v>
      </c>
      <c r="L1723" s="45">
        <v>0</v>
      </c>
      <c r="M1723" s="45">
        <v>0</v>
      </c>
      <c r="N1723" s="45">
        <v>0</v>
      </c>
      <c r="O1723" s="45">
        <v>0</v>
      </c>
      <c r="P1723" s="45">
        <v>0</v>
      </c>
      <c r="Q1723" s="45">
        <v>0</v>
      </c>
      <c r="R1723" s="45">
        <v>0</v>
      </c>
      <c r="S1723" s="45">
        <v>0</v>
      </c>
      <c r="T1723" s="45">
        <v>0</v>
      </c>
      <c r="U1723" s="45">
        <v>1397</v>
      </c>
      <c r="V1723" s="45">
        <v>0</v>
      </c>
      <c r="W1723" s="45">
        <v>0</v>
      </c>
      <c r="X1723" s="45">
        <v>0</v>
      </c>
      <c r="Y1723" s="45">
        <v>0</v>
      </c>
      <c r="Z1723" s="45">
        <v>0</v>
      </c>
      <c r="AA1723" s="45">
        <v>0</v>
      </c>
      <c r="AB1723" s="45">
        <v>0</v>
      </c>
      <c r="AC1723" s="45">
        <v>0</v>
      </c>
      <c r="AD1723" s="45">
        <v>0</v>
      </c>
      <c r="AE1723" s="45">
        <v>0</v>
      </c>
      <c r="AF1723" s="45">
        <v>0</v>
      </c>
      <c r="AG1723" s="45">
        <v>0</v>
      </c>
      <c r="AH1723" s="45">
        <v>0</v>
      </c>
      <c r="AI1723" s="45">
        <v>0</v>
      </c>
      <c r="AJ1723" s="45">
        <v>0</v>
      </c>
      <c r="AK1723" s="45">
        <v>0</v>
      </c>
      <c r="AL1723" s="45">
        <v>0</v>
      </c>
      <c r="AM1723" s="57" t="str">
        <f>I1723-J1723-K1723-L1723-M1723-N1723-O1723-P1723-Q1723-R1723-S1723-T1723-U1723-V1723-W1723-X1723-Y1723-Z1723-AA1723-AB1723-AC1723-AD1723-AE1723-AF1723-AG1723+AH1723-AI1723+AJ1723+AK1723-AL1723</f>
        <v>0</v>
      </c>
      <c r="AN1723" s="45"/>
    </row>
    <row r="1724" spans="1:41">
      <c r="A1724" s="45">
        <v>1696</v>
      </c>
      <c r="B1724" s="45" t="s">
        <v>6597</v>
      </c>
      <c r="C1724" s="49" t="s">
        <v>6598</v>
      </c>
      <c r="D1724" s="53" t="s">
        <v>73</v>
      </c>
      <c r="E1724" s="45" t="s">
        <v>6591</v>
      </c>
      <c r="F1724" s="45" t="s">
        <v>6599</v>
      </c>
      <c r="G1724" s="45">
        <v>7</v>
      </c>
      <c r="H1724" s="53" t="s">
        <v>6600</v>
      </c>
      <c r="I1724" s="45">
        <v>1109000</v>
      </c>
      <c r="J1724" s="45">
        <v>0</v>
      </c>
      <c r="K1724" s="45">
        <v>35000</v>
      </c>
      <c r="L1724" s="45">
        <v>0</v>
      </c>
      <c r="M1724" s="45">
        <v>0</v>
      </c>
      <c r="N1724" s="45">
        <v>0</v>
      </c>
      <c r="O1724" s="45">
        <v>0</v>
      </c>
      <c r="P1724" s="45">
        <v>0</v>
      </c>
      <c r="Q1724" s="45">
        <v>0</v>
      </c>
      <c r="R1724" s="45">
        <v>0</v>
      </c>
      <c r="S1724" s="45">
        <v>0</v>
      </c>
      <c r="T1724" s="45">
        <v>0</v>
      </c>
      <c r="U1724" s="45">
        <v>2222</v>
      </c>
      <c r="V1724" s="45">
        <v>0</v>
      </c>
      <c r="W1724" s="45">
        <v>0</v>
      </c>
      <c r="X1724" s="45">
        <v>0</v>
      </c>
      <c r="Y1724" s="45">
        <v>0</v>
      </c>
      <c r="Z1724" s="45">
        <v>0</v>
      </c>
      <c r="AA1724" s="45">
        <v>0</v>
      </c>
      <c r="AB1724" s="45">
        <v>0</v>
      </c>
      <c r="AC1724" s="45">
        <v>0</v>
      </c>
      <c r="AD1724" s="45">
        <v>0</v>
      </c>
      <c r="AE1724" s="45">
        <v>0</v>
      </c>
      <c r="AF1724" s="45">
        <v>0</v>
      </c>
      <c r="AG1724" s="45">
        <v>0</v>
      </c>
      <c r="AH1724" s="45">
        <v>0</v>
      </c>
      <c r="AI1724" s="45">
        <v>0</v>
      </c>
      <c r="AJ1724" s="45">
        <v>0</v>
      </c>
      <c r="AK1724" s="45">
        <v>0</v>
      </c>
      <c r="AL1724" s="45">
        <v>0</v>
      </c>
      <c r="AM1724" s="57" t="str">
        <f>I1724-J1724-K1724-L1724-M1724-N1724-O1724-P1724-Q1724-R1724-S1724-T1724-U1724-V1724-W1724-X1724-Y1724-Z1724-AA1724-AB1724-AC1724-AD1724-AE1724-AF1724-AG1724+AH1724-AI1724+AJ1724+AK1724-AL1724</f>
        <v>0</v>
      </c>
      <c r="AN1724" s="45"/>
    </row>
    <row r="1725" spans="1:41">
      <c r="A1725" s="45">
        <v>1697</v>
      </c>
      <c r="B1725" s="45" t="s">
        <v>6601</v>
      </c>
      <c r="C1725" s="49" t="s">
        <v>6602</v>
      </c>
      <c r="D1725" s="53" t="s">
        <v>73</v>
      </c>
      <c r="E1725" s="45" t="s">
        <v>6591</v>
      </c>
      <c r="F1725" s="45" t="s">
        <v>6603</v>
      </c>
      <c r="G1725" s="45">
        <v>4</v>
      </c>
      <c r="H1725" s="53" t="s">
        <v>6604</v>
      </c>
      <c r="I1725" s="45">
        <v>680000</v>
      </c>
      <c r="J1725" s="45">
        <v>0</v>
      </c>
      <c r="K1725" s="45">
        <v>25000</v>
      </c>
      <c r="L1725" s="45">
        <v>0</v>
      </c>
      <c r="M1725" s="45">
        <v>0</v>
      </c>
      <c r="N1725" s="45">
        <v>0</v>
      </c>
      <c r="O1725" s="45">
        <v>0</v>
      </c>
      <c r="P1725" s="45">
        <v>0</v>
      </c>
      <c r="Q1725" s="45">
        <v>0</v>
      </c>
      <c r="R1725" s="45">
        <v>0</v>
      </c>
      <c r="S1725" s="45">
        <v>0</v>
      </c>
      <c r="T1725" s="45">
        <v>0</v>
      </c>
      <c r="U1725" s="45">
        <v>1587</v>
      </c>
      <c r="V1725" s="45">
        <v>0</v>
      </c>
      <c r="W1725" s="45">
        <v>0</v>
      </c>
      <c r="X1725" s="45">
        <v>0</v>
      </c>
      <c r="Y1725" s="45">
        <v>0</v>
      </c>
      <c r="Z1725" s="45">
        <v>0</v>
      </c>
      <c r="AA1725" s="45">
        <v>0</v>
      </c>
      <c r="AB1725" s="45">
        <v>0</v>
      </c>
      <c r="AC1725" s="45">
        <v>0</v>
      </c>
      <c r="AD1725" s="45">
        <v>0</v>
      </c>
      <c r="AE1725" s="45">
        <v>0</v>
      </c>
      <c r="AF1725" s="45">
        <v>0</v>
      </c>
      <c r="AG1725" s="45">
        <v>0</v>
      </c>
      <c r="AH1725" s="45">
        <v>0</v>
      </c>
      <c r="AI1725" s="45">
        <v>0</v>
      </c>
      <c r="AJ1725" s="45">
        <v>0</v>
      </c>
      <c r="AK1725" s="45">
        <v>0</v>
      </c>
      <c r="AL1725" s="45">
        <v>0</v>
      </c>
      <c r="AM1725" s="57" t="str">
        <f>I1725-J1725-K1725-L1725-M1725-N1725-O1725-P1725-Q1725-R1725-S1725-T1725-U1725-V1725-W1725-X1725-Y1725-Z1725-AA1725-AB1725-AC1725-AD1725-AE1725-AF1725-AG1725+AH1725-AI1725+AJ1725+AK1725-AL1725</f>
        <v>0</v>
      </c>
      <c r="AN1725" s="45"/>
    </row>
    <row r="1726" spans="1:41">
      <c r="A1726" s="45">
        <v>1698</v>
      </c>
      <c r="B1726" s="45" t="s">
        <v>6605</v>
      </c>
      <c r="C1726" s="49" t="s">
        <v>6606</v>
      </c>
      <c r="D1726" s="53" t="s">
        <v>73</v>
      </c>
      <c r="E1726" s="45" t="s">
        <v>6607</v>
      </c>
      <c r="F1726" s="45" t="s">
        <v>6608</v>
      </c>
      <c r="G1726" s="45">
        <v>3</v>
      </c>
      <c r="H1726" s="53" t="s">
        <v>6609</v>
      </c>
      <c r="I1726" s="45">
        <v>0</v>
      </c>
      <c r="J1726" s="45">
        <v>0</v>
      </c>
      <c r="K1726" s="45">
        <v>22000</v>
      </c>
      <c r="L1726" s="45">
        <v>0</v>
      </c>
      <c r="M1726" s="45">
        <v>0</v>
      </c>
      <c r="N1726" s="45">
        <v>0</v>
      </c>
      <c r="O1726" s="45">
        <v>0</v>
      </c>
      <c r="P1726" s="45">
        <v>0</v>
      </c>
      <c r="Q1726" s="45">
        <v>0</v>
      </c>
      <c r="R1726" s="45">
        <v>0</v>
      </c>
      <c r="S1726" s="45">
        <v>0</v>
      </c>
      <c r="T1726" s="45">
        <v>0</v>
      </c>
      <c r="U1726" s="45">
        <v>1397</v>
      </c>
      <c r="V1726" s="45">
        <v>0</v>
      </c>
      <c r="W1726" s="45">
        <v>0</v>
      </c>
      <c r="X1726" s="45">
        <v>0</v>
      </c>
      <c r="Y1726" s="45">
        <v>5000</v>
      </c>
      <c r="Z1726" s="45">
        <v>0</v>
      </c>
      <c r="AA1726" s="45">
        <v>0</v>
      </c>
      <c r="AB1726" s="45">
        <v>0</v>
      </c>
      <c r="AC1726" s="45">
        <v>0</v>
      </c>
      <c r="AD1726" s="45">
        <v>0</v>
      </c>
      <c r="AE1726" s="45">
        <v>0</v>
      </c>
      <c r="AF1726" s="45">
        <v>0</v>
      </c>
      <c r="AG1726" s="45">
        <v>0</v>
      </c>
      <c r="AH1726" s="45">
        <v>0</v>
      </c>
      <c r="AI1726" s="45">
        <v>0</v>
      </c>
      <c r="AJ1726" s="45">
        <v>0</v>
      </c>
      <c r="AK1726" s="45">
        <v>0</v>
      </c>
      <c r="AL1726" s="45">
        <v>0</v>
      </c>
      <c r="AM1726" s="57" t="str">
        <f>I1726-J1726-K1726-L1726-M1726-N1726-O1726-P1726-Q1726-R1726-S1726-T1726-U1726-V1726-W1726-X1726-Y1726-Z1726-AA1726-AB1726-AC1726-AD1726-AE1726-AF1726-AG1726+AH1726-AI1726+AJ1726+AK1726-AL1726</f>
        <v>0</v>
      </c>
      <c r="AN1726" s="45"/>
    </row>
    <row r="1727" spans="1:41">
      <c r="A1727" s="45">
        <v>1699</v>
      </c>
      <c r="B1727" s="45" t="s">
        <v>6610</v>
      </c>
      <c r="C1727" s="49" t="s">
        <v>6611</v>
      </c>
      <c r="D1727" s="53" t="s">
        <v>73</v>
      </c>
      <c r="E1727" s="45" t="s">
        <v>6607</v>
      </c>
      <c r="F1727" s="45" t="s">
        <v>6612</v>
      </c>
      <c r="G1727" s="45">
        <v>3</v>
      </c>
      <c r="H1727" s="53" t="s">
        <v>6613</v>
      </c>
      <c r="I1727" s="45">
        <v>0</v>
      </c>
      <c r="J1727" s="45">
        <v>0</v>
      </c>
      <c r="K1727" s="45">
        <v>22000</v>
      </c>
      <c r="L1727" s="45">
        <v>0</v>
      </c>
      <c r="M1727" s="45">
        <v>0</v>
      </c>
      <c r="N1727" s="45">
        <v>0</v>
      </c>
      <c r="O1727" s="45">
        <v>0</v>
      </c>
      <c r="P1727" s="45">
        <v>0</v>
      </c>
      <c r="Q1727" s="45">
        <v>0</v>
      </c>
      <c r="R1727" s="45">
        <v>0</v>
      </c>
      <c r="S1727" s="45">
        <v>0</v>
      </c>
      <c r="T1727" s="45">
        <v>0</v>
      </c>
      <c r="U1727" s="45">
        <v>1397</v>
      </c>
      <c r="V1727" s="45">
        <v>0</v>
      </c>
      <c r="W1727" s="45">
        <v>0</v>
      </c>
      <c r="X1727" s="45">
        <v>0</v>
      </c>
      <c r="Y1727" s="45">
        <v>5000</v>
      </c>
      <c r="Z1727" s="45">
        <v>0</v>
      </c>
      <c r="AA1727" s="45">
        <v>0</v>
      </c>
      <c r="AB1727" s="45">
        <v>0</v>
      </c>
      <c r="AC1727" s="45">
        <v>0</v>
      </c>
      <c r="AD1727" s="45">
        <v>0</v>
      </c>
      <c r="AE1727" s="45">
        <v>0</v>
      </c>
      <c r="AF1727" s="45">
        <v>0</v>
      </c>
      <c r="AG1727" s="45">
        <v>0</v>
      </c>
      <c r="AH1727" s="45">
        <v>0</v>
      </c>
      <c r="AI1727" s="45">
        <v>0</v>
      </c>
      <c r="AJ1727" s="45">
        <v>0</v>
      </c>
      <c r="AK1727" s="45">
        <v>0</v>
      </c>
      <c r="AL1727" s="45">
        <v>0</v>
      </c>
      <c r="AM1727" s="57" t="str">
        <f>I1727-J1727-K1727-L1727-M1727-N1727-O1727-P1727-Q1727-R1727-S1727-T1727-U1727-V1727-W1727-X1727-Y1727-Z1727-AA1727-AB1727-AC1727-AD1727-AE1727-AF1727-AG1727+AH1727-AI1727+AJ1727+AK1727-AL1727</f>
        <v>0</v>
      </c>
      <c r="AN1727" s="45"/>
    </row>
    <row r="1728" spans="1:41">
      <c r="A1728" s="45">
        <v>1700</v>
      </c>
      <c r="B1728" s="45" t="s">
        <v>6614</v>
      </c>
      <c r="C1728" s="49" t="s">
        <v>6615</v>
      </c>
      <c r="D1728" s="53" t="s">
        <v>73</v>
      </c>
      <c r="E1728" s="45" t="s">
        <v>6616</v>
      </c>
      <c r="F1728" s="45" t="s">
        <v>6617</v>
      </c>
      <c r="G1728" s="45">
        <v>2</v>
      </c>
      <c r="H1728" s="53" t="s">
        <v>6618</v>
      </c>
      <c r="I1728" s="45">
        <v>0</v>
      </c>
      <c r="J1728" s="45">
        <v>0</v>
      </c>
      <c r="K1728" s="45">
        <v>22000</v>
      </c>
      <c r="L1728" s="45">
        <v>0</v>
      </c>
      <c r="M1728" s="45">
        <v>0</v>
      </c>
      <c r="N1728" s="45">
        <v>0</v>
      </c>
      <c r="O1728" s="45">
        <v>0</v>
      </c>
      <c r="P1728" s="45">
        <v>0</v>
      </c>
      <c r="Q1728" s="45">
        <v>0</v>
      </c>
      <c r="R1728" s="45">
        <v>0</v>
      </c>
      <c r="S1728" s="45">
        <v>0</v>
      </c>
      <c r="T1728" s="45">
        <v>0</v>
      </c>
      <c r="U1728" s="45">
        <v>1397</v>
      </c>
      <c r="V1728" s="45">
        <v>0</v>
      </c>
      <c r="W1728" s="45">
        <v>0</v>
      </c>
      <c r="X1728" s="45">
        <v>0</v>
      </c>
      <c r="Y1728" s="45">
        <v>0</v>
      </c>
      <c r="Z1728" s="45">
        <v>0</v>
      </c>
      <c r="AA1728" s="45">
        <v>0</v>
      </c>
      <c r="AB1728" s="45">
        <v>0</v>
      </c>
      <c r="AC1728" s="45">
        <v>0</v>
      </c>
      <c r="AD1728" s="45">
        <v>0</v>
      </c>
      <c r="AE1728" s="45">
        <v>0</v>
      </c>
      <c r="AF1728" s="45">
        <v>0</v>
      </c>
      <c r="AG1728" s="45">
        <v>0</v>
      </c>
      <c r="AH1728" s="45">
        <v>0</v>
      </c>
      <c r="AI1728" s="45">
        <v>0</v>
      </c>
      <c r="AJ1728" s="45">
        <v>0</v>
      </c>
      <c r="AK1728" s="45">
        <v>0</v>
      </c>
      <c r="AL1728" s="45">
        <v>0</v>
      </c>
      <c r="AM1728" s="57" t="str">
        <f>I1728-J1728-K1728-L1728-M1728-N1728-O1728-P1728-Q1728-R1728-S1728-T1728-U1728-V1728-W1728-X1728-Y1728-Z1728-AA1728-AB1728-AC1728-AD1728-AE1728-AF1728-AG1728+AH1728-AI1728+AJ1728+AK1728-AL1728</f>
        <v>0</v>
      </c>
      <c r="AN1728" s="45"/>
    </row>
    <row r="1729" spans="1:41">
      <c r="A1729" s="45">
        <v>1701</v>
      </c>
      <c r="B1729" s="45" t="s">
        <v>6619</v>
      </c>
      <c r="C1729" s="49" t="s">
        <v>6620</v>
      </c>
      <c r="D1729" s="53" t="s">
        <v>73</v>
      </c>
      <c r="E1729" s="45" t="s">
        <v>6616</v>
      </c>
      <c r="F1729" s="45" t="s">
        <v>6621</v>
      </c>
      <c r="G1729" s="45">
        <v>3</v>
      </c>
      <c r="H1729" s="53" t="s">
        <v>6622</v>
      </c>
      <c r="I1729" s="45">
        <v>0</v>
      </c>
      <c r="J1729" s="45">
        <v>0</v>
      </c>
      <c r="K1729" s="45">
        <v>22000</v>
      </c>
      <c r="L1729" s="45">
        <v>0</v>
      </c>
      <c r="M1729" s="45">
        <v>0</v>
      </c>
      <c r="N1729" s="45">
        <v>0</v>
      </c>
      <c r="O1729" s="45">
        <v>0</v>
      </c>
      <c r="P1729" s="45">
        <v>0</v>
      </c>
      <c r="Q1729" s="45">
        <v>0</v>
      </c>
      <c r="R1729" s="45">
        <v>0</v>
      </c>
      <c r="S1729" s="45">
        <v>0</v>
      </c>
      <c r="T1729" s="45">
        <v>0</v>
      </c>
      <c r="U1729" s="45">
        <v>1397</v>
      </c>
      <c r="V1729" s="45">
        <v>0</v>
      </c>
      <c r="W1729" s="45">
        <v>0</v>
      </c>
      <c r="X1729" s="45">
        <v>0</v>
      </c>
      <c r="Y1729" s="45">
        <v>0</v>
      </c>
      <c r="Z1729" s="45">
        <v>0</v>
      </c>
      <c r="AA1729" s="45">
        <v>0</v>
      </c>
      <c r="AB1729" s="45">
        <v>0</v>
      </c>
      <c r="AC1729" s="45">
        <v>0</v>
      </c>
      <c r="AD1729" s="45">
        <v>0</v>
      </c>
      <c r="AE1729" s="45">
        <v>0</v>
      </c>
      <c r="AF1729" s="45">
        <v>0</v>
      </c>
      <c r="AG1729" s="45">
        <v>0</v>
      </c>
      <c r="AH1729" s="45">
        <v>0</v>
      </c>
      <c r="AI1729" s="45">
        <v>0</v>
      </c>
      <c r="AJ1729" s="45">
        <v>0</v>
      </c>
      <c r="AK1729" s="45">
        <v>0</v>
      </c>
      <c r="AL1729" s="45">
        <v>0</v>
      </c>
      <c r="AM1729" s="57" t="str">
        <f>I1729-J1729-K1729-L1729-M1729-N1729-O1729-P1729-Q1729-R1729-S1729-T1729-U1729-V1729-W1729-X1729-Y1729-Z1729-AA1729-AB1729-AC1729-AD1729-AE1729-AF1729-AG1729+AH1729-AI1729+AJ1729+AK1729-AL1729</f>
        <v>0</v>
      </c>
      <c r="AN1729" s="45"/>
    </row>
    <row r="1730" spans="1:41">
      <c r="A1730" s="45">
        <v>1702</v>
      </c>
      <c r="B1730" s="45" t="s">
        <v>6623</v>
      </c>
      <c r="C1730" s="49" t="s">
        <v>6624</v>
      </c>
      <c r="D1730" s="53" t="s">
        <v>73</v>
      </c>
      <c r="E1730" s="45" t="s">
        <v>6625</v>
      </c>
      <c r="F1730" s="45" t="s">
        <v>6626</v>
      </c>
      <c r="G1730" s="45">
        <v>2</v>
      </c>
      <c r="H1730" s="53" t="s">
        <v>6627</v>
      </c>
      <c r="I1730" s="45">
        <v>0</v>
      </c>
      <c r="J1730" s="45">
        <v>0</v>
      </c>
      <c r="K1730" s="45">
        <v>22000</v>
      </c>
      <c r="L1730" s="45">
        <v>0</v>
      </c>
      <c r="M1730" s="45">
        <v>0</v>
      </c>
      <c r="N1730" s="45">
        <v>0</v>
      </c>
      <c r="O1730" s="45">
        <v>0</v>
      </c>
      <c r="P1730" s="45">
        <v>0</v>
      </c>
      <c r="Q1730" s="45">
        <v>0</v>
      </c>
      <c r="R1730" s="45">
        <v>0</v>
      </c>
      <c r="S1730" s="45">
        <v>0</v>
      </c>
      <c r="T1730" s="45">
        <v>0</v>
      </c>
      <c r="U1730" s="45">
        <v>1397</v>
      </c>
      <c r="V1730" s="45">
        <v>0</v>
      </c>
      <c r="W1730" s="45">
        <v>0</v>
      </c>
      <c r="X1730" s="45">
        <v>0</v>
      </c>
      <c r="Y1730" s="45">
        <v>0</v>
      </c>
      <c r="Z1730" s="45">
        <v>0</v>
      </c>
      <c r="AA1730" s="45">
        <v>0</v>
      </c>
      <c r="AB1730" s="45">
        <v>0</v>
      </c>
      <c r="AC1730" s="45">
        <v>0</v>
      </c>
      <c r="AD1730" s="45">
        <v>0</v>
      </c>
      <c r="AE1730" s="45">
        <v>0</v>
      </c>
      <c r="AF1730" s="45">
        <v>0</v>
      </c>
      <c r="AG1730" s="45">
        <v>0</v>
      </c>
      <c r="AH1730" s="45">
        <v>0</v>
      </c>
      <c r="AI1730" s="45">
        <v>0</v>
      </c>
      <c r="AJ1730" s="45">
        <v>0</v>
      </c>
      <c r="AK1730" s="45">
        <v>0</v>
      </c>
      <c r="AL1730" s="45">
        <v>0</v>
      </c>
      <c r="AM1730" s="57" t="str">
        <f>I1730-J1730-K1730-L1730-M1730-N1730-O1730-P1730-Q1730-R1730-S1730-T1730-U1730-V1730-W1730-X1730-Y1730-Z1730-AA1730-AB1730-AC1730-AD1730-AE1730-AF1730-AG1730+AH1730-AI1730+AJ1730+AK1730-AL1730</f>
        <v>0</v>
      </c>
      <c r="AN1730" s="45"/>
    </row>
    <row r="1731" spans="1:41">
      <c r="A1731" s="45">
        <v>1703</v>
      </c>
      <c r="B1731" s="45" t="s">
        <v>6628</v>
      </c>
      <c r="C1731" s="49" t="s">
        <v>6629</v>
      </c>
      <c r="D1731" s="53" t="s">
        <v>73</v>
      </c>
      <c r="E1731" s="45" t="s">
        <v>6625</v>
      </c>
      <c r="F1731" s="45" t="s">
        <v>6630</v>
      </c>
      <c r="G1731" s="45">
        <v>3</v>
      </c>
      <c r="H1731" s="53" t="s">
        <v>6631</v>
      </c>
      <c r="I1731" s="45">
        <v>0</v>
      </c>
      <c r="J1731" s="45">
        <v>0</v>
      </c>
      <c r="K1731" s="45">
        <v>22000</v>
      </c>
      <c r="L1731" s="45">
        <v>0</v>
      </c>
      <c r="M1731" s="45">
        <v>0</v>
      </c>
      <c r="N1731" s="45">
        <v>0</v>
      </c>
      <c r="O1731" s="45">
        <v>0</v>
      </c>
      <c r="P1731" s="45">
        <v>0</v>
      </c>
      <c r="Q1731" s="45">
        <v>0</v>
      </c>
      <c r="R1731" s="45">
        <v>0</v>
      </c>
      <c r="S1731" s="45">
        <v>0</v>
      </c>
      <c r="T1731" s="45">
        <v>0</v>
      </c>
      <c r="U1731" s="45">
        <v>1397</v>
      </c>
      <c r="V1731" s="45">
        <v>0</v>
      </c>
      <c r="W1731" s="45">
        <v>0</v>
      </c>
      <c r="X1731" s="45">
        <v>0</v>
      </c>
      <c r="Y1731" s="45">
        <v>11000</v>
      </c>
      <c r="Z1731" s="45">
        <v>0</v>
      </c>
      <c r="AA1731" s="45">
        <v>0</v>
      </c>
      <c r="AB1731" s="45">
        <v>0</v>
      </c>
      <c r="AC1731" s="45">
        <v>0</v>
      </c>
      <c r="AD1731" s="45">
        <v>0</v>
      </c>
      <c r="AE1731" s="45">
        <v>0</v>
      </c>
      <c r="AF1731" s="45">
        <v>0</v>
      </c>
      <c r="AG1731" s="45">
        <v>0</v>
      </c>
      <c r="AH1731" s="45">
        <v>0</v>
      </c>
      <c r="AI1731" s="45">
        <v>0</v>
      </c>
      <c r="AJ1731" s="45">
        <v>0</v>
      </c>
      <c r="AK1731" s="45">
        <v>0</v>
      </c>
      <c r="AL1731" s="45">
        <v>0</v>
      </c>
      <c r="AM1731" s="57" t="str">
        <f>I1731-J1731-K1731-L1731-M1731-N1731-O1731-P1731-Q1731-R1731-S1731-T1731-U1731-V1731-W1731-X1731-Y1731-Z1731-AA1731-AB1731-AC1731-AD1731-AE1731-AF1731-AG1731+AH1731-AI1731+AJ1731+AK1731-AL1731</f>
        <v>0</v>
      </c>
      <c r="AN1731" s="45"/>
    </row>
    <row r="1732" spans="1:41">
      <c r="A1732" s="45">
        <v>1704</v>
      </c>
      <c r="B1732" s="45" t="s">
        <v>6632</v>
      </c>
      <c r="C1732" s="49" t="s">
        <v>6633</v>
      </c>
      <c r="D1732" s="53" t="s">
        <v>73</v>
      </c>
      <c r="E1732" s="45" t="s">
        <v>6625</v>
      </c>
      <c r="F1732" s="45" t="s">
        <v>5948</v>
      </c>
      <c r="G1732" s="45">
        <v>2</v>
      </c>
      <c r="H1732" s="53" t="s">
        <v>6634</v>
      </c>
      <c r="I1732" s="45">
        <v>0</v>
      </c>
      <c r="J1732" s="45">
        <v>0</v>
      </c>
      <c r="K1732" s="45">
        <v>22000</v>
      </c>
      <c r="L1732" s="45">
        <v>0</v>
      </c>
      <c r="M1732" s="45">
        <v>0</v>
      </c>
      <c r="N1732" s="45">
        <v>0</v>
      </c>
      <c r="O1732" s="45">
        <v>0</v>
      </c>
      <c r="P1732" s="45">
        <v>0</v>
      </c>
      <c r="Q1732" s="45">
        <v>0</v>
      </c>
      <c r="R1732" s="45">
        <v>0</v>
      </c>
      <c r="S1732" s="45">
        <v>0</v>
      </c>
      <c r="T1732" s="45">
        <v>0</v>
      </c>
      <c r="U1732" s="45">
        <v>1397</v>
      </c>
      <c r="V1732" s="45">
        <v>0</v>
      </c>
      <c r="W1732" s="45">
        <v>0</v>
      </c>
      <c r="X1732" s="45">
        <v>0</v>
      </c>
      <c r="Y1732" s="45">
        <v>5000</v>
      </c>
      <c r="Z1732" s="45">
        <v>0</v>
      </c>
      <c r="AA1732" s="45">
        <v>0</v>
      </c>
      <c r="AB1732" s="45">
        <v>0</v>
      </c>
      <c r="AC1732" s="45">
        <v>0</v>
      </c>
      <c r="AD1732" s="45">
        <v>0</v>
      </c>
      <c r="AE1732" s="45">
        <v>0</v>
      </c>
      <c r="AF1732" s="45">
        <v>0</v>
      </c>
      <c r="AG1732" s="45">
        <v>0</v>
      </c>
      <c r="AH1732" s="45">
        <v>0</v>
      </c>
      <c r="AI1732" s="45">
        <v>0</v>
      </c>
      <c r="AJ1732" s="45">
        <v>0</v>
      </c>
      <c r="AK1732" s="45">
        <v>0</v>
      </c>
      <c r="AL1732" s="45">
        <v>0</v>
      </c>
      <c r="AM1732" s="57" t="str">
        <f>I1732-J1732-K1732-L1732-M1732-N1732-O1732-P1732-Q1732-R1732-S1732-T1732-U1732-V1732-W1732-X1732-Y1732-Z1732-AA1732-AB1732-AC1732-AD1732-AE1732-AF1732-AG1732+AH1732-AI1732+AJ1732+AK1732-AL1732</f>
        <v>0</v>
      </c>
      <c r="AN1732" s="45"/>
    </row>
    <row r="1733" spans="1:41">
      <c r="A1733" s="45">
        <v>1705</v>
      </c>
      <c r="B1733" s="45" t="s">
        <v>6635</v>
      </c>
      <c r="C1733" s="49" t="s">
        <v>6636</v>
      </c>
      <c r="D1733" s="53" t="s">
        <v>73</v>
      </c>
      <c r="E1733" s="45" t="s">
        <v>6625</v>
      </c>
      <c r="F1733" s="45" t="s">
        <v>6637</v>
      </c>
      <c r="G1733" s="45">
        <v>4</v>
      </c>
      <c r="H1733" s="53" t="s">
        <v>3518</v>
      </c>
      <c r="I1733" s="45">
        <v>0</v>
      </c>
      <c r="J1733" s="45">
        <v>0</v>
      </c>
      <c r="K1733" s="45">
        <v>25000</v>
      </c>
      <c r="L1733" s="45">
        <v>0</v>
      </c>
      <c r="M1733" s="45">
        <v>0</v>
      </c>
      <c r="N1733" s="45">
        <v>0</v>
      </c>
      <c r="O1733" s="45">
        <v>0</v>
      </c>
      <c r="P1733" s="45">
        <v>0</v>
      </c>
      <c r="Q1733" s="45">
        <v>0</v>
      </c>
      <c r="R1733" s="45">
        <v>0</v>
      </c>
      <c r="S1733" s="45">
        <v>0</v>
      </c>
      <c r="T1733" s="45">
        <v>0</v>
      </c>
      <c r="U1733" s="45">
        <v>1587</v>
      </c>
      <c r="V1733" s="45">
        <v>0</v>
      </c>
      <c r="W1733" s="45">
        <v>0</v>
      </c>
      <c r="X1733" s="45">
        <v>0</v>
      </c>
      <c r="Y1733" s="45">
        <v>5000</v>
      </c>
      <c r="Z1733" s="45">
        <v>0</v>
      </c>
      <c r="AA1733" s="45">
        <v>0</v>
      </c>
      <c r="AB1733" s="45">
        <v>0</v>
      </c>
      <c r="AC1733" s="45">
        <v>0</v>
      </c>
      <c r="AD1733" s="45">
        <v>0</v>
      </c>
      <c r="AE1733" s="45">
        <v>0</v>
      </c>
      <c r="AF1733" s="45">
        <v>0</v>
      </c>
      <c r="AG1733" s="45">
        <v>0</v>
      </c>
      <c r="AH1733" s="45">
        <v>0</v>
      </c>
      <c r="AI1733" s="45">
        <v>0</v>
      </c>
      <c r="AJ1733" s="45">
        <v>0</v>
      </c>
      <c r="AK1733" s="45">
        <v>0</v>
      </c>
      <c r="AL1733" s="45">
        <v>0</v>
      </c>
      <c r="AM1733" s="57" t="str">
        <f>I1733-J1733-K1733-L1733-M1733-N1733-O1733-P1733-Q1733-R1733-S1733-T1733-U1733-V1733-W1733-X1733-Y1733-Z1733-AA1733-AB1733-AC1733-AD1733-AE1733-AF1733-AG1733+AH1733-AI1733+AJ1733+AK1733-AL1733</f>
        <v>0</v>
      </c>
      <c r="AN1733" s="45"/>
    </row>
    <row r="1734" spans="1:41">
      <c r="A1734" s="45">
        <v>1706</v>
      </c>
      <c r="B1734" s="45" t="s">
        <v>6638</v>
      </c>
      <c r="C1734" s="49" t="s">
        <v>6639</v>
      </c>
      <c r="D1734" s="53" t="s">
        <v>73</v>
      </c>
      <c r="E1734" s="45" t="s">
        <v>6625</v>
      </c>
      <c r="F1734" s="45" t="s">
        <v>6640</v>
      </c>
      <c r="G1734" s="45">
        <v>1</v>
      </c>
      <c r="H1734" s="53" t="s">
        <v>6641</v>
      </c>
      <c r="I1734" s="45">
        <v>0</v>
      </c>
      <c r="J1734" s="45">
        <v>0</v>
      </c>
      <c r="K1734" s="45">
        <v>22000</v>
      </c>
      <c r="L1734" s="45">
        <v>0</v>
      </c>
      <c r="M1734" s="45">
        <v>0</v>
      </c>
      <c r="N1734" s="45">
        <v>0</v>
      </c>
      <c r="O1734" s="45">
        <v>0</v>
      </c>
      <c r="P1734" s="45">
        <v>0</v>
      </c>
      <c r="Q1734" s="45">
        <v>0</v>
      </c>
      <c r="R1734" s="45">
        <v>0</v>
      </c>
      <c r="S1734" s="45">
        <v>0</v>
      </c>
      <c r="T1734" s="45">
        <v>0</v>
      </c>
      <c r="U1734" s="45">
        <v>1397</v>
      </c>
      <c r="V1734" s="45">
        <v>0</v>
      </c>
      <c r="W1734" s="45">
        <v>0</v>
      </c>
      <c r="X1734" s="45">
        <v>0</v>
      </c>
      <c r="Y1734" s="45">
        <v>11000</v>
      </c>
      <c r="Z1734" s="45">
        <v>0</v>
      </c>
      <c r="AA1734" s="45">
        <v>0</v>
      </c>
      <c r="AB1734" s="45">
        <v>0</v>
      </c>
      <c r="AC1734" s="45">
        <v>0</v>
      </c>
      <c r="AD1734" s="45">
        <v>0</v>
      </c>
      <c r="AE1734" s="45">
        <v>0</v>
      </c>
      <c r="AF1734" s="45">
        <v>0</v>
      </c>
      <c r="AG1734" s="45">
        <v>0</v>
      </c>
      <c r="AH1734" s="45">
        <v>0</v>
      </c>
      <c r="AI1734" s="45">
        <v>0</v>
      </c>
      <c r="AJ1734" s="45">
        <v>0</v>
      </c>
      <c r="AK1734" s="45">
        <v>0</v>
      </c>
      <c r="AL1734" s="45">
        <v>0</v>
      </c>
      <c r="AM1734" s="57" t="str">
        <f>I1734-J1734-K1734-L1734-M1734-N1734-O1734-P1734-Q1734-R1734-S1734-T1734-U1734-V1734-W1734-X1734-Y1734-Z1734-AA1734-AB1734-AC1734-AD1734-AE1734-AF1734-AG1734+AH1734-AI1734+AJ1734+AK1734-AL1734</f>
        <v>0</v>
      </c>
      <c r="AN1734" s="45"/>
    </row>
    <row r="1735" spans="1:41">
      <c r="A1735" s="45">
        <v>1707</v>
      </c>
      <c r="B1735" s="45" t="s">
        <v>6642</v>
      </c>
      <c r="C1735" s="49" t="s">
        <v>6643</v>
      </c>
      <c r="D1735" s="53" t="s">
        <v>73</v>
      </c>
      <c r="E1735" s="45" t="s">
        <v>6625</v>
      </c>
      <c r="F1735" s="45" t="s">
        <v>6644</v>
      </c>
      <c r="G1735" s="45">
        <v>4</v>
      </c>
      <c r="H1735" s="53" t="s">
        <v>6645</v>
      </c>
      <c r="I1735" s="45">
        <v>0</v>
      </c>
      <c r="J1735" s="45">
        <v>0</v>
      </c>
      <c r="K1735" s="45">
        <v>25000</v>
      </c>
      <c r="L1735" s="45">
        <v>0</v>
      </c>
      <c r="M1735" s="45">
        <v>0</v>
      </c>
      <c r="N1735" s="45">
        <v>0</v>
      </c>
      <c r="O1735" s="45">
        <v>0</v>
      </c>
      <c r="P1735" s="45">
        <v>0</v>
      </c>
      <c r="Q1735" s="45">
        <v>0</v>
      </c>
      <c r="R1735" s="45">
        <v>0</v>
      </c>
      <c r="S1735" s="45">
        <v>0</v>
      </c>
      <c r="T1735" s="45">
        <v>0</v>
      </c>
      <c r="U1735" s="45">
        <v>1587</v>
      </c>
      <c r="V1735" s="45">
        <v>0</v>
      </c>
      <c r="W1735" s="45">
        <v>0</v>
      </c>
      <c r="X1735" s="45">
        <v>0</v>
      </c>
      <c r="Y1735" s="45">
        <v>12500</v>
      </c>
      <c r="Z1735" s="45">
        <v>0</v>
      </c>
      <c r="AA1735" s="45">
        <v>0</v>
      </c>
      <c r="AB1735" s="45">
        <v>0</v>
      </c>
      <c r="AC1735" s="45">
        <v>0</v>
      </c>
      <c r="AD1735" s="45">
        <v>0</v>
      </c>
      <c r="AE1735" s="45">
        <v>0</v>
      </c>
      <c r="AF1735" s="45">
        <v>0</v>
      </c>
      <c r="AG1735" s="45">
        <v>0</v>
      </c>
      <c r="AH1735" s="45">
        <v>0</v>
      </c>
      <c r="AI1735" s="45">
        <v>0</v>
      </c>
      <c r="AJ1735" s="45">
        <v>0</v>
      </c>
      <c r="AK1735" s="45">
        <v>0</v>
      </c>
      <c r="AL1735" s="45">
        <v>0</v>
      </c>
      <c r="AM1735" s="57" t="str">
        <f>I1735-J1735-K1735-L1735-M1735-N1735-O1735-P1735-Q1735-R1735-S1735-T1735-U1735-V1735-W1735-X1735-Y1735-Z1735-AA1735-AB1735-AC1735-AD1735-AE1735-AF1735-AG1735+AH1735-AI1735+AJ1735+AK1735-AL1735</f>
        <v>0</v>
      </c>
      <c r="AN1735" s="45"/>
    </row>
    <row r="1736" spans="1:41">
      <c r="A1736" s="45">
        <v>1708</v>
      </c>
      <c r="B1736" s="45" t="s">
        <v>6646</v>
      </c>
      <c r="C1736" s="49" t="s">
        <v>6647</v>
      </c>
      <c r="D1736" s="53" t="s">
        <v>73</v>
      </c>
      <c r="E1736" s="45" t="s">
        <v>6625</v>
      </c>
      <c r="F1736" s="45" t="s">
        <v>6648</v>
      </c>
      <c r="G1736" s="45">
        <v>3</v>
      </c>
      <c r="H1736" s="53" t="s">
        <v>6649</v>
      </c>
      <c r="I1736" s="45">
        <v>0</v>
      </c>
      <c r="J1736" s="45">
        <v>0</v>
      </c>
      <c r="K1736" s="45">
        <v>22000</v>
      </c>
      <c r="L1736" s="45">
        <v>0</v>
      </c>
      <c r="M1736" s="45">
        <v>0</v>
      </c>
      <c r="N1736" s="45">
        <v>0</v>
      </c>
      <c r="O1736" s="45">
        <v>0</v>
      </c>
      <c r="P1736" s="45">
        <v>0</v>
      </c>
      <c r="Q1736" s="45">
        <v>0</v>
      </c>
      <c r="R1736" s="45">
        <v>0</v>
      </c>
      <c r="S1736" s="45">
        <v>0</v>
      </c>
      <c r="T1736" s="45">
        <v>0</v>
      </c>
      <c r="U1736" s="45">
        <v>1397</v>
      </c>
      <c r="V1736" s="45">
        <v>0</v>
      </c>
      <c r="W1736" s="45">
        <v>0</v>
      </c>
      <c r="X1736" s="45">
        <v>0</v>
      </c>
      <c r="Y1736" s="45">
        <v>5000</v>
      </c>
      <c r="Z1736" s="45">
        <v>0</v>
      </c>
      <c r="AA1736" s="45">
        <v>0</v>
      </c>
      <c r="AB1736" s="45">
        <v>0</v>
      </c>
      <c r="AC1736" s="45">
        <v>0</v>
      </c>
      <c r="AD1736" s="45">
        <v>0</v>
      </c>
      <c r="AE1736" s="45">
        <v>0</v>
      </c>
      <c r="AF1736" s="45">
        <v>0</v>
      </c>
      <c r="AG1736" s="45">
        <v>0</v>
      </c>
      <c r="AH1736" s="45">
        <v>0</v>
      </c>
      <c r="AI1736" s="45">
        <v>0</v>
      </c>
      <c r="AJ1736" s="45">
        <v>0</v>
      </c>
      <c r="AK1736" s="45">
        <v>0</v>
      </c>
      <c r="AL1736" s="45">
        <v>0</v>
      </c>
      <c r="AM1736" s="57" t="str">
        <f>I1736-J1736-K1736-L1736-M1736-N1736-O1736-P1736-Q1736-R1736-S1736-T1736-U1736-V1736-W1736-X1736-Y1736-Z1736-AA1736-AB1736-AC1736-AD1736-AE1736-AF1736-AG1736+AH1736-AI1736+AJ1736+AK1736-AL1736</f>
        <v>0</v>
      </c>
      <c r="AN1736" s="45"/>
    </row>
    <row r="1737" spans="1:41">
      <c r="A1737" s="45">
        <v>1709</v>
      </c>
      <c r="B1737" s="45" t="s">
        <v>6650</v>
      </c>
      <c r="C1737" s="49" t="s">
        <v>6651</v>
      </c>
      <c r="D1737" s="53" t="s">
        <v>73</v>
      </c>
      <c r="E1737" s="45" t="s">
        <v>1785</v>
      </c>
      <c r="F1737" s="45" t="s">
        <v>6652</v>
      </c>
      <c r="G1737" s="45">
        <v>3</v>
      </c>
      <c r="H1737" s="53" t="s">
        <v>6653</v>
      </c>
      <c r="I1737" s="45">
        <v>695000</v>
      </c>
      <c r="J1737" s="45">
        <v>0</v>
      </c>
      <c r="K1737" s="45">
        <v>22000</v>
      </c>
      <c r="L1737" s="45">
        <v>0</v>
      </c>
      <c r="M1737" s="45">
        <v>0</v>
      </c>
      <c r="N1737" s="45">
        <v>0</v>
      </c>
      <c r="O1737" s="45">
        <v>0</v>
      </c>
      <c r="P1737" s="45">
        <v>0</v>
      </c>
      <c r="Q1737" s="45">
        <v>0</v>
      </c>
      <c r="R1737" s="45">
        <v>0</v>
      </c>
      <c r="S1737" s="45">
        <v>0</v>
      </c>
      <c r="T1737" s="45">
        <v>0</v>
      </c>
      <c r="U1737" s="45">
        <v>1397</v>
      </c>
      <c r="V1737" s="45">
        <v>0</v>
      </c>
      <c r="W1737" s="45">
        <v>0</v>
      </c>
      <c r="X1737" s="45">
        <v>0</v>
      </c>
      <c r="Y1737" s="45">
        <v>0</v>
      </c>
      <c r="Z1737" s="45">
        <v>0</v>
      </c>
      <c r="AA1737" s="45">
        <v>0</v>
      </c>
      <c r="AB1737" s="45">
        <v>0</v>
      </c>
      <c r="AC1737" s="45">
        <v>0</v>
      </c>
      <c r="AD1737" s="45">
        <v>0</v>
      </c>
      <c r="AE1737" s="45">
        <v>0</v>
      </c>
      <c r="AF1737" s="45">
        <v>0</v>
      </c>
      <c r="AG1737" s="45">
        <v>0</v>
      </c>
      <c r="AH1737" s="45">
        <v>0</v>
      </c>
      <c r="AI1737" s="45">
        <v>0</v>
      </c>
      <c r="AJ1737" s="45">
        <v>0</v>
      </c>
      <c r="AK1737" s="45">
        <v>0</v>
      </c>
      <c r="AL1737" s="45">
        <v>0</v>
      </c>
      <c r="AM1737" s="57" t="str">
        <f>I1737-J1737-K1737-L1737-M1737-N1737-O1737-P1737-Q1737-R1737-S1737-T1737-U1737-V1737-W1737-X1737-Y1737-Z1737-AA1737-AB1737-AC1737-AD1737-AE1737-AF1737-AG1737+AH1737-AI1737+AJ1737+AK1737-AL1737</f>
        <v>0</v>
      </c>
      <c r="AN1737" s="45"/>
    </row>
    <row r="1738" spans="1:41">
      <c r="A1738" s="45">
        <v>1710</v>
      </c>
      <c r="B1738" s="45" t="s">
        <v>6654</v>
      </c>
      <c r="C1738" s="49" t="s">
        <v>6655</v>
      </c>
      <c r="D1738" s="53" t="s">
        <v>73</v>
      </c>
      <c r="E1738" s="45" t="s">
        <v>1785</v>
      </c>
      <c r="F1738" s="45" t="s">
        <v>6656</v>
      </c>
      <c r="G1738" s="45">
        <v>2</v>
      </c>
      <c r="H1738" s="53" t="s">
        <v>6657</v>
      </c>
      <c r="I1738" s="45">
        <v>435000</v>
      </c>
      <c r="J1738" s="45">
        <v>0</v>
      </c>
      <c r="K1738" s="45">
        <v>22000</v>
      </c>
      <c r="L1738" s="45">
        <v>0</v>
      </c>
      <c r="M1738" s="45">
        <v>0</v>
      </c>
      <c r="N1738" s="45">
        <v>0</v>
      </c>
      <c r="O1738" s="45">
        <v>0</v>
      </c>
      <c r="P1738" s="45">
        <v>0</v>
      </c>
      <c r="Q1738" s="45">
        <v>0</v>
      </c>
      <c r="R1738" s="45">
        <v>0</v>
      </c>
      <c r="S1738" s="45">
        <v>0</v>
      </c>
      <c r="T1738" s="45">
        <v>0</v>
      </c>
      <c r="U1738" s="45">
        <v>1397</v>
      </c>
      <c r="V1738" s="45">
        <v>0</v>
      </c>
      <c r="W1738" s="45">
        <v>0</v>
      </c>
      <c r="X1738" s="45">
        <v>0</v>
      </c>
      <c r="Y1738" s="45">
        <v>0</v>
      </c>
      <c r="Z1738" s="45">
        <v>0</v>
      </c>
      <c r="AA1738" s="45">
        <v>0</v>
      </c>
      <c r="AB1738" s="45">
        <v>0</v>
      </c>
      <c r="AC1738" s="45">
        <v>0</v>
      </c>
      <c r="AD1738" s="45">
        <v>0</v>
      </c>
      <c r="AE1738" s="45">
        <v>0</v>
      </c>
      <c r="AF1738" s="45">
        <v>0</v>
      </c>
      <c r="AG1738" s="45">
        <v>0</v>
      </c>
      <c r="AH1738" s="45">
        <v>0</v>
      </c>
      <c r="AI1738" s="45">
        <v>0</v>
      </c>
      <c r="AJ1738" s="45">
        <v>0</v>
      </c>
      <c r="AK1738" s="45">
        <v>0</v>
      </c>
      <c r="AL1738" s="45">
        <v>0</v>
      </c>
      <c r="AM1738" s="57" t="str">
        <f>I1738-J1738-K1738-L1738-M1738-N1738-O1738-P1738-Q1738-R1738-S1738-T1738-U1738-V1738-W1738-X1738-Y1738-Z1738-AA1738-AB1738-AC1738-AD1738-AE1738-AF1738-AG1738+AH1738-AI1738+AJ1738+AK1738-AL1738</f>
        <v>0</v>
      </c>
      <c r="AN1738" s="45"/>
    </row>
    <row r="1739" spans="1:41">
      <c r="A1739" s="45">
        <v>1711</v>
      </c>
      <c r="B1739" s="45" t="s">
        <v>6658</v>
      </c>
      <c r="C1739" s="49" t="s">
        <v>6659</v>
      </c>
      <c r="D1739" s="53" t="s">
        <v>73</v>
      </c>
      <c r="E1739" s="45" t="s">
        <v>1785</v>
      </c>
      <c r="F1739" s="45" t="s">
        <v>4209</v>
      </c>
      <c r="G1739" s="45">
        <v>5</v>
      </c>
      <c r="H1739" s="53" t="s">
        <v>6660</v>
      </c>
      <c r="I1739" s="45">
        <v>1005000</v>
      </c>
      <c r="J1739" s="45">
        <v>0</v>
      </c>
      <c r="K1739" s="45">
        <v>27000</v>
      </c>
      <c r="L1739" s="45">
        <v>0</v>
      </c>
      <c r="M1739" s="45">
        <v>0</v>
      </c>
      <c r="N1739" s="45">
        <v>0</v>
      </c>
      <c r="O1739" s="45">
        <v>0</v>
      </c>
      <c r="P1739" s="45">
        <v>0</v>
      </c>
      <c r="Q1739" s="45">
        <v>0</v>
      </c>
      <c r="R1739" s="45">
        <v>0</v>
      </c>
      <c r="S1739" s="45">
        <v>0</v>
      </c>
      <c r="T1739" s="45">
        <v>0</v>
      </c>
      <c r="U1739" s="45">
        <v>1714</v>
      </c>
      <c r="V1739" s="45">
        <v>0</v>
      </c>
      <c r="W1739" s="45">
        <v>0</v>
      </c>
      <c r="X1739" s="45">
        <v>0</v>
      </c>
      <c r="Y1739" s="45">
        <v>0</v>
      </c>
      <c r="Z1739" s="45">
        <v>0</v>
      </c>
      <c r="AA1739" s="45">
        <v>0</v>
      </c>
      <c r="AB1739" s="45">
        <v>0</v>
      </c>
      <c r="AC1739" s="45">
        <v>0</v>
      </c>
      <c r="AD1739" s="45">
        <v>0</v>
      </c>
      <c r="AE1739" s="45">
        <v>0</v>
      </c>
      <c r="AF1739" s="45">
        <v>0</v>
      </c>
      <c r="AG1739" s="45">
        <v>0</v>
      </c>
      <c r="AH1739" s="45">
        <v>0</v>
      </c>
      <c r="AI1739" s="45">
        <v>0</v>
      </c>
      <c r="AJ1739" s="45">
        <v>0</v>
      </c>
      <c r="AK1739" s="45">
        <v>0</v>
      </c>
      <c r="AL1739" s="45">
        <v>0</v>
      </c>
      <c r="AM1739" s="57" t="str">
        <f>I1739-J1739-K1739-L1739-M1739-N1739-O1739-P1739-Q1739-R1739-S1739-T1739-U1739-V1739-W1739-X1739-Y1739-Z1739-AA1739-AB1739-AC1739-AD1739-AE1739-AF1739-AG1739+AH1739-AI1739+AJ1739+AK1739-AL1739</f>
        <v>0</v>
      </c>
      <c r="AN1739" s="45"/>
    </row>
    <row r="1740" spans="1:41">
      <c r="A1740" s="45">
        <v>1712</v>
      </c>
      <c r="B1740" s="45" t="s">
        <v>6661</v>
      </c>
      <c r="C1740" s="49" t="s">
        <v>6662</v>
      </c>
      <c r="D1740" s="53" t="s">
        <v>73</v>
      </c>
      <c r="E1740" s="45" t="s">
        <v>1785</v>
      </c>
      <c r="F1740" s="45" t="s">
        <v>6663</v>
      </c>
      <c r="G1740" s="45">
        <v>6</v>
      </c>
      <c r="H1740" s="53" t="s">
        <v>6664</v>
      </c>
      <c r="I1740" s="45">
        <v>939000</v>
      </c>
      <c r="J1740" s="45">
        <v>0</v>
      </c>
      <c r="K1740" s="45">
        <v>31000</v>
      </c>
      <c r="L1740" s="45">
        <v>0</v>
      </c>
      <c r="M1740" s="45">
        <v>0</v>
      </c>
      <c r="N1740" s="45">
        <v>0</v>
      </c>
      <c r="O1740" s="45">
        <v>0</v>
      </c>
      <c r="P1740" s="45">
        <v>0</v>
      </c>
      <c r="Q1740" s="45">
        <v>0</v>
      </c>
      <c r="R1740" s="45">
        <v>0</v>
      </c>
      <c r="S1740" s="45">
        <v>0</v>
      </c>
      <c r="T1740" s="45">
        <v>0</v>
      </c>
      <c r="U1740" s="45">
        <v>1968</v>
      </c>
      <c r="V1740" s="45">
        <v>0</v>
      </c>
      <c r="W1740" s="45">
        <v>0</v>
      </c>
      <c r="X1740" s="45">
        <v>0</v>
      </c>
      <c r="Y1740" s="45">
        <v>0</v>
      </c>
      <c r="Z1740" s="45">
        <v>0</v>
      </c>
      <c r="AA1740" s="45">
        <v>0</v>
      </c>
      <c r="AB1740" s="45">
        <v>0</v>
      </c>
      <c r="AC1740" s="45">
        <v>0</v>
      </c>
      <c r="AD1740" s="45">
        <v>0</v>
      </c>
      <c r="AE1740" s="45">
        <v>0</v>
      </c>
      <c r="AF1740" s="45">
        <v>0</v>
      </c>
      <c r="AG1740" s="45">
        <v>0</v>
      </c>
      <c r="AH1740" s="45">
        <v>0</v>
      </c>
      <c r="AI1740" s="45">
        <v>0</v>
      </c>
      <c r="AJ1740" s="45">
        <v>0</v>
      </c>
      <c r="AK1740" s="45">
        <v>0</v>
      </c>
      <c r="AL1740" s="45">
        <v>0</v>
      </c>
      <c r="AM1740" s="57" t="str">
        <f>I1740-J1740-K1740-L1740-M1740-N1740-O1740-P1740-Q1740-R1740-S1740-T1740-U1740-V1740-W1740-X1740-Y1740-Z1740-AA1740-AB1740-AC1740-AD1740-AE1740-AF1740-AG1740+AH1740-AI1740+AJ1740+AK1740-AL1740</f>
        <v>0</v>
      </c>
      <c r="AN1740" s="45"/>
    </row>
    <row r="1741" spans="1:41">
      <c r="A1741" s="45">
        <v>1713</v>
      </c>
      <c r="B1741" s="45" t="s">
        <v>6665</v>
      </c>
      <c r="C1741" s="49" t="s">
        <v>6666</v>
      </c>
      <c r="D1741" s="53" t="s">
        <v>73</v>
      </c>
      <c r="E1741" s="45" t="s">
        <v>1785</v>
      </c>
      <c r="F1741" s="45" t="s">
        <v>6667</v>
      </c>
      <c r="G1741" s="45">
        <v>5</v>
      </c>
      <c r="H1741" s="53" t="s">
        <v>6668</v>
      </c>
      <c r="I1741" s="45">
        <v>1890000</v>
      </c>
      <c r="J1741" s="45">
        <v>0</v>
      </c>
      <c r="K1741" s="45">
        <v>27000</v>
      </c>
      <c r="L1741" s="45">
        <v>0</v>
      </c>
      <c r="M1741" s="45">
        <v>0</v>
      </c>
      <c r="N1741" s="45">
        <v>0</v>
      </c>
      <c r="O1741" s="45">
        <v>0</v>
      </c>
      <c r="P1741" s="45">
        <v>0</v>
      </c>
      <c r="Q1741" s="45">
        <v>0</v>
      </c>
      <c r="R1741" s="45">
        <v>0</v>
      </c>
      <c r="S1741" s="45">
        <v>0</v>
      </c>
      <c r="T1741" s="45">
        <v>0</v>
      </c>
      <c r="U1741" s="45">
        <v>1714</v>
      </c>
      <c r="V1741" s="45">
        <v>0</v>
      </c>
      <c r="W1741" s="45">
        <v>0</v>
      </c>
      <c r="X1741" s="45">
        <v>0</v>
      </c>
      <c r="Y1741" s="45">
        <v>0</v>
      </c>
      <c r="Z1741" s="45">
        <v>0</v>
      </c>
      <c r="AA1741" s="45">
        <v>0</v>
      </c>
      <c r="AB1741" s="45">
        <v>0</v>
      </c>
      <c r="AC1741" s="45">
        <v>0</v>
      </c>
      <c r="AD1741" s="45">
        <v>0</v>
      </c>
      <c r="AE1741" s="45">
        <v>0</v>
      </c>
      <c r="AF1741" s="45">
        <v>0</v>
      </c>
      <c r="AG1741" s="45">
        <v>0</v>
      </c>
      <c r="AH1741" s="45">
        <v>0</v>
      </c>
      <c r="AI1741" s="45">
        <v>0</v>
      </c>
      <c r="AJ1741" s="45">
        <v>0</v>
      </c>
      <c r="AK1741" s="45">
        <v>0</v>
      </c>
      <c r="AL1741" s="45">
        <v>0</v>
      </c>
      <c r="AM1741" s="57" t="str">
        <f>I1741-J1741-K1741-L1741-M1741-N1741-O1741-P1741-Q1741-R1741-S1741-T1741-U1741-V1741-W1741-X1741-Y1741-Z1741-AA1741-AB1741-AC1741-AD1741-AE1741-AF1741-AG1741+AH1741-AI1741+AJ1741+AK1741-AL1741</f>
        <v>0</v>
      </c>
      <c r="AN1741" s="45"/>
    </row>
    <row r="1742" spans="1:41">
      <c r="A1742" s="45">
        <v>1714</v>
      </c>
      <c r="B1742" s="45" t="s">
        <v>6669</v>
      </c>
      <c r="C1742" s="49" t="s">
        <v>6670</v>
      </c>
      <c r="D1742" s="53" t="s">
        <v>73</v>
      </c>
      <c r="E1742" s="45" t="s">
        <v>1785</v>
      </c>
      <c r="F1742" s="45" t="s">
        <v>6671</v>
      </c>
      <c r="G1742" s="45">
        <v>3</v>
      </c>
      <c r="H1742" s="53" t="s">
        <v>3078</v>
      </c>
      <c r="I1742" s="45">
        <v>910000</v>
      </c>
      <c r="J1742" s="45">
        <v>0</v>
      </c>
      <c r="K1742" s="45">
        <v>22000</v>
      </c>
      <c r="L1742" s="45">
        <v>0</v>
      </c>
      <c r="M1742" s="45">
        <v>0</v>
      </c>
      <c r="N1742" s="45">
        <v>0</v>
      </c>
      <c r="O1742" s="45">
        <v>0</v>
      </c>
      <c r="P1742" s="45">
        <v>0</v>
      </c>
      <c r="Q1742" s="45">
        <v>0</v>
      </c>
      <c r="R1742" s="45">
        <v>0</v>
      </c>
      <c r="S1742" s="45">
        <v>0</v>
      </c>
      <c r="T1742" s="45">
        <v>0</v>
      </c>
      <c r="U1742" s="45">
        <v>1397</v>
      </c>
      <c r="V1742" s="45">
        <v>0</v>
      </c>
      <c r="W1742" s="45">
        <v>0</v>
      </c>
      <c r="X1742" s="45">
        <v>0</v>
      </c>
      <c r="Y1742" s="45">
        <v>0</v>
      </c>
      <c r="Z1742" s="45">
        <v>0</v>
      </c>
      <c r="AA1742" s="45">
        <v>0</v>
      </c>
      <c r="AB1742" s="45">
        <v>0</v>
      </c>
      <c r="AC1742" s="45">
        <v>0</v>
      </c>
      <c r="AD1742" s="45">
        <v>0</v>
      </c>
      <c r="AE1742" s="45">
        <v>0</v>
      </c>
      <c r="AF1742" s="45">
        <v>0</v>
      </c>
      <c r="AG1742" s="45">
        <v>0</v>
      </c>
      <c r="AH1742" s="45">
        <v>0</v>
      </c>
      <c r="AI1742" s="45">
        <v>0</v>
      </c>
      <c r="AJ1742" s="45">
        <v>0</v>
      </c>
      <c r="AK1742" s="45">
        <v>0</v>
      </c>
      <c r="AL1742" s="45">
        <v>0</v>
      </c>
      <c r="AM1742" s="57" t="str">
        <f>I1742-J1742-K1742-L1742-M1742-N1742-O1742-P1742-Q1742-R1742-S1742-T1742-U1742-V1742-W1742-X1742-Y1742-Z1742-AA1742-AB1742-AC1742-AD1742-AE1742-AF1742-AG1742+AH1742-AI1742+AJ1742+AK1742-AL1742</f>
        <v>0</v>
      </c>
      <c r="AN1742" s="45"/>
    </row>
    <row r="1743" spans="1:41">
      <c r="A1743" s="45">
        <v>1715</v>
      </c>
      <c r="B1743" s="45" t="s">
        <v>6672</v>
      </c>
      <c r="C1743" s="49" t="s">
        <v>6673</v>
      </c>
      <c r="D1743" s="53" t="s">
        <v>73</v>
      </c>
      <c r="E1743" s="45" t="s">
        <v>1785</v>
      </c>
      <c r="F1743" s="45" t="s">
        <v>6674</v>
      </c>
      <c r="G1743" s="45">
        <v>3</v>
      </c>
      <c r="H1743" s="53" t="s">
        <v>6675</v>
      </c>
      <c r="I1743" s="45">
        <v>799000</v>
      </c>
      <c r="J1743" s="45">
        <v>0</v>
      </c>
      <c r="K1743" s="45">
        <v>22000</v>
      </c>
      <c r="L1743" s="45">
        <v>0</v>
      </c>
      <c r="M1743" s="45">
        <v>0</v>
      </c>
      <c r="N1743" s="45">
        <v>0</v>
      </c>
      <c r="O1743" s="45">
        <v>0</v>
      </c>
      <c r="P1743" s="45">
        <v>0</v>
      </c>
      <c r="Q1743" s="45">
        <v>0</v>
      </c>
      <c r="R1743" s="45">
        <v>0</v>
      </c>
      <c r="S1743" s="45">
        <v>0</v>
      </c>
      <c r="T1743" s="45">
        <v>0</v>
      </c>
      <c r="U1743" s="45">
        <v>1397</v>
      </c>
      <c r="V1743" s="45">
        <v>0</v>
      </c>
      <c r="W1743" s="45">
        <v>0</v>
      </c>
      <c r="X1743" s="45">
        <v>0</v>
      </c>
      <c r="Y1743" s="45">
        <v>0</v>
      </c>
      <c r="Z1743" s="45">
        <v>0</v>
      </c>
      <c r="AA1743" s="45">
        <v>0</v>
      </c>
      <c r="AB1743" s="45">
        <v>0</v>
      </c>
      <c r="AC1743" s="45">
        <v>0</v>
      </c>
      <c r="AD1743" s="45">
        <v>0</v>
      </c>
      <c r="AE1743" s="45">
        <v>0</v>
      </c>
      <c r="AF1743" s="45">
        <v>0</v>
      </c>
      <c r="AG1743" s="45">
        <v>0</v>
      </c>
      <c r="AH1743" s="45">
        <v>0</v>
      </c>
      <c r="AI1743" s="45">
        <v>0</v>
      </c>
      <c r="AJ1743" s="45">
        <v>0</v>
      </c>
      <c r="AK1743" s="45">
        <v>0</v>
      </c>
      <c r="AL1743" s="45">
        <v>0</v>
      </c>
      <c r="AM1743" s="57" t="str">
        <f>I1743-J1743-K1743-L1743-M1743-N1743-O1743-P1743-Q1743-R1743-S1743-T1743-U1743-V1743-W1743-X1743-Y1743-Z1743-AA1743-AB1743-AC1743-AD1743-AE1743-AF1743-AG1743+AH1743-AI1743+AJ1743+AK1743-AL1743</f>
        <v>0</v>
      </c>
      <c r="AN1743" s="45"/>
    </row>
    <row r="1744" spans="1:41">
      <c r="A1744" s="45">
        <v>1716</v>
      </c>
      <c r="B1744" s="45" t="s">
        <v>6676</v>
      </c>
      <c r="C1744" s="49" t="s">
        <v>6677</v>
      </c>
      <c r="D1744" s="53" t="s">
        <v>73</v>
      </c>
      <c r="E1744" s="45" t="s">
        <v>1785</v>
      </c>
      <c r="F1744" s="45" t="s">
        <v>2225</v>
      </c>
      <c r="G1744" s="45">
        <v>7.8</v>
      </c>
      <c r="H1744" s="53" t="s">
        <v>6678</v>
      </c>
      <c r="I1744" s="45">
        <v>625000</v>
      </c>
      <c r="J1744" s="45">
        <v>0</v>
      </c>
      <c r="K1744" s="45">
        <v>39000</v>
      </c>
      <c r="L1744" s="45">
        <v>0</v>
      </c>
      <c r="M1744" s="45">
        <v>0</v>
      </c>
      <c r="N1744" s="45">
        <v>0</v>
      </c>
      <c r="O1744" s="45">
        <v>0</v>
      </c>
      <c r="P1744" s="45">
        <v>0</v>
      </c>
      <c r="Q1744" s="45">
        <v>0</v>
      </c>
      <c r="R1744" s="45">
        <v>0</v>
      </c>
      <c r="S1744" s="45">
        <v>0</v>
      </c>
      <c r="T1744" s="45">
        <v>0</v>
      </c>
      <c r="U1744" s="45">
        <v>2476</v>
      </c>
      <c r="V1744" s="45">
        <v>0</v>
      </c>
      <c r="W1744" s="45">
        <v>0</v>
      </c>
      <c r="X1744" s="45">
        <v>0</v>
      </c>
      <c r="Y1744" s="45">
        <v>0</v>
      </c>
      <c r="Z1744" s="45">
        <v>0</v>
      </c>
      <c r="AA1744" s="45">
        <v>0</v>
      </c>
      <c r="AB1744" s="45">
        <v>0</v>
      </c>
      <c r="AC1744" s="45">
        <v>0</v>
      </c>
      <c r="AD1744" s="45">
        <v>0</v>
      </c>
      <c r="AE1744" s="45">
        <v>0</v>
      </c>
      <c r="AF1744" s="45">
        <v>0</v>
      </c>
      <c r="AG1744" s="45">
        <v>0</v>
      </c>
      <c r="AH1744" s="45">
        <v>0</v>
      </c>
      <c r="AI1744" s="45">
        <v>0</v>
      </c>
      <c r="AJ1744" s="45">
        <v>0</v>
      </c>
      <c r="AK1744" s="45">
        <v>0</v>
      </c>
      <c r="AL1744" s="45">
        <v>0</v>
      </c>
      <c r="AM1744" s="57" t="str">
        <f>I1744-J1744-K1744-L1744-M1744-N1744-O1744-P1744-Q1744-R1744-S1744-T1744-U1744-V1744-W1744-X1744-Y1744-Z1744-AA1744-AB1744-AC1744-AD1744-AE1744-AF1744-AG1744+AH1744-AI1744+AJ1744+AK1744-AL1744</f>
        <v>0</v>
      </c>
      <c r="AN1744" s="45"/>
    </row>
    <row r="1745" spans="1:41">
      <c r="A1745" s="45">
        <v>1717</v>
      </c>
      <c r="B1745" s="45" t="s">
        <v>6679</v>
      </c>
      <c r="C1745" s="49" t="s">
        <v>6680</v>
      </c>
      <c r="D1745" s="53" t="s">
        <v>73</v>
      </c>
      <c r="E1745" s="45" t="s">
        <v>1785</v>
      </c>
      <c r="F1745" s="45" t="s">
        <v>4650</v>
      </c>
      <c r="G1745" s="45">
        <v>2</v>
      </c>
      <c r="H1745" s="53" t="s">
        <v>6681</v>
      </c>
      <c r="I1745" s="45">
        <v>199000</v>
      </c>
      <c r="J1745" s="45">
        <v>0</v>
      </c>
      <c r="K1745" s="45">
        <v>22000</v>
      </c>
      <c r="L1745" s="45">
        <v>0</v>
      </c>
      <c r="M1745" s="45">
        <v>0</v>
      </c>
      <c r="N1745" s="45">
        <v>0</v>
      </c>
      <c r="O1745" s="45">
        <v>0</v>
      </c>
      <c r="P1745" s="45">
        <v>0</v>
      </c>
      <c r="Q1745" s="45">
        <v>0</v>
      </c>
      <c r="R1745" s="45">
        <v>0</v>
      </c>
      <c r="S1745" s="45">
        <v>0</v>
      </c>
      <c r="T1745" s="45">
        <v>0</v>
      </c>
      <c r="U1745" s="45">
        <v>1397</v>
      </c>
      <c r="V1745" s="45">
        <v>0</v>
      </c>
      <c r="W1745" s="45">
        <v>0</v>
      </c>
      <c r="X1745" s="45">
        <v>0</v>
      </c>
      <c r="Y1745" s="45">
        <v>0</v>
      </c>
      <c r="Z1745" s="45">
        <v>0</v>
      </c>
      <c r="AA1745" s="45">
        <v>0</v>
      </c>
      <c r="AB1745" s="45">
        <v>0</v>
      </c>
      <c r="AC1745" s="45">
        <v>0</v>
      </c>
      <c r="AD1745" s="45">
        <v>0</v>
      </c>
      <c r="AE1745" s="45">
        <v>0</v>
      </c>
      <c r="AF1745" s="45">
        <v>0</v>
      </c>
      <c r="AG1745" s="45">
        <v>0</v>
      </c>
      <c r="AH1745" s="45">
        <v>0</v>
      </c>
      <c r="AI1745" s="45">
        <v>0</v>
      </c>
      <c r="AJ1745" s="45">
        <v>0</v>
      </c>
      <c r="AK1745" s="45">
        <v>0</v>
      </c>
      <c r="AL1745" s="45">
        <v>0</v>
      </c>
      <c r="AM1745" s="57" t="str">
        <f>I1745-J1745-K1745-L1745-M1745-N1745-O1745-P1745-Q1745-R1745-S1745-T1745-U1745-V1745-W1745-X1745-Y1745-Z1745-AA1745-AB1745-AC1745-AD1745-AE1745-AF1745-AG1745+AH1745-AI1745+AJ1745+AK1745-AL1745</f>
        <v>0</v>
      </c>
      <c r="AN1745" s="45"/>
    </row>
    <row r="1746" spans="1:41">
      <c r="A1746" s="45">
        <v>1718</v>
      </c>
      <c r="B1746" s="45" t="s">
        <v>6682</v>
      </c>
      <c r="C1746" s="49" t="s">
        <v>6683</v>
      </c>
      <c r="D1746" s="53" t="s">
        <v>73</v>
      </c>
      <c r="E1746" s="45" t="s">
        <v>1785</v>
      </c>
      <c r="F1746" s="45" t="s">
        <v>6684</v>
      </c>
      <c r="G1746" s="45">
        <v>3</v>
      </c>
      <c r="H1746" s="53" t="s">
        <v>6685</v>
      </c>
      <c r="I1746" s="45">
        <v>1960000</v>
      </c>
      <c r="J1746" s="45">
        <v>0</v>
      </c>
      <c r="K1746" s="45">
        <v>22000</v>
      </c>
      <c r="L1746" s="45">
        <v>0</v>
      </c>
      <c r="M1746" s="45">
        <v>0</v>
      </c>
      <c r="N1746" s="45">
        <v>0</v>
      </c>
      <c r="O1746" s="45">
        <v>0</v>
      </c>
      <c r="P1746" s="45">
        <v>0</v>
      </c>
      <c r="Q1746" s="45">
        <v>0</v>
      </c>
      <c r="R1746" s="45">
        <v>0</v>
      </c>
      <c r="S1746" s="45">
        <v>0</v>
      </c>
      <c r="T1746" s="45">
        <v>0</v>
      </c>
      <c r="U1746" s="45">
        <v>1397</v>
      </c>
      <c r="V1746" s="45">
        <v>0</v>
      </c>
      <c r="W1746" s="45">
        <v>0</v>
      </c>
      <c r="X1746" s="45">
        <v>0</v>
      </c>
      <c r="Y1746" s="45">
        <v>0</v>
      </c>
      <c r="Z1746" s="45">
        <v>0</v>
      </c>
      <c r="AA1746" s="45">
        <v>0</v>
      </c>
      <c r="AB1746" s="45">
        <v>0</v>
      </c>
      <c r="AC1746" s="45">
        <v>0</v>
      </c>
      <c r="AD1746" s="45">
        <v>0</v>
      </c>
      <c r="AE1746" s="45">
        <v>0</v>
      </c>
      <c r="AF1746" s="45">
        <v>0</v>
      </c>
      <c r="AG1746" s="45">
        <v>0</v>
      </c>
      <c r="AH1746" s="45">
        <v>0</v>
      </c>
      <c r="AI1746" s="45">
        <v>0</v>
      </c>
      <c r="AJ1746" s="45">
        <v>0</v>
      </c>
      <c r="AK1746" s="45">
        <v>0</v>
      </c>
      <c r="AL1746" s="45">
        <v>0</v>
      </c>
      <c r="AM1746" s="57" t="str">
        <f>I1746-J1746-K1746-L1746-M1746-N1746-O1746-P1746-Q1746-R1746-S1746-T1746-U1746-V1746-W1746-X1746-Y1746-Z1746-AA1746-AB1746-AC1746-AD1746-AE1746-AF1746-AG1746+AH1746-AI1746+AJ1746+AK1746-AL1746</f>
        <v>0</v>
      </c>
      <c r="AN1746" s="45"/>
    </row>
    <row r="1747" spans="1:41">
      <c r="A1747" s="45">
        <v>1719</v>
      </c>
      <c r="B1747" s="45" t="s">
        <v>6686</v>
      </c>
      <c r="C1747" s="49" t="s">
        <v>6687</v>
      </c>
      <c r="D1747" s="53" t="s">
        <v>73</v>
      </c>
      <c r="E1747" s="45" t="s">
        <v>622</v>
      </c>
      <c r="F1747" s="45" t="s">
        <v>6688</v>
      </c>
      <c r="G1747" s="45">
        <v>2</v>
      </c>
      <c r="H1747" s="53" t="s">
        <v>6689</v>
      </c>
      <c r="I1747" s="45">
        <v>270000</v>
      </c>
      <c r="J1747" s="45">
        <v>0</v>
      </c>
      <c r="K1747" s="45">
        <v>22000</v>
      </c>
      <c r="L1747" s="45">
        <v>0</v>
      </c>
      <c r="M1747" s="45">
        <v>0</v>
      </c>
      <c r="N1747" s="45">
        <v>0</v>
      </c>
      <c r="O1747" s="45">
        <v>0</v>
      </c>
      <c r="P1747" s="45">
        <v>0</v>
      </c>
      <c r="Q1747" s="45">
        <v>0</v>
      </c>
      <c r="R1747" s="45">
        <v>0</v>
      </c>
      <c r="S1747" s="45">
        <v>0</v>
      </c>
      <c r="T1747" s="45">
        <v>0</v>
      </c>
      <c r="U1747" s="45">
        <v>1397</v>
      </c>
      <c r="V1747" s="45">
        <v>0</v>
      </c>
      <c r="W1747" s="45">
        <v>0</v>
      </c>
      <c r="X1747" s="45">
        <v>0</v>
      </c>
      <c r="Y1747" s="45">
        <v>0</v>
      </c>
      <c r="Z1747" s="45">
        <v>0</v>
      </c>
      <c r="AA1747" s="45">
        <v>0</v>
      </c>
      <c r="AB1747" s="45">
        <v>0</v>
      </c>
      <c r="AC1747" s="45">
        <v>0</v>
      </c>
      <c r="AD1747" s="45">
        <v>0</v>
      </c>
      <c r="AE1747" s="45">
        <v>0</v>
      </c>
      <c r="AF1747" s="45">
        <v>0</v>
      </c>
      <c r="AG1747" s="45">
        <v>0</v>
      </c>
      <c r="AH1747" s="45">
        <v>0</v>
      </c>
      <c r="AI1747" s="45">
        <v>0</v>
      </c>
      <c r="AJ1747" s="45">
        <v>0</v>
      </c>
      <c r="AK1747" s="45">
        <v>0</v>
      </c>
      <c r="AL1747" s="45">
        <v>0</v>
      </c>
      <c r="AM1747" s="57" t="str">
        <f>I1747-J1747-K1747-L1747-M1747-N1747-O1747-P1747-Q1747-R1747-S1747-T1747-U1747-V1747-W1747-X1747-Y1747-Z1747-AA1747-AB1747-AC1747-AD1747-AE1747-AF1747-AG1747+AH1747-AI1747+AJ1747+AK1747-AL1747</f>
        <v>0</v>
      </c>
      <c r="AN1747" s="45"/>
    </row>
    <row r="1748" spans="1:41">
      <c r="A1748" s="45">
        <v>1720</v>
      </c>
      <c r="B1748" s="45" t="s">
        <v>6690</v>
      </c>
      <c r="C1748" s="49" t="s">
        <v>6691</v>
      </c>
      <c r="D1748" s="53" t="s">
        <v>73</v>
      </c>
      <c r="E1748" s="45" t="s">
        <v>800</v>
      </c>
      <c r="F1748" s="45" t="s">
        <v>3369</v>
      </c>
      <c r="G1748" s="45">
        <v>15.1</v>
      </c>
      <c r="H1748" s="53" t="s">
        <v>6692</v>
      </c>
      <c r="I1748" s="45">
        <v>0</v>
      </c>
      <c r="J1748" s="45">
        <v>25000</v>
      </c>
      <c r="K1748" s="45">
        <v>79000</v>
      </c>
      <c r="L1748" s="45">
        <v>0</v>
      </c>
      <c r="M1748" s="45">
        <v>0</v>
      </c>
      <c r="N1748" s="45">
        <v>0</v>
      </c>
      <c r="O1748" s="45">
        <v>0</v>
      </c>
      <c r="P1748" s="45">
        <v>0</v>
      </c>
      <c r="Q1748" s="45">
        <v>0</v>
      </c>
      <c r="R1748" s="45">
        <v>0</v>
      </c>
      <c r="S1748" s="45">
        <v>0</v>
      </c>
      <c r="T1748" s="45">
        <v>0</v>
      </c>
      <c r="U1748" s="45">
        <v>5016</v>
      </c>
      <c r="V1748" s="45">
        <v>0</v>
      </c>
      <c r="W1748" s="45">
        <v>0</v>
      </c>
      <c r="X1748" s="45">
        <v>0</v>
      </c>
      <c r="Y1748" s="45">
        <v>0</v>
      </c>
      <c r="Z1748" s="45">
        <v>0</v>
      </c>
      <c r="AA1748" s="45">
        <v>0</v>
      </c>
      <c r="AB1748" s="45">
        <v>0</v>
      </c>
      <c r="AC1748" s="45">
        <v>0</v>
      </c>
      <c r="AD1748" s="45">
        <v>0</v>
      </c>
      <c r="AE1748" s="45">
        <v>0</v>
      </c>
      <c r="AF1748" s="45">
        <v>0</v>
      </c>
      <c r="AG1748" s="45">
        <v>0</v>
      </c>
      <c r="AH1748" s="45">
        <v>0</v>
      </c>
      <c r="AI1748" s="45">
        <v>0</v>
      </c>
      <c r="AJ1748" s="45">
        <v>0</v>
      </c>
      <c r="AK1748" s="45">
        <v>0</v>
      </c>
      <c r="AL1748" s="45">
        <v>0</v>
      </c>
      <c r="AM1748" s="57" t="str">
        <f>I1748-J1748-K1748-L1748-M1748-N1748-O1748-P1748-Q1748-R1748-S1748-T1748-U1748-V1748-W1748-X1748-Y1748-Z1748-AA1748-AB1748-AC1748-AD1748-AE1748-AF1748-AG1748+AH1748-AI1748+AJ1748+AK1748-AL1748</f>
        <v>0</v>
      </c>
      <c r="AN1748" s="45"/>
    </row>
    <row r="1749" spans="1:41">
      <c r="A1749" s="45">
        <v>1721</v>
      </c>
      <c r="B1749" s="45" t="s">
        <v>6693</v>
      </c>
      <c r="C1749" s="49" t="s">
        <v>6694</v>
      </c>
      <c r="D1749" s="53" t="s">
        <v>73</v>
      </c>
      <c r="E1749" s="45" t="s">
        <v>1634</v>
      </c>
      <c r="F1749" s="45" t="s">
        <v>3369</v>
      </c>
      <c r="G1749" s="45">
        <v>15.1</v>
      </c>
      <c r="H1749" s="53" t="s">
        <v>6692</v>
      </c>
      <c r="I1749" s="45">
        <v>0</v>
      </c>
      <c r="J1749" s="45">
        <v>25000</v>
      </c>
      <c r="K1749" s="45">
        <v>79000</v>
      </c>
      <c r="L1749" s="45">
        <v>0</v>
      </c>
      <c r="M1749" s="45">
        <v>0</v>
      </c>
      <c r="N1749" s="45">
        <v>0</v>
      </c>
      <c r="O1749" s="45">
        <v>0</v>
      </c>
      <c r="P1749" s="45">
        <v>0</v>
      </c>
      <c r="Q1749" s="45">
        <v>0</v>
      </c>
      <c r="R1749" s="45">
        <v>0</v>
      </c>
      <c r="S1749" s="45">
        <v>0</v>
      </c>
      <c r="T1749" s="45">
        <v>0</v>
      </c>
      <c r="U1749" s="45">
        <v>5016</v>
      </c>
      <c r="V1749" s="45">
        <v>0</v>
      </c>
      <c r="W1749" s="45">
        <v>0</v>
      </c>
      <c r="X1749" s="45">
        <v>0</v>
      </c>
      <c r="Y1749" s="45">
        <v>0</v>
      </c>
      <c r="Z1749" s="45">
        <v>0</v>
      </c>
      <c r="AA1749" s="45">
        <v>0</v>
      </c>
      <c r="AB1749" s="45">
        <v>0</v>
      </c>
      <c r="AC1749" s="45">
        <v>0</v>
      </c>
      <c r="AD1749" s="45">
        <v>0</v>
      </c>
      <c r="AE1749" s="45">
        <v>0</v>
      </c>
      <c r="AF1749" s="45">
        <v>0</v>
      </c>
      <c r="AG1749" s="45">
        <v>0</v>
      </c>
      <c r="AH1749" s="45">
        <v>0</v>
      </c>
      <c r="AI1749" s="45">
        <v>0</v>
      </c>
      <c r="AJ1749" s="45">
        <v>0</v>
      </c>
      <c r="AK1749" s="45">
        <v>0</v>
      </c>
      <c r="AL1749" s="45">
        <v>0</v>
      </c>
      <c r="AM1749" s="57" t="str">
        <f>I1749-J1749-K1749-L1749-M1749-N1749-O1749-P1749-Q1749-R1749-S1749-T1749-U1749-V1749-W1749-X1749-Y1749-Z1749-AA1749-AB1749-AC1749-AD1749-AE1749-AF1749-AG1749+AH1749-AI1749+AJ1749+AK1749-AL1749</f>
        <v>0</v>
      </c>
      <c r="AN1749" s="45"/>
    </row>
    <row r="1750" spans="1:41">
      <c r="A1750" s="45">
        <v>1722</v>
      </c>
      <c r="B1750" s="45" t="s">
        <v>6695</v>
      </c>
      <c r="C1750" s="49" t="s">
        <v>6696</v>
      </c>
      <c r="D1750" s="53" t="s">
        <v>73</v>
      </c>
      <c r="E1750" s="45" t="s">
        <v>1634</v>
      </c>
      <c r="F1750" s="45" t="s">
        <v>3369</v>
      </c>
      <c r="G1750" s="45">
        <v>19.9</v>
      </c>
      <c r="H1750" s="53" t="s">
        <v>6692</v>
      </c>
      <c r="I1750" s="45">
        <v>0</v>
      </c>
      <c r="J1750" s="45">
        <v>25000</v>
      </c>
      <c r="K1750" s="45">
        <v>99000</v>
      </c>
      <c r="L1750" s="45">
        <v>0</v>
      </c>
      <c r="M1750" s="45">
        <v>0</v>
      </c>
      <c r="N1750" s="45">
        <v>0</v>
      </c>
      <c r="O1750" s="45">
        <v>0</v>
      </c>
      <c r="P1750" s="45">
        <v>0</v>
      </c>
      <c r="Q1750" s="45">
        <v>0</v>
      </c>
      <c r="R1750" s="45">
        <v>0</v>
      </c>
      <c r="S1750" s="45">
        <v>0</v>
      </c>
      <c r="T1750" s="45">
        <v>0</v>
      </c>
      <c r="U1750" s="45">
        <v>6286</v>
      </c>
      <c r="V1750" s="45">
        <v>0</v>
      </c>
      <c r="W1750" s="45">
        <v>0</v>
      </c>
      <c r="X1750" s="45">
        <v>0</v>
      </c>
      <c r="Y1750" s="45">
        <v>0</v>
      </c>
      <c r="Z1750" s="45">
        <v>0</v>
      </c>
      <c r="AA1750" s="45">
        <v>0</v>
      </c>
      <c r="AB1750" s="45">
        <v>0</v>
      </c>
      <c r="AC1750" s="45">
        <v>0</v>
      </c>
      <c r="AD1750" s="45">
        <v>0</v>
      </c>
      <c r="AE1750" s="45">
        <v>0</v>
      </c>
      <c r="AF1750" s="45">
        <v>0</v>
      </c>
      <c r="AG1750" s="45">
        <v>0</v>
      </c>
      <c r="AH1750" s="45">
        <v>0</v>
      </c>
      <c r="AI1750" s="45">
        <v>0</v>
      </c>
      <c r="AJ1750" s="45">
        <v>0</v>
      </c>
      <c r="AK1750" s="45">
        <v>0</v>
      </c>
      <c r="AL1750" s="45">
        <v>0</v>
      </c>
      <c r="AM1750" s="57" t="str">
        <f>I1750-J1750-K1750-L1750-M1750-N1750-O1750-P1750-Q1750-R1750-S1750-T1750-U1750-V1750-W1750-X1750-Y1750-Z1750-AA1750-AB1750-AC1750-AD1750-AE1750-AF1750-AG1750+AH1750-AI1750+AJ1750+AK1750-AL1750</f>
        <v>0</v>
      </c>
      <c r="AN1750" s="45"/>
    </row>
    <row r="1751" spans="1:41">
      <c r="A1751" s="45">
        <v>1723</v>
      </c>
      <c r="B1751" s="45" t="s">
        <v>6697</v>
      </c>
      <c r="C1751" s="49" t="s">
        <v>6698</v>
      </c>
      <c r="D1751" s="53" t="s">
        <v>73</v>
      </c>
      <c r="E1751" s="45" t="s">
        <v>1634</v>
      </c>
      <c r="F1751" s="45" t="s">
        <v>3369</v>
      </c>
      <c r="G1751" s="45">
        <v>15.1</v>
      </c>
      <c r="H1751" s="53" t="s">
        <v>6692</v>
      </c>
      <c r="I1751" s="45">
        <v>0</v>
      </c>
      <c r="J1751" s="45">
        <v>25000</v>
      </c>
      <c r="K1751" s="45">
        <v>79000</v>
      </c>
      <c r="L1751" s="45">
        <v>0</v>
      </c>
      <c r="M1751" s="45">
        <v>0</v>
      </c>
      <c r="N1751" s="45">
        <v>0</v>
      </c>
      <c r="O1751" s="45">
        <v>0</v>
      </c>
      <c r="P1751" s="45">
        <v>0</v>
      </c>
      <c r="Q1751" s="45">
        <v>0</v>
      </c>
      <c r="R1751" s="45">
        <v>0</v>
      </c>
      <c r="S1751" s="45">
        <v>0</v>
      </c>
      <c r="T1751" s="45">
        <v>0</v>
      </c>
      <c r="U1751" s="45">
        <v>5016</v>
      </c>
      <c r="V1751" s="45">
        <v>0</v>
      </c>
      <c r="W1751" s="45">
        <v>0</v>
      </c>
      <c r="X1751" s="45">
        <v>0</v>
      </c>
      <c r="Y1751" s="45">
        <v>0</v>
      </c>
      <c r="Z1751" s="45">
        <v>0</v>
      </c>
      <c r="AA1751" s="45">
        <v>0</v>
      </c>
      <c r="AB1751" s="45">
        <v>0</v>
      </c>
      <c r="AC1751" s="45">
        <v>0</v>
      </c>
      <c r="AD1751" s="45">
        <v>0</v>
      </c>
      <c r="AE1751" s="45">
        <v>0</v>
      </c>
      <c r="AF1751" s="45">
        <v>0</v>
      </c>
      <c r="AG1751" s="45">
        <v>0</v>
      </c>
      <c r="AH1751" s="45">
        <v>0</v>
      </c>
      <c r="AI1751" s="45">
        <v>0</v>
      </c>
      <c r="AJ1751" s="45">
        <v>0</v>
      </c>
      <c r="AK1751" s="45">
        <v>0</v>
      </c>
      <c r="AL1751" s="45">
        <v>0</v>
      </c>
      <c r="AM1751" s="57" t="str">
        <f>I1751-J1751-K1751-L1751-M1751-N1751-O1751-P1751-Q1751-R1751-S1751-T1751-U1751-V1751-W1751-X1751-Y1751-Z1751-AA1751-AB1751-AC1751-AD1751-AE1751-AF1751-AG1751+AH1751-AI1751+AJ1751+AK1751-AL1751</f>
        <v>0</v>
      </c>
      <c r="AN1751" s="45"/>
    </row>
    <row r="1752" spans="1:41">
      <c r="A1752" s="45">
        <v>1724</v>
      </c>
      <c r="B1752" s="45" t="s">
        <v>6699</v>
      </c>
      <c r="C1752" s="49" t="s">
        <v>6700</v>
      </c>
      <c r="D1752" s="53" t="s">
        <v>73</v>
      </c>
      <c r="E1752" s="45" t="s">
        <v>1634</v>
      </c>
      <c r="F1752" s="45" t="s">
        <v>3369</v>
      </c>
      <c r="G1752" s="45">
        <v>15.1</v>
      </c>
      <c r="H1752" s="53" t="s">
        <v>6692</v>
      </c>
      <c r="I1752" s="45">
        <v>0</v>
      </c>
      <c r="J1752" s="45">
        <v>25000</v>
      </c>
      <c r="K1752" s="45">
        <v>79000</v>
      </c>
      <c r="L1752" s="45">
        <v>0</v>
      </c>
      <c r="M1752" s="45">
        <v>0</v>
      </c>
      <c r="N1752" s="45">
        <v>0</v>
      </c>
      <c r="O1752" s="45">
        <v>0</v>
      </c>
      <c r="P1752" s="45">
        <v>0</v>
      </c>
      <c r="Q1752" s="45">
        <v>0</v>
      </c>
      <c r="R1752" s="45">
        <v>0</v>
      </c>
      <c r="S1752" s="45">
        <v>0</v>
      </c>
      <c r="T1752" s="45">
        <v>0</v>
      </c>
      <c r="U1752" s="45">
        <v>5016</v>
      </c>
      <c r="V1752" s="45">
        <v>0</v>
      </c>
      <c r="W1752" s="45">
        <v>0</v>
      </c>
      <c r="X1752" s="45">
        <v>0</v>
      </c>
      <c r="Y1752" s="45">
        <v>0</v>
      </c>
      <c r="Z1752" s="45">
        <v>0</v>
      </c>
      <c r="AA1752" s="45">
        <v>0</v>
      </c>
      <c r="AB1752" s="45">
        <v>0</v>
      </c>
      <c r="AC1752" s="45">
        <v>0</v>
      </c>
      <c r="AD1752" s="45">
        <v>0</v>
      </c>
      <c r="AE1752" s="45">
        <v>0</v>
      </c>
      <c r="AF1752" s="45">
        <v>0</v>
      </c>
      <c r="AG1752" s="45">
        <v>0</v>
      </c>
      <c r="AH1752" s="45">
        <v>0</v>
      </c>
      <c r="AI1752" s="45">
        <v>0</v>
      </c>
      <c r="AJ1752" s="45">
        <v>0</v>
      </c>
      <c r="AK1752" s="45">
        <v>0</v>
      </c>
      <c r="AL1752" s="45">
        <v>0</v>
      </c>
      <c r="AM1752" s="57" t="str">
        <f>I1752-J1752-K1752-L1752-M1752-N1752-O1752-P1752-Q1752-R1752-S1752-T1752-U1752-V1752-W1752-X1752-Y1752-Z1752-AA1752-AB1752-AC1752-AD1752-AE1752-AF1752-AG1752+AH1752-AI1752+AJ1752+AK1752-AL1752</f>
        <v>0</v>
      </c>
      <c r="AN1752" s="45"/>
    </row>
    <row r="1753" spans="1:41">
      <c r="A1753" s="45">
        <v>1725</v>
      </c>
      <c r="B1753" s="45" t="s">
        <v>6701</v>
      </c>
      <c r="C1753" s="49" t="s">
        <v>6702</v>
      </c>
      <c r="D1753" s="53" t="s">
        <v>73</v>
      </c>
      <c r="E1753" s="45" t="s">
        <v>1634</v>
      </c>
      <c r="F1753" s="45" t="s">
        <v>3369</v>
      </c>
      <c r="G1753" s="45">
        <v>24.3</v>
      </c>
      <c r="H1753" s="53" t="s">
        <v>6692</v>
      </c>
      <c r="I1753" s="45">
        <v>0</v>
      </c>
      <c r="J1753" s="45">
        <v>25000</v>
      </c>
      <c r="K1753" s="45">
        <v>150000</v>
      </c>
      <c r="L1753" s="45">
        <v>0</v>
      </c>
      <c r="M1753" s="45">
        <v>0</v>
      </c>
      <c r="N1753" s="45">
        <v>0</v>
      </c>
      <c r="O1753" s="45">
        <v>0</v>
      </c>
      <c r="P1753" s="45">
        <v>0</v>
      </c>
      <c r="Q1753" s="45">
        <v>0</v>
      </c>
      <c r="R1753" s="45">
        <v>0</v>
      </c>
      <c r="S1753" s="45">
        <v>0</v>
      </c>
      <c r="T1753" s="45">
        <v>0</v>
      </c>
      <c r="U1753" s="45">
        <v>22500</v>
      </c>
      <c r="V1753" s="45">
        <v>0</v>
      </c>
      <c r="W1753" s="45">
        <v>0</v>
      </c>
      <c r="X1753" s="45">
        <v>0</v>
      </c>
      <c r="Y1753" s="45">
        <v>0</v>
      </c>
      <c r="Z1753" s="45">
        <v>0</v>
      </c>
      <c r="AA1753" s="45">
        <v>0</v>
      </c>
      <c r="AB1753" s="45">
        <v>0</v>
      </c>
      <c r="AC1753" s="45">
        <v>0</v>
      </c>
      <c r="AD1753" s="45">
        <v>0</v>
      </c>
      <c r="AE1753" s="45">
        <v>0</v>
      </c>
      <c r="AF1753" s="45">
        <v>0</v>
      </c>
      <c r="AG1753" s="45">
        <v>0</v>
      </c>
      <c r="AH1753" s="45">
        <v>0</v>
      </c>
      <c r="AI1753" s="45">
        <v>0</v>
      </c>
      <c r="AJ1753" s="45">
        <v>0</v>
      </c>
      <c r="AK1753" s="45">
        <v>0</v>
      </c>
      <c r="AL1753" s="45">
        <v>0</v>
      </c>
      <c r="AM1753" s="57" t="str">
        <f>I1753-J1753-K1753-L1753-M1753-N1753-O1753-P1753-Q1753-R1753-S1753-T1753-U1753-V1753-W1753-X1753-Y1753-Z1753-AA1753-AB1753-AC1753-AD1753-AE1753-AF1753-AG1753+AH1753-AI1753+AJ1753+AK1753-AL1753</f>
        <v>0</v>
      </c>
      <c r="AN1753" s="45"/>
    </row>
    <row r="1754" spans="1:41">
      <c r="A1754" s="45">
        <v>1726</v>
      </c>
      <c r="B1754" s="45" t="s">
        <v>6703</v>
      </c>
      <c r="C1754" s="49" t="s">
        <v>6704</v>
      </c>
      <c r="D1754" s="53" t="s">
        <v>73</v>
      </c>
      <c r="E1754" s="45" t="s">
        <v>1634</v>
      </c>
      <c r="F1754" s="45" t="s">
        <v>3369</v>
      </c>
      <c r="G1754" s="45">
        <v>27.1</v>
      </c>
      <c r="H1754" s="53" t="s">
        <v>6692</v>
      </c>
      <c r="I1754" s="45">
        <v>0</v>
      </c>
      <c r="J1754" s="45">
        <v>25000</v>
      </c>
      <c r="K1754" s="45">
        <v>168000</v>
      </c>
      <c r="L1754" s="45">
        <v>0</v>
      </c>
      <c r="M1754" s="45">
        <v>0</v>
      </c>
      <c r="N1754" s="45">
        <v>0</v>
      </c>
      <c r="O1754" s="45">
        <v>0</v>
      </c>
      <c r="P1754" s="45">
        <v>0</v>
      </c>
      <c r="Q1754" s="45">
        <v>0</v>
      </c>
      <c r="R1754" s="45">
        <v>0</v>
      </c>
      <c r="S1754" s="45">
        <v>0</v>
      </c>
      <c r="T1754" s="45">
        <v>0</v>
      </c>
      <c r="U1754" s="45">
        <v>25200</v>
      </c>
      <c r="V1754" s="45">
        <v>0</v>
      </c>
      <c r="W1754" s="45">
        <v>0</v>
      </c>
      <c r="X1754" s="45">
        <v>0</v>
      </c>
      <c r="Y1754" s="45">
        <v>0</v>
      </c>
      <c r="Z1754" s="45">
        <v>0</v>
      </c>
      <c r="AA1754" s="45">
        <v>0</v>
      </c>
      <c r="AB1754" s="45">
        <v>0</v>
      </c>
      <c r="AC1754" s="45">
        <v>0</v>
      </c>
      <c r="AD1754" s="45">
        <v>0</v>
      </c>
      <c r="AE1754" s="45">
        <v>0</v>
      </c>
      <c r="AF1754" s="45">
        <v>0</v>
      </c>
      <c r="AG1754" s="45">
        <v>0</v>
      </c>
      <c r="AH1754" s="45">
        <v>0</v>
      </c>
      <c r="AI1754" s="45">
        <v>0</v>
      </c>
      <c r="AJ1754" s="45">
        <v>0</v>
      </c>
      <c r="AK1754" s="45">
        <v>0</v>
      </c>
      <c r="AL1754" s="45">
        <v>0</v>
      </c>
      <c r="AM1754" s="57" t="str">
        <f>I1754-J1754-K1754-L1754-M1754-N1754-O1754-P1754-Q1754-R1754-S1754-T1754-U1754-V1754-W1754-X1754-Y1754-Z1754-AA1754-AB1754-AC1754-AD1754-AE1754-AF1754-AG1754+AH1754-AI1754+AJ1754+AK1754-AL1754</f>
        <v>0</v>
      </c>
      <c r="AN1754" s="45"/>
    </row>
    <row r="1755" spans="1:41">
      <c r="A1755" s="45">
        <v>1727</v>
      </c>
      <c r="B1755" s="45" t="s">
        <v>6705</v>
      </c>
      <c r="C1755" s="49" t="s">
        <v>6706</v>
      </c>
      <c r="D1755" s="53" t="s">
        <v>73</v>
      </c>
      <c r="E1755" s="45" t="s">
        <v>1634</v>
      </c>
      <c r="F1755" s="45" t="s">
        <v>3369</v>
      </c>
      <c r="G1755" s="45">
        <v>27.1</v>
      </c>
      <c r="H1755" s="53" t="s">
        <v>6692</v>
      </c>
      <c r="I1755" s="45">
        <v>0</v>
      </c>
      <c r="J1755" s="45">
        <v>25000</v>
      </c>
      <c r="K1755" s="45">
        <v>168000</v>
      </c>
      <c r="L1755" s="45">
        <v>0</v>
      </c>
      <c r="M1755" s="45">
        <v>0</v>
      </c>
      <c r="N1755" s="45">
        <v>0</v>
      </c>
      <c r="O1755" s="45">
        <v>0</v>
      </c>
      <c r="P1755" s="45">
        <v>0</v>
      </c>
      <c r="Q1755" s="45">
        <v>0</v>
      </c>
      <c r="R1755" s="45">
        <v>0</v>
      </c>
      <c r="S1755" s="45">
        <v>0</v>
      </c>
      <c r="T1755" s="45">
        <v>0</v>
      </c>
      <c r="U1755" s="45">
        <v>25200</v>
      </c>
      <c r="V1755" s="45">
        <v>0</v>
      </c>
      <c r="W1755" s="45">
        <v>0</v>
      </c>
      <c r="X1755" s="45">
        <v>0</v>
      </c>
      <c r="Y1755" s="45">
        <v>0</v>
      </c>
      <c r="Z1755" s="45">
        <v>0</v>
      </c>
      <c r="AA1755" s="45">
        <v>0</v>
      </c>
      <c r="AB1755" s="45">
        <v>0</v>
      </c>
      <c r="AC1755" s="45">
        <v>0</v>
      </c>
      <c r="AD1755" s="45">
        <v>0</v>
      </c>
      <c r="AE1755" s="45">
        <v>0</v>
      </c>
      <c r="AF1755" s="45">
        <v>0</v>
      </c>
      <c r="AG1755" s="45">
        <v>0</v>
      </c>
      <c r="AH1755" s="45">
        <v>0</v>
      </c>
      <c r="AI1755" s="45">
        <v>0</v>
      </c>
      <c r="AJ1755" s="45">
        <v>0</v>
      </c>
      <c r="AK1755" s="45">
        <v>0</v>
      </c>
      <c r="AL1755" s="45">
        <v>0</v>
      </c>
      <c r="AM1755" s="57" t="str">
        <f>I1755-J1755-K1755-L1755-M1755-N1755-O1755-P1755-Q1755-R1755-S1755-T1755-U1755-V1755-W1755-X1755-Y1755-Z1755-AA1755-AB1755-AC1755-AD1755-AE1755-AF1755-AG1755+AH1755-AI1755+AJ1755+AK1755-AL1755</f>
        <v>0</v>
      </c>
      <c r="AN1755" s="45"/>
    </row>
    <row r="1756" spans="1:41">
      <c r="A1756" s="45">
        <v>1728</v>
      </c>
      <c r="B1756" s="45" t="s">
        <v>6707</v>
      </c>
      <c r="C1756" s="49" t="s">
        <v>6708</v>
      </c>
      <c r="D1756" s="53" t="s">
        <v>73</v>
      </c>
      <c r="E1756" s="45" t="s">
        <v>1634</v>
      </c>
      <c r="F1756" s="45" t="s">
        <v>3369</v>
      </c>
      <c r="G1756" s="45">
        <v>24.3</v>
      </c>
      <c r="H1756" s="53" t="s">
        <v>6692</v>
      </c>
      <c r="I1756" s="45">
        <v>0</v>
      </c>
      <c r="J1756" s="45">
        <v>25000</v>
      </c>
      <c r="K1756" s="45">
        <v>150000</v>
      </c>
      <c r="L1756" s="45">
        <v>0</v>
      </c>
      <c r="M1756" s="45">
        <v>0</v>
      </c>
      <c r="N1756" s="45">
        <v>0</v>
      </c>
      <c r="O1756" s="45">
        <v>0</v>
      </c>
      <c r="P1756" s="45">
        <v>0</v>
      </c>
      <c r="Q1756" s="45">
        <v>0</v>
      </c>
      <c r="R1756" s="45">
        <v>0</v>
      </c>
      <c r="S1756" s="45">
        <v>0</v>
      </c>
      <c r="T1756" s="45">
        <v>0</v>
      </c>
      <c r="U1756" s="45">
        <v>22500</v>
      </c>
      <c r="V1756" s="45">
        <v>0</v>
      </c>
      <c r="W1756" s="45">
        <v>0</v>
      </c>
      <c r="X1756" s="45">
        <v>0</v>
      </c>
      <c r="Y1756" s="45">
        <v>0</v>
      </c>
      <c r="Z1756" s="45">
        <v>0</v>
      </c>
      <c r="AA1756" s="45">
        <v>0</v>
      </c>
      <c r="AB1756" s="45">
        <v>0</v>
      </c>
      <c r="AC1756" s="45">
        <v>0</v>
      </c>
      <c r="AD1756" s="45">
        <v>0</v>
      </c>
      <c r="AE1756" s="45">
        <v>0</v>
      </c>
      <c r="AF1756" s="45">
        <v>0</v>
      </c>
      <c r="AG1756" s="45">
        <v>0</v>
      </c>
      <c r="AH1756" s="45">
        <v>0</v>
      </c>
      <c r="AI1756" s="45">
        <v>0</v>
      </c>
      <c r="AJ1756" s="45">
        <v>0</v>
      </c>
      <c r="AK1756" s="45">
        <v>0</v>
      </c>
      <c r="AL1756" s="45">
        <v>0</v>
      </c>
      <c r="AM1756" s="57" t="str">
        <f>I1756-J1756-K1756-L1756-M1756-N1756-O1756-P1756-Q1756-R1756-S1756-T1756-U1756-V1756-W1756-X1756-Y1756-Z1756-AA1756-AB1756-AC1756-AD1756-AE1756-AF1756-AG1756+AH1756-AI1756+AJ1756+AK1756-AL1756</f>
        <v>0</v>
      </c>
      <c r="AN1756" s="45"/>
    </row>
    <row r="1757" spans="1:41">
      <c r="A1757" s="45">
        <v>1729</v>
      </c>
      <c r="B1757" s="45" t="s">
        <v>6709</v>
      </c>
      <c r="C1757" s="49" t="s">
        <v>6710</v>
      </c>
      <c r="D1757" s="53" t="s">
        <v>73</v>
      </c>
      <c r="E1757" s="45" t="s">
        <v>1634</v>
      </c>
      <c r="F1757" s="45" t="s">
        <v>3369</v>
      </c>
      <c r="G1757" s="45">
        <v>15.1</v>
      </c>
      <c r="H1757" s="53" t="s">
        <v>6692</v>
      </c>
      <c r="I1757" s="45">
        <v>0</v>
      </c>
      <c r="J1757" s="45">
        <v>25000</v>
      </c>
      <c r="K1757" s="45">
        <v>79000</v>
      </c>
      <c r="L1757" s="45">
        <v>0</v>
      </c>
      <c r="M1757" s="45">
        <v>0</v>
      </c>
      <c r="N1757" s="45">
        <v>0</v>
      </c>
      <c r="O1757" s="45">
        <v>0</v>
      </c>
      <c r="P1757" s="45">
        <v>0</v>
      </c>
      <c r="Q1757" s="45">
        <v>0</v>
      </c>
      <c r="R1757" s="45">
        <v>0</v>
      </c>
      <c r="S1757" s="45">
        <v>0</v>
      </c>
      <c r="T1757" s="45">
        <v>0</v>
      </c>
      <c r="U1757" s="45">
        <v>5016</v>
      </c>
      <c r="V1757" s="45">
        <v>0</v>
      </c>
      <c r="W1757" s="45">
        <v>0</v>
      </c>
      <c r="X1757" s="45">
        <v>0</v>
      </c>
      <c r="Y1757" s="45">
        <v>0</v>
      </c>
      <c r="Z1757" s="45">
        <v>0</v>
      </c>
      <c r="AA1757" s="45">
        <v>0</v>
      </c>
      <c r="AB1757" s="45">
        <v>0</v>
      </c>
      <c r="AC1757" s="45">
        <v>0</v>
      </c>
      <c r="AD1757" s="45">
        <v>0</v>
      </c>
      <c r="AE1757" s="45">
        <v>0</v>
      </c>
      <c r="AF1757" s="45">
        <v>0</v>
      </c>
      <c r="AG1757" s="45">
        <v>0</v>
      </c>
      <c r="AH1757" s="45">
        <v>0</v>
      </c>
      <c r="AI1757" s="45">
        <v>0</v>
      </c>
      <c r="AJ1757" s="45">
        <v>0</v>
      </c>
      <c r="AK1757" s="45">
        <v>0</v>
      </c>
      <c r="AL1757" s="45">
        <v>0</v>
      </c>
      <c r="AM1757" s="57" t="str">
        <f>I1757-J1757-K1757-L1757-M1757-N1757-O1757-P1757-Q1757-R1757-S1757-T1757-U1757-V1757-W1757-X1757-Y1757-Z1757-AA1757-AB1757-AC1757-AD1757-AE1757-AF1757-AG1757+AH1757-AI1757+AJ1757+AK1757-AL1757</f>
        <v>0</v>
      </c>
      <c r="AN1757" s="45"/>
    </row>
    <row r="1758" spans="1:41">
      <c r="A1758" s="45">
        <v>1730</v>
      </c>
      <c r="B1758" s="45" t="s">
        <v>6711</v>
      </c>
      <c r="C1758" s="49" t="s">
        <v>6712</v>
      </c>
      <c r="D1758" s="53" t="s">
        <v>73</v>
      </c>
      <c r="E1758" s="45" t="s">
        <v>1634</v>
      </c>
      <c r="F1758" s="45" t="s">
        <v>3369</v>
      </c>
      <c r="G1758" s="45">
        <v>15.1</v>
      </c>
      <c r="H1758" s="53" t="s">
        <v>6692</v>
      </c>
      <c r="I1758" s="45">
        <v>0</v>
      </c>
      <c r="J1758" s="45">
        <v>25000</v>
      </c>
      <c r="K1758" s="45">
        <v>79000</v>
      </c>
      <c r="L1758" s="45">
        <v>0</v>
      </c>
      <c r="M1758" s="45">
        <v>0</v>
      </c>
      <c r="N1758" s="45">
        <v>0</v>
      </c>
      <c r="O1758" s="45">
        <v>0</v>
      </c>
      <c r="P1758" s="45">
        <v>0</v>
      </c>
      <c r="Q1758" s="45">
        <v>0</v>
      </c>
      <c r="R1758" s="45">
        <v>0</v>
      </c>
      <c r="S1758" s="45">
        <v>0</v>
      </c>
      <c r="T1758" s="45">
        <v>0</v>
      </c>
      <c r="U1758" s="45">
        <v>5016</v>
      </c>
      <c r="V1758" s="45">
        <v>0</v>
      </c>
      <c r="W1758" s="45">
        <v>0</v>
      </c>
      <c r="X1758" s="45">
        <v>0</v>
      </c>
      <c r="Y1758" s="45">
        <v>0</v>
      </c>
      <c r="Z1758" s="45">
        <v>0</v>
      </c>
      <c r="AA1758" s="45">
        <v>0</v>
      </c>
      <c r="AB1758" s="45">
        <v>0</v>
      </c>
      <c r="AC1758" s="45">
        <v>0</v>
      </c>
      <c r="AD1758" s="45">
        <v>0</v>
      </c>
      <c r="AE1758" s="45">
        <v>0</v>
      </c>
      <c r="AF1758" s="45">
        <v>0</v>
      </c>
      <c r="AG1758" s="45">
        <v>0</v>
      </c>
      <c r="AH1758" s="45">
        <v>0</v>
      </c>
      <c r="AI1758" s="45">
        <v>0</v>
      </c>
      <c r="AJ1758" s="45">
        <v>0</v>
      </c>
      <c r="AK1758" s="45">
        <v>0</v>
      </c>
      <c r="AL1758" s="45">
        <v>0</v>
      </c>
      <c r="AM1758" s="57" t="str">
        <f>I1758-J1758-K1758-L1758-M1758-N1758-O1758-P1758-Q1758-R1758-S1758-T1758-U1758-V1758-W1758-X1758-Y1758-Z1758-AA1758-AB1758-AC1758-AD1758-AE1758-AF1758-AG1758+AH1758-AI1758+AJ1758+AK1758-AL1758</f>
        <v>0</v>
      </c>
      <c r="AN1758" s="45"/>
    </row>
    <row r="1759" spans="1:41">
      <c r="A1759" s="45">
        <v>1731</v>
      </c>
      <c r="B1759" s="45" t="s">
        <v>6713</v>
      </c>
      <c r="C1759" s="49" t="s">
        <v>6714</v>
      </c>
      <c r="D1759" s="53" t="s">
        <v>73</v>
      </c>
      <c r="E1759" s="45" t="s">
        <v>1634</v>
      </c>
      <c r="F1759" s="45" t="s">
        <v>6715</v>
      </c>
      <c r="G1759" s="45">
        <v>15.1</v>
      </c>
      <c r="H1759" s="53" t="s">
        <v>6692</v>
      </c>
      <c r="I1759" s="45">
        <v>0</v>
      </c>
      <c r="J1759" s="45">
        <v>25000</v>
      </c>
      <c r="K1759" s="45">
        <v>79000</v>
      </c>
      <c r="L1759" s="45">
        <v>0</v>
      </c>
      <c r="M1759" s="45">
        <v>0</v>
      </c>
      <c r="N1759" s="45">
        <v>0</v>
      </c>
      <c r="O1759" s="45">
        <v>0</v>
      </c>
      <c r="P1759" s="45">
        <v>0</v>
      </c>
      <c r="Q1759" s="45">
        <v>0</v>
      </c>
      <c r="R1759" s="45">
        <v>0</v>
      </c>
      <c r="S1759" s="45">
        <v>0</v>
      </c>
      <c r="T1759" s="45">
        <v>0</v>
      </c>
      <c r="U1759" s="45">
        <v>5016</v>
      </c>
      <c r="V1759" s="45">
        <v>0</v>
      </c>
      <c r="W1759" s="45">
        <v>0</v>
      </c>
      <c r="X1759" s="45">
        <v>0</v>
      </c>
      <c r="Y1759" s="45">
        <v>0</v>
      </c>
      <c r="Z1759" s="45">
        <v>0</v>
      </c>
      <c r="AA1759" s="45">
        <v>0</v>
      </c>
      <c r="AB1759" s="45">
        <v>0</v>
      </c>
      <c r="AC1759" s="45">
        <v>0</v>
      </c>
      <c r="AD1759" s="45">
        <v>0</v>
      </c>
      <c r="AE1759" s="45">
        <v>0</v>
      </c>
      <c r="AF1759" s="45">
        <v>0</v>
      </c>
      <c r="AG1759" s="45">
        <v>0</v>
      </c>
      <c r="AH1759" s="45">
        <v>0</v>
      </c>
      <c r="AI1759" s="45">
        <v>0</v>
      </c>
      <c r="AJ1759" s="45">
        <v>0</v>
      </c>
      <c r="AK1759" s="45">
        <v>0</v>
      </c>
      <c r="AL1759" s="45">
        <v>0</v>
      </c>
      <c r="AM1759" s="57" t="str">
        <f>I1759-J1759-K1759-L1759-M1759-N1759-O1759-P1759-Q1759-R1759-S1759-T1759-U1759-V1759-W1759-X1759-Y1759-Z1759-AA1759-AB1759-AC1759-AD1759-AE1759-AF1759-AG1759+AH1759-AI1759+AJ1759+AK1759-AL1759</f>
        <v>0</v>
      </c>
      <c r="AN1759" s="45"/>
    </row>
    <row r="1760" spans="1:41">
      <c r="A1760" s="45">
        <v>1732</v>
      </c>
      <c r="B1760" s="45" t="s">
        <v>6716</v>
      </c>
      <c r="C1760" s="49" t="s">
        <v>6717</v>
      </c>
      <c r="D1760" s="53" t="s">
        <v>73</v>
      </c>
      <c r="E1760" s="45" t="s">
        <v>6718</v>
      </c>
      <c r="F1760" s="45" t="s">
        <v>3803</v>
      </c>
      <c r="G1760" s="45">
        <v>2</v>
      </c>
      <c r="H1760" s="53" t="s">
        <v>6719</v>
      </c>
      <c r="I1760" s="45">
        <v>285000</v>
      </c>
      <c r="J1760" s="45">
        <v>0</v>
      </c>
      <c r="K1760" s="45">
        <v>22000</v>
      </c>
      <c r="L1760" s="45">
        <v>0</v>
      </c>
      <c r="M1760" s="45">
        <v>0</v>
      </c>
      <c r="N1760" s="45">
        <v>0</v>
      </c>
      <c r="O1760" s="45">
        <v>0</v>
      </c>
      <c r="P1760" s="45">
        <v>0</v>
      </c>
      <c r="Q1760" s="45">
        <v>0</v>
      </c>
      <c r="R1760" s="45">
        <v>0</v>
      </c>
      <c r="S1760" s="45">
        <v>0</v>
      </c>
      <c r="T1760" s="45">
        <v>0</v>
      </c>
      <c r="U1760" s="45">
        <v>1397</v>
      </c>
      <c r="V1760" s="45">
        <v>0</v>
      </c>
      <c r="W1760" s="45">
        <v>0</v>
      </c>
      <c r="X1760" s="45">
        <v>0</v>
      </c>
      <c r="Y1760" s="45">
        <v>0</v>
      </c>
      <c r="Z1760" s="45">
        <v>0</v>
      </c>
      <c r="AA1760" s="45">
        <v>0</v>
      </c>
      <c r="AB1760" s="45">
        <v>0</v>
      </c>
      <c r="AC1760" s="45">
        <v>0</v>
      </c>
      <c r="AD1760" s="45">
        <v>0</v>
      </c>
      <c r="AE1760" s="45">
        <v>0</v>
      </c>
      <c r="AF1760" s="45">
        <v>0</v>
      </c>
      <c r="AG1760" s="45">
        <v>0</v>
      </c>
      <c r="AH1760" s="45">
        <v>0</v>
      </c>
      <c r="AI1760" s="45">
        <v>0</v>
      </c>
      <c r="AJ1760" s="45">
        <v>0</v>
      </c>
      <c r="AK1760" s="45">
        <v>0</v>
      </c>
      <c r="AL1760" s="45">
        <v>0</v>
      </c>
      <c r="AM1760" s="57" t="str">
        <f>I1760-J1760-K1760-L1760-M1760-N1760-O1760-P1760-Q1760-R1760-S1760-T1760-U1760-V1760-W1760-X1760-Y1760-Z1760-AA1760-AB1760-AC1760-AD1760-AE1760-AF1760-AG1760+AH1760-AI1760+AJ1760+AK1760-AL1760</f>
        <v>0</v>
      </c>
      <c r="AN1760" s="45"/>
    </row>
    <row r="1761" spans="1:41">
      <c r="A1761" s="45">
        <v>1733</v>
      </c>
      <c r="B1761" s="45" t="s">
        <v>6720</v>
      </c>
      <c r="C1761" s="49" t="s">
        <v>6721</v>
      </c>
      <c r="D1761" s="53" t="s">
        <v>73</v>
      </c>
      <c r="E1761" s="45" t="s">
        <v>6718</v>
      </c>
      <c r="F1761" s="45" t="s">
        <v>5939</v>
      </c>
      <c r="G1761" s="45">
        <v>12</v>
      </c>
      <c r="H1761" s="53" t="s">
        <v>6722</v>
      </c>
      <c r="I1761" s="45">
        <v>1124000</v>
      </c>
      <c r="J1761" s="45">
        <v>0</v>
      </c>
      <c r="K1761" s="45">
        <v>48000</v>
      </c>
      <c r="L1761" s="45">
        <v>0</v>
      </c>
      <c r="M1761" s="45">
        <v>0</v>
      </c>
      <c r="N1761" s="45">
        <v>0</v>
      </c>
      <c r="O1761" s="45">
        <v>0</v>
      </c>
      <c r="P1761" s="45">
        <v>0</v>
      </c>
      <c r="Q1761" s="45">
        <v>0</v>
      </c>
      <c r="R1761" s="45">
        <v>0</v>
      </c>
      <c r="S1761" s="45">
        <v>0</v>
      </c>
      <c r="T1761" s="45">
        <v>0</v>
      </c>
      <c r="U1761" s="45">
        <v>3048</v>
      </c>
      <c r="V1761" s="45">
        <v>0</v>
      </c>
      <c r="W1761" s="45">
        <v>0</v>
      </c>
      <c r="X1761" s="45">
        <v>0</v>
      </c>
      <c r="Y1761" s="45">
        <v>0</v>
      </c>
      <c r="Z1761" s="45">
        <v>0</v>
      </c>
      <c r="AA1761" s="45">
        <v>0</v>
      </c>
      <c r="AB1761" s="45">
        <v>0</v>
      </c>
      <c r="AC1761" s="45">
        <v>0</v>
      </c>
      <c r="AD1761" s="45">
        <v>0</v>
      </c>
      <c r="AE1761" s="45">
        <v>0</v>
      </c>
      <c r="AF1761" s="45">
        <v>0</v>
      </c>
      <c r="AG1761" s="45">
        <v>0</v>
      </c>
      <c r="AH1761" s="45">
        <v>0</v>
      </c>
      <c r="AI1761" s="45">
        <v>0</v>
      </c>
      <c r="AJ1761" s="45">
        <v>0</v>
      </c>
      <c r="AK1761" s="45">
        <v>0</v>
      </c>
      <c r="AL1761" s="45">
        <v>0</v>
      </c>
      <c r="AM1761" s="57" t="str">
        <f>I1761-J1761-K1761-L1761-M1761-N1761-O1761-P1761-Q1761-R1761-S1761-T1761-U1761-V1761-W1761-X1761-Y1761-Z1761-AA1761-AB1761-AC1761-AD1761-AE1761-AF1761-AG1761+AH1761-AI1761+AJ1761+AK1761-AL1761</f>
        <v>0</v>
      </c>
      <c r="AN1761" s="45"/>
    </row>
    <row r="1762" spans="1:41">
      <c r="A1762" s="45">
        <v>1734</v>
      </c>
      <c r="B1762" s="45" t="s">
        <v>6723</v>
      </c>
      <c r="C1762" s="49" t="s">
        <v>6724</v>
      </c>
      <c r="D1762" s="53" t="s">
        <v>73</v>
      </c>
      <c r="E1762" s="45" t="s">
        <v>6718</v>
      </c>
      <c r="F1762" s="45" t="s">
        <v>1234</v>
      </c>
      <c r="G1762" s="45">
        <v>3</v>
      </c>
      <c r="H1762" s="53" t="s">
        <v>6725</v>
      </c>
      <c r="I1762" s="45">
        <v>784000</v>
      </c>
      <c r="J1762" s="45">
        <v>0</v>
      </c>
      <c r="K1762" s="45">
        <v>22000</v>
      </c>
      <c r="L1762" s="45">
        <v>0</v>
      </c>
      <c r="M1762" s="45">
        <v>0</v>
      </c>
      <c r="N1762" s="45">
        <v>0</v>
      </c>
      <c r="O1762" s="45">
        <v>0</v>
      </c>
      <c r="P1762" s="45">
        <v>0</v>
      </c>
      <c r="Q1762" s="45">
        <v>0</v>
      </c>
      <c r="R1762" s="45">
        <v>0</v>
      </c>
      <c r="S1762" s="45">
        <v>0</v>
      </c>
      <c r="T1762" s="45">
        <v>0</v>
      </c>
      <c r="U1762" s="45">
        <v>1397</v>
      </c>
      <c r="V1762" s="45">
        <v>0</v>
      </c>
      <c r="W1762" s="45">
        <v>0</v>
      </c>
      <c r="X1762" s="45">
        <v>0</v>
      </c>
      <c r="Y1762" s="45">
        <v>0</v>
      </c>
      <c r="Z1762" s="45">
        <v>0</v>
      </c>
      <c r="AA1762" s="45">
        <v>0</v>
      </c>
      <c r="AB1762" s="45">
        <v>0</v>
      </c>
      <c r="AC1762" s="45">
        <v>0</v>
      </c>
      <c r="AD1762" s="45">
        <v>0</v>
      </c>
      <c r="AE1762" s="45">
        <v>0</v>
      </c>
      <c r="AF1762" s="45">
        <v>0</v>
      </c>
      <c r="AG1762" s="45">
        <v>0</v>
      </c>
      <c r="AH1762" s="45">
        <v>0</v>
      </c>
      <c r="AI1762" s="45">
        <v>0</v>
      </c>
      <c r="AJ1762" s="45">
        <v>0</v>
      </c>
      <c r="AK1762" s="45">
        <v>0</v>
      </c>
      <c r="AL1762" s="45">
        <v>0</v>
      </c>
      <c r="AM1762" s="57" t="str">
        <f>I1762-J1762-K1762-L1762-M1762-N1762-O1762-P1762-Q1762-R1762-S1762-T1762-U1762-V1762-W1762-X1762-Y1762-Z1762-AA1762-AB1762-AC1762-AD1762-AE1762-AF1762-AG1762+AH1762-AI1762+AJ1762+AK1762-AL1762</f>
        <v>0</v>
      </c>
      <c r="AN1762" s="45"/>
    </row>
    <row r="1763" spans="1:41">
      <c r="A1763" s="45">
        <v>1735</v>
      </c>
      <c r="B1763" s="45" t="s">
        <v>6726</v>
      </c>
      <c r="C1763" s="49" t="s">
        <v>6727</v>
      </c>
      <c r="D1763" s="53" t="s">
        <v>73</v>
      </c>
      <c r="E1763" s="45" t="s">
        <v>6718</v>
      </c>
      <c r="F1763" s="45" t="s">
        <v>6728</v>
      </c>
      <c r="G1763" s="45">
        <v>2</v>
      </c>
      <c r="H1763" s="53" t="s">
        <v>6729</v>
      </c>
      <c r="I1763" s="45">
        <v>534000</v>
      </c>
      <c r="J1763" s="45">
        <v>0</v>
      </c>
      <c r="K1763" s="45">
        <v>22000</v>
      </c>
      <c r="L1763" s="45">
        <v>0</v>
      </c>
      <c r="M1763" s="45">
        <v>0</v>
      </c>
      <c r="N1763" s="45">
        <v>0</v>
      </c>
      <c r="O1763" s="45">
        <v>0</v>
      </c>
      <c r="P1763" s="45">
        <v>0</v>
      </c>
      <c r="Q1763" s="45">
        <v>0</v>
      </c>
      <c r="R1763" s="45">
        <v>0</v>
      </c>
      <c r="S1763" s="45">
        <v>0</v>
      </c>
      <c r="T1763" s="45">
        <v>0</v>
      </c>
      <c r="U1763" s="45">
        <v>1397</v>
      </c>
      <c r="V1763" s="45">
        <v>0</v>
      </c>
      <c r="W1763" s="45">
        <v>0</v>
      </c>
      <c r="X1763" s="45">
        <v>0</v>
      </c>
      <c r="Y1763" s="45">
        <v>0</v>
      </c>
      <c r="Z1763" s="45">
        <v>0</v>
      </c>
      <c r="AA1763" s="45">
        <v>0</v>
      </c>
      <c r="AB1763" s="45">
        <v>0</v>
      </c>
      <c r="AC1763" s="45">
        <v>0</v>
      </c>
      <c r="AD1763" s="45">
        <v>0</v>
      </c>
      <c r="AE1763" s="45">
        <v>0</v>
      </c>
      <c r="AF1763" s="45">
        <v>0</v>
      </c>
      <c r="AG1763" s="45">
        <v>0</v>
      </c>
      <c r="AH1763" s="45">
        <v>0</v>
      </c>
      <c r="AI1763" s="45">
        <v>0</v>
      </c>
      <c r="AJ1763" s="45">
        <v>0</v>
      </c>
      <c r="AK1763" s="45">
        <v>0</v>
      </c>
      <c r="AL1763" s="45">
        <v>0</v>
      </c>
      <c r="AM1763" s="57" t="str">
        <f>I1763-J1763-K1763-L1763-M1763-N1763-O1763-P1763-Q1763-R1763-S1763-T1763-U1763-V1763-W1763-X1763-Y1763-Z1763-AA1763-AB1763-AC1763-AD1763-AE1763-AF1763-AG1763+AH1763-AI1763+AJ1763+AK1763-AL1763</f>
        <v>0</v>
      </c>
      <c r="AN1763" s="45"/>
    </row>
    <row r="1764" spans="1:41">
      <c r="A1764" s="45">
        <v>1736</v>
      </c>
      <c r="B1764" s="45" t="s">
        <v>6730</v>
      </c>
      <c r="C1764" s="49" t="s">
        <v>6731</v>
      </c>
      <c r="D1764" s="53" t="s">
        <v>73</v>
      </c>
      <c r="E1764" s="45" t="s">
        <v>6718</v>
      </c>
      <c r="F1764" s="45" t="s">
        <v>6732</v>
      </c>
      <c r="G1764" s="45">
        <v>2</v>
      </c>
      <c r="H1764" s="53" t="s">
        <v>6733</v>
      </c>
      <c r="I1764" s="45">
        <v>0</v>
      </c>
      <c r="J1764" s="45">
        <v>0</v>
      </c>
      <c r="K1764" s="45">
        <v>22000</v>
      </c>
      <c r="L1764" s="45">
        <v>0</v>
      </c>
      <c r="M1764" s="45">
        <v>0</v>
      </c>
      <c r="N1764" s="45">
        <v>0</v>
      </c>
      <c r="O1764" s="45">
        <v>0</v>
      </c>
      <c r="P1764" s="45">
        <v>0</v>
      </c>
      <c r="Q1764" s="45">
        <v>0</v>
      </c>
      <c r="R1764" s="45">
        <v>0</v>
      </c>
      <c r="S1764" s="45">
        <v>0</v>
      </c>
      <c r="T1764" s="45">
        <v>0</v>
      </c>
      <c r="U1764" s="45">
        <v>1397</v>
      </c>
      <c r="V1764" s="45">
        <v>0</v>
      </c>
      <c r="W1764" s="45">
        <v>0</v>
      </c>
      <c r="X1764" s="45">
        <v>0</v>
      </c>
      <c r="Y1764" s="45">
        <v>0</v>
      </c>
      <c r="Z1764" s="45">
        <v>0</v>
      </c>
      <c r="AA1764" s="45">
        <v>0</v>
      </c>
      <c r="AB1764" s="45">
        <v>0</v>
      </c>
      <c r="AC1764" s="45">
        <v>0</v>
      </c>
      <c r="AD1764" s="45">
        <v>0</v>
      </c>
      <c r="AE1764" s="45">
        <v>0</v>
      </c>
      <c r="AF1764" s="45">
        <v>0</v>
      </c>
      <c r="AG1764" s="45">
        <v>0</v>
      </c>
      <c r="AH1764" s="45">
        <v>0</v>
      </c>
      <c r="AI1764" s="45">
        <v>0</v>
      </c>
      <c r="AJ1764" s="45">
        <v>0</v>
      </c>
      <c r="AK1764" s="45">
        <v>0</v>
      </c>
      <c r="AL1764" s="45">
        <v>0</v>
      </c>
      <c r="AM1764" s="57" t="str">
        <f>I1764-J1764-K1764-L1764-M1764-N1764-O1764-P1764-Q1764-R1764-S1764-T1764-U1764-V1764-W1764-X1764-Y1764-Z1764-AA1764-AB1764-AC1764-AD1764-AE1764-AF1764-AG1764+AH1764-AI1764+AJ1764+AK1764-AL1764</f>
        <v>0</v>
      </c>
      <c r="AN1764" s="45"/>
    </row>
    <row r="1765" spans="1:41">
      <c r="A1765" s="45">
        <v>1737</v>
      </c>
      <c r="B1765" s="45" t="s">
        <v>6734</v>
      </c>
      <c r="C1765" s="49" t="s">
        <v>6735</v>
      </c>
      <c r="D1765" s="53" t="s">
        <v>73</v>
      </c>
      <c r="E1765" s="45" t="s">
        <v>6718</v>
      </c>
      <c r="F1765" s="45" t="s">
        <v>6728</v>
      </c>
      <c r="G1765" s="45">
        <v>7</v>
      </c>
      <c r="H1765" s="53" t="s">
        <v>6736</v>
      </c>
      <c r="I1765" s="45">
        <v>1763000</v>
      </c>
      <c r="J1765" s="45">
        <v>0</v>
      </c>
      <c r="K1765" s="45">
        <v>35000</v>
      </c>
      <c r="L1765" s="45">
        <v>0</v>
      </c>
      <c r="M1765" s="45">
        <v>0</v>
      </c>
      <c r="N1765" s="45">
        <v>0</v>
      </c>
      <c r="O1765" s="45">
        <v>0</v>
      </c>
      <c r="P1765" s="45">
        <v>0</v>
      </c>
      <c r="Q1765" s="45">
        <v>0</v>
      </c>
      <c r="R1765" s="45">
        <v>0</v>
      </c>
      <c r="S1765" s="45">
        <v>0</v>
      </c>
      <c r="T1765" s="45">
        <v>0</v>
      </c>
      <c r="U1765" s="45">
        <v>2222</v>
      </c>
      <c r="V1765" s="45">
        <v>0</v>
      </c>
      <c r="W1765" s="45">
        <v>0</v>
      </c>
      <c r="X1765" s="45">
        <v>0</v>
      </c>
      <c r="Y1765" s="45">
        <v>0</v>
      </c>
      <c r="Z1765" s="45">
        <v>0</v>
      </c>
      <c r="AA1765" s="45">
        <v>0</v>
      </c>
      <c r="AB1765" s="45">
        <v>0</v>
      </c>
      <c r="AC1765" s="45">
        <v>0</v>
      </c>
      <c r="AD1765" s="45">
        <v>0</v>
      </c>
      <c r="AE1765" s="45">
        <v>0</v>
      </c>
      <c r="AF1765" s="45">
        <v>0</v>
      </c>
      <c r="AG1765" s="45">
        <v>0</v>
      </c>
      <c r="AH1765" s="45">
        <v>0</v>
      </c>
      <c r="AI1765" s="45">
        <v>0</v>
      </c>
      <c r="AJ1765" s="45">
        <v>0</v>
      </c>
      <c r="AK1765" s="45">
        <v>0</v>
      </c>
      <c r="AL1765" s="45">
        <v>0</v>
      </c>
      <c r="AM1765" s="57" t="str">
        <f>I1765-J1765-K1765-L1765-M1765-N1765-O1765-P1765-Q1765-R1765-S1765-T1765-U1765-V1765-W1765-X1765-Y1765-Z1765-AA1765-AB1765-AC1765-AD1765-AE1765-AF1765-AG1765+AH1765-AI1765+AJ1765+AK1765-AL1765</f>
        <v>0</v>
      </c>
      <c r="AN1765" s="45"/>
    </row>
    <row r="1766" spans="1:41">
      <c r="A1766" s="45">
        <v>1738</v>
      </c>
      <c r="B1766" s="45" t="s">
        <v>6737</v>
      </c>
      <c r="C1766" s="49" t="s">
        <v>6738</v>
      </c>
      <c r="D1766" s="53" t="s">
        <v>73</v>
      </c>
      <c r="E1766" s="45" t="s">
        <v>6718</v>
      </c>
      <c r="F1766" s="45" t="s">
        <v>6739</v>
      </c>
      <c r="G1766" s="45">
        <v>4</v>
      </c>
      <c r="H1766" s="53" t="s">
        <v>6740</v>
      </c>
      <c r="I1766" s="45">
        <v>634000</v>
      </c>
      <c r="J1766" s="45">
        <v>0</v>
      </c>
      <c r="K1766" s="45">
        <v>25000</v>
      </c>
      <c r="L1766" s="45">
        <v>0</v>
      </c>
      <c r="M1766" s="45">
        <v>0</v>
      </c>
      <c r="N1766" s="45">
        <v>0</v>
      </c>
      <c r="O1766" s="45">
        <v>0</v>
      </c>
      <c r="P1766" s="45">
        <v>0</v>
      </c>
      <c r="Q1766" s="45">
        <v>0</v>
      </c>
      <c r="R1766" s="45">
        <v>0</v>
      </c>
      <c r="S1766" s="45">
        <v>0</v>
      </c>
      <c r="T1766" s="45">
        <v>0</v>
      </c>
      <c r="U1766" s="45">
        <v>1587</v>
      </c>
      <c r="V1766" s="45">
        <v>0</v>
      </c>
      <c r="W1766" s="45">
        <v>0</v>
      </c>
      <c r="X1766" s="45">
        <v>0</v>
      </c>
      <c r="Y1766" s="45">
        <v>0</v>
      </c>
      <c r="Z1766" s="45">
        <v>0</v>
      </c>
      <c r="AA1766" s="45">
        <v>0</v>
      </c>
      <c r="AB1766" s="45">
        <v>0</v>
      </c>
      <c r="AC1766" s="45">
        <v>0</v>
      </c>
      <c r="AD1766" s="45">
        <v>0</v>
      </c>
      <c r="AE1766" s="45">
        <v>0</v>
      </c>
      <c r="AF1766" s="45">
        <v>0</v>
      </c>
      <c r="AG1766" s="45">
        <v>0</v>
      </c>
      <c r="AH1766" s="45">
        <v>0</v>
      </c>
      <c r="AI1766" s="45">
        <v>0</v>
      </c>
      <c r="AJ1766" s="45">
        <v>0</v>
      </c>
      <c r="AK1766" s="45">
        <v>0</v>
      </c>
      <c r="AL1766" s="45">
        <v>0</v>
      </c>
      <c r="AM1766" s="57" t="str">
        <f>I1766-J1766-K1766-L1766-M1766-N1766-O1766-P1766-Q1766-R1766-S1766-T1766-U1766-V1766-W1766-X1766-Y1766-Z1766-AA1766-AB1766-AC1766-AD1766-AE1766-AF1766-AG1766+AH1766-AI1766+AJ1766+AK1766-AL1766</f>
        <v>0</v>
      </c>
      <c r="AN1766" s="45"/>
    </row>
    <row r="1767" spans="1:41">
      <c r="A1767" s="45">
        <v>1739</v>
      </c>
      <c r="B1767" s="45" t="s">
        <v>6741</v>
      </c>
      <c r="C1767" s="49" t="s">
        <v>6742</v>
      </c>
      <c r="D1767" s="53" t="s">
        <v>73</v>
      </c>
      <c r="E1767" s="45" t="s">
        <v>6718</v>
      </c>
      <c r="F1767" s="45" t="s">
        <v>6743</v>
      </c>
      <c r="G1767" s="45">
        <v>2</v>
      </c>
      <c r="H1767" s="53" t="s">
        <v>6744</v>
      </c>
      <c r="I1767" s="45">
        <v>354000</v>
      </c>
      <c r="J1767" s="45">
        <v>0</v>
      </c>
      <c r="K1767" s="45">
        <v>22000</v>
      </c>
      <c r="L1767" s="45">
        <v>0</v>
      </c>
      <c r="M1767" s="45">
        <v>0</v>
      </c>
      <c r="N1767" s="45">
        <v>0</v>
      </c>
      <c r="O1767" s="45">
        <v>0</v>
      </c>
      <c r="P1767" s="45">
        <v>0</v>
      </c>
      <c r="Q1767" s="45">
        <v>0</v>
      </c>
      <c r="R1767" s="45">
        <v>0</v>
      </c>
      <c r="S1767" s="45">
        <v>0</v>
      </c>
      <c r="T1767" s="45">
        <v>0</v>
      </c>
      <c r="U1767" s="45">
        <v>1397</v>
      </c>
      <c r="V1767" s="45">
        <v>0</v>
      </c>
      <c r="W1767" s="45">
        <v>0</v>
      </c>
      <c r="X1767" s="45">
        <v>0</v>
      </c>
      <c r="Y1767" s="45">
        <v>0</v>
      </c>
      <c r="Z1767" s="45">
        <v>0</v>
      </c>
      <c r="AA1767" s="45">
        <v>0</v>
      </c>
      <c r="AB1767" s="45">
        <v>0</v>
      </c>
      <c r="AC1767" s="45">
        <v>0</v>
      </c>
      <c r="AD1767" s="45">
        <v>0</v>
      </c>
      <c r="AE1767" s="45">
        <v>0</v>
      </c>
      <c r="AF1767" s="45">
        <v>0</v>
      </c>
      <c r="AG1767" s="45">
        <v>0</v>
      </c>
      <c r="AH1767" s="45">
        <v>0</v>
      </c>
      <c r="AI1767" s="45">
        <v>0</v>
      </c>
      <c r="AJ1767" s="45">
        <v>0</v>
      </c>
      <c r="AK1767" s="45">
        <v>0</v>
      </c>
      <c r="AL1767" s="45">
        <v>0</v>
      </c>
      <c r="AM1767" s="57" t="str">
        <f>I1767-J1767-K1767-L1767-M1767-N1767-O1767-P1767-Q1767-R1767-S1767-T1767-U1767-V1767-W1767-X1767-Y1767-Z1767-AA1767-AB1767-AC1767-AD1767-AE1767-AF1767-AG1767+AH1767-AI1767+AJ1767+AK1767-AL1767</f>
        <v>0</v>
      </c>
      <c r="AN1767" s="45"/>
    </row>
    <row r="1768" spans="1:41">
      <c r="A1768" s="45">
        <v>1740</v>
      </c>
      <c r="B1768" s="45" t="s">
        <v>6745</v>
      </c>
      <c r="C1768" s="49" t="s">
        <v>6746</v>
      </c>
      <c r="D1768" s="53" t="s">
        <v>73</v>
      </c>
      <c r="E1768" s="45" t="s">
        <v>6718</v>
      </c>
      <c r="F1768" s="45" t="s">
        <v>6747</v>
      </c>
      <c r="G1768" s="45">
        <v>3</v>
      </c>
      <c r="H1768" s="53" t="s">
        <v>6748</v>
      </c>
      <c r="I1768" s="45">
        <v>390000</v>
      </c>
      <c r="J1768" s="45">
        <v>0</v>
      </c>
      <c r="K1768" s="45">
        <v>22000</v>
      </c>
      <c r="L1768" s="45">
        <v>0</v>
      </c>
      <c r="M1768" s="45">
        <v>0</v>
      </c>
      <c r="N1768" s="45">
        <v>0</v>
      </c>
      <c r="O1768" s="45">
        <v>0</v>
      </c>
      <c r="P1768" s="45">
        <v>0</v>
      </c>
      <c r="Q1768" s="45">
        <v>0</v>
      </c>
      <c r="R1768" s="45">
        <v>0</v>
      </c>
      <c r="S1768" s="45">
        <v>0</v>
      </c>
      <c r="T1768" s="45">
        <v>0</v>
      </c>
      <c r="U1768" s="45">
        <v>1397</v>
      </c>
      <c r="V1768" s="45">
        <v>0</v>
      </c>
      <c r="W1768" s="45">
        <v>0</v>
      </c>
      <c r="X1768" s="45">
        <v>0</v>
      </c>
      <c r="Y1768" s="45">
        <v>0</v>
      </c>
      <c r="Z1768" s="45">
        <v>0</v>
      </c>
      <c r="AA1768" s="45">
        <v>0</v>
      </c>
      <c r="AB1768" s="45">
        <v>0</v>
      </c>
      <c r="AC1768" s="45">
        <v>0</v>
      </c>
      <c r="AD1768" s="45">
        <v>0</v>
      </c>
      <c r="AE1768" s="45">
        <v>0</v>
      </c>
      <c r="AF1768" s="45">
        <v>0</v>
      </c>
      <c r="AG1768" s="45">
        <v>0</v>
      </c>
      <c r="AH1768" s="45">
        <v>0</v>
      </c>
      <c r="AI1768" s="45">
        <v>0</v>
      </c>
      <c r="AJ1768" s="45">
        <v>0</v>
      </c>
      <c r="AK1768" s="45">
        <v>0</v>
      </c>
      <c r="AL1768" s="45">
        <v>0</v>
      </c>
      <c r="AM1768" s="57" t="str">
        <f>I1768-J1768-K1768-L1768-M1768-N1768-O1768-P1768-Q1768-R1768-S1768-T1768-U1768-V1768-W1768-X1768-Y1768-Z1768-AA1768-AB1768-AC1768-AD1768-AE1768-AF1768-AG1768+AH1768-AI1768+AJ1768+AK1768-AL1768</f>
        <v>0</v>
      </c>
      <c r="AN1768" s="45"/>
    </row>
    <row r="1769" spans="1:41">
      <c r="A1769" s="45">
        <v>1741</v>
      </c>
      <c r="B1769" s="45" t="s">
        <v>6749</v>
      </c>
      <c r="C1769" s="49" t="s">
        <v>6750</v>
      </c>
      <c r="D1769" s="53" t="s">
        <v>73</v>
      </c>
      <c r="E1769" s="45" t="s">
        <v>6718</v>
      </c>
      <c r="F1769" s="45" t="s">
        <v>6751</v>
      </c>
      <c r="G1769" s="45">
        <v>3</v>
      </c>
      <c r="H1769" s="53" t="s">
        <v>6752</v>
      </c>
      <c r="I1769" s="45">
        <v>360000</v>
      </c>
      <c r="J1769" s="45">
        <v>0</v>
      </c>
      <c r="K1769" s="45">
        <v>22000</v>
      </c>
      <c r="L1769" s="45">
        <v>0</v>
      </c>
      <c r="M1769" s="45">
        <v>0</v>
      </c>
      <c r="N1769" s="45">
        <v>0</v>
      </c>
      <c r="O1769" s="45">
        <v>0</v>
      </c>
      <c r="P1769" s="45">
        <v>0</v>
      </c>
      <c r="Q1769" s="45">
        <v>0</v>
      </c>
      <c r="R1769" s="45">
        <v>0</v>
      </c>
      <c r="S1769" s="45">
        <v>0</v>
      </c>
      <c r="T1769" s="45">
        <v>0</v>
      </c>
      <c r="U1769" s="45">
        <v>1397</v>
      </c>
      <c r="V1769" s="45">
        <v>0</v>
      </c>
      <c r="W1769" s="45">
        <v>0</v>
      </c>
      <c r="X1769" s="45">
        <v>0</v>
      </c>
      <c r="Y1769" s="45">
        <v>0</v>
      </c>
      <c r="Z1769" s="45">
        <v>0</v>
      </c>
      <c r="AA1769" s="45">
        <v>0</v>
      </c>
      <c r="AB1769" s="45">
        <v>0</v>
      </c>
      <c r="AC1769" s="45">
        <v>0</v>
      </c>
      <c r="AD1769" s="45">
        <v>0</v>
      </c>
      <c r="AE1769" s="45">
        <v>0</v>
      </c>
      <c r="AF1769" s="45">
        <v>0</v>
      </c>
      <c r="AG1769" s="45">
        <v>0</v>
      </c>
      <c r="AH1769" s="45">
        <v>0</v>
      </c>
      <c r="AI1769" s="45">
        <v>0</v>
      </c>
      <c r="AJ1769" s="45">
        <v>0</v>
      </c>
      <c r="AK1769" s="45">
        <v>0</v>
      </c>
      <c r="AL1769" s="45">
        <v>0</v>
      </c>
      <c r="AM1769" s="57" t="str">
        <f>I1769-J1769-K1769-L1769-M1769-N1769-O1769-P1769-Q1769-R1769-S1769-T1769-U1769-V1769-W1769-X1769-Y1769-Z1769-AA1769-AB1769-AC1769-AD1769-AE1769-AF1769-AG1769+AH1769-AI1769+AJ1769+AK1769-AL1769</f>
        <v>0</v>
      </c>
      <c r="AN1769" s="45"/>
    </row>
    <row r="1770" spans="1:41">
      <c r="A1770" s="45">
        <v>1742</v>
      </c>
      <c r="B1770" s="45" t="s">
        <v>6753</v>
      </c>
      <c r="C1770" s="49" t="s">
        <v>6754</v>
      </c>
      <c r="D1770" s="53" t="s">
        <v>73</v>
      </c>
      <c r="E1770" s="45" t="s">
        <v>6718</v>
      </c>
      <c r="F1770" s="45" t="s">
        <v>6755</v>
      </c>
      <c r="G1770" s="45">
        <v>6</v>
      </c>
      <c r="H1770" s="53" t="s">
        <v>6756</v>
      </c>
      <c r="I1770" s="45">
        <v>695000</v>
      </c>
      <c r="J1770" s="45">
        <v>0</v>
      </c>
      <c r="K1770" s="45">
        <v>31000</v>
      </c>
      <c r="L1770" s="45">
        <v>0</v>
      </c>
      <c r="M1770" s="45">
        <v>0</v>
      </c>
      <c r="N1770" s="45">
        <v>0</v>
      </c>
      <c r="O1770" s="45">
        <v>0</v>
      </c>
      <c r="P1770" s="45">
        <v>0</v>
      </c>
      <c r="Q1770" s="45">
        <v>0</v>
      </c>
      <c r="R1770" s="45">
        <v>0</v>
      </c>
      <c r="S1770" s="45">
        <v>0</v>
      </c>
      <c r="T1770" s="45">
        <v>0</v>
      </c>
      <c r="U1770" s="45">
        <v>1968</v>
      </c>
      <c r="V1770" s="45">
        <v>0</v>
      </c>
      <c r="W1770" s="45">
        <v>0</v>
      </c>
      <c r="X1770" s="45">
        <v>0</v>
      </c>
      <c r="Y1770" s="45">
        <v>0</v>
      </c>
      <c r="Z1770" s="45">
        <v>0</v>
      </c>
      <c r="AA1770" s="45">
        <v>0</v>
      </c>
      <c r="AB1770" s="45">
        <v>0</v>
      </c>
      <c r="AC1770" s="45">
        <v>0</v>
      </c>
      <c r="AD1770" s="45">
        <v>0</v>
      </c>
      <c r="AE1770" s="45">
        <v>0</v>
      </c>
      <c r="AF1770" s="45">
        <v>0</v>
      </c>
      <c r="AG1770" s="45">
        <v>0</v>
      </c>
      <c r="AH1770" s="45">
        <v>0</v>
      </c>
      <c r="AI1770" s="45">
        <v>0</v>
      </c>
      <c r="AJ1770" s="45">
        <v>0</v>
      </c>
      <c r="AK1770" s="45">
        <v>0</v>
      </c>
      <c r="AL1770" s="45">
        <v>0</v>
      </c>
      <c r="AM1770" s="57" t="str">
        <f>I1770-J1770-K1770-L1770-M1770-N1770-O1770-P1770-Q1770-R1770-S1770-T1770-U1770-V1770-W1770-X1770-Y1770-Z1770-AA1770-AB1770-AC1770-AD1770-AE1770-AF1770-AG1770+AH1770-AI1770+AJ1770+AK1770-AL1770</f>
        <v>0</v>
      </c>
      <c r="AN1770" s="45"/>
    </row>
    <row r="1771" spans="1:41">
      <c r="A1771" s="45">
        <v>1743</v>
      </c>
      <c r="B1771" s="45" t="s">
        <v>6757</v>
      </c>
      <c r="C1771" s="49" t="s">
        <v>6758</v>
      </c>
      <c r="D1771" s="53" t="s">
        <v>73</v>
      </c>
      <c r="E1771" s="45" t="s">
        <v>6718</v>
      </c>
      <c r="F1771" s="45" t="s">
        <v>6519</v>
      </c>
      <c r="G1771" s="45">
        <v>2</v>
      </c>
      <c r="H1771" s="53" t="s">
        <v>6759</v>
      </c>
      <c r="I1771" s="45">
        <v>425000</v>
      </c>
      <c r="J1771" s="45">
        <v>0</v>
      </c>
      <c r="K1771" s="45">
        <v>22000</v>
      </c>
      <c r="L1771" s="45">
        <v>0</v>
      </c>
      <c r="M1771" s="45">
        <v>0</v>
      </c>
      <c r="N1771" s="45">
        <v>0</v>
      </c>
      <c r="O1771" s="45">
        <v>0</v>
      </c>
      <c r="P1771" s="45">
        <v>0</v>
      </c>
      <c r="Q1771" s="45">
        <v>0</v>
      </c>
      <c r="R1771" s="45">
        <v>0</v>
      </c>
      <c r="S1771" s="45">
        <v>0</v>
      </c>
      <c r="T1771" s="45">
        <v>0</v>
      </c>
      <c r="U1771" s="45">
        <v>1397</v>
      </c>
      <c r="V1771" s="45">
        <v>0</v>
      </c>
      <c r="W1771" s="45">
        <v>0</v>
      </c>
      <c r="X1771" s="45">
        <v>0</v>
      </c>
      <c r="Y1771" s="45">
        <v>0</v>
      </c>
      <c r="Z1771" s="45">
        <v>0</v>
      </c>
      <c r="AA1771" s="45">
        <v>0</v>
      </c>
      <c r="AB1771" s="45">
        <v>0</v>
      </c>
      <c r="AC1771" s="45">
        <v>0</v>
      </c>
      <c r="AD1771" s="45">
        <v>0</v>
      </c>
      <c r="AE1771" s="45">
        <v>0</v>
      </c>
      <c r="AF1771" s="45">
        <v>0</v>
      </c>
      <c r="AG1771" s="45">
        <v>0</v>
      </c>
      <c r="AH1771" s="45">
        <v>0</v>
      </c>
      <c r="AI1771" s="45">
        <v>0</v>
      </c>
      <c r="AJ1771" s="45">
        <v>0</v>
      </c>
      <c r="AK1771" s="45">
        <v>0</v>
      </c>
      <c r="AL1771" s="45">
        <v>0</v>
      </c>
      <c r="AM1771" s="57" t="str">
        <f>I1771-J1771-K1771-L1771-M1771-N1771-O1771-P1771-Q1771-R1771-S1771-T1771-U1771-V1771-W1771-X1771-Y1771-Z1771-AA1771-AB1771-AC1771-AD1771-AE1771-AF1771-AG1771+AH1771-AI1771+AJ1771+AK1771-AL1771</f>
        <v>0</v>
      </c>
      <c r="AN1771" s="45"/>
    </row>
    <row r="1772" spans="1:41">
      <c r="A1772" s="45">
        <v>1744</v>
      </c>
      <c r="B1772" s="45" t="s">
        <v>6760</v>
      </c>
      <c r="C1772" s="49" t="s">
        <v>6761</v>
      </c>
      <c r="D1772" s="53" t="s">
        <v>73</v>
      </c>
      <c r="E1772" s="45" t="s">
        <v>6718</v>
      </c>
      <c r="F1772" s="45" t="s">
        <v>6762</v>
      </c>
      <c r="G1772" s="45">
        <v>2</v>
      </c>
      <c r="H1772" s="53" t="s">
        <v>6763</v>
      </c>
      <c r="I1772" s="45">
        <v>204000</v>
      </c>
      <c r="J1772" s="45">
        <v>0</v>
      </c>
      <c r="K1772" s="45">
        <v>22000</v>
      </c>
      <c r="L1772" s="45">
        <v>0</v>
      </c>
      <c r="M1772" s="45">
        <v>0</v>
      </c>
      <c r="N1772" s="45">
        <v>0</v>
      </c>
      <c r="O1772" s="45">
        <v>0</v>
      </c>
      <c r="P1772" s="45">
        <v>0</v>
      </c>
      <c r="Q1772" s="45">
        <v>0</v>
      </c>
      <c r="R1772" s="45">
        <v>0</v>
      </c>
      <c r="S1772" s="45">
        <v>0</v>
      </c>
      <c r="T1772" s="45">
        <v>0</v>
      </c>
      <c r="U1772" s="45">
        <v>1397</v>
      </c>
      <c r="V1772" s="45">
        <v>0</v>
      </c>
      <c r="W1772" s="45">
        <v>0</v>
      </c>
      <c r="X1772" s="45">
        <v>0</v>
      </c>
      <c r="Y1772" s="45">
        <v>0</v>
      </c>
      <c r="Z1772" s="45">
        <v>0</v>
      </c>
      <c r="AA1772" s="45">
        <v>0</v>
      </c>
      <c r="AB1772" s="45">
        <v>0</v>
      </c>
      <c r="AC1772" s="45">
        <v>0</v>
      </c>
      <c r="AD1772" s="45">
        <v>0</v>
      </c>
      <c r="AE1772" s="45">
        <v>0</v>
      </c>
      <c r="AF1772" s="45">
        <v>0</v>
      </c>
      <c r="AG1772" s="45">
        <v>0</v>
      </c>
      <c r="AH1772" s="45">
        <v>0</v>
      </c>
      <c r="AI1772" s="45">
        <v>0</v>
      </c>
      <c r="AJ1772" s="45">
        <v>0</v>
      </c>
      <c r="AK1772" s="45">
        <v>0</v>
      </c>
      <c r="AL1772" s="45">
        <v>0</v>
      </c>
      <c r="AM1772" s="57" t="str">
        <f>I1772-J1772-K1772-L1772-M1772-N1772-O1772-P1772-Q1772-R1772-S1772-T1772-U1772-V1772-W1772-X1772-Y1772-Z1772-AA1772-AB1772-AC1772-AD1772-AE1772-AF1772-AG1772+AH1772-AI1772+AJ1772+AK1772-AL1772</f>
        <v>0</v>
      </c>
      <c r="AN1772" s="45"/>
    </row>
    <row r="1773" spans="1:41">
      <c r="A1773" s="45">
        <v>1745</v>
      </c>
      <c r="B1773" s="45" t="s">
        <v>6764</v>
      </c>
      <c r="C1773" s="49" t="s">
        <v>6765</v>
      </c>
      <c r="D1773" s="53" t="s">
        <v>73</v>
      </c>
      <c r="E1773" s="45" t="s">
        <v>6718</v>
      </c>
      <c r="F1773" s="45" t="s">
        <v>6766</v>
      </c>
      <c r="G1773" s="45">
        <v>3</v>
      </c>
      <c r="H1773" s="53" t="s">
        <v>6767</v>
      </c>
      <c r="I1773" s="45">
        <v>760000</v>
      </c>
      <c r="J1773" s="45">
        <v>0</v>
      </c>
      <c r="K1773" s="45">
        <v>22000</v>
      </c>
      <c r="L1773" s="45">
        <v>0</v>
      </c>
      <c r="M1773" s="45">
        <v>0</v>
      </c>
      <c r="N1773" s="45">
        <v>0</v>
      </c>
      <c r="O1773" s="45">
        <v>0</v>
      </c>
      <c r="P1773" s="45">
        <v>0</v>
      </c>
      <c r="Q1773" s="45">
        <v>0</v>
      </c>
      <c r="R1773" s="45">
        <v>0</v>
      </c>
      <c r="S1773" s="45">
        <v>0</v>
      </c>
      <c r="T1773" s="45">
        <v>0</v>
      </c>
      <c r="U1773" s="45">
        <v>1397</v>
      </c>
      <c r="V1773" s="45">
        <v>0</v>
      </c>
      <c r="W1773" s="45">
        <v>0</v>
      </c>
      <c r="X1773" s="45">
        <v>0</v>
      </c>
      <c r="Y1773" s="45">
        <v>0</v>
      </c>
      <c r="Z1773" s="45">
        <v>0</v>
      </c>
      <c r="AA1773" s="45">
        <v>0</v>
      </c>
      <c r="AB1773" s="45">
        <v>0</v>
      </c>
      <c r="AC1773" s="45">
        <v>0</v>
      </c>
      <c r="AD1773" s="45">
        <v>0</v>
      </c>
      <c r="AE1773" s="45">
        <v>0</v>
      </c>
      <c r="AF1773" s="45">
        <v>0</v>
      </c>
      <c r="AG1773" s="45">
        <v>0</v>
      </c>
      <c r="AH1773" s="45">
        <v>0</v>
      </c>
      <c r="AI1773" s="45">
        <v>0</v>
      </c>
      <c r="AJ1773" s="45">
        <v>0</v>
      </c>
      <c r="AK1773" s="45">
        <v>0</v>
      </c>
      <c r="AL1773" s="45">
        <v>0</v>
      </c>
      <c r="AM1773" s="57" t="str">
        <f>I1773-J1773-K1773-L1773-M1773-N1773-O1773-P1773-Q1773-R1773-S1773-T1773-U1773-V1773-W1773-X1773-Y1773-Z1773-AA1773-AB1773-AC1773-AD1773-AE1773-AF1773-AG1773+AH1773-AI1773+AJ1773+AK1773-AL1773</f>
        <v>0</v>
      </c>
      <c r="AN1773" s="45"/>
    </row>
    <row r="1774" spans="1:41">
      <c r="A1774" s="45">
        <v>1746</v>
      </c>
      <c r="B1774" s="45" t="s">
        <v>6768</v>
      </c>
      <c r="C1774" s="49" t="s">
        <v>6769</v>
      </c>
      <c r="D1774" s="53" t="s">
        <v>73</v>
      </c>
      <c r="E1774" s="45" t="s">
        <v>6718</v>
      </c>
      <c r="F1774" s="45" t="s">
        <v>6770</v>
      </c>
      <c r="G1774" s="45">
        <v>4</v>
      </c>
      <c r="H1774" s="53" t="s">
        <v>6771</v>
      </c>
      <c r="I1774" s="45">
        <v>693000</v>
      </c>
      <c r="J1774" s="45">
        <v>0</v>
      </c>
      <c r="K1774" s="45">
        <v>25000</v>
      </c>
      <c r="L1774" s="45">
        <v>0</v>
      </c>
      <c r="M1774" s="45">
        <v>0</v>
      </c>
      <c r="N1774" s="45">
        <v>0</v>
      </c>
      <c r="O1774" s="45">
        <v>0</v>
      </c>
      <c r="P1774" s="45">
        <v>0</v>
      </c>
      <c r="Q1774" s="45">
        <v>0</v>
      </c>
      <c r="R1774" s="45">
        <v>0</v>
      </c>
      <c r="S1774" s="45">
        <v>0</v>
      </c>
      <c r="T1774" s="45">
        <v>0</v>
      </c>
      <c r="U1774" s="45">
        <v>1587</v>
      </c>
      <c r="V1774" s="45">
        <v>0</v>
      </c>
      <c r="W1774" s="45">
        <v>0</v>
      </c>
      <c r="X1774" s="45">
        <v>0</v>
      </c>
      <c r="Y1774" s="45">
        <v>0</v>
      </c>
      <c r="Z1774" s="45">
        <v>0</v>
      </c>
      <c r="AA1774" s="45">
        <v>0</v>
      </c>
      <c r="AB1774" s="45">
        <v>0</v>
      </c>
      <c r="AC1774" s="45">
        <v>0</v>
      </c>
      <c r="AD1774" s="45">
        <v>0</v>
      </c>
      <c r="AE1774" s="45">
        <v>0</v>
      </c>
      <c r="AF1774" s="45">
        <v>0</v>
      </c>
      <c r="AG1774" s="45">
        <v>0</v>
      </c>
      <c r="AH1774" s="45">
        <v>0</v>
      </c>
      <c r="AI1774" s="45">
        <v>0</v>
      </c>
      <c r="AJ1774" s="45">
        <v>0</v>
      </c>
      <c r="AK1774" s="45">
        <v>0</v>
      </c>
      <c r="AL1774" s="45">
        <v>0</v>
      </c>
      <c r="AM1774" s="57" t="str">
        <f>I1774-J1774-K1774-L1774-M1774-N1774-O1774-P1774-Q1774-R1774-S1774-T1774-U1774-V1774-W1774-X1774-Y1774-Z1774-AA1774-AB1774-AC1774-AD1774-AE1774-AF1774-AG1774+AH1774-AI1774+AJ1774+AK1774-AL1774</f>
        <v>0</v>
      </c>
      <c r="AN1774" s="45"/>
    </row>
    <row r="1775" spans="1:41">
      <c r="A1775" s="45">
        <v>1747</v>
      </c>
      <c r="B1775" s="45" t="s">
        <v>6772</v>
      </c>
      <c r="C1775" s="49" t="s">
        <v>6773</v>
      </c>
      <c r="D1775" s="53" t="s">
        <v>73</v>
      </c>
      <c r="E1775" s="45" t="s">
        <v>6718</v>
      </c>
      <c r="F1775" s="45" t="s">
        <v>6774</v>
      </c>
      <c r="G1775" s="45">
        <v>3</v>
      </c>
      <c r="H1775" s="53" t="s">
        <v>6775</v>
      </c>
      <c r="I1775" s="45">
        <v>0</v>
      </c>
      <c r="J1775" s="45">
        <v>0</v>
      </c>
      <c r="K1775" s="45">
        <v>22000</v>
      </c>
      <c r="L1775" s="45">
        <v>0</v>
      </c>
      <c r="M1775" s="45">
        <v>0</v>
      </c>
      <c r="N1775" s="45">
        <v>0</v>
      </c>
      <c r="O1775" s="45">
        <v>0</v>
      </c>
      <c r="P1775" s="45">
        <v>0</v>
      </c>
      <c r="Q1775" s="45">
        <v>0</v>
      </c>
      <c r="R1775" s="45">
        <v>0</v>
      </c>
      <c r="S1775" s="45">
        <v>0</v>
      </c>
      <c r="T1775" s="45">
        <v>0</v>
      </c>
      <c r="U1775" s="45">
        <v>1397</v>
      </c>
      <c r="V1775" s="45">
        <v>0</v>
      </c>
      <c r="W1775" s="45">
        <v>0</v>
      </c>
      <c r="X1775" s="45">
        <v>0</v>
      </c>
      <c r="Y1775" s="45">
        <v>0</v>
      </c>
      <c r="Z1775" s="45">
        <v>0</v>
      </c>
      <c r="AA1775" s="45">
        <v>0</v>
      </c>
      <c r="AB1775" s="45">
        <v>0</v>
      </c>
      <c r="AC1775" s="45">
        <v>0</v>
      </c>
      <c r="AD1775" s="45">
        <v>0</v>
      </c>
      <c r="AE1775" s="45">
        <v>0</v>
      </c>
      <c r="AF1775" s="45">
        <v>0</v>
      </c>
      <c r="AG1775" s="45">
        <v>0</v>
      </c>
      <c r="AH1775" s="45">
        <v>0</v>
      </c>
      <c r="AI1775" s="45">
        <v>0</v>
      </c>
      <c r="AJ1775" s="45">
        <v>0</v>
      </c>
      <c r="AK1775" s="45">
        <v>0</v>
      </c>
      <c r="AL1775" s="45">
        <v>0</v>
      </c>
      <c r="AM1775" s="57" t="str">
        <f>I1775-J1775-K1775-L1775-M1775-N1775-O1775-P1775-Q1775-R1775-S1775-T1775-U1775-V1775-W1775-X1775-Y1775-Z1775-AA1775-AB1775-AC1775-AD1775-AE1775-AF1775-AG1775+AH1775-AI1775+AJ1775+AK1775-AL1775</f>
        <v>0</v>
      </c>
      <c r="AN1775" s="45"/>
    </row>
    <row r="1776" spans="1:41">
      <c r="A1776" s="45">
        <v>1748</v>
      </c>
      <c r="B1776" s="45" t="s">
        <v>6776</v>
      </c>
      <c r="C1776" s="49" t="s">
        <v>6777</v>
      </c>
      <c r="D1776" s="53" t="s">
        <v>73</v>
      </c>
      <c r="E1776" s="45" t="s">
        <v>6718</v>
      </c>
      <c r="F1776" s="45" t="s">
        <v>6778</v>
      </c>
      <c r="G1776" s="45">
        <v>3</v>
      </c>
      <c r="H1776" s="53" t="s">
        <v>6779</v>
      </c>
      <c r="I1776" s="45">
        <v>250000</v>
      </c>
      <c r="J1776" s="45">
        <v>0</v>
      </c>
      <c r="K1776" s="45">
        <v>22000</v>
      </c>
      <c r="L1776" s="45">
        <v>0</v>
      </c>
      <c r="M1776" s="45">
        <v>0</v>
      </c>
      <c r="N1776" s="45">
        <v>0</v>
      </c>
      <c r="O1776" s="45">
        <v>0</v>
      </c>
      <c r="P1776" s="45">
        <v>0</v>
      </c>
      <c r="Q1776" s="45">
        <v>0</v>
      </c>
      <c r="R1776" s="45">
        <v>0</v>
      </c>
      <c r="S1776" s="45">
        <v>0</v>
      </c>
      <c r="T1776" s="45">
        <v>0</v>
      </c>
      <c r="U1776" s="45">
        <v>1397</v>
      </c>
      <c r="V1776" s="45">
        <v>0</v>
      </c>
      <c r="W1776" s="45">
        <v>0</v>
      </c>
      <c r="X1776" s="45">
        <v>0</v>
      </c>
      <c r="Y1776" s="45">
        <v>0</v>
      </c>
      <c r="Z1776" s="45">
        <v>0</v>
      </c>
      <c r="AA1776" s="45">
        <v>0</v>
      </c>
      <c r="AB1776" s="45">
        <v>0</v>
      </c>
      <c r="AC1776" s="45">
        <v>0</v>
      </c>
      <c r="AD1776" s="45">
        <v>0</v>
      </c>
      <c r="AE1776" s="45">
        <v>0</v>
      </c>
      <c r="AF1776" s="45">
        <v>0</v>
      </c>
      <c r="AG1776" s="45">
        <v>0</v>
      </c>
      <c r="AH1776" s="45">
        <v>0</v>
      </c>
      <c r="AI1776" s="45">
        <v>0</v>
      </c>
      <c r="AJ1776" s="45">
        <v>0</v>
      </c>
      <c r="AK1776" s="45">
        <v>0</v>
      </c>
      <c r="AL1776" s="45">
        <v>0</v>
      </c>
      <c r="AM1776" s="57" t="str">
        <f>I1776-J1776-K1776-L1776-M1776-N1776-O1776-P1776-Q1776-R1776-S1776-T1776-U1776-V1776-W1776-X1776-Y1776-Z1776-AA1776-AB1776-AC1776-AD1776-AE1776-AF1776-AG1776+AH1776-AI1776+AJ1776+AK1776-AL1776</f>
        <v>0</v>
      </c>
      <c r="AN1776" s="45"/>
    </row>
    <row r="1777" spans="1:41">
      <c r="A1777" s="45">
        <v>1749</v>
      </c>
      <c r="B1777" s="45" t="s">
        <v>6780</v>
      </c>
      <c r="C1777" s="49" t="s">
        <v>6781</v>
      </c>
      <c r="D1777" s="53" t="s">
        <v>73</v>
      </c>
      <c r="E1777" s="45" t="s">
        <v>6718</v>
      </c>
      <c r="F1777" s="45" t="s">
        <v>6782</v>
      </c>
      <c r="G1777" s="45">
        <v>2</v>
      </c>
      <c r="H1777" s="53" t="s">
        <v>6783</v>
      </c>
      <c r="I1777" s="45">
        <v>314000</v>
      </c>
      <c r="J1777" s="45">
        <v>0</v>
      </c>
      <c r="K1777" s="45">
        <v>22000</v>
      </c>
      <c r="L1777" s="45">
        <v>0</v>
      </c>
      <c r="M1777" s="45">
        <v>0</v>
      </c>
      <c r="N1777" s="45">
        <v>0</v>
      </c>
      <c r="O1777" s="45">
        <v>0</v>
      </c>
      <c r="P1777" s="45">
        <v>0</v>
      </c>
      <c r="Q1777" s="45">
        <v>0</v>
      </c>
      <c r="R1777" s="45">
        <v>0</v>
      </c>
      <c r="S1777" s="45">
        <v>0</v>
      </c>
      <c r="T1777" s="45">
        <v>0</v>
      </c>
      <c r="U1777" s="45">
        <v>1397</v>
      </c>
      <c r="V1777" s="45">
        <v>0</v>
      </c>
      <c r="W1777" s="45">
        <v>0</v>
      </c>
      <c r="X1777" s="45">
        <v>0</v>
      </c>
      <c r="Y1777" s="45">
        <v>0</v>
      </c>
      <c r="Z1777" s="45">
        <v>0</v>
      </c>
      <c r="AA1777" s="45">
        <v>0</v>
      </c>
      <c r="AB1777" s="45">
        <v>0</v>
      </c>
      <c r="AC1777" s="45">
        <v>0</v>
      </c>
      <c r="AD1777" s="45">
        <v>0</v>
      </c>
      <c r="AE1777" s="45">
        <v>0</v>
      </c>
      <c r="AF1777" s="45">
        <v>0</v>
      </c>
      <c r="AG1777" s="45">
        <v>0</v>
      </c>
      <c r="AH1777" s="45">
        <v>0</v>
      </c>
      <c r="AI1777" s="45">
        <v>0</v>
      </c>
      <c r="AJ1777" s="45">
        <v>0</v>
      </c>
      <c r="AK1777" s="45">
        <v>0</v>
      </c>
      <c r="AL1777" s="45">
        <v>0</v>
      </c>
      <c r="AM1777" s="57" t="str">
        <f>I1777-J1777-K1777-L1777-M1777-N1777-O1777-P1777-Q1777-R1777-S1777-T1777-U1777-V1777-W1777-X1777-Y1777-Z1777-AA1777-AB1777-AC1777-AD1777-AE1777-AF1777-AG1777+AH1777-AI1777+AJ1777+AK1777-AL1777</f>
        <v>0</v>
      </c>
      <c r="AN1777" s="45"/>
    </row>
    <row r="1778" spans="1:41">
      <c r="A1778" s="45">
        <v>1750</v>
      </c>
      <c r="B1778" s="45" t="s">
        <v>6784</v>
      </c>
      <c r="C1778" s="49" t="s">
        <v>6785</v>
      </c>
      <c r="D1778" s="53" t="s">
        <v>73</v>
      </c>
      <c r="E1778" s="45" t="s">
        <v>6718</v>
      </c>
      <c r="F1778" s="45" t="s">
        <v>6786</v>
      </c>
      <c r="G1778" s="45">
        <v>3</v>
      </c>
      <c r="H1778" s="53" t="s">
        <v>6787</v>
      </c>
      <c r="I1778" s="45">
        <v>1010000</v>
      </c>
      <c r="J1778" s="45">
        <v>0</v>
      </c>
      <c r="K1778" s="45">
        <v>22000</v>
      </c>
      <c r="L1778" s="45">
        <v>0</v>
      </c>
      <c r="M1778" s="45">
        <v>0</v>
      </c>
      <c r="N1778" s="45">
        <v>0</v>
      </c>
      <c r="O1778" s="45">
        <v>0</v>
      </c>
      <c r="P1778" s="45">
        <v>0</v>
      </c>
      <c r="Q1778" s="45">
        <v>0</v>
      </c>
      <c r="R1778" s="45">
        <v>0</v>
      </c>
      <c r="S1778" s="45">
        <v>0</v>
      </c>
      <c r="T1778" s="45">
        <v>0</v>
      </c>
      <c r="U1778" s="45">
        <v>1397</v>
      </c>
      <c r="V1778" s="45">
        <v>0</v>
      </c>
      <c r="W1778" s="45">
        <v>0</v>
      </c>
      <c r="X1778" s="45">
        <v>0</v>
      </c>
      <c r="Y1778" s="45">
        <v>0</v>
      </c>
      <c r="Z1778" s="45">
        <v>0</v>
      </c>
      <c r="AA1778" s="45">
        <v>0</v>
      </c>
      <c r="AB1778" s="45">
        <v>0</v>
      </c>
      <c r="AC1778" s="45">
        <v>0</v>
      </c>
      <c r="AD1778" s="45">
        <v>0</v>
      </c>
      <c r="AE1778" s="45">
        <v>0</v>
      </c>
      <c r="AF1778" s="45">
        <v>0</v>
      </c>
      <c r="AG1778" s="45">
        <v>0</v>
      </c>
      <c r="AH1778" s="45">
        <v>0</v>
      </c>
      <c r="AI1778" s="45">
        <v>0</v>
      </c>
      <c r="AJ1778" s="45">
        <v>0</v>
      </c>
      <c r="AK1778" s="45">
        <v>0</v>
      </c>
      <c r="AL1778" s="45">
        <v>0</v>
      </c>
      <c r="AM1778" s="57" t="str">
        <f>I1778-J1778-K1778-L1778-M1778-N1778-O1778-P1778-Q1778-R1778-S1778-T1778-U1778-V1778-W1778-X1778-Y1778-Z1778-AA1778-AB1778-AC1778-AD1778-AE1778-AF1778-AG1778+AH1778-AI1778+AJ1778+AK1778-AL1778</f>
        <v>0</v>
      </c>
      <c r="AN1778" s="45"/>
    </row>
    <row r="1779" spans="1:41">
      <c r="A1779" s="45">
        <v>1751</v>
      </c>
      <c r="B1779" s="45" t="s">
        <v>6788</v>
      </c>
      <c r="C1779" s="49" t="s">
        <v>6789</v>
      </c>
      <c r="D1779" s="53" t="s">
        <v>73</v>
      </c>
      <c r="E1779" s="45" t="s">
        <v>6718</v>
      </c>
      <c r="F1779" s="45" t="s">
        <v>6755</v>
      </c>
      <c r="G1779" s="45">
        <v>10</v>
      </c>
      <c r="H1779" s="53" t="s">
        <v>6790</v>
      </c>
      <c r="I1779" s="45">
        <v>1759000</v>
      </c>
      <c r="J1779" s="45">
        <v>0</v>
      </c>
      <c r="K1779" s="45">
        <v>40000</v>
      </c>
      <c r="L1779" s="45">
        <v>0</v>
      </c>
      <c r="M1779" s="45">
        <v>0</v>
      </c>
      <c r="N1779" s="45">
        <v>0</v>
      </c>
      <c r="O1779" s="45">
        <v>0</v>
      </c>
      <c r="P1779" s="45">
        <v>0</v>
      </c>
      <c r="Q1779" s="45">
        <v>0</v>
      </c>
      <c r="R1779" s="45">
        <v>0</v>
      </c>
      <c r="S1779" s="45">
        <v>0</v>
      </c>
      <c r="T1779" s="45">
        <v>0</v>
      </c>
      <c r="U1779" s="45">
        <v>2540</v>
      </c>
      <c r="V1779" s="45">
        <v>0</v>
      </c>
      <c r="W1779" s="45">
        <v>0</v>
      </c>
      <c r="X1779" s="45">
        <v>0</v>
      </c>
      <c r="Y1779" s="45">
        <v>0</v>
      </c>
      <c r="Z1779" s="45">
        <v>0</v>
      </c>
      <c r="AA1779" s="45">
        <v>0</v>
      </c>
      <c r="AB1779" s="45">
        <v>0</v>
      </c>
      <c r="AC1779" s="45">
        <v>0</v>
      </c>
      <c r="AD1779" s="45">
        <v>0</v>
      </c>
      <c r="AE1779" s="45">
        <v>0</v>
      </c>
      <c r="AF1779" s="45">
        <v>0</v>
      </c>
      <c r="AG1779" s="45">
        <v>0</v>
      </c>
      <c r="AH1779" s="45">
        <v>0</v>
      </c>
      <c r="AI1779" s="45">
        <v>0</v>
      </c>
      <c r="AJ1779" s="45">
        <v>0</v>
      </c>
      <c r="AK1779" s="45">
        <v>0</v>
      </c>
      <c r="AL1779" s="45">
        <v>0</v>
      </c>
      <c r="AM1779" s="57" t="str">
        <f>I1779-J1779-K1779-L1779-M1779-N1779-O1779-P1779-Q1779-R1779-S1779-T1779-U1779-V1779-W1779-X1779-Y1779-Z1779-AA1779-AB1779-AC1779-AD1779-AE1779-AF1779-AG1779+AH1779-AI1779+AJ1779+AK1779-AL1779</f>
        <v>0</v>
      </c>
      <c r="AN1779" s="45"/>
    </row>
    <row r="1780" spans="1:41">
      <c r="A1780" s="45">
        <v>1752</v>
      </c>
      <c r="B1780" s="45" t="s">
        <v>6791</v>
      </c>
      <c r="C1780" s="49" t="s">
        <v>6792</v>
      </c>
      <c r="D1780" s="53" t="s">
        <v>73</v>
      </c>
      <c r="E1780" s="45" t="s">
        <v>6718</v>
      </c>
      <c r="F1780" s="45" t="s">
        <v>4788</v>
      </c>
      <c r="G1780" s="45">
        <v>3</v>
      </c>
      <c r="H1780" s="53" t="s">
        <v>6793</v>
      </c>
      <c r="I1780" s="45">
        <v>334000</v>
      </c>
      <c r="J1780" s="45">
        <v>0</v>
      </c>
      <c r="K1780" s="45">
        <v>22000</v>
      </c>
      <c r="L1780" s="45">
        <v>0</v>
      </c>
      <c r="M1780" s="45">
        <v>0</v>
      </c>
      <c r="N1780" s="45">
        <v>0</v>
      </c>
      <c r="O1780" s="45">
        <v>0</v>
      </c>
      <c r="P1780" s="45">
        <v>0</v>
      </c>
      <c r="Q1780" s="45">
        <v>0</v>
      </c>
      <c r="R1780" s="45">
        <v>0</v>
      </c>
      <c r="S1780" s="45">
        <v>0</v>
      </c>
      <c r="T1780" s="45">
        <v>0</v>
      </c>
      <c r="U1780" s="45">
        <v>1397</v>
      </c>
      <c r="V1780" s="45">
        <v>0</v>
      </c>
      <c r="W1780" s="45">
        <v>0</v>
      </c>
      <c r="X1780" s="45">
        <v>0</v>
      </c>
      <c r="Y1780" s="45">
        <v>0</v>
      </c>
      <c r="Z1780" s="45">
        <v>0</v>
      </c>
      <c r="AA1780" s="45">
        <v>0</v>
      </c>
      <c r="AB1780" s="45">
        <v>0</v>
      </c>
      <c r="AC1780" s="45">
        <v>0</v>
      </c>
      <c r="AD1780" s="45">
        <v>0</v>
      </c>
      <c r="AE1780" s="45">
        <v>0</v>
      </c>
      <c r="AF1780" s="45">
        <v>0</v>
      </c>
      <c r="AG1780" s="45">
        <v>0</v>
      </c>
      <c r="AH1780" s="45">
        <v>0</v>
      </c>
      <c r="AI1780" s="45">
        <v>0</v>
      </c>
      <c r="AJ1780" s="45">
        <v>0</v>
      </c>
      <c r="AK1780" s="45">
        <v>0</v>
      </c>
      <c r="AL1780" s="45">
        <v>0</v>
      </c>
      <c r="AM1780" s="57" t="str">
        <f>I1780-J1780-K1780-L1780-M1780-N1780-O1780-P1780-Q1780-R1780-S1780-T1780-U1780-V1780-W1780-X1780-Y1780-Z1780-AA1780-AB1780-AC1780-AD1780-AE1780-AF1780-AG1780+AH1780-AI1780+AJ1780+AK1780-AL1780</f>
        <v>0</v>
      </c>
      <c r="AN1780" s="45"/>
    </row>
    <row r="1781" spans="1:41">
      <c r="A1781" s="45">
        <v>1753</v>
      </c>
      <c r="B1781" s="45" t="s">
        <v>6794</v>
      </c>
      <c r="C1781" s="49" t="s">
        <v>6795</v>
      </c>
      <c r="D1781" s="53" t="s">
        <v>73</v>
      </c>
      <c r="E1781" s="45" t="s">
        <v>6718</v>
      </c>
      <c r="F1781" s="45" t="s">
        <v>4702</v>
      </c>
      <c r="G1781" s="45">
        <v>3</v>
      </c>
      <c r="H1781" s="53" t="s">
        <v>6796</v>
      </c>
      <c r="I1781" s="45">
        <v>560000</v>
      </c>
      <c r="J1781" s="45">
        <v>0</v>
      </c>
      <c r="K1781" s="45">
        <v>22000</v>
      </c>
      <c r="L1781" s="45">
        <v>0</v>
      </c>
      <c r="M1781" s="45">
        <v>0</v>
      </c>
      <c r="N1781" s="45">
        <v>0</v>
      </c>
      <c r="O1781" s="45">
        <v>0</v>
      </c>
      <c r="P1781" s="45">
        <v>0</v>
      </c>
      <c r="Q1781" s="45">
        <v>0</v>
      </c>
      <c r="R1781" s="45">
        <v>0</v>
      </c>
      <c r="S1781" s="45">
        <v>0</v>
      </c>
      <c r="T1781" s="45">
        <v>0</v>
      </c>
      <c r="U1781" s="45">
        <v>1397</v>
      </c>
      <c r="V1781" s="45">
        <v>0</v>
      </c>
      <c r="W1781" s="45">
        <v>0</v>
      </c>
      <c r="X1781" s="45">
        <v>0</v>
      </c>
      <c r="Y1781" s="45">
        <v>0</v>
      </c>
      <c r="Z1781" s="45">
        <v>0</v>
      </c>
      <c r="AA1781" s="45">
        <v>0</v>
      </c>
      <c r="AB1781" s="45">
        <v>0</v>
      </c>
      <c r="AC1781" s="45">
        <v>0</v>
      </c>
      <c r="AD1781" s="45">
        <v>0</v>
      </c>
      <c r="AE1781" s="45">
        <v>0</v>
      </c>
      <c r="AF1781" s="45">
        <v>0</v>
      </c>
      <c r="AG1781" s="45">
        <v>0</v>
      </c>
      <c r="AH1781" s="45">
        <v>0</v>
      </c>
      <c r="AI1781" s="45">
        <v>0</v>
      </c>
      <c r="AJ1781" s="45">
        <v>0</v>
      </c>
      <c r="AK1781" s="45">
        <v>0</v>
      </c>
      <c r="AL1781" s="45">
        <v>0</v>
      </c>
      <c r="AM1781" s="57" t="str">
        <f>I1781-J1781-K1781-L1781-M1781-N1781-O1781-P1781-Q1781-R1781-S1781-T1781-U1781-V1781-W1781-X1781-Y1781-Z1781-AA1781-AB1781-AC1781-AD1781-AE1781-AF1781-AG1781+AH1781-AI1781+AJ1781+AK1781-AL1781</f>
        <v>0</v>
      </c>
      <c r="AN1781" s="45"/>
    </row>
    <row r="1782" spans="1:41">
      <c r="A1782" s="45">
        <v>1754</v>
      </c>
      <c r="B1782" s="45" t="s">
        <v>6797</v>
      </c>
      <c r="C1782" s="49" t="s">
        <v>6798</v>
      </c>
      <c r="D1782" s="53" t="s">
        <v>73</v>
      </c>
      <c r="E1782" s="45" t="s">
        <v>6718</v>
      </c>
      <c r="F1782" s="45" t="s">
        <v>6728</v>
      </c>
      <c r="G1782" s="45">
        <v>3</v>
      </c>
      <c r="H1782" s="53" t="s">
        <v>6799</v>
      </c>
      <c r="I1782" s="45">
        <v>294000</v>
      </c>
      <c r="J1782" s="45">
        <v>0</v>
      </c>
      <c r="K1782" s="45">
        <v>22000</v>
      </c>
      <c r="L1782" s="45">
        <v>0</v>
      </c>
      <c r="M1782" s="45">
        <v>0</v>
      </c>
      <c r="N1782" s="45">
        <v>0</v>
      </c>
      <c r="O1782" s="45">
        <v>0</v>
      </c>
      <c r="P1782" s="45">
        <v>0</v>
      </c>
      <c r="Q1782" s="45">
        <v>0</v>
      </c>
      <c r="R1782" s="45">
        <v>0</v>
      </c>
      <c r="S1782" s="45">
        <v>0</v>
      </c>
      <c r="T1782" s="45">
        <v>0</v>
      </c>
      <c r="U1782" s="45">
        <v>1397</v>
      </c>
      <c r="V1782" s="45">
        <v>0</v>
      </c>
      <c r="W1782" s="45">
        <v>0</v>
      </c>
      <c r="X1782" s="45">
        <v>0</v>
      </c>
      <c r="Y1782" s="45">
        <v>0</v>
      </c>
      <c r="Z1782" s="45">
        <v>0</v>
      </c>
      <c r="AA1782" s="45">
        <v>0</v>
      </c>
      <c r="AB1782" s="45">
        <v>0</v>
      </c>
      <c r="AC1782" s="45">
        <v>0</v>
      </c>
      <c r="AD1782" s="45">
        <v>0</v>
      </c>
      <c r="AE1782" s="45">
        <v>0</v>
      </c>
      <c r="AF1782" s="45">
        <v>0</v>
      </c>
      <c r="AG1782" s="45">
        <v>0</v>
      </c>
      <c r="AH1782" s="45">
        <v>0</v>
      </c>
      <c r="AI1782" s="45">
        <v>0</v>
      </c>
      <c r="AJ1782" s="45">
        <v>0</v>
      </c>
      <c r="AK1782" s="45">
        <v>0</v>
      </c>
      <c r="AL1782" s="45">
        <v>0</v>
      </c>
      <c r="AM1782" s="57" t="str">
        <f>I1782-J1782-K1782-L1782-M1782-N1782-O1782-P1782-Q1782-R1782-S1782-T1782-U1782-V1782-W1782-X1782-Y1782-Z1782-AA1782-AB1782-AC1782-AD1782-AE1782-AF1782-AG1782+AH1782-AI1782+AJ1782+AK1782-AL1782</f>
        <v>0</v>
      </c>
      <c r="AN1782" s="45"/>
    </row>
    <row r="1783" spans="1:41">
      <c r="A1783" s="45">
        <v>1755</v>
      </c>
      <c r="B1783" s="45" t="s">
        <v>6800</v>
      </c>
      <c r="C1783" s="49" t="s">
        <v>6801</v>
      </c>
      <c r="D1783" s="53" t="s">
        <v>73</v>
      </c>
      <c r="E1783" s="45" t="s">
        <v>6718</v>
      </c>
      <c r="F1783" s="45" t="s">
        <v>5692</v>
      </c>
      <c r="G1783" s="45">
        <v>3</v>
      </c>
      <c r="H1783" s="53" t="s">
        <v>6802</v>
      </c>
      <c r="I1783" s="45">
        <v>675000</v>
      </c>
      <c r="J1783" s="45">
        <v>0</v>
      </c>
      <c r="K1783" s="45">
        <v>22000</v>
      </c>
      <c r="L1783" s="45">
        <v>0</v>
      </c>
      <c r="M1783" s="45">
        <v>0</v>
      </c>
      <c r="N1783" s="45">
        <v>0</v>
      </c>
      <c r="O1783" s="45">
        <v>0</v>
      </c>
      <c r="P1783" s="45">
        <v>0</v>
      </c>
      <c r="Q1783" s="45">
        <v>0</v>
      </c>
      <c r="R1783" s="45">
        <v>0</v>
      </c>
      <c r="S1783" s="45">
        <v>0</v>
      </c>
      <c r="T1783" s="45">
        <v>0</v>
      </c>
      <c r="U1783" s="45">
        <v>1397</v>
      </c>
      <c r="V1783" s="45">
        <v>0</v>
      </c>
      <c r="W1783" s="45">
        <v>0</v>
      </c>
      <c r="X1783" s="45">
        <v>0</v>
      </c>
      <c r="Y1783" s="45">
        <v>0</v>
      </c>
      <c r="Z1783" s="45">
        <v>0</v>
      </c>
      <c r="AA1783" s="45">
        <v>0</v>
      </c>
      <c r="AB1783" s="45">
        <v>0</v>
      </c>
      <c r="AC1783" s="45">
        <v>0</v>
      </c>
      <c r="AD1783" s="45">
        <v>0</v>
      </c>
      <c r="AE1783" s="45">
        <v>0</v>
      </c>
      <c r="AF1783" s="45">
        <v>0</v>
      </c>
      <c r="AG1783" s="45">
        <v>0</v>
      </c>
      <c r="AH1783" s="45">
        <v>0</v>
      </c>
      <c r="AI1783" s="45">
        <v>0</v>
      </c>
      <c r="AJ1783" s="45">
        <v>0</v>
      </c>
      <c r="AK1783" s="45">
        <v>0</v>
      </c>
      <c r="AL1783" s="45">
        <v>0</v>
      </c>
      <c r="AM1783" s="57" t="str">
        <f>I1783-J1783-K1783-L1783-M1783-N1783-O1783-P1783-Q1783-R1783-S1783-T1783-U1783-V1783-W1783-X1783-Y1783-Z1783-AA1783-AB1783-AC1783-AD1783-AE1783-AF1783-AG1783+AH1783-AI1783+AJ1783+AK1783-AL1783</f>
        <v>0</v>
      </c>
      <c r="AN1783" s="45"/>
    </row>
    <row r="1784" spans="1:41">
      <c r="A1784" s="45">
        <v>1756</v>
      </c>
      <c r="B1784" s="45" t="s">
        <v>6803</v>
      </c>
      <c r="C1784" s="49" t="s">
        <v>6804</v>
      </c>
      <c r="D1784" s="53" t="s">
        <v>73</v>
      </c>
      <c r="E1784" s="45" t="s">
        <v>6718</v>
      </c>
      <c r="F1784" s="45" t="s">
        <v>6766</v>
      </c>
      <c r="G1784" s="45">
        <v>7</v>
      </c>
      <c r="H1784" s="53" t="s">
        <v>6805</v>
      </c>
      <c r="I1784" s="45">
        <v>1390000</v>
      </c>
      <c r="J1784" s="45">
        <v>0</v>
      </c>
      <c r="K1784" s="45">
        <v>35000</v>
      </c>
      <c r="L1784" s="45">
        <v>0</v>
      </c>
      <c r="M1784" s="45">
        <v>0</v>
      </c>
      <c r="N1784" s="45">
        <v>0</v>
      </c>
      <c r="O1784" s="45">
        <v>0</v>
      </c>
      <c r="P1784" s="45">
        <v>0</v>
      </c>
      <c r="Q1784" s="45">
        <v>0</v>
      </c>
      <c r="R1784" s="45">
        <v>0</v>
      </c>
      <c r="S1784" s="45">
        <v>0</v>
      </c>
      <c r="T1784" s="45">
        <v>0</v>
      </c>
      <c r="U1784" s="45">
        <v>2222</v>
      </c>
      <c r="V1784" s="45">
        <v>0</v>
      </c>
      <c r="W1784" s="45">
        <v>0</v>
      </c>
      <c r="X1784" s="45">
        <v>0</v>
      </c>
      <c r="Y1784" s="45">
        <v>0</v>
      </c>
      <c r="Z1784" s="45">
        <v>0</v>
      </c>
      <c r="AA1784" s="45">
        <v>0</v>
      </c>
      <c r="AB1784" s="45">
        <v>0</v>
      </c>
      <c r="AC1784" s="45">
        <v>0</v>
      </c>
      <c r="AD1784" s="45">
        <v>0</v>
      </c>
      <c r="AE1784" s="45">
        <v>0</v>
      </c>
      <c r="AF1784" s="45">
        <v>0</v>
      </c>
      <c r="AG1784" s="45">
        <v>0</v>
      </c>
      <c r="AH1784" s="45">
        <v>0</v>
      </c>
      <c r="AI1784" s="45">
        <v>0</v>
      </c>
      <c r="AJ1784" s="45">
        <v>0</v>
      </c>
      <c r="AK1784" s="45">
        <v>0</v>
      </c>
      <c r="AL1784" s="45">
        <v>0</v>
      </c>
      <c r="AM1784" s="57" t="str">
        <f>I1784-J1784-K1784-L1784-M1784-N1784-O1784-P1784-Q1784-R1784-S1784-T1784-U1784-V1784-W1784-X1784-Y1784-Z1784-AA1784-AB1784-AC1784-AD1784-AE1784-AF1784-AG1784+AH1784-AI1784+AJ1784+AK1784-AL1784</f>
        <v>0</v>
      </c>
      <c r="AN1784" s="45"/>
    </row>
    <row r="1785" spans="1:41">
      <c r="A1785" s="45">
        <v>1757</v>
      </c>
      <c r="B1785" s="45" t="s">
        <v>6806</v>
      </c>
      <c r="C1785" s="49" t="s">
        <v>6807</v>
      </c>
      <c r="D1785" s="53" t="s">
        <v>73</v>
      </c>
      <c r="E1785" s="45" t="s">
        <v>6718</v>
      </c>
      <c r="F1785" s="45" t="s">
        <v>6808</v>
      </c>
      <c r="G1785" s="45">
        <v>2</v>
      </c>
      <c r="H1785" s="53" t="s">
        <v>6809</v>
      </c>
      <c r="I1785" s="45">
        <v>264000</v>
      </c>
      <c r="J1785" s="45">
        <v>0</v>
      </c>
      <c r="K1785" s="45">
        <v>22000</v>
      </c>
      <c r="L1785" s="45">
        <v>0</v>
      </c>
      <c r="M1785" s="45">
        <v>0</v>
      </c>
      <c r="N1785" s="45">
        <v>0</v>
      </c>
      <c r="O1785" s="45">
        <v>0</v>
      </c>
      <c r="P1785" s="45">
        <v>0</v>
      </c>
      <c r="Q1785" s="45">
        <v>0</v>
      </c>
      <c r="R1785" s="45">
        <v>0</v>
      </c>
      <c r="S1785" s="45">
        <v>0</v>
      </c>
      <c r="T1785" s="45">
        <v>0</v>
      </c>
      <c r="U1785" s="45">
        <v>1397</v>
      </c>
      <c r="V1785" s="45">
        <v>0</v>
      </c>
      <c r="W1785" s="45">
        <v>0</v>
      </c>
      <c r="X1785" s="45">
        <v>0</v>
      </c>
      <c r="Y1785" s="45">
        <v>0</v>
      </c>
      <c r="Z1785" s="45">
        <v>0</v>
      </c>
      <c r="AA1785" s="45">
        <v>0</v>
      </c>
      <c r="AB1785" s="45">
        <v>0</v>
      </c>
      <c r="AC1785" s="45">
        <v>0</v>
      </c>
      <c r="AD1785" s="45">
        <v>0</v>
      </c>
      <c r="AE1785" s="45">
        <v>0</v>
      </c>
      <c r="AF1785" s="45">
        <v>0</v>
      </c>
      <c r="AG1785" s="45">
        <v>0</v>
      </c>
      <c r="AH1785" s="45">
        <v>0</v>
      </c>
      <c r="AI1785" s="45">
        <v>0</v>
      </c>
      <c r="AJ1785" s="45">
        <v>0</v>
      </c>
      <c r="AK1785" s="45">
        <v>0</v>
      </c>
      <c r="AL1785" s="45">
        <v>0</v>
      </c>
      <c r="AM1785" s="57" t="str">
        <f>I1785-J1785-K1785-L1785-M1785-N1785-O1785-P1785-Q1785-R1785-S1785-T1785-U1785-V1785-W1785-X1785-Y1785-Z1785-AA1785-AB1785-AC1785-AD1785-AE1785-AF1785-AG1785+AH1785-AI1785+AJ1785+AK1785-AL1785</f>
        <v>0</v>
      </c>
      <c r="AN1785" s="45"/>
    </row>
    <row r="1786" spans="1:41">
      <c r="A1786" s="45">
        <v>1758</v>
      </c>
      <c r="B1786" s="45" t="s">
        <v>6810</v>
      </c>
      <c r="C1786" s="49" t="s">
        <v>6811</v>
      </c>
      <c r="D1786" s="53" t="s">
        <v>73</v>
      </c>
      <c r="E1786" s="45" t="s">
        <v>6718</v>
      </c>
      <c r="F1786" s="45" t="s">
        <v>6812</v>
      </c>
      <c r="G1786" s="45">
        <v>6</v>
      </c>
      <c r="H1786" s="53" t="s">
        <v>6813</v>
      </c>
      <c r="I1786" s="45">
        <v>985000</v>
      </c>
      <c r="J1786" s="45">
        <v>0</v>
      </c>
      <c r="K1786" s="45">
        <v>31000</v>
      </c>
      <c r="L1786" s="45">
        <v>0</v>
      </c>
      <c r="M1786" s="45">
        <v>0</v>
      </c>
      <c r="N1786" s="45">
        <v>0</v>
      </c>
      <c r="O1786" s="45">
        <v>0</v>
      </c>
      <c r="P1786" s="45">
        <v>0</v>
      </c>
      <c r="Q1786" s="45">
        <v>0</v>
      </c>
      <c r="R1786" s="45">
        <v>0</v>
      </c>
      <c r="S1786" s="45">
        <v>0</v>
      </c>
      <c r="T1786" s="45">
        <v>0</v>
      </c>
      <c r="U1786" s="45">
        <v>1968</v>
      </c>
      <c r="V1786" s="45">
        <v>0</v>
      </c>
      <c r="W1786" s="45">
        <v>0</v>
      </c>
      <c r="X1786" s="45">
        <v>0</v>
      </c>
      <c r="Y1786" s="45">
        <v>0</v>
      </c>
      <c r="Z1786" s="45">
        <v>0</v>
      </c>
      <c r="AA1786" s="45">
        <v>0</v>
      </c>
      <c r="AB1786" s="45">
        <v>0</v>
      </c>
      <c r="AC1786" s="45">
        <v>0</v>
      </c>
      <c r="AD1786" s="45">
        <v>0</v>
      </c>
      <c r="AE1786" s="45">
        <v>0</v>
      </c>
      <c r="AF1786" s="45">
        <v>0</v>
      </c>
      <c r="AG1786" s="45">
        <v>0</v>
      </c>
      <c r="AH1786" s="45">
        <v>0</v>
      </c>
      <c r="AI1786" s="45">
        <v>0</v>
      </c>
      <c r="AJ1786" s="45">
        <v>0</v>
      </c>
      <c r="AK1786" s="45">
        <v>0</v>
      </c>
      <c r="AL1786" s="45">
        <v>0</v>
      </c>
      <c r="AM1786" s="57" t="str">
        <f>I1786-J1786-K1786-L1786-M1786-N1786-O1786-P1786-Q1786-R1786-S1786-T1786-U1786-V1786-W1786-X1786-Y1786-Z1786-AA1786-AB1786-AC1786-AD1786-AE1786-AF1786-AG1786+AH1786-AI1786+AJ1786+AK1786-AL1786</f>
        <v>0</v>
      </c>
      <c r="AN1786" s="45"/>
    </row>
    <row r="1787" spans="1:41">
      <c r="A1787" s="45">
        <v>1759</v>
      </c>
      <c r="B1787" s="45" t="s">
        <v>6814</v>
      </c>
      <c r="C1787" s="49" t="s">
        <v>6815</v>
      </c>
      <c r="D1787" s="53" t="s">
        <v>73</v>
      </c>
      <c r="E1787" s="45" t="s">
        <v>6718</v>
      </c>
      <c r="F1787" s="45" t="s">
        <v>6816</v>
      </c>
      <c r="G1787" s="45">
        <v>3</v>
      </c>
      <c r="H1787" s="53" t="s">
        <v>6817</v>
      </c>
      <c r="I1787" s="45">
        <v>560000</v>
      </c>
      <c r="J1787" s="45">
        <v>0</v>
      </c>
      <c r="K1787" s="45">
        <v>22000</v>
      </c>
      <c r="L1787" s="45">
        <v>0</v>
      </c>
      <c r="M1787" s="45">
        <v>0</v>
      </c>
      <c r="N1787" s="45">
        <v>0</v>
      </c>
      <c r="O1787" s="45">
        <v>0</v>
      </c>
      <c r="P1787" s="45">
        <v>0</v>
      </c>
      <c r="Q1787" s="45">
        <v>0</v>
      </c>
      <c r="R1787" s="45">
        <v>0</v>
      </c>
      <c r="S1787" s="45">
        <v>0</v>
      </c>
      <c r="T1787" s="45">
        <v>0</v>
      </c>
      <c r="U1787" s="45">
        <v>1397</v>
      </c>
      <c r="V1787" s="45">
        <v>0</v>
      </c>
      <c r="W1787" s="45">
        <v>0</v>
      </c>
      <c r="X1787" s="45">
        <v>0</v>
      </c>
      <c r="Y1787" s="45">
        <v>0</v>
      </c>
      <c r="Z1787" s="45">
        <v>0</v>
      </c>
      <c r="AA1787" s="45">
        <v>0</v>
      </c>
      <c r="AB1787" s="45">
        <v>0</v>
      </c>
      <c r="AC1787" s="45">
        <v>0</v>
      </c>
      <c r="AD1787" s="45">
        <v>0</v>
      </c>
      <c r="AE1787" s="45">
        <v>0</v>
      </c>
      <c r="AF1787" s="45">
        <v>0</v>
      </c>
      <c r="AG1787" s="45">
        <v>0</v>
      </c>
      <c r="AH1787" s="45">
        <v>0</v>
      </c>
      <c r="AI1787" s="45">
        <v>0</v>
      </c>
      <c r="AJ1787" s="45">
        <v>0</v>
      </c>
      <c r="AK1787" s="45">
        <v>0</v>
      </c>
      <c r="AL1787" s="45">
        <v>0</v>
      </c>
      <c r="AM1787" s="57" t="str">
        <f>I1787-J1787-K1787-L1787-M1787-N1787-O1787-P1787-Q1787-R1787-S1787-T1787-U1787-V1787-W1787-X1787-Y1787-Z1787-AA1787-AB1787-AC1787-AD1787-AE1787-AF1787-AG1787+AH1787-AI1787+AJ1787+AK1787-AL1787</f>
        <v>0</v>
      </c>
      <c r="AN1787" s="45"/>
    </row>
    <row r="1788" spans="1:41">
      <c r="A1788" s="45">
        <v>1760</v>
      </c>
      <c r="B1788" s="45" t="s">
        <v>6818</v>
      </c>
      <c r="C1788" s="49" t="s">
        <v>6819</v>
      </c>
      <c r="D1788" s="53" t="s">
        <v>73</v>
      </c>
      <c r="E1788" s="45" t="s">
        <v>6718</v>
      </c>
      <c r="F1788" s="45" t="s">
        <v>6820</v>
      </c>
      <c r="G1788" s="45">
        <v>5.8</v>
      </c>
      <c r="H1788" s="53" t="s">
        <v>6821</v>
      </c>
      <c r="I1788" s="45">
        <v>0</v>
      </c>
      <c r="J1788" s="45">
        <v>0</v>
      </c>
      <c r="K1788" s="45">
        <v>31000</v>
      </c>
      <c r="L1788" s="45">
        <v>0</v>
      </c>
      <c r="M1788" s="45">
        <v>0</v>
      </c>
      <c r="N1788" s="45">
        <v>0</v>
      </c>
      <c r="O1788" s="45">
        <v>0</v>
      </c>
      <c r="P1788" s="45">
        <v>0</v>
      </c>
      <c r="Q1788" s="45">
        <v>0</v>
      </c>
      <c r="R1788" s="45">
        <v>0</v>
      </c>
      <c r="S1788" s="45">
        <v>0</v>
      </c>
      <c r="T1788" s="45">
        <v>0</v>
      </c>
      <c r="U1788" s="45">
        <v>1968</v>
      </c>
      <c r="V1788" s="45">
        <v>0</v>
      </c>
      <c r="W1788" s="45">
        <v>0</v>
      </c>
      <c r="X1788" s="45">
        <v>0</v>
      </c>
      <c r="Y1788" s="45">
        <v>0</v>
      </c>
      <c r="Z1788" s="45">
        <v>0</v>
      </c>
      <c r="AA1788" s="45">
        <v>0</v>
      </c>
      <c r="AB1788" s="45">
        <v>0</v>
      </c>
      <c r="AC1788" s="45">
        <v>0</v>
      </c>
      <c r="AD1788" s="45">
        <v>0</v>
      </c>
      <c r="AE1788" s="45">
        <v>0</v>
      </c>
      <c r="AF1788" s="45">
        <v>0</v>
      </c>
      <c r="AG1788" s="45">
        <v>0</v>
      </c>
      <c r="AH1788" s="45">
        <v>0</v>
      </c>
      <c r="AI1788" s="45">
        <v>0</v>
      </c>
      <c r="AJ1788" s="45">
        <v>0</v>
      </c>
      <c r="AK1788" s="45">
        <v>0</v>
      </c>
      <c r="AL1788" s="45">
        <v>0</v>
      </c>
      <c r="AM1788" s="57" t="str">
        <f>I1788-J1788-K1788-L1788-M1788-N1788-O1788-P1788-Q1788-R1788-S1788-T1788-U1788-V1788-W1788-X1788-Y1788-Z1788-AA1788-AB1788-AC1788-AD1788-AE1788-AF1788-AG1788+AH1788-AI1788+AJ1788+AK1788-AL1788</f>
        <v>0</v>
      </c>
      <c r="AN1788" s="45"/>
    </row>
    <row r="1789" spans="1:41">
      <c r="A1789" s="45">
        <v>1761</v>
      </c>
      <c r="B1789" s="45" t="s">
        <v>6822</v>
      </c>
      <c r="C1789" s="49" t="s">
        <v>6823</v>
      </c>
      <c r="D1789" s="53" t="s">
        <v>73</v>
      </c>
      <c r="E1789" s="45" t="s">
        <v>6718</v>
      </c>
      <c r="F1789" s="45" t="s">
        <v>6824</v>
      </c>
      <c r="G1789" s="45">
        <v>2</v>
      </c>
      <c r="H1789" s="53" t="s">
        <v>6825</v>
      </c>
      <c r="I1789" s="45">
        <v>334000</v>
      </c>
      <c r="J1789" s="45">
        <v>0</v>
      </c>
      <c r="K1789" s="45">
        <v>22000</v>
      </c>
      <c r="L1789" s="45">
        <v>0</v>
      </c>
      <c r="M1789" s="45">
        <v>0</v>
      </c>
      <c r="N1789" s="45">
        <v>0</v>
      </c>
      <c r="O1789" s="45">
        <v>0</v>
      </c>
      <c r="P1789" s="45">
        <v>0</v>
      </c>
      <c r="Q1789" s="45">
        <v>0</v>
      </c>
      <c r="R1789" s="45">
        <v>0</v>
      </c>
      <c r="S1789" s="45">
        <v>0</v>
      </c>
      <c r="T1789" s="45">
        <v>0</v>
      </c>
      <c r="U1789" s="45">
        <v>1397</v>
      </c>
      <c r="V1789" s="45">
        <v>0</v>
      </c>
      <c r="W1789" s="45">
        <v>0</v>
      </c>
      <c r="X1789" s="45">
        <v>0</v>
      </c>
      <c r="Y1789" s="45">
        <v>0</v>
      </c>
      <c r="Z1789" s="45">
        <v>0</v>
      </c>
      <c r="AA1789" s="45">
        <v>0</v>
      </c>
      <c r="AB1789" s="45">
        <v>0</v>
      </c>
      <c r="AC1789" s="45">
        <v>0</v>
      </c>
      <c r="AD1789" s="45">
        <v>0</v>
      </c>
      <c r="AE1789" s="45">
        <v>0</v>
      </c>
      <c r="AF1789" s="45">
        <v>0</v>
      </c>
      <c r="AG1789" s="45">
        <v>0</v>
      </c>
      <c r="AH1789" s="45">
        <v>0</v>
      </c>
      <c r="AI1789" s="45">
        <v>0</v>
      </c>
      <c r="AJ1789" s="45">
        <v>0</v>
      </c>
      <c r="AK1789" s="45">
        <v>0</v>
      </c>
      <c r="AL1789" s="45">
        <v>0</v>
      </c>
      <c r="AM1789" s="57" t="str">
        <f>I1789-J1789-K1789-L1789-M1789-N1789-O1789-P1789-Q1789-R1789-S1789-T1789-U1789-V1789-W1789-X1789-Y1789-Z1789-AA1789-AB1789-AC1789-AD1789-AE1789-AF1789-AG1789+AH1789-AI1789+AJ1789+AK1789-AL1789</f>
        <v>0</v>
      </c>
      <c r="AN1789" s="45"/>
    </row>
    <row r="1790" spans="1:41">
      <c r="A1790" s="45">
        <v>1762</v>
      </c>
      <c r="B1790" s="45" t="s">
        <v>6826</v>
      </c>
      <c r="C1790" s="49" t="s">
        <v>6827</v>
      </c>
      <c r="D1790" s="53" t="s">
        <v>73</v>
      </c>
      <c r="E1790" s="45" t="s">
        <v>6718</v>
      </c>
      <c r="F1790" s="45" t="s">
        <v>6828</v>
      </c>
      <c r="G1790" s="45">
        <v>13</v>
      </c>
      <c r="H1790" s="53" t="s">
        <v>6829</v>
      </c>
      <c r="I1790" s="45">
        <v>1875000</v>
      </c>
      <c r="J1790" s="45">
        <v>0</v>
      </c>
      <c r="K1790" s="45">
        <v>52000</v>
      </c>
      <c r="L1790" s="45">
        <v>0</v>
      </c>
      <c r="M1790" s="45">
        <v>0</v>
      </c>
      <c r="N1790" s="45">
        <v>0</v>
      </c>
      <c r="O1790" s="45">
        <v>0</v>
      </c>
      <c r="P1790" s="45">
        <v>0</v>
      </c>
      <c r="Q1790" s="45">
        <v>0</v>
      </c>
      <c r="R1790" s="45">
        <v>0</v>
      </c>
      <c r="S1790" s="45">
        <v>0</v>
      </c>
      <c r="T1790" s="45">
        <v>0</v>
      </c>
      <c r="U1790" s="45">
        <v>3302</v>
      </c>
      <c r="V1790" s="45">
        <v>0</v>
      </c>
      <c r="W1790" s="45">
        <v>0</v>
      </c>
      <c r="X1790" s="45">
        <v>0</v>
      </c>
      <c r="Y1790" s="45">
        <v>0</v>
      </c>
      <c r="Z1790" s="45">
        <v>0</v>
      </c>
      <c r="AA1790" s="45">
        <v>0</v>
      </c>
      <c r="AB1790" s="45">
        <v>0</v>
      </c>
      <c r="AC1790" s="45">
        <v>0</v>
      </c>
      <c r="AD1790" s="45">
        <v>0</v>
      </c>
      <c r="AE1790" s="45">
        <v>0</v>
      </c>
      <c r="AF1790" s="45">
        <v>0</v>
      </c>
      <c r="AG1790" s="45">
        <v>0</v>
      </c>
      <c r="AH1790" s="45">
        <v>0</v>
      </c>
      <c r="AI1790" s="45">
        <v>0</v>
      </c>
      <c r="AJ1790" s="45">
        <v>0</v>
      </c>
      <c r="AK1790" s="45">
        <v>0</v>
      </c>
      <c r="AL1790" s="45">
        <v>0</v>
      </c>
      <c r="AM1790" s="57" t="str">
        <f>I1790-J1790-K1790-L1790-M1790-N1790-O1790-P1790-Q1790-R1790-S1790-T1790-U1790-V1790-W1790-X1790-Y1790-Z1790-AA1790-AB1790-AC1790-AD1790-AE1790-AF1790-AG1790+AH1790-AI1790+AJ1790+AK1790-AL1790</f>
        <v>0</v>
      </c>
      <c r="AN1790" s="45"/>
    </row>
    <row r="1791" spans="1:41">
      <c r="A1791" s="45">
        <v>1763</v>
      </c>
      <c r="B1791" s="45" t="s">
        <v>6830</v>
      </c>
      <c r="C1791" s="49" t="s">
        <v>6831</v>
      </c>
      <c r="D1791" s="53" t="s">
        <v>73</v>
      </c>
      <c r="E1791" s="45" t="s">
        <v>6718</v>
      </c>
      <c r="F1791" s="45" t="s">
        <v>3335</v>
      </c>
      <c r="G1791" s="45">
        <v>6</v>
      </c>
      <c r="H1791" s="53" t="s">
        <v>6832</v>
      </c>
      <c r="I1791" s="45">
        <v>1089000</v>
      </c>
      <c r="J1791" s="45">
        <v>0</v>
      </c>
      <c r="K1791" s="45">
        <v>31000</v>
      </c>
      <c r="L1791" s="45">
        <v>0</v>
      </c>
      <c r="M1791" s="45">
        <v>0</v>
      </c>
      <c r="N1791" s="45">
        <v>0</v>
      </c>
      <c r="O1791" s="45">
        <v>0</v>
      </c>
      <c r="P1791" s="45">
        <v>0</v>
      </c>
      <c r="Q1791" s="45">
        <v>0</v>
      </c>
      <c r="R1791" s="45">
        <v>0</v>
      </c>
      <c r="S1791" s="45">
        <v>0</v>
      </c>
      <c r="T1791" s="45">
        <v>0</v>
      </c>
      <c r="U1791" s="45">
        <v>1968</v>
      </c>
      <c r="V1791" s="45">
        <v>0</v>
      </c>
      <c r="W1791" s="45">
        <v>0</v>
      </c>
      <c r="X1791" s="45">
        <v>0</v>
      </c>
      <c r="Y1791" s="45">
        <v>0</v>
      </c>
      <c r="Z1791" s="45">
        <v>0</v>
      </c>
      <c r="AA1791" s="45">
        <v>0</v>
      </c>
      <c r="AB1791" s="45">
        <v>0</v>
      </c>
      <c r="AC1791" s="45">
        <v>0</v>
      </c>
      <c r="AD1791" s="45">
        <v>0</v>
      </c>
      <c r="AE1791" s="45">
        <v>0</v>
      </c>
      <c r="AF1791" s="45">
        <v>0</v>
      </c>
      <c r="AG1791" s="45">
        <v>0</v>
      </c>
      <c r="AH1791" s="45">
        <v>0</v>
      </c>
      <c r="AI1791" s="45">
        <v>0</v>
      </c>
      <c r="AJ1791" s="45">
        <v>0</v>
      </c>
      <c r="AK1791" s="45">
        <v>0</v>
      </c>
      <c r="AL1791" s="45">
        <v>0</v>
      </c>
      <c r="AM1791" s="57" t="str">
        <f>I1791-J1791-K1791-L1791-M1791-N1791-O1791-P1791-Q1791-R1791-S1791-T1791-U1791-V1791-W1791-X1791-Y1791-Z1791-AA1791-AB1791-AC1791-AD1791-AE1791-AF1791-AG1791+AH1791-AI1791+AJ1791+AK1791-AL1791</f>
        <v>0</v>
      </c>
      <c r="AN1791" s="45"/>
    </row>
    <row r="1792" spans="1:41">
      <c r="A1792" s="45">
        <v>1764</v>
      </c>
      <c r="B1792" s="45" t="s">
        <v>6833</v>
      </c>
      <c r="C1792" s="49" t="s">
        <v>6834</v>
      </c>
      <c r="D1792" s="53" t="s">
        <v>73</v>
      </c>
      <c r="E1792" s="45" t="s">
        <v>6718</v>
      </c>
      <c r="F1792" s="45" t="s">
        <v>6835</v>
      </c>
      <c r="G1792" s="45">
        <v>3</v>
      </c>
      <c r="H1792" s="53" t="s">
        <v>6836</v>
      </c>
      <c r="I1792" s="45">
        <v>404000</v>
      </c>
      <c r="J1792" s="45">
        <v>0</v>
      </c>
      <c r="K1792" s="45">
        <v>22000</v>
      </c>
      <c r="L1792" s="45">
        <v>0</v>
      </c>
      <c r="M1792" s="45">
        <v>0</v>
      </c>
      <c r="N1792" s="45">
        <v>0</v>
      </c>
      <c r="O1792" s="45">
        <v>0</v>
      </c>
      <c r="P1792" s="45">
        <v>0</v>
      </c>
      <c r="Q1792" s="45">
        <v>0</v>
      </c>
      <c r="R1792" s="45">
        <v>0</v>
      </c>
      <c r="S1792" s="45">
        <v>0</v>
      </c>
      <c r="T1792" s="45">
        <v>0</v>
      </c>
      <c r="U1792" s="45">
        <v>1397</v>
      </c>
      <c r="V1792" s="45">
        <v>0</v>
      </c>
      <c r="W1792" s="45">
        <v>0</v>
      </c>
      <c r="X1792" s="45">
        <v>0</v>
      </c>
      <c r="Y1792" s="45">
        <v>0</v>
      </c>
      <c r="Z1792" s="45">
        <v>0</v>
      </c>
      <c r="AA1792" s="45">
        <v>0</v>
      </c>
      <c r="AB1792" s="45">
        <v>0</v>
      </c>
      <c r="AC1792" s="45">
        <v>0</v>
      </c>
      <c r="AD1792" s="45">
        <v>0</v>
      </c>
      <c r="AE1792" s="45">
        <v>0</v>
      </c>
      <c r="AF1792" s="45">
        <v>0</v>
      </c>
      <c r="AG1792" s="45">
        <v>0</v>
      </c>
      <c r="AH1792" s="45">
        <v>0</v>
      </c>
      <c r="AI1792" s="45">
        <v>0</v>
      </c>
      <c r="AJ1792" s="45">
        <v>0</v>
      </c>
      <c r="AK1792" s="45">
        <v>0</v>
      </c>
      <c r="AL1792" s="45">
        <v>0</v>
      </c>
      <c r="AM1792" s="57" t="str">
        <f>I1792-J1792-K1792-L1792-M1792-N1792-O1792-P1792-Q1792-R1792-S1792-T1792-U1792-V1792-W1792-X1792-Y1792-Z1792-AA1792-AB1792-AC1792-AD1792-AE1792-AF1792-AG1792+AH1792-AI1792+AJ1792+AK1792-AL1792</f>
        <v>0</v>
      </c>
      <c r="AN1792" s="45"/>
    </row>
    <row r="1793" spans="1:41">
      <c r="A1793" s="45">
        <v>1765</v>
      </c>
      <c r="B1793" s="45" t="s">
        <v>6837</v>
      </c>
      <c r="C1793" s="49" t="s">
        <v>6838</v>
      </c>
      <c r="D1793" s="53" t="s">
        <v>73</v>
      </c>
      <c r="E1793" s="45" t="s">
        <v>6839</v>
      </c>
      <c r="F1793" s="45" t="s">
        <v>6840</v>
      </c>
      <c r="G1793" s="45">
        <v>2</v>
      </c>
      <c r="H1793" s="53" t="s">
        <v>6841</v>
      </c>
      <c r="I1793" s="45">
        <v>604000</v>
      </c>
      <c r="J1793" s="45">
        <v>0</v>
      </c>
      <c r="K1793" s="45">
        <v>22000</v>
      </c>
      <c r="L1793" s="45">
        <v>0</v>
      </c>
      <c r="M1793" s="45">
        <v>0</v>
      </c>
      <c r="N1793" s="45">
        <v>0</v>
      </c>
      <c r="O1793" s="45">
        <v>0</v>
      </c>
      <c r="P1793" s="45">
        <v>0</v>
      </c>
      <c r="Q1793" s="45">
        <v>0</v>
      </c>
      <c r="R1793" s="45">
        <v>0</v>
      </c>
      <c r="S1793" s="45">
        <v>0</v>
      </c>
      <c r="T1793" s="45">
        <v>0</v>
      </c>
      <c r="U1793" s="45">
        <v>1397</v>
      </c>
      <c r="V1793" s="45">
        <v>0</v>
      </c>
      <c r="W1793" s="45">
        <v>0</v>
      </c>
      <c r="X1793" s="45">
        <v>0</v>
      </c>
      <c r="Y1793" s="45">
        <v>0</v>
      </c>
      <c r="Z1793" s="45">
        <v>0</v>
      </c>
      <c r="AA1793" s="45">
        <v>0</v>
      </c>
      <c r="AB1793" s="45">
        <v>0</v>
      </c>
      <c r="AC1793" s="45">
        <v>0</v>
      </c>
      <c r="AD1793" s="45">
        <v>0</v>
      </c>
      <c r="AE1793" s="45">
        <v>0</v>
      </c>
      <c r="AF1793" s="45">
        <v>0</v>
      </c>
      <c r="AG1793" s="45">
        <v>0</v>
      </c>
      <c r="AH1793" s="45">
        <v>0</v>
      </c>
      <c r="AI1793" s="45">
        <v>0</v>
      </c>
      <c r="AJ1793" s="45">
        <v>0</v>
      </c>
      <c r="AK1793" s="45">
        <v>0</v>
      </c>
      <c r="AL1793" s="45">
        <v>0</v>
      </c>
      <c r="AM1793" s="57" t="str">
        <f>I1793-J1793-K1793-L1793-M1793-N1793-O1793-P1793-Q1793-R1793-S1793-T1793-U1793-V1793-W1793-X1793-Y1793-Z1793-AA1793-AB1793-AC1793-AD1793-AE1793-AF1793-AG1793+AH1793-AI1793+AJ1793+AK1793-AL1793</f>
        <v>0</v>
      </c>
      <c r="AN1793" s="45"/>
    </row>
    <row r="1794" spans="1:41">
      <c r="A1794" s="45">
        <v>1766</v>
      </c>
      <c r="B1794" s="45" t="s">
        <v>6842</v>
      </c>
      <c r="C1794" s="49" t="s">
        <v>6843</v>
      </c>
      <c r="D1794" s="53" t="s">
        <v>73</v>
      </c>
      <c r="E1794" s="45" t="s">
        <v>6839</v>
      </c>
      <c r="F1794" s="45" t="s">
        <v>6824</v>
      </c>
      <c r="G1794" s="45">
        <v>2</v>
      </c>
      <c r="H1794" s="53" t="s">
        <v>6844</v>
      </c>
      <c r="I1794" s="45">
        <v>384000</v>
      </c>
      <c r="J1794" s="45">
        <v>0</v>
      </c>
      <c r="K1794" s="45">
        <v>22000</v>
      </c>
      <c r="L1794" s="45">
        <v>0</v>
      </c>
      <c r="M1794" s="45">
        <v>0</v>
      </c>
      <c r="N1794" s="45">
        <v>0</v>
      </c>
      <c r="O1794" s="45">
        <v>0</v>
      </c>
      <c r="P1794" s="45">
        <v>0</v>
      </c>
      <c r="Q1794" s="45">
        <v>0</v>
      </c>
      <c r="R1794" s="45">
        <v>0</v>
      </c>
      <c r="S1794" s="45">
        <v>0</v>
      </c>
      <c r="T1794" s="45">
        <v>0</v>
      </c>
      <c r="U1794" s="45">
        <v>1397</v>
      </c>
      <c r="V1794" s="45">
        <v>0</v>
      </c>
      <c r="W1794" s="45">
        <v>0</v>
      </c>
      <c r="X1794" s="45">
        <v>0</v>
      </c>
      <c r="Y1794" s="45">
        <v>0</v>
      </c>
      <c r="Z1794" s="45">
        <v>0</v>
      </c>
      <c r="AA1794" s="45">
        <v>0</v>
      </c>
      <c r="AB1794" s="45">
        <v>0</v>
      </c>
      <c r="AC1794" s="45">
        <v>0</v>
      </c>
      <c r="AD1794" s="45">
        <v>0</v>
      </c>
      <c r="AE1794" s="45">
        <v>0</v>
      </c>
      <c r="AF1794" s="45">
        <v>0</v>
      </c>
      <c r="AG1794" s="45">
        <v>0</v>
      </c>
      <c r="AH1794" s="45">
        <v>0</v>
      </c>
      <c r="AI1794" s="45">
        <v>0</v>
      </c>
      <c r="AJ1794" s="45">
        <v>0</v>
      </c>
      <c r="AK1794" s="45">
        <v>0</v>
      </c>
      <c r="AL1794" s="45">
        <v>0</v>
      </c>
      <c r="AM1794" s="57" t="str">
        <f>I1794-J1794-K1794-L1794-M1794-N1794-O1794-P1794-Q1794-R1794-S1794-T1794-U1794-V1794-W1794-X1794-Y1794-Z1794-AA1794-AB1794-AC1794-AD1794-AE1794-AF1794-AG1794+AH1794-AI1794+AJ1794+AK1794-AL1794</f>
        <v>0</v>
      </c>
      <c r="AN1794" s="45"/>
    </row>
    <row r="1795" spans="1:41">
      <c r="A1795" s="45">
        <v>1767</v>
      </c>
      <c r="B1795" s="45" t="s">
        <v>6845</v>
      </c>
      <c r="C1795" s="49" t="s">
        <v>6846</v>
      </c>
      <c r="D1795" s="53" t="s">
        <v>73</v>
      </c>
      <c r="E1795" s="45" t="s">
        <v>6839</v>
      </c>
      <c r="F1795" s="45" t="s">
        <v>6847</v>
      </c>
      <c r="G1795" s="45">
        <v>3</v>
      </c>
      <c r="H1795" s="53" t="s">
        <v>6848</v>
      </c>
      <c r="I1795" s="45">
        <v>585000</v>
      </c>
      <c r="J1795" s="45">
        <v>0</v>
      </c>
      <c r="K1795" s="45">
        <v>22000</v>
      </c>
      <c r="L1795" s="45">
        <v>0</v>
      </c>
      <c r="M1795" s="45">
        <v>0</v>
      </c>
      <c r="N1795" s="45">
        <v>0</v>
      </c>
      <c r="O1795" s="45">
        <v>0</v>
      </c>
      <c r="P1795" s="45">
        <v>0</v>
      </c>
      <c r="Q1795" s="45">
        <v>0</v>
      </c>
      <c r="R1795" s="45">
        <v>0</v>
      </c>
      <c r="S1795" s="45">
        <v>0</v>
      </c>
      <c r="T1795" s="45">
        <v>0</v>
      </c>
      <c r="U1795" s="45">
        <v>1397</v>
      </c>
      <c r="V1795" s="45">
        <v>0</v>
      </c>
      <c r="W1795" s="45">
        <v>0</v>
      </c>
      <c r="X1795" s="45">
        <v>0</v>
      </c>
      <c r="Y1795" s="45">
        <v>0</v>
      </c>
      <c r="Z1795" s="45">
        <v>0</v>
      </c>
      <c r="AA1795" s="45">
        <v>0</v>
      </c>
      <c r="AB1795" s="45">
        <v>0</v>
      </c>
      <c r="AC1795" s="45">
        <v>0</v>
      </c>
      <c r="AD1795" s="45">
        <v>0</v>
      </c>
      <c r="AE1795" s="45">
        <v>0</v>
      </c>
      <c r="AF1795" s="45">
        <v>0</v>
      </c>
      <c r="AG1795" s="45">
        <v>0</v>
      </c>
      <c r="AH1795" s="45">
        <v>0</v>
      </c>
      <c r="AI1795" s="45">
        <v>0</v>
      </c>
      <c r="AJ1795" s="45">
        <v>0</v>
      </c>
      <c r="AK1795" s="45">
        <v>0</v>
      </c>
      <c r="AL1795" s="45">
        <v>0</v>
      </c>
      <c r="AM1795" s="57" t="str">
        <f>I1795-J1795-K1795-L1795-M1795-N1795-O1795-P1795-Q1795-R1795-S1795-T1795-U1795-V1795-W1795-X1795-Y1795-Z1795-AA1795-AB1795-AC1795-AD1795-AE1795-AF1795-AG1795+AH1795-AI1795+AJ1795+AK1795-AL1795</f>
        <v>0</v>
      </c>
      <c r="AN1795" s="45"/>
    </row>
    <row r="1796" spans="1:41">
      <c r="A1796" s="45">
        <v>1768</v>
      </c>
      <c r="B1796" s="45" t="s">
        <v>6849</v>
      </c>
      <c r="C1796" s="49" t="s">
        <v>6850</v>
      </c>
      <c r="D1796" s="53" t="s">
        <v>73</v>
      </c>
      <c r="E1796" s="45" t="s">
        <v>6839</v>
      </c>
      <c r="F1796" s="45" t="s">
        <v>6755</v>
      </c>
      <c r="G1796" s="45">
        <v>8</v>
      </c>
      <c r="H1796" s="53" t="s">
        <v>6851</v>
      </c>
      <c r="I1796" s="45">
        <v>803000</v>
      </c>
      <c r="J1796" s="45">
        <v>0</v>
      </c>
      <c r="K1796" s="45">
        <v>39000</v>
      </c>
      <c r="L1796" s="45">
        <v>0</v>
      </c>
      <c r="M1796" s="45">
        <v>0</v>
      </c>
      <c r="N1796" s="45">
        <v>0</v>
      </c>
      <c r="O1796" s="45">
        <v>0</v>
      </c>
      <c r="P1796" s="45">
        <v>0</v>
      </c>
      <c r="Q1796" s="45">
        <v>0</v>
      </c>
      <c r="R1796" s="45">
        <v>0</v>
      </c>
      <c r="S1796" s="45">
        <v>0</v>
      </c>
      <c r="T1796" s="45">
        <v>0</v>
      </c>
      <c r="U1796" s="45">
        <v>2476</v>
      </c>
      <c r="V1796" s="45">
        <v>0</v>
      </c>
      <c r="W1796" s="45">
        <v>0</v>
      </c>
      <c r="X1796" s="45">
        <v>0</v>
      </c>
      <c r="Y1796" s="45">
        <v>0</v>
      </c>
      <c r="Z1796" s="45">
        <v>0</v>
      </c>
      <c r="AA1796" s="45">
        <v>0</v>
      </c>
      <c r="AB1796" s="45">
        <v>0</v>
      </c>
      <c r="AC1796" s="45">
        <v>0</v>
      </c>
      <c r="AD1796" s="45">
        <v>0</v>
      </c>
      <c r="AE1796" s="45">
        <v>0</v>
      </c>
      <c r="AF1796" s="45">
        <v>0</v>
      </c>
      <c r="AG1796" s="45">
        <v>0</v>
      </c>
      <c r="AH1796" s="45">
        <v>0</v>
      </c>
      <c r="AI1796" s="45">
        <v>0</v>
      </c>
      <c r="AJ1796" s="45">
        <v>0</v>
      </c>
      <c r="AK1796" s="45">
        <v>0</v>
      </c>
      <c r="AL1796" s="45">
        <v>0</v>
      </c>
      <c r="AM1796" s="57" t="str">
        <f>I1796-J1796-K1796-L1796-M1796-N1796-O1796-P1796-Q1796-R1796-S1796-T1796-U1796-V1796-W1796-X1796-Y1796-Z1796-AA1796-AB1796-AC1796-AD1796-AE1796-AF1796-AG1796+AH1796-AI1796+AJ1796+AK1796-AL1796</f>
        <v>0</v>
      </c>
      <c r="AN1796" s="45"/>
    </row>
    <row r="1797" spans="1:41">
      <c r="A1797" s="45">
        <v>1769</v>
      </c>
      <c r="B1797" s="45" t="s">
        <v>6852</v>
      </c>
      <c r="C1797" s="49" t="s">
        <v>6853</v>
      </c>
      <c r="D1797" s="53" t="s">
        <v>73</v>
      </c>
      <c r="E1797" s="45" t="s">
        <v>6839</v>
      </c>
      <c r="F1797" s="45" t="s">
        <v>6854</v>
      </c>
      <c r="G1797" s="45">
        <v>8</v>
      </c>
      <c r="H1797" s="53" t="s">
        <v>6855</v>
      </c>
      <c r="I1797" s="45">
        <v>962000</v>
      </c>
      <c r="J1797" s="45">
        <v>0</v>
      </c>
      <c r="K1797" s="45">
        <v>39000</v>
      </c>
      <c r="L1797" s="45">
        <v>0</v>
      </c>
      <c r="M1797" s="45">
        <v>0</v>
      </c>
      <c r="N1797" s="45">
        <v>0</v>
      </c>
      <c r="O1797" s="45">
        <v>0</v>
      </c>
      <c r="P1797" s="45">
        <v>0</v>
      </c>
      <c r="Q1797" s="45">
        <v>0</v>
      </c>
      <c r="R1797" s="45">
        <v>0</v>
      </c>
      <c r="S1797" s="45">
        <v>0</v>
      </c>
      <c r="T1797" s="45">
        <v>0</v>
      </c>
      <c r="U1797" s="45">
        <v>2476</v>
      </c>
      <c r="V1797" s="45">
        <v>0</v>
      </c>
      <c r="W1797" s="45">
        <v>0</v>
      </c>
      <c r="X1797" s="45">
        <v>0</v>
      </c>
      <c r="Y1797" s="45">
        <v>0</v>
      </c>
      <c r="Z1797" s="45">
        <v>0</v>
      </c>
      <c r="AA1797" s="45">
        <v>0</v>
      </c>
      <c r="AB1797" s="45">
        <v>0</v>
      </c>
      <c r="AC1797" s="45">
        <v>0</v>
      </c>
      <c r="AD1797" s="45">
        <v>0</v>
      </c>
      <c r="AE1797" s="45">
        <v>0</v>
      </c>
      <c r="AF1797" s="45">
        <v>0</v>
      </c>
      <c r="AG1797" s="45">
        <v>0</v>
      </c>
      <c r="AH1797" s="45">
        <v>0</v>
      </c>
      <c r="AI1797" s="45">
        <v>0</v>
      </c>
      <c r="AJ1797" s="45">
        <v>0</v>
      </c>
      <c r="AK1797" s="45">
        <v>0</v>
      </c>
      <c r="AL1797" s="45">
        <v>0</v>
      </c>
      <c r="AM1797" s="57" t="str">
        <f>I1797-J1797-K1797-L1797-M1797-N1797-O1797-P1797-Q1797-R1797-S1797-T1797-U1797-V1797-W1797-X1797-Y1797-Z1797-AA1797-AB1797-AC1797-AD1797-AE1797-AF1797-AG1797+AH1797-AI1797+AJ1797+AK1797-AL1797</f>
        <v>0</v>
      </c>
      <c r="AN1797" s="45"/>
    </row>
    <row r="1798" spans="1:41">
      <c r="A1798" s="45">
        <v>1770</v>
      </c>
      <c r="B1798" s="45" t="s">
        <v>6856</v>
      </c>
      <c r="C1798" s="49" t="s">
        <v>6857</v>
      </c>
      <c r="D1798" s="53" t="s">
        <v>73</v>
      </c>
      <c r="E1798" s="45" t="s">
        <v>6839</v>
      </c>
      <c r="F1798" s="45" t="s">
        <v>6858</v>
      </c>
      <c r="G1798" s="45">
        <v>4</v>
      </c>
      <c r="H1798" s="53" t="s">
        <v>6859</v>
      </c>
      <c r="I1798" s="45">
        <v>664000</v>
      </c>
      <c r="J1798" s="45">
        <v>0</v>
      </c>
      <c r="K1798" s="45">
        <v>25000</v>
      </c>
      <c r="L1798" s="45">
        <v>0</v>
      </c>
      <c r="M1798" s="45">
        <v>0</v>
      </c>
      <c r="N1798" s="45">
        <v>0</v>
      </c>
      <c r="O1798" s="45">
        <v>0</v>
      </c>
      <c r="P1798" s="45">
        <v>0</v>
      </c>
      <c r="Q1798" s="45">
        <v>0</v>
      </c>
      <c r="R1798" s="45">
        <v>0</v>
      </c>
      <c r="S1798" s="45">
        <v>0</v>
      </c>
      <c r="T1798" s="45">
        <v>0</v>
      </c>
      <c r="U1798" s="45">
        <v>1587</v>
      </c>
      <c r="V1798" s="45">
        <v>0</v>
      </c>
      <c r="W1798" s="45">
        <v>0</v>
      </c>
      <c r="X1798" s="45">
        <v>0</v>
      </c>
      <c r="Y1798" s="45">
        <v>0</v>
      </c>
      <c r="Z1798" s="45">
        <v>0</v>
      </c>
      <c r="AA1798" s="45">
        <v>0</v>
      </c>
      <c r="AB1798" s="45">
        <v>0</v>
      </c>
      <c r="AC1798" s="45">
        <v>0</v>
      </c>
      <c r="AD1798" s="45">
        <v>0</v>
      </c>
      <c r="AE1798" s="45">
        <v>0</v>
      </c>
      <c r="AF1798" s="45">
        <v>0</v>
      </c>
      <c r="AG1798" s="45">
        <v>0</v>
      </c>
      <c r="AH1798" s="45">
        <v>0</v>
      </c>
      <c r="AI1798" s="45">
        <v>0</v>
      </c>
      <c r="AJ1798" s="45">
        <v>0</v>
      </c>
      <c r="AK1798" s="45">
        <v>0</v>
      </c>
      <c r="AL1798" s="45">
        <v>0</v>
      </c>
      <c r="AM1798" s="57" t="str">
        <f>I1798-J1798-K1798-L1798-M1798-N1798-O1798-P1798-Q1798-R1798-S1798-T1798-U1798-V1798-W1798-X1798-Y1798-Z1798-AA1798-AB1798-AC1798-AD1798-AE1798-AF1798-AG1798+AH1798-AI1798+AJ1798+AK1798-AL1798</f>
        <v>0</v>
      </c>
      <c r="AN1798" s="45"/>
    </row>
    <row r="1799" spans="1:41">
      <c r="A1799" s="45">
        <v>1771</v>
      </c>
      <c r="B1799" s="45" t="s">
        <v>6860</v>
      </c>
      <c r="C1799" s="49" t="s">
        <v>6861</v>
      </c>
      <c r="D1799" s="53" t="s">
        <v>73</v>
      </c>
      <c r="E1799" s="45" t="s">
        <v>6839</v>
      </c>
      <c r="F1799" s="45" t="s">
        <v>6715</v>
      </c>
      <c r="G1799" s="45">
        <v>2</v>
      </c>
      <c r="H1799" s="53" t="s">
        <v>6862</v>
      </c>
      <c r="I1799" s="45">
        <v>335000</v>
      </c>
      <c r="J1799" s="45">
        <v>0</v>
      </c>
      <c r="K1799" s="45">
        <v>22000</v>
      </c>
      <c r="L1799" s="45">
        <v>0</v>
      </c>
      <c r="M1799" s="45">
        <v>0</v>
      </c>
      <c r="N1799" s="45">
        <v>0</v>
      </c>
      <c r="O1799" s="45">
        <v>0</v>
      </c>
      <c r="P1799" s="45">
        <v>0</v>
      </c>
      <c r="Q1799" s="45">
        <v>0</v>
      </c>
      <c r="R1799" s="45">
        <v>0</v>
      </c>
      <c r="S1799" s="45">
        <v>0</v>
      </c>
      <c r="T1799" s="45">
        <v>0</v>
      </c>
      <c r="U1799" s="45">
        <v>1397</v>
      </c>
      <c r="V1799" s="45">
        <v>0</v>
      </c>
      <c r="W1799" s="45">
        <v>0</v>
      </c>
      <c r="X1799" s="45">
        <v>0</v>
      </c>
      <c r="Y1799" s="45">
        <v>0</v>
      </c>
      <c r="Z1799" s="45">
        <v>0</v>
      </c>
      <c r="AA1799" s="45">
        <v>0</v>
      </c>
      <c r="AB1799" s="45">
        <v>0</v>
      </c>
      <c r="AC1799" s="45">
        <v>0</v>
      </c>
      <c r="AD1799" s="45">
        <v>0</v>
      </c>
      <c r="AE1799" s="45">
        <v>0</v>
      </c>
      <c r="AF1799" s="45">
        <v>0</v>
      </c>
      <c r="AG1799" s="45">
        <v>0</v>
      </c>
      <c r="AH1799" s="45">
        <v>0</v>
      </c>
      <c r="AI1799" s="45">
        <v>0</v>
      </c>
      <c r="AJ1799" s="45">
        <v>0</v>
      </c>
      <c r="AK1799" s="45">
        <v>0</v>
      </c>
      <c r="AL1799" s="45">
        <v>0</v>
      </c>
      <c r="AM1799" s="57" t="str">
        <f>I1799-J1799-K1799-L1799-M1799-N1799-O1799-P1799-Q1799-R1799-S1799-T1799-U1799-V1799-W1799-X1799-Y1799-Z1799-AA1799-AB1799-AC1799-AD1799-AE1799-AF1799-AG1799+AH1799-AI1799+AJ1799+AK1799-AL1799</f>
        <v>0</v>
      </c>
      <c r="AN1799" s="45"/>
    </row>
    <row r="1800" spans="1:41">
      <c r="A1800" s="45">
        <v>1772</v>
      </c>
      <c r="B1800" s="45" t="s">
        <v>6863</v>
      </c>
      <c r="C1800" s="49" t="s">
        <v>6864</v>
      </c>
      <c r="D1800" s="53" t="s">
        <v>73</v>
      </c>
      <c r="E1800" s="45" t="s">
        <v>6839</v>
      </c>
      <c r="F1800" s="45" t="s">
        <v>6865</v>
      </c>
      <c r="G1800" s="45">
        <v>3</v>
      </c>
      <c r="H1800" s="53" t="s">
        <v>6866</v>
      </c>
      <c r="I1800" s="45">
        <v>560000</v>
      </c>
      <c r="J1800" s="45">
        <v>0</v>
      </c>
      <c r="K1800" s="45">
        <v>22000</v>
      </c>
      <c r="L1800" s="45">
        <v>0</v>
      </c>
      <c r="M1800" s="45">
        <v>0</v>
      </c>
      <c r="N1800" s="45">
        <v>0</v>
      </c>
      <c r="O1800" s="45">
        <v>0</v>
      </c>
      <c r="P1800" s="45">
        <v>0</v>
      </c>
      <c r="Q1800" s="45">
        <v>0</v>
      </c>
      <c r="R1800" s="45">
        <v>0</v>
      </c>
      <c r="S1800" s="45">
        <v>0</v>
      </c>
      <c r="T1800" s="45">
        <v>0</v>
      </c>
      <c r="U1800" s="45">
        <v>1397</v>
      </c>
      <c r="V1800" s="45">
        <v>0</v>
      </c>
      <c r="W1800" s="45">
        <v>0</v>
      </c>
      <c r="X1800" s="45">
        <v>0</v>
      </c>
      <c r="Y1800" s="45">
        <v>0</v>
      </c>
      <c r="Z1800" s="45">
        <v>0</v>
      </c>
      <c r="AA1800" s="45">
        <v>0</v>
      </c>
      <c r="AB1800" s="45">
        <v>0</v>
      </c>
      <c r="AC1800" s="45">
        <v>0</v>
      </c>
      <c r="AD1800" s="45">
        <v>0</v>
      </c>
      <c r="AE1800" s="45">
        <v>0</v>
      </c>
      <c r="AF1800" s="45">
        <v>0</v>
      </c>
      <c r="AG1800" s="45">
        <v>0</v>
      </c>
      <c r="AH1800" s="45">
        <v>0</v>
      </c>
      <c r="AI1800" s="45">
        <v>0</v>
      </c>
      <c r="AJ1800" s="45">
        <v>0</v>
      </c>
      <c r="AK1800" s="45">
        <v>0</v>
      </c>
      <c r="AL1800" s="45">
        <v>0</v>
      </c>
      <c r="AM1800" s="57" t="str">
        <f>I1800-J1800-K1800-L1800-M1800-N1800-O1800-P1800-Q1800-R1800-S1800-T1800-U1800-V1800-W1800-X1800-Y1800-Z1800-AA1800-AB1800-AC1800-AD1800-AE1800-AF1800-AG1800+AH1800-AI1800+AJ1800+AK1800-AL1800</f>
        <v>0</v>
      </c>
      <c r="AN1800" s="45"/>
    </row>
    <row r="1801" spans="1:41">
      <c r="A1801" s="45">
        <v>1773</v>
      </c>
      <c r="B1801" s="45" t="s">
        <v>6867</v>
      </c>
      <c r="C1801" s="49" t="s">
        <v>6868</v>
      </c>
      <c r="D1801" s="53" t="s">
        <v>73</v>
      </c>
      <c r="E1801" s="45" t="s">
        <v>6839</v>
      </c>
      <c r="F1801" s="45" t="s">
        <v>6637</v>
      </c>
      <c r="G1801" s="45">
        <v>3</v>
      </c>
      <c r="H1801" s="53" t="s">
        <v>6869</v>
      </c>
      <c r="I1801" s="45">
        <v>585000</v>
      </c>
      <c r="J1801" s="45">
        <v>0</v>
      </c>
      <c r="K1801" s="45">
        <v>22000</v>
      </c>
      <c r="L1801" s="45">
        <v>0</v>
      </c>
      <c r="M1801" s="45">
        <v>0</v>
      </c>
      <c r="N1801" s="45">
        <v>0</v>
      </c>
      <c r="O1801" s="45">
        <v>0</v>
      </c>
      <c r="P1801" s="45">
        <v>0</v>
      </c>
      <c r="Q1801" s="45">
        <v>0</v>
      </c>
      <c r="R1801" s="45">
        <v>0</v>
      </c>
      <c r="S1801" s="45">
        <v>0</v>
      </c>
      <c r="T1801" s="45">
        <v>0</v>
      </c>
      <c r="U1801" s="45">
        <v>1397</v>
      </c>
      <c r="V1801" s="45">
        <v>0</v>
      </c>
      <c r="W1801" s="45">
        <v>0</v>
      </c>
      <c r="X1801" s="45">
        <v>0</v>
      </c>
      <c r="Y1801" s="45">
        <v>0</v>
      </c>
      <c r="Z1801" s="45">
        <v>0</v>
      </c>
      <c r="AA1801" s="45">
        <v>0</v>
      </c>
      <c r="AB1801" s="45">
        <v>0</v>
      </c>
      <c r="AC1801" s="45">
        <v>0</v>
      </c>
      <c r="AD1801" s="45">
        <v>0</v>
      </c>
      <c r="AE1801" s="45">
        <v>0</v>
      </c>
      <c r="AF1801" s="45">
        <v>0</v>
      </c>
      <c r="AG1801" s="45">
        <v>0</v>
      </c>
      <c r="AH1801" s="45">
        <v>0</v>
      </c>
      <c r="AI1801" s="45">
        <v>0</v>
      </c>
      <c r="AJ1801" s="45">
        <v>0</v>
      </c>
      <c r="AK1801" s="45">
        <v>0</v>
      </c>
      <c r="AL1801" s="45">
        <v>0</v>
      </c>
      <c r="AM1801" s="57" t="str">
        <f>I1801-J1801-K1801-L1801-M1801-N1801-O1801-P1801-Q1801-R1801-S1801-T1801-U1801-V1801-W1801-X1801-Y1801-Z1801-AA1801-AB1801-AC1801-AD1801-AE1801-AF1801-AG1801+AH1801-AI1801+AJ1801+AK1801-AL1801</f>
        <v>0</v>
      </c>
      <c r="AN1801" s="45"/>
    </row>
    <row r="1802" spans="1:41">
      <c r="A1802" s="45">
        <v>1774</v>
      </c>
      <c r="B1802" s="45" t="s">
        <v>6870</v>
      </c>
      <c r="C1802" s="49" t="s">
        <v>6871</v>
      </c>
      <c r="D1802" s="53" t="s">
        <v>73</v>
      </c>
      <c r="E1802" s="45" t="s">
        <v>6839</v>
      </c>
      <c r="F1802" s="45" t="s">
        <v>6872</v>
      </c>
      <c r="G1802" s="45">
        <v>2</v>
      </c>
      <c r="H1802" s="53" t="s">
        <v>6873</v>
      </c>
      <c r="I1802" s="45">
        <v>220000</v>
      </c>
      <c r="J1802" s="45">
        <v>0</v>
      </c>
      <c r="K1802" s="45">
        <v>22000</v>
      </c>
      <c r="L1802" s="45">
        <v>0</v>
      </c>
      <c r="M1802" s="45">
        <v>0</v>
      </c>
      <c r="N1802" s="45">
        <v>0</v>
      </c>
      <c r="O1802" s="45">
        <v>0</v>
      </c>
      <c r="P1802" s="45">
        <v>0</v>
      </c>
      <c r="Q1802" s="45">
        <v>0</v>
      </c>
      <c r="R1802" s="45">
        <v>0</v>
      </c>
      <c r="S1802" s="45">
        <v>0</v>
      </c>
      <c r="T1802" s="45">
        <v>0</v>
      </c>
      <c r="U1802" s="45">
        <v>1397</v>
      </c>
      <c r="V1802" s="45">
        <v>0</v>
      </c>
      <c r="W1802" s="45">
        <v>0</v>
      </c>
      <c r="X1802" s="45">
        <v>0</v>
      </c>
      <c r="Y1802" s="45">
        <v>0</v>
      </c>
      <c r="Z1802" s="45">
        <v>0</v>
      </c>
      <c r="AA1802" s="45">
        <v>0</v>
      </c>
      <c r="AB1802" s="45">
        <v>0</v>
      </c>
      <c r="AC1802" s="45">
        <v>0</v>
      </c>
      <c r="AD1802" s="45">
        <v>0</v>
      </c>
      <c r="AE1802" s="45">
        <v>0</v>
      </c>
      <c r="AF1802" s="45">
        <v>0</v>
      </c>
      <c r="AG1802" s="45">
        <v>0</v>
      </c>
      <c r="AH1802" s="45">
        <v>0</v>
      </c>
      <c r="AI1802" s="45">
        <v>0</v>
      </c>
      <c r="AJ1802" s="45">
        <v>0</v>
      </c>
      <c r="AK1802" s="45">
        <v>0</v>
      </c>
      <c r="AL1802" s="45">
        <v>0</v>
      </c>
      <c r="AM1802" s="57" t="str">
        <f>I1802-J1802-K1802-L1802-M1802-N1802-O1802-P1802-Q1802-R1802-S1802-T1802-U1802-V1802-W1802-X1802-Y1802-Z1802-AA1802-AB1802-AC1802-AD1802-AE1802-AF1802-AG1802+AH1802-AI1802+AJ1802+AK1802-AL1802</f>
        <v>0</v>
      </c>
      <c r="AN1802" s="45"/>
    </row>
    <row r="1803" spans="1:41">
      <c r="A1803" s="45">
        <v>1775</v>
      </c>
      <c r="B1803" s="45" t="s">
        <v>6874</v>
      </c>
      <c r="C1803" s="49" t="s">
        <v>6875</v>
      </c>
      <c r="D1803" s="53" t="s">
        <v>73</v>
      </c>
      <c r="E1803" s="45" t="s">
        <v>6839</v>
      </c>
      <c r="F1803" s="45" t="s">
        <v>6876</v>
      </c>
      <c r="G1803" s="45">
        <v>5.8</v>
      </c>
      <c r="H1803" s="53" t="s">
        <v>6877</v>
      </c>
      <c r="I1803" s="45">
        <v>584000</v>
      </c>
      <c r="J1803" s="45">
        <v>0</v>
      </c>
      <c r="K1803" s="45">
        <v>31000</v>
      </c>
      <c r="L1803" s="45">
        <v>0</v>
      </c>
      <c r="M1803" s="45">
        <v>0</v>
      </c>
      <c r="N1803" s="45">
        <v>0</v>
      </c>
      <c r="O1803" s="45">
        <v>0</v>
      </c>
      <c r="P1803" s="45">
        <v>0</v>
      </c>
      <c r="Q1803" s="45">
        <v>0</v>
      </c>
      <c r="R1803" s="45">
        <v>0</v>
      </c>
      <c r="S1803" s="45">
        <v>0</v>
      </c>
      <c r="T1803" s="45">
        <v>0</v>
      </c>
      <c r="U1803" s="45">
        <v>1968</v>
      </c>
      <c r="V1803" s="45">
        <v>0</v>
      </c>
      <c r="W1803" s="45">
        <v>0</v>
      </c>
      <c r="X1803" s="45">
        <v>0</v>
      </c>
      <c r="Y1803" s="45">
        <v>0</v>
      </c>
      <c r="Z1803" s="45">
        <v>0</v>
      </c>
      <c r="AA1803" s="45">
        <v>0</v>
      </c>
      <c r="AB1803" s="45">
        <v>0</v>
      </c>
      <c r="AC1803" s="45">
        <v>0</v>
      </c>
      <c r="AD1803" s="45">
        <v>0</v>
      </c>
      <c r="AE1803" s="45">
        <v>0</v>
      </c>
      <c r="AF1803" s="45">
        <v>0</v>
      </c>
      <c r="AG1803" s="45">
        <v>0</v>
      </c>
      <c r="AH1803" s="45">
        <v>0</v>
      </c>
      <c r="AI1803" s="45">
        <v>0</v>
      </c>
      <c r="AJ1803" s="45">
        <v>0</v>
      </c>
      <c r="AK1803" s="45">
        <v>0</v>
      </c>
      <c r="AL1803" s="45">
        <v>0</v>
      </c>
      <c r="AM1803" s="57" t="str">
        <f>I1803-J1803-K1803-L1803-M1803-N1803-O1803-P1803-Q1803-R1803-S1803-T1803-U1803-V1803-W1803-X1803-Y1803-Z1803-AA1803-AB1803-AC1803-AD1803-AE1803-AF1803-AG1803+AH1803-AI1803+AJ1803+AK1803-AL1803</f>
        <v>0</v>
      </c>
      <c r="AN1803" s="45"/>
    </row>
    <row r="1804" spans="1:41">
      <c r="A1804" s="45">
        <v>1776</v>
      </c>
      <c r="B1804" s="45" t="s">
        <v>6878</v>
      </c>
      <c r="C1804" s="49" t="s">
        <v>6879</v>
      </c>
      <c r="D1804" s="53" t="s">
        <v>73</v>
      </c>
      <c r="E1804" s="45" t="s">
        <v>6839</v>
      </c>
      <c r="F1804" s="45" t="s">
        <v>6880</v>
      </c>
      <c r="G1804" s="45">
        <v>3</v>
      </c>
      <c r="H1804" s="53" t="s">
        <v>6881</v>
      </c>
      <c r="I1804" s="45">
        <v>560000</v>
      </c>
      <c r="J1804" s="45">
        <v>0</v>
      </c>
      <c r="K1804" s="45">
        <v>22000</v>
      </c>
      <c r="L1804" s="45">
        <v>0</v>
      </c>
      <c r="M1804" s="45">
        <v>0</v>
      </c>
      <c r="N1804" s="45">
        <v>0</v>
      </c>
      <c r="O1804" s="45">
        <v>0</v>
      </c>
      <c r="P1804" s="45">
        <v>0</v>
      </c>
      <c r="Q1804" s="45">
        <v>0</v>
      </c>
      <c r="R1804" s="45">
        <v>0</v>
      </c>
      <c r="S1804" s="45">
        <v>0</v>
      </c>
      <c r="T1804" s="45">
        <v>0</v>
      </c>
      <c r="U1804" s="45">
        <v>1397</v>
      </c>
      <c r="V1804" s="45">
        <v>0</v>
      </c>
      <c r="W1804" s="45">
        <v>0</v>
      </c>
      <c r="X1804" s="45">
        <v>0</v>
      </c>
      <c r="Y1804" s="45">
        <v>0</v>
      </c>
      <c r="Z1804" s="45">
        <v>0</v>
      </c>
      <c r="AA1804" s="45">
        <v>0</v>
      </c>
      <c r="AB1804" s="45">
        <v>0</v>
      </c>
      <c r="AC1804" s="45">
        <v>0</v>
      </c>
      <c r="AD1804" s="45">
        <v>0</v>
      </c>
      <c r="AE1804" s="45">
        <v>0</v>
      </c>
      <c r="AF1804" s="45">
        <v>0</v>
      </c>
      <c r="AG1804" s="45">
        <v>0</v>
      </c>
      <c r="AH1804" s="45">
        <v>0</v>
      </c>
      <c r="AI1804" s="45">
        <v>0</v>
      </c>
      <c r="AJ1804" s="45">
        <v>0</v>
      </c>
      <c r="AK1804" s="45">
        <v>0</v>
      </c>
      <c r="AL1804" s="45">
        <v>0</v>
      </c>
      <c r="AM1804" s="57" t="str">
        <f>I1804-J1804-K1804-L1804-M1804-N1804-O1804-P1804-Q1804-R1804-S1804-T1804-U1804-V1804-W1804-X1804-Y1804-Z1804-AA1804-AB1804-AC1804-AD1804-AE1804-AF1804-AG1804+AH1804-AI1804+AJ1804+AK1804-AL1804</f>
        <v>0</v>
      </c>
      <c r="AN1804" s="45"/>
    </row>
    <row r="1805" spans="1:41">
      <c r="A1805" s="45">
        <v>1777</v>
      </c>
      <c r="B1805" s="45" t="s">
        <v>6882</v>
      </c>
      <c r="C1805" s="49" t="s">
        <v>6883</v>
      </c>
      <c r="D1805" s="53" t="s">
        <v>73</v>
      </c>
      <c r="E1805" s="45" t="s">
        <v>6839</v>
      </c>
      <c r="F1805" s="45" t="s">
        <v>6884</v>
      </c>
      <c r="G1805" s="45">
        <v>3</v>
      </c>
      <c r="H1805" s="53" t="s">
        <v>6885</v>
      </c>
      <c r="I1805" s="45">
        <v>585000</v>
      </c>
      <c r="J1805" s="45">
        <v>0</v>
      </c>
      <c r="K1805" s="45">
        <v>22000</v>
      </c>
      <c r="L1805" s="45">
        <v>0</v>
      </c>
      <c r="M1805" s="45">
        <v>0</v>
      </c>
      <c r="N1805" s="45">
        <v>0</v>
      </c>
      <c r="O1805" s="45">
        <v>0</v>
      </c>
      <c r="P1805" s="45">
        <v>0</v>
      </c>
      <c r="Q1805" s="45">
        <v>0</v>
      </c>
      <c r="R1805" s="45">
        <v>0</v>
      </c>
      <c r="S1805" s="45">
        <v>0</v>
      </c>
      <c r="T1805" s="45">
        <v>0</v>
      </c>
      <c r="U1805" s="45">
        <v>1397</v>
      </c>
      <c r="V1805" s="45">
        <v>0</v>
      </c>
      <c r="W1805" s="45">
        <v>0</v>
      </c>
      <c r="X1805" s="45">
        <v>0</v>
      </c>
      <c r="Y1805" s="45">
        <v>0</v>
      </c>
      <c r="Z1805" s="45">
        <v>0</v>
      </c>
      <c r="AA1805" s="45">
        <v>0</v>
      </c>
      <c r="AB1805" s="45">
        <v>0</v>
      </c>
      <c r="AC1805" s="45">
        <v>0</v>
      </c>
      <c r="AD1805" s="45">
        <v>0</v>
      </c>
      <c r="AE1805" s="45">
        <v>0</v>
      </c>
      <c r="AF1805" s="45">
        <v>0</v>
      </c>
      <c r="AG1805" s="45">
        <v>0</v>
      </c>
      <c r="AH1805" s="45">
        <v>0</v>
      </c>
      <c r="AI1805" s="45">
        <v>0</v>
      </c>
      <c r="AJ1805" s="45">
        <v>0</v>
      </c>
      <c r="AK1805" s="45">
        <v>0</v>
      </c>
      <c r="AL1805" s="45">
        <v>0</v>
      </c>
      <c r="AM1805" s="57" t="str">
        <f>I1805-J1805-K1805-L1805-M1805-N1805-O1805-P1805-Q1805-R1805-S1805-T1805-U1805-V1805-W1805-X1805-Y1805-Z1805-AA1805-AB1805-AC1805-AD1805-AE1805-AF1805-AG1805+AH1805-AI1805+AJ1805+AK1805-AL1805</f>
        <v>0</v>
      </c>
      <c r="AN1805" s="45"/>
    </row>
    <row r="1806" spans="1:41">
      <c r="A1806" s="45">
        <v>1778</v>
      </c>
      <c r="B1806" s="45" t="s">
        <v>6886</v>
      </c>
      <c r="C1806" s="49" t="s">
        <v>6887</v>
      </c>
      <c r="D1806" s="53" t="s">
        <v>73</v>
      </c>
      <c r="E1806" s="45" t="s">
        <v>6888</v>
      </c>
      <c r="F1806" s="45" t="s">
        <v>4783</v>
      </c>
      <c r="G1806" s="45">
        <v>3</v>
      </c>
      <c r="H1806" s="53" t="s">
        <v>6889</v>
      </c>
      <c r="I1806" s="45">
        <v>485000</v>
      </c>
      <c r="J1806" s="45">
        <v>0</v>
      </c>
      <c r="K1806" s="45">
        <v>22000</v>
      </c>
      <c r="L1806" s="45">
        <v>0</v>
      </c>
      <c r="M1806" s="45">
        <v>0</v>
      </c>
      <c r="N1806" s="45">
        <v>0</v>
      </c>
      <c r="O1806" s="45">
        <v>0</v>
      </c>
      <c r="P1806" s="45">
        <v>0</v>
      </c>
      <c r="Q1806" s="45">
        <v>0</v>
      </c>
      <c r="R1806" s="45">
        <v>0</v>
      </c>
      <c r="S1806" s="45">
        <v>0</v>
      </c>
      <c r="T1806" s="45">
        <v>0</v>
      </c>
      <c r="U1806" s="45">
        <v>1397</v>
      </c>
      <c r="V1806" s="45">
        <v>0</v>
      </c>
      <c r="W1806" s="45">
        <v>0</v>
      </c>
      <c r="X1806" s="45">
        <v>0</v>
      </c>
      <c r="Y1806" s="45">
        <v>0</v>
      </c>
      <c r="Z1806" s="45">
        <v>0</v>
      </c>
      <c r="AA1806" s="45">
        <v>0</v>
      </c>
      <c r="AB1806" s="45">
        <v>0</v>
      </c>
      <c r="AC1806" s="45">
        <v>0</v>
      </c>
      <c r="AD1806" s="45">
        <v>0</v>
      </c>
      <c r="AE1806" s="45">
        <v>0</v>
      </c>
      <c r="AF1806" s="45">
        <v>0</v>
      </c>
      <c r="AG1806" s="45">
        <v>0</v>
      </c>
      <c r="AH1806" s="45">
        <v>0</v>
      </c>
      <c r="AI1806" s="45">
        <v>0</v>
      </c>
      <c r="AJ1806" s="45">
        <v>0</v>
      </c>
      <c r="AK1806" s="45">
        <v>0</v>
      </c>
      <c r="AL1806" s="45">
        <v>0</v>
      </c>
      <c r="AM1806" s="57" t="str">
        <f>I1806-J1806-K1806-L1806-M1806-N1806-O1806-P1806-Q1806-R1806-S1806-T1806-U1806-V1806-W1806-X1806-Y1806-Z1806-AA1806-AB1806-AC1806-AD1806-AE1806-AF1806-AG1806+AH1806-AI1806+AJ1806+AK1806-AL1806</f>
        <v>0</v>
      </c>
      <c r="AN1806" s="45"/>
    </row>
    <row r="1807" spans="1:41">
      <c r="A1807" s="45">
        <v>1779</v>
      </c>
      <c r="B1807" s="45" t="s">
        <v>6890</v>
      </c>
      <c r="C1807" s="49" t="s">
        <v>6891</v>
      </c>
      <c r="D1807" s="53" t="s">
        <v>73</v>
      </c>
      <c r="E1807" s="45" t="s">
        <v>6888</v>
      </c>
      <c r="F1807" s="45" t="s">
        <v>6812</v>
      </c>
      <c r="G1807" s="45">
        <v>8</v>
      </c>
      <c r="H1807" s="53" t="s">
        <v>6892</v>
      </c>
      <c r="I1807" s="45">
        <v>2050000</v>
      </c>
      <c r="J1807" s="45">
        <v>0</v>
      </c>
      <c r="K1807" s="45">
        <v>39000</v>
      </c>
      <c r="L1807" s="45">
        <v>0</v>
      </c>
      <c r="M1807" s="45">
        <v>0</v>
      </c>
      <c r="N1807" s="45">
        <v>0</v>
      </c>
      <c r="O1807" s="45">
        <v>0</v>
      </c>
      <c r="P1807" s="45">
        <v>0</v>
      </c>
      <c r="Q1807" s="45">
        <v>0</v>
      </c>
      <c r="R1807" s="45">
        <v>0</v>
      </c>
      <c r="S1807" s="45">
        <v>0</v>
      </c>
      <c r="T1807" s="45">
        <v>0</v>
      </c>
      <c r="U1807" s="45">
        <v>2476</v>
      </c>
      <c r="V1807" s="45">
        <v>0</v>
      </c>
      <c r="W1807" s="45">
        <v>0</v>
      </c>
      <c r="X1807" s="45">
        <v>0</v>
      </c>
      <c r="Y1807" s="45">
        <v>0</v>
      </c>
      <c r="Z1807" s="45">
        <v>0</v>
      </c>
      <c r="AA1807" s="45">
        <v>0</v>
      </c>
      <c r="AB1807" s="45">
        <v>0</v>
      </c>
      <c r="AC1807" s="45">
        <v>0</v>
      </c>
      <c r="AD1807" s="45">
        <v>0</v>
      </c>
      <c r="AE1807" s="45">
        <v>0</v>
      </c>
      <c r="AF1807" s="45">
        <v>0</v>
      </c>
      <c r="AG1807" s="45">
        <v>0</v>
      </c>
      <c r="AH1807" s="45">
        <v>0</v>
      </c>
      <c r="AI1807" s="45">
        <v>0</v>
      </c>
      <c r="AJ1807" s="45">
        <v>0</v>
      </c>
      <c r="AK1807" s="45">
        <v>0</v>
      </c>
      <c r="AL1807" s="45">
        <v>0</v>
      </c>
      <c r="AM1807" s="57" t="str">
        <f>I1807-J1807-K1807-L1807-M1807-N1807-O1807-P1807-Q1807-R1807-S1807-T1807-U1807-V1807-W1807-X1807-Y1807-Z1807-AA1807-AB1807-AC1807-AD1807-AE1807-AF1807-AG1807+AH1807-AI1807+AJ1807+AK1807-AL1807</f>
        <v>0</v>
      </c>
      <c r="AN1807" s="45"/>
    </row>
    <row r="1808" spans="1:41">
      <c r="A1808" s="45">
        <v>1780</v>
      </c>
      <c r="B1808" s="45" t="s">
        <v>6893</v>
      </c>
      <c r="C1808" s="49" t="s">
        <v>6894</v>
      </c>
      <c r="D1808" s="53" t="s">
        <v>73</v>
      </c>
      <c r="E1808" s="45" t="s">
        <v>6895</v>
      </c>
      <c r="F1808" s="45" t="s">
        <v>6663</v>
      </c>
      <c r="G1808" s="45">
        <v>3</v>
      </c>
      <c r="H1808" s="53" t="s">
        <v>6896</v>
      </c>
      <c r="I1808" s="45">
        <v>785000</v>
      </c>
      <c r="J1808" s="45">
        <v>0</v>
      </c>
      <c r="K1808" s="45">
        <v>22000</v>
      </c>
      <c r="L1808" s="45">
        <v>0</v>
      </c>
      <c r="M1808" s="45">
        <v>0</v>
      </c>
      <c r="N1808" s="45">
        <v>0</v>
      </c>
      <c r="O1808" s="45">
        <v>0</v>
      </c>
      <c r="P1808" s="45">
        <v>0</v>
      </c>
      <c r="Q1808" s="45">
        <v>0</v>
      </c>
      <c r="R1808" s="45">
        <v>0</v>
      </c>
      <c r="S1808" s="45">
        <v>0</v>
      </c>
      <c r="T1808" s="45">
        <v>0</v>
      </c>
      <c r="U1808" s="45">
        <v>1397</v>
      </c>
      <c r="V1808" s="45">
        <v>0</v>
      </c>
      <c r="W1808" s="45">
        <v>0</v>
      </c>
      <c r="X1808" s="45">
        <v>0</v>
      </c>
      <c r="Y1808" s="45">
        <v>0</v>
      </c>
      <c r="Z1808" s="45">
        <v>0</v>
      </c>
      <c r="AA1808" s="45">
        <v>0</v>
      </c>
      <c r="AB1808" s="45">
        <v>0</v>
      </c>
      <c r="AC1808" s="45">
        <v>0</v>
      </c>
      <c r="AD1808" s="45">
        <v>0</v>
      </c>
      <c r="AE1808" s="45">
        <v>0</v>
      </c>
      <c r="AF1808" s="45">
        <v>0</v>
      </c>
      <c r="AG1808" s="45">
        <v>0</v>
      </c>
      <c r="AH1808" s="45">
        <v>0</v>
      </c>
      <c r="AI1808" s="45">
        <v>0</v>
      </c>
      <c r="AJ1808" s="45">
        <v>0</v>
      </c>
      <c r="AK1808" s="45">
        <v>0</v>
      </c>
      <c r="AL1808" s="45">
        <v>0</v>
      </c>
      <c r="AM1808" s="57" t="str">
        <f>I1808-J1808-K1808-L1808-M1808-N1808-O1808-P1808-Q1808-R1808-S1808-T1808-U1808-V1808-W1808-X1808-Y1808-Z1808-AA1808-AB1808-AC1808-AD1808-AE1808-AF1808-AG1808+AH1808-AI1808+AJ1808+AK1808-AL1808</f>
        <v>0</v>
      </c>
      <c r="AN1808" s="45"/>
    </row>
    <row r="1809" spans="1:41">
      <c r="A1809" s="45">
        <v>1781</v>
      </c>
      <c r="B1809" s="45" t="s">
        <v>6897</v>
      </c>
      <c r="C1809" s="49" t="s">
        <v>6898</v>
      </c>
      <c r="D1809" s="53" t="s">
        <v>73</v>
      </c>
      <c r="E1809" s="45" t="s">
        <v>6895</v>
      </c>
      <c r="F1809" s="45" t="s">
        <v>6899</v>
      </c>
      <c r="G1809" s="45">
        <v>2</v>
      </c>
      <c r="H1809" s="53" t="s">
        <v>6900</v>
      </c>
      <c r="I1809" s="45">
        <v>165000</v>
      </c>
      <c r="J1809" s="45">
        <v>0</v>
      </c>
      <c r="K1809" s="45">
        <v>22000</v>
      </c>
      <c r="L1809" s="45">
        <v>0</v>
      </c>
      <c r="M1809" s="45">
        <v>0</v>
      </c>
      <c r="N1809" s="45">
        <v>0</v>
      </c>
      <c r="O1809" s="45">
        <v>0</v>
      </c>
      <c r="P1809" s="45">
        <v>0</v>
      </c>
      <c r="Q1809" s="45">
        <v>0</v>
      </c>
      <c r="R1809" s="45">
        <v>0</v>
      </c>
      <c r="S1809" s="45">
        <v>0</v>
      </c>
      <c r="T1809" s="45">
        <v>0</v>
      </c>
      <c r="U1809" s="45">
        <v>1397</v>
      </c>
      <c r="V1809" s="45">
        <v>0</v>
      </c>
      <c r="W1809" s="45">
        <v>0</v>
      </c>
      <c r="X1809" s="45">
        <v>0</v>
      </c>
      <c r="Y1809" s="45">
        <v>0</v>
      </c>
      <c r="Z1809" s="45">
        <v>0</v>
      </c>
      <c r="AA1809" s="45">
        <v>0</v>
      </c>
      <c r="AB1809" s="45">
        <v>0</v>
      </c>
      <c r="AC1809" s="45">
        <v>0</v>
      </c>
      <c r="AD1809" s="45">
        <v>0</v>
      </c>
      <c r="AE1809" s="45">
        <v>0</v>
      </c>
      <c r="AF1809" s="45">
        <v>0</v>
      </c>
      <c r="AG1809" s="45">
        <v>0</v>
      </c>
      <c r="AH1809" s="45">
        <v>0</v>
      </c>
      <c r="AI1809" s="45">
        <v>0</v>
      </c>
      <c r="AJ1809" s="45">
        <v>0</v>
      </c>
      <c r="AK1809" s="45">
        <v>0</v>
      </c>
      <c r="AL1809" s="45">
        <v>0</v>
      </c>
      <c r="AM1809" s="57" t="str">
        <f>I1809-J1809-K1809-L1809-M1809-N1809-O1809-P1809-Q1809-R1809-S1809-T1809-U1809-V1809-W1809-X1809-Y1809-Z1809-AA1809-AB1809-AC1809-AD1809-AE1809-AF1809-AG1809+AH1809-AI1809+AJ1809+AK1809-AL1809</f>
        <v>0</v>
      </c>
      <c r="AN1809" s="45"/>
    </row>
    <row r="1810" spans="1:41">
      <c r="A1810" s="45">
        <v>1782</v>
      </c>
      <c r="B1810" s="45" t="s">
        <v>6901</v>
      </c>
      <c r="C1810" s="49" t="s">
        <v>6902</v>
      </c>
      <c r="D1810" s="53" t="s">
        <v>73</v>
      </c>
      <c r="E1810" s="45" t="s">
        <v>6895</v>
      </c>
      <c r="F1810" s="45" t="s">
        <v>6903</v>
      </c>
      <c r="G1810" s="45">
        <v>2</v>
      </c>
      <c r="H1810" s="53" t="s">
        <v>6904</v>
      </c>
      <c r="I1810" s="45">
        <v>305000</v>
      </c>
      <c r="J1810" s="45">
        <v>0</v>
      </c>
      <c r="K1810" s="45">
        <v>22000</v>
      </c>
      <c r="L1810" s="45">
        <v>0</v>
      </c>
      <c r="M1810" s="45">
        <v>0</v>
      </c>
      <c r="N1810" s="45">
        <v>0</v>
      </c>
      <c r="O1810" s="45">
        <v>0</v>
      </c>
      <c r="P1810" s="45">
        <v>0</v>
      </c>
      <c r="Q1810" s="45">
        <v>0</v>
      </c>
      <c r="R1810" s="45">
        <v>0</v>
      </c>
      <c r="S1810" s="45">
        <v>0</v>
      </c>
      <c r="T1810" s="45">
        <v>0</v>
      </c>
      <c r="U1810" s="45">
        <v>1397</v>
      </c>
      <c r="V1810" s="45">
        <v>0</v>
      </c>
      <c r="W1810" s="45">
        <v>0</v>
      </c>
      <c r="X1810" s="45">
        <v>0</v>
      </c>
      <c r="Y1810" s="45">
        <v>0</v>
      </c>
      <c r="Z1810" s="45">
        <v>0</v>
      </c>
      <c r="AA1810" s="45">
        <v>0</v>
      </c>
      <c r="AB1810" s="45">
        <v>0</v>
      </c>
      <c r="AC1810" s="45">
        <v>0</v>
      </c>
      <c r="AD1810" s="45">
        <v>0</v>
      </c>
      <c r="AE1810" s="45">
        <v>0</v>
      </c>
      <c r="AF1810" s="45">
        <v>0</v>
      </c>
      <c r="AG1810" s="45">
        <v>0</v>
      </c>
      <c r="AH1810" s="45">
        <v>0</v>
      </c>
      <c r="AI1810" s="45">
        <v>0</v>
      </c>
      <c r="AJ1810" s="45">
        <v>0</v>
      </c>
      <c r="AK1810" s="45">
        <v>0</v>
      </c>
      <c r="AL1810" s="45">
        <v>0</v>
      </c>
      <c r="AM1810" s="57" t="str">
        <f>I1810-J1810-K1810-L1810-M1810-N1810-O1810-P1810-Q1810-R1810-S1810-T1810-U1810-V1810-W1810-X1810-Y1810-Z1810-AA1810-AB1810-AC1810-AD1810-AE1810-AF1810-AG1810+AH1810-AI1810+AJ1810+AK1810-AL1810</f>
        <v>0</v>
      </c>
      <c r="AN1810" s="45"/>
    </row>
    <row r="1811" spans="1:41">
      <c r="A1811" s="45">
        <v>1783</v>
      </c>
      <c r="B1811" s="45" t="s">
        <v>6905</v>
      </c>
      <c r="C1811" s="49" t="s">
        <v>6906</v>
      </c>
      <c r="D1811" s="53" t="s">
        <v>73</v>
      </c>
      <c r="E1811" s="45" t="s">
        <v>6895</v>
      </c>
      <c r="F1811" s="45" t="s">
        <v>6907</v>
      </c>
      <c r="G1811" s="45">
        <v>2</v>
      </c>
      <c r="H1811" s="53" t="s">
        <v>6908</v>
      </c>
      <c r="I1811" s="45">
        <v>250000</v>
      </c>
      <c r="J1811" s="45">
        <v>0</v>
      </c>
      <c r="K1811" s="45">
        <v>22000</v>
      </c>
      <c r="L1811" s="45">
        <v>0</v>
      </c>
      <c r="M1811" s="45">
        <v>0</v>
      </c>
      <c r="N1811" s="45">
        <v>0</v>
      </c>
      <c r="O1811" s="45">
        <v>0</v>
      </c>
      <c r="P1811" s="45">
        <v>0</v>
      </c>
      <c r="Q1811" s="45">
        <v>0</v>
      </c>
      <c r="R1811" s="45">
        <v>0</v>
      </c>
      <c r="S1811" s="45">
        <v>0</v>
      </c>
      <c r="T1811" s="45">
        <v>0</v>
      </c>
      <c r="U1811" s="45">
        <v>1397</v>
      </c>
      <c r="V1811" s="45">
        <v>0</v>
      </c>
      <c r="W1811" s="45">
        <v>0</v>
      </c>
      <c r="X1811" s="45">
        <v>0</v>
      </c>
      <c r="Y1811" s="45">
        <v>0</v>
      </c>
      <c r="Z1811" s="45">
        <v>0</v>
      </c>
      <c r="AA1811" s="45">
        <v>0</v>
      </c>
      <c r="AB1811" s="45">
        <v>0</v>
      </c>
      <c r="AC1811" s="45">
        <v>0</v>
      </c>
      <c r="AD1811" s="45">
        <v>0</v>
      </c>
      <c r="AE1811" s="45">
        <v>0</v>
      </c>
      <c r="AF1811" s="45">
        <v>0</v>
      </c>
      <c r="AG1811" s="45">
        <v>0</v>
      </c>
      <c r="AH1811" s="45">
        <v>0</v>
      </c>
      <c r="AI1811" s="45">
        <v>0</v>
      </c>
      <c r="AJ1811" s="45">
        <v>0</v>
      </c>
      <c r="AK1811" s="45">
        <v>0</v>
      </c>
      <c r="AL1811" s="45">
        <v>0</v>
      </c>
      <c r="AM1811" s="57" t="str">
        <f>I1811-J1811-K1811-L1811-M1811-N1811-O1811-P1811-Q1811-R1811-S1811-T1811-U1811-V1811-W1811-X1811-Y1811-Z1811-AA1811-AB1811-AC1811-AD1811-AE1811-AF1811-AG1811+AH1811-AI1811+AJ1811+AK1811-AL1811</f>
        <v>0</v>
      </c>
      <c r="AN1811" s="45"/>
    </row>
    <row r="1812" spans="1:41">
      <c r="A1812" s="45">
        <v>1784</v>
      </c>
      <c r="B1812" s="45" t="s">
        <v>6909</v>
      </c>
      <c r="C1812" s="49" t="s">
        <v>6910</v>
      </c>
      <c r="D1812" s="53" t="s">
        <v>73</v>
      </c>
      <c r="E1812" s="45" t="s">
        <v>6895</v>
      </c>
      <c r="F1812" s="45" t="s">
        <v>6911</v>
      </c>
      <c r="G1812" s="45">
        <v>2</v>
      </c>
      <c r="H1812" s="53" t="s">
        <v>6912</v>
      </c>
      <c r="I1812" s="45">
        <v>354000</v>
      </c>
      <c r="J1812" s="45">
        <v>0</v>
      </c>
      <c r="K1812" s="45">
        <v>22000</v>
      </c>
      <c r="L1812" s="45">
        <v>0</v>
      </c>
      <c r="M1812" s="45">
        <v>0</v>
      </c>
      <c r="N1812" s="45">
        <v>0</v>
      </c>
      <c r="O1812" s="45">
        <v>0</v>
      </c>
      <c r="P1812" s="45">
        <v>0</v>
      </c>
      <c r="Q1812" s="45">
        <v>0</v>
      </c>
      <c r="R1812" s="45">
        <v>0</v>
      </c>
      <c r="S1812" s="45">
        <v>0</v>
      </c>
      <c r="T1812" s="45">
        <v>0</v>
      </c>
      <c r="U1812" s="45">
        <v>1397</v>
      </c>
      <c r="V1812" s="45">
        <v>0</v>
      </c>
      <c r="W1812" s="45">
        <v>0</v>
      </c>
      <c r="X1812" s="45">
        <v>0</v>
      </c>
      <c r="Y1812" s="45">
        <v>0</v>
      </c>
      <c r="Z1812" s="45">
        <v>0</v>
      </c>
      <c r="AA1812" s="45">
        <v>0</v>
      </c>
      <c r="AB1812" s="45">
        <v>0</v>
      </c>
      <c r="AC1812" s="45">
        <v>0</v>
      </c>
      <c r="AD1812" s="45">
        <v>0</v>
      </c>
      <c r="AE1812" s="45">
        <v>0</v>
      </c>
      <c r="AF1812" s="45">
        <v>0</v>
      </c>
      <c r="AG1812" s="45">
        <v>0</v>
      </c>
      <c r="AH1812" s="45">
        <v>0</v>
      </c>
      <c r="AI1812" s="45">
        <v>0</v>
      </c>
      <c r="AJ1812" s="45">
        <v>0</v>
      </c>
      <c r="AK1812" s="45">
        <v>0</v>
      </c>
      <c r="AL1812" s="45">
        <v>0</v>
      </c>
      <c r="AM1812" s="57" t="str">
        <f>I1812-J1812-K1812-L1812-M1812-N1812-O1812-P1812-Q1812-R1812-S1812-T1812-U1812-V1812-W1812-X1812-Y1812-Z1812-AA1812-AB1812-AC1812-AD1812-AE1812-AF1812-AG1812+AH1812-AI1812+AJ1812+AK1812-AL1812</f>
        <v>0</v>
      </c>
      <c r="AN1812" s="45"/>
    </row>
    <row r="1813" spans="1:41">
      <c r="A1813" s="45">
        <v>1785</v>
      </c>
      <c r="B1813" s="45" t="s">
        <v>6913</v>
      </c>
      <c r="C1813" s="49" t="s">
        <v>6914</v>
      </c>
      <c r="D1813" s="53" t="s">
        <v>73</v>
      </c>
      <c r="E1813" s="45" t="s">
        <v>6895</v>
      </c>
      <c r="F1813" s="45" t="s">
        <v>6915</v>
      </c>
      <c r="G1813" s="45">
        <v>3</v>
      </c>
      <c r="H1813" s="53" t="s">
        <v>6916</v>
      </c>
      <c r="I1813" s="45">
        <v>154000</v>
      </c>
      <c r="J1813" s="45">
        <v>0</v>
      </c>
      <c r="K1813" s="45">
        <v>22000</v>
      </c>
      <c r="L1813" s="45">
        <v>0</v>
      </c>
      <c r="M1813" s="45">
        <v>0</v>
      </c>
      <c r="N1813" s="45">
        <v>0</v>
      </c>
      <c r="O1813" s="45">
        <v>0</v>
      </c>
      <c r="P1813" s="45">
        <v>0</v>
      </c>
      <c r="Q1813" s="45">
        <v>0</v>
      </c>
      <c r="R1813" s="45">
        <v>0</v>
      </c>
      <c r="S1813" s="45">
        <v>0</v>
      </c>
      <c r="T1813" s="45">
        <v>0</v>
      </c>
      <c r="U1813" s="45">
        <v>1397</v>
      </c>
      <c r="V1813" s="45">
        <v>0</v>
      </c>
      <c r="W1813" s="45">
        <v>0</v>
      </c>
      <c r="X1813" s="45">
        <v>0</v>
      </c>
      <c r="Y1813" s="45">
        <v>0</v>
      </c>
      <c r="Z1813" s="45">
        <v>0</v>
      </c>
      <c r="AA1813" s="45">
        <v>0</v>
      </c>
      <c r="AB1813" s="45">
        <v>0</v>
      </c>
      <c r="AC1813" s="45">
        <v>0</v>
      </c>
      <c r="AD1813" s="45">
        <v>0</v>
      </c>
      <c r="AE1813" s="45">
        <v>0</v>
      </c>
      <c r="AF1813" s="45">
        <v>0</v>
      </c>
      <c r="AG1813" s="45">
        <v>0</v>
      </c>
      <c r="AH1813" s="45">
        <v>0</v>
      </c>
      <c r="AI1813" s="45">
        <v>0</v>
      </c>
      <c r="AJ1813" s="45">
        <v>0</v>
      </c>
      <c r="AK1813" s="45">
        <v>0</v>
      </c>
      <c r="AL1813" s="45">
        <v>0</v>
      </c>
      <c r="AM1813" s="57" t="str">
        <f>I1813-J1813-K1813-L1813-M1813-N1813-O1813-P1813-Q1813-R1813-S1813-T1813-U1813-V1813-W1813-X1813-Y1813-Z1813-AA1813-AB1813-AC1813-AD1813-AE1813-AF1813-AG1813+AH1813-AI1813+AJ1813+AK1813-AL1813</f>
        <v>0</v>
      </c>
      <c r="AN1813" s="45"/>
    </row>
    <row r="1814" spans="1:41">
      <c r="A1814" s="45">
        <v>1786</v>
      </c>
      <c r="B1814" s="45" t="s">
        <v>6917</v>
      </c>
      <c r="C1814" s="49" t="s">
        <v>6918</v>
      </c>
      <c r="D1814" s="53" t="s">
        <v>73</v>
      </c>
      <c r="E1814" s="45" t="s">
        <v>6895</v>
      </c>
      <c r="F1814" s="45" t="s">
        <v>4093</v>
      </c>
      <c r="G1814" s="45">
        <v>2</v>
      </c>
      <c r="H1814" s="53" t="s">
        <v>6919</v>
      </c>
      <c r="I1814" s="45">
        <v>280000</v>
      </c>
      <c r="J1814" s="45">
        <v>0</v>
      </c>
      <c r="K1814" s="45">
        <v>23000</v>
      </c>
      <c r="L1814" s="45">
        <v>0</v>
      </c>
      <c r="M1814" s="45">
        <v>0</v>
      </c>
      <c r="N1814" s="45">
        <v>0</v>
      </c>
      <c r="O1814" s="45">
        <v>0</v>
      </c>
      <c r="P1814" s="45">
        <v>0</v>
      </c>
      <c r="Q1814" s="45">
        <v>0</v>
      </c>
      <c r="R1814" s="45">
        <v>0</v>
      </c>
      <c r="S1814" s="45">
        <v>0</v>
      </c>
      <c r="T1814" s="45">
        <v>0</v>
      </c>
      <c r="U1814" s="45">
        <v>1460</v>
      </c>
      <c r="V1814" s="45">
        <v>0</v>
      </c>
      <c r="W1814" s="45">
        <v>0</v>
      </c>
      <c r="X1814" s="45">
        <v>0</v>
      </c>
      <c r="Y1814" s="45">
        <v>0</v>
      </c>
      <c r="Z1814" s="45">
        <v>0</v>
      </c>
      <c r="AA1814" s="45">
        <v>0</v>
      </c>
      <c r="AB1814" s="45">
        <v>0</v>
      </c>
      <c r="AC1814" s="45">
        <v>0</v>
      </c>
      <c r="AD1814" s="45">
        <v>0</v>
      </c>
      <c r="AE1814" s="45">
        <v>0</v>
      </c>
      <c r="AF1814" s="45">
        <v>0</v>
      </c>
      <c r="AG1814" s="45">
        <v>0</v>
      </c>
      <c r="AH1814" s="45">
        <v>0</v>
      </c>
      <c r="AI1814" s="45">
        <v>0</v>
      </c>
      <c r="AJ1814" s="45">
        <v>0</v>
      </c>
      <c r="AK1814" s="45">
        <v>0</v>
      </c>
      <c r="AL1814" s="45">
        <v>0</v>
      </c>
      <c r="AM1814" s="57" t="str">
        <f>I1814-J1814-K1814-L1814-M1814-N1814-O1814-P1814-Q1814-R1814-S1814-T1814-U1814-V1814-W1814-X1814-Y1814-Z1814-AA1814-AB1814-AC1814-AD1814-AE1814-AF1814-AG1814+AH1814-AI1814+AJ1814+AK1814-AL1814</f>
        <v>0</v>
      </c>
      <c r="AN1814" s="45"/>
    </row>
    <row r="1815" spans="1:41">
      <c r="A1815" s="45">
        <v>1787</v>
      </c>
      <c r="B1815" s="45" t="s">
        <v>6920</v>
      </c>
      <c r="C1815" s="49" t="s">
        <v>6921</v>
      </c>
      <c r="D1815" s="53" t="s">
        <v>73</v>
      </c>
      <c r="E1815" s="45" t="s">
        <v>6895</v>
      </c>
      <c r="F1815" s="45" t="s">
        <v>6922</v>
      </c>
      <c r="G1815" s="45">
        <v>3</v>
      </c>
      <c r="H1815" s="53" t="s">
        <v>6923</v>
      </c>
      <c r="I1815" s="45">
        <v>385000</v>
      </c>
      <c r="J1815" s="45">
        <v>0</v>
      </c>
      <c r="K1815" s="45">
        <v>23000</v>
      </c>
      <c r="L1815" s="45">
        <v>0</v>
      </c>
      <c r="M1815" s="45">
        <v>0</v>
      </c>
      <c r="N1815" s="45">
        <v>0</v>
      </c>
      <c r="O1815" s="45">
        <v>0</v>
      </c>
      <c r="P1815" s="45">
        <v>0</v>
      </c>
      <c r="Q1815" s="45">
        <v>0</v>
      </c>
      <c r="R1815" s="45">
        <v>0</v>
      </c>
      <c r="S1815" s="45">
        <v>0</v>
      </c>
      <c r="T1815" s="45">
        <v>0</v>
      </c>
      <c r="U1815" s="45">
        <v>1460</v>
      </c>
      <c r="V1815" s="45">
        <v>0</v>
      </c>
      <c r="W1815" s="45">
        <v>0</v>
      </c>
      <c r="X1815" s="45">
        <v>0</v>
      </c>
      <c r="Y1815" s="45">
        <v>0</v>
      </c>
      <c r="Z1815" s="45">
        <v>0</v>
      </c>
      <c r="AA1815" s="45">
        <v>0</v>
      </c>
      <c r="AB1815" s="45">
        <v>0</v>
      </c>
      <c r="AC1815" s="45">
        <v>0</v>
      </c>
      <c r="AD1815" s="45">
        <v>0</v>
      </c>
      <c r="AE1815" s="45">
        <v>0</v>
      </c>
      <c r="AF1815" s="45">
        <v>0</v>
      </c>
      <c r="AG1815" s="45">
        <v>0</v>
      </c>
      <c r="AH1815" s="45">
        <v>0</v>
      </c>
      <c r="AI1815" s="45">
        <v>0</v>
      </c>
      <c r="AJ1815" s="45">
        <v>0</v>
      </c>
      <c r="AK1815" s="45">
        <v>0</v>
      </c>
      <c r="AL1815" s="45">
        <v>0</v>
      </c>
      <c r="AM1815" s="57" t="str">
        <f>I1815-J1815-K1815-L1815-M1815-N1815-O1815-P1815-Q1815-R1815-S1815-T1815-U1815-V1815-W1815-X1815-Y1815-Z1815-AA1815-AB1815-AC1815-AD1815-AE1815-AF1815-AG1815+AH1815-AI1815+AJ1815+AK1815-AL1815</f>
        <v>0</v>
      </c>
      <c r="AN1815" s="45"/>
    </row>
    <row r="1816" spans="1:41">
      <c r="A1816" s="45">
        <v>1788</v>
      </c>
      <c r="B1816" s="45" t="s">
        <v>6924</v>
      </c>
      <c r="C1816" s="49" t="s">
        <v>6925</v>
      </c>
      <c r="D1816" s="53" t="s">
        <v>73</v>
      </c>
      <c r="E1816" s="45" t="s">
        <v>6895</v>
      </c>
      <c r="F1816" s="45" t="s">
        <v>6926</v>
      </c>
      <c r="G1816" s="45">
        <v>2</v>
      </c>
      <c r="H1816" s="53" t="s">
        <v>6927</v>
      </c>
      <c r="I1816" s="45">
        <v>384000</v>
      </c>
      <c r="J1816" s="45">
        <v>0</v>
      </c>
      <c r="K1816" s="45">
        <v>22000</v>
      </c>
      <c r="L1816" s="45">
        <v>0</v>
      </c>
      <c r="M1816" s="45">
        <v>0</v>
      </c>
      <c r="N1816" s="45">
        <v>0</v>
      </c>
      <c r="O1816" s="45">
        <v>0</v>
      </c>
      <c r="P1816" s="45">
        <v>0</v>
      </c>
      <c r="Q1816" s="45">
        <v>0</v>
      </c>
      <c r="R1816" s="45">
        <v>0</v>
      </c>
      <c r="S1816" s="45">
        <v>0</v>
      </c>
      <c r="T1816" s="45">
        <v>0</v>
      </c>
      <c r="U1816" s="45">
        <v>1397</v>
      </c>
      <c r="V1816" s="45">
        <v>0</v>
      </c>
      <c r="W1816" s="45">
        <v>0</v>
      </c>
      <c r="X1816" s="45">
        <v>0</v>
      </c>
      <c r="Y1816" s="45">
        <v>0</v>
      </c>
      <c r="Z1816" s="45">
        <v>0</v>
      </c>
      <c r="AA1816" s="45">
        <v>0</v>
      </c>
      <c r="AB1816" s="45">
        <v>0</v>
      </c>
      <c r="AC1816" s="45">
        <v>0</v>
      </c>
      <c r="AD1816" s="45">
        <v>0</v>
      </c>
      <c r="AE1816" s="45">
        <v>0</v>
      </c>
      <c r="AF1816" s="45">
        <v>0</v>
      </c>
      <c r="AG1816" s="45">
        <v>0</v>
      </c>
      <c r="AH1816" s="45">
        <v>0</v>
      </c>
      <c r="AI1816" s="45">
        <v>0</v>
      </c>
      <c r="AJ1816" s="45">
        <v>0</v>
      </c>
      <c r="AK1816" s="45">
        <v>0</v>
      </c>
      <c r="AL1816" s="45">
        <v>0</v>
      </c>
      <c r="AM1816" s="57" t="str">
        <f>I1816-J1816-K1816-L1816-M1816-N1816-O1816-P1816-Q1816-R1816-S1816-T1816-U1816-V1816-W1816-X1816-Y1816-Z1816-AA1816-AB1816-AC1816-AD1816-AE1816-AF1816-AG1816+AH1816-AI1816+AJ1816+AK1816-AL1816</f>
        <v>0</v>
      </c>
      <c r="AN1816" s="45"/>
    </row>
    <row r="1817" spans="1:41">
      <c r="A1817" s="45">
        <v>1789</v>
      </c>
      <c r="B1817" s="45" t="s">
        <v>6928</v>
      </c>
      <c r="C1817" s="49" t="s">
        <v>6929</v>
      </c>
      <c r="D1817" s="53" t="s">
        <v>73</v>
      </c>
      <c r="E1817" s="45" t="s">
        <v>6895</v>
      </c>
      <c r="F1817" s="45" t="s">
        <v>6930</v>
      </c>
      <c r="G1817" s="45">
        <v>2</v>
      </c>
      <c r="H1817" s="53" t="s">
        <v>6931</v>
      </c>
      <c r="I1817" s="45">
        <v>625000</v>
      </c>
      <c r="J1817" s="45">
        <v>0</v>
      </c>
      <c r="K1817" s="45">
        <v>23000</v>
      </c>
      <c r="L1817" s="45">
        <v>0</v>
      </c>
      <c r="M1817" s="45">
        <v>0</v>
      </c>
      <c r="N1817" s="45">
        <v>0</v>
      </c>
      <c r="O1817" s="45">
        <v>0</v>
      </c>
      <c r="P1817" s="45">
        <v>0</v>
      </c>
      <c r="Q1817" s="45">
        <v>0</v>
      </c>
      <c r="R1817" s="45">
        <v>0</v>
      </c>
      <c r="S1817" s="45">
        <v>0</v>
      </c>
      <c r="T1817" s="45">
        <v>0</v>
      </c>
      <c r="U1817" s="45">
        <v>1460</v>
      </c>
      <c r="V1817" s="45">
        <v>0</v>
      </c>
      <c r="W1817" s="45">
        <v>0</v>
      </c>
      <c r="X1817" s="45">
        <v>0</v>
      </c>
      <c r="Y1817" s="45">
        <v>0</v>
      </c>
      <c r="Z1817" s="45">
        <v>0</v>
      </c>
      <c r="AA1817" s="45">
        <v>0</v>
      </c>
      <c r="AB1817" s="45">
        <v>0</v>
      </c>
      <c r="AC1817" s="45">
        <v>0</v>
      </c>
      <c r="AD1817" s="45">
        <v>0</v>
      </c>
      <c r="AE1817" s="45">
        <v>0</v>
      </c>
      <c r="AF1817" s="45">
        <v>0</v>
      </c>
      <c r="AG1817" s="45">
        <v>0</v>
      </c>
      <c r="AH1817" s="45">
        <v>0</v>
      </c>
      <c r="AI1817" s="45">
        <v>0</v>
      </c>
      <c r="AJ1817" s="45">
        <v>0</v>
      </c>
      <c r="AK1817" s="45">
        <v>0</v>
      </c>
      <c r="AL1817" s="45">
        <v>0</v>
      </c>
      <c r="AM1817" s="57" t="str">
        <f>I1817-J1817-K1817-L1817-M1817-N1817-O1817-P1817-Q1817-R1817-S1817-T1817-U1817-V1817-W1817-X1817-Y1817-Z1817-AA1817-AB1817-AC1817-AD1817-AE1817-AF1817-AG1817+AH1817-AI1817+AJ1817+AK1817-AL1817</f>
        <v>0</v>
      </c>
      <c r="AN1817" s="45"/>
    </row>
    <row r="1818" spans="1:41">
      <c r="A1818" s="45">
        <v>1790</v>
      </c>
      <c r="B1818" s="45" t="s">
        <v>6932</v>
      </c>
      <c r="C1818" s="49" t="s">
        <v>6933</v>
      </c>
      <c r="D1818" s="53" t="s">
        <v>73</v>
      </c>
      <c r="E1818" s="45" t="s">
        <v>6895</v>
      </c>
      <c r="F1818" s="45" t="s">
        <v>6934</v>
      </c>
      <c r="G1818" s="45">
        <v>5</v>
      </c>
      <c r="H1818" s="53" t="s">
        <v>6935</v>
      </c>
      <c r="I1818" s="45">
        <v>1699000</v>
      </c>
      <c r="J1818" s="45">
        <v>0</v>
      </c>
      <c r="K1818" s="45">
        <v>23000</v>
      </c>
      <c r="L1818" s="45">
        <v>0</v>
      </c>
      <c r="M1818" s="45">
        <v>0</v>
      </c>
      <c r="N1818" s="45">
        <v>0</v>
      </c>
      <c r="O1818" s="45">
        <v>0</v>
      </c>
      <c r="P1818" s="45">
        <v>0</v>
      </c>
      <c r="Q1818" s="45">
        <v>0</v>
      </c>
      <c r="R1818" s="45">
        <v>0</v>
      </c>
      <c r="S1818" s="45">
        <v>0</v>
      </c>
      <c r="T1818" s="45">
        <v>0</v>
      </c>
      <c r="U1818" s="45">
        <v>1460</v>
      </c>
      <c r="V1818" s="45">
        <v>0</v>
      </c>
      <c r="W1818" s="45">
        <v>0</v>
      </c>
      <c r="X1818" s="45">
        <v>0</v>
      </c>
      <c r="Y1818" s="45">
        <v>0</v>
      </c>
      <c r="Z1818" s="45">
        <v>0</v>
      </c>
      <c r="AA1818" s="45">
        <v>0</v>
      </c>
      <c r="AB1818" s="45">
        <v>0</v>
      </c>
      <c r="AC1818" s="45">
        <v>0</v>
      </c>
      <c r="AD1818" s="45">
        <v>0</v>
      </c>
      <c r="AE1818" s="45">
        <v>0</v>
      </c>
      <c r="AF1818" s="45">
        <v>0</v>
      </c>
      <c r="AG1818" s="45">
        <v>0</v>
      </c>
      <c r="AH1818" s="45">
        <v>0</v>
      </c>
      <c r="AI1818" s="45">
        <v>0</v>
      </c>
      <c r="AJ1818" s="45">
        <v>0</v>
      </c>
      <c r="AK1818" s="45">
        <v>0</v>
      </c>
      <c r="AL1818" s="45">
        <v>0</v>
      </c>
      <c r="AM1818" s="57" t="str">
        <f>I1818-J1818-K1818-L1818-M1818-N1818-O1818-P1818-Q1818-R1818-S1818-T1818-U1818-V1818-W1818-X1818-Y1818-Z1818-AA1818-AB1818-AC1818-AD1818-AE1818-AF1818-AG1818+AH1818-AI1818+AJ1818+AK1818-AL1818</f>
        <v>0</v>
      </c>
      <c r="AN1818" s="45"/>
    </row>
    <row r="1819" spans="1:41">
      <c r="A1819" s="45">
        <v>1791</v>
      </c>
      <c r="B1819" s="45" t="s">
        <v>6936</v>
      </c>
      <c r="C1819" s="49" t="s">
        <v>6937</v>
      </c>
      <c r="D1819" s="53" t="s">
        <v>73</v>
      </c>
      <c r="E1819" s="45" t="s">
        <v>6895</v>
      </c>
      <c r="F1819" s="45" t="s">
        <v>6938</v>
      </c>
      <c r="G1819" s="45">
        <v>2</v>
      </c>
      <c r="H1819" s="53" t="s">
        <v>6939</v>
      </c>
      <c r="I1819" s="45">
        <v>264000</v>
      </c>
      <c r="J1819" s="45">
        <v>0</v>
      </c>
      <c r="K1819" s="45">
        <v>23000</v>
      </c>
      <c r="L1819" s="45">
        <v>0</v>
      </c>
      <c r="M1819" s="45">
        <v>0</v>
      </c>
      <c r="N1819" s="45">
        <v>0</v>
      </c>
      <c r="O1819" s="45">
        <v>0</v>
      </c>
      <c r="P1819" s="45">
        <v>0</v>
      </c>
      <c r="Q1819" s="45">
        <v>0</v>
      </c>
      <c r="R1819" s="45">
        <v>0</v>
      </c>
      <c r="S1819" s="45">
        <v>0</v>
      </c>
      <c r="T1819" s="45">
        <v>0</v>
      </c>
      <c r="U1819" s="45">
        <v>1460</v>
      </c>
      <c r="V1819" s="45">
        <v>0</v>
      </c>
      <c r="W1819" s="45">
        <v>0</v>
      </c>
      <c r="X1819" s="45">
        <v>0</v>
      </c>
      <c r="Y1819" s="45">
        <v>0</v>
      </c>
      <c r="Z1819" s="45">
        <v>0</v>
      </c>
      <c r="AA1819" s="45">
        <v>0</v>
      </c>
      <c r="AB1819" s="45">
        <v>0</v>
      </c>
      <c r="AC1819" s="45">
        <v>0</v>
      </c>
      <c r="AD1819" s="45">
        <v>0</v>
      </c>
      <c r="AE1819" s="45">
        <v>0</v>
      </c>
      <c r="AF1819" s="45">
        <v>0</v>
      </c>
      <c r="AG1819" s="45">
        <v>0</v>
      </c>
      <c r="AH1819" s="45">
        <v>0</v>
      </c>
      <c r="AI1819" s="45">
        <v>0</v>
      </c>
      <c r="AJ1819" s="45">
        <v>0</v>
      </c>
      <c r="AK1819" s="45">
        <v>0</v>
      </c>
      <c r="AL1819" s="45">
        <v>0</v>
      </c>
      <c r="AM1819" s="57" t="str">
        <f>I1819-J1819-K1819-L1819-M1819-N1819-O1819-P1819-Q1819-R1819-S1819-T1819-U1819-V1819-W1819-X1819-Y1819-Z1819-AA1819-AB1819-AC1819-AD1819-AE1819-AF1819-AG1819+AH1819-AI1819+AJ1819+AK1819-AL1819</f>
        <v>0</v>
      </c>
      <c r="AN1819" s="45"/>
    </row>
    <row r="1820" spans="1:41">
      <c r="A1820" s="45">
        <v>1792</v>
      </c>
      <c r="B1820" s="45" t="s">
        <v>6940</v>
      </c>
      <c r="C1820" s="49" t="s">
        <v>6941</v>
      </c>
      <c r="D1820" s="53" t="s">
        <v>73</v>
      </c>
      <c r="E1820" s="45" t="s">
        <v>6895</v>
      </c>
      <c r="F1820" s="45" t="s">
        <v>6942</v>
      </c>
      <c r="G1820" s="45">
        <v>3</v>
      </c>
      <c r="H1820" s="53" t="s">
        <v>6943</v>
      </c>
      <c r="I1820" s="45">
        <v>427000</v>
      </c>
      <c r="J1820" s="45">
        <v>0</v>
      </c>
      <c r="K1820" s="45">
        <v>23000</v>
      </c>
      <c r="L1820" s="45">
        <v>0</v>
      </c>
      <c r="M1820" s="45">
        <v>0</v>
      </c>
      <c r="N1820" s="45">
        <v>0</v>
      </c>
      <c r="O1820" s="45">
        <v>0</v>
      </c>
      <c r="P1820" s="45">
        <v>0</v>
      </c>
      <c r="Q1820" s="45">
        <v>0</v>
      </c>
      <c r="R1820" s="45">
        <v>0</v>
      </c>
      <c r="S1820" s="45">
        <v>0</v>
      </c>
      <c r="T1820" s="45">
        <v>0</v>
      </c>
      <c r="U1820" s="45">
        <v>1460</v>
      </c>
      <c r="V1820" s="45">
        <v>0</v>
      </c>
      <c r="W1820" s="45">
        <v>0</v>
      </c>
      <c r="X1820" s="45">
        <v>0</v>
      </c>
      <c r="Y1820" s="45">
        <v>0</v>
      </c>
      <c r="Z1820" s="45">
        <v>0</v>
      </c>
      <c r="AA1820" s="45">
        <v>0</v>
      </c>
      <c r="AB1820" s="45">
        <v>0</v>
      </c>
      <c r="AC1820" s="45">
        <v>0</v>
      </c>
      <c r="AD1820" s="45">
        <v>0</v>
      </c>
      <c r="AE1820" s="45">
        <v>0</v>
      </c>
      <c r="AF1820" s="45">
        <v>0</v>
      </c>
      <c r="AG1820" s="45">
        <v>0</v>
      </c>
      <c r="AH1820" s="45">
        <v>0</v>
      </c>
      <c r="AI1820" s="45">
        <v>0</v>
      </c>
      <c r="AJ1820" s="45">
        <v>0</v>
      </c>
      <c r="AK1820" s="45">
        <v>0</v>
      </c>
      <c r="AL1820" s="45">
        <v>0</v>
      </c>
      <c r="AM1820" s="57" t="str">
        <f>I1820-J1820-K1820-L1820-M1820-N1820-O1820-P1820-Q1820-R1820-S1820-T1820-U1820-V1820-W1820-X1820-Y1820-Z1820-AA1820-AB1820-AC1820-AD1820-AE1820-AF1820-AG1820+AH1820-AI1820+AJ1820+AK1820-AL1820</f>
        <v>0</v>
      </c>
      <c r="AN1820" s="45"/>
    </row>
    <row r="1821" spans="1:41">
      <c r="A1821" s="45">
        <v>1793</v>
      </c>
      <c r="B1821" s="45" t="s">
        <v>6944</v>
      </c>
      <c r="C1821" s="49" t="s">
        <v>6945</v>
      </c>
      <c r="D1821" s="53" t="s">
        <v>73</v>
      </c>
      <c r="E1821" s="45" t="s">
        <v>6895</v>
      </c>
      <c r="F1821" s="45" t="s">
        <v>5939</v>
      </c>
      <c r="G1821" s="45">
        <v>2</v>
      </c>
      <c r="H1821" s="53" t="s">
        <v>6946</v>
      </c>
      <c r="I1821" s="45">
        <v>290000</v>
      </c>
      <c r="J1821" s="45">
        <v>0</v>
      </c>
      <c r="K1821" s="45">
        <v>22000</v>
      </c>
      <c r="L1821" s="45">
        <v>0</v>
      </c>
      <c r="M1821" s="45">
        <v>0</v>
      </c>
      <c r="N1821" s="45">
        <v>0</v>
      </c>
      <c r="O1821" s="45">
        <v>0</v>
      </c>
      <c r="P1821" s="45">
        <v>0</v>
      </c>
      <c r="Q1821" s="45">
        <v>0</v>
      </c>
      <c r="R1821" s="45">
        <v>0</v>
      </c>
      <c r="S1821" s="45">
        <v>0</v>
      </c>
      <c r="T1821" s="45">
        <v>0</v>
      </c>
      <c r="U1821" s="45">
        <v>1397</v>
      </c>
      <c r="V1821" s="45">
        <v>0</v>
      </c>
      <c r="W1821" s="45">
        <v>0</v>
      </c>
      <c r="X1821" s="45">
        <v>0</v>
      </c>
      <c r="Y1821" s="45">
        <v>0</v>
      </c>
      <c r="Z1821" s="45">
        <v>0</v>
      </c>
      <c r="AA1821" s="45">
        <v>0</v>
      </c>
      <c r="AB1821" s="45">
        <v>0</v>
      </c>
      <c r="AC1821" s="45">
        <v>0</v>
      </c>
      <c r="AD1821" s="45">
        <v>0</v>
      </c>
      <c r="AE1821" s="45">
        <v>0</v>
      </c>
      <c r="AF1821" s="45">
        <v>0</v>
      </c>
      <c r="AG1821" s="45">
        <v>0</v>
      </c>
      <c r="AH1821" s="45">
        <v>0</v>
      </c>
      <c r="AI1821" s="45">
        <v>0</v>
      </c>
      <c r="AJ1821" s="45">
        <v>0</v>
      </c>
      <c r="AK1821" s="45">
        <v>0</v>
      </c>
      <c r="AL1821" s="45">
        <v>0</v>
      </c>
      <c r="AM1821" s="57" t="str">
        <f>I1821-J1821-K1821-L1821-M1821-N1821-O1821-P1821-Q1821-R1821-S1821-T1821-U1821-V1821-W1821-X1821-Y1821-Z1821-AA1821-AB1821-AC1821-AD1821-AE1821-AF1821-AG1821+AH1821-AI1821+AJ1821+AK1821-AL1821</f>
        <v>0</v>
      </c>
      <c r="AN1821" s="45"/>
    </row>
    <row r="1822" spans="1:41">
      <c r="A1822" s="45">
        <v>1794</v>
      </c>
      <c r="B1822" s="45" t="s">
        <v>6947</v>
      </c>
      <c r="C1822" s="49" t="s">
        <v>6948</v>
      </c>
      <c r="D1822" s="53" t="s">
        <v>73</v>
      </c>
      <c r="E1822" s="45" t="s">
        <v>6895</v>
      </c>
      <c r="F1822" s="45" t="s">
        <v>6949</v>
      </c>
      <c r="G1822" s="45">
        <v>2</v>
      </c>
      <c r="H1822" s="53" t="s">
        <v>6950</v>
      </c>
      <c r="I1822" s="45">
        <v>254000</v>
      </c>
      <c r="J1822" s="45">
        <v>0</v>
      </c>
      <c r="K1822" s="45">
        <v>23000</v>
      </c>
      <c r="L1822" s="45">
        <v>0</v>
      </c>
      <c r="M1822" s="45">
        <v>0</v>
      </c>
      <c r="N1822" s="45">
        <v>0</v>
      </c>
      <c r="O1822" s="45">
        <v>0</v>
      </c>
      <c r="P1822" s="45">
        <v>0</v>
      </c>
      <c r="Q1822" s="45">
        <v>0</v>
      </c>
      <c r="R1822" s="45">
        <v>0</v>
      </c>
      <c r="S1822" s="45">
        <v>0</v>
      </c>
      <c r="T1822" s="45">
        <v>0</v>
      </c>
      <c r="U1822" s="45">
        <v>1460</v>
      </c>
      <c r="V1822" s="45">
        <v>0</v>
      </c>
      <c r="W1822" s="45">
        <v>0</v>
      </c>
      <c r="X1822" s="45">
        <v>0</v>
      </c>
      <c r="Y1822" s="45">
        <v>0</v>
      </c>
      <c r="Z1822" s="45">
        <v>0</v>
      </c>
      <c r="AA1822" s="45">
        <v>0</v>
      </c>
      <c r="AB1822" s="45">
        <v>0</v>
      </c>
      <c r="AC1822" s="45">
        <v>0</v>
      </c>
      <c r="AD1822" s="45">
        <v>0</v>
      </c>
      <c r="AE1822" s="45">
        <v>0</v>
      </c>
      <c r="AF1822" s="45">
        <v>0</v>
      </c>
      <c r="AG1822" s="45">
        <v>0</v>
      </c>
      <c r="AH1822" s="45">
        <v>0</v>
      </c>
      <c r="AI1822" s="45">
        <v>0</v>
      </c>
      <c r="AJ1822" s="45">
        <v>0</v>
      </c>
      <c r="AK1822" s="45">
        <v>0</v>
      </c>
      <c r="AL1822" s="45">
        <v>0</v>
      </c>
      <c r="AM1822" s="57" t="str">
        <f>I1822-J1822-K1822-L1822-M1822-N1822-O1822-P1822-Q1822-R1822-S1822-T1822-U1822-V1822-W1822-X1822-Y1822-Z1822-AA1822-AB1822-AC1822-AD1822-AE1822-AF1822-AG1822+AH1822-AI1822+AJ1822+AK1822-AL1822</f>
        <v>0</v>
      </c>
      <c r="AN1822" s="45"/>
    </row>
    <row r="1823" spans="1:41">
      <c r="A1823" s="45">
        <v>1795</v>
      </c>
      <c r="B1823" s="45" t="s">
        <v>6951</v>
      </c>
      <c r="C1823" s="49" t="s">
        <v>6952</v>
      </c>
      <c r="D1823" s="53" t="s">
        <v>73</v>
      </c>
      <c r="E1823" s="45" t="s">
        <v>6895</v>
      </c>
      <c r="F1823" s="45" t="s">
        <v>6953</v>
      </c>
      <c r="G1823" s="45">
        <v>5</v>
      </c>
      <c r="H1823" s="53" t="s">
        <v>6954</v>
      </c>
      <c r="I1823" s="45">
        <v>434000</v>
      </c>
      <c r="J1823" s="45">
        <v>0</v>
      </c>
      <c r="K1823" s="45">
        <v>23000</v>
      </c>
      <c r="L1823" s="45">
        <v>0</v>
      </c>
      <c r="M1823" s="45">
        <v>0</v>
      </c>
      <c r="N1823" s="45">
        <v>0</v>
      </c>
      <c r="O1823" s="45">
        <v>0</v>
      </c>
      <c r="P1823" s="45">
        <v>0</v>
      </c>
      <c r="Q1823" s="45">
        <v>0</v>
      </c>
      <c r="R1823" s="45">
        <v>0</v>
      </c>
      <c r="S1823" s="45">
        <v>0</v>
      </c>
      <c r="T1823" s="45">
        <v>0</v>
      </c>
      <c r="U1823" s="45">
        <v>1460</v>
      </c>
      <c r="V1823" s="45">
        <v>0</v>
      </c>
      <c r="W1823" s="45">
        <v>0</v>
      </c>
      <c r="X1823" s="45">
        <v>0</v>
      </c>
      <c r="Y1823" s="45">
        <v>0</v>
      </c>
      <c r="Z1823" s="45">
        <v>0</v>
      </c>
      <c r="AA1823" s="45">
        <v>0</v>
      </c>
      <c r="AB1823" s="45">
        <v>0</v>
      </c>
      <c r="AC1823" s="45">
        <v>0</v>
      </c>
      <c r="AD1823" s="45">
        <v>0</v>
      </c>
      <c r="AE1823" s="45">
        <v>0</v>
      </c>
      <c r="AF1823" s="45">
        <v>0</v>
      </c>
      <c r="AG1823" s="45">
        <v>0</v>
      </c>
      <c r="AH1823" s="45">
        <v>0</v>
      </c>
      <c r="AI1823" s="45">
        <v>0</v>
      </c>
      <c r="AJ1823" s="45">
        <v>0</v>
      </c>
      <c r="AK1823" s="45">
        <v>0</v>
      </c>
      <c r="AL1823" s="45">
        <v>0</v>
      </c>
      <c r="AM1823" s="57" t="str">
        <f>I1823-J1823-K1823-L1823-M1823-N1823-O1823-P1823-Q1823-R1823-S1823-T1823-U1823-V1823-W1823-X1823-Y1823-Z1823-AA1823-AB1823-AC1823-AD1823-AE1823-AF1823-AG1823+AH1823-AI1823+AJ1823+AK1823-AL1823</f>
        <v>0</v>
      </c>
      <c r="AN1823" s="45"/>
    </row>
    <row r="1824" spans="1:41">
      <c r="A1824" s="45">
        <v>1796</v>
      </c>
      <c r="B1824" s="45" t="s">
        <v>6955</v>
      </c>
      <c r="C1824" s="49" t="s">
        <v>6956</v>
      </c>
      <c r="D1824" s="53" t="s">
        <v>73</v>
      </c>
      <c r="E1824" s="45" t="s">
        <v>6895</v>
      </c>
      <c r="F1824" s="45" t="s">
        <v>6957</v>
      </c>
      <c r="G1824" s="45">
        <v>7</v>
      </c>
      <c r="H1824" s="53" t="s">
        <v>6958</v>
      </c>
      <c r="I1824" s="45">
        <v>0</v>
      </c>
      <c r="J1824" s="45">
        <v>0</v>
      </c>
      <c r="K1824" s="45">
        <v>25000</v>
      </c>
      <c r="L1824" s="45">
        <v>0</v>
      </c>
      <c r="M1824" s="45">
        <v>0</v>
      </c>
      <c r="N1824" s="45">
        <v>0</v>
      </c>
      <c r="O1824" s="45">
        <v>0</v>
      </c>
      <c r="P1824" s="45">
        <v>0</v>
      </c>
      <c r="Q1824" s="45">
        <v>0</v>
      </c>
      <c r="R1824" s="45">
        <v>0</v>
      </c>
      <c r="S1824" s="45">
        <v>0</v>
      </c>
      <c r="T1824" s="45">
        <v>0</v>
      </c>
      <c r="U1824" s="45">
        <v>1587</v>
      </c>
      <c r="V1824" s="45">
        <v>0</v>
      </c>
      <c r="W1824" s="45">
        <v>0</v>
      </c>
      <c r="X1824" s="45">
        <v>0</v>
      </c>
      <c r="Y1824" s="45">
        <v>0</v>
      </c>
      <c r="Z1824" s="45">
        <v>0</v>
      </c>
      <c r="AA1824" s="45">
        <v>0</v>
      </c>
      <c r="AB1824" s="45">
        <v>0</v>
      </c>
      <c r="AC1824" s="45">
        <v>0</v>
      </c>
      <c r="AD1824" s="45">
        <v>0</v>
      </c>
      <c r="AE1824" s="45">
        <v>0</v>
      </c>
      <c r="AF1824" s="45">
        <v>0</v>
      </c>
      <c r="AG1824" s="45">
        <v>0</v>
      </c>
      <c r="AH1824" s="45">
        <v>0</v>
      </c>
      <c r="AI1824" s="45">
        <v>0</v>
      </c>
      <c r="AJ1824" s="45">
        <v>0</v>
      </c>
      <c r="AK1824" s="45">
        <v>0</v>
      </c>
      <c r="AL1824" s="45">
        <v>0</v>
      </c>
      <c r="AM1824" s="57" t="str">
        <f>I1824-J1824-K1824-L1824-M1824-N1824-O1824-P1824-Q1824-R1824-S1824-T1824-U1824-V1824-W1824-X1824-Y1824-Z1824-AA1824-AB1824-AC1824-AD1824-AE1824-AF1824-AG1824+AH1824-AI1824+AJ1824+AK1824-AL1824</f>
        <v>0</v>
      </c>
      <c r="AN1824" s="45"/>
    </row>
    <row r="1825" spans="1:41">
      <c r="A1825" s="45">
        <v>1797</v>
      </c>
      <c r="B1825" s="45" t="s">
        <v>6959</v>
      </c>
      <c r="C1825" s="49" t="s">
        <v>6960</v>
      </c>
      <c r="D1825" s="53" t="s">
        <v>73</v>
      </c>
      <c r="E1825" s="45" t="s">
        <v>6895</v>
      </c>
      <c r="F1825" s="45" t="s">
        <v>6961</v>
      </c>
      <c r="G1825" s="45">
        <v>3</v>
      </c>
      <c r="H1825" s="53" t="s">
        <v>6962</v>
      </c>
      <c r="I1825" s="45">
        <v>334000</v>
      </c>
      <c r="J1825" s="45">
        <v>0</v>
      </c>
      <c r="K1825" s="45">
        <v>22000</v>
      </c>
      <c r="L1825" s="45">
        <v>0</v>
      </c>
      <c r="M1825" s="45">
        <v>0</v>
      </c>
      <c r="N1825" s="45">
        <v>0</v>
      </c>
      <c r="O1825" s="45">
        <v>0</v>
      </c>
      <c r="P1825" s="45">
        <v>0</v>
      </c>
      <c r="Q1825" s="45">
        <v>0</v>
      </c>
      <c r="R1825" s="45">
        <v>0</v>
      </c>
      <c r="S1825" s="45">
        <v>0</v>
      </c>
      <c r="T1825" s="45">
        <v>0</v>
      </c>
      <c r="U1825" s="45">
        <v>1397</v>
      </c>
      <c r="V1825" s="45">
        <v>0</v>
      </c>
      <c r="W1825" s="45">
        <v>0</v>
      </c>
      <c r="X1825" s="45">
        <v>0</v>
      </c>
      <c r="Y1825" s="45">
        <v>0</v>
      </c>
      <c r="Z1825" s="45">
        <v>0</v>
      </c>
      <c r="AA1825" s="45">
        <v>0</v>
      </c>
      <c r="AB1825" s="45">
        <v>0</v>
      </c>
      <c r="AC1825" s="45">
        <v>0</v>
      </c>
      <c r="AD1825" s="45">
        <v>0</v>
      </c>
      <c r="AE1825" s="45">
        <v>0</v>
      </c>
      <c r="AF1825" s="45">
        <v>0</v>
      </c>
      <c r="AG1825" s="45">
        <v>0</v>
      </c>
      <c r="AH1825" s="45">
        <v>0</v>
      </c>
      <c r="AI1825" s="45">
        <v>0</v>
      </c>
      <c r="AJ1825" s="45">
        <v>0</v>
      </c>
      <c r="AK1825" s="45">
        <v>0</v>
      </c>
      <c r="AL1825" s="45">
        <v>0</v>
      </c>
      <c r="AM1825" s="57" t="str">
        <f>I1825-J1825-K1825-L1825-M1825-N1825-O1825-P1825-Q1825-R1825-S1825-T1825-U1825-V1825-W1825-X1825-Y1825-Z1825-AA1825-AB1825-AC1825-AD1825-AE1825-AF1825-AG1825+AH1825-AI1825+AJ1825+AK1825-AL1825</f>
        <v>0</v>
      </c>
      <c r="AN1825" s="45"/>
    </row>
    <row r="1826" spans="1:41">
      <c r="A1826" s="45">
        <v>1798</v>
      </c>
      <c r="B1826" s="45" t="s">
        <v>6963</v>
      </c>
      <c r="C1826" s="49" t="s">
        <v>6964</v>
      </c>
      <c r="D1826" s="53" t="s">
        <v>73</v>
      </c>
      <c r="E1826" s="45" t="s">
        <v>6895</v>
      </c>
      <c r="F1826" s="45" t="s">
        <v>6048</v>
      </c>
      <c r="G1826" s="45">
        <v>3</v>
      </c>
      <c r="H1826" s="53" t="s">
        <v>6965</v>
      </c>
      <c r="I1826" s="45">
        <v>334000</v>
      </c>
      <c r="J1826" s="45">
        <v>0</v>
      </c>
      <c r="K1826" s="45">
        <v>22000</v>
      </c>
      <c r="L1826" s="45">
        <v>0</v>
      </c>
      <c r="M1826" s="45">
        <v>0</v>
      </c>
      <c r="N1826" s="45">
        <v>0</v>
      </c>
      <c r="O1826" s="45">
        <v>0</v>
      </c>
      <c r="P1826" s="45">
        <v>0</v>
      </c>
      <c r="Q1826" s="45">
        <v>0</v>
      </c>
      <c r="R1826" s="45">
        <v>0</v>
      </c>
      <c r="S1826" s="45">
        <v>0</v>
      </c>
      <c r="T1826" s="45">
        <v>0</v>
      </c>
      <c r="U1826" s="45">
        <v>1397</v>
      </c>
      <c r="V1826" s="45">
        <v>0</v>
      </c>
      <c r="W1826" s="45">
        <v>0</v>
      </c>
      <c r="X1826" s="45">
        <v>0</v>
      </c>
      <c r="Y1826" s="45">
        <v>0</v>
      </c>
      <c r="Z1826" s="45">
        <v>0</v>
      </c>
      <c r="AA1826" s="45">
        <v>0</v>
      </c>
      <c r="AB1826" s="45">
        <v>0</v>
      </c>
      <c r="AC1826" s="45">
        <v>0</v>
      </c>
      <c r="AD1826" s="45">
        <v>0</v>
      </c>
      <c r="AE1826" s="45">
        <v>0</v>
      </c>
      <c r="AF1826" s="45">
        <v>0</v>
      </c>
      <c r="AG1826" s="45">
        <v>0</v>
      </c>
      <c r="AH1826" s="45">
        <v>0</v>
      </c>
      <c r="AI1826" s="45">
        <v>0</v>
      </c>
      <c r="AJ1826" s="45">
        <v>0</v>
      </c>
      <c r="AK1826" s="45">
        <v>0</v>
      </c>
      <c r="AL1826" s="45">
        <v>0</v>
      </c>
      <c r="AM1826" s="57" t="str">
        <f>I1826-J1826-K1826-L1826-M1826-N1826-O1826-P1826-Q1826-R1826-S1826-T1826-U1826-V1826-W1826-X1826-Y1826-Z1826-AA1826-AB1826-AC1826-AD1826-AE1826-AF1826-AG1826+AH1826-AI1826+AJ1826+AK1826-AL1826</f>
        <v>0</v>
      </c>
      <c r="AN1826" s="45"/>
    </row>
    <row r="1827" spans="1:41">
      <c r="A1827" s="45">
        <v>1799</v>
      </c>
      <c r="B1827" s="45" t="s">
        <v>6966</v>
      </c>
      <c r="C1827" s="49" t="s">
        <v>6967</v>
      </c>
      <c r="D1827" s="53" t="s">
        <v>73</v>
      </c>
      <c r="E1827" s="45" t="s">
        <v>6968</v>
      </c>
      <c r="F1827" s="45" t="s">
        <v>6969</v>
      </c>
      <c r="G1827" s="45">
        <v>2</v>
      </c>
      <c r="H1827" s="53" t="s">
        <v>5156</v>
      </c>
      <c r="I1827" s="45">
        <v>285000</v>
      </c>
      <c r="J1827" s="45">
        <v>0</v>
      </c>
      <c r="K1827" s="45">
        <v>22000</v>
      </c>
      <c r="L1827" s="45">
        <v>0</v>
      </c>
      <c r="M1827" s="45">
        <v>0</v>
      </c>
      <c r="N1827" s="45">
        <v>0</v>
      </c>
      <c r="O1827" s="45">
        <v>0</v>
      </c>
      <c r="P1827" s="45">
        <v>0</v>
      </c>
      <c r="Q1827" s="45">
        <v>0</v>
      </c>
      <c r="R1827" s="45">
        <v>0</v>
      </c>
      <c r="S1827" s="45">
        <v>0</v>
      </c>
      <c r="T1827" s="45">
        <v>0</v>
      </c>
      <c r="U1827" s="45">
        <v>1397</v>
      </c>
      <c r="V1827" s="45">
        <v>0</v>
      </c>
      <c r="W1827" s="45">
        <v>0</v>
      </c>
      <c r="X1827" s="45">
        <v>0</v>
      </c>
      <c r="Y1827" s="45">
        <v>0</v>
      </c>
      <c r="Z1827" s="45">
        <v>0</v>
      </c>
      <c r="AA1827" s="45">
        <v>0</v>
      </c>
      <c r="AB1827" s="45">
        <v>0</v>
      </c>
      <c r="AC1827" s="45">
        <v>0</v>
      </c>
      <c r="AD1827" s="45">
        <v>0</v>
      </c>
      <c r="AE1827" s="45">
        <v>0</v>
      </c>
      <c r="AF1827" s="45">
        <v>0</v>
      </c>
      <c r="AG1827" s="45">
        <v>0</v>
      </c>
      <c r="AH1827" s="45">
        <v>0</v>
      </c>
      <c r="AI1827" s="45">
        <v>0</v>
      </c>
      <c r="AJ1827" s="45">
        <v>0</v>
      </c>
      <c r="AK1827" s="45">
        <v>0</v>
      </c>
      <c r="AL1827" s="45">
        <v>0</v>
      </c>
      <c r="AM1827" s="57" t="str">
        <f>I1827-J1827-K1827-L1827-M1827-N1827-O1827-P1827-Q1827-R1827-S1827-T1827-U1827-V1827-W1827-X1827-Y1827-Z1827-AA1827-AB1827-AC1827-AD1827-AE1827-AF1827-AG1827+AH1827-AI1827+AJ1827+AK1827-AL1827</f>
        <v>0</v>
      </c>
      <c r="AN1827" s="45"/>
    </row>
    <row r="1828" spans="1:41">
      <c r="A1828" s="45">
        <v>1800</v>
      </c>
      <c r="B1828" s="45" t="s">
        <v>6970</v>
      </c>
      <c r="C1828" s="49" t="s">
        <v>6971</v>
      </c>
      <c r="D1828" s="53" t="s">
        <v>73</v>
      </c>
      <c r="E1828" s="45" t="s">
        <v>6968</v>
      </c>
      <c r="F1828" s="45" t="s">
        <v>6766</v>
      </c>
      <c r="G1828" s="45">
        <v>3</v>
      </c>
      <c r="H1828" s="53" t="s">
        <v>6972</v>
      </c>
      <c r="I1828" s="45">
        <v>885000</v>
      </c>
      <c r="J1828" s="45">
        <v>0</v>
      </c>
      <c r="K1828" s="45">
        <v>23000</v>
      </c>
      <c r="L1828" s="45">
        <v>0</v>
      </c>
      <c r="M1828" s="45">
        <v>0</v>
      </c>
      <c r="N1828" s="45">
        <v>0</v>
      </c>
      <c r="O1828" s="45">
        <v>0</v>
      </c>
      <c r="P1828" s="45">
        <v>0</v>
      </c>
      <c r="Q1828" s="45">
        <v>0</v>
      </c>
      <c r="R1828" s="45">
        <v>0</v>
      </c>
      <c r="S1828" s="45">
        <v>0</v>
      </c>
      <c r="T1828" s="45">
        <v>0</v>
      </c>
      <c r="U1828" s="45">
        <v>1460</v>
      </c>
      <c r="V1828" s="45">
        <v>0</v>
      </c>
      <c r="W1828" s="45">
        <v>0</v>
      </c>
      <c r="X1828" s="45">
        <v>0</v>
      </c>
      <c r="Y1828" s="45">
        <v>0</v>
      </c>
      <c r="Z1828" s="45">
        <v>0</v>
      </c>
      <c r="AA1828" s="45">
        <v>0</v>
      </c>
      <c r="AB1828" s="45">
        <v>0</v>
      </c>
      <c r="AC1828" s="45">
        <v>0</v>
      </c>
      <c r="AD1828" s="45">
        <v>0</v>
      </c>
      <c r="AE1828" s="45">
        <v>0</v>
      </c>
      <c r="AF1828" s="45">
        <v>0</v>
      </c>
      <c r="AG1828" s="45">
        <v>0</v>
      </c>
      <c r="AH1828" s="45">
        <v>0</v>
      </c>
      <c r="AI1828" s="45">
        <v>0</v>
      </c>
      <c r="AJ1828" s="45">
        <v>0</v>
      </c>
      <c r="AK1828" s="45">
        <v>0</v>
      </c>
      <c r="AL1828" s="45">
        <v>0</v>
      </c>
      <c r="AM1828" s="57" t="str">
        <f>I1828-J1828-K1828-L1828-M1828-N1828-O1828-P1828-Q1828-R1828-S1828-T1828-U1828-V1828-W1828-X1828-Y1828-Z1828-AA1828-AB1828-AC1828-AD1828-AE1828-AF1828-AG1828+AH1828-AI1828+AJ1828+AK1828-AL1828</f>
        <v>0</v>
      </c>
      <c r="AN1828" s="45"/>
    </row>
    <row r="1829" spans="1:41">
      <c r="A1829" s="45">
        <v>1801</v>
      </c>
      <c r="B1829" s="45" t="s">
        <v>6973</v>
      </c>
      <c r="C1829" s="49" t="s">
        <v>6974</v>
      </c>
      <c r="D1829" s="53" t="s">
        <v>73</v>
      </c>
      <c r="E1829" s="45" t="s">
        <v>6968</v>
      </c>
      <c r="F1829" s="45" t="s">
        <v>6975</v>
      </c>
      <c r="G1829" s="45">
        <v>2</v>
      </c>
      <c r="H1829" s="53" t="s">
        <v>6976</v>
      </c>
      <c r="I1829" s="45">
        <v>324000</v>
      </c>
      <c r="J1829" s="45">
        <v>0</v>
      </c>
      <c r="K1829" s="45">
        <v>22000</v>
      </c>
      <c r="L1829" s="45">
        <v>0</v>
      </c>
      <c r="M1829" s="45">
        <v>0</v>
      </c>
      <c r="N1829" s="45">
        <v>0</v>
      </c>
      <c r="O1829" s="45">
        <v>0</v>
      </c>
      <c r="P1829" s="45">
        <v>0</v>
      </c>
      <c r="Q1829" s="45">
        <v>0</v>
      </c>
      <c r="R1829" s="45">
        <v>0</v>
      </c>
      <c r="S1829" s="45">
        <v>0</v>
      </c>
      <c r="T1829" s="45">
        <v>0</v>
      </c>
      <c r="U1829" s="45">
        <v>1397</v>
      </c>
      <c r="V1829" s="45">
        <v>0</v>
      </c>
      <c r="W1829" s="45">
        <v>0</v>
      </c>
      <c r="X1829" s="45">
        <v>0</v>
      </c>
      <c r="Y1829" s="45">
        <v>0</v>
      </c>
      <c r="Z1829" s="45">
        <v>0</v>
      </c>
      <c r="AA1829" s="45">
        <v>0</v>
      </c>
      <c r="AB1829" s="45">
        <v>0</v>
      </c>
      <c r="AC1829" s="45">
        <v>0</v>
      </c>
      <c r="AD1829" s="45">
        <v>0</v>
      </c>
      <c r="AE1829" s="45">
        <v>0</v>
      </c>
      <c r="AF1829" s="45">
        <v>0</v>
      </c>
      <c r="AG1829" s="45">
        <v>0</v>
      </c>
      <c r="AH1829" s="45">
        <v>0</v>
      </c>
      <c r="AI1829" s="45">
        <v>0</v>
      </c>
      <c r="AJ1829" s="45">
        <v>0</v>
      </c>
      <c r="AK1829" s="45">
        <v>0</v>
      </c>
      <c r="AL1829" s="45">
        <v>0</v>
      </c>
      <c r="AM1829" s="57" t="str">
        <f>I1829-J1829-K1829-L1829-M1829-N1829-O1829-P1829-Q1829-R1829-S1829-T1829-U1829-V1829-W1829-X1829-Y1829-Z1829-AA1829-AB1829-AC1829-AD1829-AE1829-AF1829-AG1829+AH1829-AI1829+AJ1829+AK1829-AL1829</f>
        <v>0</v>
      </c>
      <c r="AN1829" s="45"/>
    </row>
    <row r="1830" spans="1:41">
      <c r="A1830" s="45">
        <v>1802</v>
      </c>
      <c r="B1830" s="45" t="s">
        <v>6977</v>
      </c>
      <c r="C1830" s="49" t="s">
        <v>6978</v>
      </c>
      <c r="D1830" s="53" t="s">
        <v>73</v>
      </c>
      <c r="E1830" s="45" t="s">
        <v>6968</v>
      </c>
      <c r="F1830" s="45" t="s">
        <v>6979</v>
      </c>
      <c r="G1830" s="45">
        <v>5.8</v>
      </c>
      <c r="H1830" s="53" t="s">
        <v>6980</v>
      </c>
      <c r="I1830" s="45">
        <v>0</v>
      </c>
      <c r="J1830" s="45">
        <v>0</v>
      </c>
      <c r="K1830" s="45">
        <v>24000</v>
      </c>
      <c r="L1830" s="45">
        <v>0</v>
      </c>
      <c r="M1830" s="45">
        <v>0</v>
      </c>
      <c r="N1830" s="45">
        <v>0</v>
      </c>
      <c r="O1830" s="45">
        <v>0</v>
      </c>
      <c r="P1830" s="45">
        <v>0</v>
      </c>
      <c r="Q1830" s="45">
        <v>0</v>
      </c>
      <c r="R1830" s="45">
        <v>0</v>
      </c>
      <c r="S1830" s="45">
        <v>0</v>
      </c>
      <c r="T1830" s="45">
        <v>0</v>
      </c>
      <c r="U1830" s="45">
        <v>1524</v>
      </c>
      <c r="V1830" s="45">
        <v>0</v>
      </c>
      <c r="W1830" s="45">
        <v>0</v>
      </c>
      <c r="X1830" s="45">
        <v>0</v>
      </c>
      <c r="Y1830" s="45">
        <v>0</v>
      </c>
      <c r="Z1830" s="45">
        <v>0</v>
      </c>
      <c r="AA1830" s="45">
        <v>0</v>
      </c>
      <c r="AB1830" s="45">
        <v>0</v>
      </c>
      <c r="AC1830" s="45">
        <v>0</v>
      </c>
      <c r="AD1830" s="45">
        <v>0</v>
      </c>
      <c r="AE1830" s="45">
        <v>0</v>
      </c>
      <c r="AF1830" s="45">
        <v>0</v>
      </c>
      <c r="AG1830" s="45">
        <v>0</v>
      </c>
      <c r="AH1830" s="45">
        <v>0</v>
      </c>
      <c r="AI1830" s="45">
        <v>0</v>
      </c>
      <c r="AJ1830" s="45">
        <v>0</v>
      </c>
      <c r="AK1830" s="45">
        <v>0</v>
      </c>
      <c r="AL1830" s="45">
        <v>0</v>
      </c>
      <c r="AM1830" s="57" t="str">
        <f>I1830-J1830-K1830-L1830-M1830-N1830-O1830-P1830-Q1830-R1830-S1830-T1830-U1830-V1830-W1830-X1830-Y1830-Z1830-AA1830-AB1830-AC1830-AD1830-AE1830-AF1830-AG1830+AH1830-AI1830+AJ1830+AK1830-AL1830</f>
        <v>0</v>
      </c>
      <c r="AN1830" s="45"/>
    </row>
    <row r="1831" spans="1:41">
      <c r="A1831" s="45">
        <v>1803</v>
      </c>
      <c r="B1831" s="45" t="s">
        <v>6981</v>
      </c>
      <c r="C1831" s="49" t="s">
        <v>6982</v>
      </c>
      <c r="D1831" s="53" t="s">
        <v>73</v>
      </c>
      <c r="E1831" s="45" t="s">
        <v>6968</v>
      </c>
      <c r="F1831" s="45" t="s">
        <v>2887</v>
      </c>
      <c r="G1831" s="45">
        <v>2</v>
      </c>
      <c r="H1831" s="53" t="s">
        <v>6983</v>
      </c>
      <c r="I1831" s="45">
        <v>235000</v>
      </c>
      <c r="J1831" s="45">
        <v>0</v>
      </c>
      <c r="K1831" s="45">
        <v>22000</v>
      </c>
      <c r="L1831" s="45">
        <v>0</v>
      </c>
      <c r="M1831" s="45">
        <v>0</v>
      </c>
      <c r="N1831" s="45">
        <v>0</v>
      </c>
      <c r="O1831" s="45">
        <v>0</v>
      </c>
      <c r="P1831" s="45">
        <v>0</v>
      </c>
      <c r="Q1831" s="45">
        <v>0</v>
      </c>
      <c r="R1831" s="45">
        <v>0</v>
      </c>
      <c r="S1831" s="45">
        <v>0</v>
      </c>
      <c r="T1831" s="45">
        <v>0</v>
      </c>
      <c r="U1831" s="45">
        <v>1397</v>
      </c>
      <c r="V1831" s="45">
        <v>0</v>
      </c>
      <c r="W1831" s="45">
        <v>0</v>
      </c>
      <c r="X1831" s="45">
        <v>0</v>
      </c>
      <c r="Y1831" s="45">
        <v>0</v>
      </c>
      <c r="Z1831" s="45">
        <v>0</v>
      </c>
      <c r="AA1831" s="45">
        <v>0</v>
      </c>
      <c r="AB1831" s="45">
        <v>0</v>
      </c>
      <c r="AC1831" s="45">
        <v>0</v>
      </c>
      <c r="AD1831" s="45">
        <v>0</v>
      </c>
      <c r="AE1831" s="45">
        <v>0</v>
      </c>
      <c r="AF1831" s="45">
        <v>0</v>
      </c>
      <c r="AG1831" s="45">
        <v>0</v>
      </c>
      <c r="AH1831" s="45">
        <v>0</v>
      </c>
      <c r="AI1831" s="45">
        <v>0</v>
      </c>
      <c r="AJ1831" s="45">
        <v>0</v>
      </c>
      <c r="AK1831" s="45">
        <v>0</v>
      </c>
      <c r="AL1831" s="45">
        <v>0</v>
      </c>
      <c r="AM1831" s="57" t="str">
        <f>I1831-J1831-K1831-L1831-M1831-N1831-O1831-P1831-Q1831-R1831-S1831-T1831-U1831-V1831-W1831-X1831-Y1831-Z1831-AA1831-AB1831-AC1831-AD1831-AE1831-AF1831-AG1831+AH1831-AI1831+AJ1831+AK1831-AL1831</f>
        <v>0</v>
      </c>
      <c r="AN1831" s="45"/>
    </row>
    <row r="1832" spans="1:41">
      <c r="A1832" s="45">
        <v>1804</v>
      </c>
      <c r="B1832" s="45" t="s">
        <v>6984</v>
      </c>
      <c r="C1832" s="49" t="s">
        <v>6985</v>
      </c>
      <c r="D1832" s="53" t="s">
        <v>73</v>
      </c>
      <c r="E1832" s="45" t="s">
        <v>6968</v>
      </c>
      <c r="F1832" s="45" t="s">
        <v>3255</v>
      </c>
      <c r="G1832" s="45">
        <v>2</v>
      </c>
      <c r="H1832" s="53" t="s">
        <v>6986</v>
      </c>
      <c r="I1832" s="45">
        <v>265000</v>
      </c>
      <c r="J1832" s="45">
        <v>0</v>
      </c>
      <c r="K1832" s="45">
        <v>23000</v>
      </c>
      <c r="L1832" s="45">
        <v>0</v>
      </c>
      <c r="M1832" s="45">
        <v>0</v>
      </c>
      <c r="N1832" s="45">
        <v>0</v>
      </c>
      <c r="O1832" s="45">
        <v>0</v>
      </c>
      <c r="P1832" s="45">
        <v>0</v>
      </c>
      <c r="Q1832" s="45">
        <v>0</v>
      </c>
      <c r="R1832" s="45">
        <v>0</v>
      </c>
      <c r="S1832" s="45">
        <v>0</v>
      </c>
      <c r="T1832" s="45">
        <v>0</v>
      </c>
      <c r="U1832" s="45">
        <v>1460</v>
      </c>
      <c r="V1832" s="45">
        <v>0</v>
      </c>
      <c r="W1832" s="45">
        <v>0</v>
      </c>
      <c r="X1832" s="45">
        <v>0</v>
      </c>
      <c r="Y1832" s="45">
        <v>0</v>
      </c>
      <c r="Z1832" s="45">
        <v>0</v>
      </c>
      <c r="AA1832" s="45">
        <v>0</v>
      </c>
      <c r="AB1832" s="45">
        <v>0</v>
      </c>
      <c r="AC1832" s="45">
        <v>0</v>
      </c>
      <c r="AD1832" s="45">
        <v>0</v>
      </c>
      <c r="AE1832" s="45">
        <v>0</v>
      </c>
      <c r="AF1832" s="45">
        <v>0</v>
      </c>
      <c r="AG1832" s="45">
        <v>0</v>
      </c>
      <c r="AH1832" s="45">
        <v>0</v>
      </c>
      <c r="AI1832" s="45">
        <v>0</v>
      </c>
      <c r="AJ1832" s="45">
        <v>0</v>
      </c>
      <c r="AK1832" s="45">
        <v>0</v>
      </c>
      <c r="AL1832" s="45">
        <v>0</v>
      </c>
      <c r="AM1832" s="57" t="str">
        <f>I1832-J1832-K1832-L1832-M1832-N1832-O1832-P1832-Q1832-R1832-S1832-T1832-U1832-V1832-W1832-X1832-Y1832-Z1832-AA1832-AB1832-AC1832-AD1832-AE1832-AF1832-AG1832+AH1832-AI1832+AJ1832+AK1832-AL1832</f>
        <v>0</v>
      </c>
      <c r="AN1832" s="45"/>
    </row>
    <row r="1833" spans="1:41">
      <c r="A1833" s="45">
        <v>1805</v>
      </c>
      <c r="B1833" s="45" t="s">
        <v>6987</v>
      </c>
      <c r="C1833" s="49" t="s">
        <v>6988</v>
      </c>
      <c r="D1833" s="53" t="s">
        <v>73</v>
      </c>
      <c r="E1833" s="45" t="s">
        <v>6968</v>
      </c>
      <c r="F1833" s="45" t="s">
        <v>5102</v>
      </c>
      <c r="G1833" s="45">
        <v>3</v>
      </c>
      <c r="H1833" s="53" t="s">
        <v>6989</v>
      </c>
      <c r="I1833" s="45">
        <v>334000</v>
      </c>
      <c r="J1833" s="45">
        <v>0</v>
      </c>
      <c r="K1833" s="45">
        <v>22000</v>
      </c>
      <c r="L1833" s="45">
        <v>0</v>
      </c>
      <c r="M1833" s="45">
        <v>0</v>
      </c>
      <c r="N1833" s="45">
        <v>0</v>
      </c>
      <c r="O1833" s="45">
        <v>0</v>
      </c>
      <c r="P1833" s="45">
        <v>0</v>
      </c>
      <c r="Q1833" s="45">
        <v>0</v>
      </c>
      <c r="R1833" s="45">
        <v>0</v>
      </c>
      <c r="S1833" s="45">
        <v>0</v>
      </c>
      <c r="T1833" s="45">
        <v>0</v>
      </c>
      <c r="U1833" s="45">
        <v>1397</v>
      </c>
      <c r="V1833" s="45">
        <v>0</v>
      </c>
      <c r="W1833" s="45">
        <v>0</v>
      </c>
      <c r="X1833" s="45">
        <v>0</v>
      </c>
      <c r="Y1833" s="45">
        <v>0</v>
      </c>
      <c r="Z1833" s="45">
        <v>0</v>
      </c>
      <c r="AA1833" s="45">
        <v>0</v>
      </c>
      <c r="AB1833" s="45">
        <v>0</v>
      </c>
      <c r="AC1833" s="45">
        <v>0</v>
      </c>
      <c r="AD1833" s="45">
        <v>0</v>
      </c>
      <c r="AE1833" s="45">
        <v>0</v>
      </c>
      <c r="AF1833" s="45">
        <v>0</v>
      </c>
      <c r="AG1833" s="45">
        <v>0</v>
      </c>
      <c r="AH1833" s="45">
        <v>0</v>
      </c>
      <c r="AI1833" s="45">
        <v>0</v>
      </c>
      <c r="AJ1833" s="45">
        <v>0</v>
      </c>
      <c r="AK1833" s="45">
        <v>0</v>
      </c>
      <c r="AL1833" s="45">
        <v>0</v>
      </c>
      <c r="AM1833" s="57" t="str">
        <f>I1833-J1833-K1833-L1833-M1833-N1833-O1833-P1833-Q1833-R1833-S1833-T1833-U1833-V1833-W1833-X1833-Y1833-Z1833-AA1833-AB1833-AC1833-AD1833-AE1833-AF1833-AG1833+AH1833-AI1833+AJ1833+AK1833-AL1833</f>
        <v>0</v>
      </c>
      <c r="AN1833" s="45"/>
    </row>
    <row r="1834" spans="1:41">
      <c r="A1834" s="45">
        <v>1806</v>
      </c>
      <c r="B1834" s="45" t="s">
        <v>6990</v>
      </c>
      <c r="C1834" s="49" t="s">
        <v>6991</v>
      </c>
      <c r="D1834" s="53" t="s">
        <v>73</v>
      </c>
      <c r="E1834" s="45" t="s">
        <v>6968</v>
      </c>
      <c r="F1834" s="45" t="s">
        <v>6930</v>
      </c>
      <c r="G1834" s="45">
        <v>3</v>
      </c>
      <c r="H1834" s="53" t="s">
        <v>6992</v>
      </c>
      <c r="I1834" s="45">
        <v>0</v>
      </c>
      <c r="J1834" s="45">
        <v>0</v>
      </c>
      <c r="K1834" s="45">
        <v>23000</v>
      </c>
      <c r="L1834" s="45">
        <v>0</v>
      </c>
      <c r="M1834" s="45">
        <v>0</v>
      </c>
      <c r="N1834" s="45">
        <v>0</v>
      </c>
      <c r="O1834" s="45">
        <v>0</v>
      </c>
      <c r="P1834" s="45">
        <v>0</v>
      </c>
      <c r="Q1834" s="45">
        <v>0</v>
      </c>
      <c r="R1834" s="45">
        <v>0</v>
      </c>
      <c r="S1834" s="45">
        <v>0</v>
      </c>
      <c r="T1834" s="45">
        <v>0</v>
      </c>
      <c r="U1834" s="45">
        <v>1460</v>
      </c>
      <c r="V1834" s="45">
        <v>0</v>
      </c>
      <c r="W1834" s="45">
        <v>0</v>
      </c>
      <c r="X1834" s="45">
        <v>0</v>
      </c>
      <c r="Y1834" s="45">
        <v>0</v>
      </c>
      <c r="Z1834" s="45">
        <v>0</v>
      </c>
      <c r="AA1834" s="45">
        <v>0</v>
      </c>
      <c r="AB1834" s="45">
        <v>0</v>
      </c>
      <c r="AC1834" s="45">
        <v>0</v>
      </c>
      <c r="AD1834" s="45">
        <v>0</v>
      </c>
      <c r="AE1834" s="45">
        <v>0</v>
      </c>
      <c r="AF1834" s="45">
        <v>0</v>
      </c>
      <c r="AG1834" s="45">
        <v>0</v>
      </c>
      <c r="AH1834" s="45">
        <v>0</v>
      </c>
      <c r="AI1834" s="45">
        <v>0</v>
      </c>
      <c r="AJ1834" s="45">
        <v>0</v>
      </c>
      <c r="AK1834" s="45">
        <v>0</v>
      </c>
      <c r="AL1834" s="45">
        <v>0</v>
      </c>
      <c r="AM1834" s="57" t="str">
        <f>I1834-J1834-K1834-L1834-M1834-N1834-O1834-P1834-Q1834-R1834-S1834-T1834-U1834-V1834-W1834-X1834-Y1834-Z1834-AA1834-AB1834-AC1834-AD1834-AE1834-AF1834-AG1834+AH1834-AI1834+AJ1834+AK1834-AL1834</f>
        <v>0</v>
      </c>
      <c r="AN1834" s="45"/>
    </row>
    <row r="1835" spans="1:41">
      <c r="A1835" s="45">
        <v>1807</v>
      </c>
      <c r="B1835" s="45" t="s">
        <v>6993</v>
      </c>
      <c r="C1835" s="49" t="s">
        <v>6994</v>
      </c>
      <c r="D1835" s="53" t="s">
        <v>73</v>
      </c>
      <c r="E1835" s="45" t="s">
        <v>6968</v>
      </c>
      <c r="F1835" s="45" t="s">
        <v>6995</v>
      </c>
      <c r="G1835" s="45">
        <v>2</v>
      </c>
      <c r="H1835" s="53" t="s">
        <v>6996</v>
      </c>
      <c r="I1835" s="45">
        <v>305000</v>
      </c>
      <c r="J1835" s="45">
        <v>0</v>
      </c>
      <c r="K1835" s="45">
        <v>22000</v>
      </c>
      <c r="L1835" s="45">
        <v>0</v>
      </c>
      <c r="M1835" s="45">
        <v>0</v>
      </c>
      <c r="N1835" s="45">
        <v>0</v>
      </c>
      <c r="O1835" s="45">
        <v>0</v>
      </c>
      <c r="P1835" s="45">
        <v>0</v>
      </c>
      <c r="Q1835" s="45">
        <v>0</v>
      </c>
      <c r="R1835" s="45">
        <v>0</v>
      </c>
      <c r="S1835" s="45">
        <v>0</v>
      </c>
      <c r="T1835" s="45">
        <v>0</v>
      </c>
      <c r="U1835" s="45">
        <v>1397</v>
      </c>
      <c r="V1835" s="45">
        <v>0</v>
      </c>
      <c r="W1835" s="45">
        <v>0</v>
      </c>
      <c r="X1835" s="45">
        <v>0</v>
      </c>
      <c r="Y1835" s="45">
        <v>0</v>
      </c>
      <c r="Z1835" s="45">
        <v>0</v>
      </c>
      <c r="AA1835" s="45">
        <v>0</v>
      </c>
      <c r="AB1835" s="45">
        <v>0</v>
      </c>
      <c r="AC1835" s="45">
        <v>0</v>
      </c>
      <c r="AD1835" s="45">
        <v>0</v>
      </c>
      <c r="AE1835" s="45">
        <v>0</v>
      </c>
      <c r="AF1835" s="45">
        <v>0</v>
      </c>
      <c r="AG1835" s="45">
        <v>0</v>
      </c>
      <c r="AH1835" s="45">
        <v>0</v>
      </c>
      <c r="AI1835" s="45">
        <v>0</v>
      </c>
      <c r="AJ1835" s="45">
        <v>0</v>
      </c>
      <c r="AK1835" s="45">
        <v>0</v>
      </c>
      <c r="AL1835" s="45">
        <v>0</v>
      </c>
      <c r="AM1835" s="57" t="str">
        <f>I1835-J1835-K1835-L1835-M1835-N1835-O1835-P1835-Q1835-R1835-S1835-T1835-U1835-V1835-W1835-X1835-Y1835-Z1835-AA1835-AB1835-AC1835-AD1835-AE1835-AF1835-AG1835+AH1835-AI1835+AJ1835+AK1835-AL1835</f>
        <v>0</v>
      </c>
      <c r="AN1835" s="45"/>
    </row>
    <row r="1836" spans="1:41">
      <c r="A1836" s="45">
        <v>1808</v>
      </c>
      <c r="B1836" s="45" t="s">
        <v>6997</v>
      </c>
      <c r="C1836" s="49" t="s">
        <v>6998</v>
      </c>
      <c r="D1836" s="53" t="s">
        <v>73</v>
      </c>
      <c r="E1836" s="45" t="s">
        <v>6968</v>
      </c>
      <c r="F1836" s="45" t="s">
        <v>5939</v>
      </c>
      <c r="G1836" s="45">
        <v>5</v>
      </c>
      <c r="H1836" s="53" t="s">
        <v>6999</v>
      </c>
      <c r="I1836" s="45">
        <v>633000</v>
      </c>
      <c r="J1836" s="45">
        <v>0</v>
      </c>
      <c r="K1836" s="45">
        <v>27000</v>
      </c>
      <c r="L1836" s="45">
        <v>0</v>
      </c>
      <c r="M1836" s="45">
        <v>0</v>
      </c>
      <c r="N1836" s="45">
        <v>0</v>
      </c>
      <c r="O1836" s="45">
        <v>0</v>
      </c>
      <c r="P1836" s="45">
        <v>0</v>
      </c>
      <c r="Q1836" s="45">
        <v>0</v>
      </c>
      <c r="R1836" s="45">
        <v>0</v>
      </c>
      <c r="S1836" s="45">
        <v>0</v>
      </c>
      <c r="T1836" s="45">
        <v>0</v>
      </c>
      <c r="U1836" s="45">
        <v>1714</v>
      </c>
      <c r="V1836" s="45">
        <v>0</v>
      </c>
      <c r="W1836" s="45">
        <v>0</v>
      </c>
      <c r="X1836" s="45">
        <v>0</v>
      </c>
      <c r="Y1836" s="45">
        <v>0</v>
      </c>
      <c r="Z1836" s="45">
        <v>0</v>
      </c>
      <c r="AA1836" s="45">
        <v>0</v>
      </c>
      <c r="AB1836" s="45">
        <v>0</v>
      </c>
      <c r="AC1836" s="45">
        <v>0</v>
      </c>
      <c r="AD1836" s="45">
        <v>0</v>
      </c>
      <c r="AE1836" s="45">
        <v>0</v>
      </c>
      <c r="AF1836" s="45">
        <v>0</v>
      </c>
      <c r="AG1836" s="45">
        <v>0</v>
      </c>
      <c r="AH1836" s="45">
        <v>0</v>
      </c>
      <c r="AI1836" s="45">
        <v>0</v>
      </c>
      <c r="AJ1836" s="45">
        <v>0</v>
      </c>
      <c r="AK1836" s="45">
        <v>0</v>
      </c>
      <c r="AL1836" s="45">
        <v>0</v>
      </c>
      <c r="AM1836" s="57" t="str">
        <f>I1836-J1836-K1836-L1836-M1836-N1836-O1836-P1836-Q1836-R1836-S1836-T1836-U1836-V1836-W1836-X1836-Y1836-Z1836-AA1836-AB1836-AC1836-AD1836-AE1836-AF1836-AG1836+AH1836-AI1836+AJ1836+AK1836-AL1836</f>
        <v>0</v>
      </c>
      <c r="AN1836" s="45"/>
    </row>
    <row r="1837" spans="1:41">
      <c r="A1837" s="45">
        <v>1809</v>
      </c>
      <c r="B1837" s="45" t="s">
        <v>7000</v>
      </c>
      <c r="C1837" s="49" t="s">
        <v>7001</v>
      </c>
      <c r="D1837" s="53" t="s">
        <v>73</v>
      </c>
      <c r="E1837" s="45" t="s">
        <v>6968</v>
      </c>
      <c r="F1837" s="45" t="s">
        <v>7002</v>
      </c>
      <c r="G1837" s="45">
        <v>3</v>
      </c>
      <c r="H1837" s="53" t="s">
        <v>7003</v>
      </c>
      <c r="I1837" s="45">
        <v>291500</v>
      </c>
      <c r="J1837" s="45">
        <v>0</v>
      </c>
      <c r="K1837" s="45">
        <v>23000</v>
      </c>
      <c r="L1837" s="45">
        <v>0</v>
      </c>
      <c r="M1837" s="45">
        <v>0</v>
      </c>
      <c r="N1837" s="45">
        <v>0</v>
      </c>
      <c r="O1837" s="45">
        <v>0</v>
      </c>
      <c r="P1837" s="45">
        <v>0</v>
      </c>
      <c r="Q1837" s="45">
        <v>0</v>
      </c>
      <c r="R1837" s="45">
        <v>0</v>
      </c>
      <c r="S1837" s="45">
        <v>0</v>
      </c>
      <c r="T1837" s="45">
        <v>0</v>
      </c>
      <c r="U1837" s="45">
        <v>1460</v>
      </c>
      <c r="V1837" s="45">
        <v>0</v>
      </c>
      <c r="W1837" s="45">
        <v>0</v>
      </c>
      <c r="X1837" s="45">
        <v>0</v>
      </c>
      <c r="Y1837" s="45">
        <v>0</v>
      </c>
      <c r="Z1837" s="45">
        <v>0</v>
      </c>
      <c r="AA1837" s="45">
        <v>0</v>
      </c>
      <c r="AB1837" s="45">
        <v>0</v>
      </c>
      <c r="AC1837" s="45">
        <v>0</v>
      </c>
      <c r="AD1837" s="45">
        <v>0</v>
      </c>
      <c r="AE1837" s="45">
        <v>0</v>
      </c>
      <c r="AF1837" s="45">
        <v>0</v>
      </c>
      <c r="AG1837" s="45">
        <v>0</v>
      </c>
      <c r="AH1837" s="45">
        <v>0</v>
      </c>
      <c r="AI1837" s="45">
        <v>0</v>
      </c>
      <c r="AJ1837" s="45">
        <v>0</v>
      </c>
      <c r="AK1837" s="45">
        <v>0</v>
      </c>
      <c r="AL1837" s="45">
        <v>0</v>
      </c>
      <c r="AM1837" s="57" t="str">
        <f>I1837-J1837-K1837-L1837-M1837-N1837-O1837-P1837-Q1837-R1837-S1837-T1837-U1837-V1837-W1837-X1837-Y1837-Z1837-AA1837-AB1837-AC1837-AD1837-AE1837-AF1837-AG1837+AH1837-AI1837+AJ1837+AK1837-AL1837</f>
        <v>0</v>
      </c>
      <c r="AN1837" s="45"/>
    </row>
    <row r="1838" spans="1:41">
      <c r="A1838" s="45">
        <v>1810</v>
      </c>
      <c r="B1838" s="45" t="s">
        <v>7004</v>
      </c>
      <c r="C1838" s="49" t="s">
        <v>7005</v>
      </c>
      <c r="D1838" s="53" t="s">
        <v>73</v>
      </c>
      <c r="E1838" s="45" t="s">
        <v>6968</v>
      </c>
      <c r="F1838" s="45" t="s">
        <v>7006</v>
      </c>
      <c r="G1838" s="45">
        <v>3</v>
      </c>
      <c r="H1838" s="53" t="s">
        <v>7007</v>
      </c>
      <c r="I1838" s="45">
        <v>784000</v>
      </c>
      <c r="J1838" s="45">
        <v>0</v>
      </c>
      <c r="K1838" s="45">
        <v>22000</v>
      </c>
      <c r="L1838" s="45">
        <v>0</v>
      </c>
      <c r="M1838" s="45">
        <v>0</v>
      </c>
      <c r="N1838" s="45">
        <v>0</v>
      </c>
      <c r="O1838" s="45">
        <v>0</v>
      </c>
      <c r="P1838" s="45">
        <v>0</v>
      </c>
      <c r="Q1838" s="45">
        <v>0</v>
      </c>
      <c r="R1838" s="45">
        <v>0</v>
      </c>
      <c r="S1838" s="45">
        <v>0</v>
      </c>
      <c r="T1838" s="45">
        <v>0</v>
      </c>
      <c r="U1838" s="45">
        <v>1397</v>
      </c>
      <c r="V1838" s="45">
        <v>0</v>
      </c>
      <c r="W1838" s="45">
        <v>0</v>
      </c>
      <c r="X1838" s="45">
        <v>0</v>
      </c>
      <c r="Y1838" s="45">
        <v>0</v>
      </c>
      <c r="Z1838" s="45">
        <v>0</v>
      </c>
      <c r="AA1838" s="45">
        <v>0</v>
      </c>
      <c r="AB1838" s="45">
        <v>0</v>
      </c>
      <c r="AC1838" s="45">
        <v>0</v>
      </c>
      <c r="AD1838" s="45">
        <v>0</v>
      </c>
      <c r="AE1838" s="45">
        <v>0</v>
      </c>
      <c r="AF1838" s="45">
        <v>0</v>
      </c>
      <c r="AG1838" s="45">
        <v>0</v>
      </c>
      <c r="AH1838" s="45">
        <v>0</v>
      </c>
      <c r="AI1838" s="45">
        <v>0</v>
      </c>
      <c r="AJ1838" s="45">
        <v>0</v>
      </c>
      <c r="AK1838" s="45">
        <v>0</v>
      </c>
      <c r="AL1838" s="45">
        <v>0</v>
      </c>
      <c r="AM1838" s="57" t="str">
        <f>I1838-J1838-K1838-L1838-M1838-N1838-O1838-P1838-Q1838-R1838-S1838-T1838-U1838-V1838-W1838-X1838-Y1838-Z1838-AA1838-AB1838-AC1838-AD1838-AE1838-AF1838-AG1838+AH1838-AI1838+AJ1838+AK1838-AL1838</f>
        <v>0</v>
      </c>
      <c r="AN1838" s="45"/>
    </row>
    <row r="1839" spans="1:41">
      <c r="A1839" s="45">
        <v>1811</v>
      </c>
      <c r="B1839" s="45" t="s">
        <v>7008</v>
      </c>
      <c r="C1839" s="49" t="s">
        <v>7009</v>
      </c>
      <c r="D1839" s="53" t="s">
        <v>73</v>
      </c>
      <c r="E1839" s="45" t="s">
        <v>7010</v>
      </c>
      <c r="F1839" s="45" t="s">
        <v>7011</v>
      </c>
      <c r="G1839" s="45">
        <v>3</v>
      </c>
      <c r="H1839" s="53" t="s">
        <v>7012</v>
      </c>
      <c r="I1839" s="45">
        <v>334000</v>
      </c>
      <c r="J1839" s="45">
        <v>0</v>
      </c>
      <c r="K1839" s="45">
        <v>22000</v>
      </c>
      <c r="L1839" s="45">
        <v>0</v>
      </c>
      <c r="M1839" s="45">
        <v>0</v>
      </c>
      <c r="N1839" s="45">
        <v>0</v>
      </c>
      <c r="O1839" s="45">
        <v>0</v>
      </c>
      <c r="P1839" s="45">
        <v>0</v>
      </c>
      <c r="Q1839" s="45">
        <v>0</v>
      </c>
      <c r="R1839" s="45">
        <v>0</v>
      </c>
      <c r="S1839" s="45">
        <v>0</v>
      </c>
      <c r="T1839" s="45">
        <v>0</v>
      </c>
      <c r="U1839" s="45">
        <v>1397</v>
      </c>
      <c r="V1839" s="45">
        <v>0</v>
      </c>
      <c r="W1839" s="45">
        <v>0</v>
      </c>
      <c r="X1839" s="45">
        <v>0</v>
      </c>
      <c r="Y1839" s="45">
        <v>0</v>
      </c>
      <c r="Z1839" s="45">
        <v>0</v>
      </c>
      <c r="AA1839" s="45">
        <v>0</v>
      </c>
      <c r="AB1839" s="45">
        <v>0</v>
      </c>
      <c r="AC1839" s="45">
        <v>0</v>
      </c>
      <c r="AD1839" s="45">
        <v>0</v>
      </c>
      <c r="AE1839" s="45">
        <v>0</v>
      </c>
      <c r="AF1839" s="45">
        <v>0</v>
      </c>
      <c r="AG1839" s="45">
        <v>0</v>
      </c>
      <c r="AH1839" s="45">
        <v>0</v>
      </c>
      <c r="AI1839" s="45">
        <v>0</v>
      </c>
      <c r="AJ1839" s="45">
        <v>0</v>
      </c>
      <c r="AK1839" s="45">
        <v>0</v>
      </c>
      <c r="AL1839" s="45">
        <v>0</v>
      </c>
      <c r="AM1839" s="57" t="str">
        <f>I1839-J1839-K1839-L1839-M1839-N1839-O1839-P1839-Q1839-R1839-S1839-T1839-U1839-V1839-W1839-X1839-Y1839-Z1839-AA1839-AB1839-AC1839-AD1839-AE1839-AF1839-AG1839+AH1839-AI1839+AJ1839+AK1839-AL1839</f>
        <v>0</v>
      </c>
      <c r="AN1839" s="45"/>
    </row>
    <row r="1840" spans="1:41">
      <c r="A1840" s="45">
        <v>1812</v>
      </c>
      <c r="B1840" s="45" t="s">
        <v>7013</v>
      </c>
      <c r="C1840" s="49" t="s">
        <v>7014</v>
      </c>
      <c r="D1840" s="53" t="s">
        <v>73</v>
      </c>
      <c r="E1840" s="45" t="s">
        <v>7010</v>
      </c>
      <c r="F1840" s="45" t="s">
        <v>6766</v>
      </c>
      <c r="G1840" s="45">
        <v>2</v>
      </c>
      <c r="H1840" s="53" t="s">
        <v>7015</v>
      </c>
      <c r="I1840" s="45">
        <v>134000</v>
      </c>
      <c r="J1840" s="45">
        <v>0</v>
      </c>
      <c r="K1840" s="45">
        <v>23000</v>
      </c>
      <c r="L1840" s="45">
        <v>0</v>
      </c>
      <c r="M1840" s="45">
        <v>0</v>
      </c>
      <c r="N1840" s="45">
        <v>0</v>
      </c>
      <c r="O1840" s="45">
        <v>0</v>
      </c>
      <c r="P1840" s="45">
        <v>0</v>
      </c>
      <c r="Q1840" s="45">
        <v>0</v>
      </c>
      <c r="R1840" s="45">
        <v>0</v>
      </c>
      <c r="S1840" s="45">
        <v>0</v>
      </c>
      <c r="T1840" s="45">
        <v>0</v>
      </c>
      <c r="U1840" s="45">
        <v>1460</v>
      </c>
      <c r="V1840" s="45">
        <v>0</v>
      </c>
      <c r="W1840" s="45">
        <v>0</v>
      </c>
      <c r="X1840" s="45">
        <v>0</v>
      </c>
      <c r="Y1840" s="45">
        <v>0</v>
      </c>
      <c r="Z1840" s="45">
        <v>0</v>
      </c>
      <c r="AA1840" s="45">
        <v>0</v>
      </c>
      <c r="AB1840" s="45">
        <v>0</v>
      </c>
      <c r="AC1840" s="45">
        <v>0</v>
      </c>
      <c r="AD1840" s="45">
        <v>0</v>
      </c>
      <c r="AE1840" s="45">
        <v>0</v>
      </c>
      <c r="AF1840" s="45">
        <v>0</v>
      </c>
      <c r="AG1840" s="45">
        <v>0</v>
      </c>
      <c r="AH1840" s="45">
        <v>0</v>
      </c>
      <c r="AI1840" s="45">
        <v>0</v>
      </c>
      <c r="AJ1840" s="45">
        <v>0</v>
      </c>
      <c r="AK1840" s="45">
        <v>0</v>
      </c>
      <c r="AL1840" s="45">
        <v>0</v>
      </c>
      <c r="AM1840" s="57" t="str">
        <f>I1840-J1840-K1840-L1840-M1840-N1840-O1840-P1840-Q1840-R1840-S1840-T1840-U1840-V1840-W1840-X1840-Y1840-Z1840-AA1840-AB1840-AC1840-AD1840-AE1840-AF1840-AG1840+AH1840-AI1840+AJ1840+AK1840-AL1840</f>
        <v>0</v>
      </c>
      <c r="AN1840" s="45"/>
    </row>
    <row r="1841" spans="1:41">
      <c r="A1841" s="45">
        <v>1813</v>
      </c>
      <c r="B1841" s="45" t="s">
        <v>7016</v>
      </c>
      <c r="C1841" s="49" t="s">
        <v>7017</v>
      </c>
      <c r="D1841" s="53" t="s">
        <v>73</v>
      </c>
      <c r="E1841" s="45" t="s">
        <v>7010</v>
      </c>
      <c r="F1841" s="45" t="s">
        <v>7018</v>
      </c>
      <c r="G1841" s="45">
        <v>2</v>
      </c>
      <c r="H1841" s="53" t="s">
        <v>7019</v>
      </c>
      <c r="I1841" s="45">
        <v>325000</v>
      </c>
      <c r="J1841" s="45">
        <v>0</v>
      </c>
      <c r="K1841" s="45">
        <v>23000</v>
      </c>
      <c r="L1841" s="45">
        <v>0</v>
      </c>
      <c r="M1841" s="45">
        <v>0</v>
      </c>
      <c r="N1841" s="45">
        <v>0</v>
      </c>
      <c r="O1841" s="45">
        <v>0</v>
      </c>
      <c r="P1841" s="45">
        <v>0</v>
      </c>
      <c r="Q1841" s="45">
        <v>0</v>
      </c>
      <c r="R1841" s="45">
        <v>0</v>
      </c>
      <c r="S1841" s="45">
        <v>0</v>
      </c>
      <c r="T1841" s="45">
        <v>0</v>
      </c>
      <c r="U1841" s="45">
        <v>1460</v>
      </c>
      <c r="V1841" s="45">
        <v>0</v>
      </c>
      <c r="W1841" s="45">
        <v>0</v>
      </c>
      <c r="X1841" s="45">
        <v>0</v>
      </c>
      <c r="Y1841" s="45">
        <v>0</v>
      </c>
      <c r="Z1841" s="45">
        <v>0</v>
      </c>
      <c r="AA1841" s="45">
        <v>0</v>
      </c>
      <c r="AB1841" s="45">
        <v>0</v>
      </c>
      <c r="AC1841" s="45">
        <v>0</v>
      </c>
      <c r="AD1841" s="45">
        <v>0</v>
      </c>
      <c r="AE1841" s="45">
        <v>0</v>
      </c>
      <c r="AF1841" s="45">
        <v>0</v>
      </c>
      <c r="AG1841" s="45">
        <v>0</v>
      </c>
      <c r="AH1841" s="45">
        <v>0</v>
      </c>
      <c r="AI1841" s="45">
        <v>0</v>
      </c>
      <c r="AJ1841" s="45">
        <v>0</v>
      </c>
      <c r="AK1841" s="45">
        <v>0</v>
      </c>
      <c r="AL1841" s="45">
        <v>0</v>
      </c>
      <c r="AM1841" s="57" t="str">
        <f>I1841-J1841-K1841-L1841-M1841-N1841-O1841-P1841-Q1841-R1841-S1841-T1841-U1841-V1841-W1841-X1841-Y1841-Z1841-AA1841-AB1841-AC1841-AD1841-AE1841-AF1841-AG1841+AH1841-AI1841+AJ1841+AK1841-AL1841</f>
        <v>0</v>
      </c>
      <c r="AN1841" s="45"/>
    </row>
    <row r="1842" spans="1:41">
      <c r="A1842" s="45">
        <v>1814</v>
      </c>
      <c r="B1842" s="45" t="s">
        <v>7020</v>
      </c>
      <c r="C1842" s="49" t="s">
        <v>7021</v>
      </c>
      <c r="D1842" s="53" t="s">
        <v>73</v>
      </c>
      <c r="E1842" s="45" t="s">
        <v>7010</v>
      </c>
      <c r="F1842" s="45" t="s">
        <v>6626</v>
      </c>
      <c r="G1842" s="45">
        <v>3</v>
      </c>
      <c r="H1842" s="53" t="s">
        <v>7022</v>
      </c>
      <c r="I1842" s="45">
        <v>320000</v>
      </c>
      <c r="J1842" s="45">
        <v>0</v>
      </c>
      <c r="K1842" s="45">
        <v>23000</v>
      </c>
      <c r="L1842" s="45">
        <v>0</v>
      </c>
      <c r="M1842" s="45">
        <v>0</v>
      </c>
      <c r="N1842" s="45">
        <v>0</v>
      </c>
      <c r="O1842" s="45">
        <v>0</v>
      </c>
      <c r="P1842" s="45">
        <v>0</v>
      </c>
      <c r="Q1842" s="45">
        <v>0</v>
      </c>
      <c r="R1842" s="45">
        <v>0</v>
      </c>
      <c r="S1842" s="45">
        <v>0</v>
      </c>
      <c r="T1842" s="45">
        <v>0</v>
      </c>
      <c r="U1842" s="45">
        <v>1460</v>
      </c>
      <c r="V1842" s="45">
        <v>0</v>
      </c>
      <c r="W1842" s="45">
        <v>0</v>
      </c>
      <c r="X1842" s="45">
        <v>0</v>
      </c>
      <c r="Y1842" s="45">
        <v>0</v>
      </c>
      <c r="Z1842" s="45">
        <v>0</v>
      </c>
      <c r="AA1842" s="45">
        <v>0</v>
      </c>
      <c r="AB1842" s="45">
        <v>0</v>
      </c>
      <c r="AC1842" s="45">
        <v>0</v>
      </c>
      <c r="AD1842" s="45">
        <v>0</v>
      </c>
      <c r="AE1842" s="45">
        <v>0</v>
      </c>
      <c r="AF1842" s="45">
        <v>0</v>
      </c>
      <c r="AG1842" s="45">
        <v>0</v>
      </c>
      <c r="AH1842" s="45">
        <v>0</v>
      </c>
      <c r="AI1842" s="45">
        <v>0</v>
      </c>
      <c r="AJ1842" s="45">
        <v>0</v>
      </c>
      <c r="AK1842" s="45">
        <v>0</v>
      </c>
      <c r="AL1842" s="45">
        <v>0</v>
      </c>
      <c r="AM1842" s="57" t="str">
        <f>I1842-J1842-K1842-L1842-M1842-N1842-O1842-P1842-Q1842-R1842-S1842-T1842-U1842-V1842-W1842-X1842-Y1842-Z1842-AA1842-AB1842-AC1842-AD1842-AE1842-AF1842-AG1842+AH1842-AI1842+AJ1842+AK1842-AL1842</f>
        <v>0</v>
      </c>
      <c r="AN1842" s="45"/>
    </row>
    <row r="1843" spans="1:41">
      <c r="A1843" s="45">
        <v>1815</v>
      </c>
      <c r="B1843" s="45" t="s">
        <v>7023</v>
      </c>
      <c r="C1843" s="49" t="s">
        <v>7024</v>
      </c>
      <c r="D1843" s="53" t="s">
        <v>73</v>
      </c>
      <c r="E1843" s="45" t="s">
        <v>7010</v>
      </c>
      <c r="F1843" s="45" t="s">
        <v>7025</v>
      </c>
      <c r="G1843" s="45">
        <v>3</v>
      </c>
      <c r="H1843" s="53" t="s">
        <v>7026</v>
      </c>
      <c r="I1843" s="45">
        <v>0</v>
      </c>
      <c r="J1843" s="45">
        <v>0</v>
      </c>
      <c r="K1843" s="45">
        <v>23000</v>
      </c>
      <c r="L1843" s="45">
        <v>0</v>
      </c>
      <c r="M1843" s="45">
        <v>0</v>
      </c>
      <c r="N1843" s="45">
        <v>0</v>
      </c>
      <c r="O1843" s="45">
        <v>0</v>
      </c>
      <c r="P1843" s="45">
        <v>0</v>
      </c>
      <c r="Q1843" s="45">
        <v>0</v>
      </c>
      <c r="R1843" s="45">
        <v>0</v>
      </c>
      <c r="S1843" s="45">
        <v>0</v>
      </c>
      <c r="T1843" s="45">
        <v>0</v>
      </c>
      <c r="U1843" s="45">
        <v>1460</v>
      </c>
      <c r="V1843" s="45">
        <v>0</v>
      </c>
      <c r="W1843" s="45">
        <v>0</v>
      </c>
      <c r="X1843" s="45">
        <v>0</v>
      </c>
      <c r="Y1843" s="45">
        <v>0</v>
      </c>
      <c r="Z1843" s="45">
        <v>0</v>
      </c>
      <c r="AA1843" s="45">
        <v>0</v>
      </c>
      <c r="AB1843" s="45">
        <v>0</v>
      </c>
      <c r="AC1843" s="45">
        <v>0</v>
      </c>
      <c r="AD1843" s="45">
        <v>0</v>
      </c>
      <c r="AE1843" s="45">
        <v>0</v>
      </c>
      <c r="AF1843" s="45">
        <v>0</v>
      </c>
      <c r="AG1843" s="45">
        <v>0</v>
      </c>
      <c r="AH1843" s="45">
        <v>0</v>
      </c>
      <c r="AI1843" s="45">
        <v>0</v>
      </c>
      <c r="AJ1843" s="45">
        <v>0</v>
      </c>
      <c r="AK1843" s="45">
        <v>0</v>
      </c>
      <c r="AL1843" s="45">
        <v>0</v>
      </c>
      <c r="AM1843" s="57" t="str">
        <f>I1843-J1843-K1843-L1843-M1843-N1843-O1843-P1843-Q1843-R1843-S1843-T1843-U1843-V1843-W1843-X1843-Y1843-Z1843-AA1843-AB1843-AC1843-AD1843-AE1843-AF1843-AG1843+AH1843-AI1843+AJ1843+AK1843-AL1843</f>
        <v>0</v>
      </c>
      <c r="AN1843" s="45"/>
    </row>
    <row r="1844" spans="1:41">
      <c r="A1844" s="45">
        <v>1816</v>
      </c>
      <c r="B1844" s="45" t="s">
        <v>7027</v>
      </c>
      <c r="C1844" s="49" t="s">
        <v>7028</v>
      </c>
      <c r="D1844" s="53" t="s">
        <v>73</v>
      </c>
      <c r="E1844" s="45" t="s">
        <v>7010</v>
      </c>
      <c r="F1844" s="45" t="s">
        <v>7029</v>
      </c>
      <c r="G1844" s="45">
        <v>2</v>
      </c>
      <c r="H1844" s="53" t="s">
        <v>7030</v>
      </c>
      <c r="I1844" s="45">
        <v>334000</v>
      </c>
      <c r="J1844" s="45">
        <v>0</v>
      </c>
      <c r="K1844" s="45">
        <v>23000</v>
      </c>
      <c r="L1844" s="45">
        <v>0</v>
      </c>
      <c r="M1844" s="45">
        <v>0</v>
      </c>
      <c r="N1844" s="45">
        <v>0</v>
      </c>
      <c r="O1844" s="45">
        <v>0</v>
      </c>
      <c r="P1844" s="45">
        <v>0</v>
      </c>
      <c r="Q1844" s="45">
        <v>0</v>
      </c>
      <c r="R1844" s="45">
        <v>0</v>
      </c>
      <c r="S1844" s="45">
        <v>0</v>
      </c>
      <c r="T1844" s="45">
        <v>0</v>
      </c>
      <c r="U1844" s="45">
        <v>1460</v>
      </c>
      <c r="V1844" s="45">
        <v>0</v>
      </c>
      <c r="W1844" s="45">
        <v>0</v>
      </c>
      <c r="X1844" s="45">
        <v>0</v>
      </c>
      <c r="Y1844" s="45">
        <v>0</v>
      </c>
      <c r="Z1844" s="45">
        <v>0</v>
      </c>
      <c r="AA1844" s="45">
        <v>0</v>
      </c>
      <c r="AB1844" s="45">
        <v>0</v>
      </c>
      <c r="AC1844" s="45">
        <v>0</v>
      </c>
      <c r="AD1844" s="45">
        <v>0</v>
      </c>
      <c r="AE1844" s="45">
        <v>0</v>
      </c>
      <c r="AF1844" s="45">
        <v>0</v>
      </c>
      <c r="AG1844" s="45">
        <v>0</v>
      </c>
      <c r="AH1844" s="45">
        <v>0</v>
      </c>
      <c r="AI1844" s="45">
        <v>0</v>
      </c>
      <c r="AJ1844" s="45">
        <v>0</v>
      </c>
      <c r="AK1844" s="45">
        <v>0</v>
      </c>
      <c r="AL1844" s="45">
        <v>0</v>
      </c>
      <c r="AM1844" s="57" t="str">
        <f>I1844-J1844-K1844-L1844-M1844-N1844-O1844-P1844-Q1844-R1844-S1844-T1844-U1844-V1844-W1844-X1844-Y1844-Z1844-AA1844-AB1844-AC1844-AD1844-AE1844-AF1844-AG1844+AH1844-AI1844+AJ1844+AK1844-AL1844</f>
        <v>0</v>
      </c>
      <c r="AN1844" s="45"/>
    </row>
    <row r="1845" spans="1:41">
      <c r="A1845" s="45">
        <v>1817</v>
      </c>
      <c r="B1845" s="45" t="s">
        <v>7031</v>
      </c>
      <c r="C1845" s="49" t="s">
        <v>7032</v>
      </c>
      <c r="D1845" s="53" t="s">
        <v>73</v>
      </c>
      <c r="E1845" s="45" t="s">
        <v>7010</v>
      </c>
      <c r="F1845" s="45" t="s">
        <v>5714</v>
      </c>
      <c r="G1845" s="45">
        <v>2</v>
      </c>
      <c r="H1845" s="53" t="s">
        <v>7033</v>
      </c>
      <c r="I1845" s="45">
        <v>425000</v>
      </c>
      <c r="J1845" s="45">
        <v>0</v>
      </c>
      <c r="K1845" s="45">
        <v>23000</v>
      </c>
      <c r="L1845" s="45">
        <v>0</v>
      </c>
      <c r="M1845" s="45">
        <v>0</v>
      </c>
      <c r="N1845" s="45">
        <v>0</v>
      </c>
      <c r="O1845" s="45">
        <v>0</v>
      </c>
      <c r="P1845" s="45">
        <v>0</v>
      </c>
      <c r="Q1845" s="45">
        <v>0</v>
      </c>
      <c r="R1845" s="45">
        <v>0</v>
      </c>
      <c r="S1845" s="45">
        <v>0</v>
      </c>
      <c r="T1845" s="45">
        <v>0</v>
      </c>
      <c r="U1845" s="45">
        <v>1460</v>
      </c>
      <c r="V1845" s="45">
        <v>0</v>
      </c>
      <c r="W1845" s="45">
        <v>0</v>
      </c>
      <c r="X1845" s="45">
        <v>0</v>
      </c>
      <c r="Y1845" s="45">
        <v>0</v>
      </c>
      <c r="Z1845" s="45">
        <v>0</v>
      </c>
      <c r="AA1845" s="45">
        <v>0</v>
      </c>
      <c r="AB1845" s="45">
        <v>0</v>
      </c>
      <c r="AC1845" s="45">
        <v>0</v>
      </c>
      <c r="AD1845" s="45">
        <v>0</v>
      </c>
      <c r="AE1845" s="45">
        <v>0</v>
      </c>
      <c r="AF1845" s="45">
        <v>0</v>
      </c>
      <c r="AG1845" s="45">
        <v>0</v>
      </c>
      <c r="AH1845" s="45">
        <v>0</v>
      </c>
      <c r="AI1845" s="45">
        <v>0</v>
      </c>
      <c r="AJ1845" s="45">
        <v>0</v>
      </c>
      <c r="AK1845" s="45">
        <v>0</v>
      </c>
      <c r="AL1845" s="45">
        <v>0</v>
      </c>
      <c r="AM1845" s="57" t="str">
        <f>I1845-J1845-K1845-L1845-M1845-N1845-O1845-P1845-Q1845-R1845-S1845-T1845-U1845-V1845-W1845-X1845-Y1845-Z1845-AA1845-AB1845-AC1845-AD1845-AE1845-AF1845-AG1845+AH1845-AI1845+AJ1845+AK1845-AL1845</f>
        <v>0</v>
      </c>
      <c r="AN1845" s="45"/>
    </row>
    <row r="1846" spans="1:41">
      <c r="A1846" s="45">
        <v>1818</v>
      </c>
      <c r="B1846" s="45" t="s">
        <v>7034</v>
      </c>
      <c r="C1846" s="49" t="s">
        <v>7035</v>
      </c>
      <c r="D1846" s="53" t="s">
        <v>73</v>
      </c>
      <c r="E1846" s="45" t="s">
        <v>7010</v>
      </c>
      <c r="F1846" s="45" t="s">
        <v>7036</v>
      </c>
      <c r="G1846" s="45">
        <v>4</v>
      </c>
      <c r="H1846" s="53" t="s">
        <v>7037</v>
      </c>
      <c r="I1846" s="45">
        <v>633000</v>
      </c>
      <c r="J1846" s="45">
        <v>0</v>
      </c>
      <c r="K1846" s="45">
        <v>25000</v>
      </c>
      <c r="L1846" s="45">
        <v>0</v>
      </c>
      <c r="M1846" s="45">
        <v>0</v>
      </c>
      <c r="N1846" s="45">
        <v>0</v>
      </c>
      <c r="O1846" s="45">
        <v>0</v>
      </c>
      <c r="P1846" s="45">
        <v>0</v>
      </c>
      <c r="Q1846" s="45">
        <v>0</v>
      </c>
      <c r="R1846" s="45">
        <v>0</v>
      </c>
      <c r="S1846" s="45">
        <v>0</v>
      </c>
      <c r="T1846" s="45">
        <v>0</v>
      </c>
      <c r="U1846" s="45">
        <v>1587</v>
      </c>
      <c r="V1846" s="45">
        <v>0</v>
      </c>
      <c r="W1846" s="45">
        <v>0</v>
      </c>
      <c r="X1846" s="45">
        <v>0</v>
      </c>
      <c r="Y1846" s="45">
        <v>0</v>
      </c>
      <c r="Z1846" s="45">
        <v>0</v>
      </c>
      <c r="AA1846" s="45">
        <v>0</v>
      </c>
      <c r="AB1846" s="45">
        <v>0</v>
      </c>
      <c r="AC1846" s="45">
        <v>0</v>
      </c>
      <c r="AD1846" s="45">
        <v>0</v>
      </c>
      <c r="AE1846" s="45">
        <v>0</v>
      </c>
      <c r="AF1846" s="45">
        <v>0</v>
      </c>
      <c r="AG1846" s="45">
        <v>0</v>
      </c>
      <c r="AH1846" s="45">
        <v>0</v>
      </c>
      <c r="AI1846" s="45">
        <v>0</v>
      </c>
      <c r="AJ1846" s="45">
        <v>0</v>
      </c>
      <c r="AK1846" s="45">
        <v>0</v>
      </c>
      <c r="AL1846" s="45">
        <v>0</v>
      </c>
      <c r="AM1846" s="57" t="str">
        <f>I1846-J1846-K1846-L1846-M1846-N1846-O1846-P1846-Q1846-R1846-S1846-T1846-U1846-V1846-W1846-X1846-Y1846-Z1846-AA1846-AB1846-AC1846-AD1846-AE1846-AF1846-AG1846+AH1846-AI1846+AJ1846+AK1846-AL1846</f>
        <v>0</v>
      </c>
      <c r="AN1846" s="45"/>
    </row>
    <row r="1847" spans="1:41">
      <c r="A1847" s="45">
        <v>1819</v>
      </c>
      <c r="B1847" s="45" t="s">
        <v>7038</v>
      </c>
      <c r="C1847" s="49" t="s">
        <v>7039</v>
      </c>
      <c r="D1847" s="53" t="s">
        <v>73</v>
      </c>
      <c r="E1847" s="45" t="s">
        <v>7010</v>
      </c>
      <c r="F1847" s="45" t="s">
        <v>7040</v>
      </c>
      <c r="G1847" s="45">
        <v>2</v>
      </c>
      <c r="H1847" s="53" t="s">
        <v>7041</v>
      </c>
      <c r="I1847" s="45">
        <v>285000</v>
      </c>
      <c r="J1847" s="45">
        <v>0</v>
      </c>
      <c r="K1847" s="45">
        <v>23000</v>
      </c>
      <c r="L1847" s="45">
        <v>0</v>
      </c>
      <c r="M1847" s="45">
        <v>0</v>
      </c>
      <c r="N1847" s="45">
        <v>0</v>
      </c>
      <c r="O1847" s="45">
        <v>0</v>
      </c>
      <c r="P1847" s="45">
        <v>0</v>
      </c>
      <c r="Q1847" s="45">
        <v>0</v>
      </c>
      <c r="R1847" s="45">
        <v>0</v>
      </c>
      <c r="S1847" s="45">
        <v>0</v>
      </c>
      <c r="T1847" s="45">
        <v>0</v>
      </c>
      <c r="U1847" s="45">
        <v>1460</v>
      </c>
      <c r="V1847" s="45">
        <v>0</v>
      </c>
      <c r="W1847" s="45">
        <v>0</v>
      </c>
      <c r="X1847" s="45">
        <v>0</v>
      </c>
      <c r="Y1847" s="45">
        <v>0</v>
      </c>
      <c r="Z1847" s="45">
        <v>0</v>
      </c>
      <c r="AA1847" s="45">
        <v>0</v>
      </c>
      <c r="AB1847" s="45">
        <v>0</v>
      </c>
      <c r="AC1847" s="45">
        <v>0</v>
      </c>
      <c r="AD1847" s="45">
        <v>0</v>
      </c>
      <c r="AE1847" s="45">
        <v>0</v>
      </c>
      <c r="AF1847" s="45">
        <v>0</v>
      </c>
      <c r="AG1847" s="45">
        <v>0</v>
      </c>
      <c r="AH1847" s="45">
        <v>0</v>
      </c>
      <c r="AI1847" s="45">
        <v>0</v>
      </c>
      <c r="AJ1847" s="45">
        <v>0</v>
      </c>
      <c r="AK1847" s="45">
        <v>0</v>
      </c>
      <c r="AL1847" s="45">
        <v>0</v>
      </c>
      <c r="AM1847" s="57" t="str">
        <f>I1847-J1847-K1847-L1847-M1847-N1847-O1847-P1847-Q1847-R1847-S1847-T1847-U1847-V1847-W1847-X1847-Y1847-Z1847-AA1847-AB1847-AC1847-AD1847-AE1847-AF1847-AG1847+AH1847-AI1847+AJ1847+AK1847-AL1847</f>
        <v>0</v>
      </c>
      <c r="AN1847" s="45"/>
    </row>
    <row r="1848" spans="1:41">
      <c r="A1848" s="45">
        <v>1820</v>
      </c>
      <c r="B1848" s="45" t="s">
        <v>7042</v>
      </c>
      <c r="C1848" s="49" t="s">
        <v>7043</v>
      </c>
      <c r="D1848" s="53" t="s">
        <v>73</v>
      </c>
      <c r="E1848" s="45" t="s">
        <v>7010</v>
      </c>
      <c r="F1848" s="45" t="s">
        <v>7044</v>
      </c>
      <c r="G1848" s="45">
        <v>4</v>
      </c>
      <c r="H1848" s="53" t="s">
        <v>7045</v>
      </c>
      <c r="I1848" s="45">
        <v>255000</v>
      </c>
      <c r="J1848" s="45">
        <v>0</v>
      </c>
      <c r="K1848" s="45">
        <v>25000</v>
      </c>
      <c r="L1848" s="45">
        <v>0</v>
      </c>
      <c r="M1848" s="45">
        <v>0</v>
      </c>
      <c r="N1848" s="45">
        <v>0</v>
      </c>
      <c r="O1848" s="45">
        <v>0</v>
      </c>
      <c r="P1848" s="45">
        <v>0</v>
      </c>
      <c r="Q1848" s="45">
        <v>0</v>
      </c>
      <c r="R1848" s="45">
        <v>0</v>
      </c>
      <c r="S1848" s="45">
        <v>0</v>
      </c>
      <c r="T1848" s="45">
        <v>0</v>
      </c>
      <c r="U1848" s="45">
        <v>1587</v>
      </c>
      <c r="V1848" s="45">
        <v>0</v>
      </c>
      <c r="W1848" s="45">
        <v>0</v>
      </c>
      <c r="X1848" s="45">
        <v>0</v>
      </c>
      <c r="Y1848" s="45">
        <v>0</v>
      </c>
      <c r="Z1848" s="45">
        <v>0</v>
      </c>
      <c r="AA1848" s="45">
        <v>0</v>
      </c>
      <c r="AB1848" s="45">
        <v>0</v>
      </c>
      <c r="AC1848" s="45">
        <v>0</v>
      </c>
      <c r="AD1848" s="45">
        <v>0</v>
      </c>
      <c r="AE1848" s="45">
        <v>0</v>
      </c>
      <c r="AF1848" s="45">
        <v>0</v>
      </c>
      <c r="AG1848" s="45">
        <v>0</v>
      </c>
      <c r="AH1848" s="45">
        <v>0</v>
      </c>
      <c r="AI1848" s="45">
        <v>0</v>
      </c>
      <c r="AJ1848" s="45">
        <v>0</v>
      </c>
      <c r="AK1848" s="45">
        <v>0</v>
      </c>
      <c r="AL1848" s="45">
        <v>0</v>
      </c>
      <c r="AM1848" s="57" t="str">
        <f>I1848-J1848-K1848-L1848-M1848-N1848-O1848-P1848-Q1848-R1848-S1848-T1848-U1848-V1848-W1848-X1848-Y1848-Z1848-AA1848-AB1848-AC1848-AD1848-AE1848-AF1848-AG1848+AH1848-AI1848+AJ1848+AK1848-AL1848</f>
        <v>0</v>
      </c>
      <c r="AN1848" s="45"/>
    </row>
    <row r="1849" spans="1:41">
      <c r="A1849" s="45">
        <v>1821</v>
      </c>
      <c r="B1849" s="45" t="s">
        <v>7046</v>
      </c>
      <c r="C1849" s="49" t="s">
        <v>7047</v>
      </c>
      <c r="D1849" s="53" t="s">
        <v>73</v>
      </c>
      <c r="E1849" s="45" t="s">
        <v>7048</v>
      </c>
      <c r="F1849" s="45" t="s">
        <v>7049</v>
      </c>
      <c r="G1849" s="45">
        <v>2</v>
      </c>
      <c r="H1849" s="53" t="s">
        <v>7050</v>
      </c>
      <c r="I1849" s="45">
        <v>404000</v>
      </c>
      <c r="J1849" s="45">
        <v>0</v>
      </c>
      <c r="K1849" s="45">
        <v>22000</v>
      </c>
      <c r="L1849" s="45">
        <v>0</v>
      </c>
      <c r="M1849" s="45">
        <v>0</v>
      </c>
      <c r="N1849" s="45">
        <v>0</v>
      </c>
      <c r="O1849" s="45">
        <v>0</v>
      </c>
      <c r="P1849" s="45">
        <v>0</v>
      </c>
      <c r="Q1849" s="45">
        <v>0</v>
      </c>
      <c r="R1849" s="45">
        <v>0</v>
      </c>
      <c r="S1849" s="45">
        <v>0</v>
      </c>
      <c r="T1849" s="45">
        <v>0</v>
      </c>
      <c r="U1849" s="45">
        <v>1397</v>
      </c>
      <c r="V1849" s="45">
        <v>0</v>
      </c>
      <c r="W1849" s="45">
        <v>0</v>
      </c>
      <c r="X1849" s="45">
        <v>0</v>
      </c>
      <c r="Y1849" s="45">
        <v>0</v>
      </c>
      <c r="Z1849" s="45">
        <v>0</v>
      </c>
      <c r="AA1849" s="45">
        <v>0</v>
      </c>
      <c r="AB1849" s="45">
        <v>0</v>
      </c>
      <c r="AC1849" s="45">
        <v>0</v>
      </c>
      <c r="AD1849" s="45">
        <v>0</v>
      </c>
      <c r="AE1849" s="45">
        <v>0</v>
      </c>
      <c r="AF1849" s="45">
        <v>0</v>
      </c>
      <c r="AG1849" s="45">
        <v>0</v>
      </c>
      <c r="AH1849" s="45">
        <v>0</v>
      </c>
      <c r="AI1849" s="45">
        <v>0</v>
      </c>
      <c r="AJ1849" s="45">
        <v>0</v>
      </c>
      <c r="AK1849" s="45">
        <v>0</v>
      </c>
      <c r="AL1849" s="45">
        <v>0</v>
      </c>
      <c r="AM1849" s="57" t="str">
        <f>I1849-J1849-K1849-L1849-M1849-N1849-O1849-P1849-Q1849-R1849-S1849-T1849-U1849-V1849-W1849-X1849-Y1849-Z1849-AA1849-AB1849-AC1849-AD1849-AE1849-AF1849-AG1849+AH1849-AI1849+AJ1849+AK1849-AL1849</f>
        <v>0</v>
      </c>
      <c r="AN1849" s="45"/>
    </row>
    <row r="1850" spans="1:41">
      <c r="A1850" s="45">
        <v>1822</v>
      </c>
      <c r="B1850" s="45" t="s">
        <v>7051</v>
      </c>
      <c r="C1850" s="49" t="s">
        <v>7052</v>
      </c>
      <c r="D1850" s="53" t="s">
        <v>73</v>
      </c>
      <c r="E1850" s="45" t="s">
        <v>7048</v>
      </c>
      <c r="F1850" s="45" t="s">
        <v>4905</v>
      </c>
      <c r="G1850" s="45">
        <v>2</v>
      </c>
      <c r="H1850" s="53" t="s">
        <v>7053</v>
      </c>
      <c r="I1850" s="45">
        <v>334000</v>
      </c>
      <c r="J1850" s="45">
        <v>0</v>
      </c>
      <c r="K1850" s="45">
        <v>22000</v>
      </c>
      <c r="L1850" s="45">
        <v>0</v>
      </c>
      <c r="M1850" s="45">
        <v>0</v>
      </c>
      <c r="N1850" s="45">
        <v>0</v>
      </c>
      <c r="O1850" s="45">
        <v>0</v>
      </c>
      <c r="P1850" s="45">
        <v>0</v>
      </c>
      <c r="Q1850" s="45">
        <v>0</v>
      </c>
      <c r="R1850" s="45">
        <v>0</v>
      </c>
      <c r="S1850" s="45">
        <v>0</v>
      </c>
      <c r="T1850" s="45">
        <v>0</v>
      </c>
      <c r="U1850" s="45">
        <v>1397</v>
      </c>
      <c r="V1850" s="45">
        <v>0</v>
      </c>
      <c r="W1850" s="45">
        <v>0</v>
      </c>
      <c r="X1850" s="45">
        <v>0</v>
      </c>
      <c r="Y1850" s="45">
        <v>0</v>
      </c>
      <c r="Z1850" s="45">
        <v>0</v>
      </c>
      <c r="AA1850" s="45">
        <v>0</v>
      </c>
      <c r="AB1850" s="45">
        <v>0</v>
      </c>
      <c r="AC1850" s="45">
        <v>0</v>
      </c>
      <c r="AD1850" s="45">
        <v>0</v>
      </c>
      <c r="AE1850" s="45">
        <v>0</v>
      </c>
      <c r="AF1850" s="45">
        <v>0</v>
      </c>
      <c r="AG1850" s="45">
        <v>0</v>
      </c>
      <c r="AH1850" s="45">
        <v>0</v>
      </c>
      <c r="AI1850" s="45">
        <v>0</v>
      </c>
      <c r="AJ1850" s="45">
        <v>0</v>
      </c>
      <c r="AK1850" s="45">
        <v>0</v>
      </c>
      <c r="AL1850" s="45">
        <v>0</v>
      </c>
      <c r="AM1850" s="57" t="str">
        <f>I1850-J1850-K1850-L1850-M1850-N1850-O1850-P1850-Q1850-R1850-S1850-T1850-U1850-V1850-W1850-X1850-Y1850-Z1850-AA1850-AB1850-AC1850-AD1850-AE1850-AF1850-AG1850+AH1850-AI1850+AJ1850+AK1850-AL1850</f>
        <v>0</v>
      </c>
      <c r="AN1850" s="45"/>
    </row>
    <row r="1851" spans="1:41">
      <c r="A1851" s="45">
        <v>1823</v>
      </c>
      <c r="B1851" s="45" t="s">
        <v>7054</v>
      </c>
      <c r="C1851" s="49" t="s">
        <v>7055</v>
      </c>
      <c r="D1851" s="53" t="s">
        <v>73</v>
      </c>
      <c r="E1851" s="45" t="s">
        <v>7048</v>
      </c>
      <c r="F1851" s="45" t="s">
        <v>7056</v>
      </c>
      <c r="G1851" s="45">
        <v>3</v>
      </c>
      <c r="H1851" s="53" t="s">
        <v>7057</v>
      </c>
      <c r="I1851" s="45">
        <v>334000</v>
      </c>
      <c r="J1851" s="45">
        <v>0</v>
      </c>
      <c r="K1851" s="45">
        <v>22000</v>
      </c>
      <c r="L1851" s="45">
        <v>0</v>
      </c>
      <c r="M1851" s="45">
        <v>0</v>
      </c>
      <c r="N1851" s="45">
        <v>0</v>
      </c>
      <c r="O1851" s="45">
        <v>0</v>
      </c>
      <c r="P1851" s="45">
        <v>0</v>
      </c>
      <c r="Q1851" s="45">
        <v>0</v>
      </c>
      <c r="R1851" s="45">
        <v>0</v>
      </c>
      <c r="S1851" s="45">
        <v>0</v>
      </c>
      <c r="T1851" s="45">
        <v>0</v>
      </c>
      <c r="U1851" s="45">
        <v>1397</v>
      </c>
      <c r="V1851" s="45">
        <v>0</v>
      </c>
      <c r="W1851" s="45">
        <v>0</v>
      </c>
      <c r="X1851" s="45">
        <v>0</v>
      </c>
      <c r="Y1851" s="45">
        <v>0</v>
      </c>
      <c r="Z1851" s="45">
        <v>0</v>
      </c>
      <c r="AA1851" s="45">
        <v>0</v>
      </c>
      <c r="AB1851" s="45">
        <v>0</v>
      </c>
      <c r="AC1851" s="45">
        <v>0</v>
      </c>
      <c r="AD1851" s="45">
        <v>0</v>
      </c>
      <c r="AE1851" s="45">
        <v>0</v>
      </c>
      <c r="AF1851" s="45">
        <v>0</v>
      </c>
      <c r="AG1851" s="45">
        <v>0</v>
      </c>
      <c r="AH1851" s="45">
        <v>0</v>
      </c>
      <c r="AI1851" s="45">
        <v>0</v>
      </c>
      <c r="AJ1851" s="45">
        <v>0</v>
      </c>
      <c r="AK1851" s="45">
        <v>0</v>
      </c>
      <c r="AL1851" s="45">
        <v>0</v>
      </c>
      <c r="AM1851" s="57" t="str">
        <f>I1851-J1851-K1851-L1851-M1851-N1851-O1851-P1851-Q1851-R1851-S1851-T1851-U1851-V1851-W1851-X1851-Y1851-Z1851-AA1851-AB1851-AC1851-AD1851-AE1851-AF1851-AG1851+AH1851-AI1851+AJ1851+AK1851-AL1851</f>
        <v>0</v>
      </c>
      <c r="AN1851" s="45"/>
    </row>
    <row r="1852" spans="1:41">
      <c r="A1852" s="45">
        <v>1824</v>
      </c>
      <c r="B1852" s="45" t="s">
        <v>7058</v>
      </c>
      <c r="C1852" s="49" t="s">
        <v>7059</v>
      </c>
      <c r="D1852" s="53" t="s">
        <v>73</v>
      </c>
      <c r="E1852" s="45" t="s">
        <v>7048</v>
      </c>
      <c r="F1852" s="45" t="s">
        <v>7006</v>
      </c>
      <c r="G1852" s="45">
        <v>4</v>
      </c>
      <c r="H1852" s="53" t="s">
        <v>7060</v>
      </c>
      <c r="I1852" s="45">
        <v>693000</v>
      </c>
      <c r="J1852" s="45">
        <v>0</v>
      </c>
      <c r="K1852" s="45">
        <v>25000</v>
      </c>
      <c r="L1852" s="45">
        <v>0</v>
      </c>
      <c r="M1852" s="45">
        <v>0</v>
      </c>
      <c r="N1852" s="45">
        <v>0</v>
      </c>
      <c r="O1852" s="45">
        <v>0</v>
      </c>
      <c r="P1852" s="45">
        <v>0</v>
      </c>
      <c r="Q1852" s="45">
        <v>0</v>
      </c>
      <c r="R1852" s="45">
        <v>0</v>
      </c>
      <c r="S1852" s="45">
        <v>0</v>
      </c>
      <c r="T1852" s="45">
        <v>0</v>
      </c>
      <c r="U1852" s="45">
        <v>1587</v>
      </c>
      <c r="V1852" s="45">
        <v>0</v>
      </c>
      <c r="W1852" s="45">
        <v>0</v>
      </c>
      <c r="X1852" s="45">
        <v>0</v>
      </c>
      <c r="Y1852" s="45">
        <v>0</v>
      </c>
      <c r="Z1852" s="45">
        <v>0</v>
      </c>
      <c r="AA1852" s="45">
        <v>0</v>
      </c>
      <c r="AB1852" s="45">
        <v>0</v>
      </c>
      <c r="AC1852" s="45">
        <v>0</v>
      </c>
      <c r="AD1852" s="45">
        <v>0</v>
      </c>
      <c r="AE1852" s="45">
        <v>0</v>
      </c>
      <c r="AF1852" s="45">
        <v>0</v>
      </c>
      <c r="AG1852" s="45">
        <v>0</v>
      </c>
      <c r="AH1852" s="45">
        <v>0</v>
      </c>
      <c r="AI1852" s="45">
        <v>0</v>
      </c>
      <c r="AJ1852" s="45">
        <v>0</v>
      </c>
      <c r="AK1852" s="45">
        <v>0</v>
      </c>
      <c r="AL1852" s="45">
        <v>0</v>
      </c>
      <c r="AM1852" s="57" t="str">
        <f>I1852-J1852-K1852-L1852-M1852-N1852-O1852-P1852-Q1852-R1852-S1852-T1852-U1852-V1852-W1852-X1852-Y1852-Z1852-AA1852-AB1852-AC1852-AD1852-AE1852-AF1852-AG1852+AH1852-AI1852+AJ1852+AK1852-AL1852</f>
        <v>0</v>
      </c>
      <c r="AN1852" s="45"/>
    </row>
    <row r="1853" spans="1:41">
      <c r="A1853" s="45">
        <v>1825</v>
      </c>
      <c r="B1853" s="45" t="s">
        <v>7061</v>
      </c>
      <c r="C1853" s="49" t="s">
        <v>7062</v>
      </c>
      <c r="D1853" s="53" t="s">
        <v>73</v>
      </c>
      <c r="E1853" s="45" t="s">
        <v>7048</v>
      </c>
      <c r="F1853" s="45" t="s">
        <v>7063</v>
      </c>
      <c r="G1853" s="45">
        <v>2</v>
      </c>
      <c r="H1853" s="53" t="s">
        <v>7064</v>
      </c>
      <c r="I1853" s="45">
        <v>325000</v>
      </c>
      <c r="J1853" s="45">
        <v>0</v>
      </c>
      <c r="K1853" s="45">
        <v>23000</v>
      </c>
      <c r="L1853" s="45">
        <v>0</v>
      </c>
      <c r="M1853" s="45">
        <v>0</v>
      </c>
      <c r="N1853" s="45">
        <v>0</v>
      </c>
      <c r="O1853" s="45">
        <v>0</v>
      </c>
      <c r="P1853" s="45">
        <v>0</v>
      </c>
      <c r="Q1853" s="45">
        <v>0</v>
      </c>
      <c r="R1853" s="45">
        <v>0</v>
      </c>
      <c r="S1853" s="45">
        <v>0</v>
      </c>
      <c r="T1853" s="45">
        <v>0</v>
      </c>
      <c r="U1853" s="45">
        <v>1460</v>
      </c>
      <c r="V1853" s="45">
        <v>0</v>
      </c>
      <c r="W1853" s="45">
        <v>0</v>
      </c>
      <c r="X1853" s="45">
        <v>0</v>
      </c>
      <c r="Y1853" s="45">
        <v>0</v>
      </c>
      <c r="Z1853" s="45">
        <v>0</v>
      </c>
      <c r="AA1853" s="45">
        <v>0</v>
      </c>
      <c r="AB1853" s="45">
        <v>0</v>
      </c>
      <c r="AC1853" s="45">
        <v>0</v>
      </c>
      <c r="AD1853" s="45">
        <v>0</v>
      </c>
      <c r="AE1853" s="45">
        <v>0</v>
      </c>
      <c r="AF1853" s="45">
        <v>0</v>
      </c>
      <c r="AG1853" s="45">
        <v>0</v>
      </c>
      <c r="AH1853" s="45">
        <v>0</v>
      </c>
      <c r="AI1853" s="45">
        <v>0</v>
      </c>
      <c r="AJ1853" s="45">
        <v>0</v>
      </c>
      <c r="AK1853" s="45">
        <v>0</v>
      </c>
      <c r="AL1853" s="45">
        <v>0</v>
      </c>
      <c r="AM1853" s="57" t="str">
        <f>I1853-J1853-K1853-L1853-M1853-N1853-O1853-P1853-Q1853-R1853-S1853-T1853-U1853-V1853-W1853-X1853-Y1853-Z1853-AA1853-AB1853-AC1853-AD1853-AE1853-AF1853-AG1853+AH1853-AI1853+AJ1853+AK1853-AL1853</f>
        <v>0</v>
      </c>
      <c r="AN1853" s="45"/>
    </row>
    <row r="1854" spans="1:41">
      <c r="A1854" s="45">
        <v>1826</v>
      </c>
      <c r="B1854" s="45" t="s">
        <v>7065</v>
      </c>
      <c r="C1854" s="49" t="s">
        <v>7066</v>
      </c>
      <c r="D1854" s="53" t="s">
        <v>73</v>
      </c>
      <c r="E1854" s="45" t="s">
        <v>7048</v>
      </c>
      <c r="F1854" s="45" t="s">
        <v>7044</v>
      </c>
      <c r="G1854" s="45">
        <v>2</v>
      </c>
      <c r="H1854" s="53" t="s">
        <v>7067</v>
      </c>
      <c r="I1854" s="45">
        <v>334000</v>
      </c>
      <c r="J1854" s="45">
        <v>0</v>
      </c>
      <c r="K1854" s="45">
        <v>22000</v>
      </c>
      <c r="L1854" s="45">
        <v>0</v>
      </c>
      <c r="M1854" s="45">
        <v>0</v>
      </c>
      <c r="N1854" s="45">
        <v>0</v>
      </c>
      <c r="O1854" s="45">
        <v>0</v>
      </c>
      <c r="P1854" s="45">
        <v>0</v>
      </c>
      <c r="Q1854" s="45">
        <v>0</v>
      </c>
      <c r="R1854" s="45">
        <v>0</v>
      </c>
      <c r="S1854" s="45">
        <v>0</v>
      </c>
      <c r="T1854" s="45">
        <v>0</v>
      </c>
      <c r="U1854" s="45">
        <v>1397</v>
      </c>
      <c r="V1854" s="45">
        <v>0</v>
      </c>
      <c r="W1854" s="45">
        <v>0</v>
      </c>
      <c r="X1854" s="45">
        <v>0</v>
      </c>
      <c r="Y1854" s="45">
        <v>0</v>
      </c>
      <c r="Z1854" s="45">
        <v>0</v>
      </c>
      <c r="AA1854" s="45">
        <v>0</v>
      </c>
      <c r="AB1854" s="45">
        <v>0</v>
      </c>
      <c r="AC1854" s="45">
        <v>0</v>
      </c>
      <c r="AD1854" s="45">
        <v>0</v>
      </c>
      <c r="AE1854" s="45">
        <v>0</v>
      </c>
      <c r="AF1854" s="45">
        <v>0</v>
      </c>
      <c r="AG1854" s="45">
        <v>0</v>
      </c>
      <c r="AH1854" s="45">
        <v>0</v>
      </c>
      <c r="AI1854" s="45">
        <v>0</v>
      </c>
      <c r="AJ1854" s="45">
        <v>0</v>
      </c>
      <c r="AK1854" s="45">
        <v>0</v>
      </c>
      <c r="AL1854" s="45">
        <v>0</v>
      </c>
      <c r="AM1854" s="57" t="str">
        <f>I1854-J1854-K1854-L1854-M1854-N1854-O1854-P1854-Q1854-R1854-S1854-T1854-U1854-V1854-W1854-X1854-Y1854-Z1854-AA1854-AB1854-AC1854-AD1854-AE1854-AF1854-AG1854+AH1854-AI1854+AJ1854+AK1854-AL1854</f>
        <v>0</v>
      </c>
      <c r="AN1854" s="45"/>
    </row>
    <row r="1855" spans="1:41">
      <c r="A1855" s="45">
        <v>1827</v>
      </c>
      <c r="B1855" s="45" t="s">
        <v>7068</v>
      </c>
      <c r="C1855" s="49" t="s">
        <v>7069</v>
      </c>
      <c r="D1855" s="53" t="s">
        <v>73</v>
      </c>
      <c r="E1855" s="45" t="s">
        <v>7048</v>
      </c>
      <c r="F1855" s="45" t="s">
        <v>1315</v>
      </c>
      <c r="G1855" s="45">
        <v>2</v>
      </c>
      <c r="H1855" s="53" t="s">
        <v>7070</v>
      </c>
      <c r="I1855" s="45">
        <v>334000</v>
      </c>
      <c r="J1855" s="45">
        <v>0</v>
      </c>
      <c r="K1855" s="45">
        <v>23000</v>
      </c>
      <c r="L1855" s="45">
        <v>0</v>
      </c>
      <c r="M1855" s="45">
        <v>0</v>
      </c>
      <c r="N1855" s="45">
        <v>0</v>
      </c>
      <c r="O1855" s="45">
        <v>0</v>
      </c>
      <c r="P1855" s="45">
        <v>0</v>
      </c>
      <c r="Q1855" s="45">
        <v>0</v>
      </c>
      <c r="R1855" s="45">
        <v>0</v>
      </c>
      <c r="S1855" s="45">
        <v>0</v>
      </c>
      <c r="T1855" s="45">
        <v>0</v>
      </c>
      <c r="U1855" s="45">
        <v>1460</v>
      </c>
      <c r="V1855" s="45">
        <v>0</v>
      </c>
      <c r="W1855" s="45">
        <v>0</v>
      </c>
      <c r="X1855" s="45">
        <v>0</v>
      </c>
      <c r="Y1855" s="45">
        <v>0</v>
      </c>
      <c r="Z1855" s="45">
        <v>0</v>
      </c>
      <c r="AA1855" s="45">
        <v>0</v>
      </c>
      <c r="AB1855" s="45">
        <v>0</v>
      </c>
      <c r="AC1855" s="45">
        <v>0</v>
      </c>
      <c r="AD1855" s="45">
        <v>0</v>
      </c>
      <c r="AE1855" s="45">
        <v>0</v>
      </c>
      <c r="AF1855" s="45">
        <v>0</v>
      </c>
      <c r="AG1855" s="45">
        <v>0</v>
      </c>
      <c r="AH1855" s="45">
        <v>0</v>
      </c>
      <c r="AI1855" s="45">
        <v>0</v>
      </c>
      <c r="AJ1855" s="45">
        <v>0</v>
      </c>
      <c r="AK1855" s="45">
        <v>0</v>
      </c>
      <c r="AL1855" s="45">
        <v>0</v>
      </c>
      <c r="AM1855" s="57" t="str">
        <f>I1855-J1855-K1855-L1855-M1855-N1855-O1855-P1855-Q1855-R1855-S1855-T1855-U1855-V1855-W1855-X1855-Y1855-Z1855-AA1855-AB1855-AC1855-AD1855-AE1855-AF1855-AG1855+AH1855-AI1855+AJ1855+AK1855-AL1855</f>
        <v>0</v>
      </c>
      <c r="AN1855" s="45"/>
    </row>
    <row r="1856" spans="1:41">
      <c r="A1856" s="45">
        <v>1828</v>
      </c>
      <c r="B1856" s="45" t="s">
        <v>7071</v>
      </c>
      <c r="C1856" s="49" t="s">
        <v>7072</v>
      </c>
      <c r="D1856" s="53" t="s">
        <v>73</v>
      </c>
      <c r="E1856" s="45" t="s">
        <v>7048</v>
      </c>
      <c r="F1856" s="45" t="s">
        <v>7073</v>
      </c>
      <c r="G1856" s="45">
        <v>2</v>
      </c>
      <c r="H1856" s="53" t="s">
        <v>7074</v>
      </c>
      <c r="I1856" s="45">
        <v>265000</v>
      </c>
      <c r="J1856" s="45">
        <v>0</v>
      </c>
      <c r="K1856" s="45">
        <v>23000</v>
      </c>
      <c r="L1856" s="45">
        <v>0</v>
      </c>
      <c r="M1856" s="45">
        <v>0</v>
      </c>
      <c r="N1856" s="45">
        <v>0</v>
      </c>
      <c r="O1856" s="45">
        <v>0</v>
      </c>
      <c r="P1856" s="45">
        <v>0</v>
      </c>
      <c r="Q1856" s="45">
        <v>0</v>
      </c>
      <c r="R1856" s="45">
        <v>0</v>
      </c>
      <c r="S1856" s="45">
        <v>0</v>
      </c>
      <c r="T1856" s="45">
        <v>0</v>
      </c>
      <c r="U1856" s="45">
        <v>1460</v>
      </c>
      <c r="V1856" s="45">
        <v>0</v>
      </c>
      <c r="W1856" s="45">
        <v>0</v>
      </c>
      <c r="X1856" s="45">
        <v>0</v>
      </c>
      <c r="Y1856" s="45">
        <v>0</v>
      </c>
      <c r="Z1856" s="45">
        <v>0</v>
      </c>
      <c r="AA1856" s="45">
        <v>0</v>
      </c>
      <c r="AB1856" s="45">
        <v>0</v>
      </c>
      <c r="AC1856" s="45">
        <v>0</v>
      </c>
      <c r="AD1856" s="45">
        <v>0</v>
      </c>
      <c r="AE1856" s="45">
        <v>0</v>
      </c>
      <c r="AF1856" s="45">
        <v>0</v>
      </c>
      <c r="AG1856" s="45">
        <v>0</v>
      </c>
      <c r="AH1856" s="45">
        <v>0</v>
      </c>
      <c r="AI1856" s="45">
        <v>0</v>
      </c>
      <c r="AJ1856" s="45">
        <v>0</v>
      </c>
      <c r="AK1856" s="45">
        <v>0</v>
      </c>
      <c r="AL1856" s="45">
        <v>0</v>
      </c>
      <c r="AM1856" s="57" t="str">
        <f>I1856-J1856-K1856-L1856-M1856-N1856-O1856-P1856-Q1856-R1856-S1856-T1856-U1856-V1856-W1856-X1856-Y1856-Z1856-AA1856-AB1856-AC1856-AD1856-AE1856-AF1856-AG1856+AH1856-AI1856+AJ1856+AK1856-AL1856</f>
        <v>0</v>
      </c>
      <c r="AN1856" s="45"/>
    </row>
    <row r="1857" spans="1:41">
      <c r="A1857" s="45">
        <v>1829</v>
      </c>
      <c r="B1857" s="45" t="s">
        <v>7075</v>
      </c>
      <c r="C1857" s="49" t="s">
        <v>7076</v>
      </c>
      <c r="D1857" s="53" t="s">
        <v>73</v>
      </c>
      <c r="E1857" s="45" t="s">
        <v>7048</v>
      </c>
      <c r="F1857" s="45" t="s">
        <v>7077</v>
      </c>
      <c r="G1857" s="45">
        <v>2</v>
      </c>
      <c r="H1857" s="53" t="s">
        <v>7078</v>
      </c>
      <c r="I1857" s="45">
        <v>235000</v>
      </c>
      <c r="J1857" s="45">
        <v>0</v>
      </c>
      <c r="K1857" s="45">
        <v>22000</v>
      </c>
      <c r="L1857" s="45">
        <v>0</v>
      </c>
      <c r="M1857" s="45">
        <v>0</v>
      </c>
      <c r="N1857" s="45">
        <v>0</v>
      </c>
      <c r="O1857" s="45">
        <v>0</v>
      </c>
      <c r="P1857" s="45">
        <v>0</v>
      </c>
      <c r="Q1857" s="45">
        <v>0</v>
      </c>
      <c r="R1857" s="45">
        <v>0</v>
      </c>
      <c r="S1857" s="45">
        <v>0</v>
      </c>
      <c r="T1857" s="45">
        <v>0</v>
      </c>
      <c r="U1857" s="45">
        <v>1397</v>
      </c>
      <c r="V1857" s="45">
        <v>0</v>
      </c>
      <c r="W1857" s="45">
        <v>0</v>
      </c>
      <c r="X1857" s="45">
        <v>0</v>
      </c>
      <c r="Y1857" s="45">
        <v>0</v>
      </c>
      <c r="Z1857" s="45">
        <v>0</v>
      </c>
      <c r="AA1857" s="45">
        <v>0</v>
      </c>
      <c r="AB1857" s="45">
        <v>0</v>
      </c>
      <c r="AC1857" s="45">
        <v>0</v>
      </c>
      <c r="AD1857" s="45">
        <v>0</v>
      </c>
      <c r="AE1857" s="45">
        <v>0</v>
      </c>
      <c r="AF1857" s="45">
        <v>0</v>
      </c>
      <c r="AG1857" s="45">
        <v>0</v>
      </c>
      <c r="AH1857" s="45">
        <v>0</v>
      </c>
      <c r="AI1857" s="45">
        <v>0</v>
      </c>
      <c r="AJ1857" s="45">
        <v>0</v>
      </c>
      <c r="AK1857" s="45">
        <v>0</v>
      </c>
      <c r="AL1857" s="45">
        <v>0</v>
      </c>
      <c r="AM1857" s="57" t="str">
        <f>I1857-J1857-K1857-L1857-M1857-N1857-O1857-P1857-Q1857-R1857-S1857-T1857-U1857-V1857-W1857-X1857-Y1857-Z1857-AA1857-AB1857-AC1857-AD1857-AE1857-AF1857-AG1857+AH1857-AI1857+AJ1857+AK1857-AL1857</f>
        <v>0</v>
      </c>
      <c r="AN1857" s="45"/>
    </row>
    <row r="1858" spans="1:41">
      <c r="A1858" s="45">
        <v>1830</v>
      </c>
      <c r="B1858" s="45" t="s">
        <v>7079</v>
      </c>
      <c r="C1858" s="49" t="s">
        <v>7080</v>
      </c>
      <c r="D1858" s="53" t="s">
        <v>73</v>
      </c>
      <c r="E1858" s="45" t="s">
        <v>7048</v>
      </c>
      <c r="F1858" s="45" t="s">
        <v>7036</v>
      </c>
      <c r="G1858" s="45">
        <v>3</v>
      </c>
      <c r="H1858" s="53" t="s">
        <v>7081</v>
      </c>
      <c r="I1858" s="45">
        <v>334000</v>
      </c>
      <c r="J1858" s="45">
        <v>0</v>
      </c>
      <c r="K1858" s="45">
        <v>22000</v>
      </c>
      <c r="L1858" s="45">
        <v>0</v>
      </c>
      <c r="M1858" s="45">
        <v>0</v>
      </c>
      <c r="N1858" s="45">
        <v>0</v>
      </c>
      <c r="O1858" s="45">
        <v>0</v>
      </c>
      <c r="P1858" s="45">
        <v>0</v>
      </c>
      <c r="Q1858" s="45">
        <v>0</v>
      </c>
      <c r="R1858" s="45">
        <v>0</v>
      </c>
      <c r="S1858" s="45">
        <v>0</v>
      </c>
      <c r="T1858" s="45">
        <v>0</v>
      </c>
      <c r="U1858" s="45">
        <v>1397</v>
      </c>
      <c r="V1858" s="45">
        <v>0</v>
      </c>
      <c r="W1858" s="45">
        <v>0</v>
      </c>
      <c r="X1858" s="45">
        <v>0</v>
      </c>
      <c r="Y1858" s="45">
        <v>0</v>
      </c>
      <c r="Z1858" s="45">
        <v>0</v>
      </c>
      <c r="AA1858" s="45">
        <v>0</v>
      </c>
      <c r="AB1858" s="45">
        <v>0</v>
      </c>
      <c r="AC1858" s="45">
        <v>0</v>
      </c>
      <c r="AD1858" s="45">
        <v>0</v>
      </c>
      <c r="AE1858" s="45">
        <v>0</v>
      </c>
      <c r="AF1858" s="45">
        <v>0</v>
      </c>
      <c r="AG1858" s="45">
        <v>0</v>
      </c>
      <c r="AH1858" s="45">
        <v>0</v>
      </c>
      <c r="AI1858" s="45">
        <v>0</v>
      </c>
      <c r="AJ1858" s="45">
        <v>0</v>
      </c>
      <c r="AK1858" s="45">
        <v>0</v>
      </c>
      <c r="AL1858" s="45">
        <v>0</v>
      </c>
      <c r="AM1858" s="57" t="str">
        <f>I1858-J1858-K1858-L1858-M1858-N1858-O1858-P1858-Q1858-R1858-S1858-T1858-U1858-V1858-W1858-X1858-Y1858-Z1858-AA1858-AB1858-AC1858-AD1858-AE1858-AF1858-AG1858+AH1858-AI1858+AJ1858+AK1858-AL1858</f>
        <v>0</v>
      </c>
      <c r="AN1858" s="45"/>
    </row>
    <row r="1859" spans="1:41">
      <c r="A1859" s="45">
        <v>1831</v>
      </c>
      <c r="B1859" s="45" t="s">
        <v>7082</v>
      </c>
      <c r="C1859" s="49" t="s">
        <v>7083</v>
      </c>
      <c r="D1859" s="53" t="s">
        <v>73</v>
      </c>
      <c r="E1859" s="45" t="s">
        <v>7084</v>
      </c>
      <c r="F1859" s="45" t="s">
        <v>7085</v>
      </c>
      <c r="G1859" s="45">
        <v>2</v>
      </c>
      <c r="H1859" s="53" t="s">
        <v>7086</v>
      </c>
      <c r="I1859" s="45">
        <v>385000</v>
      </c>
      <c r="J1859" s="45">
        <v>0</v>
      </c>
      <c r="K1859" s="45">
        <v>22000</v>
      </c>
      <c r="L1859" s="45">
        <v>0</v>
      </c>
      <c r="M1859" s="45">
        <v>0</v>
      </c>
      <c r="N1859" s="45">
        <v>0</v>
      </c>
      <c r="O1859" s="45">
        <v>0</v>
      </c>
      <c r="P1859" s="45">
        <v>0</v>
      </c>
      <c r="Q1859" s="45">
        <v>0</v>
      </c>
      <c r="R1859" s="45">
        <v>0</v>
      </c>
      <c r="S1859" s="45">
        <v>0</v>
      </c>
      <c r="T1859" s="45">
        <v>0</v>
      </c>
      <c r="U1859" s="45">
        <v>1397</v>
      </c>
      <c r="V1859" s="45">
        <v>0</v>
      </c>
      <c r="W1859" s="45">
        <v>0</v>
      </c>
      <c r="X1859" s="45">
        <v>0</v>
      </c>
      <c r="Y1859" s="45">
        <v>0</v>
      </c>
      <c r="Z1859" s="45">
        <v>0</v>
      </c>
      <c r="AA1859" s="45">
        <v>0</v>
      </c>
      <c r="AB1859" s="45">
        <v>0</v>
      </c>
      <c r="AC1859" s="45">
        <v>0</v>
      </c>
      <c r="AD1859" s="45">
        <v>0</v>
      </c>
      <c r="AE1859" s="45">
        <v>0</v>
      </c>
      <c r="AF1859" s="45">
        <v>0</v>
      </c>
      <c r="AG1859" s="45">
        <v>0</v>
      </c>
      <c r="AH1859" s="45">
        <v>0</v>
      </c>
      <c r="AI1859" s="45">
        <v>0</v>
      </c>
      <c r="AJ1859" s="45">
        <v>0</v>
      </c>
      <c r="AK1859" s="45">
        <v>0</v>
      </c>
      <c r="AL1859" s="45">
        <v>0</v>
      </c>
      <c r="AM1859" s="57" t="str">
        <f>I1859-J1859-K1859-L1859-M1859-N1859-O1859-P1859-Q1859-R1859-S1859-T1859-U1859-V1859-W1859-X1859-Y1859-Z1859-AA1859-AB1859-AC1859-AD1859-AE1859-AF1859-AG1859+AH1859-AI1859+AJ1859+AK1859-AL1859</f>
        <v>0</v>
      </c>
      <c r="AN1859" s="45"/>
    </row>
    <row r="1860" spans="1:41">
      <c r="A1860" s="45">
        <v>1832</v>
      </c>
      <c r="B1860" s="45" t="s">
        <v>7087</v>
      </c>
      <c r="C1860" s="49" t="s">
        <v>7088</v>
      </c>
      <c r="D1860" s="53" t="s">
        <v>73</v>
      </c>
      <c r="E1860" s="45" t="s">
        <v>7084</v>
      </c>
      <c r="F1860" s="45" t="s">
        <v>7018</v>
      </c>
      <c r="G1860" s="45">
        <v>2</v>
      </c>
      <c r="H1860" s="53" t="s">
        <v>7089</v>
      </c>
      <c r="I1860" s="45">
        <v>314000</v>
      </c>
      <c r="J1860" s="45">
        <v>0</v>
      </c>
      <c r="K1860" s="45">
        <v>22000</v>
      </c>
      <c r="L1860" s="45">
        <v>0</v>
      </c>
      <c r="M1860" s="45">
        <v>0</v>
      </c>
      <c r="N1860" s="45">
        <v>0</v>
      </c>
      <c r="O1860" s="45">
        <v>0</v>
      </c>
      <c r="P1860" s="45">
        <v>0</v>
      </c>
      <c r="Q1860" s="45">
        <v>0</v>
      </c>
      <c r="R1860" s="45">
        <v>0</v>
      </c>
      <c r="S1860" s="45">
        <v>0</v>
      </c>
      <c r="T1860" s="45">
        <v>0</v>
      </c>
      <c r="U1860" s="45">
        <v>1397</v>
      </c>
      <c r="V1860" s="45">
        <v>0</v>
      </c>
      <c r="W1860" s="45">
        <v>0</v>
      </c>
      <c r="X1860" s="45">
        <v>0</v>
      </c>
      <c r="Y1860" s="45">
        <v>0</v>
      </c>
      <c r="Z1860" s="45">
        <v>0</v>
      </c>
      <c r="AA1860" s="45">
        <v>0</v>
      </c>
      <c r="AB1860" s="45">
        <v>0</v>
      </c>
      <c r="AC1860" s="45">
        <v>0</v>
      </c>
      <c r="AD1860" s="45">
        <v>0</v>
      </c>
      <c r="AE1860" s="45">
        <v>0</v>
      </c>
      <c r="AF1860" s="45">
        <v>0</v>
      </c>
      <c r="AG1860" s="45">
        <v>0</v>
      </c>
      <c r="AH1860" s="45">
        <v>0</v>
      </c>
      <c r="AI1860" s="45">
        <v>0</v>
      </c>
      <c r="AJ1860" s="45">
        <v>0</v>
      </c>
      <c r="AK1860" s="45">
        <v>0</v>
      </c>
      <c r="AL1860" s="45">
        <v>0</v>
      </c>
      <c r="AM1860" s="57" t="str">
        <f>I1860-J1860-K1860-L1860-M1860-N1860-O1860-P1860-Q1860-R1860-S1860-T1860-U1860-V1860-W1860-X1860-Y1860-Z1860-AA1860-AB1860-AC1860-AD1860-AE1860-AF1860-AG1860+AH1860-AI1860+AJ1860+AK1860-AL1860</f>
        <v>0</v>
      </c>
      <c r="AN1860" s="45"/>
    </row>
    <row r="1861" spans="1:41">
      <c r="A1861" s="45">
        <v>1833</v>
      </c>
      <c r="B1861" s="45" t="s">
        <v>7090</v>
      </c>
      <c r="C1861" s="49" t="s">
        <v>7091</v>
      </c>
      <c r="D1861" s="53" t="s">
        <v>73</v>
      </c>
      <c r="E1861" s="45" t="s">
        <v>7084</v>
      </c>
      <c r="F1861" s="45" t="s">
        <v>7092</v>
      </c>
      <c r="G1861" s="45">
        <v>2</v>
      </c>
      <c r="H1861" s="53" t="s">
        <v>7093</v>
      </c>
      <c r="I1861" s="45">
        <v>305000</v>
      </c>
      <c r="J1861" s="45">
        <v>0</v>
      </c>
      <c r="K1861" s="45">
        <v>22000</v>
      </c>
      <c r="L1861" s="45">
        <v>0</v>
      </c>
      <c r="M1861" s="45">
        <v>0</v>
      </c>
      <c r="N1861" s="45">
        <v>0</v>
      </c>
      <c r="O1861" s="45">
        <v>0</v>
      </c>
      <c r="P1861" s="45">
        <v>0</v>
      </c>
      <c r="Q1861" s="45">
        <v>0</v>
      </c>
      <c r="R1861" s="45">
        <v>0</v>
      </c>
      <c r="S1861" s="45">
        <v>0</v>
      </c>
      <c r="T1861" s="45">
        <v>0</v>
      </c>
      <c r="U1861" s="45">
        <v>1397</v>
      </c>
      <c r="V1861" s="45">
        <v>0</v>
      </c>
      <c r="W1861" s="45">
        <v>0</v>
      </c>
      <c r="X1861" s="45">
        <v>0</v>
      </c>
      <c r="Y1861" s="45">
        <v>0</v>
      </c>
      <c r="Z1861" s="45">
        <v>0</v>
      </c>
      <c r="AA1861" s="45">
        <v>0</v>
      </c>
      <c r="AB1861" s="45">
        <v>0</v>
      </c>
      <c r="AC1861" s="45">
        <v>0</v>
      </c>
      <c r="AD1861" s="45">
        <v>0</v>
      </c>
      <c r="AE1861" s="45">
        <v>0</v>
      </c>
      <c r="AF1861" s="45">
        <v>0</v>
      </c>
      <c r="AG1861" s="45">
        <v>0</v>
      </c>
      <c r="AH1861" s="45">
        <v>0</v>
      </c>
      <c r="AI1861" s="45">
        <v>0</v>
      </c>
      <c r="AJ1861" s="45">
        <v>0</v>
      </c>
      <c r="AK1861" s="45">
        <v>0</v>
      </c>
      <c r="AL1861" s="45">
        <v>0</v>
      </c>
      <c r="AM1861" s="57" t="str">
        <f>I1861-J1861-K1861-L1861-M1861-N1861-O1861-P1861-Q1861-R1861-S1861-T1861-U1861-V1861-W1861-X1861-Y1861-Z1861-AA1861-AB1861-AC1861-AD1861-AE1861-AF1861-AG1861+AH1861-AI1861+AJ1861+AK1861-AL1861</f>
        <v>0</v>
      </c>
      <c r="AN1861" s="45"/>
    </row>
    <row r="1862" spans="1:41">
      <c r="A1862" s="45">
        <v>1834</v>
      </c>
      <c r="B1862" s="45" t="s">
        <v>7094</v>
      </c>
      <c r="C1862" s="49" t="s">
        <v>7095</v>
      </c>
      <c r="D1862" s="53" t="s">
        <v>73</v>
      </c>
      <c r="E1862" s="45" t="s">
        <v>7084</v>
      </c>
      <c r="F1862" s="45" t="s">
        <v>5692</v>
      </c>
      <c r="G1862" s="45">
        <v>2</v>
      </c>
      <c r="H1862" s="53" t="s">
        <v>7096</v>
      </c>
      <c r="I1862" s="45">
        <v>0</v>
      </c>
      <c r="J1862" s="45">
        <v>0</v>
      </c>
      <c r="K1862" s="45">
        <v>23000</v>
      </c>
      <c r="L1862" s="45">
        <v>0</v>
      </c>
      <c r="M1862" s="45">
        <v>0</v>
      </c>
      <c r="N1862" s="45">
        <v>0</v>
      </c>
      <c r="O1862" s="45">
        <v>0</v>
      </c>
      <c r="P1862" s="45">
        <v>0</v>
      </c>
      <c r="Q1862" s="45">
        <v>0</v>
      </c>
      <c r="R1862" s="45">
        <v>0</v>
      </c>
      <c r="S1862" s="45">
        <v>0</v>
      </c>
      <c r="T1862" s="45">
        <v>0</v>
      </c>
      <c r="U1862" s="45">
        <v>1460</v>
      </c>
      <c r="V1862" s="45">
        <v>0</v>
      </c>
      <c r="W1862" s="45">
        <v>0</v>
      </c>
      <c r="X1862" s="45">
        <v>0</v>
      </c>
      <c r="Y1862" s="45">
        <v>0</v>
      </c>
      <c r="Z1862" s="45">
        <v>0</v>
      </c>
      <c r="AA1862" s="45">
        <v>0</v>
      </c>
      <c r="AB1862" s="45">
        <v>0</v>
      </c>
      <c r="AC1862" s="45">
        <v>0</v>
      </c>
      <c r="AD1862" s="45">
        <v>0</v>
      </c>
      <c r="AE1862" s="45">
        <v>0</v>
      </c>
      <c r="AF1862" s="45">
        <v>0</v>
      </c>
      <c r="AG1862" s="45">
        <v>0</v>
      </c>
      <c r="AH1862" s="45">
        <v>0</v>
      </c>
      <c r="AI1862" s="45">
        <v>0</v>
      </c>
      <c r="AJ1862" s="45">
        <v>0</v>
      </c>
      <c r="AK1862" s="45">
        <v>0</v>
      </c>
      <c r="AL1862" s="45">
        <v>0</v>
      </c>
      <c r="AM1862" s="57" t="str">
        <f>I1862-J1862-K1862-L1862-M1862-N1862-O1862-P1862-Q1862-R1862-S1862-T1862-U1862-V1862-W1862-X1862-Y1862-Z1862-AA1862-AB1862-AC1862-AD1862-AE1862-AF1862-AG1862+AH1862-AI1862+AJ1862+AK1862-AL1862</f>
        <v>0</v>
      </c>
      <c r="AN1862" s="45"/>
    </row>
    <row r="1863" spans="1:41">
      <c r="A1863" s="45">
        <v>1835</v>
      </c>
      <c r="B1863" s="45" t="s">
        <v>7097</v>
      </c>
      <c r="C1863" s="49" t="s">
        <v>7098</v>
      </c>
      <c r="D1863" s="53" t="s">
        <v>73</v>
      </c>
      <c r="E1863" s="45" t="s">
        <v>7084</v>
      </c>
      <c r="F1863" s="45" t="s">
        <v>4093</v>
      </c>
      <c r="G1863" s="45">
        <v>3</v>
      </c>
      <c r="H1863" s="53" t="s">
        <v>7099</v>
      </c>
      <c r="I1863" s="45">
        <v>934000</v>
      </c>
      <c r="J1863" s="45">
        <v>0</v>
      </c>
      <c r="K1863" s="45">
        <v>23000</v>
      </c>
      <c r="L1863" s="45">
        <v>0</v>
      </c>
      <c r="M1863" s="45">
        <v>0</v>
      </c>
      <c r="N1863" s="45">
        <v>0</v>
      </c>
      <c r="O1863" s="45">
        <v>0</v>
      </c>
      <c r="P1863" s="45">
        <v>0</v>
      </c>
      <c r="Q1863" s="45">
        <v>0</v>
      </c>
      <c r="R1863" s="45">
        <v>0</v>
      </c>
      <c r="S1863" s="45">
        <v>0</v>
      </c>
      <c r="T1863" s="45">
        <v>0</v>
      </c>
      <c r="U1863" s="45">
        <v>1460</v>
      </c>
      <c r="V1863" s="45">
        <v>0</v>
      </c>
      <c r="W1863" s="45">
        <v>0</v>
      </c>
      <c r="X1863" s="45">
        <v>0</v>
      </c>
      <c r="Y1863" s="45">
        <v>0</v>
      </c>
      <c r="Z1863" s="45">
        <v>0</v>
      </c>
      <c r="AA1863" s="45">
        <v>0</v>
      </c>
      <c r="AB1863" s="45">
        <v>0</v>
      </c>
      <c r="AC1863" s="45">
        <v>0</v>
      </c>
      <c r="AD1863" s="45">
        <v>0</v>
      </c>
      <c r="AE1863" s="45">
        <v>0</v>
      </c>
      <c r="AF1863" s="45">
        <v>0</v>
      </c>
      <c r="AG1863" s="45">
        <v>0</v>
      </c>
      <c r="AH1863" s="45">
        <v>0</v>
      </c>
      <c r="AI1863" s="45">
        <v>0</v>
      </c>
      <c r="AJ1863" s="45">
        <v>0</v>
      </c>
      <c r="AK1863" s="45">
        <v>0</v>
      </c>
      <c r="AL1863" s="45">
        <v>0</v>
      </c>
      <c r="AM1863" s="57" t="str">
        <f>I1863-J1863-K1863-L1863-M1863-N1863-O1863-P1863-Q1863-R1863-S1863-T1863-U1863-V1863-W1863-X1863-Y1863-Z1863-AA1863-AB1863-AC1863-AD1863-AE1863-AF1863-AG1863+AH1863-AI1863+AJ1863+AK1863-AL1863</f>
        <v>0</v>
      </c>
      <c r="AN1863" s="45"/>
    </row>
    <row r="1864" spans="1:41">
      <c r="A1864" s="45">
        <v>1836</v>
      </c>
      <c r="B1864" s="45" t="s">
        <v>7100</v>
      </c>
      <c r="C1864" s="49" t="s">
        <v>7101</v>
      </c>
      <c r="D1864" s="53" t="s">
        <v>73</v>
      </c>
      <c r="E1864" s="45" t="s">
        <v>7084</v>
      </c>
      <c r="F1864" s="45" t="s">
        <v>7102</v>
      </c>
      <c r="G1864" s="45">
        <v>3</v>
      </c>
      <c r="H1864" s="53" t="s">
        <v>7103</v>
      </c>
      <c r="I1864" s="45">
        <v>334000</v>
      </c>
      <c r="J1864" s="45">
        <v>0</v>
      </c>
      <c r="K1864" s="45">
        <v>23000</v>
      </c>
      <c r="L1864" s="45">
        <v>0</v>
      </c>
      <c r="M1864" s="45">
        <v>0</v>
      </c>
      <c r="N1864" s="45">
        <v>0</v>
      </c>
      <c r="O1864" s="45">
        <v>0</v>
      </c>
      <c r="P1864" s="45">
        <v>0</v>
      </c>
      <c r="Q1864" s="45">
        <v>0</v>
      </c>
      <c r="R1864" s="45">
        <v>0</v>
      </c>
      <c r="S1864" s="45">
        <v>0</v>
      </c>
      <c r="T1864" s="45">
        <v>0</v>
      </c>
      <c r="U1864" s="45">
        <v>1460</v>
      </c>
      <c r="V1864" s="45">
        <v>0</v>
      </c>
      <c r="W1864" s="45">
        <v>0</v>
      </c>
      <c r="X1864" s="45">
        <v>0</v>
      </c>
      <c r="Y1864" s="45">
        <v>0</v>
      </c>
      <c r="Z1864" s="45">
        <v>0</v>
      </c>
      <c r="AA1864" s="45">
        <v>0</v>
      </c>
      <c r="AB1864" s="45">
        <v>0</v>
      </c>
      <c r="AC1864" s="45">
        <v>0</v>
      </c>
      <c r="AD1864" s="45">
        <v>0</v>
      </c>
      <c r="AE1864" s="45">
        <v>0</v>
      </c>
      <c r="AF1864" s="45">
        <v>0</v>
      </c>
      <c r="AG1864" s="45">
        <v>0</v>
      </c>
      <c r="AH1864" s="45">
        <v>0</v>
      </c>
      <c r="AI1864" s="45">
        <v>0</v>
      </c>
      <c r="AJ1864" s="45">
        <v>0</v>
      </c>
      <c r="AK1864" s="45">
        <v>0</v>
      </c>
      <c r="AL1864" s="45">
        <v>0</v>
      </c>
      <c r="AM1864" s="57" t="str">
        <f>I1864-J1864-K1864-L1864-M1864-N1864-O1864-P1864-Q1864-R1864-S1864-T1864-U1864-V1864-W1864-X1864-Y1864-Z1864-AA1864-AB1864-AC1864-AD1864-AE1864-AF1864-AG1864+AH1864-AI1864+AJ1864+AK1864-AL1864</f>
        <v>0</v>
      </c>
      <c r="AN1864" s="45"/>
    </row>
    <row r="1865" spans="1:41">
      <c r="A1865" s="45">
        <v>1837</v>
      </c>
      <c r="B1865" s="45" t="s">
        <v>7104</v>
      </c>
      <c r="C1865" s="49" t="s">
        <v>7105</v>
      </c>
      <c r="D1865" s="53" t="s">
        <v>73</v>
      </c>
      <c r="E1865" s="45" t="s">
        <v>7084</v>
      </c>
      <c r="F1865" s="45" t="s">
        <v>6412</v>
      </c>
      <c r="G1865" s="45">
        <v>2</v>
      </c>
      <c r="H1865" s="53" t="s">
        <v>7106</v>
      </c>
      <c r="I1865" s="45">
        <v>154000</v>
      </c>
      <c r="J1865" s="45">
        <v>0</v>
      </c>
      <c r="K1865" s="45">
        <v>23000</v>
      </c>
      <c r="L1865" s="45">
        <v>0</v>
      </c>
      <c r="M1865" s="45">
        <v>0</v>
      </c>
      <c r="N1865" s="45">
        <v>0</v>
      </c>
      <c r="O1865" s="45">
        <v>0</v>
      </c>
      <c r="P1865" s="45">
        <v>0</v>
      </c>
      <c r="Q1865" s="45">
        <v>0</v>
      </c>
      <c r="R1865" s="45">
        <v>0</v>
      </c>
      <c r="S1865" s="45">
        <v>0</v>
      </c>
      <c r="T1865" s="45">
        <v>0</v>
      </c>
      <c r="U1865" s="45">
        <v>1460</v>
      </c>
      <c r="V1865" s="45">
        <v>0</v>
      </c>
      <c r="W1865" s="45">
        <v>0</v>
      </c>
      <c r="X1865" s="45">
        <v>0</v>
      </c>
      <c r="Y1865" s="45">
        <v>0</v>
      </c>
      <c r="Z1865" s="45">
        <v>0</v>
      </c>
      <c r="AA1865" s="45">
        <v>0</v>
      </c>
      <c r="AB1865" s="45">
        <v>0</v>
      </c>
      <c r="AC1865" s="45">
        <v>0</v>
      </c>
      <c r="AD1865" s="45">
        <v>0</v>
      </c>
      <c r="AE1865" s="45">
        <v>0</v>
      </c>
      <c r="AF1865" s="45">
        <v>0</v>
      </c>
      <c r="AG1865" s="45">
        <v>0</v>
      </c>
      <c r="AH1865" s="45">
        <v>0</v>
      </c>
      <c r="AI1865" s="45">
        <v>0</v>
      </c>
      <c r="AJ1865" s="45">
        <v>0</v>
      </c>
      <c r="AK1865" s="45">
        <v>0</v>
      </c>
      <c r="AL1865" s="45">
        <v>0</v>
      </c>
      <c r="AM1865" s="57" t="str">
        <f>I1865-J1865-K1865-L1865-M1865-N1865-O1865-P1865-Q1865-R1865-S1865-T1865-U1865-V1865-W1865-X1865-Y1865-Z1865-AA1865-AB1865-AC1865-AD1865-AE1865-AF1865-AG1865+AH1865-AI1865+AJ1865+AK1865-AL1865</f>
        <v>0</v>
      </c>
      <c r="AN1865" s="45"/>
    </row>
    <row r="1866" spans="1:41">
      <c r="A1866" s="45">
        <v>1838</v>
      </c>
      <c r="B1866" s="45" t="s">
        <v>7107</v>
      </c>
      <c r="C1866" s="49" t="s">
        <v>7108</v>
      </c>
      <c r="D1866" s="53" t="s">
        <v>73</v>
      </c>
      <c r="E1866" s="45" t="s">
        <v>7084</v>
      </c>
      <c r="F1866" s="45" t="s">
        <v>7109</v>
      </c>
      <c r="G1866" s="45">
        <v>5</v>
      </c>
      <c r="H1866" s="53" t="s">
        <v>7110</v>
      </c>
      <c r="I1866" s="45">
        <v>435000</v>
      </c>
      <c r="J1866" s="45">
        <v>0</v>
      </c>
      <c r="K1866" s="45">
        <v>23000</v>
      </c>
      <c r="L1866" s="45">
        <v>0</v>
      </c>
      <c r="M1866" s="45">
        <v>0</v>
      </c>
      <c r="N1866" s="45">
        <v>0</v>
      </c>
      <c r="O1866" s="45">
        <v>0</v>
      </c>
      <c r="P1866" s="45">
        <v>0</v>
      </c>
      <c r="Q1866" s="45">
        <v>0</v>
      </c>
      <c r="R1866" s="45">
        <v>0</v>
      </c>
      <c r="S1866" s="45">
        <v>0</v>
      </c>
      <c r="T1866" s="45">
        <v>0</v>
      </c>
      <c r="U1866" s="45">
        <v>1460</v>
      </c>
      <c r="V1866" s="45">
        <v>0</v>
      </c>
      <c r="W1866" s="45">
        <v>0</v>
      </c>
      <c r="X1866" s="45">
        <v>0</v>
      </c>
      <c r="Y1866" s="45">
        <v>0</v>
      </c>
      <c r="Z1866" s="45">
        <v>0</v>
      </c>
      <c r="AA1866" s="45">
        <v>0</v>
      </c>
      <c r="AB1866" s="45">
        <v>0</v>
      </c>
      <c r="AC1866" s="45">
        <v>0</v>
      </c>
      <c r="AD1866" s="45">
        <v>0</v>
      </c>
      <c r="AE1866" s="45">
        <v>0</v>
      </c>
      <c r="AF1866" s="45">
        <v>0</v>
      </c>
      <c r="AG1866" s="45">
        <v>0</v>
      </c>
      <c r="AH1866" s="45">
        <v>0</v>
      </c>
      <c r="AI1866" s="45">
        <v>0</v>
      </c>
      <c r="AJ1866" s="45">
        <v>0</v>
      </c>
      <c r="AK1866" s="45">
        <v>0</v>
      </c>
      <c r="AL1866" s="45">
        <v>0</v>
      </c>
      <c r="AM1866" s="57" t="str">
        <f>I1866-J1866-K1866-L1866-M1866-N1866-O1866-P1866-Q1866-R1866-S1866-T1866-U1866-V1866-W1866-X1866-Y1866-Z1866-AA1866-AB1866-AC1866-AD1866-AE1866-AF1866-AG1866+AH1866-AI1866+AJ1866+AK1866-AL1866</f>
        <v>0</v>
      </c>
      <c r="AN1866" s="45"/>
    </row>
    <row r="1867" spans="1:41">
      <c r="A1867" s="45">
        <v>1839</v>
      </c>
      <c r="B1867" s="45" t="s">
        <v>7111</v>
      </c>
      <c r="C1867" s="49" t="s">
        <v>7112</v>
      </c>
      <c r="D1867" s="53" t="s">
        <v>73</v>
      </c>
      <c r="E1867" s="45" t="s">
        <v>7084</v>
      </c>
      <c r="F1867" s="45" t="s">
        <v>6808</v>
      </c>
      <c r="G1867" s="45">
        <v>4</v>
      </c>
      <c r="H1867" s="53" t="s">
        <v>7113</v>
      </c>
      <c r="I1867" s="45">
        <v>493000</v>
      </c>
      <c r="J1867" s="45">
        <v>0</v>
      </c>
      <c r="K1867" s="45">
        <v>23000</v>
      </c>
      <c r="L1867" s="45">
        <v>0</v>
      </c>
      <c r="M1867" s="45">
        <v>0</v>
      </c>
      <c r="N1867" s="45">
        <v>0</v>
      </c>
      <c r="O1867" s="45">
        <v>0</v>
      </c>
      <c r="P1867" s="45">
        <v>0</v>
      </c>
      <c r="Q1867" s="45">
        <v>0</v>
      </c>
      <c r="R1867" s="45">
        <v>0</v>
      </c>
      <c r="S1867" s="45">
        <v>0</v>
      </c>
      <c r="T1867" s="45">
        <v>0</v>
      </c>
      <c r="U1867" s="45">
        <v>1460</v>
      </c>
      <c r="V1867" s="45">
        <v>0</v>
      </c>
      <c r="W1867" s="45">
        <v>0</v>
      </c>
      <c r="X1867" s="45">
        <v>0</v>
      </c>
      <c r="Y1867" s="45">
        <v>0</v>
      </c>
      <c r="Z1867" s="45">
        <v>0</v>
      </c>
      <c r="AA1867" s="45">
        <v>0</v>
      </c>
      <c r="AB1867" s="45">
        <v>0</v>
      </c>
      <c r="AC1867" s="45">
        <v>0</v>
      </c>
      <c r="AD1867" s="45">
        <v>0</v>
      </c>
      <c r="AE1867" s="45">
        <v>0</v>
      </c>
      <c r="AF1867" s="45">
        <v>0</v>
      </c>
      <c r="AG1867" s="45">
        <v>0</v>
      </c>
      <c r="AH1867" s="45">
        <v>0</v>
      </c>
      <c r="AI1867" s="45">
        <v>0</v>
      </c>
      <c r="AJ1867" s="45">
        <v>0</v>
      </c>
      <c r="AK1867" s="45">
        <v>0</v>
      </c>
      <c r="AL1867" s="45">
        <v>0</v>
      </c>
      <c r="AM1867" s="57" t="str">
        <f>I1867-J1867-K1867-L1867-M1867-N1867-O1867-P1867-Q1867-R1867-S1867-T1867-U1867-V1867-W1867-X1867-Y1867-Z1867-AA1867-AB1867-AC1867-AD1867-AE1867-AF1867-AG1867+AH1867-AI1867+AJ1867+AK1867-AL1867</f>
        <v>0</v>
      </c>
      <c r="AN1867" s="45"/>
    </row>
    <row r="1868" spans="1:41">
      <c r="A1868" s="45">
        <v>1840</v>
      </c>
      <c r="B1868" s="45" t="s">
        <v>7114</v>
      </c>
      <c r="C1868" s="49" t="s">
        <v>7115</v>
      </c>
      <c r="D1868" s="53" t="s">
        <v>73</v>
      </c>
      <c r="E1868" s="45" t="s">
        <v>7084</v>
      </c>
      <c r="F1868" s="45" t="s">
        <v>7116</v>
      </c>
      <c r="G1868" s="45">
        <v>2</v>
      </c>
      <c r="H1868" s="53" t="s">
        <v>7117</v>
      </c>
      <c r="I1868" s="45">
        <v>384000</v>
      </c>
      <c r="J1868" s="45">
        <v>0</v>
      </c>
      <c r="K1868" s="45">
        <v>23000</v>
      </c>
      <c r="L1868" s="45">
        <v>0</v>
      </c>
      <c r="M1868" s="45">
        <v>0</v>
      </c>
      <c r="N1868" s="45">
        <v>0</v>
      </c>
      <c r="O1868" s="45">
        <v>0</v>
      </c>
      <c r="P1868" s="45">
        <v>0</v>
      </c>
      <c r="Q1868" s="45">
        <v>0</v>
      </c>
      <c r="R1868" s="45">
        <v>0</v>
      </c>
      <c r="S1868" s="45">
        <v>0</v>
      </c>
      <c r="T1868" s="45">
        <v>0</v>
      </c>
      <c r="U1868" s="45">
        <v>1460</v>
      </c>
      <c r="V1868" s="45">
        <v>0</v>
      </c>
      <c r="W1868" s="45">
        <v>0</v>
      </c>
      <c r="X1868" s="45">
        <v>0</v>
      </c>
      <c r="Y1868" s="45">
        <v>0</v>
      </c>
      <c r="Z1868" s="45">
        <v>0</v>
      </c>
      <c r="AA1868" s="45">
        <v>0</v>
      </c>
      <c r="AB1868" s="45">
        <v>0</v>
      </c>
      <c r="AC1868" s="45">
        <v>0</v>
      </c>
      <c r="AD1868" s="45">
        <v>0</v>
      </c>
      <c r="AE1868" s="45">
        <v>0</v>
      </c>
      <c r="AF1868" s="45">
        <v>0</v>
      </c>
      <c r="AG1868" s="45">
        <v>0</v>
      </c>
      <c r="AH1868" s="45">
        <v>0</v>
      </c>
      <c r="AI1868" s="45">
        <v>0</v>
      </c>
      <c r="AJ1868" s="45">
        <v>0</v>
      </c>
      <c r="AK1868" s="45">
        <v>0</v>
      </c>
      <c r="AL1868" s="45">
        <v>0</v>
      </c>
      <c r="AM1868" s="57" t="str">
        <f>I1868-J1868-K1868-L1868-M1868-N1868-O1868-P1868-Q1868-R1868-S1868-T1868-U1868-V1868-W1868-X1868-Y1868-Z1868-AA1868-AB1868-AC1868-AD1868-AE1868-AF1868-AG1868+AH1868-AI1868+AJ1868+AK1868-AL1868</f>
        <v>0</v>
      </c>
      <c r="AN1868" s="45"/>
    </row>
    <row r="1869" spans="1:41">
      <c r="A1869" s="45">
        <v>1841</v>
      </c>
      <c r="B1869" s="45" t="s">
        <v>7118</v>
      </c>
      <c r="C1869" s="49" t="s">
        <v>7119</v>
      </c>
      <c r="D1869" s="53" t="s">
        <v>73</v>
      </c>
      <c r="E1869" s="45" t="s">
        <v>7084</v>
      </c>
      <c r="F1869" s="45" t="s">
        <v>7120</v>
      </c>
      <c r="G1869" s="45">
        <v>2</v>
      </c>
      <c r="H1869" s="53" t="s">
        <v>7121</v>
      </c>
      <c r="I1869" s="45">
        <v>425000</v>
      </c>
      <c r="J1869" s="45">
        <v>0</v>
      </c>
      <c r="K1869" s="45">
        <v>23000</v>
      </c>
      <c r="L1869" s="45">
        <v>0</v>
      </c>
      <c r="M1869" s="45">
        <v>0</v>
      </c>
      <c r="N1869" s="45">
        <v>0</v>
      </c>
      <c r="O1869" s="45">
        <v>0</v>
      </c>
      <c r="P1869" s="45">
        <v>0</v>
      </c>
      <c r="Q1869" s="45">
        <v>0</v>
      </c>
      <c r="R1869" s="45">
        <v>0</v>
      </c>
      <c r="S1869" s="45">
        <v>0</v>
      </c>
      <c r="T1869" s="45">
        <v>0</v>
      </c>
      <c r="U1869" s="45">
        <v>1460</v>
      </c>
      <c r="V1869" s="45">
        <v>0</v>
      </c>
      <c r="W1869" s="45">
        <v>0</v>
      </c>
      <c r="X1869" s="45">
        <v>0</v>
      </c>
      <c r="Y1869" s="45">
        <v>0</v>
      </c>
      <c r="Z1869" s="45">
        <v>0</v>
      </c>
      <c r="AA1869" s="45">
        <v>0</v>
      </c>
      <c r="AB1869" s="45">
        <v>0</v>
      </c>
      <c r="AC1869" s="45">
        <v>0</v>
      </c>
      <c r="AD1869" s="45">
        <v>0</v>
      </c>
      <c r="AE1869" s="45">
        <v>0</v>
      </c>
      <c r="AF1869" s="45">
        <v>0</v>
      </c>
      <c r="AG1869" s="45">
        <v>0</v>
      </c>
      <c r="AH1869" s="45">
        <v>0</v>
      </c>
      <c r="AI1869" s="45">
        <v>0</v>
      </c>
      <c r="AJ1869" s="45">
        <v>0</v>
      </c>
      <c r="AK1869" s="45">
        <v>0</v>
      </c>
      <c r="AL1869" s="45">
        <v>0</v>
      </c>
      <c r="AM1869" s="57" t="str">
        <f>I1869-J1869-K1869-L1869-M1869-N1869-O1869-P1869-Q1869-R1869-S1869-T1869-U1869-V1869-W1869-X1869-Y1869-Z1869-AA1869-AB1869-AC1869-AD1869-AE1869-AF1869-AG1869+AH1869-AI1869+AJ1869+AK1869-AL1869</f>
        <v>0</v>
      </c>
      <c r="AN1869" s="45"/>
    </row>
    <row r="1870" spans="1:41">
      <c r="A1870" s="45">
        <v>1842</v>
      </c>
      <c r="B1870" s="45" t="s">
        <v>7122</v>
      </c>
      <c r="C1870" s="49" t="s">
        <v>7123</v>
      </c>
      <c r="D1870" s="53" t="s">
        <v>73</v>
      </c>
      <c r="E1870" s="45" t="s">
        <v>7124</v>
      </c>
      <c r="F1870" s="45" t="s">
        <v>6934</v>
      </c>
      <c r="G1870" s="45">
        <v>2</v>
      </c>
      <c r="H1870" s="53" t="s">
        <v>7125</v>
      </c>
      <c r="I1870" s="45">
        <v>134000</v>
      </c>
      <c r="J1870" s="45">
        <v>0</v>
      </c>
      <c r="K1870" s="45">
        <v>23000</v>
      </c>
      <c r="L1870" s="45">
        <v>0</v>
      </c>
      <c r="M1870" s="45">
        <v>0</v>
      </c>
      <c r="N1870" s="45">
        <v>0</v>
      </c>
      <c r="O1870" s="45">
        <v>0</v>
      </c>
      <c r="P1870" s="45">
        <v>0</v>
      </c>
      <c r="Q1870" s="45">
        <v>0</v>
      </c>
      <c r="R1870" s="45">
        <v>0</v>
      </c>
      <c r="S1870" s="45">
        <v>0</v>
      </c>
      <c r="T1870" s="45">
        <v>0</v>
      </c>
      <c r="U1870" s="45">
        <v>1460</v>
      </c>
      <c r="V1870" s="45">
        <v>0</v>
      </c>
      <c r="W1870" s="45">
        <v>0</v>
      </c>
      <c r="X1870" s="45">
        <v>0</v>
      </c>
      <c r="Y1870" s="45">
        <v>0</v>
      </c>
      <c r="Z1870" s="45">
        <v>0</v>
      </c>
      <c r="AA1870" s="45">
        <v>0</v>
      </c>
      <c r="AB1870" s="45">
        <v>0</v>
      </c>
      <c r="AC1870" s="45">
        <v>0</v>
      </c>
      <c r="AD1870" s="45">
        <v>0</v>
      </c>
      <c r="AE1870" s="45">
        <v>0</v>
      </c>
      <c r="AF1870" s="45">
        <v>0</v>
      </c>
      <c r="AG1870" s="45">
        <v>0</v>
      </c>
      <c r="AH1870" s="45">
        <v>0</v>
      </c>
      <c r="AI1870" s="45">
        <v>0</v>
      </c>
      <c r="AJ1870" s="45">
        <v>0</v>
      </c>
      <c r="AK1870" s="45">
        <v>0</v>
      </c>
      <c r="AL1870" s="45">
        <v>0</v>
      </c>
      <c r="AM1870" s="57" t="str">
        <f>I1870-J1870-K1870-L1870-M1870-N1870-O1870-P1870-Q1870-R1870-S1870-T1870-U1870-V1870-W1870-X1870-Y1870-Z1870-AA1870-AB1870-AC1870-AD1870-AE1870-AF1870-AG1870+AH1870-AI1870+AJ1870+AK1870-AL1870</f>
        <v>0</v>
      </c>
      <c r="AN1870" s="45"/>
    </row>
    <row r="1871" spans="1:41">
      <c r="A1871" s="45">
        <v>1843</v>
      </c>
      <c r="B1871" s="45" t="s">
        <v>7126</v>
      </c>
      <c r="C1871" s="49" t="s">
        <v>7127</v>
      </c>
      <c r="D1871" s="53" t="s">
        <v>73</v>
      </c>
      <c r="E1871" s="45" t="s">
        <v>7128</v>
      </c>
      <c r="F1871" s="45" t="s">
        <v>6942</v>
      </c>
      <c r="G1871" s="45">
        <v>2</v>
      </c>
      <c r="H1871" s="53" t="s">
        <v>7129</v>
      </c>
      <c r="I1871" s="45">
        <v>399000</v>
      </c>
      <c r="J1871" s="45">
        <v>0</v>
      </c>
      <c r="K1871" s="45">
        <v>22000</v>
      </c>
      <c r="L1871" s="45">
        <v>0</v>
      </c>
      <c r="M1871" s="45">
        <v>0</v>
      </c>
      <c r="N1871" s="45">
        <v>0</v>
      </c>
      <c r="O1871" s="45">
        <v>0</v>
      </c>
      <c r="P1871" s="45">
        <v>0</v>
      </c>
      <c r="Q1871" s="45">
        <v>0</v>
      </c>
      <c r="R1871" s="45">
        <v>0</v>
      </c>
      <c r="S1871" s="45">
        <v>0</v>
      </c>
      <c r="T1871" s="45">
        <v>0</v>
      </c>
      <c r="U1871" s="45">
        <v>1397</v>
      </c>
      <c r="V1871" s="45">
        <v>0</v>
      </c>
      <c r="W1871" s="45">
        <v>0</v>
      </c>
      <c r="X1871" s="45">
        <v>0</v>
      </c>
      <c r="Y1871" s="45">
        <v>0</v>
      </c>
      <c r="Z1871" s="45">
        <v>0</v>
      </c>
      <c r="AA1871" s="45">
        <v>0</v>
      </c>
      <c r="AB1871" s="45">
        <v>0</v>
      </c>
      <c r="AC1871" s="45">
        <v>0</v>
      </c>
      <c r="AD1871" s="45">
        <v>0</v>
      </c>
      <c r="AE1871" s="45">
        <v>0</v>
      </c>
      <c r="AF1871" s="45">
        <v>0</v>
      </c>
      <c r="AG1871" s="45">
        <v>0</v>
      </c>
      <c r="AH1871" s="45">
        <v>0</v>
      </c>
      <c r="AI1871" s="45">
        <v>0</v>
      </c>
      <c r="AJ1871" s="45">
        <v>0</v>
      </c>
      <c r="AK1871" s="45">
        <v>0</v>
      </c>
      <c r="AL1871" s="45">
        <v>0</v>
      </c>
      <c r="AM1871" s="57" t="str">
        <f>I1871-J1871-K1871-L1871-M1871-N1871-O1871-P1871-Q1871-R1871-S1871-T1871-U1871-V1871-W1871-X1871-Y1871-Z1871-AA1871-AB1871-AC1871-AD1871-AE1871-AF1871-AG1871+AH1871-AI1871+AJ1871+AK1871-AL1871</f>
        <v>0</v>
      </c>
      <c r="AN1871" s="45"/>
    </row>
    <row r="1872" spans="1:41">
      <c r="A1872" s="45">
        <v>1844</v>
      </c>
      <c r="B1872" s="45" t="s">
        <v>7130</v>
      </c>
      <c r="C1872" s="49" t="s">
        <v>7131</v>
      </c>
      <c r="D1872" s="53" t="s">
        <v>73</v>
      </c>
      <c r="E1872" s="45" t="s">
        <v>7128</v>
      </c>
      <c r="F1872" s="45" t="s">
        <v>5206</v>
      </c>
      <c r="G1872" s="45">
        <v>15</v>
      </c>
      <c r="H1872" s="53" t="s">
        <v>7132</v>
      </c>
      <c r="I1872" s="45">
        <v>4800000</v>
      </c>
      <c r="J1872" s="45">
        <v>24000</v>
      </c>
      <c r="K1872" s="45">
        <v>60000</v>
      </c>
      <c r="L1872" s="45">
        <v>0</v>
      </c>
      <c r="M1872" s="45">
        <v>0</v>
      </c>
      <c r="N1872" s="45">
        <v>0</v>
      </c>
      <c r="O1872" s="45">
        <v>0</v>
      </c>
      <c r="P1872" s="45">
        <v>0</v>
      </c>
      <c r="Q1872" s="45">
        <v>0</v>
      </c>
      <c r="R1872" s="45">
        <v>0</v>
      </c>
      <c r="S1872" s="45">
        <v>0</v>
      </c>
      <c r="T1872" s="45">
        <v>0</v>
      </c>
      <c r="U1872" s="45">
        <v>3810</v>
      </c>
      <c r="V1872" s="45">
        <v>0</v>
      </c>
      <c r="W1872" s="45">
        <v>0</v>
      </c>
      <c r="X1872" s="45">
        <v>0</v>
      </c>
      <c r="Y1872" s="45">
        <v>0</v>
      </c>
      <c r="Z1872" s="45">
        <v>0</v>
      </c>
      <c r="AA1872" s="45">
        <v>0</v>
      </c>
      <c r="AB1872" s="45">
        <v>0</v>
      </c>
      <c r="AC1872" s="45">
        <v>0</v>
      </c>
      <c r="AD1872" s="45">
        <v>0</v>
      </c>
      <c r="AE1872" s="45">
        <v>0</v>
      </c>
      <c r="AF1872" s="45">
        <v>0</v>
      </c>
      <c r="AG1872" s="45">
        <v>0</v>
      </c>
      <c r="AH1872" s="45">
        <v>0</v>
      </c>
      <c r="AI1872" s="45">
        <v>0</v>
      </c>
      <c r="AJ1872" s="45">
        <v>0</v>
      </c>
      <c r="AK1872" s="45">
        <v>0</v>
      </c>
      <c r="AL1872" s="45">
        <v>0</v>
      </c>
      <c r="AM1872" s="57" t="str">
        <f>I1872-J1872-K1872-L1872-M1872-N1872-O1872-P1872-Q1872-R1872-S1872-T1872-U1872-V1872-W1872-X1872-Y1872-Z1872-AA1872-AB1872-AC1872-AD1872-AE1872-AF1872-AG1872+AH1872-AI1872+AJ1872+AK1872-AL1872</f>
        <v>0</v>
      </c>
      <c r="AN1872" s="45"/>
    </row>
    <row r="1873" spans="1:41">
      <c r="A1873" s="45">
        <v>1845</v>
      </c>
      <c r="B1873" s="45" t="s">
        <v>7133</v>
      </c>
      <c r="C1873" s="49" t="s">
        <v>7134</v>
      </c>
      <c r="D1873" s="53" t="s">
        <v>73</v>
      </c>
      <c r="E1873" s="45" t="s">
        <v>7128</v>
      </c>
      <c r="F1873" s="45" t="s">
        <v>7135</v>
      </c>
      <c r="G1873" s="45">
        <v>7</v>
      </c>
      <c r="H1873" s="53" t="s">
        <v>7136</v>
      </c>
      <c r="I1873" s="45">
        <v>1065000</v>
      </c>
      <c r="J1873" s="45">
        <v>0</v>
      </c>
      <c r="K1873" s="45">
        <v>35000</v>
      </c>
      <c r="L1873" s="45">
        <v>0</v>
      </c>
      <c r="M1873" s="45">
        <v>0</v>
      </c>
      <c r="N1873" s="45">
        <v>0</v>
      </c>
      <c r="O1873" s="45">
        <v>0</v>
      </c>
      <c r="P1873" s="45">
        <v>0</v>
      </c>
      <c r="Q1873" s="45">
        <v>0</v>
      </c>
      <c r="R1873" s="45">
        <v>0</v>
      </c>
      <c r="S1873" s="45">
        <v>0</v>
      </c>
      <c r="T1873" s="45">
        <v>0</v>
      </c>
      <c r="U1873" s="45">
        <v>2222</v>
      </c>
      <c r="V1873" s="45">
        <v>0</v>
      </c>
      <c r="W1873" s="45">
        <v>0</v>
      </c>
      <c r="X1873" s="45">
        <v>0</v>
      </c>
      <c r="Y1873" s="45">
        <v>0</v>
      </c>
      <c r="Z1873" s="45">
        <v>0</v>
      </c>
      <c r="AA1873" s="45">
        <v>0</v>
      </c>
      <c r="AB1873" s="45">
        <v>0</v>
      </c>
      <c r="AC1873" s="45">
        <v>0</v>
      </c>
      <c r="AD1873" s="45">
        <v>0</v>
      </c>
      <c r="AE1873" s="45">
        <v>0</v>
      </c>
      <c r="AF1873" s="45">
        <v>0</v>
      </c>
      <c r="AG1873" s="45">
        <v>0</v>
      </c>
      <c r="AH1873" s="45">
        <v>0</v>
      </c>
      <c r="AI1873" s="45">
        <v>0</v>
      </c>
      <c r="AJ1873" s="45">
        <v>0</v>
      </c>
      <c r="AK1873" s="45">
        <v>0</v>
      </c>
      <c r="AL1873" s="45">
        <v>0</v>
      </c>
      <c r="AM1873" s="57" t="str">
        <f>I1873-J1873-K1873-L1873-M1873-N1873-O1873-P1873-Q1873-R1873-S1873-T1873-U1873-V1873-W1873-X1873-Y1873-Z1873-AA1873-AB1873-AC1873-AD1873-AE1873-AF1873-AG1873+AH1873-AI1873+AJ1873+AK1873-AL1873</f>
        <v>0</v>
      </c>
      <c r="AN1873" s="45"/>
    </row>
    <row r="1874" spans="1:41">
      <c r="A1874" s="45">
        <v>1846</v>
      </c>
      <c r="B1874" s="45" t="s">
        <v>7137</v>
      </c>
      <c r="C1874" s="49" t="s">
        <v>7138</v>
      </c>
      <c r="D1874" s="53" t="s">
        <v>73</v>
      </c>
      <c r="E1874" s="45" t="s">
        <v>7128</v>
      </c>
      <c r="F1874" s="45" t="s">
        <v>6663</v>
      </c>
      <c r="G1874" s="45">
        <v>5</v>
      </c>
      <c r="H1874" s="53" t="s">
        <v>7139</v>
      </c>
      <c r="I1874" s="45">
        <v>434000</v>
      </c>
      <c r="J1874" s="45">
        <v>0</v>
      </c>
      <c r="K1874" s="45">
        <v>27000</v>
      </c>
      <c r="L1874" s="45">
        <v>0</v>
      </c>
      <c r="M1874" s="45">
        <v>0</v>
      </c>
      <c r="N1874" s="45">
        <v>0</v>
      </c>
      <c r="O1874" s="45">
        <v>0</v>
      </c>
      <c r="P1874" s="45">
        <v>0</v>
      </c>
      <c r="Q1874" s="45">
        <v>0</v>
      </c>
      <c r="R1874" s="45">
        <v>0</v>
      </c>
      <c r="S1874" s="45">
        <v>0</v>
      </c>
      <c r="T1874" s="45">
        <v>0</v>
      </c>
      <c r="U1874" s="45">
        <v>1714</v>
      </c>
      <c r="V1874" s="45">
        <v>0</v>
      </c>
      <c r="W1874" s="45">
        <v>0</v>
      </c>
      <c r="X1874" s="45">
        <v>0</v>
      </c>
      <c r="Y1874" s="45">
        <v>0</v>
      </c>
      <c r="Z1874" s="45">
        <v>0</v>
      </c>
      <c r="AA1874" s="45">
        <v>0</v>
      </c>
      <c r="AB1874" s="45">
        <v>0</v>
      </c>
      <c r="AC1874" s="45">
        <v>0</v>
      </c>
      <c r="AD1874" s="45">
        <v>0</v>
      </c>
      <c r="AE1874" s="45">
        <v>0</v>
      </c>
      <c r="AF1874" s="45">
        <v>0</v>
      </c>
      <c r="AG1874" s="45">
        <v>0</v>
      </c>
      <c r="AH1874" s="45">
        <v>0</v>
      </c>
      <c r="AI1874" s="45">
        <v>0</v>
      </c>
      <c r="AJ1874" s="45">
        <v>0</v>
      </c>
      <c r="AK1874" s="45">
        <v>0</v>
      </c>
      <c r="AL1874" s="45">
        <v>0</v>
      </c>
      <c r="AM1874" s="57" t="str">
        <f>I1874-J1874-K1874-L1874-M1874-N1874-O1874-P1874-Q1874-R1874-S1874-T1874-U1874-V1874-W1874-X1874-Y1874-Z1874-AA1874-AB1874-AC1874-AD1874-AE1874-AF1874-AG1874+AH1874-AI1874+AJ1874+AK1874-AL1874</f>
        <v>0</v>
      </c>
      <c r="AN1874" s="45"/>
    </row>
    <row r="1875" spans="1:41">
      <c r="A1875" s="45">
        <v>1847</v>
      </c>
      <c r="B1875" s="45" t="s">
        <v>7140</v>
      </c>
      <c r="C1875" s="49" t="s">
        <v>7141</v>
      </c>
      <c r="D1875" s="53" t="s">
        <v>73</v>
      </c>
      <c r="E1875" s="45" t="s">
        <v>7128</v>
      </c>
      <c r="F1875" s="45" t="s">
        <v>2887</v>
      </c>
      <c r="G1875" s="45">
        <v>2</v>
      </c>
      <c r="H1875" s="53" t="s">
        <v>7142</v>
      </c>
      <c r="I1875" s="45">
        <v>282500</v>
      </c>
      <c r="J1875" s="45">
        <v>0</v>
      </c>
      <c r="K1875" s="45">
        <v>22000</v>
      </c>
      <c r="L1875" s="45">
        <v>0</v>
      </c>
      <c r="M1875" s="45">
        <v>0</v>
      </c>
      <c r="N1875" s="45">
        <v>0</v>
      </c>
      <c r="O1875" s="45">
        <v>0</v>
      </c>
      <c r="P1875" s="45">
        <v>0</v>
      </c>
      <c r="Q1875" s="45">
        <v>0</v>
      </c>
      <c r="R1875" s="45">
        <v>0</v>
      </c>
      <c r="S1875" s="45">
        <v>0</v>
      </c>
      <c r="T1875" s="45">
        <v>0</v>
      </c>
      <c r="U1875" s="45">
        <v>1397</v>
      </c>
      <c r="V1875" s="45">
        <v>0</v>
      </c>
      <c r="W1875" s="45">
        <v>0</v>
      </c>
      <c r="X1875" s="45">
        <v>0</v>
      </c>
      <c r="Y1875" s="45">
        <v>0</v>
      </c>
      <c r="Z1875" s="45">
        <v>0</v>
      </c>
      <c r="AA1875" s="45">
        <v>0</v>
      </c>
      <c r="AB1875" s="45">
        <v>0</v>
      </c>
      <c r="AC1875" s="45">
        <v>0</v>
      </c>
      <c r="AD1875" s="45">
        <v>0</v>
      </c>
      <c r="AE1875" s="45">
        <v>0</v>
      </c>
      <c r="AF1875" s="45">
        <v>0</v>
      </c>
      <c r="AG1875" s="45">
        <v>0</v>
      </c>
      <c r="AH1875" s="45">
        <v>0</v>
      </c>
      <c r="AI1875" s="45">
        <v>0</v>
      </c>
      <c r="AJ1875" s="45">
        <v>0</v>
      </c>
      <c r="AK1875" s="45">
        <v>0</v>
      </c>
      <c r="AL1875" s="45">
        <v>0</v>
      </c>
      <c r="AM1875" s="57" t="str">
        <f>I1875-J1875-K1875-L1875-M1875-N1875-O1875-P1875-Q1875-R1875-S1875-T1875-U1875-V1875-W1875-X1875-Y1875-Z1875-AA1875-AB1875-AC1875-AD1875-AE1875-AF1875-AG1875+AH1875-AI1875+AJ1875+AK1875-AL1875</f>
        <v>0</v>
      </c>
      <c r="AN1875" s="45"/>
    </row>
    <row r="1876" spans="1:41">
      <c r="A1876" s="45">
        <v>1848</v>
      </c>
      <c r="B1876" s="45" t="s">
        <v>7143</v>
      </c>
      <c r="C1876" s="49" t="s">
        <v>7144</v>
      </c>
      <c r="D1876" s="53" t="s">
        <v>73</v>
      </c>
      <c r="E1876" s="45" t="s">
        <v>7145</v>
      </c>
      <c r="F1876" s="45" t="s">
        <v>7146</v>
      </c>
      <c r="G1876" s="45">
        <v>6</v>
      </c>
      <c r="H1876" s="53" t="s">
        <v>7147</v>
      </c>
      <c r="I1876" s="45">
        <v>640000</v>
      </c>
      <c r="J1876" s="45">
        <v>0</v>
      </c>
      <c r="K1876" s="45">
        <v>31000</v>
      </c>
      <c r="L1876" s="45">
        <v>0</v>
      </c>
      <c r="M1876" s="45">
        <v>0</v>
      </c>
      <c r="N1876" s="45">
        <v>0</v>
      </c>
      <c r="O1876" s="45">
        <v>0</v>
      </c>
      <c r="P1876" s="45">
        <v>0</v>
      </c>
      <c r="Q1876" s="45">
        <v>0</v>
      </c>
      <c r="R1876" s="45">
        <v>0</v>
      </c>
      <c r="S1876" s="45">
        <v>0</v>
      </c>
      <c r="T1876" s="45">
        <v>0</v>
      </c>
      <c r="U1876" s="45">
        <v>1968</v>
      </c>
      <c r="V1876" s="45">
        <v>0</v>
      </c>
      <c r="W1876" s="45">
        <v>0</v>
      </c>
      <c r="X1876" s="45">
        <v>0</v>
      </c>
      <c r="Y1876" s="45">
        <v>0</v>
      </c>
      <c r="Z1876" s="45">
        <v>0</v>
      </c>
      <c r="AA1876" s="45">
        <v>0</v>
      </c>
      <c r="AB1876" s="45">
        <v>0</v>
      </c>
      <c r="AC1876" s="45">
        <v>0</v>
      </c>
      <c r="AD1876" s="45">
        <v>0</v>
      </c>
      <c r="AE1876" s="45">
        <v>0</v>
      </c>
      <c r="AF1876" s="45">
        <v>0</v>
      </c>
      <c r="AG1876" s="45">
        <v>0</v>
      </c>
      <c r="AH1876" s="45">
        <v>0</v>
      </c>
      <c r="AI1876" s="45">
        <v>0</v>
      </c>
      <c r="AJ1876" s="45">
        <v>0</v>
      </c>
      <c r="AK1876" s="45">
        <v>0</v>
      </c>
      <c r="AL1876" s="45">
        <v>0</v>
      </c>
      <c r="AM1876" s="57" t="str">
        <f>I1876-J1876-K1876-L1876-M1876-N1876-O1876-P1876-Q1876-R1876-S1876-T1876-U1876-V1876-W1876-X1876-Y1876-Z1876-AA1876-AB1876-AC1876-AD1876-AE1876-AF1876-AG1876+AH1876-AI1876+AJ1876+AK1876-AL1876</f>
        <v>0</v>
      </c>
      <c r="AN1876" s="45"/>
    </row>
    <row r="1877" spans="1:41">
      <c r="A1877" s="45">
        <v>1849</v>
      </c>
      <c r="B1877" s="45" t="s">
        <v>7148</v>
      </c>
      <c r="C1877" s="49" t="s">
        <v>7149</v>
      </c>
      <c r="D1877" s="53" t="s">
        <v>73</v>
      </c>
      <c r="E1877" s="45" t="s">
        <v>7145</v>
      </c>
      <c r="F1877" s="45" t="s">
        <v>4940</v>
      </c>
      <c r="G1877" s="45">
        <v>8</v>
      </c>
      <c r="H1877" s="53" t="s">
        <v>7150</v>
      </c>
      <c r="I1877" s="45">
        <v>1110000</v>
      </c>
      <c r="J1877" s="45">
        <v>0</v>
      </c>
      <c r="K1877" s="45">
        <v>39000</v>
      </c>
      <c r="L1877" s="45">
        <v>0</v>
      </c>
      <c r="M1877" s="45">
        <v>0</v>
      </c>
      <c r="N1877" s="45">
        <v>0</v>
      </c>
      <c r="O1877" s="45">
        <v>0</v>
      </c>
      <c r="P1877" s="45">
        <v>0</v>
      </c>
      <c r="Q1877" s="45">
        <v>0</v>
      </c>
      <c r="R1877" s="45">
        <v>0</v>
      </c>
      <c r="S1877" s="45">
        <v>0</v>
      </c>
      <c r="T1877" s="45">
        <v>0</v>
      </c>
      <c r="U1877" s="45">
        <v>2476</v>
      </c>
      <c r="V1877" s="45">
        <v>0</v>
      </c>
      <c r="W1877" s="45">
        <v>0</v>
      </c>
      <c r="X1877" s="45">
        <v>0</v>
      </c>
      <c r="Y1877" s="45">
        <v>0</v>
      </c>
      <c r="Z1877" s="45">
        <v>0</v>
      </c>
      <c r="AA1877" s="45">
        <v>0</v>
      </c>
      <c r="AB1877" s="45">
        <v>0</v>
      </c>
      <c r="AC1877" s="45">
        <v>0</v>
      </c>
      <c r="AD1877" s="45">
        <v>0</v>
      </c>
      <c r="AE1877" s="45">
        <v>0</v>
      </c>
      <c r="AF1877" s="45">
        <v>0</v>
      </c>
      <c r="AG1877" s="45">
        <v>0</v>
      </c>
      <c r="AH1877" s="45">
        <v>0</v>
      </c>
      <c r="AI1877" s="45">
        <v>0</v>
      </c>
      <c r="AJ1877" s="45">
        <v>0</v>
      </c>
      <c r="AK1877" s="45">
        <v>0</v>
      </c>
      <c r="AL1877" s="45">
        <v>0</v>
      </c>
      <c r="AM1877" s="57" t="str">
        <f>I1877-J1877-K1877-L1877-M1877-N1877-O1877-P1877-Q1877-R1877-S1877-T1877-U1877-V1877-W1877-X1877-Y1877-Z1877-AA1877-AB1877-AC1877-AD1877-AE1877-AF1877-AG1877+AH1877-AI1877+AJ1877+AK1877-AL1877</f>
        <v>0</v>
      </c>
      <c r="AN1877" s="45"/>
    </row>
    <row r="1878" spans="1:41">
      <c r="A1878" s="45">
        <v>1850</v>
      </c>
      <c r="B1878" s="45" t="s">
        <v>7151</v>
      </c>
      <c r="C1878" s="49" t="s">
        <v>7152</v>
      </c>
      <c r="D1878" s="53" t="s">
        <v>73</v>
      </c>
      <c r="E1878" s="45" t="s">
        <v>7145</v>
      </c>
      <c r="F1878" s="45" t="s">
        <v>7153</v>
      </c>
      <c r="G1878" s="45">
        <v>5</v>
      </c>
      <c r="H1878" s="53" t="s">
        <v>7154</v>
      </c>
      <c r="I1878" s="45">
        <v>575000</v>
      </c>
      <c r="J1878" s="45">
        <v>0</v>
      </c>
      <c r="K1878" s="45">
        <v>27000</v>
      </c>
      <c r="L1878" s="45">
        <v>0</v>
      </c>
      <c r="M1878" s="45">
        <v>0</v>
      </c>
      <c r="N1878" s="45">
        <v>0</v>
      </c>
      <c r="O1878" s="45">
        <v>0</v>
      </c>
      <c r="P1878" s="45">
        <v>0</v>
      </c>
      <c r="Q1878" s="45">
        <v>0</v>
      </c>
      <c r="R1878" s="45">
        <v>0</v>
      </c>
      <c r="S1878" s="45">
        <v>0</v>
      </c>
      <c r="T1878" s="45">
        <v>0</v>
      </c>
      <c r="U1878" s="45">
        <v>1714</v>
      </c>
      <c r="V1878" s="45">
        <v>0</v>
      </c>
      <c r="W1878" s="45">
        <v>0</v>
      </c>
      <c r="X1878" s="45">
        <v>0</v>
      </c>
      <c r="Y1878" s="45">
        <v>0</v>
      </c>
      <c r="Z1878" s="45">
        <v>0</v>
      </c>
      <c r="AA1878" s="45">
        <v>0</v>
      </c>
      <c r="AB1878" s="45">
        <v>0</v>
      </c>
      <c r="AC1878" s="45">
        <v>0</v>
      </c>
      <c r="AD1878" s="45">
        <v>0</v>
      </c>
      <c r="AE1878" s="45">
        <v>0</v>
      </c>
      <c r="AF1878" s="45">
        <v>0</v>
      </c>
      <c r="AG1878" s="45">
        <v>0</v>
      </c>
      <c r="AH1878" s="45">
        <v>0</v>
      </c>
      <c r="AI1878" s="45">
        <v>0</v>
      </c>
      <c r="AJ1878" s="45">
        <v>0</v>
      </c>
      <c r="AK1878" s="45">
        <v>0</v>
      </c>
      <c r="AL1878" s="45">
        <v>0</v>
      </c>
      <c r="AM1878" s="57" t="str">
        <f>I1878-J1878-K1878-L1878-M1878-N1878-O1878-P1878-Q1878-R1878-S1878-T1878-U1878-V1878-W1878-X1878-Y1878-Z1878-AA1878-AB1878-AC1878-AD1878-AE1878-AF1878-AG1878+AH1878-AI1878+AJ1878+AK1878-AL1878</f>
        <v>0</v>
      </c>
      <c r="AN1878" s="45"/>
    </row>
    <row r="1879" spans="1:41">
      <c r="A1879" s="45">
        <v>1851</v>
      </c>
      <c r="B1879" s="45" t="s">
        <v>7155</v>
      </c>
      <c r="C1879" s="49" t="s">
        <v>7156</v>
      </c>
      <c r="D1879" s="53" t="s">
        <v>73</v>
      </c>
      <c r="E1879" s="45" t="s">
        <v>7145</v>
      </c>
      <c r="F1879" s="45" t="s">
        <v>6903</v>
      </c>
      <c r="G1879" s="45">
        <v>3</v>
      </c>
      <c r="H1879" s="53" t="s">
        <v>7157</v>
      </c>
      <c r="I1879" s="45">
        <v>560000</v>
      </c>
      <c r="J1879" s="45">
        <v>0</v>
      </c>
      <c r="K1879" s="45">
        <v>22000</v>
      </c>
      <c r="L1879" s="45">
        <v>0</v>
      </c>
      <c r="M1879" s="45">
        <v>0</v>
      </c>
      <c r="N1879" s="45">
        <v>0</v>
      </c>
      <c r="O1879" s="45">
        <v>0</v>
      </c>
      <c r="P1879" s="45">
        <v>0</v>
      </c>
      <c r="Q1879" s="45">
        <v>0</v>
      </c>
      <c r="R1879" s="45">
        <v>0</v>
      </c>
      <c r="S1879" s="45">
        <v>0</v>
      </c>
      <c r="T1879" s="45">
        <v>0</v>
      </c>
      <c r="U1879" s="45">
        <v>1397</v>
      </c>
      <c r="V1879" s="45">
        <v>0</v>
      </c>
      <c r="W1879" s="45">
        <v>0</v>
      </c>
      <c r="X1879" s="45">
        <v>0</v>
      </c>
      <c r="Y1879" s="45">
        <v>0</v>
      </c>
      <c r="Z1879" s="45">
        <v>0</v>
      </c>
      <c r="AA1879" s="45">
        <v>0</v>
      </c>
      <c r="AB1879" s="45">
        <v>0</v>
      </c>
      <c r="AC1879" s="45">
        <v>0</v>
      </c>
      <c r="AD1879" s="45">
        <v>0</v>
      </c>
      <c r="AE1879" s="45">
        <v>0</v>
      </c>
      <c r="AF1879" s="45">
        <v>0</v>
      </c>
      <c r="AG1879" s="45">
        <v>0</v>
      </c>
      <c r="AH1879" s="45">
        <v>0</v>
      </c>
      <c r="AI1879" s="45">
        <v>0</v>
      </c>
      <c r="AJ1879" s="45">
        <v>0</v>
      </c>
      <c r="AK1879" s="45">
        <v>0</v>
      </c>
      <c r="AL1879" s="45">
        <v>0</v>
      </c>
      <c r="AM1879" s="57" t="str">
        <f>I1879-J1879-K1879-L1879-M1879-N1879-O1879-P1879-Q1879-R1879-S1879-T1879-U1879-V1879-W1879-X1879-Y1879-Z1879-AA1879-AB1879-AC1879-AD1879-AE1879-AF1879-AG1879+AH1879-AI1879+AJ1879+AK1879-AL1879</f>
        <v>0</v>
      </c>
      <c r="AN1879" s="45"/>
    </row>
    <row r="1880" spans="1:41">
      <c r="A1880" s="45">
        <v>1852</v>
      </c>
      <c r="B1880" s="45" t="s">
        <v>7158</v>
      </c>
      <c r="C1880" s="49" t="s">
        <v>7159</v>
      </c>
      <c r="D1880" s="53" t="s">
        <v>73</v>
      </c>
      <c r="E1880" s="45" t="s">
        <v>7145</v>
      </c>
      <c r="F1880" s="45" t="s">
        <v>7160</v>
      </c>
      <c r="G1880" s="45">
        <v>10</v>
      </c>
      <c r="H1880" s="53" t="s">
        <v>7161</v>
      </c>
      <c r="I1880" s="45">
        <v>1009000</v>
      </c>
      <c r="J1880" s="45">
        <v>0</v>
      </c>
      <c r="K1880" s="45">
        <v>40000</v>
      </c>
      <c r="L1880" s="45">
        <v>0</v>
      </c>
      <c r="M1880" s="45">
        <v>0</v>
      </c>
      <c r="N1880" s="45">
        <v>0</v>
      </c>
      <c r="O1880" s="45">
        <v>0</v>
      </c>
      <c r="P1880" s="45">
        <v>0</v>
      </c>
      <c r="Q1880" s="45">
        <v>0</v>
      </c>
      <c r="R1880" s="45">
        <v>0</v>
      </c>
      <c r="S1880" s="45">
        <v>0</v>
      </c>
      <c r="T1880" s="45">
        <v>0</v>
      </c>
      <c r="U1880" s="45">
        <v>2540</v>
      </c>
      <c r="V1880" s="45">
        <v>0</v>
      </c>
      <c r="W1880" s="45">
        <v>0</v>
      </c>
      <c r="X1880" s="45">
        <v>0</v>
      </c>
      <c r="Y1880" s="45">
        <v>0</v>
      </c>
      <c r="Z1880" s="45">
        <v>0</v>
      </c>
      <c r="AA1880" s="45">
        <v>0</v>
      </c>
      <c r="AB1880" s="45">
        <v>0</v>
      </c>
      <c r="AC1880" s="45">
        <v>0</v>
      </c>
      <c r="AD1880" s="45">
        <v>0</v>
      </c>
      <c r="AE1880" s="45">
        <v>0</v>
      </c>
      <c r="AF1880" s="45">
        <v>0</v>
      </c>
      <c r="AG1880" s="45">
        <v>0</v>
      </c>
      <c r="AH1880" s="45">
        <v>0</v>
      </c>
      <c r="AI1880" s="45">
        <v>0</v>
      </c>
      <c r="AJ1880" s="45">
        <v>0</v>
      </c>
      <c r="AK1880" s="45">
        <v>0</v>
      </c>
      <c r="AL1880" s="45">
        <v>0</v>
      </c>
      <c r="AM1880" s="57" t="str">
        <f>I1880-J1880-K1880-L1880-M1880-N1880-O1880-P1880-Q1880-R1880-S1880-T1880-U1880-V1880-W1880-X1880-Y1880-Z1880-AA1880-AB1880-AC1880-AD1880-AE1880-AF1880-AG1880+AH1880-AI1880+AJ1880+AK1880-AL1880</f>
        <v>0</v>
      </c>
      <c r="AN1880" s="45"/>
    </row>
    <row r="1881" spans="1:41">
      <c r="A1881" s="45">
        <v>1853</v>
      </c>
      <c r="B1881" s="45" t="s">
        <v>7162</v>
      </c>
      <c r="C1881" s="49" t="s">
        <v>7163</v>
      </c>
      <c r="D1881" s="53" t="s">
        <v>73</v>
      </c>
      <c r="E1881" s="45" t="s">
        <v>7145</v>
      </c>
      <c r="F1881" s="45" t="s">
        <v>7164</v>
      </c>
      <c r="G1881" s="45">
        <v>3</v>
      </c>
      <c r="H1881" s="53" t="s">
        <v>7165</v>
      </c>
      <c r="I1881" s="45">
        <v>560000</v>
      </c>
      <c r="J1881" s="45">
        <v>0</v>
      </c>
      <c r="K1881" s="45">
        <v>22000</v>
      </c>
      <c r="L1881" s="45">
        <v>0</v>
      </c>
      <c r="M1881" s="45">
        <v>0</v>
      </c>
      <c r="N1881" s="45">
        <v>0</v>
      </c>
      <c r="O1881" s="45">
        <v>0</v>
      </c>
      <c r="P1881" s="45">
        <v>0</v>
      </c>
      <c r="Q1881" s="45">
        <v>0</v>
      </c>
      <c r="R1881" s="45">
        <v>0</v>
      </c>
      <c r="S1881" s="45">
        <v>0</v>
      </c>
      <c r="T1881" s="45">
        <v>0</v>
      </c>
      <c r="U1881" s="45">
        <v>1397</v>
      </c>
      <c r="V1881" s="45">
        <v>0</v>
      </c>
      <c r="W1881" s="45">
        <v>0</v>
      </c>
      <c r="X1881" s="45">
        <v>0</v>
      </c>
      <c r="Y1881" s="45">
        <v>0</v>
      </c>
      <c r="Z1881" s="45">
        <v>0</v>
      </c>
      <c r="AA1881" s="45">
        <v>0</v>
      </c>
      <c r="AB1881" s="45">
        <v>0</v>
      </c>
      <c r="AC1881" s="45">
        <v>0</v>
      </c>
      <c r="AD1881" s="45">
        <v>0</v>
      </c>
      <c r="AE1881" s="45">
        <v>0</v>
      </c>
      <c r="AF1881" s="45">
        <v>0</v>
      </c>
      <c r="AG1881" s="45">
        <v>0</v>
      </c>
      <c r="AH1881" s="45">
        <v>0</v>
      </c>
      <c r="AI1881" s="45">
        <v>0</v>
      </c>
      <c r="AJ1881" s="45">
        <v>0</v>
      </c>
      <c r="AK1881" s="45">
        <v>0</v>
      </c>
      <c r="AL1881" s="45">
        <v>0</v>
      </c>
      <c r="AM1881" s="57" t="str">
        <f>I1881-J1881-K1881-L1881-M1881-N1881-O1881-P1881-Q1881-R1881-S1881-T1881-U1881-V1881-W1881-X1881-Y1881-Z1881-AA1881-AB1881-AC1881-AD1881-AE1881-AF1881-AG1881+AH1881-AI1881+AJ1881+AK1881-AL1881</f>
        <v>0</v>
      </c>
      <c r="AN1881" s="45"/>
    </row>
    <row r="1882" spans="1:41">
      <c r="A1882" s="45">
        <v>1854</v>
      </c>
      <c r="B1882" s="45" t="s">
        <v>7166</v>
      </c>
      <c r="C1882" s="49" t="s">
        <v>7167</v>
      </c>
      <c r="D1882" s="53" t="s">
        <v>73</v>
      </c>
      <c r="E1882" s="45" t="s">
        <v>7168</v>
      </c>
      <c r="F1882" s="45" t="s">
        <v>7169</v>
      </c>
      <c r="G1882" s="45">
        <v>5.8</v>
      </c>
      <c r="H1882" s="53" t="s">
        <v>7170</v>
      </c>
      <c r="I1882" s="45">
        <v>634000</v>
      </c>
      <c r="J1882" s="45">
        <v>0</v>
      </c>
      <c r="K1882" s="45">
        <v>31000</v>
      </c>
      <c r="L1882" s="45">
        <v>0</v>
      </c>
      <c r="M1882" s="45">
        <v>0</v>
      </c>
      <c r="N1882" s="45">
        <v>0</v>
      </c>
      <c r="O1882" s="45">
        <v>0</v>
      </c>
      <c r="P1882" s="45">
        <v>0</v>
      </c>
      <c r="Q1882" s="45">
        <v>0</v>
      </c>
      <c r="R1882" s="45">
        <v>0</v>
      </c>
      <c r="S1882" s="45">
        <v>0</v>
      </c>
      <c r="T1882" s="45">
        <v>0</v>
      </c>
      <c r="U1882" s="45">
        <v>1968</v>
      </c>
      <c r="V1882" s="45">
        <v>0</v>
      </c>
      <c r="W1882" s="45">
        <v>0</v>
      </c>
      <c r="X1882" s="45">
        <v>0</v>
      </c>
      <c r="Y1882" s="45">
        <v>0</v>
      </c>
      <c r="Z1882" s="45">
        <v>0</v>
      </c>
      <c r="AA1882" s="45">
        <v>0</v>
      </c>
      <c r="AB1882" s="45">
        <v>0</v>
      </c>
      <c r="AC1882" s="45">
        <v>0</v>
      </c>
      <c r="AD1882" s="45">
        <v>0</v>
      </c>
      <c r="AE1882" s="45">
        <v>0</v>
      </c>
      <c r="AF1882" s="45">
        <v>0</v>
      </c>
      <c r="AG1882" s="45">
        <v>0</v>
      </c>
      <c r="AH1882" s="45">
        <v>0</v>
      </c>
      <c r="AI1882" s="45">
        <v>0</v>
      </c>
      <c r="AJ1882" s="45">
        <v>0</v>
      </c>
      <c r="AK1882" s="45">
        <v>0</v>
      </c>
      <c r="AL1882" s="45">
        <v>0</v>
      </c>
      <c r="AM1882" s="57" t="str">
        <f>I1882-J1882-K1882-L1882-M1882-N1882-O1882-P1882-Q1882-R1882-S1882-T1882-U1882-V1882-W1882-X1882-Y1882-Z1882-AA1882-AB1882-AC1882-AD1882-AE1882-AF1882-AG1882+AH1882-AI1882+AJ1882+AK1882-AL1882</f>
        <v>0</v>
      </c>
      <c r="AN1882" s="45"/>
    </row>
    <row r="1883" spans="1:41">
      <c r="A1883" s="45">
        <v>1855</v>
      </c>
      <c r="B1883" s="45" t="s">
        <v>7171</v>
      </c>
      <c r="C1883" s="49" t="s">
        <v>7172</v>
      </c>
      <c r="D1883" s="53" t="s">
        <v>73</v>
      </c>
      <c r="E1883" s="45" t="s">
        <v>7168</v>
      </c>
      <c r="F1883" s="45" t="s">
        <v>6608</v>
      </c>
      <c r="G1883" s="45">
        <v>3</v>
      </c>
      <c r="H1883" s="53" t="s">
        <v>7173</v>
      </c>
      <c r="I1883" s="45">
        <v>585000</v>
      </c>
      <c r="J1883" s="45">
        <v>0</v>
      </c>
      <c r="K1883" s="45">
        <v>22000</v>
      </c>
      <c r="L1883" s="45">
        <v>0</v>
      </c>
      <c r="M1883" s="45">
        <v>0</v>
      </c>
      <c r="N1883" s="45">
        <v>0</v>
      </c>
      <c r="O1883" s="45">
        <v>0</v>
      </c>
      <c r="P1883" s="45">
        <v>0</v>
      </c>
      <c r="Q1883" s="45">
        <v>0</v>
      </c>
      <c r="R1883" s="45">
        <v>0</v>
      </c>
      <c r="S1883" s="45">
        <v>0</v>
      </c>
      <c r="T1883" s="45">
        <v>0</v>
      </c>
      <c r="U1883" s="45">
        <v>1397</v>
      </c>
      <c r="V1883" s="45">
        <v>0</v>
      </c>
      <c r="W1883" s="45">
        <v>0</v>
      </c>
      <c r="X1883" s="45">
        <v>0</v>
      </c>
      <c r="Y1883" s="45">
        <v>0</v>
      </c>
      <c r="Z1883" s="45">
        <v>0</v>
      </c>
      <c r="AA1883" s="45">
        <v>0</v>
      </c>
      <c r="AB1883" s="45">
        <v>0</v>
      </c>
      <c r="AC1883" s="45">
        <v>0</v>
      </c>
      <c r="AD1883" s="45">
        <v>0</v>
      </c>
      <c r="AE1883" s="45">
        <v>0</v>
      </c>
      <c r="AF1883" s="45">
        <v>0</v>
      </c>
      <c r="AG1883" s="45">
        <v>0</v>
      </c>
      <c r="AH1883" s="45">
        <v>0</v>
      </c>
      <c r="AI1883" s="45">
        <v>0</v>
      </c>
      <c r="AJ1883" s="45">
        <v>0</v>
      </c>
      <c r="AK1883" s="45">
        <v>0</v>
      </c>
      <c r="AL1883" s="45">
        <v>0</v>
      </c>
      <c r="AM1883" s="57" t="str">
        <f>I1883-J1883-K1883-L1883-M1883-N1883-O1883-P1883-Q1883-R1883-S1883-T1883-U1883-V1883-W1883-X1883-Y1883-Z1883-AA1883-AB1883-AC1883-AD1883-AE1883-AF1883-AG1883+AH1883-AI1883+AJ1883+AK1883-AL1883</f>
        <v>0</v>
      </c>
      <c r="AN1883" s="45"/>
    </row>
    <row r="1884" spans="1:41">
      <c r="A1884" s="45">
        <v>1856</v>
      </c>
      <c r="B1884" s="45" t="s">
        <v>7174</v>
      </c>
      <c r="C1884" s="49" t="s">
        <v>7175</v>
      </c>
      <c r="D1884" s="53" t="s">
        <v>73</v>
      </c>
      <c r="E1884" s="45" t="s">
        <v>7176</v>
      </c>
      <c r="F1884" s="45" t="s">
        <v>6911</v>
      </c>
      <c r="G1884" s="45">
        <v>3</v>
      </c>
      <c r="H1884" s="53" t="s">
        <v>7177</v>
      </c>
      <c r="I1884" s="45">
        <v>834000</v>
      </c>
      <c r="J1884" s="45">
        <v>0</v>
      </c>
      <c r="K1884" s="45">
        <v>22000</v>
      </c>
      <c r="L1884" s="45">
        <v>0</v>
      </c>
      <c r="M1884" s="45">
        <v>0</v>
      </c>
      <c r="N1884" s="45">
        <v>0</v>
      </c>
      <c r="O1884" s="45">
        <v>0</v>
      </c>
      <c r="P1884" s="45">
        <v>0</v>
      </c>
      <c r="Q1884" s="45">
        <v>0</v>
      </c>
      <c r="R1884" s="45">
        <v>0</v>
      </c>
      <c r="S1884" s="45">
        <v>0</v>
      </c>
      <c r="T1884" s="45">
        <v>0</v>
      </c>
      <c r="U1884" s="45">
        <v>1397</v>
      </c>
      <c r="V1884" s="45">
        <v>0</v>
      </c>
      <c r="W1884" s="45">
        <v>0</v>
      </c>
      <c r="X1884" s="45">
        <v>0</v>
      </c>
      <c r="Y1884" s="45">
        <v>0</v>
      </c>
      <c r="Z1884" s="45">
        <v>0</v>
      </c>
      <c r="AA1884" s="45">
        <v>0</v>
      </c>
      <c r="AB1884" s="45">
        <v>0</v>
      </c>
      <c r="AC1884" s="45">
        <v>0</v>
      </c>
      <c r="AD1884" s="45">
        <v>0</v>
      </c>
      <c r="AE1884" s="45">
        <v>0</v>
      </c>
      <c r="AF1884" s="45">
        <v>0</v>
      </c>
      <c r="AG1884" s="45">
        <v>0</v>
      </c>
      <c r="AH1884" s="45">
        <v>0</v>
      </c>
      <c r="AI1884" s="45">
        <v>0</v>
      </c>
      <c r="AJ1884" s="45">
        <v>0</v>
      </c>
      <c r="AK1884" s="45">
        <v>0</v>
      </c>
      <c r="AL1884" s="45">
        <v>0</v>
      </c>
      <c r="AM1884" s="57" t="str">
        <f>I1884-J1884-K1884-L1884-M1884-N1884-O1884-P1884-Q1884-R1884-S1884-T1884-U1884-V1884-W1884-X1884-Y1884-Z1884-AA1884-AB1884-AC1884-AD1884-AE1884-AF1884-AG1884+AH1884-AI1884+AJ1884+AK1884-AL1884</f>
        <v>0</v>
      </c>
      <c r="AN1884" s="45"/>
    </row>
    <row r="1885" spans="1:41">
      <c r="A1885" s="45">
        <v>1857</v>
      </c>
      <c r="B1885" s="45" t="s">
        <v>7178</v>
      </c>
      <c r="C1885" s="49" t="s">
        <v>7179</v>
      </c>
      <c r="D1885" s="53" t="s">
        <v>73</v>
      </c>
      <c r="E1885" s="45" t="s">
        <v>7176</v>
      </c>
      <c r="F1885" s="45" t="s">
        <v>7180</v>
      </c>
      <c r="G1885" s="45">
        <v>5.1</v>
      </c>
      <c r="H1885" s="53" t="s">
        <v>7181</v>
      </c>
      <c r="I1885" s="45">
        <v>1389000</v>
      </c>
      <c r="J1885" s="45">
        <v>0</v>
      </c>
      <c r="K1885" s="45">
        <v>31000</v>
      </c>
      <c r="L1885" s="45">
        <v>0</v>
      </c>
      <c r="M1885" s="45">
        <v>0</v>
      </c>
      <c r="N1885" s="45">
        <v>0</v>
      </c>
      <c r="O1885" s="45">
        <v>0</v>
      </c>
      <c r="P1885" s="45">
        <v>0</v>
      </c>
      <c r="Q1885" s="45">
        <v>0</v>
      </c>
      <c r="R1885" s="45">
        <v>0</v>
      </c>
      <c r="S1885" s="45">
        <v>0</v>
      </c>
      <c r="T1885" s="45">
        <v>0</v>
      </c>
      <c r="U1885" s="45">
        <v>1968</v>
      </c>
      <c r="V1885" s="45">
        <v>0</v>
      </c>
      <c r="W1885" s="45">
        <v>0</v>
      </c>
      <c r="X1885" s="45">
        <v>0</v>
      </c>
      <c r="Y1885" s="45">
        <v>0</v>
      </c>
      <c r="Z1885" s="45">
        <v>0</v>
      </c>
      <c r="AA1885" s="45">
        <v>0</v>
      </c>
      <c r="AB1885" s="45">
        <v>0</v>
      </c>
      <c r="AC1885" s="45">
        <v>0</v>
      </c>
      <c r="AD1885" s="45">
        <v>0</v>
      </c>
      <c r="AE1885" s="45">
        <v>0</v>
      </c>
      <c r="AF1885" s="45">
        <v>0</v>
      </c>
      <c r="AG1885" s="45">
        <v>0</v>
      </c>
      <c r="AH1885" s="45">
        <v>0</v>
      </c>
      <c r="AI1885" s="45">
        <v>0</v>
      </c>
      <c r="AJ1885" s="45">
        <v>0</v>
      </c>
      <c r="AK1885" s="45">
        <v>0</v>
      </c>
      <c r="AL1885" s="45">
        <v>0</v>
      </c>
      <c r="AM1885" s="57" t="str">
        <f>I1885-J1885-K1885-L1885-M1885-N1885-O1885-P1885-Q1885-R1885-S1885-T1885-U1885-V1885-W1885-X1885-Y1885-Z1885-AA1885-AB1885-AC1885-AD1885-AE1885-AF1885-AG1885+AH1885-AI1885+AJ1885+AK1885-AL1885</f>
        <v>0</v>
      </c>
      <c r="AN1885" s="45"/>
    </row>
    <row r="1886" spans="1:41">
      <c r="A1886" s="45">
        <v>1858</v>
      </c>
      <c r="B1886" s="45" t="s">
        <v>7182</v>
      </c>
      <c r="C1886" s="49" t="s">
        <v>7183</v>
      </c>
      <c r="D1886" s="53" t="s">
        <v>73</v>
      </c>
      <c r="E1886" s="45" t="s">
        <v>7176</v>
      </c>
      <c r="F1886" s="45" t="s">
        <v>7184</v>
      </c>
      <c r="G1886" s="45">
        <v>4</v>
      </c>
      <c r="H1886" s="53" t="s">
        <v>7185</v>
      </c>
      <c r="I1886" s="45">
        <v>650000</v>
      </c>
      <c r="J1886" s="45">
        <v>0</v>
      </c>
      <c r="K1886" s="45">
        <v>25000</v>
      </c>
      <c r="L1886" s="45">
        <v>0</v>
      </c>
      <c r="M1886" s="45">
        <v>0</v>
      </c>
      <c r="N1886" s="45">
        <v>0</v>
      </c>
      <c r="O1886" s="45">
        <v>0</v>
      </c>
      <c r="P1886" s="45">
        <v>0</v>
      </c>
      <c r="Q1886" s="45">
        <v>0</v>
      </c>
      <c r="R1886" s="45">
        <v>0</v>
      </c>
      <c r="S1886" s="45">
        <v>0</v>
      </c>
      <c r="T1886" s="45">
        <v>0</v>
      </c>
      <c r="U1886" s="45">
        <v>1587</v>
      </c>
      <c r="V1886" s="45">
        <v>0</v>
      </c>
      <c r="W1886" s="45">
        <v>0</v>
      </c>
      <c r="X1886" s="45">
        <v>0</v>
      </c>
      <c r="Y1886" s="45">
        <v>0</v>
      </c>
      <c r="Z1886" s="45">
        <v>0</v>
      </c>
      <c r="AA1886" s="45">
        <v>0</v>
      </c>
      <c r="AB1886" s="45">
        <v>0</v>
      </c>
      <c r="AC1886" s="45">
        <v>0</v>
      </c>
      <c r="AD1886" s="45">
        <v>0</v>
      </c>
      <c r="AE1886" s="45">
        <v>0</v>
      </c>
      <c r="AF1886" s="45">
        <v>0</v>
      </c>
      <c r="AG1886" s="45">
        <v>0</v>
      </c>
      <c r="AH1886" s="45">
        <v>0</v>
      </c>
      <c r="AI1886" s="45">
        <v>0</v>
      </c>
      <c r="AJ1886" s="45">
        <v>0</v>
      </c>
      <c r="AK1886" s="45">
        <v>0</v>
      </c>
      <c r="AL1886" s="45">
        <v>0</v>
      </c>
      <c r="AM1886" s="57" t="str">
        <f>I1886-J1886-K1886-L1886-M1886-N1886-O1886-P1886-Q1886-R1886-S1886-T1886-U1886-V1886-W1886-X1886-Y1886-Z1886-AA1886-AB1886-AC1886-AD1886-AE1886-AF1886-AG1886+AH1886-AI1886+AJ1886+AK1886-AL1886</f>
        <v>0</v>
      </c>
      <c r="AN1886" s="45"/>
    </row>
    <row r="1887" spans="1:41">
      <c r="A1887" s="45">
        <v>1859</v>
      </c>
      <c r="B1887" s="45" t="s">
        <v>7186</v>
      </c>
      <c r="C1887" s="49" t="s">
        <v>7187</v>
      </c>
      <c r="D1887" s="53" t="s">
        <v>73</v>
      </c>
      <c r="E1887" s="45" t="s">
        <v>7176</v>
      </c>
      <c r="F1887" s="45" t="s">
        <v>5892</v>
      </c>
      <c r="G1887" s="45">
        <v>6</v>
      </c>
      <c r="H1887" s="53" t="s">
        <v>7188</v>
      </c>
      <c r="I1887" s="45">
        <v>1460000</v>
      </c>
      <c r="J1887" s="45">
        <v>0</v>
      </c>
      <c r="K1887" s="45">
        <v>31000</v>
      </c>
      <c r="L1887" s="45">
        <v>0</v>
      </c>
      <c r="M1887" s="45">
        <v>0</v>
      </c>
      <c r="N1887" s="45">
        <v>0</v>
      </c>
      <c r="O1887" s="45">
        <v>0</v>
      </c>
      <c r="P1887" s="45">
        <v>0</v>
      </c>
      <c r="Q1887" s="45">
        <v>0</v>
      </c>
      <c r="R1887" s="45">
        <v>0</v>
      </c>
      <c r="S1887" s="45">
        <v>0</v>
      </c>
      <c r="T1887" s="45">
        <v>0</v>
      </c>
      <c r="U1887" s="45">
        <v>1968</v>
      </c>
      <c r="V1887" s="45">
        <v>0</v>
      </c>
      <c r="W1887" s="45">
        <v>0</v>
      </c>
      <c r="X1887" s="45">
        <v>0</v>
      </c>
      <c r="Y1887" s="45">
        <v>0</v>
      </c>
      <c r="Z1887" s="45">
        <v>0</v>
      </c>
      <c r="AA1887" s="45">
        <v>0</v>
      </c>
      <c r="AB1887" s="45">
        <v>0</v>
      </c>
      <c r="AC1887" s="45">
        <v>0</v>
      </c>
      <c r="AD1887" s="45">
        <v>0</v>
      </c>
      <c r="AE1887" s="45">
        <v>0</v>
      </c>
      <c r="AF1887" s="45">
        <v>0</v>
      </c>
      <c r="AG1887" s="45">
        <v>0</v>
      </c>
      <c r="AH1887" s="45">
        <v>0</v>
      </c>
      <c r="AI1887" s="45">
        <v>0</v>
      </c>
      <c r="AJ1887" s="45">
        <v>0</v>
      </c>
      <c r="AK1887" s="45">
        <v>0</v>
      </c>
      <c r="AL1887" s="45">
        <v>0</v>
      </c>
      <c r="AM1887" s="57" t="str">
        <f>I1887-J1887-K1887-L1887-M1887-N1887-O1887-P1887-Q1887-R1887-S1887-T1887-U1887-V1887-W1887-X1887-Y1887-Z1887-AA1887-AB1887-AC1887-AD1887-AE1887-AF1887-AG1887+AH1887-AI1887+AJ1887+AK1887-AL1887</f>
        <v>0</v>
      </c>
      <c r="AN1887" s="45"/>
    </row>
    <row r="1888" spans="1:41">
      <c r="A1888" s="45">
        <v>1860</v>
      </c>
      <c r="B1888" s="45" t="s">
        <v>7189</v>
      </c>
      <c r="C1888" s="49" t="s">
        <v>7190</v>
      </c>
      <c r="D1888" s="53" t="s">
        <v>73</v>
      </c>
      <c r="E1888" s="45" t="s">
        <v>7191</v>
      </c>
      <c r="F1888" s="45" t="s">
        <v>7192</v>
      </c>
      <c r="G1888" s="45">
        <v>5.8</v>
      </c>
      <c r="H1888" s="53" t="s">
        <v>7193</v>
      </c>
      <c r="I1888" s="45">
        <v>634000</v>
      </c>
      <c r="J1888" s="45">
        <v>0</v>
      </c>
      <c r="K1888" s="45">
        <v>31000</v>
      </c>
      <c r="L1888" s="45">
        <v>0</v>
      </c>
      <c r="M1888" s="45">
        <v>0</v>
      </c>
      <c r="N1888" s="45">
        <v>0</v>
      </c>
      <c r="O1888" s="45">
        <v>0</v>
      </c>
      <c r="P1888" s="45">
        <v>0</v>
      </c>
      <c r="Q1888" s="45">
        <v>0</v>
      </c>
      <c r="R1888" s="45">
        <v>0</v>
      </c>
      <c r="S1888" s="45">
        <v>0</v>
      </c>
      <c r="T1888" s="45">
        <v>0</v>
      </c>
      <c r="U1888" s="45">
        <v>1968</v>
      </c>
      <c r="V1888" s="45">
        <v>0</v>
      </c>
      <c r="W1888" s="45">
        <v>0</v>
      </c>
      <c r="X1888" s="45">
        <v>0</v>
      </c>
      <c r="Y1888" s="45">
        <v>0</v>
      </c>
      <c r="Z1888" s="45">
        <v>0</v>
      </c>
      <c r="AA1888" s="45">
        <v>0</v>
      </c>
      <c r="AB1888" s="45">
        <v>0</v>
      </c>
      <c r="AC1888" s="45">
        <v>0</v>
      </c>
      <c r="AD1888" s="45">
        <v>0</v>
      </c>
      <c r="AE1888" s="45">
        <v>0</v>
      </c>
      <c r="AF1888" s="45">
        <v>0</v>
      </c>
      <c r="AG1888" s="45">
        <v>0</v>
      </c>
      <c r="AH1888" s="45">
        <v>0</v>
      </c>
      <c r="AI1888" s="45">
        <v>0</v>
      </c>
      <c r="AJ1888" s="45">
        <v>0</v>
      </c>
      <c r="AK1888" s="45">
        <v>0</v>
      </c>
      <c r="AL1888" s="45">
        <v>0</v>
      </c>
      <c r="AM1888" s="57" t="str">
        <f>I1888-J1888-K1888-L1888-M1888-N1888-O1888-P1888-Q1888-R1888-S1888-T1888-U1888-V1888-W1888-X1888-Y1888-Z1888-AA1888-AB1888-AC1888-AD1888-AE1888-AF1888-AG1888+AH1888-AI1888+AJ1888+AK1888-AL1888</f>
        <v>0</v>
      </c>
      <c r="AN1888" s="45"/>
    </row>
    <row r="1889" spans="1:41">
      <c r="A1889" s="45">
        <v>1861</v>
      </c>
      <c r="B1889" s="45" t="s">
        <v>7194</v>
      </c>
      <c r="C1889" s="49" t="s">
        <v>7195</v>
      </c>
      <c r="D1889" s="53" t="s">
        <v>73</v>
      </c>
      <c r="E1889" s="45" t="s">
        <v>7191</v>
      </c>
      <c r="F1889" s="45" t="s">
        <v>7196</v>
      </c>
      <c r="G1889" s="45">
        <v>3</v>
      </c>
      <c r="H1889" s="53" t="s">
        <v>7197</v>
      </c>
      <c r="I1889" s="45">
        <v>434000</v>
      </c>
      <c r="J1889" s="45">
        <v>0</v>
      </c>
      <c r="K1889" s="45">
        <v>22000</v>
      </c>
      <c r="L1889" s="45">
        <v>0</v>
      </c>
      <c r="M1889" s="45">
        <v>0</v>
      </c>
      <c r="N1889" s="45">
        <v>0</v>
      </c>
      <c r="O1889" s="45">
        <v>0</v>
      </c>
      <c r="P1889" s="45">
        <v>0</v>
      </c>
      <c r="Q1889" s="45">
        <v>0</v>
      </c>
      <c r="R1889" s="45">
        <v>0</v>
      </c>
      <c r="S1889" s="45">
        <v>0</v>
      </c>
      <c r="T1889" s="45">
        <v>0</v>
      </c>
      <c r="U1889" s="45">
        <v>1397</v>
      </c>
      <c r="V1889" s="45">
        <v>0</v>
      </c>
      <c r="W1889" s="45">
        <v>0</v>
      </c>
      <c r="X1889" s="45">
        <v>0</v>
      </c>
      <c r="Y1889" s="45">
        <v>0</v>
      </c>
      <c r="Z1889" s="45">
        <v>0</v>
      </c>
      <c r="AA1889" s="45">
        <v>0</v>
      </c>
      <c r="AB1889" s="45">
        <v>0</v>
      </c>
      <c r="AC1889" s="45">
        <v>0</v>
      </c>
      <c r="AD1889" s="45">
        <v>0</v>
      </c>
      <c r="AE1889" s="45">
        <v>0</v>
      </c>
      <c r="AF1889" s="45">
        <v>0</v>
      </c>
      <c r="AG1889" s="45">
        <v>0</v>
      </c>
      <c r="AH1889" s="45">
        <v>0</v>
      </c>
      <c r="AI1889" s="45">
        <v>0</v>
      </c>
      <c r="AJ1889" s="45">
        <v>0</v>
      </c>
      <c r="AK1889" s="45">
        <v>0</v>
      </c>
      <c r="AL1889" s="45">
        <v>0</v>
      </c>
      <c r="AM1889" s="57" t="str">
        <f>I1889-J1889-K1889-L1889-M1889-N1889-O1889-P1889-Q1889-R1889-S1889-T1889-U1889-V1889-W1889-X1889-Y1889-Z1889-AA1889-AB1889-AC1889-AD1889-AE1889-AF1889-AG1889+AH1889-AI1889+AJ1889+AK1889-AL1889</f>
        <v>0</v>
      </c>
      <c r="AN1889" s="45"/>
    </row>
    <row r="1890" spans="1:41">
      <c r="A1890" s="45">
        <v>1862</v>
      </c>
      <c r="B1890" s="45" t="s">
        <v>7198</v>
      </c>
      <c r="C1890" s="49" t="s">
        <v>7199</v>
      </c>
      <c r="D1890" s="53" t="s">
        <v>73</v>
      </c>
      <c r="E1890" s="45" t="s">
        <v>7191</v>
      </c>
      <c r="F1890" s="45" t="s">
        <v>7200</v>
      </c>
      <c r="G1890" s="45">
        <v>3</v>
      </c>
      <c r="H1890" s="53" t="s">
        <v>7201</v>
      </c>
      <c r="I1890" s="45">
        <v>585000</v>
      </c>
      <c r="J1890" s="45">
        <v>0</v>
      </c>
      <c r="K1890" s="45">
        <v>22000</v>
      </c>
      <c r="L1890" s="45">
        <v>0</v>
      </c>
      <c r="M1890" s="45">
        <v>0</v>
      </c>
      <c r="N1890" s="45">
        <v>0</v>
      </c>
      <c r="O1890" s="45">
        <v>0</v>
      </c>
      <c r="P1890" s="45">
        <v>0</v>
      </c>
      <c r="Q1890" s="45">
        <v>0</v>
      </c>
      <c r="R1890" s="45">
        <v>0</v>
      </c>
      <c r="S1890" s="45">
        <v>0</v>
      </c>
      <c r="T1890" s="45">
        <v>0</v>
      </c>
      <c r="U1890" s="45">
        <v>1397</v>
      </c>
      <c r="V1890" s="45">
        <v>0</v>
      </c>
      <c r="W1890" s="45">
        <v>0</v>
      </c>
      <c r="X1890" s="45">
        <v>0</v>
      </c>
      <c r="Y1890" s="45">
        <v>0</v>
      </c>
      <c r="Z1890" s="45">
        <v>0</v>
      </c>
      <c r="AA1890" s="45">
        <v>0</v>
      </c>
      <c r="AB1890" s="45">
        <v>0</v>
      </c>
      <c r="AC1890" s="45">
        <v>0</v>
      </c>
      <c r="AD1890" s="45">
        <v>0</v>
      </c>
      <c r="AE1890" s="45">
        <v>0</v>
      </c>
      <c r="AF1890" s="45">
        <v>0</v>
      </c>
      <c r="AG1890" s="45">
        <v>0</v>
      </c>
      <c r="AH1890" s="45">
        <v>0</v>
      </c>
      <c r="AI1890" s="45">
        <v>0</v>
      </c>
      <c r="AJ1890" s="45">
        <v>0</v>
      </c>
      <c r="AK1890" s="45">
        <v>0</v>
      </c>
      <c r="AL1890" s="45">
        <v>0</v>
      </c>
      <c r="AM1890" s="57" t="str">
        <f>I1890-J1890-K1890-L1890-M1890-N1890-O1890-P1890-Q1890-R1890-S1890-T1890-U1890-V1890-W1890-X1890-Y1890-Z1890-AA1890-AB1890-AC1890-AD1890-AE1890-AF1890-AG1890+AH1890-AI1890+AJ1890+AK1890-AL1890</f>
        <v>0</v>
      </c>
      <c r="AN1890" s="45"/>
    </row>
    <row r="1891" spans="1:41">
      <c r="A1891" s="45">
        <v>1863</v>
      </c>
      <c r="B1891" s="45" t="s">
        <v>7202</v>
      </c>
      <c r="C1891" s="49" t="s">
        <v>7203</v>
      </c>
      <c r="D1891" s="53" t="s">
        <v>73</v>
      </c>
      <c r="E1891" s="45" t="s">
        <v>7191</v>
      </c>
      <c r="F1891" s="45" t="s">
        <v>7204</v>
      </c>
      <c r="G1891" s="45">
        <v>2</v>
      </c>
      <c r="H1891" s="53" t="s">
        <v>7205</v>
      </c>
      <c r="I1891" s="45">
        <v>500000</v>
      </c>
      <c r="J1891" s="45">
        <v>0</v>
      </c>
      <c r="K1891" s="45">
        <v>22000</v>
      </c>
      <c r="L1891" s="45">
        <v>0</v>
      </c>
      <c r="M1891" s="45">
        <v>0</v>
      </c>
      <c r="N1891" s="45">
        <v>0</v>
      </c>
      <c r="O1891" s="45">
        <v>0</v>
      </c>
      <c r="P1891" s="45">
        <v>0</v>
      </c>
      <c r="Q1891" s="45">
        <v>0</v>
      </c>
      <c r="R1891" s="45">
        <v>0</v>
      </c>
      <c r="S1891" s="45">
        <v>0</v>
      </c>
      <c r="T1891" s="45">
        <v>0</v>
      </c>
      <c r="U1891" s="45">
        <v>1397</v>
      </c>
      <c r="V1891" s="45">
        <v>0</v>
      </c>
      <c r="W1891" s="45">
        <v>0</v>
      </c>
      <c r="X1891" s="45">
        <v>0</v>
      </c>
      <c r="Y1891" s="45">
        <v>0</v>
      </c>
      <c r="Z1891" s="45">
        <v>0</v>
      </c>
      <c r="AA1891" s="45">
        <v>0</v>
      </c>
      <c r="AB1891" s="45">
        <v>0</v>
      </c>
      <c r="AC1891" s="45">
        <v>0</v>
      </c>
      <c r="AD1891" s="45">
        <v>0</v>
      </c>
      <c r="AE1891" s="45">
        <v>0</v>
      </c>
      <c r="AF1891" s="45">
        <v>0</v>
      </c>
      <c r="AG1891" s="45">
        <v>0</v>
      </c>
      <c r="AH1891" s="45">
        <v>0</v>
      </c>
      <c r="AI1891" s="45">
        <v>0</v>
      </c>
      <c r="AJ1891" s="45">
        <v>0</v>
      </c>
      <c r="AK1891" s="45">
        <v>0</v>
      </c>
      <c r="AL1891" s="45">
        <v>0</v>
      </c>
      <c r="AM1891" s="57" t="str">
        <f>I1891-J1891-K1891-L1891-M1891-N1891-O1891-P1891-Q1891-R1891-S1891-T1891-U1891-V1891-W1891-X1891-Y1891-Z1891-AA1891-AB1891-AC1891-AD1891-AE1891-AF1891-AG1891+AH1891-AI1891+AJ1891+AK1891-AL1891</f>
        <v>0</v>
      </c>
      <c r="AN1891" s="45"/>
    </row>
    <row r="1892" spans="1:41">
      <c r="A1892" s="45">
        <v>1864</v>
      </c>
      <c r="B1892" s="45" t="s">
        <v>7206</v>
      </c>
      <c r="C1892" s="49" t="s">
        <v>7207</v>
      </c>
      <c r="D1892" s="53" t="s">
        <v>73</v>
      </c>
      <c r="E1892" s="45" t="s">
        <v>7191</v>
      </c>
      <c r="F1892" s="45" t="s">
        <v>5498</v>
      </c>
      <c r="G1892" s="45">
        <v>2</v>
      </c>
      <c r="H1892" s="53" t="s">
        <v>7208</v>
      </c>
      <c r="I1892" s="45">
        <v>470000</v>
      </c>
      <c r="J1892" s="45">
        <v>0</v>
      </c>
      <c r="K1892" s="45">
        <v>22000</v>
      </c>
      <c r="L1892" s="45">
        <v>0</v>
      </c>
      <c r="M1892" s="45">
        <v>0</v>
      </c>
      <c r="N1892" s="45">
        <v>0</v>
      </c>
      <c r="O1892" s="45">
        <v>0</v>
      </c>
      <c r="P1892" s="45">
        <v>0</v>
      </c>
      <c r="Q1892" s="45">
        <v>0</v>
      </c>
      <c r="R1892" s="45">
        <v>0</v>
      </c>
      <c r="S1892" s="45">
        <v>0</v>
      </c>
      <c r="T1892" s="45">
        <v>0</v>
      </c>
      <c r="U1892" s="45">
        <v>1397</v>
      </c>
      <c r="V1892" s="45">
        <v>0</v>
      </c>
      <c r="W1892" s="45">
        <v>0</v>
      </c>
      <c r="X1892" s="45">
        <v>0</v>
      </c>
      <c r="Y1892" s="45">
        <v>0</v>
      </c>
      <c r="Z1892" s="45">
        <v>0</v>
      </c>
      <c r="AA1892" s="45">
        <v>0</v>
      </c>
      <c r="AB1892" s="45">
        <v>0</v>
      </c>
      <c r="AC1892" s="45">
        <v>0</v>
      </c>
      <c r="AD1892" s="45">
        <v>0</v>
      </c>
      <c r="AE1892" s="45">
        <v>0</v>
      </c>
      <c r="AF1892" s="45">
        <v>0</v>
      </c>
      <c r="AG1892" s="45">
        <v>0</v>
      </c>
      <c r="AH1892" s="45">
        <v>0</v>
      </c>
      <c r="AI1892" s="45">
        <v>0</v>
      </c>
      <c r="AJ1892" s="45">
        <v>0</v>
      </c>
      <c r="AK1892" s="45">
        <v>0</v>
      </c>
      <c r="AL1892" s="45">
        <v>0</v>
      </c>
      <c r="AM1892" s="57" t="str">
        <f>I1892-J1892-K1892-L1892-M1892-N1892-O1892-P1892-Q1892-R1892-S1892-T1892-U1892-V1892-W1892-X1892-Y1892-Z1892-AA1892-AB1892-AC1892-AD1892-AE1892-AF1892-AG1892+AH1892-AI1892+AJ1892+AK1892-AL1892</f>
        <v>0</v>
      </c>
      <c r="AN1892" s="45"/>
    </row>
    <row r="1893" spans="1:41">
      <c r="A1893" s="45">
        <v>1865</v>
      </c>
      <c r="B1893" s="45" t="s">
        <v>7209</v>
      </c>
      <c r="C1893" s="49" t="s">
        <v>7210</v>
      </c>
      <c r="D1893" s="53" t="s">
        <v>73</v>
      </c>
      <c r="E1893" s="45" t="s">
        <v>7191</v>
      </c>
      <c r="F1893" s="45" t="s">
        <v>7211</v>
      </c>
      <c r="G1893" s="45">
        <v>10</v>
      </c>
      <c r="H1893" s="53" t="s">
        <v>7212</v>
      </c>
      <c r="I1893" s="45">
        <v>2215000</v>
      </c>
      <c r="J1893" s="45">
        <v>0</v>
      </c>
      <c r="K1893" s="45">
        <v>40000</v>
      </c>
      <c r="L1893" s="45">
        <v>0</v>
      </c>
      <c r="M1893" s="45">
        <v>0</v>
      </c>
      <c r="N1893" s="45">
        <v>0</v>
      </c>
      <c r="O1893" s="45">
        <v>0</v>
      </c>
      <c r="P1893" s="45">
        <v>0</v>
      </c>
      <c r="Q1893" s="45">
        <v>0</v>
      </c>
      <c r="R1893" s="45">
        <v>0</v>
      </c>
      <c r="S1893" s="45">
        <v>0</v>
      </c>
      <c r="T1893" s="45">
        <v>0</v>
      </c>
      <c r="U1893" s="45">
        <v>2540</v>
      </c>
      <c r="V1893" s="45">
        <v>0</v>
      </c>
      <c r="W1893" s="45">
        <v>0</v>
      </c>
      <c r="X1893" s="45">
        <v>0</v>
      </c>
      <c r="Y1893" s="45">
        <v>0</v>
      </c>
      <c r="Z1893" s="45">
        <v>0</v>
      </c>
      <c r="AA1893" s="45">
        <v>0</v>
      </c>
      <c r="AB1893" s="45">
        <v>0</v>
      </c>
      <c r="AC1893" s="45">
        <v>0</v>
      </c>
      <c r="AD1893" s="45">
        <v>0</v>
      </c>
      <c r="AE1893" s="45">
        <v>0</v>
      </c>
      <c r="AF1893" s="45">
        <v>0</v>
      </c>
      <c r="AG1893" s="45">
        <v>0</v>
      </c>
      <c r="AH1893" s="45">
        <v>0</v>
      </c>
      <c r="AI1893" s="45">
        <v>0</v>
      </c>
      <c r="AJ1893" s="45">
        <v>0</v>
      </c>
      <c r="AK1893" s="45">
        <v>0</v>
      </c>
      <c r="AL1893" s="45">
        <v>0</v>
      </c>
      <c r="AM1893" s="57" t="str">
        <f>I1893-J1893-K1893-L1893-M1893-N1893-O1893-P1893-Q1893-R1893-S1893-T1893-U1893-V1893-W1893-X1893-Y1893-Z1893-AA1893-AB1893-AC1893-AD1893-AE1893-AF1893-AG1893+AH1893-AI1893+AJ1893+AK1893-AL1893</f>
        <v>0</v>
      </c>
      <c r="AN1893" s="45"/>
    </row>
    <row r="1894" spans="1:41">
      <c r="A1894" s="45">
        <v>1866</v>
      </c>
      <c r="B1894" s="45" t="s">
        <v>7213</v>
      </c>
      <c r="C1894" s="49" t="s">
        <v>7214</v>
      </c>
      <c r="D1894" s="53" t="s">
        <v>73</v>
      </c>
      <c r="E1894" s="45" t="s">
        <v>7215</v>
      </c>
      <c r="F1894" s="45" t="s">
        <v>3984</v>
      </c>
      <c r="G1894" s="45">
        <v>3</v>
      </c>
      <c r="H1894" s="53" t="s">
        <v>7216</v>
      </c>
      <c r="I1894" s="45">
        <v>434000</v>
      </c>
      <c r="J1894" s="45">
        <v>0</v>
      </c>
      <c r="K1894" s="45">
        <v>22000</v>
      </c>
      <c r="L1894" s="45">
        <v>0</v>
      </c>
      <c r="M1894" s="45">
        <v>0</v>
      </c>
      <c r="N1894" s="45">
        <v>0</v>
      </c>
      <c r="O1894" s="45">
        <v>0</v>
      </c>
      <c r="P1894" s="45">
        <v>0</v>
      </c>
      <c r="Q1894" s="45">
        <v>0</v>
      </c>
      <c r="R1894" s="45">
        <v>0</v>
      </c>
      <c r="S1894" s="45">
        <v>0</v>
      </c>
      <c r="T1894" s="45">
        <v>0</v>
      </c>
      <c r="U1894" s="45">
        <v>1397</v>
      </c>
      <c r="V1894" s="45">
        <v>0</v>
      </c>
      <c r="W1894" s="45">
        <v>0</v>
      </c>
      <c r="X1894" s="45">
        <v>0</v>
      </c>
      <c r="Y1894" s="45">
        <v>0</v>
      </c>
      <c r="Z1894" s="45">
        <v>0</v>
      </c>
      <c r="AA1894" s="45">
        <v>0</v>
      </c>
      <c r="AB1894" s="45">
        <v>0</v>
      </c>
      <c r="AC1894" s="45">
        <v>0</v>
      </c>
      <c r="AD1894" s="45">
        <v>0</v>
      </c>
      <c r="AE1894" s="45">
        <v>0</v>
      </c>
      <c r="AF1894" s="45">
        <v>0</v>
      </c>
      <c r="AG1894" s="45">
        <v>0</v>
      </c>
      <c r="AH1894" s="45">
        <v>0</v>
      </c>
      <c r="AI1894" s="45">
        <v>0</v>
      </c>
      <c r="AJ1894" s="45">
        <v>0</v>
      </c>
      <c r="AK1894" s="45">
        <v>0</v>
      </c>
      <c r="AL1894" s="45">
        <v>0</v>
      </c>
      <c r="AM1894" s="57" t="str">
        <f>I1894-J1894-K1894-L1894-M1894-N1894-O1894-P1894-Q1894-R1894-S1894-T1894-U1894-V1894-W1894-X1894-Y1894-Z1894-AA1894-AB1894-AC1894-AD1894-AE1894-AF1894-AG1894+AH1894-AI1894+AJ1894+AK1894-AL1894</f>
        <v>0</v>
      </c>
      <c r="AN1894" s="45"/>
    </row>
    <row r="1895" spans="1:41">
      <c r="A1895" s="45">
        <v>1867</v>
      </c>
      <c r="B1895" s="45" t="s">
        <v>7217</v>
      </c>
      <c r="C1895" s="49" t="s">
        <v>7218</v>
      </c>
      <c r="D1895" s="53" t="s">
        <v>73</v>
      </c>
      <c r="E1895" s="45" t="s">
        <v>7219</v>
      </c>
      <c r="F1895" s="45" t="s">
        <v>7220</v>
      </c>
      <c r="G1895" s="45">
        <v>3</v>
      </c>
      <c r="H1895" s="53" t="s">
        <v>7221</v>
      </c>
      <c r="I1895" s="45">
        <v>434000</v>
      </c>
      <c r="J1895" s="45">
        <v>0</v>
      </c>
      <c r="K1895" s="45">
        <v>22000</v>
      </c>
      <c r="L1895" s="45">
        <v>0</v>
      </c>
      <c r="M1895" s="45">
        <v>0</v>
      </c>
      <c r="N1895" s="45">
        <v>0</v>
      </c>
      <c r="O1895" s="45">
        <v>0</v>
      </c>
      <c r="P1895" s="45">
        <v>0</v>
      </c>
      <c r="Q1895" s="45">
        <v>0</v>
      </c>
      <c r="R1895" s="45">
        <v>0</v>
      </c>
      <c r="S1895" s="45">
        <v>0</v>
      </c>
      <c r="T1895" s="45">
        <v>0</v>
      </c>
      <c r="U1895" s="45">
        <v>1397</v>
      </c>
      <c r="V1895" s="45">
        <v>0</v>
      </c>
      <c r="W1895" s="45">
        <v>0</v>
      </c>
      <c r="X1895" s="45">
        <v>0</v>
      </c>
      <c r="Y1895" s="45">
        <v>0</v>
      </c>
      <c r="Z1895" s="45">
        <v>0</v>
      </c>
      <c r="AA1895" s="45">
        <v>0</v>
      </c>
      <c r="AB1895" s="45">
        <v>0</v>
      </c>
      <c r="AC1895" s="45">
        <v>0</v>
      </c>
      <c r="AD1895" s="45">
        <v>0</v>
      </c>
      <c r="AE1895" s="45">
        <v>0</v>
      </c>
      <c r="AF1895" s="45">
        <v>0</v>
      </c>
      <c r="AG1895" s="45">
        <v>0</v>
      </c>
      <c r="AH1895" s="45">
        <v>0</v>
      </c>
      <c r="AI1895" s="45">
        <v>0</v>
      </c>
      <c r="AJ1895" s="45">
        <v>0</v>
      </c>
      <c r="AK1895" s="45">
        <v>0</v>
      </c>
      <c r="AL1895" s="45">
        <v>0</v>
      </c>
      <c r="AM1895" s="57" t="str">
        <f>I1895-J1895-K1895-L1895-M1895-N1895-O1895-P1895-Q1895-R1895-S1895-T1895-U1895-V1895-W1895-X1895-Y1895-Z1895-AA1895-AB1895-AC1895-AD1895-AE1895-AF1895-AG1895+AH1895-AI1895+AJ1895+AK1895-AL1895</f>
        <v>0</v>
      </c>
      <c r="AN1895" s="45"/>
    </row>
    <row r="1896" spans="1:41">
      <c r="A1896" s="45">
        <v>1868</v>
      </c>
      <c r="B1896" s="45" t="s">
        <v>7222</v>
      </c>
      <c r="C1896" s="49" t="s">
        <v>7223</v>
      </c>
      <c r="D1896" s="53" t="s">
        <v>73</v>
      </c>
      <c r="E1896" s="45" t="s">
        <v>7219</v>
      </c>
      <c r="F1896" s="45" t="s">
        <v>7224</v>
      </c>
      <c r="G1896" s="45">
        <v>2</v>
      </c>
      <c r="H1896" s="53" t="s">
        <v>7225</v>
      </c>
      <c r="I1896" s="45">
        <v>500000</v>
      </c>
      <c r="J1896" s="45">
        <v>0</v>
      </c>
      <c r="K1896" s="45">
        <v>22000</v>
      </c>
      <c r="L1896" s="45">
        <v>0</v>
      </c>
      <c r="M1896" s="45">
        <v>0</v>
      </c>
      <c r="N1896" s="45">
        <v>0</v>
      </c>
      <c r="O1896" s="45">
        <v>0</v>
      </c>
      <c r="P1896" s="45">
        <v>0</v>
      </c>
      <c r="Q1896" s="45">
        <v>0</v>
      </c>
      <c r="R1896" s="45">
        <v>0</v>
      </c>
      <c r="S1896" s="45">
        <v>0</v>
      </c>
      <c r="T1896" s="45">
        <v>0</v>
      </c>
      <c r="U1896" s="45">
        <v>1397</v>
      </c>
      <c r="V1896" s="45">
        <v>0</v>
      </c>
      <c r="W1896" s="45">
        <v>0</v>
      </c>
      <c r="X1896" s="45">
        <v>0</v>
      </c>
      <c r="Y1896" s="45">
        <v>0</v>
      </c>
      <c r="Z1896" s="45">
        <v>0</v>
      </c>
      <c r="AA1896" s="45">
        <v>0</v>
      </c>
      <c r="AB1896" s="45">
        <v>0</v>
      </c>
      <c r="AC1896" s="45">
        <v>0</v>
      </c>
      <c r="AD1896" s="45">
        <v>0</v>
      </c>
      <c r="AE1896" s="45">
        <v>0</v>
      </c>
      <c r="AF1896" s="45">
        <v>0</v>
      </c>
      <c r="AG1896" s="45">
        <v>0</v>
      </c>
      <c r="AH1896" s="45">
        <v>0</v>
      </c>
      <c r="AI1896" s="45">
        <v>0</v>
      </c>
      <c r="AJ1896" s="45">
        <v>0</v>
      </c>
      <c r="AK1896" s="45">
        <v>0</v>
      </c>
      <c r="AL1896" s="45">
        <v>0</v>
      </c>
      <c r="AM1896" s="57" t="str">
        <f>I1896-J1896-K1896-L1896-M1896-N1896-O1896-P1896-Q1896-R1896-S1896-T1896-U1896-V1896-W1896-X1896-Y1896-Z1896-AA1896-AB1896-AC1896-AD1896-AE1896-AF1896-AG1896+AH1896-AI1896+AJ1896+AK1896-AL1896</f>
        <v>0</v>
      </c>
      <c r="AN1896" s="45"/>
    </row>
    <row r="1897" spans="1:41">
      <c r="A1897" s="45">
        <v>1869</v>
      </c>
      <c r="B1897" s="45" t="s">
        <v>7226</v>
      </c>
      <c r="C1897" s="49" t="s">
        <v>7227</v>
      </c>
      <c r="D1897" s="53" t="s">
        <v>73</v>
      </c>
      <c r="E1897" s="45" t="s">
        <v>7228</v>
      </c>
      <c r="F1897" s="45" t="s">
        <v>7229</v>
      </c>
      <c r="G1897" s="45">
        <v>3</v>
      </c>
      <c r="H1897" s="53" t="s">
        <v>7230</v>
      </c>
      <c r="I1897" s="45">
        <v>405000</v>
      </c>
      <c r="J1897" s="45">
        <v>0</v>
      </c>
      <c r="K1897" s="45">
        <v>22000</v>
      </c>
      <c r="L1897" s="45">
        <v>0</v>
      </c>
      <c r="M1897" s="45">
        <v>0</v>
      </c>
      <c r="N1897" s="45">
        <v>0</v>
      </c>
      <c r="O1897" s="45">
        <v>0</v>
      </c>
      <c r="P1897" s="45">
        <v>0</v>
      </c>
      <c r="Q1897" s="45">
        <v>0</v>
      </c>
      <c r="R1897" s="45">
        <v>0</v>
      </c>
      <c r="S1897" s="45">
        <v>0</v>
      </c>
      <c r="T1897" s="45">
        <v>0</v>
      </c>
      <c r="U1897" s="45">
        <v>1397</v>
      </c>
      <c r="V1897" s="45">
        <v>0</v>
      </c>
      <c r="W1897" s="45">
        <v>0</v>
      </c>
      <c r="X1897" s="45">
        <v>0</v>
      </c>
      <c r="Y1897" s="45">
        <v>0</v>
      </c>
      <c r="Z1897" s="45">
        <v>0</v>
      </c>
      <c r="AA1897" s="45">
        <v>0</v>
      </c>
      <c r="AB1897" s="45">
        <v>0</v>
      </c>
      <c r="AC1897" s="45">
        <v>0</v>
      </c>
      <c r="AD1897" s="45">
        <v>0</v>
      </c>
      <c r="AE1897" s="45">
        <v>0</v>
      </c>
      <c r="AF1897" s="45">
        <v>0</v>
      </c>
      <c r="AG1897" s="45">
        <v>0</v>
      </c>
      <c r="AH1897" s="45">
        <v>0</v>
      </c>
      <c r="AI1897" s="45">
        <v>0</v>
      </c>
      <c r="AJ1897" s="45">
        <v>0</v>
      </c>
      <c r="AK1897" s="45">
        <v>0</v>
      </c>
      <c r="AL1897" s="45">
        <v>0</v>
      </c>
      <c r="AM1897" s="57" t="str">
        <f>I1897-J1897-K1897-L1897-M1897-N1897-O1897-P1897-Q1897-R1897-S1897-T1897-U1897-V1897-W1897-X1897-Y1897-Z1897-AA1897-AB1897-AC1897-AD1897-AE1897-AF1897-AG1897+AH1897-AI1897+AJ1897+AK1897-AL1897</f>
        <v>0</v>
      </c>
      <c r="AN1897" s="45"/>
    </row>
    <row r="1898" spans="1:41">
      <c r="A1898" s="45">
        <v>1870</v>
      </c>
      <c r="B1898" s="45" t="s">
        <v>7231</v>
      </c>
      <c r="C1898" s="49" t="s">
        <v>7232</v>
      </c>
      <c r="D1898" s="53" t="s">
        <v>73</v>
      </c>
      <c r="E1898" s="45" t="s">
        <v>7233</v>
      </c>
      <c r="F1898" s="45" t="s">
        <v>2206</v>
      </c>
      <c r="G1898" s="45">
        <v>5</v>
      </c>
      <c r="H1898" s="53" t="s">
        <v>7234</v>
      </c>
      <c r="I1898" s="45">
        <v>1699000</v>
      </c>
      <c r="J1898" s="45">
        <v>0</v>
      </c>
      <c r="K1898" s="45">
        <v>27000</v>
      </c>
      <c r="L1898" s="45">
        <v>0</v>
      </c>
      <c r="M1898" s="45">
        <v>0</v>
      </c>
      <c r="N1898" s="45">
        <v>0</v>
      </c>
      <c r="O1898" s="45">
        <v>0</v>
      </c>
      <c r="P1898" s="45">
        <v>0</v>
      </c>
      <c r="Q1898" s="45">
        <v>0</v>
      </c>
      <c r="R1898" s="45">
        <v>0</v>
      </c>
      <c r="S1898" s="45">
        <v>0</v>
      </c>
      <c r="T1898" s="45">
        <v>0</v>
      </c>
      <c r="U1898" s="45">
        <v>1714</v>
      </c>
      <c r="V1898" s="45">
        <v>0</v>
      </c>
      <c r="W1898" s="45">
        <v>0</v>
      </c>
      <c r="X1898" s="45">
        <v>0</v>
      </c>
      <c r="Y1898" s="45">
        <v>0</v>
      </c>
      <c r="Z1898" s="45">
        <v>0</v>
      </c>
      <c r="AA1898" s="45">
        <v>0</v>
      </c>
      <c r="AB1898" s="45">
        <v>0</v>
      </c>
      <c r="AC1898" s="45">
        <v>0</v>
      </c>
      <c r="AD1898" s="45">
        <v>0</v>
      </c>
      <c r="AE1898" s="45">
        <v>0</v>
      </c>
      <c r="AF1898" s="45">
        <v>0</v>
      </c>
      <c r="AG1898" s="45">
        <v>0</v>
      </c>
      <c r="AH1898" s="45">
        <v>0</v>
      </c>
      <c r="AI1898" s="45">
        <v>0</v>
      </c>
      <c r="AJ1898" s="45">
        <v>0</v>
      </c>
      <c r="AK1898" s="45">
        <v>0</v>
      </c>
      <c r="AL1898" s="45">
        <v>0</v>
      </c>
      <c r="AM1898" s="57" t="str">
        <f>I1898-J1898-K1898-L1898-M1898-N1898-O1898-P1898-Q1898-R1898-S1898-T1898-U1898-V1898-W1898-X1898-Y1898-Z1898-AA1898-AB1898-AC1898-AD1898-AE1898-AF1898-AG1898+AH1898-AI1898+AJ1898+AK1898-AL1898</f>
        <v>0</v>
      </c>
      <c r="AN1898" s="45"/>
    </row>
    <row r="1899" spans="1:41">
      <c r="A1899" s="45">
        <v>1871</v>
      </c>
      <c r="B1899" s="45" t="s">
        <v>7235</v>
      </c>
      <c r="C1899" s="49" t="s">
        <v>7236</v>
      </c>
      <c r="D1899" s="53" t="s">
        <v>73</v>
      </c>
      <c r="E1899" s="45" t="s">
        <v>7233</v>
      </c>
      <c r="F1899" s="45" t="s">
        <v>7237</v>
      </c>
      <c r="G1899" s="45">
        <v>5</v>
      </c>
      <c r="H1899" s="53" t="s">
        <v>7238</v>
      </c>
      <c r="I1899" s="45">
        <v>798000</v>
      </c>
      <c r="J1899" s="45">
        <v>0</v>
      </c>
      <c r="K1899" s="45">
        <v>27000</v>
      </c>
      <c r="L1899" s="45">
        <v>0</v>
      </c>
      <c r="M1899" s="45">
        <v>0</v>
      </c>
      <c r="N1899" s="45">
        <v>0</v>
      </c>
      <c r="O1899" s="45">
        <v>0</v>
      </c>
      <c r="P1899" s="45">
        <v>0</v>
      </c>
      <c r="Q1899" s="45">
        <v>0</v>
      </c>
      <c r="R1899" s="45">
        <v>0</v>
      </c>
      <c r="S1899" s="45">
        <v>0</v>
      </c>
      <c r="T1899" s="45">
        <v>0</v>
      </c>
      <c r="U1899" s="45">
        <v>1714</v>
      </c>
      <c r="V1899" s="45">
        <v>0</v>
      </c>
      <c r="W1899" s="45">
        <v>0</v>
      </c>
      <c r="X1899" s="45">
        <v>0</v>
      </c>
      <c r="Y1899" s="45">
        <v>0</v>
      </c>
      <c r="Z1899" s="45">
        <v>0</v>
      </c>
      <c r="AA1899" s="45">
        <v>0</v>
      </c>
      <c r="AB1899" s="45">
        <v>0</v>
      </c>
      <c r="AC1899" s="45">
        <v>0</v>
      </c>
      <c r="AD1899" s="45">
        <v>0</v>
      </c>
      <c r="AE1899" s="45">
        <v>0</v>
      </c>
      <c r="AF1899" s="45">
        <v>0</v>
      </c>
      <c r="AG1899" s="45">
        <v>0</v>
      </c>
      <c r="AH1899" s="45">
        <v>0</v>
      </c>
      <c r="AI1899" s="45">
        <v>0</v>
      </c>
      <c r="AJ1899" s="45">
        <v>0</v>
      </c>
      <c r="AK1899" s="45">
        <v>0</v>
      </c>
      <c r="AL1899" s="45">
        <v>0</v>
      </c>
      <c r="AM1899" s="57" t="str">
        <f>I1899-J1899-K1899-L1899-M1899-N1899-O1899-P1899-Q1899-R1899-S1899-T1899-U1899-V1899-W1899-X1899-Y1899-Z1899-AA1899-AB1899-AC1899-AD1899-AE1899-AF1899-AG1899+AH1899-AI1899+AJ1899+AK1899-AL1899</f>
        <v>0</v>
      </c>
      <c r="AN1899" s="45"/>
    </row>
    <row r="1900" spans="1:41">
      <c r="A1900" s="45">
        <v>1872</v>
      </c>
      <c r="B1900" s="45" t="s">
        <v>7239</v>
      </c>
      <c r="C1900" s="49" t="s">
        <v>7240</v>
      </c>
      <c r="D1900" s="53" t="s">
        <v>73</v>
      </c>
      <c r="E1900" s="45" t="s">
        <v>7241</v>
      </c>
      <c r="F1900" s="45" t="s">
        <v>6926</v>
      </c>
      <c r="G1900" s="45">
        <v>17</v>
      </c>
      <c r="H1900" s="53" t="s">
        <v>7242</v>
      </c>
      <c r="I1900" s="45">
        <v>2632000</v>
      </c>
      <c r="J1900" s="45">
        <v>0</v>
      </c>
      <c r="K1900" s="45">
        <v>68000</v>
      </c>
      <c r="L1900" s="45">
        <v>0</v>
      </c>
      <c r="M1900" s="45">
        <v>0</v>
      </c>
      <c r="N1900" s="45">
        <v>0</v>
      </c>
      <c r="O1900" s="45">
        <v>0</v>
      </c>
      <c r="P1900" s="45">
        <v>0</v>
      </c>
      <c r="Q1900" s="45">
        <v>0</v>
      </c>
      <c r="R1900" s="45">
        <v>0</v>
      </c>
      <c r="S1900" s="45">
        <v>0</v>
      </c>
      <c r="T1900" s="45">
        <v>0</v>
      </c>
      <c r="U1900" s="45">
        <v>4318</v>
      </c>
      <c r="V1900" s="45">
        <v>0</v>
      </c>
      <c r="W1900" s="45">
        <v>0</v>
      </c>
      <c r="X1900" s="45">
        <v>0</v>
      </c>
      <c r="Y1900" s="45">
        <v>0</v>
      </c>
      <c r="Z1900" s="45">
        <v>0</v>
      </c>
      <c r="AA1900" s="45">
        <v>0</v>
      </c>
      <c r="AB1900" s="45">
        <v>0</v>
      </c>
      <c r="AC1900" s="45">
        <v>0</v>
      </c>
      <c r="AD1900" s="45">
        <v>0</v>
      </c>
      <c r="AE1900" s="45">
        <v>0</v>
      </c>
      <c r="AF1900" s="45">
        <v>0</v>
      </c>
      <c r="AG1900" s="45">
        <v>0</v>
      </c>
      <c r="AH1900" s="45">
        <v>0</v>
      </c>
      <c r="AI1900" s="45">
        <v>0</v>
      </c>
      <c r="AJ1900" s="45">
        <v>0</v>
      </c>
      <c r="AK1900" s="45">
        <v>0</v>
      </c>
      <c r="AL1900" s="45">
        <v>0</v>
      </c>
      <c r="AM1900" s="57" t="str">
        <f>I1900-J1900-K1900-L1900-M1900-N1900-O1900-P1900-Q1900-R1900-S1900-T1900-U1900-V1900-W1900-X1900-Y1900-Z1900-AA1900-AB1900-AC1900-AD1900-AE1900-AF1900-AG1900+AH1900-AI1900+AJ1900+AK1900-AL1900</f>
        <v>0</v>
      </c>
      <c r="AN1900" s="45"/>
    </row>
    <row r="1901" spans="1:41">
      <c r="A1901" s="45">
        <v>1873</v>
      </c>
      <c r="B1901" s="45" t="s">
        <v>7243</v>
      </c>
      <c r="C1901" s="49" t="s">
        <v>7244</v>
      </c>
      <c r="D1901" s="53" t="s">
        <v>73</v>
      </c>
      <c r="E1901" s="45" t="s">
        <v>7241</v>
      </c>
      <c r="F1901" s="45" t="s">
        <v>7245</v>
      </c>
      <c r="G1901" s="45">
        <v>5</v>
      </c>
      <c r="H1901" s="53" t="s">
        <v>7246</v>
      </c>
      <c r="I1901" s="45">
        <v>585000</v>
      </c>
      <c r="J1901" s="45">
        <v>0</v>
      </c>
      <c r="K1901" s="45">
        <v>27000</v>
      </c>
      <c r="L1901" s="45">
        <v>0</v>
      </c>
      <c r="M1901" s="45">
        <v>0</v>
      </c>
      <c r="N1901" s="45">
        <v>0</v>
      </c>
      <c r="O1901" s="45">
        <v>0</v>
      </c>
      <c r="P1901" s="45">
        <v>0</v>
      </c>
      <c r="Q1901" s="45">
        <v>0</v>
      </c>
      <c r="R1901" s="45">
        <v>0</v>
      </c>
      <c r="S1901" s="45">
        <v>0</v>
      </c>
      <c r="T1901" s="45">
        <v>0</v>
      </c>
      <c r="U1901" s="45">
        <v>1714</v>
      </c>
      <c r="V1901" s="45">
        <v>0</v>
      </c>
      <c r="W1901" s="45">
        <v>0</v>
      </c>
      <c r="X1901" s="45">
        <v>0</v>
      </c>
      <c r="Y1901" s="45">
        <v>0</v>
      </c>
      <c r="Z1901" s="45">
        <v>0</v>
      </c>
      <c r="AA1901" s="45">
        <v>0</v>
      </c>
      <c r="AB1901" s="45">
        <v>0</v>
      </c>
      <c r="AC1901" s="45">
        <v>0</v>
      </c>
      <c r="AD1901" s="45">
        <v>0</v>
      </c>
      <c r="AE1901" s="45">
        <v>0</v>
      </c>
      <c r="AF1901" s="45">
        <v>0</v>
      </c>
      <c r="AG1901" s="45">
        <v>0</v>
      </c>
      <c r="AH1901" s="45">
        <v>0</v>
      </c>
      <c r="AI1901" s="45">
        <v>0</v>
      </c>
      <c r="AJ1901" s="45">
        <v>0</v>
      </c>
      <c r="AK1901" s="45">
        <v>0</v>
      </c>
      <c r="AL1901" s="45">
        <v>0</v>
      </c>
      <c r="AM1901" s="57" t="str">
        <f>I1901-J1901-K1901-L1901-M1901-N1901-O1901-P1901-Q1901-R1901-S1901-T1901-U1901-V1901-W1901-X1901-Y1901-Z1901-AA1901-AB1901-AC1901-AD1901-AE1901-AF1901-AG1901+AH1901-AI1901+AJ1901+AK1901-AL1901</f>
        <v>0</v>
      </c>
      <c r="AN1901" s="45"/>
    </row>
    <row r="1902" spans="1:41">
      <c r="A1902" s="45">
        <v>1874</v>
      </c>
      <c r="B1902" s="45" t="s">
        <v>7247</v>
      </c>
      <c r="C1902" s="49" t="s">
        <v>7248</v>
      </c>
      <c r="D1902" s="53" t="s">
        <v>73</v>
      </c>
      <c r="E1902" s="45" t="s">
        <v>7241</v>
      </c>
      <c r="F1902" s="45" t="s">
        <v>1315</v>
      </c>
      <c r="G1902" s="45">
        <v>3</v>
      </c>
      <c r="H1902" s="53" t="s">
        <v>7249</v>
      </c>
      <c r="I1902" s="45">
        <v>585000</v>
      </c>
      <c r="J1902" s="45">
        <v>0</v>
      </c>
      <c r="K1902" s="45">
        <v>22000</v>
      </c>
      <c r="L1902" s="45">
        <v>0</v>
      </c>
      <c r="M1902" s="45">
        <v>0</v>
      </c>
      <c r="N1902" s="45">
        <v>0</v>
      </c>
      <c r="O1902" s="45">
        <v>0</v>
      </c>
      <c r="P1902" s="45">
        <v>0</v>
      </c>
      <c r="Q1902" s="45">
        <v>0</v>
      </c>
      <c r="R1902" s="45">
        <v>0</v>
      </c>
      <c r="S1902" s="45">
        <v>0</v>
      </c>
      <c r="T1902" s="45">
        <v>0</v>
      </c>
      <c r="U1902" s="45">
        <v>1397</v>
      </c>
      <c r="V1902" s="45">
        <v>0</v>
      </c>
      <c r="W1902" s="45">
        <v>0</v>
      </c>
      <c r="X1902" s="45">
        <v>0</v>
      </c>
      <c r="Y1902" s="45">
        <v>0</v>
      </c>
      <c r="Z1902" s="45">
        <v>0</v>
      </c>
      <c r="AA1902" s="45">
        <v>0</v>
      </c>
      <c r="AB1902" s="45">
        <v>0</v>
      </c>
      <c r="AC1902" s="45">
        <v>0</v>
      </c>
      <c r="AD1902" s="45">
        <v>0</v>
      </c>
      <c r="AE1902" s="45">
        <v>0</v>
      </c>
      <c r="AF1902" s="45">
        <v>0</v>
      </c>
      <c r="AG1902" s="45">
        <v>0</v>
      </c>
      <c r="AH1902" s="45">
        <v>0</v>
      </c>
      <c r="AI1902" s="45">
        <v>0</v>
      </c>
      <c r="AJ1902" s="45">
        <v>0</v>
      </c>
      <c r="AK1902" s="45">
        <v>0</v>
      </c>
      <c r="AL1902" s="45">
        <v>0</v>
      </c>
      <c r="AM1902" s="57" t="str">
        <f>I1902-J1902-K1902-L1902-M1902-N1902-O1902-P1902-Q1902-R1902-S1902-T1902-U1902-V1902-W1902-X1902-Y1902-Z1902-AA1902-AB1902-AC1902-AD1902-AE1902-AF1902-AG1902+AH1902-AI1902+AJ1902+AK1902-AL1902</f>
        <v>0</v>
      </c>
      <c r="AN1902" s="45"/>
    </row>
    <row r="1903" spans="1:41">
      <c r="A1903" s="45">
        <v>1875</v>
      </c>
      <c r="B1903" s="45" t="s">
        <v>7250</v>
      </c>
      <c r="C1903" s="49" t="s">
        <v>7251</v>
      </c>
      <c r="D1903" s="53" t="s">
        <v>73</v>
      </c>
      <c r="E1903" s="45" t="s">
        <v>7241</v>
      </c>
      <c r="F1903" s="45" t="s">
        <v>7252</v>
      </c>
      <c r="G1903" s="45">
        <v>3</v>
      </c>
      <c r="H1903" s="53" t="s">
        <v>7253</v>
      </c>
      <c r="I1903" s="45">
        <v>394000</v>
      </c>
      <c r="J1903" s="45">
        <v>0</v>
      </c>
      <c r="K1903" s="45">
        <v>22000</v>
      </c>
      <c r="L1903" s="45">
        <v>0</v>
      </c>
      <c r="M1903" s="45">
        <v>0</v>
      </c>
      <c r="N1903" s="45">
        <v>0</v>
      </c>
      <c r="O1903" s="45">
        <v>0</v>
      </c>
      <c r="P1903" s="45">
        <v>0</v>
      </c>
      <c r="Q1903" s="45">
        <v>0</v>
      </c>
      <c r="R1903" s="45">
        <v>0</v>
      </c>
      <c r="S1903" s="45">
        <v>0</v>
      </c>
      <c r="T1903" s="45">
        <v>0</v>
      </c>
      <c r="U1903" s="45">
        <v>1397</v>
      </c>
      <c r="V1903" s="45">
        <v>0</v>
      </c>
      <c r="W1903" s="45">
        <v>0</v>
      </c>
      <c r="X1903" s="45">
        <v>0</v>
      </c>
      <c r="Y1903" s="45">
        <v>0</v>
      </c>
      <c r="Z1903" s="45">
        <v>0</v>
      </c>
      <c r="AA1903" s="45">
        <v>0</v>
      </c>
      <c r="AB1903" s="45">
        <v>0</v>
      </c>
      <c r="AC1903" s="45">
        <v>0</v>
      </c>
      <c r="AD1903" s="45">
        <v>0</v>
      </c>
      <c r="AE1903" s="45">
        <v>0</v>
      </c>
      <c r="AF1903" s="45">
        <v>0</v>
      </c>
      <c r="AG1903" s="45">
        <v>0</v>
      </c>
      <c r="AH1903" s="45">
        <v>0</v>
      </c>
      <c r="AI1903" s="45">
        <v>0</v>
      </c>
      <c r="AJ1903" s="45">
        <v>0</v>
      </c>
      <c r="AK1903" s="45">
        <v>0</v>
      </c>
      <c r="AL1903" s="45">
        <v>0</v>
      </c>
      <c r="AM1903" s="57" t="str">
        <f>I1903-J1903-K1903-L1903-M1903-N1903-O1903-P1903-Q1903-R1903-S1903-T1903-U1903-V1903-W1903-X1903-Y1903-Z1903-AA1903-AB1903-AC1903-AD1903-AE1903-AF1903-AG1903+AH1903-AI1903+AJ1903+AK1903-AL1903</f>
        <v>0</v>
      </c>
      <c r="AN1903" s="45"/>
    </row>
    <row r="1904" spans="1:41">
      <c r="A1904" s="45">
        <v>1876</v>
      </c>
      <c r="B1904" s="45" t="s">
        <v>7254</v>
      </c>
      <c r="C1904" s="49" t="s">
        <v>7255</v>
      </c>
      <c r="D1904" s="53" t="s">
        <v>73</v>
      </c>
      <c r="E1904" s="45" t="s">
        <v>7241</v>
      </c>
      <c r="F1904" s="45" t="s">
        <v>7256</v>
      </c>
      <c r="G1904" s="45">
        <v>3</v>
      </c>
      <c r="H1904" s="53" t="s">
        <v>7257</v>
      </c>
      <c r="I1904" s="45">
        <v>507500</v>
      </c>
      <c r="J1904" s="45">
        <v>0</v>
      </c>
      <c r="K1904" s="45">
        <v>22000</v>
      </c>
      <c r="L1904" s="45">
        <v>0</v>
      </c>
      <c r="M1904" s="45">
        <v>0</v>
      </c>
      <c r="N1904" s="45">
        <v>0</v>
      </c>
      <c r="O1904" s="45">
        <v>0</v>
      </c>
      <c r="P1904" s="45">
        <v>0</v>
      </c>
      <c r="Q1904" s="45">
        <v>0</v>
      </c>
      <c r="R1904" s="45">
        <v>0</v>
      </c>
      <c r="S1904" s="45">
        <v>0</v>
      </c>
      <c r="T1904" s="45">
        <v>0</v>
      </c>
      <c r="U1904" s="45">
        <v>1397</v>
      </c>
      <c r="V1904" s="45">
        <v>0</v>
      </c>
      <c r="W1904" s="45">
        <v>0</v>
      </c>
      <c r="X1904" s="45">
        <v>0</v>
      </c>
      <c r="Y1904" s="45">
        <v>0</v>
      </c>
      <c r="Z1904" s="45">
        <v>0</v>
      </c>
      <c r="AA1904" s="45">
        <v>0</v>
      </c>
      <c r="AB1904" s="45">
        <v>0</v>
      </c>
      <c r="AC1904" s="45">
        <v>0</v>
      </c>
      <c r="AD1904" s="45">
        <v>0</v>
      </c>
      <c r="AE1904" s="45">
        <v>0</v>
      </c>
      <c r="AF1904" s="45">
        <v>0</v>
      </c>
      <c r="AG1904" s="45">
        <v>0</v>
      </c>
      <c r="AH1904" s="45">
        <v>0</v>
      </c>
      <c r="AI1904" s="45">
        <v>0</v>
      </c>
      <c r="AJ1904" s="45">
        <v>0</v>
      </c>
      <c r="AK1904" s="45">
        <v>0</v>
      </c>
      <c r="AL1904" s="45">
        <v>0</v>
      </c>
      <c r="AM1904" s="57" t="str">
        <f>I1904-J1904-K1904-L1904-M1904-N1904-O1904-P1904-Q1904-R1904-S1904-T1904-U1904-V1904-W1904-X1904-Y1904-Z1904-AA1904-AB1904-AC1904-AD1904-AE1904-AF1904-AG1904+AH1904-AI1904+AJ1904+AK1904-AL1904</f>
        <v>0</v>
      </c>
      <c r="AN1904" s="45"/>
    </row>
    <row r="1905" spans="1:41">
      <c r="A1905" s="45">
        <v>1877</v>
      </c>
      <c r="B1905" s="45" t="s">
        <v>7258</v>
      </c>
      <c r="C1905" s="49" t="s">
        <v>7259</v>
      </c>
      <c r="D1905" s="53" t="s">
        <v>73</v>
      </c>
      <c r="E1905" s="45" t="s">
        <v>7241</v>
      </c>
      <c r="F1905" s="45" t="s">
        <v>7260</v>
      </c>
      <c r="G1905" s="45">
        <v>15</v>
      </c>
      <c r="H1905" s="53" t="s">
        <v>7261</v>
      </c>
      <c r="I1905" s="45">
        <v>3790000</v>
      </c>
      <c r="J1905" s="45">
        <v>18950</v>
      </c>
      <c r="K1905" s="45">
        <v>60000</v>
      </c>
      <c r="L1905" s="45">
        <v>0</v>
      </c>
      <c r="M1905" s="45">
        <v>0</v>
      </c>
      <c r="N1905" s="45">
        <v>0</v>
      </c>
      <c r="O1905" s="45">
        <v>0</v>
      </c>
      <c r="P1905" s="45">
        <v>0</v>
      </c>
      <c r="Q1905" s="45">
        <v>0</v>
      </c>
      <c r="R1905" s="45">
        <v>0</v>
      </c>
      <c r="S1905" s="45">
        <v>0</v>
      </c>
      <c r="T1905" s="45">
        <v>0</v>
      </c>
      <c r="U1905" s="45">
        <v>3810</v>
      </c>
      <c r="V1905" s="45">
        <v>0</v>
      </c>
      <c r="W1905" s="45">
        <v>0</v>
      </c>
      <c r="X1905" s="45">
        <v>0</v>
      </c>
      <c r="Y1905" s="45">
        <v>0</v>
      </c>
      <c r="Z1905" s="45">
        <v>0</v>
      </c>
      <c r="AA1905" s="45">
        <v>0</v>
      </c>
      <c r="AB1905" s="45">
        <v>0</v>
      </c>
      <c r="AC1905" s="45">
        <v>0</v>
      </c>
      <c r="AD1905" s="45">
        <v>0</v>
      </c>
      <c r="AE1905" s="45">
        <v>0</v>
      </c>
      <c r="AF1905" s="45">
        <v>0</v>
      </c>
      <c r="AG1905" s="45">
        <v>0</v>
      </c>
      <c r="AH1905" s="45">
        <v>0</v>
      </c>
      <c r="AI1905" s="45">
        <v>0</v>
      </c>
      <c r="AJ1905" s="45">
        <v>0</v>
      </c>
      <c r="AK1905" s="45">
        <v>0</v>
      </c>
      <c r="AL1905" s="45">
        <v>0</v>
      </c>
      <c r="AM1905" s="57" t="str">
        <f>I1905-J1905-K1905-L1905-M1905-N1905-O1905-P1905-Q1905-R1905-S1905-T1905-U1905-V1905-W1905-X1905-Y1905-Z1905-AA1905-AB1905-AC1905-AD1905-AE1905-AF1905-AG1905+AH1905-AI1905+AJ1905+AK1905-AL1905</f>
        <v>0</v>
      </c>
      <c r="AN1905" s="45"/>
    </row>
    <row r="1906" spans="1:41">
      <c r="A1906" s="45">
        <v>1878</v>
      </c>
      <c r="B1906" s="45" t="s">
        <v>7262</v>
      </c>
      <c r="C1906" s="49" t="s">
        <v>7263</v>
      </c>
      <c r="D1906" s="53" t="s">
        <v>73</v>
      </c>
      <c r="E1906" s="45" t="s">
        <v>7241</v>
      </c>
      <c r="F1906" s="45" t="s">
        <v>7264</v>
      </c>
      <c r="G1906" s="45">
        <v>2</v>
      </c>
      <c r="H1906" s="53" t="s">
        <v>7265</v>
      </c>
      <c r="I1906" s="45">
        <v>30000</v>
      </c>
      <c r="J1906" s="45">
        <v>0</v>
      </c>
      <c r="K1906" s="45">
        <v>22000</v>
      </c>
      <c r="L1906" s="45">
        <v>0</v>
      </c>
      <c r="M1906" s="45">
        <v>0</v>
      </c>
      <c r="N1906" s="45">
        <v>0</v>
      </c>
      <c r="O1906" s="45">
        <v>0</v>
      </c>
      <c r="P1906" s="45">
        <v>0</v>
      </c>
      <c r="Q1906" s="45">
        <v>0</v>
      </c>
      <c r="R1906" s="45">
        <v>0</v>
      </c>
      <c r="S1906" s="45">
        <v>0</v>
      </c>
      <c r="T1906" s="45">
        <v>0</v>
      </c>
      <c r="U1906" s="45">
        <v>1397</v>
      </c>
      <c r="V1906" s="45">
        <v>0</v>
      </c>
      <c r="W1906" s="45">
        <v>0</v>
      </c>
      <c r="X1906" s="45">
        <v>0</v>
      </c>
      <c r="Y1906" s="45">
        <v>5000</v>
      </c>
      <c r="Z1906" s="45">
        <v>0</v>
      </c>
      <c r="AA1906" s="45">
        <v>0</v>
      </c>
      <c r="AB1906" s="45">
        <v>0</v>
      </c>
      <c r="AC1906" s="45">
        <v>0</v>
      </c>
      <c r="AD1906" s="45">
        <v>0</v>
      </c>
      <c r="AE1906" s="45">
        <v>0</v>
      </c>
      <c r="AF1906" s="45">
        <v>0</v>
      </c>
      <c r="AG1906" s="45">
        <v>0</v>
      </c>
      <c r="AH1906" s="45">
        <v>0</v>
      </c>
      <c r="AI1906" s="45">
        <v>0</v>
      </c>
      <c r="AJ1906" s="45">
        <v>0</v>
      </c>
      <c r="AK1906" s="45">
        <v>0</v>
      </c>
      <c r="AL1906" s="45">
        <v>0</v>
      </c>
      <c r="AM1906" s="57" t="str">
        <f>I1906-J1906-K1906-L1906-M1906-N1906-O1906-P1906-Q1906-R1906-S1906-T1906-U1906-V1906-W1906-X1906-Y1906-Z1906-AA1906-AB1906-AC1906-AD1906-AE1906-AF1906-AG1906+AH1906-AI1906+AJ1906+AK1906-AL1906</f>
        <v>0</v>
      </c>
      <c r="AN1906" s="45"/>
    </row>
    <row r="1907" spans="1:41">
      <c r="A1907" s="45">
        <v>1879</v>
      </c>
      <c r="B1907" s="45" t="s">
        <v>7266</v>
      </c>
      <c r="C1907" s="49" t="s">
        <v>7267</v>
      </c>
      <c r="D1907" s="53" t="s">
        <v>73</v>
      </c>
      <c r="E1907" s="45" t="s">
        <v>7241</v>
      </c>
      <c r="F1907" s="45" t="s">
        <v>7268</v>
      </c>
      <c r="G1907" s="45">
        <v>3</v>
      </c>
      <c r="H1907" s="53" t="s">
        <v>7269</v>
      </c>
      <c r="I1907" s="45">
        <v>394000</v>
      </c>
      <c r="J1907" s="45">
        <v>0</v>
      </c>
      <c r="K1907" s="45">
        <v>22000</v>
      </c>
      <c r="L1907" s="45">
        <v>0</v>
      </c>
      <c r="M1907" s="45">
        <v>0</v>
      </c>
      <c r="N1907" s="45">
        <v>0</v>
      </c>
      <c r="O1907" s="45">
        <v>0</v>
      </c>
      <c r="P1907" s="45">
        <v>0</v>
      </c>
      <c r="Q1907" s="45">
        <v>0</v>
      </c>
      <c r="R1907" s="45">
        <v>0</v>
      </c>
      <c r="S1907" s="45">
        <v>0</v>
      </c>
      <c r="T1907" s="45">
        <v>0</v>
      </c>
      <c r="U1907" s="45">
        <v>1397</v>
      </c>
      <c r="V1907" s="45">
        <v>0</v>
      </c>
      <c r="W1907" s="45">
        <v>0</v>
      </c>
      <c r="X1907" s="45">
        <v>0</v>
      </c>
      <c r="Y1907" s="45">
        <v>0</v>
      </c>
      <c r="Z1907" s="45">
        <v>0</v>
      </c>
      <c r="AA1907" s="45">
        <v>0</v>
      </c>
      <c r="AB1907" s="45">
        <v>0</v>
      </c>
      <c r="AC1907" s="45">
        <v>0</v>
      </c>
      <c r="AD1907" s="45">
        <v>0</v>
      </c>
      <c r="AE1907" s="45">
        <v>0</v>
      </c>
      <c r="AF1907" s="45">
        <v>0</v>
      </c>
      <c r="AG1907" s="45">
        <v>0</v>
      </c>
      <c r="AH1907" s="45">
        <v>0</v>
      </c>
      <c r="AI1907" s="45">
        <v>0</v>
      </c>
      <c r="AJ1907" s="45">
        <v>0</v>
      </c>
      <c r="AK1907" s="45">
        <v>0</v>
      </c>
      <c r="AL1907" s="45">
        <v>0</v>
      </c>
      <c r="AM1907" s="57" t="str">
        <f>I1907-J1907-K1907-L1907-M1907-N1907-O1907-P1907-Q1907-R1907-S1907-T1907-U1907-V1907-W1907-X1907-Y1907-Z1907-AA1907-AB1907-AC1907-AD1907-AE1907-AF1907-AG1907+AH1907-AI1907+AJ1907+AK1907-AL1907</f>
        <v>0</v>
      </c>
      <c r="AN1907" s="45"/>
    </row>
    <row r="1908" spans="1:41">
      <c r="A1908" s="45">
        <v>1880</v>
      </c>
      <c r="B1908" s="45" t="s">
        <v>7270</v>
      </c>
      <c r="C1908" s="49" t="s">
        <v>7271</v>
      </c>
      <c r="D1908" s="53" t="s">
        <v>73</v>
      </c>
      <c r="E1908" s="45" t="s">
        <v>7272</v>
      </c>
      <c r="F1908" s="45" t="s">
        <v>7273</v>
      </c>
      <c r="G1908" s="45">
        <v>3</v>
      </c>
      <c r="H1908" s="53" t="s">
        <v>7274</v>
      </c>
      <c r="I1908" s="45">
        <v>585000</v>
      </c>
      <c r="J1908" s="45">
        <v>0</v>
      </c>
      <c r="K1908" s="45">
        <v>22000</v>
      </c>
      <c r="L1908" s="45">
        <v>0</v>
      </c>
      <c r="M1908" s="45">
        <v>0</v>
      </c>
      <c r="N1908" s="45">
        <v>0</v>
      </c>
      <c r="O1908" s="45">
        <v>0</v>
      </c>
      <c r="P1908" s="45">
        <v>0</v>
      </c>
      <c r="Q1908" s="45">
        <v>0</v>
      </c>
      <c r="R1908" s="45">
        <v>0</v>
      </c>
      <c r="S1908" s="45">
        <v>0</v>
      </c>
      <c r="T1908" s="45">
        <v>0</v>
      </c>
      <c r="U1908" s="45">
        <v>1397</v>
      </c>
      <c r="V1908" s="45">
        <v>0</v>
      </c>
      <c r="W1908" s="45">
        <v>0</v>
      </c>
      <c r="X1908" s="45">
        <v>0</v>
      </c>
      <c r="Y1908" s="45">
        <v>0</v>
      </c>
      <c r="Z1908" s="45">
        <v>0</v>
      </c>
      <c r="AA1908" s="45">
        <v>0</v>
      </c>
      <c r="AB1908" s="45">
        <v>0</v>
      </c>
      <c r="AC1908" s="45">
        <v>0</v>
      </c>
      <c r="AD1908" s="45">
        <v>0</v>
      </c>
      <c r="AE1908" s="45">
        <v>0</v>
      </c>
      <c r="AF1908" s="45">
        <v>0</v>
      </c>
      <c r="AG1908" s="45">
        <v>0</v>
      </c>
      <c r="AH1908" s="45">
        <v>0</v>
      </c>
      <c r="AI1908" s="45">
        <v>0</v>
      </c>
      <c r="AJ1908" s="45">
        <v>0</v>
      </c>
      <c r="AK1908" s="45">
        <v>0</v>
      </c>
      <c r="AL1908" s="45">
        <v>0</v>
      </c>
      <c r="AM1908" s="57" t="str">
        <f>I1908-J1908-K1908-L1908-M1908-N1908-O1908-P1908-Q1908-R1908-S1908-T1908-U1908-V1908-W1908-X1908-Y1908-Z1908-AA1908-AB1908-AC1908-AD1908-AE1908-AF1908-AG1908+AH1908-AI1908+AJ1908+AK1908-AL1908</f>
        <v>0</v>
      </c>
      <c r="AN1908" s="45"/>
    </row>
    <row r="1909" spans="1:41">
      <c r="A1909" s="45">
        <v>1881</v>
      </c>
      <c r="B1909" s="45" t="s">
        <v>7275</v>
      </c>
      <c r="C1909" s="49" t="s">
        <v>7276</v>
      </c>
      <c r="D1909" s="53" t="s">
        <v>73</v>
      </c>
      <c r="E1909" s="45" t="s">
        <v>7272</v>
      </c>
      <c r="F1909" s="45" t="s">
        <v>7277</v>
      </c>
      <c r="G1909" s="45">
        <v>3</v>
      </c>
      <c r="H1909" s="53" t="s">
        <v>7278</v>
      </c>
      <c r="I1909" s="45">
        <v>585000</v>
      </c>
      <c r="J1909" s="45">
        <v>0</v>
      </c>
      <c r="K1909" s="45">
        <v>22000</v>
      </c>
      <c r="L1909" s="45">
        <v>0</v>
      </c>
      <c r="M1909" s="45">
        <v>0</v>
      </c>
      <c r="N1909" s="45">
        <v>0</v>
      </c>
      <c r="O1909" s="45">
        <v>0</v>
      </c>
      <c r="P1909" s="45">
        <v>0</v>
      </c>
      <c r="Q1909" s="45">
        <v>0</v>
      </c>
      <c r="R1909" s="45">
        <v>0</v>
      </c>
      <c r="S1909" s="45">
        <v>0</v>
      </c>
      <c r="T1909" s="45">
        <v>0</v>
      </c>
      <c r="U1909" s="45">
        <v>1397</v>
      </c>
      <c r="V1909" s="45">
        <v>0</v>
      </c>
      <c r="W1909" s="45">
        <v>0</v>
      </c>
      <c r="X1909" s="45">
        <v>0</v>
      </c>
      <c r="Y1909" s="45">
        <v>0</v>
      </c>
      <c r="Z1909" s="45">
        <v>0</v>
      </c>
      <c r="AA1909" s="45">
        <v>0</v>
      </c>
      <c r="AB1909" s="45">
        <v>0</v>
      </c>
      <c r="AC1909" s="45">
        <v>0</v>
      </c>
      <c r="AD1909" s="45">
        <v>0</v>
      </c>
      <c r="AE1909" s="45">
        <v>0</v>
      </c>
      <c r="AF1909" s="45">
        <v>0</v>
      </c>
      <c r="AG1909" s="45">
        <v>0</v>
      </c>
      <c r="AH1909" s="45">
        <v>0</v>
      </c>
      <c r="AI1909" s="45">
        <v>0</v>
      </c>
      <c r="AJ1909" s="45">
        <v>0</v>
      </c>
      <c r="AK1909" s="45">
        <v>0</v>
      </c>
      <c r="AL1909" s="45">
        <v>0</v>
      </c>
      <c r="AM1909" s="57" t="str">
        <f>I1909-J1909-K1909-L1909-M1909-N1909-O1909-P1909-Q1909-R1909-S1909-T1909-U1909-V1909-W1909-X1909-Y1909-Z1909-AA1909-AB1909-AC1909-AD1909-AE1909-AF1909-AG1909+AH1909-AI1909+AJ1909+AK1909-AL1909</f>
        <v>0</v>
      </c>
      <c r="AN1909" s="45"/>
    </row>
    <row r="1910" spans="1:41">
      <c r="A1910" s="45">
        <v>1882</v>
      </c>
      <c r="B1910" s="45" t="s">
        <v>7279</v>
      </c>
      <c r="C1910" s="49" t="s">
        <v>7280</v>
      </c>
      <c r="D1910" s="53" t="s">
        <v>73</v>
      </c>
      <c r="E1910" s="45" t="s">
        <v>7272</v>
      </c>
      <c r="F1910" s="45" t="s">
        <v>7281</v>
      </c>
      <c r="G1910" s="45">
        <v>2</v>
      </c>
      <c r="H1910" s="53" t="s">
        <v>7282</v>
      </c>
      <c r="I1910" s="45">
        <v>500000</v>
      </c>
      <c r="J1910" s="45">
        <v>0</v>
      </c>
      <c r="K1910" s="45">
        <v>22000</v>
      </c>
      <c r="L1910" s="45">
        <v>0</v>
      </c>
      <c r="M1910" s="45">
        <v>0</v>
      </c>
      <c r="N1910" s="45">
        <v>0</v>
      </c>
      <c r="O1910" s="45">
        <v>0</v>
      </c>
      <c r="P1910" s="45">
        <v>0</v>
      </c>
      <c r="Q1910" s="45">
        <v>0</v>
      </c>
      <c r="R1910" s="45">
        <v>0</v>
      </c>
      <c r="S1910" s="45">
        <v>0</v>
      </c>
      <c r="T1910" s="45">
        <v>0</v>
      </c>
      <c r="U1910" s="45">
        <v>1397</v>
      </c>
      <c r="V1910" s="45">
        <v>0</v>
      </c>
      <c r="W1910" s="45">
        <v>0</v>
      </c>
      <c r="X1910" s="45">
        <v>0</v>
      </c>
      <c r="Y1910" s="45">
        <v>0</v>
      </c>
      <c r="Z1910" s="45">
        <v>0</v>
      </c>
      <c r="AA1910" s="45">
        <v>0</v>
      </c>
      <c r="AB1910" s="45">
        <v>0</v>
      </c>
      <c r="AC1910" s="45">
        <v>0</v>
      </c>
      <c r="AD1910" s="45">
        <v>0</v>
      </c>
      <c r="AE1910" s="45">
        <v>0</v>
      </c>
      <c r="AF1910" s="45">
        <v>0</v>
      </c>
      <c r="AG1910" s="45">
        <v>0</v>
      </c>
      <c r="AH1910" s="45">
        <v>0</v>
      </c>
      <c r="AI1910" s="45">
        <v>0</v>
      </c>
      <c r="AJ1910" s="45">
        <v>0</v>
      </c>
      <c r="AK1910" s="45">
        <v>0</v>
      </c>
      <c r="AL1910" s="45">
        <v>0</v>
      </c>
      <c r="AM1910" s="57" t="str">
        <f>I1910-J1910-K1910-L1910-M1910-N1910-O1910-P1910-Q1910-R1910-S1910-T1910-U1910-V1910-W1910-X1910-Y1910-Z1910-AA1910-AB1910-AC1910-AD1910-AE1910-AF1910-AG1910+AH1910-AI1910+AJ1910+AK1910-AL1910</f>
        <v>0</v>
      </c>
      <c r="AN1910" s="45"/>
    </row>
    <row r="1911" spans="1:41">
      <c r="A1911" s="45">
        <v>1883</v>
      </c>
      <c r="B1911" s="45" t="s">
        <v>7283</v>
      </c>
      <c r="C1911" s="49" t="s">
        <v>7284</v>
      </c>
      <c r="D1911" s="53" t="s">
        <v>73</v>
      </c>
      <c r="E1911" s="45" t="s">
        <v>7272</v>
      </c>
      <c r="F1911" s="45" t="s">
        <v>7285</v>
      </c>
      <c r="G1911" s="45">
        <v>15</v>
      </c>
      <c r="H1911" s="53" t="s">
        <v>7286</v>
      </c>
      <c r="I1911" s="45">
        <v>3790000</v>
      </c>
      <c r="J1911" s="45">
        <v>18950</v>
      </c>
      <c r="K1911" s="45">
        <v>60000</v>
      </c>
      <c r="L1911" s="45">
        <v>0</v>
      </c>
      <c r="M1911" s="45">
        <v>0</v>
      </c>
      <c r="N1911" s="45">
        <v>0</v>
      </c>
      <c r="O1911" s="45">
        <v>0</v>
      </c>
      <c r="P1911" s="45">
        <v>0</v>
      </c>
      <c r="Q1911" s="45">
        <v>0</v>
      </c>
      <c r="R1911" s="45">
        <v>0</v>
      </c>
      <c r="S1911" s="45">
        <v>0</v>
      </c>
      <c r="T1911" s="45">
        <v>0</v>
      </c>
      <c r="U1911" s="45">
        <v>3810</v>
      </c>
      <c r="V1911" s="45">
        <v>0</v>
      </c>
      <c r="W1911" s="45">
        <v>0</v>
      </c>
      <c r="X1911" s="45">
        <v>0</v>
      </c>
      <c r="Y1911" s="45">
        <v>0</v>
      </c>
      <c r="Z1911" s="45">
        <v>0</v>
      </c>
      <c r="AA1911" s="45">
        <v>0</v>
      </c>
      <c r="AB1911" s="45">
        <v>0</v>
      </c>
      <c r="AC1911" s="45">
        <v>0</v>
      </c>
      <c r="AD1911" s="45">
        <v>0</v>
      </c>
      <c r="AE1911" s="45">
        <v>0</v>
      </c>
      <c r="AF1911" s="45">
        <v>0</v>
      </c>
      <c r="AG1911" s="45">
        <v>0</v>
      </c>
      <c r="AH1911" s="45">
        <v>0</v>
      </c>
      <c r="AI1911" s="45">
        <v>0</v>
      </c>
      <c r="AJ1911" s="45">
        <v>0</v>
      </c>
      <c r="AK1911" s="45">
        <v>0</v>
      </c>
      <c r="AL1911" s="45">
        <v>0</v>
      </c>
      <c r="AM1911" s="57" t="str">
        <f>I1911-J1911-K1911-L1911-M1911-N1911-O1911-P1911-Q1911-R1911-S1911-T1911-U1911-V1911-W1911-X1911-Y1911-Z1911-AA1911-AB1911-AC1911-AD1911-AE1911-AF1911-AG1911+AH1911-AI1911+AJ1911+AK1911-AL1911</f>
        <v>0</v>
      </c>
      <c r="AN1911" s="45"/>
    </row>
    <row r="1912" spans="1:41">
      <c r="A1912" s="45">
        <v>1884</v>
      </c>
      <c r="B1912" s="45" t="s">
        <v>7287</v>
      </c>
      <c r="C1912" s="49" t="s">
        <v>7288</v>
      </c>
      <c r="D1912" s="53" t="s">
        <v>73</v>
      </c>
      <c r="E1912" s="45" t="s">
        <v>7289</v>
      </c>
      <c r="F1912" s="45" t="s">
        <v>7290</v>
      </c>
      <c r="G1912" s="45">
        <v>2</v>
      </c>
      <c r="H1912" s="53" t="s">
        <v>7291</v>
      </c>
      <c r="I1912" s="45">
        <v>0</v>
      </c>
      <c r="J1912" s="45">
        <v>0</v>
      </c>
      <c r="K1912" s="45">
        <v>22000</v>
      </c>
      <c r="L1912" s="45">
        <v>0</v>
      </c>
      <c r="M1912" s="45">
        <v>0</v>
      </c>
      <c r="N1912" s="45">
        <v>0</v>
      </c>
      <c r="O1912" s="45">
        <v>0</v>
      </c>
      <c r="P1912" s="45">
        <v>0</v>
      </c>
      <c r="Q1912" s="45">
        <v>0</v>
      </c>
      <c r="R1912" s="45">
        <v>0</v>
      </c>
      <c r="S1912" s="45">
        <v>0</v>
      </c>
      <c r="T1912" s="45">
        <v>0</v>
      </c>
      <c r="U1912" s="45">
        <v>1397</v>
      </c>
      <c r="V1912" s="45">
        <v>0</v>
      </c>
      <c r="W1912" s="45">
        <v>0</v>
      </c>
      <c r="X1912" s="45">
        <v>0</v>
      </c>
      <c r="Y1912" s="45">
        <v>0</v>
      </c>
      <c r="Z1912" s="45">
        <v>0</v>
      </c>
      <c r="AA1912" s="45">
        <v>0</v>
      </c>
      <c r="AB1912" s="45">
        <v>0</v>
      </c>
      <c r="AC1912" s="45">
        <v>0</v>
      </c>
      <c r="AD1912" s="45">
        <v>0</v>
      </c>
      <c r="AE1912" s="45">
        <v>0</v>
      </c>
      <c r="AF1912" s="45">
        <v>0</v>
      </c>
      <c r="AG1912" s="45">
        <v>0</v>
      </c>
      <c r="AH1912" s="45">
        <v>0</v>
      </c>
      <c r="AI1912" s="45">
        <v>0</v>
      </c>
      <c r="AJ1912" s="45">
        <v>0</v>
      </c>
      <c r="AK1912" s="45">
        <v>0</v>
      </c>
      <c r="AL1912" s="45">
        <v>0</v>
      </c>
      <c r="AM1912" s="57" t="str">
        <f>I1912-J1912-K1912-L1912-M1912-N1912-O1912-P1912-Q1912-R1912-S1912-T1912-U1912-V1912-W1912-X1912-Y1912-Z1912-AA1912-AB1912-AC1912-AD1912-AE1912-AF1912-AG1912+AH1912-AI1912+AJ1912+AK1912-AL1912</f>
        <v>0</v>
      </c>
      <c r="AN1912" s="45"/>
    </row>
    <row r="1913" spans="1:41">
      <c r="A1913" s="45">
        <v>1885</v>
      </c>
      <c r="B1913" s="45" t="s">
        <v>7292</v>
      </c>
      <c r="C1913" s="49" t="s">
        <v>7293</v>
      </c>
      <c r="D1913" s="53" t="s">
        <v>73</v>
      </c>
      <c r="E1913" s="45" t="s">
        <v>7289</v>
      </c>
      <c r="F1913" s="45" t="s">
        <v>7294</v>
      </c>
      <c r="G1913" s="45">
        <v>2</v>
      </c>
      <c r="H1913" s="53" t="s">
        <v>7295</v>
      </c>
      <c r="I1913" s="45">
        <v>0</v>
      </c>
      <c r="J1913" s="45">
        <v>0</v>
      </c>
      <c r="K1913" s="45">
        <v>22000</v>
      </c>
      <c r="L1913" s="45">
        <v>0</v>
      </c>
      <c r="M1913" s="45">
        <v>0</v>
      </c>
      <c r="N1913" s="45">
        <v>0</v>
      </c>
      <c r="O1913" s="45">
        <v>0</v>
      </c>
      <c r="P1913" s="45">
        <v>0</v>
      </c>
      <c r="Q1913" s="45">
        <v>0</v>
      </c>
      <c r="R1913" s="45">
        <v>0</v>
      </c>
      <c r="S1913" s="45">
        <v>0</v>
      </c>
      <c r="T1913" s="45">
        <v>0</v>
      </c>
      <c r="U1913" s="45">
        <v>1397</v>
      </c>
      <c r="V1913" s="45">
        <v>0</v>
      </c>
      <c r="W1913" s="45">
        <v>0</v>
      </c>
      <c r="X1913" s="45">
        <v>0</v>
      </c>
      <c r="Y1913" s="45">
        <v>0</v>
      </c>
      <c r="Z1913" s="45">
        <v>0</v>
      </c>
      <c r="AA1913" s="45">
        <v>0</v>
      </c>
      <c r="AB1913" s="45">
        <v>0</v>
      </c>
      <c r="AC1913" s="45">
        <v>0</v>
      </c>
      <c r="AD1913" s="45">
        <v>0</v>
      </c>
      <c r="AE1913" s="45">
        <v>0</v>
      </c>
      <c r="AF1913" s="45">
        <v>0</v>
      </c>
      <c r="AG1913" s="45">
        <v>0</v>
      </c>
      <c r="AH1913" s="45">
        <v>0</v>
      </c>
      <c r="AI1913" s="45">
        <v>0</v>
      </c>
      <c r="AJ1913" s="45">
        <v>0</v>
      </c>
      <c r="AK1913" s="45">
        <v>0</v>
      </c>
      <c r="AL1913" s="45">
        <v>0</v>
      </c>
      <c r="AM1913" s="57" t="str">
        <f>I1913-J1913-K1913-L1913-M1913-N1913-O1913-P1913-Q1913-R1913-S1913-T1913-U1913-V1913-W1913-X1913-Y1913-Z1913-AA1913-AB1913-AC1913-AD1913-AE1913-AF1913-AG1913+AH1913-AI1913+AJ1913+AK1913-AL1913</f>
        <v>0</v>
      </c>
      <c r="AN1913" s="45"/>
    </row>
    <row r="1914" spans="1:41">
      <c r="A1914" s="45">
        <v>1886</v>
      </c>
      <c r="B1914" s="45" t="s">
        <v>7296</v>
      </c>
      <c r="C1914" s="49" t="s">
        <v>7297</v>
      </c>
      <c r="D1914" s="53" t="s">
        <v>73</v>
      </c>
      <c r="E1914" s="45" t="s">
        <v>7289</v>
      </c>
      <c r="F1914" s="45" t="s">
        <v>7290</v>
      </c>
      <c r="G1914" s="45">
        <v>2</v>
      </c>
      <c r="H1914" s="53" t="s">
        <v>7298</v>
      </c>
      <c r="I1914" s="45">
        <v>0</v>
      </c>
      <c r="J1914" s="45">
        <v>0</v>
      </c>
      <c r="K1914" s="45">
        <v>22000</v>
      </c>
      <c r="L1914" s="45">
        <v>0</v>
      </c>
      <c r="M1914" s="45">
        <v>0</v>
      </c>
      <c r="N1914" s="45">
        <v>0</v>
      </c>
      <c r="O1914" s="45">
        <v>0</v>
      </c>
      <c r="P1914" s="45">
        <v>0</v>
      </c>
      <c r="Q1914" s="45">
        <v>0</v>
      </c>
      <c r="R1914" s="45">
        <v>0</v>
      </c>
      <c r="S1914" s="45">
        <v>0</v>
      </c>
      <c r="T1914" s="45">
        <v>0</v>
      </c>
      <c r="U1914" s="45">
        <v>1397</v>
      </c>
      <c r="V1914" s="45">
        <v>0</v>
      </c>
      <c r="W1914" s="45">
        <v>0</v>
      </c>
      <c r="X1914" s="45">
        <v>0</v>
      </c>
      <c r="Y1914" s="45">
        <v>0</v>
      </c>
      <c r="Z1914" s="45">
        <v>0</v>
      </c>
      <c r="AA1914" s="45">
        <v>0</v>
      </c>
      <c r="AB1914" s="45">
        <v>0</v>
      </c>
      <c r="AC1914" s="45">
        <v>0</v>
      </c>
      <c r="AD1914" s="45">
        <v>0</v>
      </c>
      <c r="AE1914" s="45">
        <v>0</v>
      </c>
      <c r="AF1914" s="45">
        <v>0</v>
      </c>
      <c r="AG1914" s="45">
        <v>0</v>
      </c>
      <c r="AH1914" s="45">
        <v>0</v>
      </c>
      <c r="AI1914" s="45">
        <v>0</v>
      </c>
      <c r="AJ1914" s="45">
        <v>0</v>
      </c>
      <c r="AK1914" s="45">
        <v>0</v>
      </c>
      <c r="AL1914" s="45">
        <v>0</v>
      </c>
      <c r="AM1914" s="57" t="str">
        <f>I1914-J1914-K1914-L1914-M1914-N1914-O1914-P1914-Q1914-R1914-S1914-T1914-U1914-V1914-W1914-X1914-Y1914-Z1914-AA1914-AB1914-AC1914-AD1914-AE1914-AF1914-AG1914+AH1914-AI1914+AJ1914+AK1914-AL1914</f>
        <v>0</v>
      </c>
      <c r="AN1914" s="45"/>
    </row>
    <row r="1915" spans="1:41">
      <c r="A1915" s="45">
        <v>1887</v>
      </c>
      <c r="B1915" s="45" t="s">
        <v>7299</v>
      </c>
      <c r="C1915" s="49" t="s">
        <v>7300</v>
      </c>
      <c r="D1915" s="53" t="s">
        <v>73</v>
      </c>
      <c r="E1915" s="45" t="s">
        <v>7289</v>
      </c>
      <c r="F1915" s="45" t="s">
        <v>7301</v>
      </c>
      <c r="G1915" s="45">
        <v>2</v>
      </c>
      <c r="H1915" s="53" t="s">
        <v>7302</v>
      </c>
      <c r="I1915" s="45">
        <v>0</v>
      </c>
      <c r="J1915" s="45">
        <v>0</v>
      </c>
      <c r="K1915" s="45">
        <v>22000</v>
      </c>
      <c r="L1915" s="45">
        <v>0</v>
      </c>
      <c r="M1915" s="45">
        <v>0</v>
      </c>
      <c r="N1915" s="45">
        <v>0</v>
      </c>
      <c r="O1915" s="45">
        <v>0</v>
      </c>
      <c r="P1915" s="45">
        <v>0</v>
      </c>
      <c r="Q1915" s="45">
        <v>0</v>
      </c>
      <c r="R1915" s="45">
        <v>0</v>
      </c>
      <c r="S1915" s="45">
        <v>0</v>
      </c>
      <c r="T1915" s="45">
        <v>0</v>
      </c>
      <c r="U1915" s="45">
        <v>1397</v>
      </c>
      <c r="V1915" s="45">
        <v>0</v>
      </c>
      <c r="W1915" s="45">
        <v>0</v>
      </c>
      <c r="X1915" s="45">
        <v>0</v>
      </c>
      <c r="Y1915" s="45">
        <v>0</v>
      </c>
      <c r="Z1915" s="45">
        <v>0</v>
      </c>
      <c r="AA1915" s="45">
        <v>0</v>
      </c>
      <c r="AB1915" s="45">
        <v>0</v>
      </c>
      <c r="AC1915" s="45">
        <v>0</v>
      </c>
      <c r="AD1915" s="45">
        <v>0</v>
      </c>
      <c r="AE1915" s="45">
        <v>0</v>
      </c>
      <c r="AF1915" s="45">
        <v>0</v>
      </c>
      <c r="AG1915" s="45">
        <v>0</v>
      </c>
      <c r="AH1915" s="45">
        <v>0</v>
      </c>
      <c r="AI1915" s="45">
        <v>0</v>
      </c>
      <c r="AJ1915" s="45">
        <v>0</v>
      </c>
      <c r="AK1915" s="45">
        <v>0</v>
      </c>
      <c r="AL1915" s="45">
        <v>0</v>
      </c>
      <c r="AM1915" s="57" t="str">
        <f>I1915-J1915-K1915-L1915-M1915-N1915-O1915-P1915-Q1915-R1915-S1915-T1915-U1915-V1915-W1915-X1915-Y1915-Z1915-AA1915-AB1915-AC1915-AD1915-AE1915-AF1915-AG1915+AH1915-AI1915+AJ1915+AK1915-AL1915</f>
        <v>0</v>
      </c>
      <c r="AN1915" s="45"/>
    </row>
    <row r="1916" spans="1:41">
      <c r="A1916" s="45">
        <v>1888</v>
      </c>
      <c r="B1916" s="45" t="s">
        <v>7303</v>
      </c>
      <c r="C1916" s="49" t="s">
        <v>7304</v>
      </c>
      <c r="D1916" s="53" t="s">
        <v>73</v>
      </c>
      <c r="E1916" s="45" t="s">
        <v>7305</v>
      </c>
      <c r="F1916" s="45" t="s">
        <v>7306</v>
      </c>
      <c r="G1916" s="45">
        <v>2</v>
      </c>
      <c r="H1916" s="53" t="s">
        <v>7307</v>
      </c>
      <c r="I1916" s="45">
        <v>0</v>
      </c>
      <c r="J1916" s="45">
        <v>0</v>
      </c>
      <c r="K1916" s="45">
        <v>22000</v>
      </c>
      <c r="L1916" s="45">
        <v>0</v>
      </c>
      <c r="M1916" s="45">
        <v>0</v>
      </c>
      <c r="N1916" s="45">
        <v>0</v>
      </c>
      <c r="O1916" s="45">
        <v>0</v>
      </c>
      <c r="P1916" s="45">
        <v>0</v>
      </c>
      <c r="Q1916" s="45">
        <v>0</v>
      </c>
      <c r="R1916" s="45">
        <v>0</v>
      </c>
      <c r="S1916" s="45">
        <v>0</v>
      </c>
      <c r="T1916" s="45">
        <v>0</v>
      </c>
      <c r="U1916" s="45">
        <v>1397</v>
      </c>
      <c r="V1916" s="45">
        <v>0</v>
      </c>
      <c r="W1916" s="45">
        <v>0</v>
      </c>
      <c r="X1916" s="45">
        <v>0</v>
      </c>
      <c r="Y1916" s="45">
        <v>0</v>
      </c>
      <c r="Z1916" s="45">
        <v>0</v>
      </c>
      <c r="AA1916" s="45">
        <v>0</v>
      </c>
      <c r="AB1916" s="45">
        <v>0</v>
      </c>
      <c r="AC1916" s="45">
        <v>0</v>
      </c>
      <c r="AD1916" s="45">
        <v>0</v>
      </c>
      <c r="AE1916" s="45">
        <v>0</v>
      </c>
      <c r="AF1916" s="45">
        <v>0</v>
      </c>
      <c r="AG1916" s="45">
        <v>0</v>
      </c>
      <c r="AH1916" s="45">
        <v>0</v>
      </c>
      <c r="AI1916" s="45">
        <v>0</v>
      </c>
      <c r="AJ1916" s="45">
        <v>0</v>
      </c>
      <c r="AK1916" s="45">
        <v>0</v>
      </c>
      <c r="AL1916" s="45">
        <v>0</v>
      </c>
      <c r="AM1916" s="57" t="str">
        <f>I1916-J1916-K1916-L1916-M1916-N1916-O1916-P1916-Q1916-R1916-S1916-T1916-U1916-V1916-W1916-X1916-Y1916-Z1916-AA1916-AB1916-AC1916-AD1916-AE1916-AF1916-AG1916+AH1916-AI1916+AJ1916+AK1916-AL1916</f>
        <v>0</v>
      </c>
      <c r="AN1916" s="45"/>
    </row>
    <row r="1917" spans="1:41">
      <c r="A1917" s="45">
        <v>1889</v>
      </c>
      <c r="B1917" s="45" t="s">
        <v>7308</v>
      </c>
      <c r="C1917" s="49" t="s">
        <v>7309</v>
      </c>
      <c r="D1917" s="53" t="s">
        <v>73</v>
      </c>
      <c r="E1917" s="45" t="s">
        <v>7305</v>
      </c>
      <c r="F1917" s="45" t="s">
        <v>7310</v>
      </c>
      <c r="G1917" s="45">
        <v>2</v>
      </c>
      <c r="H1917" s="53" t="s">
        <v>7311</v>
      </c>
      <c r="I1917" s="45">
        <v>0</v>
      </c>
      <c r="J1917" s="45">
        <v>0</v>
      </c>
      <c r="K1917" s="45">
        <v>22000</v>
      </c>
      <c r="L1917" s="45">
        <v>0</v>
      </c>
      <c r="M1917" s="45">
        <v>0</v>
      </c>
      <c r="N1917" s="45">
        <v>0</v>
      </c>
      <c r="O1917" s="45">
        <v>0</v>
      </c>
      <c r="P1917" s="45">
        <v>0</v>
      </c>
      <c r="Q1917" s="45">
        <v>0</v>
      </c>
      <c r="R1917" s="45">
        <v>0</v>
      </c>
      <c r="S1917" s="45">
        <v>0</v>
      </c>
      <c r="T1917" s="45">
        <v>0</v>
      </c>
      <c r="U1917" s="45">
        <v>1397</v>
      </c>
      <c r="V1917" s="45">
        <v>0</v>
      </c>
      <c r="W1917" s="45">
        <v>0</v>
      </c>
      <c r="X1917" s="45">
        <v>0</v>
      </c>
      <c r="Y1917" s="45">
        <v>0</v>
      </c>
      <c r="Z1917" s="45">
        <v>0</v>
      </c>
      <c r="AA1917" s="45">
        <v>0</v>
      </c>
      <c r="AB1917" s="45">
        <v>0</v>
      </c>
      <c r="AC1917" s="45">
        <v>0</v>
      </c>
      <c r="AD1917" s="45">
        <v>0</v>
      </c>
      <c r="AE1917" s="45">
        <v>0</v>
      </c>
      <c r="AF1917" s="45">
        <v>0</v>
      </c>
      <c r="AG1917" s="45">
        <v>0</v>
      </c>
      <c r="AH1917" s="45">
        <v>0</v>
      </c>
      <c r="AI1917" s="45">
        <v>0</v>
      </c>
      <c r="AJ1917" s="45">
        <v>0</v>
      </c>
      <c r="AK1917" s="45">
        <v>0</v>
      </c>
      <c r="AL1917" s="45">
        <v>0</v>
      </c>
      <c r="AM1917" s="57" t="str">
        <f>I1917-J1917-K1917-L1917-M1917-N1917-O1917-P1917-Q1917-R1917-S1917-T1917-U1917-V1917-W1917-X1917-Y1917-Z1917-AA1917-AB1917-AC1917-AD1917-AE1917-AF1917-AG1917+AH1917-AI1917+AJ1917+AK1917-AL1917</f>
        <v>0</v>
      </c>
      <c r="AN1917" s="45"/>
    </row>
    <row r="1918" spans="1:41">
      <c r="A1918" s="45">
        <v>1890</v>
      </c>
      <c r="B1918" s="45" t="s">
        <v>7312</v>
      </c>
      <c r="C1918" s="49" t="s">
        <v>7313</v>
      </c>
      <c r="D1918" s="53" t="s">
        <v>73</v>
      </c>
      <c r="E1918" s="45" t="s">
        <v>7305</v>
      </c>
      <c r="F1918" s="45" t="s">
        <v>3963</v>
      </c>
      <c r="G1918" s="45">
        <v>2</v>
      </c>
      <c r="H1918" s="53" t="s">
        <v>7314</v>
      </c>
      <c r="I1918" s="45">
        <v>0</v>
      </c>
      <c r="J1918" s="45">
        <v>0</v>
      </c>
      <c r="K1918" s="45">
        <v>22000</v>
      </c>
      <c r="L1918" s="45">
        <v>0</v>
      </c>
      <c r="M1918" s="45">
        <v>0</v>
      </c>
      <c r="N1918" s="45">
        <v>0</v>
      </c>
      <c r="O1918" s="45">
        <v>0</v>
      </c>
      <c r="P1918" s="45">
        <v>0</v>
      </c>
      <c r="Q1918" s="45">
        <v>0</v>
      </c>
      <c r="R1918" s="45">
        <v>0</v>
      </c>
      <c r="S1918" s="45">
        <v>0</v>
      </c>
      <c r="T1918" s="45">
        <v>0</v>
      </c>
      <c r="U1918" s="45">
        <v>1397</v>
      </c>
      <c r="V1918" s="45">
        <v>0</v>
      </c>
      <c r="W1918" s="45">
        <v>0</v>
      </c>
      <c r="X1918" s="45">
        <v>0</v>
      </c>
      <c r="Y1918" s="45">
        <v>0</v>
      </c>
      <c r="Z1918" s="45">
        <v>0</v>
      </c>
      <c r="AA1918" s="45">
        <v>0</v>
      </c>
      <c r="AB1918" s="45">
        <v>0</v>
      </c>
      <c r="AC1918" s="45">
        <v>0</v>
      </c>
      <c r="AD1918" s="45">
        <v>0</v>
      </c>
      <c r="AE1918" s="45">
        <v>0</v>
      </c>
      <c r="AF1918" s="45">
        <v>0</v>
      </c>
      <c r="AG1918" s="45">
        <v>0</v>
      </c>
      <c r="AH1918" s="45">
        <v>0</v>
      </c>
      <c r="AI1918" s="45">
        <v>0</v>
      </c>
      <c r="AJ1918" s="45">
        <v>0</v>
      </c>
      <c r="AK1918" s="45">
        <v>0</v>
      </c>
      <c r="AL1918" s="45">
        <v>0</v>
      </c>
      <c r="AM1918" s="57" t="str">
        <f>I1918-J1918-K1918-L1918-M1918-N1918-O1918-P1918-Q1918-R1918-S1918-T1918-U1918-V1918-W1918-X1918-Y1918-Z1918-AA1918-AB1918-AC1918-AD1918-AE1918-AF1918-AG1918+AH1918-AI1918+AJ1918+AK1918-AL1918</f>
        <v>0</v>
      </c>
      <c r="AN1918" s="45"/>
    </row>
    <row r="1919" spans="1:41">
      <c r="A1919" s="45">
        <v>1891</v>
      </c>
      <c r="B1919" s="45" t="s">
        <v>7315</v>
      </c>
      <c r="C1919" s="49" t="s">
        <v>7316</v>
      </c>
      <c r="D1919" s="53" t="s">
        <v>73</v>
      </c>
      <c r="E1919" s="45" t="s">
        <v>7305</v>
      </c>
      <c r="F1919" s="45" t="s">
        <v>7317</v>
      </c>
      <c r="G1919" s="45">
        <v>2</v>
      </c>
      <c r="H1919" s="53" t="s">
        <v>7318</v>
      </c>
      <c r="I1919" s="45">
        <v>0</v>
      </c>
      <c r="J1919" s="45">
        <v>0</v>
      </c>
      <c r="K1919" s="45">
        <v>22000</v>
      </c>
      <c r="L1919" s="45">
        <v>0</v>
      </c>
      <c r="M1919" s="45">
        <v>0</v>
      </c>
      <c r="N1919" s="45">
        <v>0</v>
      </c>
      <c r="O1919" s="45">
        <v>0</v>
      </c>
      <c r="P1919" s="45">
        <v>0</v>
      </c>
      <c r="Q1919" s="45">
        <v>0</v>
      </c>
      <c r="R1919" s="45">
        <v>0</v>
      </c>
      <c r="S1919" s="45">
        <v>0</v>
      </c>
      <c r="T1919" s="45">
        <v>0</v>
      </c>
      <c r="U1919" s="45">
        <v>1397</v>
      </c>
      <c r="V1919" s="45">
        <v>0</v>
      </c>
      <c r="W1919" s="45">
        <v>0</v>
      </c>
      <c r="X1919" s="45">
        <v>0</v>
      </c>
      <c r="Y1919" s="45">
        <v>0</v>
      </c>
      <c r="Z1919" s="45">
        <v>0</v>
      </c>
      <c r="AA1919" s="45">
        <v>0</v>
      </c>
      <c r="AB1919" s="45">
        <v>0</v>
      </c>
      <c r="AC1919" s="45">
        <v>0</v>
      </c>
      <c r="AD1919" s="45">
        <v>0</v>
      </c>
      <c r="AE1919" s="45">
        <v>0</v>
      </c>
      <c r="AF1919" s="45">
        <v>0</v>
      </c>
      <c r="AG1919" s="45">
        <v>0</v>
      </c>
      <c r="AH1919" s="45">
        <v>0</v>
      </c>
      <c r="AI1919" s="45">
        <v>0</v>
      </c>
      <c r="AJ1919" s="45">
        <v>0</v>
      </c>
      <c r="AK1919" s="45">
        <v>0</v>
      </c>
      <c r="AL1919" s="45">
        <v>0</v>
      </c>
      <c r="AM1919" s="57" t="str">
        <f>I1919-J1919-K1919-L1919-M1919-N1919-O1919-P1919-Q1919-R1919-S1919-T1919-U1919-V1919-W1919-X1919-Y1919-Z1919-AA1919-AB1919-AC1919-AD1919-AE1919-AF1919-AG1919+AH1919-AI1919+AJ1919+AK1919-AL1919</f>
        <v>0</v>
      </c>
      <c r="AN1919" s="45"/>
    </row>
    <row r="1920" spans="1:41">
      <c r="A1920" s="45">
        <v>1892</v>
      </c>
      <c r="B1920" s="45" t="s">
        <v>7319</v>
      </c>
      <c r="C1920" s="49" t="s">
        <v>7320</v>
      </c>
      <c r="D1920" s="53" t="s">
        <v>73</v>
      </c>
      <c r="E1920" s="45" t="s">
        <v>7305</v>
      </c>
      <c r="F1920" s="45" t="s">
        <v>6766</v>
      </c>
      <c r="G1920" s="45">
        <v>5</v>
      </c>
      <c r="H1920" s="53" t="s">
        <v>7321</v>
      </c>
      <c r="I1920" s="45">
        <v>0</v>
      </c>
      <c r="J1920" s="45">
        <v>0</v>
      </c>
      <c r="K1920" s="45">
        <v>27000</v>
      </c>
      <c r="L1920" s="45">
        <v>0</v>
      </c>
      <c r="M1920" s="45">
        <v>0</v>
      </c>
      <c r="N1920" s="45">
        <v>0</v>
      </c>
      <c r="O1920" s="45">
        <v>0</v>
      </c>
      <c r="P1920" s="45">
        <v>0</v>
      </c>
      <c r="Q1920" s="45">
        <v>0</v>
      </c>
      <c r="R1920" s="45">
        <v>0</v>
      </c>
      <c r="S1920" s="45">
        <v>0</v>
      </c>
      <c r="T1920" s="45">
        <v>0</v>
      </c>
      <c r="U1920" s="45">
        <v>1714</v>
      </c>
      <c r="V1920" s="45">
        <v>0</v>
      </c>
      <c r="W1920" s="45">
        <v>0</v>
      </c>
      <c r="X1920" s="45">
        <v>0</v>
      </c>
      <c r="Y1920" s="45">
        <v>5000</v>
      </c>
      <c r="Z1920" s="45">
        <v>0</v>
      </c>
      <c r="AA1920" s="45">
        <v>0</v>
      </c>
      <c r="AB1920" s="45">
        <v>0</v>
      </c>
      <c r="AC1920" s="45">
        <v>0</v>
      </c>
      <c r="AD1920" s="45">
        <v>0</v>
      </c>
      <c r="AE1920" s="45">
        <v>0</v>
      </c>
      <c r="AF1920" s="45">
        <v>0</v>
      </c>
      <c r="AG1920" s="45">
        <v>0</v>
      </c>
      <c r="AH1920" s="45">
        <v>0</v>
      </c>
      <c r="AI1920" s="45">
        <v>0</v>
      </c>
      <c r="AJ1920" s="45">
        <v>0</v>
      </c>
      <c r="AK1920" s="45">
        <v>0</v>
      </c>
      <c r="AL1920" s="45">
        <v>0</v>
      </c>
      <c r="AM1920" s="57" t="str">
        <f>I1920-J1920-K1920-L1920-M1920-N1920-O1920-P1920-Q1920-R1920-S1920-T1920-U1920-V1920-W1920-X1920-Y1920-Z1920-AA1920-AB1920-AC1920-AD1920-AE1920-AF1920-AG1920+AH1920-AI1920+AJ1920+AK1920-AL1920</f>
        <v>0</v>
      </c>
      <c r="AN1920" s="45"/>
    </row>
    <row r="1921" spans="1:41">
      <c r="A1921" s="45">
        <v>1893</v>
      </c>
      <c r="B1921" s="45" t="s">
        <v>7322</v>
      </c>
      <c r="C1921" s="49" t="s">
        <v>7323</v>
      </c>
      <c r="D1921" s="53" t="s">
        <v>73</v>
      </c>
      <c r="E1921" s="45" t="s">
        <v>7305</v>
      </c>
      <c r="F1921" s="45" t="s">
        <v>7324</v>
      </c>
      <c r="G1921" s="45">
        <v>3</v>
      </c>
      <c r="H1921" s="53" t="s">
        <v>3500</v>
      </c>
      <c r="I1921" s="45">
        <v>0</v>
      </c>
      <c r="J1921" s="45">
        <v>0</v>
      </c>
      <c r="K1921" s="45">
        <v>22000</v>
      </c>
      <c r="L1921" s="45">
        <v>0</v>
      </c>
      <c r="M1921" s="45">
        <v>0</v>
      </c>
      <c r="N1921" s="45">
        <v>0</v>
      </c>
      <c r="O1921" s="45">
        <v>0</v>
      </c>
      <c r="P1921" s="45">
        <v>0</v>
      </c>
      <c r="Q1921" s="45">
        <v>0</v>
      </c>
      <c r="R1921" s="45">
        <v>0</v>
      </c>
      <c r="S1921" s="45">
        <v>0</v>
      </c>
      <c r="T1921" s="45">
        <v>0</v>
      </c>
      <c r="U1921" s="45">
        <v>1397</v>
      </c>
      <c r="V1921" s="45">
        <v>0</v>
      </c>
      <c r="W1921" s="45">
        <v>0</v>
      </c>
      <c r="X1921" s="45">
        <v>0</v>
      </c>
      <c r="Y1921" s="45">
        <v>11000</v>
      </c>
      <c r="Z1921" s="45">
        <v>0</v>
      </c>
      <c r="AA1921" s="45">
        <v>0</v>
      </c>
      <c r="AB1921" s="45">
        <v>0</v>
      </c>
      <c r="AC1921" s="45">
        <v>0</v>
      </c>
      <c r="AD1921" s="45">
        <v>0</v>
      </c>
      <c r="AE1921" s="45">
        <v>0</v>
      </c>
      <c r="AF1921" s="45">
        <v>0</v>
      </c>
      <c r="AG1921" s="45">
        <v>0</v>
      </c>
      <c r="AH1921" s="45">
        <v>0</v>
      </c>
      <c r="AI1921" s="45">
        <v>0</v>
      </c>
      <c r="AJ1921" s="45">
        <v>0</v>
      </c>
      <c r="AK1921" s="45">
        <v>0</v>
      </c>
      <c r="AL1921" s="45">
        <v>0</v>
      </c>
      <c r="AM1921" s="57" t="str">
        <f>I1921-J1921-K1921-L1921-M1921-N1921-O1921-P1921-Q1921-R1921-S1921-T1921-U1921-V1921-W1921-X1921-Y1921-Z1921-AA1921-AB1921-AC1921-AD1921-AE1921-AF1921-AG1921+AH1921-AI1921+AJ1921+AK1921-AL1921</f>
        <v>0</v>
      </c>
      <c r="AN1921" s="45"/>
    </row>
    <row r="1922" spans="1:41">
      <c r="A1922" s="45">
        <v>1894</v>
      </c>
      <c r="B1922" s="45" t="s">
        <v>7325</v>
      </c>
      <c r="C1922" s="49" t="s">
        <v>7326</v>
      </c>
      <c r="D1922" s="53" t="s">
        <v>73</v>
      </c>
      <c r="E1922" s="45" t="s">
        <v>7305</v>
      </c>
      <c r="F1922" s="45" t="s">
        <v>4159</v>
      </c>
      <c r="G1922" s="45">
        <v>3</v>
      </c>
      <c r="H1922" s="53" t="s">
        <v>7327</v>
      </c>
      <c r="I1922" s="45">
        <v>0</v>
      </c>
      <c r="J1922" s="45">
        <v>0</v>
      </c>
      <c r="K1922" s="45">
        <v>22000</v>
      </c>
      <c r="L1922" s="45">
        <v>0</v>
      </c>
      <c r="M1922" s="45">
        <v>0</v>
      </c>
      <c r="N1922" s="45">
        <v>0</v>
      </c>
      <c r="O1922" s="45">
        <v>0</v>
      </c>
      <c r="P1922" s="45">
        <v>0</v>
      </c>
      <c r="Q1922" s="45">
        <v>0</v>
      </c>
      <c r="R1922" s="45">
        <v>0</v>
      </c>
      <c r="S1922" s="45">
        <v>0</v>
      </c>
      <c r="T1922" s="45">
        <v>0</v>
      </c>
      <c r="U1922" s="45">
        <v>1397</v>
      </c>
      <c r="V1922" s="45">
        <v>0</v>
      </c>
      <c r="W1922" s="45">
        <v>0</v>
      </c>
      <c r="X1922" s="45">
        <v>0</v>
      </c>
      <c r="Y1922" s="45">
        <v>11000</v>
      </c>
      <c r="Z1922" s="45">
        <v>0</v>
      </c>
      <c r="AA1922" s="45">
        <v>0</v>
      </c>
      <c r="AB1922" s="45">
        <v>0</v>
      </c>
      <c r="AC1922" s="45">
        <v>0</v>
      </c>
      <c r="AD1922" s="45">
        <v>0</v>
      </c>
      <c r="AE1922" s="45">
        <v>0</v>
      </c>
      <c r="AF1922" s="45">
        <v>0</v>
      </c>
      <c r="AG1922" s="45">
        <v>0</v>
      </c>
      <c r="AH1922" s="45">
        <v>0</v>
      </c>
      <c r="AI1922" s="45">
        <v>0</v>
      </c>
      <c r="AJ1922" s="45">
        <v>0</v>
      </c>
      <c r="AK1922" s="45">
        <v>0</v>
      </c>
      <c r="AL1922" s="45">
        <v>0</v>
      </c>
      <c r="AM1922" s="57" t="str">
        <f>I1922-J1922-K1922-L1922-M1922-N1922-O1922-P1922-Q1922-R1922-S1922-T1922-U1922-V1922-W1922-X1922-Y1922-Z1922-AA1922-AB1922-AC1922-AD1922-AE1922-AF1922-AG1922+AH1922-AI1922+AJ1922+AK1922-AL1922</f>
        <v>0</v>
      </c>
      <c r="AN1922" s="45"/>
    </row>
    <row r="1923" spans="1:41">
      <c r="A1923" s="45">
        <v>1895</v>
      </c>
      <c r="B1923" s="45" t="s">
        <v>7328</v>
      </c>
      <c r="C1923" s="49" t="s">
        <v>7329</v>
      </c>
      <c r="D1923" s="53" t="s">
        <v>73</v>
      </c>
      <c r="E1923" s="45" t="s">
        <v>7305</v>
      </c>
      <c r="F1923" s="45" t="s">
        <v>5931</v>
      </c>
      <c r="G1923" s="45">
        <v>4</v>
      </c>
      <c r="H1923" s="53" t="s">
        <v>5526</v>
      </c>
      <c r="I1923" s="45">
        <v>0</v>
      </c>
      <c r="J1923" s="45">
        <v>0</v>
      </c>
      <c r="K1923" s="45">
        <v>25000</v>
      </c>
      <c r="L1923" s="45">
        <v>0</v>
      </c>
      <c r="M1923" s="45">
        <v>0</v>
      </c>
      <c r="N1923" s="45">
        <v>0</v>
      </c>
      <c r="O1923" s="45">
        <v>0</v>
      </c>
      <c r="P1923" s="45">
        <v>0</v>
      </c>
      <c r="Q1923" s="45">
        <v>0</v>
      </c>
      <c r="R1923" s="45">
        <v>0</v>
      </c>
      <c r="S1923" s="45">
        <v>0</v>
      </c>
      <c r="T1923" s="45">
        <v>0</v>
      </c>
      <c r="U1923" s="45">
        <v>1587</v>
      </c>
      <c r="V1923" s="45">
        <v>0</v>
      </c>
      <c r="W1923" s="45">
        <v>0</v>
      </c>
      <c r="X1923" s="45">
        <v>0</v>
      </c>
      <c r="Y1923" s="45">
        <v>12500</v>
      </c>
      <c r="Z1923" s="45">
        <v>0</v>
      </c>
      <c r="AA1923" s="45">
        <v>0</v>
      </c>
      <c r="AB1923" s="45">
        <v>0</v>
      </c>
      <c r="AC1923" s="45">
        <v>0</v>
      </c>
      <c r="AD1923" s="45">
        <v>0</v>
      </c>
      <c r="AE1923" s="45">
        <v>0</v>
      </c>
      <c r="AF1923" s="45">
        <v>0</v>
      </c>
      <c r="AG1923" s="45">
        <v>0</v>
      </c>
      <c r="AH1923" s="45">
        <v>0</v>
      </c>
      <c r="AI1923" s="45">
        <v>0</v>
      </c>
      <c r="AJ1923" s="45">
        <v>0</v>
      </c>
      <c r="AK1923" s="45">
        <v>0</v>
      </c>
      <c r="AL1923" s="45">
        <v>0</v>
      </c>
      <c r="AM1923" s="57" t="str">
        <f>I1923-J1923-K1923-L1923-M1923-N1923-O1923-P1923-Q1923-R1923-S1923-T1923-U1923-V1923-W1923-X1923-Y1923-Z1923-AA1923-AB1923-AC1923-AD1923-AE1923-AF1923-AG1923+AH1923-AI1923+AJ1923+AK1923-AL1923</f>
        <v>0</v>
      </c>
      <c r="AN1923" s="45"/>
    </row>
    <row r="1924" spans="1:41">
      <c r="A1924" s="45">
        <v>1896</v>
      </c>
      <c r="B1924" s="45" t="s">
        <v>7330</v>
      </c>
      <c r="C1924" s="49" t="s">
        <v>7331</v>
      </c>
      <c r="D1924" s="53" t="s">
        <v>73</v>
      </c>
      <c r="E1924" s="45" t="s">
        <v>7332</v>
      </c>
      <c r="F1924" s="45" t="s">
        <v>7333</v>
      </c>
      <c r="G1924" s="45">
        <v>15</v>
      </c>
      <c r="H1924" s="53" t="s">
        <v>7334</v>
      </c>
      <c r="I1924" s="45">
        <v>3790000</v>
      </c>
      <c r="J1924" s="45">
        <v>18950</v>
      </c>
      <c r="K1924" s="45">
        <v>60000</v>
      </c>
      <c r="L1924" s="45">
        <v>0</v>
      </c>
      <c r="M1924" s="45">
        <v>0</v>
      </c>
      <c r="N1924" s="45">
        <v>0</v>
      </c>
      <c r="O1924" s="45">
        <v>0</v>
      </c>
      <c r="P1924" s="45">
        <v>0</v>
      </c>
      <c r="Q1924" s="45">
        <v>0</v>
      </c>
      <c r="R1924" s="45">
        <v>0</v>
      </c>
      <c r="S1924" s="45">
        <v>0</v>
      </c>
      <c r="T1924" s="45">
        <v>0</v>
      </c>
      <c r="U1924" s="45">
        <v>3810</v>
      </c>
      <c r="V1924" s="45">
        <v>0</v>
      </c>
      <c r="W1924" s="45">
        <v>0</v>
      </c>
      <c r="X1924" s="45">
        <v>0</v>
      </c>
      <c r="Y1924" s="45">
        <v>0</v>
      </c>
      <c r="Z1924" s="45">
        <v>0</v>
      </c>
      <c r="AA1924" s="45">
        <v>0</v>
      </c>
      <c r="AB1924" s="45">
        <v>0</v>
      </c>
      <c r="AC1924" s="45">
        <v>0</v>
      </c>
      <c r="AD1924" s="45">
        <v>0</v>
      </c>
      <c r="AE1924" s="45">
        <v>0</v>
      </c>
      <c r="AF1924" s="45">
        <v>0</v>
      </c>
      <c r="AG1924" s="45">
        <v>0</v>
      </c>
      <c r="AH1924" s="45">
        <v>0</v>
      </c>
      <c r="AI1924" s="45">
        <v>0</v>
      </c>
      <c r="AJ1924" s="45">
        <v>0</v>
      </c>
      <c r="AK1924" s="45">
        <v>0</v>
      </c>
      <c r="AL1924" s="45">
        <v>0</v>
      </c>
      <c r="AM1924" s="57" t="str">
        <f>I1924-J1924-K1924-L1924-M1924-N1924-O1924-P1924-Q1924-R1924-S1924-T1924-U1924-V1924-W1924-X1924-Y1924-Z1924-AA1924-AB1924-AC1924-AD1924-AE1924-AF1924-AG1924+AH1924-AI1924+AJ1924+AK1924-AL1924</f>
        <v>0</v>
      </c>
      <c r="AN1924" s="45"/>
    </row>
    <row r="1925" spans="1:41">
      <c r="A1925" s="45">
        <v>1897</v>
      </c>
      <c r="B1925" s="45" t="s">
        <v>7335</v>
      </c>
      <c r="C1925" s="49" t="s">
        <v>7336</v>
      </c>
      <c r="D1925" s="53" t="s">
        <v>73</v>
      </c>
      <c r="E1925" s="45" t="s">
        <v>7337</v>
      </c>
      <c r="F1925" s="45" t="s">
        <v>7338</v>
      </c>
      <c r="G1925" s="45">
        <v>3</v>
      </c>
      <c r="H1925" s="53" t="s">
        <v>7339</v>
      </c>
      <c r="I1925" s="45">
        <v>354000</v>
      </c>
      <c r="J1925" s="45">
        <v>0</v>
      </c>
      <c r="K1925" s="45">
        <v>22000</v>
      </c>
      <c r="L1925" s="45">
        <v>0</v>
      </c>
      <c r="M1925" s="45">
        <v>0</v>
      </c>
      <c r="N1925" s="45">
        <v>0</v>
      </c>
      <c r="O1925" s="45">
        <v>0</v>
      </c>
      <c r="P1925" s="45">
        <v>0</v>
      </c>
      <c r="Q1925" s="45">
        <v>0</v>
      </c>
      <c r="R1925" s="45">
        <v>0</v>
      </c>
      <c r="S1925" s="45">
        <v>0</v>
      </c>
      <c r="T1925" s="45">
        <v>0</v>
      </c>
      <c r="U1925" s="45">
        <v>1397</v>
      </c>
      <c r="V1925" s="45">
        <v>0</v>
      </c>
      <c r="W1925" s="45">
        <v>0</v>
      </c>
      <c r="X1925" s="45">
        <v>0</v>
      </c>
      <c r="Y1925" s="45">
        <v>0</v>
      </c>
      <c r="Z1925" s="45">
        <v>0</v>
      </c>
      <c r="AA1925" s="45">
        <v>0</v>
      </c>
      <c r="AB1925" s="45">
        <v>0</v>
      </c>
      <c r="AC1925" s="45">
        <v>0</v>
      </c>
      <c r="AD1925" s="45">
        <v>0</v>
      </c>
      <c r="AE1925" s="45">
        <v>0</v>
      </c>
      <c r="AF1925" s="45">
        <v>0</v>
      </c>
      <c r="AG1925" s="45">
        <v>0</v>
      </c>
      <c r="AH1925" s="45">
        <v>0</v>
      </c>
      <c r="AI1925" s="45">
        <v>0</v>
      </c>
      <c r="AJ1925" s="45">
        <v>0</v>
      </c>
      <c r="AK1925" s="45">
        <v>0</v>
      </c>
      <c r="AL1925" s="45">
        <v>0</v>
      </c>
      <c r="AM1925" s="57" t="str">
        <f>I1925-J1925-K1925-L1925-M1925-N1925-O1925-P1925-Q1925-R1925-S1925-T1925-U1925-V1925-W1925-X1925-Y1925-Z1925-AA1925-AB1925-AC1925-AD1925-AE1925-AF1925-AG1925+AH1925-AI1925+AJ1925+AK1925-AL1925</f>
        <v>0</v>
      </c>
      <c r="AN1925" s="45"/>
    </row>
    <row r="1926" spans="1:41">
      <c r="A1926" s="45">
        <v>1898</v>
      </c>
      <c r="B1926" s="45" t="s">
        <v>7340</v>
      </c>
      <c r="C1926" s="49" t="s">
        <v>7341</v>
      </c>
      <c r="D1926" s="53" t="s">
        <v>73</v>
      </c>
      <c r="E1926" s="45" t="s">
        <v>7337</v>
      </c>
      <c r="F1926" s="45" t="s">
        <v>5948</v>
      </c>
      <c r="G1926" s="45">
        <v>3</v>
      </c>
      <c r="H1926" s="53" t="s">
        <v>7342</v>
      </c>
      <c r="I1926" s="45">
        <v>560000</v>
      </c>
      <c r="J1926" s="45">
        <v>0</v>
      </c>
      <c r="K1926" s="45">
        <v>22000</v>
      </c>
      <c r="L1926" s="45">
        <v>0</v>
      </c>
      <c r="M1926" s="45">
        <v>0</v>
      </c>
      <c r="N1926" s="45">
        <v>0</v>
      </c>
      <c r="O1926" s="45">
        <v>0</v>
      </c>
      <c r="P1926" s="45">
        <v>0</v>
      </c>
      <c r="Q1926" s="45">
        <v>0</v>
      </c>
      <c r="R1926" s="45">
        <v>0</v>
      </c>
      <c r="S1926" s="45">
        <v>0</v>
      </c>
      <c r="T1926" s="45">
        <v>0</v>
      </c>
      <c r="U1926" s="45">
        <v>1397</v>
      </c>
      <c r="V1926" s="45">
        <v>0</v>
      </c>
      <c r="W1926" s="45">
        <v>0</v>
      </c>
      <c r="X1926" s="45">
        <v>0</v>
      </c>
      <c r="Y1926" s="45">
        <v>0</v>
      </c>
      <c r="Z1926" s="45">
        <v>0</v>
      </c>
      <c r="AA1926" s="45">
        <v>0</v>
      </c>
      <c r="AB1926" s="45">
        <v>0</v>
      </c>
      <c r="AC1926" s="45">
        <v>0</v>
      </c>
      <c r="AD1926" s="45">
        <v>0</v>
      </c>
      <c r="AE1926" s="45">
        <v>0</v>
      </c>
      <c r="AF1926" s="45">
        <v>0</v>
      </c>
      <c r="AG1926" s="45">
        <v>0</v>
      </c>
      <c r="AH1926" s="45">
        <v>0</v>
      </c>
      <c r="AI1926" s="45">
        <v>0</v>
      </c>
      <c r="AJ1926" s="45">
        <v>0</v>
      </c>
      <c r="AK1926" s="45">
        <v>0</v>
      </c>
      <c r="AL1926" s="45">
        <v>0</v>
      </c>
      <c r="AM1926" s="57" t="str">
        <f>I1926-J1926-K1926-L1926-M1926-N1926-O1926-P1926-Q1926-R1926-S1926-T1926-U1926-V1926-W1926-X1926-Y1926-Z1926-AA1926-AB1926-AC1926-AD1926-AE1926-AF1926-AG1926+AH1926-AI1926+AJ1926+AK1926-AL1926</f>
        <v>0</v>
      </c>
      <c r="AN1926" s="45"/>
    </row>
    <row r="1927" spans="1:41">
      <c r="A1927" s="45">
        <v>1899</v>
      </c>
      <c r="B1927" s="45" t="s">
        <v>7343</v>
      </c>
      <c r="C1927" s="49" t="s">
        <v>7344</v>
      </c>
      <c r="D1927" s="53" t="s">
        <v>73</v>
      </c>
      <c r="E1927" s="45" t="s">
        <v>7337</v>
      </c>
      <c r="F1927" s="45" t="s">
        <v>7345</v>
      </c>
      <c r="G1927" s="45">
        <v>5.8</v>
      </c>
      <c r="H1927" s="53" t="s">
        <v>7346</v>
      </c>
      <c r="I1927" s="45">
        <v>634000</v>
      </c>
      <c r="J1927" s="45">
        <v>0</v>
      </c>
      <c r="K1927" s="45">
        <v>31000</v>
      </c>
      <c r="L1927" s="45">
        <v>0</v>
      </c>
      <c r="M1927" s="45">
        <v>0</v>
      </c>
      <c r="N1927" s="45">
        <v>0</v>
      </c>
      <c r="O1927" s="45">
        <v>0</v>
      </c>
      <c r="P1927" s="45">
        <v>0</v>
      </c>
      <c r="Q1927" s="45">
        <v>0</v>
      </c>
      <c r="R1927" s="45">
        <v>0</v>
      </c>
      <c r="S1927" s="45">
        <v>0</v>
      </c>
      <c r="T1927" s="45">
        <v>0</v>
      </c>
      <c r="U1927" s="45">
        <v>1968</v>
      </c>
      <c r="V1927" s="45">
        <v>0</v>
      </c>
      <c r="W1927" s="45">
        <v>0</v>
      </c>
      <c r="X1927" s="45">
        <v>0</v>
      </c>
      <c r="Y1927" s="45">
        <v>0</v>
      </c>
      <c r="Z1927" s="45">
        <v>0</v>
      </c>
      <c r="AA1927" s="45">
        <v>0</v>
      </c>
      <c r="AB1927" s="45">
        <v>0</v>
      </c>
      <c r="AC1927" s="45">
        <v>0</v>
      </c>
      <c r="AD1927" s="45">
        <v>0</v>
      </c>
      <c r="AE1927" s="45">
        <v>0</v>
      </c>
      <c r="AF1927" s="45">
        <v>0</v>
      </c>
      <c r="AG1927" s="45">
        <v>0</v>
      </c>
      <c r="AH1927" s="45">
        <v>0</v>
      </c>
      <c r="AI1927" s="45">
        <v>0</v>
      </c>
      <c r="AJ1927" s="45">
        <v>0</v>
      </c>
      <c r="AK1927" s="45">
        <v>0</v>
      </c>
      <c r="AL1927" s="45">
        <v>0</v>
      </c>
      <c r="AM1927" s="57" t="str">
        <f>I1927-J1927-K1927-L1927-M1927-N1927-O1927-P1927-Q1927-R1927-S1927-T1927-U1927-V1927-W1927-X1927-Y1927-Z1927-AA1927-AB1927-AC1927-AD1927-AE1927-AF1927-AG1927+AH1927-AI1927+AJ1927+AK1927-AL1927</f>
        <v>0</v>
      </c>
      <c r="AN1927" s="45"/>
    </row>
    <row r="1928" spans="1:41">
      <c r="A1928" s="45">
        <v>1900</v>
      </c>
      <c r="B1928" s="45" t="s">
        <v>7347</v>
      </c>
      <c r="C1928" s="49" t="s">
        <v>7348</v>
      </c>
      <c r="D1928" s="53" t="s">
        <v>73</v>
      </c>
      <c r="E1928" s="45" t="s">
        <v>7337</v>
      </c>
      <c r="F1928" s="45" t="s">
        <v>7349</v>
      </c>
      <c r="G1928" s="45">
        <v>3</v>
      </c>
      <c r="H1928" s="53" t="s">
        <v>7350</v>
      </c>
      <c r="I1928" s="45">
        <v>434000</v>
      </c>
      <c r="J1928" s="45">
        <v>0</v>
      </c>
      <c r="K1928" s="45">
        <v>22000</v>
      </c>
      <c r="L1928" s="45">
        <v>0</v>
      </c>
      <c r="M1928" s="45">
        <v>0</v>
      </c>
      <c r="N1928" s="45">
        <v>0</v>
      </c>
      <c r="O1928" s="45">
        <v>0</v>
      </c>
      <c r="P1928" s="45">
        <v>0</v>
      </c>
      <c r="Q1928" s="45">
        <v>0</v>
      </c>
      <c r="R1928" s="45">
        <v>0</v>
      </c>
      <c r="S1928" s="45">
        <v>0</v>
      </c>
      <c r="T1928" s="45">
        <v>0</v>
      </c>
      <c r="U1928" s="45">
        <v>1397</v>
      </c>
      <c r="V1928" s="45">
        <v>0</v>
      </c>
      <c r="W1928" s="45">
        <v>0</v>
      </c>
      <c r="X1928" s="45">
        <v>0</v>
      </c>
      <c r="Y1928" s="45">
        <v>0</v>
      </c>
      <c r="Z1928" s="45">
        <v>0</v>
      </c>
      <c r="AA1928" s="45">
        <v>0</v>
      </c>
      <c r="AB1928" s="45">
        <v>0</v>
      </c>
      <c r="AC1928" s="45">
        <v>0</v>
      </c>
      <c r="AD1928" s="45">
        <v>0</v>
      </c>
      <c r="AE1928" s="45">
        <v>0</v>
      </c>
      <c r="AF1928" s="45">
        <v>0</v>
      </c>
      <c r="AG1928" s="45">
        <v>0</v>
      </c>
      <c r="AH1928" s="45">
        <v>0</v>
      </c>
      <c r="AI1928" s="45">
        <v>0</v>
      </c>
      <c r="AJ1928" s="45">
        <v>0</v>
      </c>
      <c r="AK1928" s="45">
        <v>0</v>
      </c>
      <c r="AL1928" s="45">
        <v>0</v>
      </c>
      <c r="AM1928" s="57" t="str">
        <f>I1928-J1928-K1928-L1928-M1928-N1928-O1928-P1928-Q1928-R1928-S1928-T1928-U1928-V1928-W1928-X1928-Y1928-Z1928-AA1928-AB1928-AC1928-AD1928-AE1928-AF1928-AG1928+AH1928-AI1928+AJ1928+AK1928-AL1928</f>
        <v>0</v>
      </c>
      <c r="AN1928" s="45"/>
    </row>
    <row r="1929" spans="1:41">
      <c r="A1929" s="45">
        <v>1901</v>
      </c>
      <c r="B1929" s="45" t="s">
        <v>7351</v>
      </c>
      <c r="C1929" s="49" t="s">
        <v>7352</v>
      </c>
      <c r="D1929" s="53" t="s">
        <v>73</v>
      </c>
      <c r="E1929" s="45" t="s">
        <v>7337</v>
      </c>
      <c r="F1929" s="45" t="s">
        <v>7353</v>
      </c>
      <c r="G1929" s="45">
        <v>9</v>
      </c>
      <c r="H1929" s="53" t="s">
        <v>7354</v>
      </c>
      <c r="I1929" s="45">
        <v>1258000</v>
      </c>
      <c r="J1929" s="45">
        <v>0</v>
      </c>
      <c r="K1929" s="45">
        <v>40000</v>
      </c>
      <c r="L1929" s="45">
        <v>0</v>
      </c>
      <c r="M1929" s="45">
        <v>0</v>
      </c>
      <c r="N1929" s="45">
        <v>0</v>
      </c>
      <c r="O1929" s="45">
        <v>0</v>
      </c>
      <c r="P1929" s="45">
        <v>0</v>
      </c>
      <c r="Q1929" s="45">
        <v>0</v>
      </c>
      <c r="R1929" s="45">
        <v>0</v>
      </c>
      <c r="S1929" s="45">
        <v>0</v>
      </c>
      <c r="T1929" s="45">
        <v>0</v>
      </c>
      <c r="U1929" s="45">
        <v>2540</v>
      </c>
      <c r="V1929" s="45">
        <v>0</v>
      </c>
      <c r="W1929" s="45">
        <v>0</v>
      </c>
      <c r="X1929" s="45">
        <v>0</v>
      </c>
      <c r="Y1929" s="45">
        <v>0</v>
      </c>
      <c r="Z1929" s="45">
        <v>0</v>
      </c>
      <c r="AA1929" s="45">
        <v>0</v>
      </c>
      <c r="AB1929" s="45">
        <v>0</v>
      </c>
      <c r="AC1929" s="45">
        <v>0</v>
      </c>
      <c r="AD1929" s="45">
        <v>0</v>
      </c>
      <c r="AE1929" s="45">
        <v>0</v>
      </c>
      <c r="AF1929" s="45">
        <v>0</v>
      </c>
      <c r="AG1929" s="45">
        <v>0</v>
      </c>
      <c r="AH1929" s="45">
        <v>0</v>
      </c>
      <c r="AI1929" s="45">
        <v>0</v>
      </c>
      <c r="AJ1929" s="45">
        <v>0</v>
      </c>
      <c r="AK1929" s="45">
        <v>0</v>
      </c>
      <c r="AL1929" s="45">
        <v>0</v>
      </c>
      <c r="AM1929" s="57" t="str">
        <f>I1929-J1929-K1929-L1929-M1929-N1929-O1929-P1929-Q1929-R1929-S1929-T1929-U1929-V1929-W1929-X1929-Y1929-Z1929-AA1929-AB1929-AC1929-AD1929-AE1929-AF1929-AG1929+AH1929-AI1929+AJ1929+AK1929-AL1929</f>
        <v>0</v>
      </c>
      <c r="AN1929" s="45"/>
    </row>
    <row r="1930" spans="1:41">
      <c r="A1930" s="45">
        <v>1902</v>
      </c>
      <c r="B1930" s="45" t="s">
        <v>7355</v>
      </c>
      <c r="C1930" s="49" t="s">
        <v>7356</v>
      </c>
      <c r="D1930" s="53" t="s">
        <v>73</v>
      </c>
      <c r="E1930" s="45" t="s">
        <v>7337</v>
      </c>
      <c r="F1930" s="45" t="s">
        <v>7357</v>
      </c>
      <c r="G1930" s="45">
        <v>5.8</v>
      </c>
      <c r="H1930" s="53" t="s">
        <v>7358</v>
      </c>
      <c r="I1930" s="45">
        <v>634000</v>
      </c>
      <c r="J1930" s="45">
        <v>0</v>
      </c>
      <c r="K1930" s="45">
        <v>31000</v>
      </c>
      <c r="L1930" s="45">
        <v>0</v>
      </c>
      <c r="M1930" s="45">
        <v>0</v>
      </c>
      <c r="N1930" s="45">
        <v>0</v>
      </c>
      <c r="O1930" s="45">
        <v>0</v>
      </c>
      <c r="P1930" s="45">
        <v>0</v>
      </c>
      <c r="Q1930" s="45">
        <v>0</v>
      </c>
      <c r="R1930" s="45">
        <v>0</v>
      </c>
      <c r="S1930" s="45">
        <v>0</v>
      </c>
      <c r="T1930" s="45">
        <v>0</v>
      </c>
      <c r="U1930" s="45">
        <v>1968</v>
      </c>
      <c r="V1930" s="45">
        <v>0</v>
      </c>
      <c r="W1930" s="45">
        <v>0</v>
      </c>
      <c r="X1930" s="45">
        <v>0</v>
      </c>
      <c r="Y1930" s="45">
        <v>0</v>
      </c>
      <c r="Z1930" s="45">
        <v>0</v>
      </c>
      <c r="AA1930" s="45">
        <v>0</v>
      </c>
      <c r="AB1930" s="45">
        <v>0</v>
      </c>
      <c r="AC1930" s="45">
        <v>0</v>
      </c>
      <c r="AD1930" s="45">
        <v>0</v>
      </c>
      <c r="AE1930" s="45">
        <v>0</v>
      </c>
      <c r="AF1930" s="45">
        <v>0</v>
      </c>
      <c r="AG1930" s="45">
        <v>0</v>
      </c>
      <c r="AH1930" s="45">
        <v>0</v>
      </c>
      <c r="AI1930" s="45">
        <v>0</v>
      </c>
      <c r="AJ1930" s="45">
        <v>0</v>
      </c>
      <c r="AK1930" s="45">
        <v>0</v>
      </c>
      <c r="AL1930" s="45">
        <v>0</v>
      </c>
      <c r="AM1930" s="57" t="str">
        <f>I1930-J1930-K1930-L1930-M1930-N1930-O1930-P1930-Q1930-R1930-S1930-T1930-U1930-V1930-W1930-X1930-Y1930-Z1930-AA1930-AB1930-AC1930-AD1930-AE1930-AF1930-AG1930+AH1930-AI1930+AJ1930+AK1930-AL1930</f>
        <v>0</v>
      </c>
      <c r="AN1930" s="45"/>
    </row>
    <row r="1931" spans="1:41">
      <c r="A1931" s="45">
        <v>1903</v>
      </c>
      <c r="B1931" s="45" t="s">
        <v>7359</v>
      </c>
      <c r="C1931" s="49" t="s">
        <v>7360</v>
      </c>
      <c r="D1931" s="53" t="s">
        <v>73</v>
      </c>
      <c r="E1931" s="45" t="s">
        <v>7361</v>
      </c>
      <c r="F1931" s="45" t="s">
        <v>6942</v>
      </c>
      <c r="G1931" s="45">
        <v>5</v>
      </c>
      <c r="H1931" s="53" t="s">
        <v>7362</v>
      </c>
      <c r="I1931" s="45">
        <v>434000</v>
      </c>
      <c r="J1931" s="45">
        <v>0</v>
      </c>
      <c r="K1931" s="45">
        <v>27000</v>
      </c>
      <c r="L1931" s="45">
        <v>0</v>
      </c>
      <c r="M1931" s="45">
        <v>0</v>
      </c>
      <c r="N1931" s="45">
        <v>0</v>
      </c>
      <c r="O1931" s="45">
        <v>0</v>
      </c>
      <c r="P1931" s="45">
        <v>0</v>
      </c>
      <c r="Q1931" s="45">
        <v>0</v>
      </c>
      <c r="R1931" s="45">
        <v>0</v>
      </c>
      <c r="S1931" s="45">
        <v>0</v>
      </c>
      <c r="T1931" s="45">
        <v>0</v>
      </c>
      <c r="U1931" s="45">
        <v>1714</v>
      </c>
      <c r="V1931" s="45">
        <v>0</v>
      </c>
      <c r="W1931" s="45">
        <v>0</v>
      </c>
      <c r="X1931" s="45">
        <v>0</v>
      </c>
      <c r="Y1931" s="45">
        <v>0</v>
      </c>
      <c r="Z1931" s="45">
        <v>0</v>
      </c>
      <c r="AA1931" s="45">
        <v>0</v>
      </c>
      <c r="AB1931" s="45">
        <v>0</v>
      </c>
      <c r="AC1931" s="45">
        <v>0</v>
      </c>
      <c r="AD1931" s="45">
        <v>0</v>
      </c>
      <c r="AE1931" s="45">
        <v>0</v>
      </c>
      <c r="AF1931" s="45">
        <v>0</v>
      </c>
      <c r="AG1931" s="45">
        <v>0</v>
      </c>
      <c r="AH1931" s="45">
        <v>0</v>
      </c>
      <c r="AI1931" s="45">
        <v>0</v>
      </c>
      <c r="AJ1931" s="45">
        <v>0</v>
      </c>
      <c r="AK1931" s="45">
        <v>0</v>
      </c>
      <c r="AL1931" s="45">
        <v>0</v>
      </c>
      <c r="AM1931" s="57" t="str">
        <f>I1931-J1931-K1931-L1931-M1931-N1931-O1931-P1931-Q1931-R1931-S1931-T1931-U1931-V1931-W1931-X1931-Y1931-Z1931-AA1931-AB1931-AC1931-AD1931-AE1931-AF1931-AG1931+AH1931-AI1931+AJ1931+AK1931-AL1931</f>
        <v>0</v>
      </c>
      <c r="AN1931" s="45"/>
    </row>
    <row r="1932" spans="1:41">
      <c r="A1932" s="45">
        <v>1904</v>
      </c>
      <c r="B1932" s="45" t="s">
        <v>7363</v>
      </c>
      <c r="C1932" s="49" t="s">
        <v>7364</v>
      </c>
      <c r="D1932" s="53" t="s">
        <v>73</v>
      </c>
      <c r="E1932" s="45" t="s">
        <v>7361</v>
      </c>
      <c r="F1932" s="45" t="s">
        <v>7365</v>
      </c>
      <c r="G1932" s="45">
        <v>5.8</v>
      </c>
      <c r="H1932" s="53" t="s">
        <v>7366</v>
      </c>
      <c r="I1932" s="45">
        <v>634000</v>
      </c>
      <c r="J1932" s="45">
        <v>0</v>
      </c>
      <c r="K1932" s="45">
        <v>31000</v>
      </c>
      <c r="L1932" s="45">
        <v>0</v>
      </c>
      <c r="M1932" s="45">
        <v>0</v>
      </c>
      <c r="N1932" s="45">
        <v>0</v>
      </c>
      <c r="O1932" s="45">
        <v>0</v>
      </c>
      <c r="P1932" s="45">
        <v>0</v>
      </c>
      <c r="Q1932" s="45">
        <v>0</v>
      </c>
      <c r="R1932" s="45">
        <v>0</v>
      </c>
      <c r="S1932" s="45">
        <v>0</v>
      </c>
      <c r="T1932" s="45">
        <v>0</v>
      </c>
      <c r="U1932" s="45">
        <v>1968</v>
      </c>
      <c r="V1932" s="45">
        <v>0</v>
      </c>
      <c r="W1932" s="45">
        <v>0</v>
      </c>
      <c r="X1932" s="45">
        <v>0</v>
      </c>
      <c r="Y1932" s="45">
        <v>0</v>
      </c>
      <c r="Z1932" s="45">
        <v>0</v>
      </c>
      <c r="AA1932" s="45">
        <v>0</v>
      </c>
      <c r="AB1932" s="45">
        <v>0</v>
      </c>
      <c r="AC1932" s="45">
        <v>0</v>
      </c>
      <c r="AD1932" s="45">
        <v>0</v>
      </c>
      <c r="AE1932" s="45">
        <v>0</v>
      </c>
      <c r="AF1932" s="45">
        <v>0</v>
      </c>
      <c r="AG1932" s="45">
        <v>0</v>
      </c>
      <c r="AH1932" s="45">
        <v>0</v>
      </c>
      <c r="AI1932" s="45">
        <v>0</v>
      </c>
      <c r="AJ1932" s="45">
        <v>0</v>
      </c>
      <c r="AK1932" s="45">
        <v>0</v>
      </c>
      <c r="AL1932" s="45">
        <v>0</v>
      </c>
      <c r="AM1932" s="57" t="str">
        <f>I1932-J1932-K1932-L1932-M1932-N1932-O1932-P1932-Q1932-R1932-S1932-T1932-U1932-V1932-W1932-X1932-Y1932-Z1932-AA1932-AB1932-AC1932-AD1932-AE1932-AF1932-AG1932+AH1932-AI1932+AJ1932+AK1932-AL1932</f>
        <v>0</v>
      </c>
      <c r="AN1932" s="45"/>
    </row>
    <row r="1933" spans="1:41">
      <c r="A1933" s="45">
        <v>1905</v>
      </c>
      <c r="B1933" s="45" t="s">
        <v>7367</v>
      </c>
      <c r="C1933" s="49" t="s">
        <v>7368</v>
      </c>
      <c r="D1933" s="53" t="s">
        <v>73</v>
      </c>
      <c r="E1933" s="45" t="s">
        <v>7369</v>
      </c>
      <c r="F1933" s="45" t="s">
        <v>7370</v>
      </c>
      <c r="G1933" s="45">
        <v>5.8</v>
      </c>
      <c r="H1933" s="53" t="s">
        <v>7371</v>
      </c>
      <c r="I1933" s="45">
        <v>634000</v>
      </c>
      <c r="J1933" s="45">
        <v>0</v>
      </c>
      <c r="K1933" s="45">
        <v>31000</v>
      </c>
      <c r="L1933" s="45">
        <v>0</v>
      </c>
      <c r="M1933" s="45">
        <v>0</v>
      </c>
      <c r="N1933" s="45">
        <v>0</v>
      </c>
      <c r="O1933" s="45">
        <v>0</v>
      </c>
      <c r="P1933" s="45">
        <v>0</v>
      </c>
      <c r="Q1933" s="45">
        <v>0</v>
      </c>
      <c r="R1933" s="45">
        <v>0</v>
      </c>
      <c r="S1933" s="45">
        <v>0</v>
      </c>
      <c r="T1933" s="45">
        <v>0</v>
      </c>
      <c r="U1933" s="45">
        <v>1968</v>
      </c>
      <c r="V1933" s="45">
        <v>0</v>
      </c>
      <c r="W1933" s="45">
        <v>0</v>
      </c>
      <c r="X1933" s="45">
        <v>0</v>
      </c>
      <c r="Y1933" s="45">
        <v>0</v>
      </c>
      <c r="Z1933" s="45">
        <v>0</v>
      </c>
      <c r="AA1933" s="45">
        <v>0</v>
      </c>
      <c r="AB1933" s="45">
        <v>0</v>
      </c>
      <c r="AC1933" s="45">
        <v>0</v>
      </c>
      <c r="AD1933" s="45">
        <v>0</v>
      </c>
      <c r="AE1933" s="45">
        <v>0</v>
      </c>
      <c r="AF1933" s="45">
        <v>0</v>
      </c>
      <c r="AG1933" s="45">
        <v>0</v>
      </c>
      <c r="AH1933" s="45">
        <v>0</v>
      </c>
      <c r="AI1933" s="45">
        <v>0</v>
      </c>
      <c r="AJ1933" s="45">
        <v>0</v>
      </c>
      <c r="AK1933" s="45">
        <v>0</v>
      </c>
      <c r="AL1933" s="45">
        <v>0</v>
      </c>
      <c r="AM1933" s="57" t="str">
        <f>I1933-J1933-K1933-L1933-M1933-N1933-O1933-P1933-Q1933-R1933-S1933-T1933-U1933-V1933-W1933-X1933-Y1933-Z1933-AA1933-AB1933-AC1933-AD1933-AE1933-AF1933-AG1933+AH1933-AI1933+AJ1933+AK1933-AL1933</f>
        <v>0</v>
      </c>
      <c r="AN1933" s="45"/>
    </row>
    <row r="1934" spans="1:41">
      <c r="A1934" s="45">
        <v>1906</v>
      </c>
      <c r="B1934" s="45" t="s">
        <v>7372</v>
      </c>
      <c r="C1934" s="49" t="s">
        <v>7373</v>
      </c>
      <c r="D1934" s="53" t="s">
        <v>73</v>
      </c>
      <c r="E1934" s="45" t="s">
        <v>7369</v>
      </c>
      <c r="F1934" s="45" t="s">
        <v>7338</v>
      </c>
      <c r="G1934" s="45">
        <v>6</v>
      </c>
      <c r="H1934" s="53" t="s">
        <v>7374</v>
      </c>
      <c r="I1934" s="45">
        <v>1135000</v>
      </c>
      <c r="J1934" s="45">
        <v>0</v>
      </c>
      <c r="K1934" s="45">
        <v>31000</v>
      </c>
      <c r="L1934" s="45">
        <v>0</v>
      </c>
      <c r="M1934" s="45">
        <v>0</v>
      </c>
      <c r="N1934" s="45">
        <v>0</v>
      </c>
      <c r="O1934" s="45">
        <v>0</v>
      </c>
      <c r="P1934" s="45">
        <v>0</v>
      </c>
      <c r="Q1934" s="45">
        <v>0</v>
      </c>
      <c r="R1934" s="45">
        <v>0</v>
      </c>
      <c r="S1934" s="45">
        <v>0</v>
      </c>
      <c r="T1934" s="45">
        <v>0</v>
      </c>
      <c r="U1934" s="45">
        <v>1968</v>
      </c>
      <c r="V1934" s="45">
        <v>0</v>
      </c>
      <c r="W1934" s="45">
        <v>0</v>
      </c>
      <c r="X1934" s="45">
        <v>0</v>
      </c>
      <c r="Y1934" s="45">
        <v>0</v>
      </c>
      <c r="Z1934" s="45">
        <v>0</v>
      </c>
      <c r="AA1934" s="45">
        <v>0</v>
      </c>
      <c r="AB1934" s="45">
        <v>0</v>
      </c>
      <c r="AC1934" s="45">
        <v>0</v>
      </c>
      <c r="AD1934" s="45">
        <v>0</v>
      </c>
      <c r="AE1934" s="45">
        <v>0</v>
      </c>
      <c r="AF1934" s="45">
        <v>0</v>
      </c>
      <c r="AG1934" s="45">
        <v>0</v>
      </c>
      <c r="AH1934" s="45">
        <v>0</v>
      </c>
      <c r="AI1934" s="45">
        <v>0</v>
      </c>
      <c r="AJ1934" s="45">
        <v>0</v>
      </c>
      <c r="AK1934" s="45">
        <v>0</v>
      </c>
      <c r="AL1934" s="45">
        <v>0</v>
      </c>
      <c r="AM1934" s="57" t="str">
        <f>I1934-J1934-K1934-L1934-M1934-N1934-O1934-P1934-Q1934-R1934-S1934-T1934-U1934-V1934-W1934-X1934-Y1934-Z1934-AA1934-AB1934-AC1934-AD1934-AE1934-AF1934-AG1934+AH1934-AI1934+AJ1934+AK1934-AL1934</f>
        <v>0</v>
      </c>
      <c r="AN1934" s="45"/>
    </row>
    <row r="1935" spans="1:41">
      <c r="A1935" s="45">
        <v>1907</v>
      </c>
      <c r="B1935" s="45" t="s">
        <v>7375</v>
      </c>
      <c r="C1935" s="49" t="s">
        <v>7376</v>
      </c>
      <c r="D1935" s="53" t="s">
        <v>73</v>
      </c>
      <c r="E1935" s="45" t="s">
        <v>7377</v>
      </c>
      <c r="F1935" s="45" t="s">
        <v>5948</v>
      </c>
      <c r="G1935" s="45">
        <v>3</v>
      </c>
      <c r="H1935" s="53" t="s">
        <v>7378</v>
      </c>
      <c r="I1935" s="45">
        <v>205000</v>
      </c>
      <c r="J1935" s="45">
        <v>0</v>
      </c>
      <c r="K1935" s="45">
        <v>22000</v>
      </c>
      <c r="L1935" s="45">
        <v>0</v>
      </c>
      <c r="M1935" s="45">
        <v>0</v>
      </c>
      <c r="N1935" s="45">
        <v>0</v>
      </c>
      <c r="O1935" s="45">
        <v>0</v>
      </c>
      <c r="P1935" s="45">
        <v>0</v>
      </c>
      <c r="Q1935" s="45">
        <v>0</v>
      </c>
      <c r="R1935" s="45">
        <v>0</v>
      </c>
      <c r="S1935" s="45">
        <v>0</v>
      </c>
      <c r="T1935" s="45">
        <v>0</v>
      </c>
      <c r="U1935" s="45">
        <v>1397</v>
      </c>
      <c r="V1935" s="45">
        <v>0</v>
      </c>
      <c r="W1935" s="45">
        <v>0</v>
      </c>
      <c r="X1935" s="45">
        <v>0</v>
      </c>
      <c r="Y1935" s="45">
        <v>0</v>
      </c>
      <c r="Z1935" s="45">
        <v>0</v>
      </c>
      <c r="AA1935" s="45">
        <v>0</v>
      </c>
      <c r="AB1935" s="45">
        <v>0</v>
      </c>
      <c r="AC1935" s="45">
        <v>0</v>
      </c>
      <c r="AD1935" s="45">
        <v>0</v>
      </c>
      <c r="AE1935" s="45">
        <v>0</v>
      </c>
      <c r="AF1935" s="45">
        <v>0</v>
      </c>
      <c r="AG1935" s="45">
        <v>0</v>
      </c>
      <c r="AH1935" s="45">
        <v>0</v>
      </c>
      <c r="AI1935" s="45">
        <v>0</v>
      </c>
      <c r="AJ1935" s="45">
        <v>0</v>
      </c>
      <c r="AK1935" s="45">
        <v>0</v>
      </c>
      <c r="AL1935" s="45">
        <v>0</v>
      </c>
      <c r="AM1935" s="57" t="str">
        <f>I1935-J1935-K1935-L1935-M1935-N1935-O1935-P1935-Q1935-R1935-S1935-T1935-U1935-V1935-W1935-X1935-Y1935-Z1935-AA1935-AB1935-AC1935-AD1935-AE1935-AF1935-AG1935+AH1935-AI1935+AJ1935+AK1935-AL1935</f>
        <v>0</v>
      </c>
      <c r="AN1935" s="45"/>
    </row>
    <row r="1936" spans="1:41">
      <c r="A1936" s="45">
        <v>1908</v>
      </c>
      <c r="B1936" s="45" t="s">
        <v>7379</v>
      </c>
      <c r="C1936" s="49" t="s">
        <v>7380</v>
      </c>
      <c r="D1936" s="53" t="s">
        <v>73</v>
      </c>
      <c r="E1936" s="45" t="s">
        <v>7377</v>
      </c>
      <c r="F1936" s="45" t="s">
        <v>7196</v>
      </c>
      <c r="G1936" s="45">
        <v>2</v>
      </c>
      <c r="H1936" s="53" t="s">
        <v>7381</v>
      </c>
      <c r="I1936" s="45">
        <v>309400</v>
      </c>
      <c r="J1936" s="45">
        <v>0</v>
      </c>
      <c r="K1936" s="45">
        <v>22000</v>
      </c>
      <c r="L1936" s="45">
        <v>0</v>
      </c>
      <c r="M1936" s="45">
        <v>0</v>
      </c>
      <c r="N1936" s="45">
        <v>0</v>
      </c>
      <c r="O1936" s="45">
        <v>0</v>
      </c>
      <c r="P1936" s="45">
        <v>0</v>
      </c>
      <c r="Q1936" s="45">
        <v>0</v>
      </c>
      <c r="R1936" s="45">
        <v>0</v>
      </c>
      <c r="S1936" s="45">
        <v>0</v>
      </c>
      <c r="T1936" s="45">
        <v>0</v>
      </c>
      <c r="U1936" s="45">
        <v>1397</v>
      </c>
      <c r="V1936" s="45">
        <v>0</v>
      </c>
      <c r="W1936" s="45">
        <v>0</v>
      </c>
      <c r="X1936" s="45">
        <v>0</v>
      </c>
      <c r="Y1936" s="45">
        <v>0</v>
      </c>
      <c r="Z1936" s="45">
        <v>0</v>
      </c>
      <c r="AA1936" s="45">
        <v>0</v>
      </c>
      <c r="AB1936" s="45">
        <v>0</v>
      </c>
      <c r="AC1936" s="45">
        <v>0</v>
      </c>
      <c r="AD1936" s="45">
        <v>0</v>
      </c>
      <c r="AE1936" s="45">
        <v>0</v>
      </c>
      <c r="AF1936" s="45">
        <v>0</v>
      </c>
      <c r="AG1936" s="45">
        <v>0</v>
      </c>
      <c r="AH1936" s="45">
        <v>0</v>
      </c>
      <c r="AI1936" s="45">
        <v>0</v>
      </c>
      <c r="AJ1936" s="45">
        <v>0</v>
      </c>
      <c r="AK1936" s="45">
        <v>0</v>
      </c>
      <c r="AL1936" s="45">
        <v>0</v>
      </c>
      <c r="AM1936" s="57" t="str">
        <f>I1936-J1936-K1936-L1936-M1936-N1936-O1936-P1936-Q1936-R1936-S1936-T1936-U1936-V1936-W1936-X1936-Y1936-Z1936-AA1936-AB1936-AC1936-AD1936-AE1936-AF1936-AG1936+AH1936-AI1936+AJ1936+AK1936-AL1936</f>
        <v>0</v>
      </c>
      <c r="AN1936" s="45"/>
    </row>
    <row r="1937" spans="1:41">
      <c r="A1937" s="45">
        <v>1909</v>
      </c>
      <c r="B1937" s="45" t="s">
        <v>7382</v>
      </c>
      <c r="C1937" s="49" t="s">
        <v>7383</v>
      </c>
      <c r="D1937" s="53" t="s">
        <v>73</v>
      </c>
      <c r="E1937" s="45" t="s">
        <v>7377</v>
      </c>
      <c r="F1937" s="45" t="s">
        <v>5354</v>
      </c>
      <c r="G1937" s="45">
        <v>3</v>
      </c>
      <c r="H1937" s="53" t="s">
        <v>7384</v>
      </c>
      <c r="I1937" s="45">
        <v>354000</v>
      </c>
      <c r="J1937" s="45">
        <v>0</v>
      </c>
      <c r="K1937" s="45">
        <v>22000</v>
      </c>
      <c r="L1937" s="45">
        <v>0</v>
      </c>
      <c r="M1937" s="45">
        <v>0</v>
      </c>
      <c r="N1937" s="45">
        <v>0</v>
      </c>
      <c r="O1937" s="45">
        <v>0</v>
      </c>
      <c r="P1937" s="45">
        <v>0</v>
      </c>
      <c r="Q1937" s="45">
        <v>0</v>
      </c>
      <c r="R1937" s="45">
        <v>0</v>
      </c>
      <c r="S1937" s="45">
        <v>0</v>
      </c>
      <c r="T1937" s="45">
        <v>0</v>
      </c>
      <c r="U1937" s="45">
        <v>1397</v>
      </c>
      <c r="V1937" s="45">
        <v>0</v>
      </c>
      <c r="W1937" s="45">
        <v>0</v>
      </c>
      <c r="X1937" s="45">
        <v>0</v>
      </c>
      <c r="Y1937" s="45">
        <v>0</v>
      </c>
      <c r="Z1937" s="45">
        <v>0</v>
      </c>
      <c r="AA1937" s="45">
        <v>0</v>
      </c>
      <c r="AB1937" s="45">
        <v>0</v>
      </c>
      <c r="AC1937" s="45">
        <v>0</v>
      </c>
      <c r="AD1937" s="45">
        <v>0</v>
      </c>
      <c r="AE1937" s="45">
        <v>0</v>
      </c>
      <c r="AF1937" s="45">
        <v>0</v>
      </c>
      <c r="AG1937" s="45">
        <v>0</v>
      </c>
      <c r="AH1937" s="45">
        <v>0</v>
      </c>
      <c r="AI1937" s="45">
        <v>0</v>
      </c>
      <c r="AJ1937" s="45">
        <v>0</v>
      </c>
      <c r="AK1937" s="45">
        <v>0</v>
      </c>
      <c r="AL1937" s="45">
        <v>0</v>
      </c>
      <c r="AM1937" s="57" t="str">
        <f>I1937-J1937-K1937-L1937-M1937-N1937-O1937-P1937-Q1937-R1937-S1937-T1937-U1937-V1937-W1937-X1937-Y1937-Z1937-AA1937-AB1937-AC1937-AD1937-AE1937-AF1937-AG1937+AH1937-AI1937+AJ1937+AK1937-AL1937</f>
        <v>0</v>
      </c>
      <c r="AN1937" s="45"/>
    </row>
    <row r="1938" spans="1:41">
      <c r="A1938" s="45">
        <v>1910</v>
      </c>
      <c r="B1938" s="45" t="s">
        <v>7385</v>
      </c>
      <c r="C1938" s="49" t="s">
        <v>7386</v>
      </c>
      <c r="D1938" s="53" t="s">
        <v>73</v>
      </c>
      <c r="E1938" s="45" t="s">
        <v>7377</v>
      </c>
      <c r="F1938" s="45" t="s">
        <v>6816</v>
      </c>
      <c r="G1938" s="45">
        <v>3</v>
      </c>
      <c r="H1938" s="53" t="s">
        <v>7387</v>
      </c>
      <c r="I1938" s="45">
        <v>525000</v>
      </c>
      <c r="J1938" s="45">
        <v>0</v>
      </c>
      <c r="K1938" s="45">
        <v>22000</v>
      </c>
      <c r="L1938" s="45">
        <v>0</v>
      </c>
      <c r="M1938" s="45">
        <v>0</v>
      </c>
      <c r="N1938" s="45">
        <v>0</v>
      </c>
      <c r="O1938" s="45">
        <v>0</v>
      </c>
      <c r="P1938" s="45">
        <v>0</v>
      </c>
      <c r="Q1938" s="45">
        <v>0</v>
      </c>
      <c r="R1938" s="45">
        <v>0</v>
      </c>
      <c r="S1938" s="45">
        <v>0</v>
      </c>
      <c r="T1938" s="45">
        <v>0</v>
      </c>
      <c r="U1938" s="45">
        <v>1397</v>
      </c>
      <c r="V1938" s="45">
        <v>0</v>
      </c>
      <c r="W1938" s="45">
        <v>0</v>
      </c>
      <c r="X1938" s="45">
        <v>0</v>
      </c>
      <c r="Y1938" s="45">
        <v>0</v>
      </c>
      <c r="Z1938" s="45">
        <v>0</v>
      </c>
      <c r="AA1938" s="45">
        <v>0</v>
      </c>
      <c r="AB1938" s="45">
        <v>0</v>
      </c>
      <c r="AC1938" s="45">
        <v>0</v>
      </c>
      <c r="AD1938" s="45">
        <v>0</v>
      </c>
      <c r="AE1938" s="45">
        <v>0</v>
      </c>
      <c r="AF1938" s="45">
        <v>0</v>
      </c>
      <c r="AG1938" s="45">
        <v>0</v>
      </c>
      <c r="AH1938" s="45">
        <v>0</v>
      </c>
      <c r="AI1938" s="45">
        <v>0</v>
      </c>
      <c r="AJ1938" s="45">
        <v>0</v>
      </c>
      <c r="AK1938" s="45">
        <v>0</v>
      </c>
      <c r="AL1938" s="45">
        <v>0</v>
      </c>
      <c r="AM1938" s="57" t="str">
        <f>I1938-J1938-K1938-L1938-M1938-N1938-O1938-P1938-Q1938-R1938-S1938-T1938-U1938-V1938-W1938-X1938-Y1938-Z1938-AA1938-AB1938-AC1938-AD1938-AE1938-AF1938-AG1938+AH1938-AI1938+AJ1938+AK1938-AL1938</f>
        <v>0</v>
      </c>
      <c r="AN1938" s="45"/>
    </row>
    <row r="1939" spans="1:41">
      <c r="A1939" s="45">
        <v>1911</v>
      </c>
      <c r="B1939" s="45" t="s">
        <v>7388</v>
      </c>
      <c r="C1939" s="49" t="s">
        <v>7389</v>
      </c>
      <c r="D1939" s="53" t="s">
        <v>73</v>
      </c>
      <c r="E1939" s="45" t="s">
        <v>7390</v>
      </c>
      <c r="F1939" s="45" t="s">
        <v>6335</v>
      </c>
      <c r="G1939" s="45">
        <v>4</v>
      </c>
      <c r="H1939" s="53" t="s">
        <v>7391</v>
      </c>
      <c r="I1939" s="45">
        <v>365000</v>
      </c>
      <c r="J1939" s="45">
        <v>0</v>
      </c>
      <c r="K1939" s="45">
        <v>25000</v>
      </c>
      <c r="L1939" s="45">
        <v>0</v>
      </c>
      <c r="M1939" s="45">
        <v>0</v>
      </c>
      <c r="N1939" s="45">
        <v>0</v>
      </c>
      <c r="O1939" s="45">
        <v>0</v>
      </c>
      <c r="P1939" s="45">
        <v>0</v>
      </c>
      <c r="Q1939" s="45">
        <v>0</v>
      </c>
      <c r="R1939" s="45">
        <v>0</v>
      </c>
      <c r="S1939" s="45">
        <v>0</v>
      </c>
      <c r="T1939" s="45">
        <v>0</v>
      </c>
      <c r="U1939" s="45">
        <v>1587</v>
      </c>
      <c r="V1939" s="45">
        <v>0</v>
      </c>
      <c r="W1939" s="45">
        <v>0</v>
      </c>
      <c r="X1939" s="45">
        <v>0</v>
      </c>
      <c r="Y1939" s="45">
        <v>0</v>
      </c>
      <c r="Z1939" s="45">
        <v>0</v>
      </c>
      <c r="AA1939" s="45">
        <v>0</v>
      </c>
      <c r="AB1939" s="45">
        <v>0</v>
      </c>
      <c r="AC1939" s="45">
        <v>0</v>
      </c>
      <c r="AD1939" s="45">
        <v>0</v>
      </c>
      <c r="AE1939" s="45">
        <v>0</v>
      </c>
      <c r="AF1939" s="45">
        <v>0</v>
      </c>
      <c r="AG1939" s="45">
        <v>0</v>
      </c>
      <c r="AH1939" s="45">
        <v>0</v>
      </c>
      <c r="AI1939" s="45">
        <v>0</v>
      </c>
      <c r="AJ1939" s="45">
        <v>0</v>
      </c>
      <c r="AK1939" s="45">
        <v>0</v>
      </c>
      <c r="AL1939" s="45">
        <v>0</v>
      </c>
      <c r="AM1939" s="57" t="str">
        <f>I1939-J1939-K1939-L1939-M1939-N1939-O1939-P1939-Q1939-R1939-S1939-T1939-U1939-V1939-W1939-X1939-Y1939-Z1939-AA1939-AB1939-AC1939-AD1939-AE1939-AF1939-AG1939+AH1939-AI1939+AJ1939+AK1939-AL1939</f>
        <v>0</v>
      </c>
      <c r="AN1939" s="45"/>
    </row>
    <row r="1940" spans="1:41">
      <c r="A1940" s="45">
        <v>1912</v>
      </c>
      <c r="B1940" s="45" t="s">
        <v>7392</v>
      </c>
      <c r="C1940" s="49" t="s">
        <v>7393</v>
      </c>
      <c r="D1940" s="53" t="s">
        <v>73</v>
      </c>
      <c r="E1940" s="45" t="s">
        <v>7394</v>
      </c>
      <c r="F1940" s="45" t="s">
        <v>7395</v>
      </c>
      <c r="G1940" s="45">
        <v>3</v>
      </c>
      <c r="H1940" s="53" t="s">
        <v>7396</v>
      </c>
      <c r="I1940" s="45">
        <v>354000</v>
      </c>
      <c r="J1940" s="45">
        <v>0</v>
      </c>
      <c r="K1940" s="45">
        <v>22000</v>
      </c>
      <c r="L1940" s="45">
        <v>0</v>
      </c>
      <c r="M1940" s="45">
        <v>0</v>
      </c>
      <c r="N1940" s="45">
        <v>0</v>
      </c>
      <c r="O1940" s="45">
        <v>0</v>
      </c>
      <c r="P1940" s="45">
        <v>0</v>
      </c>
      <c r="Q1940" s="45">
        <v>0</v>
      </c>
      <c r="R1940" s="45">
        <v>0</v>
      </c>
      <c r="S1940" s="45">
        <v>0</v>
      </c>
      <c r="T1940" s="45">
        <v>0</v>
      </c>
      <c r="U1940" s="45">
        <v>1397</v>
      </c>
      <c r="V1940" s="45">
        <v>0</v>
      </c>
      <c r="W1940" s="45">
        <v>0</v>
      </c>
      <c r="X1940" s="45">
        <v>0</v>
      </c>
      <c r="Y1940" s="45">
        <v>0</v>
      </c>
      <c r="Z1940" s="45">
        <v>0</v>
      </c>
      <c r="AA1940" s="45">
        <v>0</v>
      </c>
      <c r="AB1940" s="45">
        <v>0</v>
      </c>
      <c r="AC1940" s="45">
        <v>0</v>
      </c>
      <c r="AD1940" s="45">
        <v>0</v>
      </c>
      <c r="AE1940" s="45">
        <v>0</v>
      </c>
      <c r="AF1940" s="45">
        <v>0</v>
      </c>
      <c r="AG1940" s="45">
        <v>0</v>
      </c>
      <c r="AH1940" s="45">
        <v>0</v>
      </c>
      <c r="AI1940" s="45">
        <v>0</v>
      </c>
      <c r="AJ1940" s="45">
        <v>0</v>
      </c>
      <c r="AK1940" s="45">
        <v>0</v>
      </c>
      <c r="AL1940" s="45">
        <v>0</v>
      </c>
      <c r="AM1940" s="57" t="str">
        <f>I1940-J1940-K1940-L1940-M1940-N1940-O1940-P1940-Q1940-R1940-S1940-T1940-U1940-V1940-W1940-X1940-Y1940-Z1940-AA1940-AB1940-AC1940-AD1940-AE1940-AF1940-AG1940+AH1940-AI1940+AJ1940+AK1940-AL1940</f>
        <v>0</v>
      </c>
      <c r="AN1940" s="45"/>
    </row>
    <row r="1941" spans="1:41">
      <c r="A1941" s="45">
        <v>1913</v>
      </c>
      <c r="B1941" s="45" t="s">
        <v>7397</v>
      </c>
      <c r="C1941" s="49" t="s">
        <v>7398</v>
      </c>
      <c r="D1941" s="53" t="s">
        <v>73</v>
      </c>
      <c r="E1941" s="45" t="s">
        <v>7394</v>
      </c>
      <c r="F1941" s="45" t="s">
        <v>7192</v>
      </c>
      <c r="G1941" s="45">
        <v>5.8</v>
      </c>
      <c r="H1941" s="53" t="s">
        <v>7399</v>
      </c>
      <c r="I1941" s="45">
        <v>634000</v>
      </c>
      <c r="J1941" s="45">
        <v>0</v>
      </c>
      <c r="K1941" s="45">
        <v>31000</v>
      </c>
      <c r="L1941" s="45">
        <v>0</v>
      </c>
      <c r="M1941" s="45">
        <v>0</v>
      </c>
      <c r="N1941" s="45">
        <v>0</v>
      </c>
      <c r="O1941" s="45">
        <v>0</v>
      </c>
      <c r="P1941" s="45">
        <v>0</v>
      </c>
      <c r="Q1941" s="45">
        <v>0</v>
      </c>
      <c r="R1941" s="45">
        <v>0</v>
      </c>
      <c r="S1941" s="45">
        <v>0</v>
      </c>
      <c r="T1941" s="45">
        <v>0</v>
      </c>
      <c r="U1941" s="45">
        <v>1968</v>
      </c>
      <c r="V1941" s="45">
        <v>0</v>
      </c>
      <c r="W1941" s="45">
        <v>0</v>
      </c>
      <c r="X1941" s="45">
        <v>0</v>
      </c>
      <c r="Y1941" s="45">
        <v>0</v>
      </c>
      <c r="Z1941" s="45">
        <v>0</v>
      </c>
      <c r="AA1941" s="45">
        <v>0</v>
      </c>
      <c r="AB1941" s="45">
        <v>0</v>
      </c>
      <c r="AC1941" s="45">
        <v>0</v>
      </c>
      <c r="AD1941" s="45">
        <v>0</v>
      </c>
      <c r="AE1941" s="45">
        <v>0</v>
      </c>
      <c r="AF1941" s="45">
        <v>0</v>
      </c>
      <c r="AG1941" s="45">
        <v>0</v>
      </c>
      <c r="AH1941" s="45">
        <v>0</v>
      </c>
      <c r="AI1941" s="45">
        <v>0</v>
      </c>
      <c r="AJ1941" s="45">
        <v>0</v>
      </c>
      <c r="AK1941" s="45">
        <v>0</v>
      </c>
      <c r="AL1941" s="45">
        <v>0</v>
      </c>
      <c r="AM1941" s="57" t="str">
        <f>I1941-J1941-K1941-L1941-M1941-N1941-O1941-P1941-Q1941-R1941-S1941-T1941-U1941-V1941-W1941-X1941-Y1941-Z1941-AA1941-AB1941-AC1941-AD1941-AE1941-AF1941-AG1941+AH1941-AI1941+AJ1941+AK1941-AL1941</f>
        <v>0</v>
      </c>
      <c r="AN1941" s="45"/>
    </row>
    <row r="1942" spans="1:41">
      <c r="A1942" s="45">
        <v>1914</v>
      </c>
      <c r="B1942" s="45" t="s">
        <v>7400</v>
      </c>
      <c r="C1942" s="49" t="s">
        <v>7401</v>
      </c>
      <c r="D1942" s="53" t="s">
        <v>73</v>
      </c>
      <c r="E1942" s="45" t="s">
        <v>7402</v>
      </c>
      <c r="F1942" s="45" t="s">
        <v>7403</v>
      </c>
      <c r="G1942" s="45">
        <v>9</v>
      </c>
      <c r="H1942" s="53" t="s">
        <v>7404</v>
      </c>
      <c r="I1942" s="45">
        <v>950000</v>
      </c>
      <c r="J1942" s="45">
        <v>0</v>
      </c>
      <c r="K1942" s="45">
        <v>40000</v>
      </c>
      <c r="L1942" s="45">
        <v>0</v>
      </c>
      <c r="M1942" s="45">
        <v>0</v>
      </c>
      <c r="N1942" s="45">
        <v>0</v>
      </c>
      <c r="O1942" s="45">
        <v>0</v>
      </c>
      <c r="P1942" s="45">
        <v>0</v>
      </c>
      <c r="Q1942" s="45">
        <v>0</v>
      </c>
      <c r="R1942" s="45">
        <v>0</v>
      </c>
      <c r="S1942" s="45">
        <v>0</v>
      </c>
      <c r="T1942" s="45">
        <v>0</v>
      </c>
      <c r="U1942" s="45">
        <v>2540</v>
      </c>
      <c r="V1942" s="45">
        <v>0</v>
      </c>
      <c r="W1942" s="45">
        <v>0</v>
      </c>
      <c r="X1942" s="45">
        <v>0</v>
      </c>
      <c r="Y1942" s="45">
        <v>0</v>
      </c>
      <c r="Z1942" s="45">
        <v>0</v>
      </c>
      <c r="AA1942" s="45">
        <v>0</v>
      </c>
      <c r="AB1942" s="45">
        <v>0</v>
      </c>
      <c r="AC1942" s="45">
        <v>0</v>
      </c>
      <c r="AD1942" s="45">
        <v>0</v>
      </c>
      <c r="AE1942" s="45">
        <v>0</v>
      </c>
      <c r="AF1942" s="45">
        <v>0</v>
      </c>
      <c r="AG1942" s="45">
        <v>0</v>
      </c>
      <c r="AH1942" s="45">
        <v>0</v>
      </c>
      <c r="AI1942" s="45">
        <v>0</v>
      </c>
      <c r="AJ1942" s="45">
        <v>0</v>
      </c>
      <c r="AK1942" s="45">
        <v>0</v>
      </c>
      <c r="AL1942" s="45">
        <v>0</v>
      </c>
      <c r="AM1942" s="57" t="str">
        <f>I1942-J1942-K1942-L1942-M1942-N1942-O1942-P1942-Q1942-R1942-S1942-T1942-U1942-V1942-W1942-X1942-Y1942-Z1942-AA1942-AB1942-AC1942-AD1942-AE1942-AF1942-AG1942+AH1942-AI1942+AJ1942+AK1942-AL1942</f>
        <v>0</v>
      </c>
      <c r="AN1942" s="45"/>
    </row>
    <row r="1943" spans="1:41">
      <c r="A1943" s="45">
        <v>1915</v>
      </c>
      <c r="B1943" s="45" t="s">
        <v>7405</v>
      </c>
      <c r="C1943" s="49" t="s">
        <v>7406</v>
      </c>
      <c r="D1943" s="53" t="s">
        <v>73</v>
      </c>
      <c r="E1943" s="45" t="s">
        <v>7402</v>
      </c>
      <c r="F1943" s="45" t="s">
        <v>6975</v>
      </c>
      <c r="G1943" s="45">
        <v>3</v>
      </c>
      <c r="H1943" s="53" t="s">
        <v>7407</v>
      </c>
      <c r="I1943" s="45">
        <v>440000</v>
      </c>
      <c r="J1943" s="45">
        <v>0</v>
      </c>
      <c r="K1943" s="45">
        <v>22000</v>
      </c>
      <c r="L1943" s="45">
        <v>0</v>
      </c>
      <c r="M1943" s="45">
        <v>0</v>
      </c>
      <c r="N1943" s="45">
        <v>0</v>
      </c>
      <c r="O1943" s="45">
        <v>0</v>
      </c>
      <c r="P1943" s="45">
        <v>0</v>
      </c>
      <c r="Q1943" s="45">
        <v>0</v>
      </c>
      <c r="R1943" s="45">
        <v>0</v>
      </c>
      <c r="S1943" s="45">
        <v>0</v>
      </c>
      <c r="T1943" s="45">
        <v>0</v>
      </c>
      <c r="U1943" s="45">
        <v>1397</v>
      </c>
      <c r="V1943" s="45">
        <v>0</v>
      </c>
      <c r="W1943" s="45">
        <v>0</v>
      </c>
      <c r="X1943" s="45">
        <v>0</v>
      </c>
      <c r="Y1943" s="45">
        <v>0</v>
      </c>
      <c r="Z1943" s="45">
        <v>0</v>
      </c>
      <c r="AA1943" s="45">
        <v>0</v>
      </c>
      <c r="AB1943" s="45">
        <v>0</v>
      </c>
      <c r="AC1943" s="45">
        <v>0</v>
      </c>
      <c r="AD1943" s="45">
        <v>0</v>
      </c>
      <c r="AE1943" s="45">
        <v>0</v>
      </c>
      <c r="AF1943" s="45">
        <v>0</v>
      </c>
      <c r="AG1943" s="45">
        <v>0</v>
      </c>
      <c r="AH1943" s="45">
        <v>0</v>
      </c>
      <c r="AI1943" s="45">
        <v>0</v>
      </c>
      <c r="AJ1943" s="45">
        <v>0</v>
      </c>
      <c r="AK1943" s="45">
        <v>0</v>
      </c>
      <c r="AL1943" s="45">
        <v>0</v>
      </c>
      <c r="AM1943" s="57" t="str">
        <f>I1943-J1943-K1943-L1943-M1943-N1943-O1943-P1943-Q1943-R1943-S1943-T1943-U1943-V1943-W1943-X1943-Y1943-Z1943-AA1943-AB1943-AC1943-AD1943-AE1943-AF1943-AG1943+AH1943-AI1943+AJ1943+AK1943-AL1943</f>
        <v>0</v>
      </c>
      <c r="AN1943" s="45"/>
    </row>
    <row r="1944" spans="1:41">
      <c r="A1944" s="45">
        <v>1916</v>
      </c>
      <c r="B1944" s="45" t="s">
        <v>7408</v>
      </c>
      <c r="C1944" s="49" t="s">
        <v>7409</v>
      </c>
      <c r="D1944" s="53" t="s">
        <v>73</v>
      </c>
      <c r="E1944" s="45" t="s">
        <v>7402</v>
      </c>
      <c r="F1944" s="45" t="s">
        <v>7410</v>
      </c>
      <c r="G1944" s="45">
        <v>3</v>
      </c>
      <c r="H1944" s="53" t="s">
        <v>7411</v>
      </c>
      <c r="I1944" s="45">
        <v>534000</v>
      </c>
      <c r="J1944" s="45">
        <v>0</v>
      </c>
      <c r="K1944" s="45">
        <v>22000</v>
      </c>
      <c r="L1944" s="45">
        <v>0</v>
      </c>
      <c r="M1944" s="45">
        <v>0</v>
      </c>
      <c r="N1944" s="45">
        <v>0</v>
      </c>
      <c r="O1944" s="45">
        <v>0</v>
      </c>
      <c r="P1944" s="45">
        <v>0</v>
      </c>
      <c r="Q1944" s="45">
        <v>0</v>
      </c>
      <c r="R1944" s="45">
        <v>0</v>
      </c>
      <c r="S1944" s="45">
        <v>0</v>
      </c>
      <c r="T1944" s="45">
        <v>0</v>
      </c>
      <c r="U1944" s="45">
        <v>1397</v>
      </c>
      <c r="V1944" s="45">
        <v>0</v>
      </c>
      <c r="W1944" s="45">
        <v>0</v>
      </c>
      <c r="X1944" s="45">
        <v>0</v>
      </c>
      <c r="Y1944" s="45">
        <v>0</v>
      </c>
      <c r="Z1944" s="45">
        <v>0</v>
      </c>
      <c r="AA1944" s="45">
        <v>0</v>
      </c>
      <c r="AB1944" s="45">
        <v>0</v>
      </c>
      <c r="AC1944" s="45">
        <v>0</v>
      </c>
      <c r="AD1944" s="45">
        <v>0</v>
      </c>
      <c r="AE1944" s="45">
        <v>0</v>
      </c>
      <c r="AF1944" s="45">
        <v>0</v>
      </c>
      <c r="AG1944" s="45">
        <v>0</v>
      </c>
      <c r="AH1944" s="45">
        <v>0</v>
      </c>
      <c r="AI1944" s="45">
        <v>0</v>
      </c>
      <c r="AJ1944" s="45">
        <v>0</v>
      </c>
      <c r="AK1944" s="45">
        <v>0</v>
      </c>
      <c r="AL1944" s="45">
        <v>0</v>
      </c>
      <c r="AM1944" s="57" t="str">
        <f>I1944-J1944-K1944-L1944-M1944-N1944-O1944-P1944-Q1944-R1944-S1944-T1944-U1944-V1944-W1944-X1944-Y1944-Z1944-AA1944-AB1944-AC1944-AD1944-AE1944-AF1944-AG1944+AH1944-AI1944+AJ1944+AK1944-AL1944</f>
        <v>0</v>
      </c>
      <c r="AN1944" s="45"/>
    </row>
    <row r="1945" spans="1:41">
      <c r="A1945" s="45">
        <v>1917</v>
      </c>
      <c r="B1945" s="45" t="s">
        <v>7412</v>
      </c>
      <c r="C1945" s="49" t="s">
        <v>7413</v>
      </c>
      <c r="D1945" s="53" t="s">
        <v>73</v>
      </c>
      <c r="E1945" s="45" t="s">
        <v>7402</v>
      </c>
      <c r="F1945" s="45" t="s">
        <v>7102</v>
      </c>
      <c r="G1945" s="45">
        <v>3</v>
      </c>
      <c r="H1945" s="53" t="s">
        <v>4221</v>
      </c>
      <c r="I1945" s="45">
        <v>680000</v>
      </c>
      <c r="J1945" s="45">
        <v>0</v>
      </c>
      <c r="K1945" s="45">
        <v>22000</v>
      </c>
      <c r="L1945" s="45">
        <v>0</v>
      </c>
      <c r="M1945" s="45">
        <v>0</v>
      </c>
      <c r="N1945" s="45">
        <v>0</v>
      </c>
      <c r="O1945" s="45">
        <v>0</v>
      </c>
      <c r="P1945" s="45">
        <v>0</v>
      </c>
      <c r="Q1945" s="45">
        <v>0</v>
      </c>
      <c r="R1945" s="45">
        <v>0</v>
      </c>
      <c r="S1945" s="45">
        <v>0</v>
      </c>
      <c r="T1945" s="45">
        <v>0</v>
      </c>
      <c r="U1945" s="45">
        <v>1397</v>
      </c>
      <c r="V1945" s="45">
        <v>0</v>
      </c>
      <c r="W1945" s="45">
        <v>0</v>
      </c>
      <c r="X1945" s="45">
        <v>0</v>
      </c>
      <c r="Y1945" s="45">
        <v>0</v>
      </c>
      <c r="Z1945" s="45">
        <v>0</v>
      </c>
      <c r="AA1945" s="45">
        <v>0</v>
      </c>
      <c r="AB1945" s="45">
        <v>0</v>
      </c>
      <c r="AC1945" s="45">
        <v>0</v>
      </c>
      <c r="AD1945" s="45">
        <v>0</v>
      </c>
      <c r="AE1945" s="45">
        <v>0</v>
      </c>
      <c r="AF1945" s="45">
        <v>0</v>
      </c>
      <c r="AG1945" s="45">
        <v>0</v>
      </c>
      <c r="AH1945" s="45">
        <v>0</v>
      </c>
      <c r="AI1945" s="45">
        <v>0</v>
      </c>
      <c r="AJ1945" s="45">
        <v>0</v>
      </c>
      <c r="AK1945" s="45">
        <v>0</v>
      </c>
      <c r="AL1945" s="45">
        <v>0</v>
      </c>
      <c r="AM1945" s="57" t="str">
        <f>I1945-J1945-K1945-L1945-M1945-N1945-O1945-P1945-Q1945-R1945-S1945-T1945-U1945-V1945-W1945-X1945-Y1945-Z1945-AA1945-AB1945-AC1945-AD1945-AE1945-AF1945-AG1945+AH1945-AI1945+AJ1945+AK1945-AL1945</f>
        <v>0</v>
      </c>
      <c r="AN1945" s="45"/>
    </row>
    <row r="1946" spans="1:41">
      <c r="A1946" s="45">
        <v>1918</v>
      </c>
      <c r="B1946" s="45" t="s">
        <v>7414</v>
      </c>
      <c r="C1946" s="49" t="s">
        <v>7415</v>
      </c>
      <c r="D1946" s="53" t="s">
        <v>73</v>
      </c>
      <c r="E1946" s="45" t="s">
        <v>7402</v>
      </c>
      <c r="F1946" s="45" t="s">
        <v>7416</v>
      </c>
      <c r="G1946" s="45">
        <v>4</v>
      </c>
      <c r="H1946" s="53" t="s">
        <v>7417</v>
      </c>
      <c r="I1946" s="45">
        <v>890000</v>
      </c>
      <c r="J1946" s="45">
        <v>0</v>
      </c>
      <c r="K1946" s="45">
        <v>25000</v>
      </c>
      <c r="L1946" s="45">
        <v>0</v>
      </c>
      <c r="M1946" s="45">
        <v>0</v>
      </c>
      <c r="N1946" s="45">
        <v>0</v>
      </c>
      <c r="O1946" s="45">
        <v>0</v>
      </c>
      <c r="P1946" s="45">
        <v>0</v>
      </c>
      <c r="Q1946" s="45">
        <v>0</v>
      </c>
      <c r="R1946" s="45">
        <v>0</v>
      </c>
      <c r="S1946" s="45">
        <v>0</v>
      </c>
      <c r="T1946" s="45">
        <v>0</v>
      </c>
      <c r="U1946" s="45">
        <v>1587</v>
      </c>
      <c r="V1946" s="45">
        <v>0</v>
      </c>
      <c r="W1946" s="45">
        <v>0</v>
      </c>
      <c r="X1946" s="45">
        <v>0</v>
      </c>
      <c r="Y1946" s="45">
        <v>0</v>
      </c>
      <c r="Z1946" s="45">
        <v>0</v>
      </c>
      <c r="AA1946" s="45">
        <v>0</v>
      </c>
      <c r="AB1946" s="45">
        <v>0</v>
      </c>
      <c r="AC1946" s="45">
        <v>0</v>
      </c>
      <c r="AD1946" s="45">
        <v>0</v>
      </c>
      <c r="AE1946" s="45">
        <v>0</v>
      </c>
      <c r="AF1946" s="45">
        <v>0</v>
      </c>
      <c r="AG1946" s="45">
        <v>0</v>
      </c>
      <c r="AH1946" s="45">
        <v>0</v>
      </c>
      <c r="AI1946" s="45">
        <v>0</v>
      </c>
      <c r="AJ1946" s="45">
        <v>0</v>
      </c>
      <c r="AK1946" s="45">
        <v>0</v>
      </c>
      <c r="AL1946" s="45">
        <v>0</v>
      </c>
      <c r="AM1946" s="57" t="str">
        <f>I1946-J1946-K1946-L1946-M1946-N1946-O1946-P1946-Q1946-R1946-S1946-T1946-U1946-V1946-W1946-X1946-Y1946-Z1946-AA1946-AB1946-AC1946-AD1946-AE1946-AF1946-AG1946+AH1946-AI1946+AJ1946+AK1946-AL1946</f>
        <v>0</v>
      </c>
      <c r="AN1946" s="45"/>
    </row>
    <row r="1947" spans="1:41">
      <c r="A1947" s="45">
        <v>1919</v>
      </c>
      <c r="B1947" s="45" t="s">
        <v>7418</v>
      </c>
      <c r="C1947" s="49" t="s">
        <v>7419</v>
      </c>
      <c r="D1947" s="53" t="s">
        <v>73</v>
      </c>
      <c r="E1947" s="45" t="s">
        <v>7402</v>
      </c>
      <c r="F1947" s="45" t="s">
        <v>6816</v>
      </c>
      <c r="G1947" s="45">
        <v>2</v>
      </c>
      <c r="H1947" s="53" t="s">
        <v>7420</v>
      </c>
      <c r="I1947" s="45">
        <v>250000</v>
      </c>
      <c r="J1947" s="45">
        <v>0</v>
      </c>
      <c r="K1947" s="45">
        <v>22000</v>
      </c>
      <c r="L1947" s="45">
        <v>0</v>
      </c>
      <c r="M1947" s="45">
        <v>0</v>
      </c>
      <c r="N1947" s="45">
        <v>0</v>
      </c>
      <c r="O1947" s="45">
        <v>0</v>
      </c>
      <c r="P1947" s="45">
        <v>0</v>
      </c>
      <c r="Q1947" s="45">
        <v>0</v>
      </c>
      <c r="R1947" s="45">
        <v>0</v>
      </c>
      <c r="S1947" s="45">
        <v>0</v>
      </c>
      <c r="T1947" s="45">
        <v>0</v>
      </c>
      <c r="U1947" s="45">
        <v>1397</v>
      </c>
      <c r="V1947" s="45">
        <v>0</v>
      </c>
      <c r="W1947" s="45">
        <v>0</v>
      </c>
      <c r="X1947" s="45">
        <v>0</v>
      </c>
      <c r="Y1947" s="45">
        <v>0</v>
      </c>
      <c r="Z1947" s="45">
        <v>0</v>
      </c>
      <c r="AA1947" s="45">
        <v>0</v>
      </c>
      <c r="AB1947" s="45">
        <v>0</v>
      </c>
      <c r="AC1947" s="45">
        <v>0</v>
      </c>
      <c r="AD1947" s="45">
        <v>0</v>
      </c>
      <c r="AE1947" s="45">
        <v>0</v>
      </c>
      <c r="AF1947" s="45">
        <v>0</v>
      </c>
      <c r="AG1947" s="45">
        <v>0</v>
      </c>
      <c r="AH1947" s="45">
        <v>0</v>
      </c>
      <c r="AI1947" s="45">
        <v>0</v>
      </c>
      <c r="AJ1947" s="45">
        <v>0</v>
      </c>
      <c r="AK1947" s="45">
        <v>0</v>
      </c>
      <c r="AL1947" s="45">
        <v>0</v>
      </c>
      <c r="AM1947" s="57" t="str">
        <f>I1947-J1947-K1947-L1947-M1947-N1947-O1947-P1947-Q1947-R1947-S1947-T1947-U1947-V1947-W1947-X1947-Y1947-Z1947-AA1947-AB1947-AC1947-AD1947-AE1947-AF1947-AG1947+AH1947-AI1947+AJ1947+AK1947-AL1947</f>
        <v>0</v>
      </c>
      <c r="AN1947" s="45"/>
    </row>
    <row r="1948" spans="1:41">
      <c r="A1948" s="45">
        <v>1920</v>
      </c>
      <c r="B1948" s="45" t="s">
        <v>7421</v>
      </c>
      <c r="C1948" s="49" t="s">
        <v>7422</v>
      </c>
      <c r="D1948" s="53" t="s">
        <v>73</v>
      </c>
      <c r="E1948" s="45" t="s">
        <v>7402</v>
      </c>
      <c r="F1948" s="45" t="s">
        <v>6782</v>
      </c>
      <c r="G1948" s="45">
        <v>2</v>
      </c>
      <c r="H1948" s="53" t="s">
        <v>7423</v>
      </c>
      <c r="I1948" s="45">
        <v>270000</v>
      </c>
      <c r="J1948" s="45">
        <v>0</v>
      </c>
      <c r="K1948" s="45">
        <v>22000</v>
      </c>
      <c r="L1948" s="45">
        <v>0</v>
      </c>
      <c r="M1948" s="45">
        <v>0</v>
      </c>
      <c r="N1948" s="45">
        <v>0</v>
      </c>
      <c r="O1948" s="45">
        <v>0</v>
      </c>
      <c r="P1948" s="45">
        <v>0</v>
      </c>
      <c r="Q1948" s="45">
        <v>0</v>
      </c>
      <c r="R1948" s="45">
        <v>0</v>
      </c>
      <c r="S1948" s="45">
        <v>0</v>
      </c>
      <c r="T1948" s="45">
        <v>0</v>
      </c>
      <c r="U1948" s="45">
        <v>1397</v>
      </c>
      <c r="V1948" s="45">
        <v>0</v>
      </c>
      <c r="W1948" s="45">
        <v>0</v>
      </c>
      <c r="X1948" s="45">
        <v>0</v>
      </c>
      <c r="Y1948" s="45">
        <v>0</v>
      </c>
      <c r="Z1948" s="45">
        <v>0</v>
      </c>
      <c r="AA1948" s="45">
        <v>0</v>
      </c>
      <c r="AB1948" s="45">
        <v>0</v>
      </c>
      <c r="AC1948" s="45">
        <v>0</v>
      </c>
      <c r="AD1948" s="45">
        <v>0</v>
      </c>
      <c r="AE1948" s="45">
        <v>0</v>
      </c>
      <c r="AF1948" s="45">
        <v>0</v>
      </c>
      <c r="AG1948" s="45">
        <v>0</v>
      </c>
      <c r="AH1948" s="45">
        <v>0</v>
      </c>
      <c r="AI1948" s="45">
        <v>0</v>
      </c>
      <c r="AJ1948" s="45">
        <v>0</v>
      </c>
      <c r="AK1948" s="45">
        <v>0</v>
      </c>
      <c r="AL1948" s="45">
        <v>0</v>
      </c>
      <c r="AM1948" s="57" t="str">
        <f>I1948-J1948-K1948-L1948-M1948-N1948-O1948-P1948-Q1948-R1948-S1948-T1948-U1948-V1948-W1948-X1948-Y1948-Z1948-AA1948-AB1948-AC1948-AD1948-AE1948-AF1948-AG1948+AH1948-AI1948+AJ1948+AK1948-AL1948</f>
        <v>0</v>
      </c>
      <c r="AN1948" s="45"/>
    </row>
    <row r="1949" spans="1:41">
      <c r="A1949" s="45">
        <v>1921</v>
      </c>
      <c r="B1949" s="45" t="s">
        <v>7424</v>
      </c>
      <c r="C1949" s="49" t="s">
        <v>7425</v>
      </c>
      <c r="D1949" s="53" t="s">
        <v>73</v>
      </c>
      <c r="E1949" s="45" t="s">
        <v>7402</v>
      </c>
      <c r="F1949" s="45" t="s">
        <v>7426</v>
      </c>
      <c r="G1949" s="45">
        <v>5</v>
      </c>
      <c r="H1949" s="53" t="s">
        <v>7427</v>
      </c>
      <c r="I1949" s="45">
        <v>549000</v>
      </c>
      <c r="J1949" s="45">
        <v>0</v>
      </c>
      <c r="K1949" s="45">
        <v>27000</v>
      </c>
      <c r="L1949" s="45">
        <v>0</v>
      </c>
      <c r="M1949" s="45">
        <v>0</v>
      </c>
      <c r="N1949" s="45">
        <v>0</v>
      </c>
      <c r="O1949" s="45">
        <v>0</v>
      </c>
      <c r="P1949" s="45">
        <v>0</v>
      </c>
      <c r="Q1949" s="45">
        <v>0</v>
      </c>
      <c r="R1949" s="45">
        <v>0</v>
      </c>
      <c r="S1949" s="45">
        <v>0</v>
      </c>
      <c r="T1949" s="45">
        <v>0</v>
      </c>
      <c r="U1949" s="45">
        <v>1714</v>
      </c>
      <c r="V1949" s="45">
        <v>0</v>
      </c>
      <c r="W1949" s="45">
        <v>0</v>
      </c>
      <c r="X1949" s="45">
        <v>0</v>
      </c>
      <c r="Y1949" s="45">
        <v>0</v>
      </c>
      <c r="Z1949" s="45">
        <v>0</v>
      </c>
      <c r="AA1949" s="45">
        <v>0</v>
      </c>
      <c r="AB1949" s="45">
        <v>0</v>
      </c>
      <c r="AC1949" s="45">
        <v>0</v>
      </c>
      <c r="AD1949" s="45">
        <v>0</v>
      </c>
      <c r="AE1949" s="45">
        <v>0</v>
      </c>
      <c r="AF1949" s="45">
        <v>0</v>
      </c>
      <c r="AG1949" s="45">
        <v>0</v>
      </c>
      <c r="AH1949" s="45">
        <v>0</v>
      </c>
      <c r="AI1949" s="45">
        <v>0</v>
      </c>
      <c r="AJ1949" s="45">
        <v>0</v>
      </c>
      <c r="AK1949" s="45">
        <v>0</v>
      </c>
      <c r="AL1949" s="45">
        <v>0</v>
      </c>
      <c r="AM1949" s="57" t="str">
        <f>I1949-J1949-K1949-L1949-M1949-N1949-O1949-P1949-Q1949-R1949-S1949-T1949-U1949-V1949-W1949-X1949-Y1949-Z1949-AA1949-AB1949-AC1949-AD1949-AE1949-AF1949-AG1949+AH1949-AI1949+AJ1949+AK1949-AL1949</f>
        <v>0</v>
      </c>
      <c r="AN1949" s="45"/>
    </row>
    <row r="1950" spans="1:41">
      <c r="A1950" s="45">
        <v>1922</v>
      </c>
      <c r="B1950" s="45" t="s">
        <v>7428</v>
      </c>
      <c r="C1950" s="49" t="s">
        <v>7429</v>
      </c>
      <c r="D1950" s="53" t="s">
        <v>73</v>
      </c>
      <c r="E1950" s="45" t="s">
        <v>7430</v>
      </c>
      <c r="F1950" s="45" t="s">
        <v>2101</v>
      </c>
      <c r="G1950" s="45">
        <v>7</v>
      </c>
      <c r="H1950" s="53" t="s">
        <v>7431</v>
      </c>
      <c r="I1950" s="45">
        <v>1365000</v>
      </c>
      <c r="J1950" s="45">
        <v>0</v>
      </c>
      <c r="K1950" s="45">
        <v>35000</v>
      </c>
      <c r="L1950" s="45">
        <v>0</v>
      </c>
      <c r="M1950" s="45">
        <v>0</v>
      </c>
      <c r="N1950" s="45">
        <v>0</v>
      </c>
      <c r="O1950" s="45">
        <v>0</v>
      </c>
      <c r="P1950" s="45">
        <v>0</v>
      </c>
      <c r="Q1950" s="45">
        <v>0</v>
      </c>
      <c r="R1950" s="45">
        <v>0</v>
      </c>
      <c r="S1950" s="45">
        <v>0</v>
      </c>
      <c r="T1950" s="45">
        <v>0</v>
      </c>
      <c r="U1950" s="45">
        <v>2222</v>
      </c>
      <c r="V1950" s="45">
        <v>0</v>
      </c>
      <c r="W1950" s="45">
        <v>0</v>
      </c>
      <c r="X1950" s="45">
        <v>0</v>
      </c>
      <c r="Y1950" s="45">
        <v>0</v>
      </c>
      <c r="Z1950" s="45">
        <v>0</v>
      </c>
      <c r="AA1950" s="45">
        <v>0</v>
      </c>
      <c r="AB1950" s="45">
        <v>0</v>
      </c>
      <c r="AC1950" s="45">
        <v>0</v>
      </c>
      <c r="AD1950" s="45">
        <v>0</v>
      </c>
      <c r="AE1950" s="45">
        <v>0</v>
      </c>
      <c r="AF1950" s="45">
        <v>0</v>
      </c>
      <c r="AG1950" s="45">
        <v>0</v>
      </c>
      <c r="AH1950" s="45">
        <v>0</v>
      </c>
      <c r="AI1950" s="45">
        <v>0</v>
      </c>
      <c r="AJ1950" s="45">
        <v>0</v>
      </c>
      <c r="AK1950" s="45">
        <v>0</v>
      </c>
      <c r="AL1950" s="45">
        <v>0</v>
      </c>
      <c r="AM1950" s="57" t="str">
        <f>I1950-J1950-K1950-L1950-M1950-N1950-O1950-P1950-Q1950-R1950-S1950-T1950-U1950-V1950-W1950-X1950-Y1950-Z1950-AA1950-AB1950-AC1950-AD1950-AE1950-AF1950-AG1950+AH1950-AI1950+AJ1950+AK1950-AL1950</f>
        <v>0</v>
      </c>
      <c r="AN1950" s="45"/>
    </row>
    <row r="1951" spans="1:41">
      <c r="A1951" s="45">
        <v>1923</v>
      </c>
      <c r="B1951" s="45" t="s">
        <v>7432</v>
      </c>
      <c r="C1951" s="49" t="s">
        <v>7433</v>
      </c>
      <c r="D1951" s="53" t="s">
        <v>73</v>
      </c>
      <c r="E1951" s="45" t="s">
        <v>7430</v>
      </c>
      <c r="F1951" s="45" t="s">
        <v>7434</v>
      </c>
      <c r="G1951" s="45">
        <v>5.8</v>
      </c>
      <c r="H1951" s="53" t="s">
        <v>7435</v>
      </c>
      <c r="I1951" s="45">
        <v>634000</v>
      </c>
      <c r="J1951" s="45">
        <v>0</v>
      </c>
      <c r="K1951" s="45">
        <v>31000</v>
      </c>
      <c r="L1951" s="45">
        <v>0</v>
      </c>
      <c r="M1951" s="45">
        <v>0</v>
      </c>
      <c r="N1951" s="45">
        <v>0</v>
      </c>
      <c r="O1951" s="45">
        <v>0</v>
      </c>
      <c r="P1951" s="45">
        <v>0</v>
      </c>
      <c r="Q1951" s="45">
        <v>0</v>
      </c>
      <c r="R1951" s="45">
        <v>0</v>
      </c>
      <c r="S1951" s="45">
        <v>0</v>
      </c>
      <c r="T1951" s="45">
        <v>0</v>
      </c>
      <c r="U1951" s="45">
        <v>1968</v>
      </c>
      <c r="V1951" s="45">
        <v>0</v>
      </c>
      <c r="W1951" s="45">
        <v>0</v>
      </c>
      <c r="X1951" s="45">
        <v>0</v>
      </c>
      <c r="Y1951" s="45">
        <v>0</v>
      </c>
      <c r="Z1951" s="45">
        <v>0</v>
      </c>
      <c r="AA1951" s="45">
        <v>0</v>
      </c>
      <c r="AB1951" s="45">
        <v>0</v>
      </c>
      <c r="AC1951" s="45">
        <v>0</v>
      </c>
      <c r="AD1951" s="45">
        <v>0</v>
      </c>
      <c r="AE1951" s="45">
        <v>0</v>
      </c>
      <c r="AF1951" s="45">
        <v>0</v>
      </c>
      <c r="AG1951" s="45">
        <v>0</v>
      </c>
      <c r="AH1951" s="45">
        <v>0</v>
      </c>
      <c r="AI1951" s="45">
        <v>0</v>
      </c>
      <c r="AJ1951" s="45">
        <v>0</v>
      </c>
      <c r="AK1951" s="45">
        <v>0</v>
      </c>
      <c r="AL1951" s="45">
        <v>0</v>
      </c>
      <c r="AM1951" s="57" t="str">
        <f>I1951-J1951-K1951-L1951-M1951-N1951-O1951-P1951-Q1951-R1951-S1951-T1951-U1951-V1951-W1951-X1951-Y1951-Z1951-AA1951-AB1951-AC1951-AD1951-AE1951-AF1951-AG1951+AH1951-AI1951+AJ1951+AK1951-AL1951</f>
        <v>0</v>
      </c>
      <c r="AN1951" s="45"/>
    </row>
    <row r="1952" spans="1:41">
      <c r="A1952" s="45">
        <v>1924</v>
      </c>
      <c r="B1952" s="45" t="s">
        <v>7436</v>
      </c>
      <c r="C1952" s="49" t="s">
        <v>7437</v>
      </c>
      <c r="D1952" s="53" t="s">
        <v>73</v>
      </c>
      <c r="E1952" s="45" t="s">
        <v>7430</v>
      </c>
      <c r="F1952" s="45" t="s">
        <v>7438</v>
      </c>
      <c r="G1952" s="45">
        <v>5.8</v>
      </c>
      <c r="H1952" s="53" t="s">
        <v>7439</v>
      </c>
      <c r="I1952" s="45">
        <v>634000</v>
      </c>
      <c r="J1952" s="45">
        <v>0</v>
      </c>
      <c r="K1952" s="45">
        <v>31000</v>
      </c>
      <c r="L1952" s="45">
        <v>0</v>
      </c>
      <c r="M1952" s="45">
        <v>0</v>
      </c>
      <c r="N1952" s="45">
        <v>0</v>
      </c>
      <c r="O1952" s="45">
        <v>0</v>
      </c>
      <c r="P1952" s="45">
        <v>0</v>
      </c>
      <c r="Q1952" s="45">
        <v>0</v>
      </c>
      <c r="R1952" s="45">
        <v>0</v>
      </c>
      <c r="S1952" s="45">
        <v>0</v>
      </c>
      <c r="T1952" s="45">
        <v>0</v>
      </c>
      <c r="U1952" s="45">
        <v>1968</v>
      </c>
      <c r="V1952" s="45">
        <v>0</v>
      </c>
      <c r="W1952" s="45">
        <v>0</v>
      </c>
      <c r="X1952" s="45">
        <v>0</v>
      </c>
      <c r="Y1952" s="45">
        <v>0</v>
      </c>
      <c r="Z1952" s="45">
        <v>0</v>
      </c>
      <c r="AA1952" s="45">
        <v>0</v>
      </c>
      <c r="AB1952" s="45">
        <v>0</v>
      </c>
      <c r="AC1952" s="45">
        <v>0</v>
      </c>
      <c r="AD1952" s="45">
        <v>0</v>
      </c>
      <c r="AE1952" s="45">
        <v>0</v>
      </c>
      <c r="AF1952" s="45">
        <v>0</v>
      </c>
      <c r="AG1952" s="45">
        <v>0</v>
      </c>
      <c r="AH1952" s="45">
        <v>0</v>
      </c>
      <c r="AI1952" s="45">
        <v>0</v>
      </c>
      <c r="AJ1952" s="45">
        <v>0</v>
      </c>
      <c r="AK1952" s="45">
        <v>0</v>
      </c>
      <c r="AL1952" s="45">
        <v>0</v>
      </c>
      <c r="AM1952" s="57" t="str">
        <f>I1952-J1952-K1952-L1952-M1952-N1952-O1952-P1952-Q1952-R1952-S1952-T1952-U1952-V1952-W1952-X1952-Y1952-Z1952-AA1952-AB1952-AC1952-AD1952-AE1952-AF1952-AG1952+AH1952-AI1952+AJ1952+AK1952-AL1952</f>
        <v>0</v>
      </c>
      <c r="AN1952" s="45"/>
    </row>
    <row r="1953" spans="1:41">
      <c r="A1953" s="45">
        <v>1925</v>
      </c>
      <c r="B1953" s="45" t="s">
        <v>7440</v>
      </c>
      <c r="C1953" s="49" t="s">
        <v>7441</v>
      </c>
      <c r="D1953" s="53" t="s">
        <v>73</v>
      </c>
      <c r="E1953" s="45" t="s">
        <v>7442</v>
      </c>
      <c r="F1953" s="45" t="s">
        <v>6979</v>
      </c>
      <c r="G1953" s="45">
        <v>2</v>
      </c>
      <c r="H1953" s="53" t="s">
        <v>7443</v>
      </c>
      <c r="I1953" s="45">
        <v>590000</v>
      </c>
      <c r="J1953" s="45">
        <v>0</v>
      </c>
      <c r="K1953" s="45">
        <v>23000</v>
      </c>
      <c r="L1953" s="45">
        <v>0</v>
      </c>
      <c r="M1953" s="45">
        <v>0</v>
      </c>
      <c r="N1953" s="45">
        <v>0</v>
      </c>
      <c r="O1953" s="45">
        <v>0</v>
      </c>
      <c r="P1953" s="45">
        <v>0</v>
      </c>
      <c r="Q1953" s="45">
        <v>0</v>
      </c>
      <c r="R1953" s="45">
        <v>0</v>
      </c>
      <c r="S1953" s="45">
        <v>0</v>
      </c>
      <c r="T1953" s="45">
        <v>0</v>
      </c>
      <c r="U1953" s="45">
        <v>1460</v>
      </c>
      <c r="V1953" s="45">
        <v>0</v>
      </c>
      <c r="W1953" s="45">
        <v>0</v>
      </c>
      <c r="X1953" s="45">
        <v>0</v>
      </c>
      <c r="Y1953" s="45">
        <v>0</v>
      </c>
      <c r="Z1953" s="45">
        <v>0</v>
      </c>
      <c r="AA1953" s="45">
        <v>0</v>
      </c>
      <c r="AB1953" s="45">
        <v>0</v>
      </c>
      <c r="AC1953" s="45">
        <v>0</v>
      </c>
      <c r="AD1953" s="45">
        <v>0</v>
      </c>
      <c r="AE1953" s="45">
        <v>0</v>
      </c>
      <c r="AF1953" s="45">
        <v>0</v>
      </c>
      <c r="AG1953" s="45">
        <v>0</v>
      </c>
      <c r="AH1953" s="45">
        <v>0</v>
      </c>
      <c r="AI1953" s="45">
        <v>0</v>
      </c>
      <c r="AJ1953" s="45">
        <v>0</v>
      </c>
      <c r="AK1953" s="45">
        <v>0</v>
      </c>
      <c r="AL1953" s="45">
        <v>0</v>
      </c>
      <c r="AM1953" s="57" t="str">
        <f>I1953-J1953-K1953-L1953-M1953-N1953-O1953-P1953-Q1953-R1953-S1953-T1953-U1953-V1953-W1953-X1953-Y1953-Z1953-AA1953-AB1953-AC1953-AD1953-AE1953-AF1953-AG1953+AH1953-AI1953+AJ1953+AK1953-AL1953</f>
        <v>0</v>
      </c>
      <c r="AN1953" s="45"/>
    </row>
    <row r="1954" spans="1:41">
      <c r="A1954" s="45">
        <v>1926</v>
      </c>
      <c r="B1954" s="45" t="s">
        <v>7444</v>
      </c>
      <c r="C1954" s="49" t="s">
        <v>7445</v>
      </c>
      <c r="D1954" s="53" t="s">
        <v>73</v>
      </c>
      <c r="E1954" s="45" t="s">
        <v>3727</v>
      </c>
      <c r="F1954" s="45" t="s">
        <v>7446</v>
      </c>
      <c r="G1954" s="45">
        <v>4</v>
      </c>
      <c r="H1954" s="53" t="s">
        <v>7447</v>
      </c>
      <c r="I1954" s="45">
        <v>450000</v>
      </c>
      <c r="J1954" s="45">
        <v>0</v>
      </c>
      <c r="K1954" s="45">
        <v>25000</v>
      </c>
      <c r="L1954" s="45">
        <v>0</v>
      </c>
      <c r="M1954" s="45">
        <v>0</v>
      </c>
      <c r="N1954" s="45">
        <v>0</v>
      </c>
      <c r="O1954" s="45">
        <v>0</v>
      </c>
      <c r="P1954" s="45">
        <v>0</v>
      </c>
      <c r="Q1954" s="45">
        <v>0</v>
      </c>
      <c r="R1954" s="45">
        <v>0</v>
      </c>
      <c r="S1954" s="45">
        <v>0</v>
      </c>
      <c r="T1954" s="45">
        <v>0</v>
      </c>
      <c r="U1954" s="45">
        <v>1587</v>
      </c>
      <c r="V1954" s="45">
        <v>0</v>
      </c>
      <c r="W1954" s="45">
        <v>0</v>
      </c>
      <c r="X1954" s="45">
        <v>0</v>
      </c>
      <c r="Y1954" s="45">
        <v>0</v>
      </c>
      <c r="Z1954" s="45">
        <v>0</v>
      </c>
      <c r="AA1954" s="45">
        <v>0</v>
      </c>
      <c r="AB1954" s="45">
        <v>0</v>
      </c>
      <c r="AC1954" s="45">
        <v>0</v>
      </c>
      <c r="AD1954" s="45">
        <v>0</v>
      </c>
      <c r="AE1954" s="45">
        <v>0</v>
      </c>
      <c r="AF1954" s="45">
        <v>0</v>
      </c>
      <c r="AG1954" s="45">
        <v>0</v>
      </c>
      <c r="AH1954" s="45">
        <v>0</v>
      </c>
      <c r="AI1954" s="45">
        <v>0</v>
      </c>
      <c r="AJ1954" s="45">
        <v>0</v>
      </c>
      <c r="AK1954" s="45">
        <v>0</v>
      </c>
      <c r="AL1954" s="45">
        <v>0</v>
      </c>
      <c r="AM1954" s="57" t="str">
        <f>I1954-J1954-K1954-L1954-M1954-N1954-O1954-P1954-Q1954-R1954-S1954-T1954-U1954-V1954-W1954-X1954-Y1954-Z1954-AA1954-AB1954-AC1954-AD1954-AE1954-AF1954-AG1954+AH1954-AI1954+AJ1954+AK1954-AL1954</f>
        <v>0</v>
      </c>
      <c r="AN1954" s="45"/>
    </row>
    <row r="1955" spans="1:41">
      <c r="A1955" s="45">
        <v>1927</v>
      </c>
      <c r="B1955" s="45" t="s">
        <v>7448</v>
      </c>
      <c r="C1955" s="49" t="s">
        <v>7449</v>
      </c>
      <c r="D1955" s="53" t="s">
        <v>73</v>
      </c>
      <c r="E1955" s="45" t="s">
        <v>3727</v>
      </c>
      <c r="F1955" s="45" t="s">
        <v>5859</v>
      </c>
      <c r="G1955" s="45">
        <v>4</v>
      </c>
      <c r="H1955" s="53" t="s">
        <v>7450</v>
      </c>
      <c r="I1955" s="45">
        <v>330000</v>
      </c>
      <c r="J1955" s="45">
        <v>0</v>
      </c>
      <c r="K1955" s="45">
        <v>25000</v>
      </c>
      <c r="L1955" s="45">
        <v>0</v>
      </c>
      <c r="M1955" s="45">
        <v>0</v>
      </c>
      <c r="N1955" s="45">
        <v>0</v>
      </c>
      <c r="O1955" s="45">
        <v>0</v>
      </c>
      <c r="P1955" s="45">
        <v>0</v>
      </c>
      <c r="Q1955" s="45">
        <v>0</v>
      </c>
      <c r="R1955" s="45">
        <v>0</v>
      </c>
      <c r="S1955" s="45">
        <v>0</v>
      </c>
      <c r="T1955" s="45">
        <v>0</v>
      </c>
      <c r="U1955" s="45">
        <v>1587</v>
      </c>
      <c r="V1955" s="45">
        <v>0</v>
      </c>
      <c r="W1955" s="45">
        <v>0</v>
      </c>
      <c r="X1955" s="45">
        <v>0</v>
      </c>
      <c r="Y1955" s="45">
        <v>0</v>
      </c>
      <c r="Z1955" s="45">
        <v>0</v>
      </c>
      <c r="AA1955" s="45">
        <v>0</v>
      </c>
      <c r="AB1955" s="45">
        <v>0</v>
      </c>
      <c r="AC1955" s="45">
        <v>0</v>
      </c>
      <c r="AD1955" s="45">
        <v>0</v>
      </c>
      <c r="AE1955" s="45">
        <v>0</v>
      </c>
      <c r="AF1955" s="45">
        <v>0</v>
      </c>
      <c r="AG1955" s="45">
        <v>0</v>
      </c>
      <c r="AH1955" s="45">
        <v>0</v>
      </c>
      <c r="AI1955" s="45">
        <v>0</v>
      </c>
      <c r="AJ1955" s="45">
        <v>0</v>
      </c>
      <c r="AK1955" s="45">
        <v>0</v>
      </c>
      <c r="AL1955" s="45">
        <v>0</v>
      </c>
      <c r="AM1955" s="57" t="str">
        <f>I1955-J1955-K1955-L1955-M1955-N1955-O1955-P1955-Q1955-R1955-S1955-T1955-U1955-V1955-W1955-X1955-Y1955-Z1955-AA1955-AB1955-AC1955-AD1955-AE1955-AF1955-AG1955+AH1955-AI1955+AJ1955+AK1955-AL1955</f>
        <v>0</v>
      </c>
      <c r="AN1955" s="45"/>
    </row>
    <row r="1956" spans="1:41">
      <c r="A1956" s="45">
        <v>1928</v>
      </c>
      <c r="B1956" s="45" t="s">
        <v>7451</v>
      </c>
      <c r="C1956" s="49" t="s">
        <v>7452</v>
      </c>
      <c r="D1956" s="53" t="s">
        <v>73</v>
      </c>
      <c r="E1956" s="45" t="s">
        <v>3727</v>
      </c>
      <c r="F1956" s="45" t="s">
        <v>6770</v>
      </c>
      <c r="G1956" s="45">
        <v>3</v>
      </c>
      <c r="H1956" s="53" t="s">
        <v>7453</v>
      </c>
      <c r="I1956" s="45">
        <v>1169000</v>
      </c>
      <c r="J1956" s="45">
        <v>0</v>
      </c>
      <c r="K1956" s="45">
        <v>22000</v>
      </c>
      <c r="L1956" s="45">
        <v>0</v>
      </c>
      <c r="M1956" s="45">
        <v>0</v>
      </c>
      <c r="N1956" s="45">
        <v>0</v>
      </c>
      <c r="O1956" s="45">
        <v>0</v>
      </c>
      <c r="P1956" s="45">
        <v>0</v>
      </c>
      <c r="Q1956" s="45">
        <v>0</v>
      </c>
      <c r="R1956" s="45">
        <v>0</v>
      </c>
      <c r="S1956" s="45">
        <v>0</v>
      </c>
      <c r="T1956" s="45">
        <v>0</v>
      </c>
      <c r="U1956" s="45">
        <v>1397</v>
      </c>
      <c r="V1956" s="45">
        <v>0</v>
      </c>
      <c r="W1956" s="45">
        <v>0</v>
      </c>
      <c r="X1956" s="45">
        <v>0</v>
      </c>
      <c r="Y1956" s="45">
        <v>0</v>
      </c>
      <c r="Z1956" s="45">
        <v>0</v>
      </c>
      <c r="AA1956" s="45">
        <v>0</v>
      </c>
      <c r="AB1956" s="45">
        <v>0</v>
      </c>
      <c r="AC1956" s="45">
        <v>0</v>
      </c>
      <c r="AD1956" s="45">
        <v>0</v>
      </c>
      <c r="AE1956" s="45">
        <v>0</v>
      </c>
      <c r="AF1956" s="45">
        <v>0</v>
      </c>
      <c r="AG1956" s="45">
        <v>0</v>
      </c>
      <c r="AH1956" s="45">
        <v>0</v>
      </c>
      <c r="AI1956" s="45">
        <v>0</v>
      </c>
      <c r="AJ1956" s="45">
        <v>0</v>
      </c>
      <c r="AK1956" s="45">
        <v>0</v>
      </c>
      <c r="AL1956" s="45">
        <v>0</v>
      </c>
      <c r="AM1956" s="57" t="str">
        <f>I1956-J1956-K1956-L1956-M1956-N1956-O1956-P1956-Q1956-R1956-S1956-T1956-U1956-V1956-W1956-X1956-Y1956-Z1956-AA1956-AB1956-AC1956-AD1956-AE1956-AF1956-AG1956+AH1956-AI1956+AJ1956+AK1956-AL1956</f>
        <v>0</v>
      </c>
      <c r="AN1956" s="45"/>
    </row>
    <row r="1957" spans="1:41">
      <c r="A1957" s="45">
        <v>1929</v>
      </c>
      <c r="B1957" s="45" t="s">
        <v>7454</v>
      </c>
      <c r="C1957" s="49" t="s">
        <v>7455</v>
      </c>
      <c r="D1957" s="53" t="s">
        <v>73</v>
      </c>
      <c r="E1957" s="45" t="s">
        <v>3727</v>
      </c>
      <c r="F1957" s="45" t="s">
        <v>7204</v>
      </c>
      <c r="G1957" s="45">
        <v>3</v>
      </c>
      <c r="H1957" s="53" t="s">
        <v>7456</v>
      </c>
      <c r="I1957" s="45">
        <v>704000</v>
      </c>
      <c r="J1957" s="45">
        <v>0</v>
      </c>
      <c r="K1957" s="45">
        <v>22000</v>
      </c>
      <c r="L1957" s="45">
        <v>0</v>
      </c>
      <c r="M1957" s="45">
        <v>0</v>
      </c>
      <c r="N1957" s="45">
        <v>0</v>
      </c>
      <c r="O1957" s="45">
        <v>0</v>
      </c>
      <c r="P1957" s="45">
        <v>0</v>
      </c>
      <c r="Q1957" s="45">
        <v>0</v>
      </c>
      <c r="R1957" s="45">
        <v>0</v>
      </c>
      <c r="S1957" s="45">
        <v>0</v>
      </c>
      <c r="T1957" s="45">
        <v>0</v>
      </c>
      <c r="U1957" s="45">
        <v>1397</v>
      </c>
      <c r="V1957" s="45">
        <v>0</v>
      </c>
      <c r="W1957" s="45">
        <v>0</v>
      </c>
      <c r="X1957" s="45">
        <v>0</v>
      </c>
      <c r="Y1957" s="45">
        <v>0</v>
      </c>
      <c r="Z1957" s="45">
        <v>0</v>
      </c>
      <c r="AA1957" s="45">
        <v>0</v>
      </c>
      <c r="AB1957" s="45">
        <v>0</v>
      </c>
      <c r="AC1957" s="45">
        <v>0</v>
      </c>
      <c r="AD1957" s="45">
        <v>0</v>
      </c>
      <c r="AE1957" s="45">
        <v>0</v>
      </c>
      <c r="AF1957" s="45">
        <v>0</v>
      </c>
      <c r="AG1957" s="45">
        <v>0</v>
      </c>
      <c r="AH1957" s="45">
        <v>0</v>
      </c>
      <c r="AI1957" s="45">
        <v>0</v>
      </c>
      <c r="AJ1957" s="45">
        <v>0</v>
      </c>
      <c r="AK1957" s="45">
        <v>0</v>
      </c>
      <c r="AL1957" s="45">
        <v>0</v>
      </c>
      <c r="AM1957" s="57" t="str">
        <f>I1957-J1957-K1957-L1957-M1957-N1957-O1957-P1957-Q1957-R1957-S1957-T1957-U1957-V1957-W1957-X1957-Y1957-Z1957-AA1957-AB1957-AC1957-AD1957-AE1957-AF1957-AG1957+AH1957-AI1957+AJ1957+AK1957-AL1957</f>
        <v>0</v>
      </c>
      <c r="AN1957" s="45"/>
    </row>
    <row r="1958" spans="1:41">
      <c r="A1958" s="45">
        <v>1930</v>
      </c>
      <c r="B1958" s="45" t="s">
        <v>7457</v>
      </c>
      <c r="C1958" s="49" t="s">
        <v>7458</v>
      </c>
      <c r="D1958" s="53" t="s">
        <v>73</v>
      </c>
      <c r="E1958" s="45" t="s">
        <v>3727</v>
      </c>
      <c r="F1958" s="45" t="s">
        <v>7211</v>
      </c>
      <c r="G1958" s="45">
        <v>2</v>
      </c>
      <c r="H1958" s="53" t="s">
        <v>7459</v>
      </c>
      <c r="I1958" s="45">
        <v>299000</v>
      </c>
      <c r="J1958" s="45">
        <v>0</v>
      </c>
      <c r="K1958" s="45">
        <v>22000</v>
      </c>
      <c r="L1958" s="45">
        <v>0</v>
      </c>
      <c r="M1958" s="45">
        <v>0</v>
      </c>
      <c r="N1958" s="45">
        <v>0</v>
      </c>
      <c r="O1958" s="45">
        <v>0</v>
      </c>
      <c r="P1958" s="45">
        <v>0</v>
      </c>
      <c r="Q1958" s="45">
        <v>0</v>
      </c>
      <c r="R1958" s="45">
        <v>0</v>
      </c>
      <c r="S1958" s="45">
        <v>0</v>
      </c>
      <c r="T1958" s="45">
        <v>0</v>
      </c>
      <c r="U1958" s="45">
        <v>1397</v>
      </c>
      <c r="V1958" s="45">
        <v>0</v>
      </c>
      <c r="W1958" s="45">
        <v>0</v>
      </c>
      <c r="X1958" s="45">
        <v>0</v>
      </c>
      <c r="Y1958" s="45">
        <v>0</v>
      </c>
      <c r="Z1958" s="45">
        <v>0</v>
      </c>
      <c r="AA1958" s="45">
        <v>0</v>
      </c>
      <c r="AB1958" s="45">
        <v>0</v>
      </c>
      <c r="AC1958" s="45">
        <v>0</v>
      </c>
      <c r="AD1958" s="45">
        <v>0</v>
      </c>
      <c r="AE1958" s="45">
        <v>0</v>
      </c>
      <c r="AF1958" s="45">
        <v>0</v>
      </c>
      <c r="AG1958" s="45">
        <v>0</v>
      </c>
      <c r="AH1958" s="45">
        <v>0</v>
      </c>
      <c r="AI1958" s="45">
        <v>0</v>
      </c>
      <c r="AJ1958" s="45">
        <v>0</v>
      </c>
      <c r="AK1958" s="45">
        <v>0</v>
      </c>
      <c r="AL1958" s="45">
        <v>0</v>
      </c>
      <c r="AM1958" s="57" t="str">
        <f>I1958-J1958-K1958-L1958-M1958-N1958-O1958-P1958-Q1958-R1958-S1958-T1958-U1958-V1958-W1958-X1958-Y1958-Z1958-AA1958-AB1958-AC1958-AD1958-AE1958-AF1958-AG1958+AH1958-AI1958+AJ1958+AK1958-AL1958</f>
        <v>0</v>
      </c>
      <c r="AN1958" s="45"/>
    </row>
    <row r="1959" spans="1:41">
      <c r="A1959" s="45">
        <v>1931</v>
      </c>
      <c r="B1959" s="45" t="s">
        <v>7460</v>
      </c>
      <c r="C1959" s="49" t="s">
        <v>7461</v>
      </c>
      <c r="D1959" s="53" t="s">
        <v>73</v>
      </c>
      <c r="E1959" s="45" t="s">
        <v>3727</v>
      </c>
      <c r="F1959" s="45" t="s">
        <v>4702</v>
      </c>
      <c r="G1959" s="45">
        <v>3</v>
      </c>
      <c r="H1959" s="53" t="s">
        <v>6131</v>
      </c>
      <c r="I1959" s="45">
        <v>0</v>
      </c>
      <c r="J1959" s="45">
        <v>0</v>
      </c>
      <c r="K1959" s="45">
        <v>22000</v>
      </c>
      <c r="L1959" s="45">
        <v>0</v>
      </c>
      <c r="M1959" s="45">
        <v>0</v>
      </c>
      <c r="N1959" s="45">
        <v>0</v>
      </c>
      <c r="O1959" s="45">
        <v>0</v>
      </c>
      <c r="P1959" s="45">
        <v>0</v>
      </c>
      <c r="Q1959" s="45">
        <v>0</v>
      </c>
      <c r="R1959" s="45">
        <v>0</v>
      </c>
      <c r="S1959" s="45">
        <v>0</v>
      </c>
      <c r="T1959" s="45">
        <v>0</v>
      </c>
      <c r="U1959" s="45">
        <v>1397</v>
      </c>
      <c r="V1959" s="45">
        <v>0</v>
      </c>
      <c r="W1959" s="45">
        <v>0</v>
      </c>
      <c r="X1959" s="45">
        <v>0</v>
      </c>
      <c r="Y1959" s="45">
        <v>0</v>
      </c>
      <c r="Z1959" s="45">
        <v>0</v>
      </c>
      <c r="AA1959" s="45">
        <v>0</v>
      </c>
      <c r="AB1959" s="45">
        <v>0</v>
      </c>
      <c r="AC1959" s="45">
        <v>0</v>
      </c>
      <c r="AD1959" s="45">
        <v>0</v>
      </c>
      <c r="AE1959" s="45">
        <v>0</v>
      </c>
      <c r="AF1959" s="45">
        <v>0</v>
      </c>
      <c r="AG1959" s="45">
        <v>0</v>
      </c>
      <c r="AH1959" s="45">
        <v>0</v>
      </c>
      <c r="AI1959" s="45">
        <v>0</v>
      </c>
      <c r="AJ1959" s="45">
        <v>0</v>
      </c>
      <c r="AK1959" s="45">
        <v>0</v>
      </c>
      <c r="AL1959" s="45">
        <v>0</v>
      </c>
      <c r="AM1959" s="57" t="str">
        <f>I1959-J1959-K1959-L1959-M1959-N1959-O1959-P1959-Q1959-R1959-S1959-T1959-U1959-V1959-W1959-X1959-Y1959-Z1959-AA1959-AB1959-AC1959-AD1959-AE1959-AF1959-AG1959+AH1959-AI1959+AJ1959+AK1959-AL1959</f>
        <v>0</v>
      </c>
      <c r="AN1959" s="45"/>
    </row>
    <row r="1960" spans="1:41">
      <c r="A1960" s="45">
        <v>1932</v>
      </c>
      <c r="B1960" s="45" t="s">
        <v>7462</v>
      </c>
      <c r="C1960" s="49" t="s">
        <v>7463</v>
      </c>
      <c r="D1960" s="53" t="s">
        <v>73</v>
      </c>
      <c r="E1960" s="45" t="s">
        <v>3727</v>
      </c>
      <c r="F1960" s="45" t="s">
        <v>7464</v>
      </c>
      <c r="G1960" s="45">
        <v>5.8</v>
      </c>
      <c r="H1960" s="53" t="s">
        <v>7465</v>
      </c>
      <c r="I1960" s="45">
        <v>599000</v>
      </c>
      <c r="J1960" s="45">
        <v>0</v>
      </c>
      <c r="K1960" s="45">
        <v>31000</v>
      </c>
      <c r="L1960" s="45">
        <v>0</v>
      </c>
      <c r="M1960" s="45">
        <v>0</v>
      </c>
      <c r="N1960" s="45">
        <v>0</v>
      </c>
      <c r="O1960" s="45">
        <v>0</v>
      </c>
      <c r="P1960" s="45">
        <v>0</v>
      </c>
      <c r="Q1960" s="45">
        <v>0</v>
      </c>
      <c r="R1960" s="45">
        <v>0</v>
      </c>
      <c r="S1960" s="45">
        <v>0</v>
      </c>
      <c r="T1960" s="45">
        <v>0</v>
      </c>
      <c r="U1960" s="45">
        <v>1968</v>
      </c>
      <c r="V1960" s="45">
        <v>0</v>
      </c>
      <c r="W1960" s="45">
        <v>0</v>
      </c>
      <c r="X1960" s="45">
        <v>0</v>
      </c>
      <c r="Y1960" s="45">
        <v>0</v>
      </c>
      <c r="Z1960" s="45">
        <v>0</v>
      </c>
      <c r="AA1960" s="45">
        <v>0</v>
      </c>
      <c r="AB1960" s="45">
        <v>0</v>
      </c>
      <c r="AC1960" s="45">
        <v>0</v>
      </c>
      <c r="AD1960" s="45">
        <v>0</v>
      </c>
      <c r="AE1960" s="45">
        <v>0</v>
      </c>
      <c r="AF1960" s="45">
        <v>0</v>
      </c>
      <c r="AG1960" s="45">
        <v>0</v>
      </c>
      <c r="AH1960" s="45">
        <v>0</v>
      </c>
      <c r="AI1960" s="45">
        <v>0</v>
      </c>
      <c r="AJ1960" s="45">
        <v>0</v>
      </c>
      <c r="AK1960" s="45">
        <v>0</v>
      </c>
      <c r="AL1960" s="45">
        <v>0</v>
      </c>
      <c r="AM1960" s="57" t="str">
        <f>I1960-J1960-K1960-L1960-M1960-N1960-O1960-P1960-Q1960-R1960-S1960-T1960-U1960-V1960-W1960-X1960-Y1960-Z1960-AA1960-AB1960-AC1960-AD1960-AE1960-AF1960-AG1960+AH1960-AI1960+AJ1960+AK1960-AL1960</f>
        <v>0</v>
      </c>
      <c r="AN1960" s="45"/>
    </row>
    <row r="1961" spans="1:41">
      <c r="A1961" s="45">
        <v>1933</v>
      </c>
      <c r="B1961" s="45" t="s">
        <v>7466</v>
      </c>
      <c r="C1961" s="49" t="s">
        <v>7467</v>
      </c>
      <c r="D1961" s="53" t="s">
        <v>73</v>
      </c>
      <c r="E1961" s="45" t="s">
        <v>3727</v>
      </c>
      <c r="F1961" s="45" t="s">
        <v>7468</v>
      </c>
      <c r="G1961" s="45">
        <v>5.8</v>
      </c>
      <c r="H1961" s="53" t="s">
        <v>7469</v>
      </c>
      <c r="I1961" s="45">
        <v>549000</v>
      </c>
      <c r="J1961" s="45">
        <v>0</v>
      </c>
      <c r="K1961" s="45">
        <v>31000</v>
      </c>
      <c r="L1961" s="45">
        <v>0</v>
      </c>
      <c r="M1961" s="45">
        <v>0</v>
      </c>
      <c r="N1961" s="45">
        <v>0</v>
      </c>
      <c r="O1961" s="45">
        <v>0</v>
      </c>
      <c r="P1961" s="45">
        <v>0</v>
      </c>
      <c r="Q1961" s="45">
        <v>0</v>
      </c>
      <c r="R1961" s="45">
        <v>0</v>
      </c>
      <c r="S1961" s="45">
        <v>0</v>
      </c>
      <c r="T1961" s="45">
        <v>0</v>
      </c>
      <c r="U1961" s="45">
        <v>1968</v>
      </c>
      <c r="V1961" s="45">
        <v>0</v>
      </c>
      <c r="W1961" s="45">
        <v>0</v>
      </c>
      <c r="X1961" s="45">
        <v>0</v>
      </c>
      <c r="Y1961" s="45">
        <v>0</v>
      </c>
      <c r="Z1961" s="45">
        <v>0</v>
      </c>
      <c r="AA1961" s="45">
        <v>0</v>
      </c>
      <c r="AB1961" s="45">
        <v>0</v>
      </c>
      <c r="AC1961" s="45">
        <v>0</v>
      </c>
      <c r="AD1961" s="45">
        <v>0</v>
      </c>
      <c r="AE1961" s="45">
        <v>0</v>
      </c>
      <c r="AF1961" s="45">
        <v>0</v>
      </c>
      <c r="AG1961" s="45">
        <v>0</v>
      </c>
      <c r="AH1961" s="45">
        <v>0</v>
      </c>
      <c r="AI1961" s="45">
        <v>0</v>
      </c>
      <c r="AJ1961" s="45">
        <v>0</v>
      </c>
      <c r="AK1961" s="45">
        <v>0</v>
      </c>
      <c r="AL1961" s="45">
        <v>0</v>
      </c>
      <c r="AM1961" s="57" t="str">
        <f>I1961-J1961-K1961-L1961-M1961-N1961-O1961-P1961-Q1961-R1961-S1961-T1961-U1961-V1961-W1961-X1961-Y1961-Z1961-AA1961-AB1961-AC1961-AD1961-AE1961-AF1961-AG1961+AH1961-AI1961+AJ1961+AK1961-AL1961</f>
        <v>0</v>
      </c>
      <c r="AN1961" s="45"/>
    </row>
    <row r="1962" spans="1:41">
      <c r="A1962" s="45">
        <v>1934</v>
      </c>
      <c r="B1962" s="45" t="s">
        <v>7470</v>
      </c>
      <c r="C1962" s="49" t="s">
        <v>7471</v>
      </c>
      <c r="D1962" s="53" t="s">
        <v>73</v>
      </c>
      <c r="E1962" s="45" t="s">
        <v>3727</v>
      </c>
      <c r="F1962" s="45" t="s">
        <v>5931</v>
      </c>
      <c r="G1962" s="45">
        <v>2</v>
      </c>
      <c r="H1962" s="53" t="s">
        <v>7472</v>
      </c>
      <c r="I1962" s="45">
        <v>280000</v>
      </c>
      <c r="J1962" s="45">
        <v>0</v>
      </c>
      <c r="K1962" s="45">
        <v>22000</v>
      </c>
      <c r="L1962" s="45">
        <v>0</v>
      </c>
      <c r="M1962" s="45">
        <v>0</v>
      </c>
      <c r="N1962" s="45">
        <v>0</v>
      </c>
      <c r="O1962" s="45">
        <v>0</v>
      </c>
      <c r="P1962" s="45">
        <v>0</v>
      </c>
      <c r="Q1962" s="45">
        <v>0</v>
      </c>
      <c r="R1962" s="45">
        <v>0</v>
      </c>
      <c r="S1962" s="45">
        <v>0</v>
      </c>
      <c r="T1962" s="45">
        <v>0</v>
      </c>
      <c r="U1962" s="45">
        <v>1397</v>
      </c>
      <c r="V1962" s="45">
        <v>0</v>
      </c>
      <c r="W1962" s="45">
        <v>0</v>
      </c>
      <c r="X1962" s="45">
        <v>0</v>
      </c>
      <c r="Y1962" s="45">
        <v>0</v>
      </c>
      <c r="Z1962" s="45">
        <v>0</v>
      </c>
      <c r="AA1962" s="45">
        <v>0</v>
      </c>
      <c r="AB1962" s="45">
        <v>0</v>
      </c>
      <c r="AC1962" s="45">
        <v>0</v>
      </c>
      <c r="AD1962" s="45">
        <v>0</v>
      </c>
      <c r="AE1962" s="45">
        <v>0</v>
      </c>
      <c r="AF1962" s="45">
        <v>0</v>
      </c>
      <c r="AG1962" s="45">
        <v>0</v>
      </c>
      <c r="AH1962" s="45">
        <v>0</v>
      </c>
      <c r="AI1962" s="45">
        <v>0</v>
      </c>
      <c r="AJ1962" s="45">
        <v>0</v>
      </c>
      <c r="AK1962" s="45">
        <v>0</v>
      </c>
      <c r="AL1962" s="45">
        <v>0</v>
      </c>
      <c r="AM1962" s="57" t="str">
        <f>I1962-J1962-K1962-L1962-M1962-N1962-O1962-P1962-Q1962-R1962-S1962-T1962-U1962-V1962-W1962-X1962-Y1962-Z1962-AA1962-AB1962-AC1962-AD1962-AE1962-AF1962-AG1962+AH1962-AI1962+AJ1962+AK1962-AL1962</f>
        <v>0</v>
      </c>
      <c r="AN1962" s="45"/>
    </row>
    <row r="1963" spans="1:41">
      <c r="A1963" s="45">
        <v>1935</v>
      </c>
      <c r="B1963" s="45" t="s">
        <v>7473</v>
      </c>
      <c r="C1963" s="49" t="s">
        <v>7474</v>
      </c>
      <c r="D1963" s="53" t="s">
        <v>73</v>
      </c>
      <c r="E1963" s="45" t="s">
        <v>3727</v>
      </c>
      <c r="F1963" s="45" t="s">
        <v>6949</v>
      </c>
      <c r="G1963" s="45">
        <v>5.8</v>
      </c>
      <c r="H1963" s="53" t="s">
        <v>7475</v>
      </c>
      <c r="I1963" s="45">
        <v>634000</v>
      </c>
      <c r="J1963" s="45">
        <v>0</v>
      </c>
      <c r="K1963" s="45">
        <v>31000</v>
      </c>
      <c r="L1963" s="45">
        <v>0</v>
      </c>
      <c r="M1963" s="45">
        <v>0</v>
      </c>
      <c r="N1963" s="45">
        <v>0</v>
      </c>
      <c r="O1963" s="45">
        <v>0</v>
      </c>
      <c r="P1963" s="45">
        <v>0</v>
      </c>
      <c r="Q1963" s="45">
        <v>0</v>
      </c>
      <c r="R1963" s="45">
        <v>0</v>
      </c>
      <c r="S1963" s="45">
        <v>0</v>
      </c>
      <c r="T1963" s="45">
        <v>0</v>
      </c>
      <c r="U1963" s="45">
        <v>1968</v>
      </c>
      <c r="V1963" s="45">
        <v>0</v>
      </c>
      <c r="W1963" s="45">
        <v>0</v>
      </c>
      <c r="X1963" s="45">
        <v>0</v>
      </c>
      <c r="Y1963" s="45">
        <v>0</v>
      </c>
      <c r="Z1963" s="45">
        <v>0</v>
      </c>
      <c r="AA1963" s="45">
        <v>0</v>
      </c>
      <c r="AB1963" s="45">
        <v>0</v>
      </c>
      <c r="AC1963" s="45">
        <v>0</v>
      </c>
      <c r="AD1963" s="45">
        <v>0</v>
      </c>
      <c r="AE1963" s="45">
        <v>0</v>
      </c>
      <c r="AF1963" s="45">
        <v>0</v>
      </c>
      <c r="AG1963" s="45">
        <v>0</v>
      </c>
      <c r="AH1963" s="45">
        <v>0</v>
      </c>
      <c r="AI1963" s="45">
        <v>0</v>
      </c>
      <c r="AJ1963" s="45">
        <v>0</v>
      </c>
      <c r="AK1963" s="45">
        <v>0</v>
      </c>
      <c r="AL1963" s="45">
        <v>0</v>
      </c>
      <c r="AM1963" s="57" t="str">
        <f>I1963-J1963-K1963-L1963-M1963-N1963-O1963-P1963-Q1963-R1963-S1963-T1963-U1963-V1963-W1963-X1963-Y1963-Z1963-AA1963-AB1963-AC1963-AD1963-AE1963-AF1963-AG1963+AH1963-AI1963+AJ1963+AK1963-AL1963</f>
        <v>0</v>
      </c>
      <c r="AN1963" s="45"/>
    </row>
    <row r="1964" spans="1:41">
      <c r="A1964" s="45">
        <v>1936</v>
      </c>
      <c r="B1964" s="45" t="s">
        <v>7476</v>
      </c>
      <c r="C1964" s="49" t="s">
        <v>7477</v>
      </c>
      <c r="D1964" s="53" t="s">
        <v>73</v>
      </c>
      <c r="E1964" s="45" t="s">
        <v>7478</v>
      </c>
      <c r="F1964" s="45" t="s">
        <v>6766</v>
      </c>
      <c r="G1964" s="45">
        <v>3</v>
      </c>
      <c r="H1964" s="53" t="s">
        <v>7479</v>
      </c>
      <c r="I1964" s="45">
        <v>525000</v>
      </c>
      <c r="J1964" s="45">
        <v>0</v>
      </c>
      <c r="K1964" s="45">
        <v>23000</v>
      </c>
      <c r="L1964" s="45">
        <v>0</v>
      </c>
      <c r="M1964" s="45">
        <v>0</v>
      </c>
      <c r="N1964" s="45">
        <v>0</v>
      </c>
      <c r="O1964" s="45">
        <v>0</v>
      </c>
      <c r="P1964" s="45">
        <v>0</v>
      </c>
      <c r="Q1964" s="45">
        <v>0</v>
      </c>
      <c r="R1964" s="45">
        <v>0</v>
      </c>
      <c r="S1964" s="45">
        <v>0</v>
      </c>
      <c r="T1964" s="45">
        <v>0</v>
      </c>
      <c r="U1964" s="45">
        <v>1460</v>
      </c>
      <c r="V1964" s="45">
        <v>0</v>
      </c>
      <c r="W1964" s="45">
        <v>0</v>
      </c>
      <c r="X1964" s="45">
        <v>0</v>
      </c>
      <c r="Y1964" s="45">
        <v>0</v>
      </c>
      <c r="Z1964" s="45">
        <v>0</v>
      </c>
      <c r="AA1964" s="45">
        <v>0</v>
      </c>
      <c r="AB1964" s="45">
        <v>0</v>
      </c>
      <c r="AC1964" s="45">
        <v>0</v>
      </c>
      <c r="AD1964" s="45">
        <v>0</v>
      </c>
      <c r="AE1964" s="45">
        <v>0</v>
      </c>
      <c r="AF1964" s="45">
        <v>0</v>
      </c>
      <c r="AG1964" s="45">
        <v>0</v>
      </c>
      <c r="AH1964" s="45">
        <v>0</v>
      </c>
      <c r="AI1964" s="45">
        <v>0</v>
      </c>
      <c r="AJ1964" s="45">
        <v>0</v>
      </c>
      <c r="AK1964" s="45">
        <v>0</v>
      </c>
      <c r="AL1964" s="45">
        <v>0</v>
      </c>
      <c r="AM1964" s="57" t="str">
        <f>I1964-J1964-K1964-L1964-M1964-N1964-O1964-P1964-Q1964-R1964-S1964-T1964-U1964-V1964-W1964-X1964-Y1964-Z1964-AA1964-AB1964-AC1964-AD1964-AE1964-AF1964-AG1964+AH1964-AI1964+AJ1964+AK1964-AL1964</f>
        <v>0</v>
      </c>
      <c r="AN1964" s="45"/>
    </row>
    <row r="1965" spans="1:41">
      <c r="A1965" s="45">
        <v>1937</v>
      </c>
      <c r="B1965" s="45" t="s">
        <v>7480</v>
      </c>
      <c r="C1965" s="49" t="s">
        <v>7481</v>
      </c>
      <c r="D1965" s="53" t="s">
        <v>73</v>
      </c>
      <c r="E1965" s="45" t="s">
        <v>7478</v>
      </c>
      <c r="F1965" s="45" t="s">
        <v>6497</v>
      </c>
      <c r="G1965" s="45">
        <v>2</v>
      </c>
      <c r="H1965" s="53" t="s">
        <v>7482</v>
      </c>
      <c r="I1965" s="45">
        <v>99000</v>
      </c>
      <c r="J1965" s="45">
        <v>0</v>
      </c>
      <c r="K1965" s="45">
        <v>23000</v>
      </c>
      <c r="L1965" s="45">
        <v>0</v>
      </c>
      <c r="M1965" s="45">
        <v>0</v>
      </c>
      <c r="N1965" s="45">
        <v>0</v>
      </c>
      <c r="O1965" s="45">
        <v>0</v>
      </c>
      <c r="P1965" s="45">
        <v>0</v>
      </c>
      <c r="Q1965" s="45">
        <v>0</v>
      </c>
      <c r="R1965" s="45">
        <v>0</v>
      </c>
      <c r="S1965" s="45">
        <v>0</v>
      </c>
      <c r="T1965" s="45">
        <v>0</v>
      </c>
      <c r="U1965" s="45">
        <v>1460</v>
      </c>
      <c r="V1965" s="45">
        <v>0</v>
      </c>
      <c r="W1965" s="45">
        <v>0</v>
      </c>
      <c r="X1965" s="45">
        <v>0</v>
      </c>
      <c r="Y1965" s="45">
        <v>0</v>
      </c>
      <c r="Z1965" s="45">
        <v>0</v>
      </c>
      <c r="AA1965" s="45">
        <v>0</v>
      </c>
      <c r="AB1965" s="45">
        <v>0</v>
      </c>
      <c r="AC1965" s="45">
        <v>0</v>
      </c>
      <c r="AD1965" s="45">
        <v>0</v>
      </c>
      <c r="AE1965" s="45">
        <v>0</v>
      </c>
      <c r="AF1965" s="45">
        <v>0</v>
      </c>
      <c r="AG1965" s="45">
        <v>0</v>
      </c>
      <c r="AH1965" s="45">
        <v>0</v>
      </c>
      <c r="AI1965" s="45">
        <v>0</v>
      </c>
      <c r="AJ1965" s="45">
        <v>0</v>
      </c>
      <c r="AK1965" s="45">
        <v>0</v>
      </c>
      <c r="AL1965" s="45">
        <v>0</v>
      </c>
      <c r="AM1965" s="57" t="str">
        <f>I1965-J1965-K1965-L1965-M1965-N1965-O1965-P1965-Q1965-R1965-S1965-T1965-U1965-V1965-W1965-X1965-Y1965-Z1965-AA1965-AB1965-AC1965-AD1965-AE1965-AF1965-AG1965+AH1965-AI1965+AJ1965+AK1965-AL1965</f>
        <v>0</v>
      </c>
      <c r="AN1965" s="45"/>
    </row>
    <row r="1966" spans="1:41">
      <c r="A1966" s="46"/>
      <c r="B1966" s="46"/>
      <c r="C1966" s="50"/>
      <c r="D1966" s="46"/>
      <c r="E1966" s="46"/>
      <c r="F1966" s="46"/>
      <c r="G1966" s="46"/>
      <c r="H1966" s="46" t="s">
        <v>7483</v>
      </c>
      <c r="I1966" s="46" t="str">
        <f>SUM(I28:I1965)</f>
        <v>0</v>
      </c>
      <c r="J1966" s="46" t="str">
        <f>SUM(J28:J1965)</f>
        <v>0</v>
      </c>
      <c r="K1966" s="46" t="str">
        <f>SUM(K28:K1965)</f>
        <v>0</v>
      </c>
      <c r="L1966" s="46" t="str">
        <f>SUM(L28:L1965)</f>
        <v>0</v>
      </c>
      <c r="M1966" s="46" t="str">
        <f>SUM(M28:M1965)</f>
        <v>0</v>
      </c>
      <c r="N1966" s="46" t="str">
        <f>SUM(N28:N1965)</f>
        <v>0</v>
      </c>
      <c r="O1966" s="46" t="str">
        <f>SUM(O28:O1965)</f>
        <v>0</v>
      </c>
      <c r="P1966" s="46" t="str">
        <f>SUM(P28:P1965)</f>
        <v>0</v>
      </c>
      <c r="Q1966" s="46" t="str">
        <f>SUM(Q28:Q1965)</f>
        <v>0</v>
      </c>
      <c r="R1966" s="46" t="str">
        <f>SUM(R28:R1965)</f>
        <v>0</v>
      </c>
      <c r="S1966" s="46" t="str">
        <f>SUM(S28:S1965)</f>
        <v>0</v>
      </c>
      <c r="T1966" s="46" t="str">
        <f>SUM(T28:T1965)</f>
        <v>0</v>
      </c>
      <c r="U1966" s="46" t="str">
        <f>SUM(U28:U1965)</f>
        <v>0</v>
      </c>
      <c r="V1966" s="46" t="str">
        <f>SUM(V28:V1965)</f>
        <v>0</v>
      </c>
      <c r="W1966" s="46" t="str">
        <f>SUM(W28:W1965)</f>
        <v>0</v>
      </c>
      <c r="X1966" s="46" t="str">
        <f>SUM(X28:X1965)</f>
        <v>0</v>
      </c>
      <c r="Y1966" s="46" t="str">
        <f>SUM(Y28:Y1965)</f>
        <v>0</v>
      </c>
      <c r="Z1966" s="46" t="str">
        <f>SUM(Z28:Z1965)</f>
        <v>0</v>
      </c>
      <c r="AA1966" s="46" t="str">
        <f>SUM(AA28:AA1965)</f>
        <v>0</v>
      </c>
      <c r="AB1966" s="46" t="str">
        <f>SUM(AB28:AB1965)</f>
        <v>0</v>
      </c>
      <c r="AC1966" s="46" t="str">
        <f>SUM(AC28:AC1965)</f>
        <v>0</v>
      </c>
      <c r="AD1966" s="46" t="str">
        <f>SUM(AD28:AD1965)</f>
        <v>0</v>
      </c>
      <c r="AE1966" s="46" t="str">
        <f>SUM(AE28:AE1965)</f>
        <v>0</v>
      </c>
      <c r="AF1966" s="46" t="str">
        <f>SUM(AF28:AF1965)</f>
        <v>0</v>
      </c>
      <c r="AG1966" s="46" t="str">
        <f>SUM(AG28:AG1965)</f>
        <v>0</v>
      </c>
      <c r="AH1966" s="46" t="str">
        <f>SUM(AH28:AH1965)</f>
        <v>0</v>
      </c>
      <c r="AI1966" s="46" t="str">
        <f>SUM(AI28:AI1965)</f>
        <v>0</v>
      </c>
      <c r="AJ1966" s="46" t="str">
        <f>SUM(AJ28:AJ1965)</f>
        <v>0</v>
      </c>
      <c r="AK1966" s="46" t="str">
        <f>SUM(AK28:AK1965)</f>
        <v>0</v>
      </c>
      <c r="AL1966" s="46" t="str">
        <f>SUM(AL28:AL1965)</f>
        <v>0</v>
      </c>
      <c r="AM1966" s="58" t="str">
        <f>SUM(AM28:AM1965)</f>
        <v>0</v>
      </c>
      <c r="AN1966" s="46"/>
    </row>
    <row r="1968" spans="1:41">
      <c r="A1968" s="35" t="s">
        <v>7484</v>
      </c>
    </row>
    <row r="1969" spans="1:41" customHeight="1" ht="88">
      <c r="A1969" s="59" t="s">
        <v>20</v>
      </c>
      <c r="B1969" s="59" t="s">
        <v>7485</v>
      </c>
      <c r="C1969" s="60" t="s">
        <v>7486</v>
      </c>
      <c r="D1969" s="59" t="s">
        <v>7487</v>
      </c>
      <c r="E1969" s="59" t="s">
        <v>7488</v>
      </c>
      <c r="J1969" s="29" t="s">
        <v>7489</v>
      </c>
    </row>
    <row r="1970" spans="1:41">
      <c r="A1970" s="46"/>
      <c r="B1970" s="46"/>
      <c r="C1970" s="50"/>
      <c r="D1970" s="46"/>
      <c r="E1970" s="46"/>
    </row>
    <row r="1972" spans="1:41">
      <c r="A1972" s="35" t="s">
        <v>7490</v>
      </c>
    </row>
    <row r="1973" spans="1:41">
      <c r="A1973" s="59" t="s">
        <v>20</v>
      </c>
      <c r="B1973" s="59" t="s">
        <v>21</v>
      </c>
      <c r="C1973" s="60" t="s">
        <v>24</v>
      </c>
      <c r="D1973" s="59" t="s">
        <v>7491</v>
      </c>
      <c r="E1973" s="59" t="s">
        <v>7492</v>
      </c>
    </row>
    <row r="1974" spans="1:41">
      <c r="A1974" s="46"/>
      <c r="B1974" s="46"/>
      <c r="C1974" s="50"/>
      <c r="D1974" s="46"/>
      <c r="E1974" s="46"/>
    </row>
    <row r="1978" spans="1:41">
      <c r="A1978" s="62" t="s">
        <v>7493</v>
      </c>
      <c r="B1978" s="63"/>
      <c r="C1978" s="13"/>
      <c r="D1978" s="63"/>
      <c r="E1978" s="63" t="s">
        <v>7494</v>
      </c>
    </row>
    <row r="1981" spans="1:41">
      <c r="A1981" s="61" t="s">
        <v>7495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7:E27"/>
    <mergeCell ref="A6:H6"/>
    <mergeCell ref="A12:D12"/>
    <mergeCell ref="A13:D13"/>
    <mergeCell ref="A14:D14"/>
    <mergeCell ref="A15:D15"/>
    <mergeCell ref="A23:D23"/>
    <mergeCell ref="A24:H24"/>
    <mergeCell ref="A16:D16"/>
    <mergeCell ref="A21:D21"/>
    <mergeCell ref="A22:G22"/>
    <mergeCell ref="A17:D17"/>
    <mergeCell ref="A18:D18"/>
    <mergeCell ref="A19:D19"/>
    <mergeCell ref="A20:D20"/>
    <mergeCell ref="A1968:E1968"/>
    <mergeCell ref="J1969:S1969"/>
    <mergeCell ref="A1972:E1972"/>
    <mergeCell ref="A1978:D1978"/>
    <mergeCell ref="E1978:G1978"/>
    <mergeCell ref="A1981:D1981"/>
  </mergeCells>
  <printOptions gridLines="false" gridLinesSet="true"/>
  <pageMargins left="0.7" right="0.7" top="0.75" bottom="0.75" header="0" footer="0"/>
  <pageSetup paperSize="1"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01-05-2026</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Darkness</dc:creator>
  <cp:lastModifiedBy>Darkness</cp:lastModifiedBy>
  <dcterms:created xsi:type="dcterms:W3CDTF">2020-06-04T18:22:00+07:00</dcterms:created>
  <dcterms:modified xsi:type="dcterms:W3CDTF">2025-10-30T17:53:57+07:00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1033-11.2.0.8991</vt:lpwstr>
  </property>
</Properties>
</file>